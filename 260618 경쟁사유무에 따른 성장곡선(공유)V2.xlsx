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대원\Desktop\"/>
    </mc:Choice>
  </mc:AlternateContent>
  <xr:revisionPtr revIDLastSave="0" documentId="13_ncr:1_{ACF1D469-ED52-46AD-BBD5-2AEE5595806E}" xr6:coauthVersionLast="47" xr6:coauthVersionMax="47" xr10:uidLastSave="{00000000-0000-0000-0000-000000000000}"/>
  <bookViews>
    <workbookView xWindow="-110" yWindow="-110" windowWidth="38620" windowHeight="21100" tabRatio="941" activeTab="8" xr2:uid="{CF89DF6E-5851-4EB3-9D20-D37C8DC8E80D}"/>
  </bookViews>
  <sheets>
    <sheet name="Claude Log" sheetId="13" r:id="rId1"/>
    <sheet name="세팅" sheetId="1" r:id="rId2"/>
    <sheet name="요약_월별시즈널리티" sheetId="3" r:id="rId3"/>
    <sheet name="Raw_매출" sheetId="2" r:id="rId4"/>
    <sheet name="Calc_오픈정렬" sheetId="5" r:id="rId5"/>
    <sheet name="Calc_지수곡선" sheetId="6" r:id="rId6"/>
    <sheet name="요약_연차별성장률" sheetId="4" r:id="rId7"/>
    <sheet name="요약_이탈분석" sheetId="8" r:id="rId8"/>
    <sheet name="요약_성장곡선" sheetId="7" r:id="rId9"/>
    <sheet name="종합결론" sheetId="12" r:id="rId10"/>
    <sheet name="R_오픈할인분석" sheetId="10" r:id="rId11"/>
  </sheets>
  <externalReferences>
    <externalReference r:id="rId12"/>
  </externalReferences>
  <definedNames>
    <definedName name="_xlnm._FilterDatabase" localSheetId="5" hidden="1">Calc_지수곡선!$A$1:$BN$150</definedName>
    <definedName name="_xlnm._FilterDatabase" localSheetId="1" hidden="1">세팅!$A$2:$G$151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4" i="7" l="1" a="1"/>
  <c r="AD63" i="7"/>
  <c r="AD64" i="7"/>
  <c r="AD65" i="7"/>
  <c r="AD66" i="7"/>
  <c r="AD67" i="7"/>
  <c r="AD68" i="7"/>
  <c r="AD69" i="7"/>
  <c r="AD70" i="7"/>
  <c r="AD62" i="7"/>
  <c r="O75" i="7" a="1"/>
  <c r="O74" i="7" a="1"/>
  <c r="O73" i="7" a="1"/>
  <c r="O72" i="7" a="1"/>
  <c r="O71" i="7" a="1"/>
  <c r="O70" i="7" a="1"/>
  <c r="O69" i="7" a="1"/>
  <c r="O68" i="7" a="1"/>
  <c r="O67" i="7" a="1"/>
  <c r="O66" i="7" a="1"/>
  <c r="O65" i="7" a="1"/>
  <c r="T87" i="7" a="1"/>
  <c r="O64" i="7" a="1"/>
  <c r="O63" i="7" a="1"/>
  <c r="S87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R88" i="7" l="1" a="1"/>
  <c r="R87" i="7" a="1"/>
  <c r="P64" i="7"/>
  <c r="N88" i="7"/>
  <c r="N87" i="7"/>
  <c r="R75" i="7"/>
  <c r="P75" i="7"/>
  <c r="R74" i="7"/>
  <c r="P74" i="7"/>
  <c r="R73" i="7"/>
  <c r="P73" i="7"/>
  <c r="R72" i="7"/>
  <c r="P72" i="7"/>
  <c r="R71" i="7"/>
  <c r="P71" i="7"/>
  <c r="R70" i="7"/>
  <c r="P70" i="7"/>
  <c r="R69" i="7"/>
  <c r="P69" i="7"/>
  <c r="P68" i="7"/>
  <c r="R68" i="7" s="1"/>
  <c r="P67" i="7"/>
  <c r="R67" i="7" s="1"/>
  <c r="P66" i="7"/>
  <c r="P65" i="7"/>
  <c r="L89" i="7"/>
  <c r="N89" i="7" s="1"/>
  <c r="L88" i="7"/>
  <c r="G11" i="5" a="1"/>
  <c r="T88" i="7" l="1" a="1"/>
  <c r="S88" i="7"/>
  <c r="S89" i="7"/>
  <c r="T89" i="7" a="1"/>
  <c r="R89" i="7" a="1"/>
  <c r="L90" i="7"/>
  <c r="L91" i="7"/>
  <c r="M20" i="1"/>
  <c r="M19" i="1"/>
  <c r="M18" i="1"/>
  <c r="S91" i="7" l="1"/>
  <c r="T91" i="7" a="1"/>
  <c r="R91" i="7" a="1"/>
  <c r="N91" i="7"/>
  <c r="T90" i="7" a="1"/>
  <c r="S90" i="7"/>
  <c r="R90" i="7" a="1"/>
  <c r="N90" i="7"/>
  <c r="L92" i="7"/>
  <c r="D14" i="12"/>
  <c r="D13" i="12"/>
  <c r="D12" i="12"/>
  <c r="T92" i="7" l="1" a="1"/>
  <c r="S92" i="7"/>
  <c r="R92" i="7" a="1"/>
  <c r="N92" i="7"/>
  <c r="L93" i="7"/>
  <c r="E8" i="12"/>
  <c r="E7" i="12"/>
  <c r="T93" i="7" l="1" a="1"/>
  <c r="S93" i="7"/>
  <c r="R93" i="7" a="1"/>
  <c r="N93" i="7"/>
  <c r="L94" i="7"/>
  <c r="D6" i="12"/>
  <c r="T94" i="7" l="1" a="1"/>
  <c r="S94" i="7"/>
  <c r="R94" i="7" a="1"/>
  <c r="N94" i="7"/>
  <c r="L95" i="7"/>
  <c r="E6" i="12"/>
  <c r="D7" i="12"/>
  <c r="D8" i="12"/>
  <c r="T95" i="7" l="1" a="1"/>
  <c r="S95" i="7"/>
  <c r="R95" i="7" a="1"/>
  <c r="N95" i="7"/>
  <c r="L96" i="7"/>
  <c r="P4" i="7"/>
  <c r="Q4" i="7"/>
  <c r="R4" i="7"/>
  <c r="S4" i="7"/>
  <c r="P5" i="7"/>
  <c r="Q5" i="7"/>
  <c r="R5" i="7"/>
  <c r="S5" i="7"/>
  <c r="P6" i="7"/>
  <c r="Q6" i="7"/>
  <c r="R6" i="7"/>
  <c r="S6" i="7"/>
  <c r="P7" i="7"/>
  <c r="Q7" i="7"/>
  <c r="R7" i="7"/>
  <c r="S7" i="7"/>
  <c r="P3" i="7"/>
  <c r="Q3" i="7"/>
  <c r="R3" i="7"/>
  <c r="S3" i="7"/>
  <c r="C16" i="8"/>
  <c r="C15" i="8"/>
  <c r="C14" i="8"/>
  <c r="C13" i="8"/>
  <c r="B60" i="6"/>
  <c r="B84" i="6"/>
  <c r="B88" i="6"/>
  <c r="A115" i="6"/>
  <c r="B115" i="6"/>
  <c r="A119" i="6"/>
  <c r="A125" i="6"/>
  <c r="B132" i="6"/>
  <c r="A3" i="5"/>
  <c r="A3" i="6" s="1"/>
  <c r="B3" i="5"/>
  <c r="B3" i="6" s="1"/>
  <c r="A4" i="5"/>
  <c r="A4" i="6" s="1"/>
  <c r="B4" i="5"/>
  <c r="A5" i="5"/>
  <c r="A5" i="6" s="1"/>
  <c r="B5" i="5"/>
  <c r="B5" i="6" s="1"/>
  <c r="C5" i="5"/>
  <c r="C5" i="6" s="1"/>
  <c r="A6" i="5"/>
  <c r="A6" i="6" s="1"/>
  <c r="B6" i="5"/>
  <c r="B6" i="6" s="1"/>
  <c r="A7" i="5"/>
  <c r="A7" i="6" s="1"/>
  <c r="B7" i="5"/>
  <c r="B7" i="6" s="1"/>
  <c r="A8" i="5"/>
  <c r="A8" i="6" s="1"/>
  <c r="B8" i="5"/>
  <c r="B8" i="6" s="1"/>
  <c r="C8" i="5"/>
  <c r="D8" i="5" s="1"/>
  <c r="D8" i="6" s="1"/>
  <c r="A9" i="5"/>
  <c r="A9" i="6" s="1"/>
  <c r="B9" i="5"/>
  <c r="B9" i="6" s="1"/>
  <c r="C9" i="5"/>
  <c r="A10" i="5"/>
  <c r="A10" i="6" s="1"/>
  <c r="B10" i="5"/>
  <c r="A11" i="5"/>
  <c r="A11" i="6" s="1"/>
  <c r="B11" i="5"/>
  <c r="B11" i="6" s="1"/>
  <c r="A12" i="5"/>
  <c r="A12" i="6" s="1"/>
  <c r="B12" i="5"/>
  <c r="A13" i="5"/>
  <c r="A13" i="6" s="1"/>
  <c r="B13" i="5"/>
  <c r="A14" i="5"/>
  <c r="A14" i="6" s="1"/>
  <c r="B14" i="5"/>
  <c r="B14" i="6" s="1"/>
  <c r="A15" i="5"/>
  <c r="A15" i="6" s="1"/>
  <c r="B15" i="5"/>
  <c r="A16" i="5"/>
  <c r="A16" i="6" s="1"/>
  <c r="B16" i="5"/>
  <c r="A17" i="5"/>
  <c r="A17" i="6" s="1"/>
  <c r="B17" i="5"/>
  <c r="B17" i="6" s="1"/>
  <c r="A18" i="5"/>
  <c r="A18" i="6" s="1"/>
  <c r="B18" i="5"/>
  <c r="C18" i="5" s="1"/>
  <c r="D18" i="5" s="1"/>
  <c r="D18" i="6" s="1"/>
  <c r="A19" i="5"/>
  <c r="A19" i="6" s="1"/>
  <c r="B19" i="5"/>
  <c r="B19" i="6" s="1"/>
  <c r="A20" i="5"/>
  <c r="A20" i="6" s="1"/>
  <c r="B20" i="5"/>
  <c r="B20" i="6" s="1"/>
  <c r="C20" i="5"/>
  <c r="D20" i="5" s="1"/>
  <c r="D20" i="6" s="1"/>
  <c r="A21" i="5"/>
  <c r="A21" i="6" s="1"/>
  <c r="B21" i="5"/>
  <c r="A22" i="5"/>
  <c r="A22" i="6" s="1"/>
  <c r="B22" i="5"/>
  <c r="B22" i="6" s="1"/>
  <c r="A23" i="5"/>
  <c r="A23" i="6" s="1"/>
  <c r="B23" i="5"/>
  <c r="C23" i="5" s="1"/>
  <c r="C23" i="6" s="1"/>
  <c r="A24" i="5"/>
  <c r="A24" i="6" s="1"/>
  <c r="B24" i="5"/>
  <c r="A25" i="5"/>
  <c r="A25" i="6" s="1"/>
  <c r="B25" i="5"/>
  <c r="A26" i="5"/>
  <c r="A26" i="6" s="1"/>
  <c r="B26" i="5"/>
  <c r="B26" i="6" s="1"/>
  <c r="C26" i="5"/>
  <c r="A27" i="5"/>
  <c r="A27" i="6" s="1"/>
  <c r="B27" i="5"/>
  <c r="B27" i="6" s="1"/>
  <c r="A28" i="5"/>
  <c r="A28" i="6" s="1"/>
  <c r="B28" i="5"/>
  <c r="A29" i="5"/>
  <c r="A29" i="6" s="1"/>
  <c r="B29" i="5"/>
  <c r="B29" i="6" s="1"/>
  <c r="A30" i="5"/>
  <c r="A30" i="6" s="1"/>
  <c r="B30" i="5"/>
  <c r="C30" i="5" s="1"/>
  <c r="D30" i="5" s="1"/>
  <c r="D30" i="6" s="1"/>
  <c r="A31" i="5"/>
  <c r="A31" i="6" s="1"/>
  <c r="B31" i="5"/>
  <c r="C31" i="5" s="1"/>
  <c r="A32" i="5"/>
  <c r="A32" i="6" s="1"/>
  <c r="B32" i="5"/>
  <c r="C32" i="5" s="1"/>
  <c r="C32" i="6" s="1"/>
  <c r="A33" i="5"/>
  <c r="A33" i="6" s="1"/>
  <c r="B33" i="5"/>
  <c r="A34" i="5"/>
  <c r="A34" i="6" s="1"/>
  <c r="B34" i="5"/>
  <c r="C34" i="5" s="1"/>
  <c r="D34" i="5" s="1"/>
  <c r="D34" i="6" s="1"/>
  <c r="A35" i="5"/>
  <c r="A35" i="6" s="1"/>
  <c r="B35" i="5"/>
  <c r="B35" i="6" s="1"/>
  <c r="C35" i="5"/>
  <c r="C35" i="6" s="1"/>
  <c r="D35" i="5"/>
  <c r="D35" i="6" s="1"/>
  <c r="A36" i="5"/>
  <c r="A36" i="6" s="1"/>
  <c r="B36" i="5"/>
  <c r="A37" i="5"/>
  <c r="A37" i="6" s="1"/>
  <c r="B37" i="5"/>
  <c r="B37" i="6" s="1"/>
  <c r="C37" i="5"/>
  <c r="A38" i="5"/>
  <c r="A38" i="6" s="1"/>
  <c r="B38" i="5"/>
  <c r="B38" i="6" s="1"/>
  <c r="A39" i="5"/>
  <c r="A39" i="6" s="1"/>
  <c r="B39" i="5"/>
  <c r="C39" i="5" s="1"/>
  <c r="C39" i="6" s="1"/>
  <c r="D39" i="5"/>
  <c r="D39" i="6" s="1"/>
  <c r="A40" i="5"/>
  <c r="A40" i="6" s="1"/>
  <c r="B40" i="5"/>
  <c r="A41" i="5"/>
  <c r="A41" i="6" s="1"/>
  <c r="B41" i="5"/>
  <c r="C41" i="5" s="1"/>
  <c r="D41" i="5" s="1"/>
  <c r="D41" i="6" s="1"/>
  <c r="A42" i="5"/>
  <c r="A42" i="6" s="1"/>
  <c r="B42" i="5"/>
  <c r="C42" i="5" s="1"/>
  <c r="C42" i="6" s="1"/>
  <c r="A43" i="5"/>
  <c r="A43" i="6" s="1"/>
  <c r="B43" i="5"/>
  <c r="A44" i="5"/>
  <c r="A44" i="6" s="1"/>
  <c r="B44" i="5"/>
  <c r="A45" i="5"/>
  <c r="A45" i="6" s="1"/>
  <c r="B45" i="5"/>
  <c r="C45" i="5" s="1"/>
  <c r="D45" i="5" s="1"/>
  <c r="D45" i="6" s="1"/>
  <c r="A46" i="5"/>
  <c r="A46" i="6" s="1"/>
  <c r="B46" i="5"/>
  <c r="B46" i="6" s="1"/>
  <c r="C46" i="5"/>
  <c r="D46" i="5" s="1"/>
  <c r="D46" i="6" s="1"/>
  <c r="A47" i="5"/>
  <c r="A47" i="6" s="1"/>
  <c r="B47" i="5"/>
  <c r="A48" i="5"/>
  <c r="A48" i="6" s="1"/>
  <c r="B48" i="5"/>
  <c r="B48" i="6" s="1"/>
  <c r="A49" i="5"/>
  <c r="A49" i="6" s="1"/>
  <c r="B49" i="5"/>
  <c r="A50" i="5"/>
  <c r="A50" i="6" s="1"/>
  <c r="B50" i="5"/>
  <c r="B50" i="6" s="1"/>
  <c r="C50" i="5"/>
  <c r="C50" i="6" s="1"/>
  <c r="D50" i="5"/>
  <c r="D50" i="6" s="1"/>
  <c r="A51" i="5"/>
  <c r="A51" i="6" s="1"/>
  <c r="B51" i="5"/>
  <c r="A52" i="5"/>
  <c r="A52" i="6" s="1"/>
  <c r="B52" i="5"/>
  <c r="A53" i="5"/>
  <c r="A53" i="6" s="1"/>
  <c r="B53" i="5"/>
  <c r="B53" i="6" s="1"/>
  <c r="A54" i="5"/>
  <c r="A54" i="6" s="1"/>
  <c r="B54" i="5"/>
  <c r="B54" i="6" s="1"/>
  <c r="C54" i="5"/>
  <c r="D54" i="5" s="1"/>
  <c r="D54" i="6" s="1"/>
  <c r="A55" i="5"/>
  <c r="A55" i="6" s="1"/>
  <c r="B55" i="5"/>
  <c r="B55" i="6" s="1"/>
  <c r="A56" i="5"/>
  <c r="A56" i="6" s="1"/>
  <c r="B56" i="5"/>
  <c r="C56" i="5" s="1"/>
  <c r="D56" i="5" s="1"/>
  <c r="D56" i="6" s="1"/>
  <c r="A57" i="5"/>
  <c r="A57" i="6" s="1"/>
  <c r="B57" i="5"/>
  <c r="A58" i="5"/>
  <c r="A58" i="6" s="1"/>
  <c r="B58" i="5"/>
  <c r="B58" i="6" s="1"/>
  <c r="A59" i="5"/>
  <c r="A59" i="6" s="1"/>
  <c r="B59" i="5"/>
  <c r="A60" i="5"/>
  <c r="A60" i="6" s="1"/>
  <c r="B60" i="5"/>
  <c r="C60" i="5" s="1"/>
  <c r="D60" i="5" s="1"/>
  <c r="D60" i="6" s="1"/>
  <c r="A61" i="5"/>
  <c r="A61" i="6" s="1"/>
  <c r="B61" i="5"/>
  <c r="B61" i="6" s="1"/>
  <c r="A62" i="5"/>
  <c r="A62" i="6" s="1"/>
  <c r="B62" i="5"/>
  <c r="A63" i="5"/>
  <c r="A63" i="6" s="1"/>
  <c r="B63" i="5"/>
  <c r="A64" i="5"/>
  <c r="A64" i="6" s="1"/>
  <c r="B64" i="5"/>
  <c r="B64" i="6" s="1"/>
  <c r="C64" i="5"/>
  <c r="A65" i="5"/>
  <c r="A65" i="6" s="1"/>
  <c r="B65" i="5"/>
  <c r="B65" i="6" s="1"/>
  <c r="A66" i="5"/>
  <c r="A66" i="6" s="1"/>
  <c r="B66" i="5"/>
  <c r="C66" i="5" s="1"/>
  <c r="C66" i="6" s="1"/>
  <c r="D66" i="5"/>
  <c r="D66" i="6" s="1"/>
  <c r="A67" i="5"/>
  <c r="A67" i="6" s="1"/>
  <c r="B67" i="5"/>
  <c r="C67" i="5" s="1"/>
  <c r="A68" i="5"/>
  <c r="A68" i="6" s="1"/>
  <c r="B68" i="5"/>
  <c r="C68" i="5" s="1"/>
  <c r="A69" i="5"/>
  <c r="A69" i="6" s="1"/>
  <c r="B69" i="5"/>
  <c r="B69" i="6" s="1"/>
  <c r="A70" i="5"/>
  <c r="A70" i="6" s="1"/>
  <c r="B70" i="5"/>
  <c r="B70" i="6" s="1"/>
  <c r="A71" i="5"/>
  <c r="A71" i="6" s="1"/>
  <c r="B71" i="5"/>
  <c r="C71" i="5" s="1"/>
  <c r="D71" i="5" s="1"/>
  <c r="D71" i="6" s="1"/>
  <c r="A72" i="5"/>
  <c r="A72" i="6" s="1"/>
  <c r="B72" i="5"/>
  <c r="A73" i="5"/>
  <c r="A73" i="6" s="1"/>
  <c r="B73" i="5"/>
  <c r="C73" i="5" s="1"/>
  <c r="D73" i="5" s="1"/>
  <c r="D73" i="6" s="1"/>
  <c r="A74" i="5"/>
  <c r="A74" i="6" s="1"/>
  <c r="B74" i="5"/>
  <c r="A75" i="5"/>
  <c r="A75" i="6" s="1"/>
  <c r="B75" i="5"/>
  <c r="C75" i="5" s="1"/>
  <c r="D75" i="5" s="1"/>
  <c r="D75" i="6" s="1"/>
  <c r="A76" i="5"/>
  <c r="A76" i="6" s="1"/>
  <c r="B76" i="5"/>
  <c r="A77" i="5"/>
  <c r="A77" i="6" s="1"/>
  <c r="B77" i="5"/>
  <c r="A78" i="5"/>
  <c r="A78" i="6" s="1"/>
  <c r="B78" i="5"/>
  <c r="A79" i="5"/>
  <c r="A79" i="6" s="1"/>
  <c r="B79" i="5"/>
  <c r="C79" i="5" s="1"/>
  <c r="A80" i="5"/>
  <c r="A80" i="6" s="1"/>
  <c r="B80" i="5"/>
  <c r="A81" i="5"/>
  <c r="A81" i="6" s="1"/>
  <c r="B81" i="5"/>
  <c r="B81" i="6" s="1"/>
  <c r="A82" i="5"/>
  <c r="A82" i="6" s="1"/>
  <c r="B82" i="5"/>
  <c r="C82" i="5" s="1"/>
  <c r="A83" i="5"/>
  <c r="A83" i="6" s="1"/>
  <c r="B83" i="5"/>
  <c r="C83" i="5" s="1"/>
  <c r="D83" i="5" s="1"/>
  <c r="D83" i="6" s="1"/>
  <c r="A84" i="5"/>
  <c r="A84" i="6" s="1"/>
  <c r="B84" i="5"/>
  <c r="C84" i="5" s="1"/>
  <c r="C84" i="6" s="1"/>
  <c r="D84" i="5"/>
  <c r="D84" i="6" s="1"/>
  <c r="A85" i="5"/>
  <c r="A85" i="6" s="1"/>
  <c r="B85" i="5"/>
  <c r="A86" i="5"/>
  <c r="A86" i="6" s="1"/>
  <c r="B86" i="5"/>
  <c r="A87" i="5"/>
  <c r="A87" i="6" s="1"/>
  <c r="B87" i="5"/>
  <c r="B87" i="6" s="1"/>
  <c r="C87" i="5"/>
  <c r="A88" i="5"/>
  <c r="A88" i="6" s="1"/>
  <c r="B88" i="5"/>
  <c r="C88" i="5" s="1"/>
  <c r="D88" i="5" s="1"/>
  <c r="D88" i="6" s="1"/>
  <c r="A89" i="5"/>
  <c r="A89" i="6" s="1"/>
  <c r="B89" i="5"/>
  <c r="B89" i="6" s="1"/>
  <c r="C89" i="5"/>
  <c r="A90" i="5"/>
  <c r="A90" i="6" s="1"/>
  <c r="B90" i="5"/>
  <c r="A91" i="5"/>
  <c r="A91" i="6" s="1"/>
  <c r="B91" i="5"/>
  <c r="A92" i="5"/>
  <c r="A92" i="6" s="1"/>
  <c r="B92" i="5"/>
  <c r="C92" i="5" s="1"/>
  <c r="D92" i="5" s="1"/>
  <c r="D92" i="6" s="1"/>
  <c r="A93" i="5"/>
  <c r="A93" i="6" s="1"/>
  <c r="B93" i="5"/>
  <c r="C93" i="5" s="1"/>
  <c r="D93" i="5" s="1"/>
  <c r="D93" i="6" s="1"/>
  <c r="A94" i="5"/>
  <c r="A94" i="6" s="1"/>
  <c r="B94" i="5"/>
  <c r="A95" i="5"/>
  <c r="A95" i="6" s="1"/>
  <c r="B95" i="5"/>
  <c r="C95" i="5" s="1"/>
  <c r="D95" i="5" s="1"/>
  <c r="D95" i="6" s="1"/>
  <c r="A96" i="5"/>
  <c r="A96" i="6" s="1"/>
  <c r="B96" i="5"/>
  <c r="A97" i="5"/>
  <c r="A97" i="6" s="1"/>
  <c r="B97" i="5"/>
  <c r="A98" i="5"/>
  <c r="A98" i="6" s="1"/>
  <c r="B98" i="5"/>
  <c r="B98" i="6" s="1"/>
  <c r="C98" i="5"/>
  <c r="A99" i="5"/>
  <c r="A99" i="6" s="1"/>
  <c r="B99" i="5"/>
  <c r="C99" i="5" s="1"/>
  <c r="A100" i="5"/>
  <c r="A100" i="6" s="1"/>
  <c r="B100" i="5"/>
  <c r="C100" i="5" s="1"/>
  <c r="C100" i="6" s="1"/>
  <c r="D100" i="5"/>
  <c r="D100" i="6" s="1"/>
  <c r="A101" i="5"/>
  <c r="A101" i="6" s="1"/>
  <c r="B101" i="5"/>
  <c r="B101" i="6" s="1"/>
  <c r="A102" i="5"/>
  <c r="A102" i="6" s="1"/>
  <c r="B102" i="5"/>
  <c r="B102" i="6" s="1"/>
  <c r="A103" i="5"/>
  <c r="A103" i="6" s="1"/>
  <c r="B103" i="5"/>
  <c r="B103" i="6" s="1"/>
  <c r="A104" i="5"/>
  <c r="A104" i="6" s="1"/>
  <c r="B104" i="5"/>
  <c r="B104" i="6" s="1"/>
  <c r="A105" i="5"/>
  <c r="A105" i="6" s="1"/>
  <c r="B105" i="5"/>
  <c r="B105" i="6" s="1"/>
  <c r="A106" i="5"/>
  <c r="A106" i="6" s="1"/>
  <c r="B106" i="5"/>
  <c r="B106" i="6" s="1"/>
  <c r="A107" i="5"/>
  <c r="A107" i="6" s="1"/>
  <c r="B107" i="5"/>
  <c r="B107" i="6" s="1"/>
  <c r="C107" i="5"/>
  <c r="A108" i="5"/>
  <c r="A108" i="6" s="1"/>
  <c r="B108" i="5"/>
  <c r="A109" i="5"/>
  <c r="A109" i="6" s="1"/>
  <c r="B109" i="5"/>
  <c r="B109" i="6" s="1"/>
  <c r="A110" i="5"/>
  <c r="A110" i="6" s="1"/>
  <c r="B110" i="5"/>
  <c r="A111" i="5"/>
  <c r="A111" i="6" s="1"/>
  <c r="B111" i="5"/>
  <c r="C111" i="5" s="1"/>
  <c r="D111" i="5" s="1"/>
  <c r="D111" i="6" s="1"/>
  <c r="A112" i="5"/>
  <c r="A112" i="6" s="1"/>
  <c r="B112" i="5"/>
  <c r="B112" i="6" s="1"/>
  <c r="A113" i="5"/>
  <c r="A113" i="6" s="1"/>
  <c r="B113" i="5"/>
  <c r="B113" i="6" s="1"/>
  <c r="A114" i="5"/>
  <c r="A114" i="6" s="1"/>
  <c r="B114" i="5"/>
  <c r="C114" i="5" s="1"/>
  <c r="A115" i="5"/>
  <c r="B115" i="5"/>
  <c r="C115" i="5" s="1"/>
  <c r="A116" i="5"/>
  <c r="A116" i="6" s="1"/>
  <c r="B116" i="5"/>
  <c r="B116" i="6" s="1"/>
  <c r="C116" i="5"/>
  <c r="D116" i="5" s="1"/>
  <c r="D116" i="6" s="1"/>
  <c r="A117" i="5"/>
  <c r="A117" i="6" s="1"/>
  <c r="B117" i="5"/>
  <c r="C117" i="5" s="1"/>
  <c r="D117" i="5" s="1"/>
  <c r="D117" i="6" s="1"/>
  <c r="A118" i="5"/>
  <c r="A118" i="6" s="1"/>
  <c r="B118" i="5"/>
  <c r="A119" i="5"/>
  <c r="B119" i="5"/>
  <c r="B119" i="6" s="1"/>
  <c r="A120" i="5"/>
  <c r="A120" i="6" s="1"/>
  <c r="B120" i="5"/>
  <c r="C120" i="5" s="1"/>
  <c r="A121" i="5"/>
  <c r="A121" i="6" s="1"/>
  <c r="B121" i="5"/>
  <c r="B121" i="6" s="1"/>
  <c r="C121" i="5"/>
  <c r="D121" i="5" s="1"/>
  <c r="D121" i="6" s="1"/>
  <c r="A122" i="5"/>
  <c r="A122" i="6" s="1"/>
  <c r="B122" i="5"/>
  <c r="C122" i="5" s="1"/>
  <c r="D122" i="5" s="1"/>
  <c r="D122" i="6" s="1"/>
  <c r="A123" i="5"/>
  <c r="A123" i="6" s="1"/>
  <c r="B123" i="5"/>
  <c r="A124" i="5"/>
  <c r="A124" i="6" s="1"/>
  <c r="B124" i="5"/>
  <c r="B124" i="6" s="1"/>
  <c r="A125" i="5"/>
  <c r="B125" i="5"/>
  <c r="B125" i="6" s="1"/>
  <c r="C125" i="5"/>
  <c r="A126" i="5"/>
  <c r="A126" i="6" s="1"/>
  <c r="B126" i="5"/>
  <c r="C126" i="5" s="1"/>
  <c r="A127" i="5"/>
  <c r="A127" i="6" s="1"/>
  <c r="B127" i="5"/>
  <c r="B127" i="6" s="1"/>
  <c r="A128" i="5"/>
  <c r="A128" i="6" s="1"/>
  <c r="B128" i="5"/>
  <c r="A129" i="5"/>
  <c r="A129" i="6" s="1"/>
  <c r="B129" i="5"/>
  <c r="B129" i="6" s="1"/>
  <c r="A130" i="5"/>
  <c r="A130" i="6" s="1"/>
  <c r="B130" i="5"/>
  <c r="A131" i="5"/>
  <c r="A131" i="6" s="1"/>
  <c r="B131" i="5"/>
  <c r="B131" i="6" s="1"/>
  <c r="C131" i="5"/>
  <c r="A132" i="5"/>
  <c r="A132" i="6" s="1"/>
  <c r="B132" i="5"/>
  <c r="C132" i="5" s="1"/>
  <c r="A133" i="5"/>
  <c r="A133" i="6" s="1"/>
  <c r="B133" i="5"/>
  <c r="A134" i="5"/>
  <c r="A134" i="6" s="1"/>
  <c r="B134" i="5"/>
  <c r="B134" i="6" s="1"/>
  <c r="A135" i="5"/>
  <c r="A135" i="6" s="1"/>
  <c r="B135" i="5"/>
  <c r="C135" i="5" s="1"/>
  <c r="D135" i="5" s="1"/>
  <c r="D135" i="6" s="1"/>
  <c r="A136" i="5"/>
  <c r="A136" i="6" s="1"/>
  <c r="B136" i="5"/>
  <c r="A137" i="5"/>
  <c r="A137" i="6" s="1"/>
  <c r="B137" i="5"/>
  <c r="A138" i="5"/>
  <c r="A138" i="6" s="1"/>
  <c r="B138" i="5"/>
  <c r="A139" i="5"/>
  <c r="A139" i="6" s="1"/>
  <c r="B139" i="5"/>
  <c r="C139" i="5" s="1"/>
  <c r="D139" i="5" s="1"/>
  <c r="D139" i="6" s="1"/>
  <c r="A140" i="5"/>
  <c r="A140" i="6" s="1"/>
  <c r="B140" i="5"/>
  <c r="A141" i="5"/>
  <c r="A141" i="6" s="1"/>
  <c r="B141" i="5"/>
  <c r="B141" i="6" s="1"/>
  <c r="A142" i="5"/>
  <c r="A142" i="6" s="1"/>
  <c r="B142" i="5"/>
  <c r="B142" i="6" s="1"/>
  <c r="A143" i="5"/>
  <c r="A143" i="6" s="1"/>
  <c r="B143" i="5"/>
  <c r="B143" i="6" s="1"/>
  <c r="A144" i="5"/>
  <c r="A144" i="6" s="1"/>
  <c r="B144" i="5"/>
  <c r="A145" i="5"/>
  <c r="A145" i="6" s="1"/>
  <c r="B145" i="5"/>
  <c r="C145" i="5" s="1"/>
  <c r="C145" i="6" s="1"/>
  <c r="A146" i="5"/>
  <c r="A146" i="6" s="1"/>
  <c r="B146" i="5"/>
  <c r="A147" i="5"/>
  <c r="A147" i="6" s="1"/>
  <c r="B147" i="5"/>
  <c r="B147" i="6" s="1"/>
  <c r="A148" i="5"/>
  <c r="A148" i="6" s="1"/>
  <c r="B148" i="5"/>
  <c r="B148" i="6" s="1"/>
  <c r="A149" i="5"/>
  <c r="A149" i="6" s="1"/>
  <c r="B149" i="5"/>
  <c r="B149" i="6" s="1"/>
  <c r="A150" i="5"/>
  <c r="A150" i="6" s="1"/>
  <c r="B150" i="5"/>
  <c r="C150" i="5" s="1"/>
  <c r="D150" i="5" s="1"/>
  <c r="D150" i="6" s="1"/>
  <c r="B2" i="5"/>
  <c r="B2" i="6" s="1"/>
  <c r="A2" i="5"/>
  <c r="A2" i="6" s="1"/>
  <c r="G18" i="3" a="1"/>
  <c r="E18" i="3" a="1"/>
  <c r="F18" i="3" s="1" a="1"/>
  <c r="D18" i="3" a="1"/>
  <c r="B18" i="3" a="1"/>
  <c r="C18" i="3" s="1" a="1"/>
  <c r="G17" i="3" a="1"/>
  <c r="E17" i="3" a="1"/>
  <c r="F17" i="3" s="1" a="1"/>
  <c r="D17" i="3" a="1"/>
  <c r="B17" i="3" a="1"/>
  <c r="C17" i="3" s="1" a="1"/>
  <c r="G16" i="3" a="1"/>
  <c r="E16" i="3" a="1"/>
  <c r="F16" i="3" s="1" a="1"/>
  <c r="D16" i="3" a="1"/>
  <c r="B16" i="3" a="1"/>
  <c r="C16" i="3" s="1" a="1"/>
  <c r="G15" i="3" a="1"/>
  <c r="E15" i="3" a="1"/>
  <c r="F15" i="3" s="1" a="1"/>
  <c r="D15" i="3" a="1"/>
  <c r="B15" i="3" a="1"/>
  <c r="C15" i="3" s="1" a="1"/>
  <c r="G14" i="3" a="1"/>
  <c r="E14" i="3" a="1"/>
  <c r="F14" i="3" s="1" a="1"/>
  <c r="D14" i="3" a="1"/>
  <c r="B14" i="3" a="1"/>
  <c r="C14" i="3" s="1" a="1"/>
  <c r="G13" i="3" a="1"/>
  <c r="E13" i="3" a="1"/>
  <c r="F13" i="3" s="1" a="1"/>
  <c r="D13" i="3" a="1"/>
  <c r="B13" i="3" a="1"/>
  <c r="C13" i="3" s="1" a="1"/>
  <c r="G12" i="3" a="1"/>
  <c r="E12" i="3" a="1"/>
  <c r="F12" i="3" s="1" a="1"/>
  <c r="D12" i="3" a="1"/>
  <c r="B12" i="3" a="1"/>
  <c r="C12" i="3" s="1" a="1"/>
  <c r="G11" i="3" a="1"/>
  <c r="E11" i="3" a="1"/>
  <c r="F11" i="3" s="1" a="1"/>
  <c r="D11" i="3" a="1"/>
  <c r="B11" i="3" a="1"/>
  <c r="C11" i="3" s="1" a="1"/>
  <c r="G10" i="3" a="1"/>
  <c r="E10" i="3" a="1"/>
  <c r="F10" i="3" s="1" a="1"/>
  <c r="D10" i="3" a="1"/>
  <c r="B10" i="3" a="1"/>
  <c r="C10" i="3" s="1" a="1"/>
  <c r="G9" i="3" a="1"/>
  <c r="E9" i="3" a="1"/>
  <c r="F9" i="3" s="1" a="1"/>
  <c r="D9" i="3" a="1"/>
  <c r="B9" i="3" a="1"/>
  <c r="C9" i="3" s="1" a="1"/>
  <c r="G8" i="3" a="1"/>
  <c r="E8" i="3" a="1"/>
  <c r="F8" i="3" s="1" a="1"/>
  <c r="D8" i="3" a="1"/>
  <c r="B8" i="3" a="1"/>
  <c r="C8" i="3" s="1" a="1"/>
  <c r="G7" i="3" a="1"/>
  <c r="E7" i="3" a="1"/>
  <c r="F7" i="3" s="1" a="1"/>
  <c r="D7" i="3" a="1"/>
  <c r="B7" i="3" a="1"/>
  <c r="C7" i="3" s="1" a="1"/>
  <c r="T96" i="7" l="1" a="1"/>
  <c r="S96" i="7"/>
  <c r="N96" i="7"/>
  <c r="R96" i="7" a="1"/>
  <c r="L97" i="7"/>
  <c r="C70" i="5"/>
  <c r="C65" i="5"/>
  <c r="D65" i="5" s="1"/>
  <c r="D65" i="6" s="1"/>
  <c r="B99" i="6"/>
  <c r="B42" i="6"/>
  <c r="B100" i="6"/>
  <c r="B23" i="6"/>
  <c r="C95" i="6"/>
  <c r="B18" i="6"/>
  <c r="B67" i="6"/>
  <c r="C17" i="5"/>
  <c r="D17" i="5" s="1"/>
  <c r="D17" i="6" s="1"/>
  <c r="C7" i="5"/>
  <c r="C7" i="6" s="1"/>
  <c r="B150" i="6"/>
  <c r="C8" i="6"/>
  <c r="C112" i="5"/>
  <c r="C48" i="5"/>
  <c r="C48" i="6" s="1"/>
  <c r="C27" i="5"/>
  <c r="D27" i="5" s="1"/>
  <c r="D27" i="6" s="1"/>
  <c r="C11" i="5"/>
  <c r="D11" i="5" s="1"/>
  <c r="D11" i="6" s="1"/>
  <c r="C88" i="6"/>
  <c r="B45" i="6"/>
  <c r="C134" i="5"/>
  <c r="D134" i="5" s="1"/>
  <c r="D134" i="6" s="1"/>
  <c r="C129" i="5"/>
  <c r="D129" i="5" s="1"/>
  <c r="D129" i="6" s="1"/>
  <c r="C124" i="5"/>
  <c r="C124" i="6" s="1"/>
  <c r="C119" i="5"/>
  <c r="C109" i="5"/>
  <c r="D109" i="5" s="1"/>
  <c r="D109" i="6" s="1"/>
  <c r="C45" i="6"/>
  <c r="D145" i="5"/>
  <c r="D145" i="6" s="1"/>
  <c r="C104" i="5"/>
  <c r="C104" i="6" s="1"/>
  <c r="B135" i="6"/>
  <c r="C113" i="5"/>
  <c r="B68" i="6"/>
  <c r="C30" i="6"/>
  <c r="C116" i="6"/>
  <c r="C147" i="5"/>
  <c r="D147" i="5" s="1"/>
  <c r="D147" i="6" s="1"/>
  <c r="C106" i="5"/>
  <c r="D106" i="5" s="1"/>
  <c r="D106" i="6" s="1"/>
  <c r="C101" i="5"/>
  <c r="C101" i="6" s="1"/>
  <c r="C69" i="5"/>
  <c r="D69" i="5" s="1"/>
  <c r="D69" i="6" s="1"/>
  <c r="D23" i="5"/>
  <c r="D23" i="6" s="1"/>
  <c r="C46" i="6"/>
  <c r="D99" i="5"/>
  <c r="D99" i="6" s="1"/>
  <c r="C99" i="6"/>
  <c r="C122" i="6"/>
  <c r="C71" i="6"/>
  <c r="B122" i="6"/>
  <c r="B71" i="6"/>
  <c r="C2" i="5"/>
  <c r="C139" i="6"/>
  <c r="C117" i="6"/>
  <c r="B66" i="6"/>
  <c r="B56" i="6"/>
  <c r="C41" i="6"/>
  <c r="C121" i="6"/>
  <c r="B111" i="6"/>
  <c r="B41" i="6"/>
  <c r="B39" i="6"/>
  <c r="C54" i="6"/>
  <c r="C17" i="6"/>
  <c r="B95" i="6"/>
  <c r="B83" i="6"/>
  <c r="C148" i="5"/>
  <c r="D148" i="5" s="1"/>
  <c r="D148" i="6" s="1"/>
  <c r="D42" i="5"/>
  <c r="D42" i="6" s="1"/>
  <c r="B139" i="6"/>
  <c r="B117" i="6"/>
  <c r="B93" i="6"/>
  <c r="B32" i="6"/>
  <c r="C56" i="6"/>
  <c r="C143" i="5"/>
  <c r="C103" i="5"/>
  <c r="C103" i="6" s="1"/>
  <c r="D32" i="5"/>
  <c r="D32" i="6" s="1"/>
  <c r="C22" i="5"/>
  <c r="C22" i="6" s="1"/>
  <c r="B75" i="6"/>
  <c r="B31" i="6"/>
  <c r="D67" i="5"/>
  <c r="D67" i="6" s="1"/>
  <c r="C67" i="6"/>
  <c r="C76" i="5"/>
  <c r="B76" i="6"/>
  <c r="C63" i="5"/>
  <c r="B63" i="6"/>
  <c r="B12" i="6"/>
  <c r="C12" i="5"/>
  <c r="C146" i="5"/>
  <c r="B146" i="6"/>
  <c r="C138" i="5"/>
  <c r="B138" i="6"/>
  <c r="B130" i="6"/>
  <c r="C130" i="5"/>
  <c r="D37" i="5"/>
  <c r="D37" i="6" s="1"/>
  <c r="C37" i="6"/>
  <c r="C28" i="5"/>
  <c r="B28" i="6"/>
  <c r="B4" i="6"/>
  <c r="C4" i="5"/>
  <c r="C149" i="5"/>
  <c r="D113" i="5"/>
  <c r="D113" i="6" s="1"/>
  <c r="C113" i="6"/>
  <c r="D101" i="5"/>
  <c r="D101" i="6" s="1"/>
  <c r="B80" i="6"/>
  <c r="C80" i="5"/>
  <c r="C53" i="5"/>
  <c r="B16" i="6"/>
  <c r="C16" i="5"/>
  <c r="C11" i="6"/>
  <c r="B21" i="6"/>
  <c r="C21" i="5"/>
  <c r="C87" i="6"/>
  <c r="D87" i="5"/>
  <c r="D87" i="6" s="1"/>
  <c r="C74" i="5"/>
  <c r="B74" i="6"/>
  <c r="B57" i="6"/>
  <c r="C57" i="5"/>
  <c r="C49" i="5"/>
  <c r="B49" i="6"/>
  <c r="C73" i="6"/>
  <c r="C141" i="5"/>
  <c r="C137" i="5"/>
  <c r="B137" i="6"/>
  <c r="B133" i="6"/>
  <c r="C133" i="5"/>
  <c r="D104" i="5"/>
  <c r="D104" i="6" s="1"/>
  <c r="C40" i="5"/>
  <c r="B40" i="6"/>
  <c r="C19" i="5"/>
  <c r="C111" i="6"/>
  <c r="B73" i="6"/>
  <c r="D126" i="5"/>
  <c r="D126" i="6" s="1"/>
  <c r="C126" i="6"/>
  <c r="C10" i="5"/>
  <c r="B10" i="6"/>
  <c r="D68" i="5"/>
  <c r="D68" i="6" s="1"/>
  <c r="C68" i="6"/>
  <c r="C64" i="6"/>
  <c r="D64" i="5"/>
  <c r="D64" i="6" s="1"/>
  <c r="B120" i="6"/>
  <c r="C90" i="5"/>
  <c r="B90" i="6"/>
  <c r="B86" i="6"/>
  <c r="C86" i="5"/>
  <c r="C72" i="5"/>
  <c r="B72" i="6"/>
  <c r="C43" i="5"/>
  <c r="B43" i="6"/>
  <c r="B126" i="6"/>
  <c r="C18" i="6"/>
  <c r="C114" i="6"/>
  <c r="D114" i="5"/>
  <c r="D114" i="6" s="1"/>
  <c r="B114" i="6"/>
  <c r="C110" i="5"/>
  <c r="B110" i="6"/>
  <c r="D98" i="5"/>
  <c r="D98" i="6" s="1"/>
  <c r="C98" i="6"/>
  <c r="B140" i="6"/>
  <c r="C140" i="5"/>
  <c r="D131" i="5"/>
  <c r="D131" i="6" s="1"/>
  <c r="C131" i="6"/>
  <c r="D119" i="5"/>
  <c r="D119" i="6" s="1"/>
  <c r="C119" i="6"/>
  <c r="D115" i="5"/>
  <c r="D115" i="6" s="1"/>
  <c r="C115" i="6"/>
  <c r="D107" i="5"/>
  <c r="D107" i="6" s="1"/>
  <c r="C107" i="6"/>
  <c r="D82" i="5"/>
  <c r="D82" i="6" s="1"/>
  <c r="C82" i="6"/>
  <c r="C127" i="5"/>
  <c r="C77" i="5"/>
  <c r="B77" i="6"/>
  <c r="C15" i="5"/>
  <c r="B15" i="6"/>
  <c r="C144" i="5"/>
  <c r="B144" i="6"/>
  <c r="C128" i="5"/>
  <c r="B128" i="6"/>
  <c r="D120" i="5"/>
  <c r="D120" i="6" s="1"/>
  <c r="C120" i="6"/>
  <c r="B108" i="6"/>
  <c r="C108" i="5"/>
  <c r="C78" i="5"/>
  <c r="B78" i="6"/>
  <c r="C44" i="5"/>
  <c r="B44" i="6"/>
  <c r="C31" i="6"/>
  <c r="D31" i="5"/>
  <c r="D31" i="6" s="1"/>
  <c r="D26" i="5"/>
  <c r="D26" i="6" s="1"/>
  <c r="C26" i="6"/>
  <c r="C94" i="5"/>
  <c r="B94" i="6"/>
  <c r="D89" i="5"/>
  <c r="D89" i="6" s="1"/>
  <c r="C89" i="6"/>
  <c r="C81" i="5"/>
  <c r="B59" i="6"/>
  <c r="C59" i="5"/>
  <c r="C47" i="5"/>
  <c r="B47" i="6"/>
  <c r="C29" i="5"/>
  <c r="C60" i="6"/>
  <c r="C123" i="5"/>
  <c r="B123" i="6"/>
  <c r="C150" i="6"/>
  <c r="C135" i="6"/>
  <c r="C93" i="6"/>
  <c r="C83" i="6"/>
  <c r="C136" i="5"/>
  <c r="B136" i="6"/>
  <c r="C62" i="5"/>
  <c r="B62" i="6"/>
  <c r="C52" i="5"/>
  <c r="B52" i="6"/>
  <c r="C24" i="5"/>
  <c r="B24" i="6"/>
  <c r="C147" i="6"/>
  <c r="D112" i="5"/>
  <c r="D112" i="6" s="1"/>
  <c r="C112" i="6"/>
  <c r="C55" i="5"/>
  <c r="C38" i="5"/>
  <c r="B145" i="6"/>
  <c r="C92" i="6"/>
  <c r="B82" i="6"/>
  <c r="C142" i="5"/>
  <c r="D132" i="5"/>
  <c r="D132" i="6" s="1"/>
  <c r="C132" i="6"/>
  <c r="D125" i="5"/>
  <c r="D125" i="6" s="1"/>
  <c r="C125" i="6"/>
  <c r="C96" i="5"/>
  <c r="B96" i="6"/>
  <c r="D79" i="5"/>
  <c r="D79" i="6" s="1"/>
  <c r="C79" i="6"/>
  <c r="C27" i="6"/>
  <c r="C13" i="5"/>
  <c r="B13" i="6"/>
  <c r="D9" i="5"/>
  <c r="D9" i="6" s="1"/>
  <c r="C9" i="6"/>
  <c r="C6" i="5"/>
  <c r="B92" i="6"/>
  <c r="C65" i="6"/>
  <c r="C34" i="6"/>
  <c r="C105" i="5"/>
  <c r="C102" i="5"/>
  <c r="C85" i="5"/>
  <c r="B85" i="6"/>
  <c r="C61" i="5"/>
  <c r="C58" i="5"/>
  <c r="B51" i="6"/>
  <c r="C51" i="5"/>
  <c r="C3" i="5"/>
  <c r="B34" i="6"/>
  <c r="C118" i="5"/>
  <c r="B118" i="6"/>
  <c r="C91" i="5"/>
  <c r="B91" i="6"/>
  <c r="D48" i="5"/>
  <c r="D48" i="6" s="1"/>
  <c r="C33" i="5"/>
  <c r="B33" i="6"/>
  <c r="C14" i="5"/>
  <c r="D5" i="5"/>
  <c r="D5" i="6" s="1"/>
  <c r="B79" i="6"/>
  <c r="B30" i="6"/>
  <c r="C20" i="6"/>
  <c r="C36" i="5"/>
  <c r="B36" i="6"/>
  <c r="C97" i="5"/>
  <c r="B97" i="6"/>
  <c r="C75" i="6"/>
  <c r="C25" i="5"/>
  <c r="B25" i="6"/>
  <c r="H13" i="3"/>
  <c r="H10" i="3"/>
  <c r="H17" i="3"/>
  <c r="H8" i="3"/>
  <c r="H14" i="3"/>
  <c r="H11" i="3"/>
  <c r="H9" i="3"/>
  <c r="H18" i="3"/>
  <c r="H7" i="3"/>
  <c r="H16" i="3"/>
  <c r="H12" i="3"/>
  <c r="H15" i="3"/>
  <c r="T97" i="7" l="1" a="1"/>
  <c r="S97" i="7"/>
  <c r="N97" i="7"/>
  <c r="R97" i="7" a="1"/>
  <c r="L98" i="7"/>
  <c r="D7" i="5"/>
  <c r="D7" i="6" s="1"/>
  <c r="C106" i="6"/>
  <c r="D22" i="5"/>
  <c r="D22" i="6" s="1"/>
  <c r="C70" i="6"/>
  <c r="D70" i="5"/>
  <c r="D70" i="6" s="1"/>
  <c r="C148" i="6"/>
  <c r="D124" i="5"/>
  <c r="D124" i="6" s="1"/>
  <c r="C109" i="6"/>
  <c r="C134" i="6"/>
  <c r="C69" i="6"/>
  <c r="C129" i="6"/>
  <c r="D103" i="5"/>
  <c r="D103" i="6" s="1"/>
  <c r="D2" i="5"/>
  <c r="D2" i="6" s="1"/>
  <c r="C2" i="6"/>
  <c r="D143" i="5"/>
  <c r="D143" i="6" s="1"/>
  <c r="C143" i="6"/>
  <c r="C110" i="6"/>
  <c r="D110" i="5"/>
  <c r="D110" i="6" s="1"/>
  <c r="D74" i="5"/>
  <c r="D74" i="6" s="1"/>
  <c r="C74" i="6"/>
  <c r="D102" i="5"/>
  <c r="D102" i="6" s="1"/>
  <c r="C102" i="6"/>
  <c r="D55" i="5"/>
  <c r="D55" i="6" s="1"/>
  <c r="C55" i="6"/>
  <c r="D33" i="5"/>
  <c r="D33" i="6" s="1"/>
  <c r="C33" i="6"/>
  <c r="D16" i="5"/>
  <c r="D16" i="6" s="1"/>
  <c r="C16" i="6"/>
  <c r="D85" i="5"/>
  <c r="D85" i="6" s="1"/>
  <c r="C85" i="6"/>
  <c r="D63" i="5"/>
  <c r="D63" i="6" s="1"/>
  <c r="C63" i="6"/>
  <c r="D137" i="5"/>
  <c r="D137" i="6" s="1"/>
  <c r="C137" i="6"/>
  <c r="D62" i="5"/>
  <c r="D62" i="6" s="1"/>
  <c r="C62" i="6"/>
  <c r="D133" i="5"/>
  <c r="D133" i="6" s="1"/>
  <c r="C133" i="6"/>
  <c r="D128" i="5"/>
  <c r="D128" i="6" s="1"/>
  <c r="C128" i="6"/>
  <c r="D76" i="5"/>
  <c r="D76" i="6" s="1"/>
  <c r="C76" i="6"/>
  <c r="D29" i="5"/>
  <c r="D29" i="6" s="1"/>
  <c r="C29" i="6"/>
  <c r="D28" i="5"/>
  <c r="D28" i="6" s="1"/>
  <c r="C28" i="6"/>
  <c r="D90" i="5"/>
  <c r="D90" i="6" s="1"/>
  <c r="C90" i="6"/>
  <c r="D91" i="5"/>
  <c r="D91" i="6" s="1"/>
  <c r="C91" i="6"/>
  <c r="D136" i="5"/>
  <c r="D136" i="6" s="1"/>
  <c r="C136" i="6"/>
  <c r="D25" i="5"/>
  <c r="D25" i="6" s="1"/>
  <c r="C25" i="6"/>
  <c r="D105" i="5"/>
  <c r="D105" i="6" s="1"/>
  <c r="C105" i="6"/>
  <c r="C80" i="6"/>
  <c r="D80" i="5"/>
  <c r="D80" i="6" s="1"/>
  <c r="D59" i="5"/>
  <c r="D59" i="6" s="1"/>
  <c r="C59" i="6"/>
  <c r="D10" i="5"/>
  <c r="D10" i="6" s="1"/>
  <c r="C10" i="6"/>
  <c r="C38" i="6"/>
  <c r="D38" i="5"/>
  <c r="D38" i="6" s="1"/>
  <c r="D53" i="5"/>
  <c r="D53" i="6" s="1"/>
  <c r="C53" i="6"/>
  <c r="D97" i="5"/>
  <c r="D97" i="6" s="1"/>
  <c r="C97" i="6"/>
  <c r="C47" i="6"/>
  <c r="D47" i="5"/>
  <c r="D47" i="6" s="1"/>
  <c r="D44" i="5"/>
  <c r="D44" i="6" s="1"/>
  <c r="C44" i="6"/>
  <c r="D144" i="5"/>
  <c r="D144" i="6" s="1"/>
  <c r="C144" i="6"/>
  <c r="D141" i="5"/>
  <c r="D141" i="6" s="1"/>
  <c r="C141" i="6"/>
  <c r="C130" i="6"/>
  <c r="D130" i="5"/>
  <c r="D130" i="6" s="1"/>
  <c r="D36" i="5"/>
  <c r="D36" i="6" s="1"/>
  <c r="C36" i="6"/>
  <c r="C118" i="6"/>
  <c r="D118" i="5"/>
  <c r="D118" i="6" s="1"/>
  <c r="D96" i="5"/>
  <c r="D96" i="6" s="1"/>
  <c r="C96" i="6"/>
  <c r="D81" i="5"/>
  <c r="D81" i="6" s="1"/>
  <c r="C81" i="6"/>
  <c r="D78" i="5"/>
  <c r="D78" i="6" s="1"/>
  <c r="C78" i="6"/>
  <c r="D15" i="5"/>
  <c r="D15" i="6" s="1"/>
  <c r="C15" i="6"/>
  <c r="D19" i="5"/>
  <c r="D19" i="6" s="1"/>
  <c r="C19" i="6"/>
  <c r="D21" i="5"/>
  <c r="D21" i="6" s="1"/>
  <c r="C21" i="6"/>
  <c r="D3" i="5"/>
  <c r="D3" i="6" s="1"/>
  <c r="C3" i="6"/>
  <c r="D6" i="5"/>
  <c r="D6" i="6" s="1"/>
  <c r="C6" i="6"/>
  <c r="C108" i="6"/>
  <c r="D108" i="5"/>
  <c r="D108" i="6" s="1"/>
  <c r="D138" i="5"/>
  <c r="D138" i="6" s="1"/>
  <c r="C138" i="6"/>
  <c r="D51" i="5"/>
  <c r="D51" i="6" s="1"/>
  <c r="C51" i="6"/>
  <c r="D24" i="5"/>
  <c r="D24" i="6" s="1"/>
  <c r="C24" i="6"/>
  <c r="D77" i="5"/>
  <c r="D77" i="6" s="1"/>
  <c r="C77" i="6"/>
  <c r="D140" i="5"/>
  <c r="D140" i="6" s="1"/>
  <c r="C140" i="6"/>
  <c r="D43" i="5"/>
  <c r="D43" i="6" s="1"/>
  <c r="C43" i="6"/>
  <c r="D40" i="5"/>
  <c r="D40" i="6" s="1"/>
  <c r="C40" i="6"/>
  <c r="D127" i="5"/>
  <c r="D127" i="6" s="1"/>
  <c r="C127" i="6"/>
  <c r="D49" i="5"/>
  <c r="D49" i="6" s="1"/>
  <c r="C49" i="6"/>
  <c r="C149" i="6"/>
  <c r="D149" i="5"/>
  <c r="D149" i="6" s="1"/>
  <c r="C146" i="6"/>
  <c r="D146" i="5"/>
  <c r="D146" i="6" s="1"/>
  <c r="D14" i="5"/>
  <c r="D14" i="6" s="1"/>
  <c r="C14" i="6"/>
  <c r="D58" i="5"/>
  <c r="D58" i="6" s="1"/>
  <c r="C58" i="6"/>
  <c r="D142" i="5"/>
  <c r="D142" i="6" s="1"/>
  <c r="C142" i="6"/>
  <c r="D52" i="5"/>
  <c r="D52" i="6" s="1"/>
  <c r="C52" i="6"/>
  <c r="D123" i="5"/>
  <c r="D123" i="6" s="1"/>
  <c r="C123" i="6"/>
  <c r="D94" i="5"/>
  <c r="D94" i="6" s="1"/>
  <c r="C94" i="6"/>
  <c r="C72" i="6"/>
  <c r="D72" i="5"/>
  <c r="D72" i="6" s="1"/>
  <c r="D57" i="5"/>
  <c r="D57" i="6" s="1"/>
  <c r="C57" i="6"/>
  <c r="D4" i="5"/>
  <c r="D4" i="6" s="1"/>
  <c r="C4" i="6"/>
  <c r="D12" i="5"/>
  <c r="D12" i="6" s="1"/>
  <c r="C12" i="6"/>
  <c r="D61" i="5"/>
  <c r="D61" i="6" s="1"/>
  <c r="C61" i="6"/>
  <c r="D13" i="5"/>
  <c r="D13" i="6" s="1"/>
  <c r="C13" i="6"/>
  <c r="C86" i="6"/>
  <c r="D86" i="5"/>
  <c r="D86" i="6" s="1"/>
  <c r="T98" i="7" l="1" a="1"/>
  <c r="S98" i="7"/>
  <c r="R98" i="7" a="1"/>
  <c r="N98" i="7"/>
  <c r="L99" i="7"/>
  <c r="BH25" i="2"/>
  <c r="S99" i="7" l="1"/>
  <c r="T99" i="7" a="1"/>
  <c r="N99" i="7"/>
  <c r="R99" i="7" a="1"/>
  <c r="L100" i="7"/>
  <c r="L4" i="1"/>
  <c r="L5" i="1"/>
  <c r="L6" i="1"/>
  <c r="L7" i="1"/>
  <c r="L8" i="1"/>
  <c r="L3" i="1"/>
  <c r="K4" i="1"/>
  <c r="K5" i="1"/>
  <c r="K6" i="1"/>
  <c r="K7" i="1"/>
  <c r="K8" i="1"/>
  <c r="K3" i="1"/>
  <c r="E24" i="1"/>
  <c r="E25" i="1"/>
  <c r="E26" i="1"/>
  <c r="E27" i="1"/>
  <c r="E34" i="1"/>
  <c r="E35" i="1"/>
  <c r="E36" i="1"/>
  <c r="E45" i="1"/>
  <c r="E46" i="1"/>
  <c r="E47" i="1"/>
  <c r="E48" i="1"/>
  <c r="E54" i="1"/>
  <c r="E58" i="1"/>
  <c r="E59" i="1"/>
  <c r="E60" i="1"/>
  <c r="E69" i="1"/>
  <c r="E70" i="1"/>
  <c r="E71" i="1"/>
  <c r="E72" i="1"/>
  <c r="E78" i="1"/>
  <c r="E82" i="1"/>
  <c r="E83" i="1"/>
  <c r="E84" i="1"/>
  <c r="E93" i="1"/>
  <c r="E94" i="1"/>
  <c r="E95" i="1"/>
  <c r="E96" i="1"/>
  <c r="E102" i="1"/>
  <c r="E106" i="1"/>
  <c r="E107" i="1"/>
  <c r="E108" i="1"/>
  <c r="E117" i="1"/>
  <c r="E118" i="1"/>
  <c r="E119" i="1"/>
  <c r="E140" i="1"/>
  <c r="E141" i="1"/>
  <c r="E142" i="1"/>
  <c r="E151" i="1"/>
  <c r="E3" i="1"/>
  <c r="D4" i="1"/>
  <c r="E3" i="5" s="1"/>
  <c r="D12" i="1"/>
  <c r="E11" i="5" s="1"/>
  <c r="J11" i="5" s="1" a="1"/>
  <c r="D13" i="1"/>
  <c r="E12" i="5" s="1"/>
  <c r="D16" i="1"/>
  <c r="E15" i="5" s="1"/>
  <c r="D17" i="1"/>
  <c r="E16" i="5" s="1"/>
  <c r="D23" i="1"/>
  <c r="E22" i="5" s="1"/>
  <c r="D24" i="1"/>
  <c r="E23" i="5" s="1"/>
  <c r="D25" i="1"/>
  <c r="E24" i="5" s="1"/>
  <c r="D26" i="1"/>
  <c r="E25" i="5" s="1"/>
  <c r="D34" i="1"/>
  <c r="E33" i="5" s="1"/>
  <c r="D35" i="1"/>
  <c r="E34" i="5" s="1"/>
  <c r="D36" i="1"/>
  <c r="E35" i="5" s="1"/>
  <c r="D37" i="1"/>
  <c r="E36" i="5" s="1"/>
  <c r="D38" i="1"/>
  <c r="E37" i="5" s="1"/>
  <c r="J37" i="5" s="1" a="1"/>
  <c r="D57" i="1"/>
  <c r="E56" i="5" s="1"/>
  <c r="D58" i="1"/>
  <c r="E57" i="5" s="1"/>
  <c r="D59" i="1"/>
  <c r="E58" i="5" s="1"/>
  <c r="D60" i="1"/>
  <c r="E59" i="5" s="1"/>
  <c r="D61" i="1"/>
  <c r="E60" i="5" s="1"/>
  <c r="D62" i="1"/>
  <c r="E61" i="5" s="1"/>
  <c r="D70" i="1"/>
  <c r="E69" i="5" s="1"/>
  <c r="D71" i="1"/>
  <c r="E70" i="5" s="1"/>
  <c r="D74" i="1"/>
  <c r="E73" i="5" s="1"/>
  <c r="D81" i="1"/>
  <c r="E80" i="5" s="1"/>
  <c r="D82" i="1"/>
  <c r="E81" i="5" s="1"/>
  <c r="D83" i="1"/>
  <c r="E82" i="5" s="1"/>
  <c r="D84" i="1"/>
  <c r="E83" i="5" s="1"/>
  <c r="D94" i="1"/>
  <c r="E93" i="5" s="1"/>
  <c r="D95" i="1"/>
  <c r="E94" i="5" s="1"/>
  <c r="D96" i="1"/>
  <c r="E95" i="5" s="1"/>
  <c r="D97" i="1"/>
  <c r="E96" i="5" s="1"/>
  <c r="D98" i="1"/>
  <c r="E97" i="5" s="1"/>
  <c r="D105" i="1"/>
  <c r="E104" i="5" s="1"/>
  <c r="D106" i="1"/>
  <c r="E105" i="5" s="1"/>
  <c r="D110" i="1"/>
  <c r="E109" i="5" s="1"/>
  <c r="D117" i="1"/>
  <c r="E116" i="5" s="1"/>
  <c r="D118" i="1"/>
  <c r="E117" i="5" s="1"/>
  <c r="D119" i="1"/>
  <c r="E118" i="5" s="1"/>
  <c r="D120" i="1"/>
  <c r="E119" i="5" s="1"/>
  <c r="D121" i="1"/>
  <c r="E120" i="5" s="1"/>
  <c r="D128" i="1"/>
  <c r="E127" i="5" s="1"/>
  <c r="D129" i="1"/>
  <c r="E128" i="5" s="1"/>
  <c r="D130" i="1"/>
  <c r="E129" i="5" s="1"/>
  <c r="D132" i="1"/>
  <c r="E131" i="5" s="1"/>
  <c r="D139" i="1"/>
  <c r="E138" i="5" s="1"/>
  <c r="D140" i="1"/>
  <c r="E139" i="5" s="1"/>
  <c r="D141" i="1"/>
  <c r="E140" i="5" s="1"/>
  <c r="D142" i="1"/>
  <c r="E141" i="5" s="1"/>
  <c r="D3" i="1"/>
  <c r="E2" i="5" s="1"/>
  <c r="E4" i="1"/>
  <c r="E5" i="1"/>
  <c r="D6" i="1"/>
  <c r="E5" i="5" s="1"/>
  <c r="D7" i="1"/>
  <c r="E6" i="5" s="1"/>
  <c r="D8" i="1"/>
  <c r="E7" i="5" s="1"/>
  <c r="E9" i="1"/>
  <c r="D10" i="1"/>
  <c r="E9" i="5" s="1"/>
  <c r="E11" i="1"/>
  <c r="E12" i="1"/>
  <c r="E13" i="1"/>
  <c r="E14" i="1"/>
  <c r="E15" i="1"/>
  <c r="E16" i="1"/>
  <c r="E17" i="1"/>
  <c r="D18" i="1"/>
  <c r="E17" i="5" s="1"/>
  <c r="D19" i="1"/>
  <c r="E18" i="5" s="1"/>
  <c r="D20" i="1"/>
  <c r="E19" i="5" s="1"/>
  <c r="E21" i="1"/>
  <c r="D22" i="1"/>
  <c r="E21" i="5" s="1"/>
  <c r="E23" i="1"/>
  <c r="D27" i="1"/>
  <c r="E26" i="5" s="1"/>
  <c r="E28" i="1"/>
  <c r="D29" i="1"/>
  <c r="E28" i="5" s="1"/>
  <c r="D30" i="1"/>
  <c r="E29" i="5" s="1"/>
  <c r="D31" i="1"/>
  <c r="E30" i="5" s="1"/>
  <c r="E32" i="1"/>
  <c r="E33" i="1"/>
  <c r="E37" i="1"/>
  <c r="E38" i="1"/>
  <c r="D39" i="1"/>
  <c r="E38" i="5" s="1"/>
  <c r="D40" i="1"/>
  <c r="E39" i="5" s="1"/>
  <c r="D41" i="1"/>
  <c r="E40" i="5" s="1"/>
  <c r="D42" i="1"/>
  <c r="E41" i="5" s="1"/>
  <c r="E43" i="1"/>
  <c r="E44" i="1"/>
  <c r="D45" i="1"/>
  <c r="E44" i="5" s="1"/>
  <c r="D46" i="1"/>
  <c r="E45" i="5" s="1"/>
  <c r="D47" i="1"/>
  <c r="E46" i="5" s="1"/>
  <c r="D48" i="1"/>
  <c r="E47" i="5" s="1"/>
  <c r="E49" i="1"/>
  <c r="E50" i="1"/>
  <c r="D51" i="1"/>
  <c r="E50" i="5" s="1"/>
  <c r="D52" i="1"/>
  <c r="E51" i="5" s="1"/>
  <c r="D53" i="1"/>
  <c r="E52" i="5" s="1"/>
  <c r="D54" i="1"/>
  <c r="E53" i="5" s="1"/>
  <c r="E55" i="1"/>
  <c r="E56" i="1"/>
  <c r="E57" i="1"/>
  <c r="E61" i="1"/>
  <c r="E62" i="1"/>
  <c r="D63" i="1"/>
  <c r="E62" i="5" s="1"/>
  <c r="D64" i="1"/>
  <c r="E63" i="5" s="1"/>
  <c r="D65" i="1"/>
  <c r="E64" i="5" s="1"/>
  <c r="D66" i="1"/>
  <c r="E65" i="5" s="1"/>
  <c r="E67" i="1"/>
  <c r="D68" i="1"/>
  <c r="E67" i="5" s="1"/>
  <c r="D69" i="1"/>
  <c r="E68" i="5" s="1"/>
  <c r="D72" i="1"/>
  <c r="E71" i="5" s="1"/>
  <c r="E73" i="1"/>
  <c r="E74" i="1"/>
  <c r="D75" i="1"/>
  <c r="E74" i="5" s="1"/>
  <c r="D76" i="1"/>
  <c r="E75" i="5" s="1"/>
  <c r="D77" i="1"/>
  <c r="E76" i="5" s="1"/>
  <c r="D78" i="1"/>
  <c r="E77" i="5" s="1"/>
  <c r="E79" i="1"/>
  <c r="E80" i="1"/>
  <c r="E81" i="1"/>
  <c r="E85" i="1"/>
  <c r="E86" i="1"/>
  <c r="D87" i="1"/>
  <c r="E86" i="5" s="1"/>
  <c r="D88" i="1"/>
  <c r="E87" i="5" s="1"/>
  <c r="D89" i="1"/>
  <c r="E88" i="5" s="1"/>
  <c r="D90" i="1"/>
  <c r="E89" i="5" s="1"/>
  <c r="E91" i="1"/>
  <c r="D92" i="1"/>
  <c r="E91" i="5" s="1"/>
  <c r="D93" i="1"/>
  <c r="E92" i="5" s="1"/>
  <c r="E97" i="1"/>
  <c r="E98" i="1"/>
  <c r="D99" i="1"/>
  <c r="E98" i="5" s="1"/>
  <c r="D100" i="1"/>
  <c r="E99" i="5" s="1"/>
  <c r="D101" i="1"/>
  <c r="E100" i="5" s="1"/>
  <c r="D102" i="1"/>
  <c r="E101" i="5" s="1"/>
  <c r="E103" i="1"/>
  <c r="E104" i="1"/>
  <c r="E105" i="1"/>
  <c r="D107" i="1"/>
  <c r="E106" i="5" s="1"/>
  <c r="D108" i="1"/>
  <c r="E107" i="5" s="1"/>
  <c r="E109" i="1"/>
  <c r="E110" i="1"/>
  <c r="D111" i="1"/>
  <c r="E110" i="5" s="1"/>
  <c r="D112" i="1"/>
  <c r="E111" i="5" s="1"/>
  <c r="D113" i="1"/>
  <c r="E112" i="5" s="1"/>
  <c r="E114" i="1"/>
  <c r="D115" i="1"/>
  <c r="E114" i="5" s="1"/>
  <c r="E116" i="1"/>
  <c r="E120" i="1"/>
  <c r="E121" i="1"/>
  <c r="D122" i="1"/>
  <c r="E121" i="5" s="1"/>
  <c r="D123" i="1"/>
  <c r="E122" i="5" s="1"/>
  <c r="D124" i="1"/>
  <c r="E123" i="5" s="1"/>
  <c r="D125" i="1"/>
  <c r="E124" i="5" s="1"/>
  <c r="D126" i="1"/>
  <c r="E125" i="5" s="1"/>
  <c r="E127" i="1"/>
  <c r="E128" i="1"/>
  <c r="E129" i="1"/>
  <c r="E130" i="1"/>
  <c r="E131" i="1"/>
  <c r="E132" i="1"/>
  <c r="D133" i="1"/>
  <c r="E132" i="5" s="1"/>
  <c r="D134" i="1"/>
  <c r="E133" i="5" s="1"/>
  <c r="D135" i="1"/>
  <c r="E134" i="5" s="1"/>
  <c r="E136" i="1"/>
  <c r="E137" i="1"/>
  <c r="E138" i="1"/>
  <c r="E139" i="1"/>
  <c r="E143" i="1"/>
  <c r="E144" i="1"/>
  <c r="D145" i="1"/>
  <c r="E144" i="5" s="1"/>
  <c r="D146" i="1"/>
  <c r="E145" i="5" s="1"/>
  <c r="D147" i="1"/>
  <c r="E146" i="5" s="1"/>
  <c r="D148" i="1"/>
  <c r="E147" i="5" s="1"/>
  <c r="E149" i="1"/>
  <c r="D150" i="1"/>
  <c r="E149" i="5" s="1"/>
  <c r="D151" i="1"/>
  <c r="E150" i="5" s="1"/>
  <c r="S100" i="7" l="1"/>
  <c r="T100" i="7" a="1"/>
  <c r="N100" i="7"/>
  <c r="R100" i="7" a="1"/>
  <c r="L101" i="7"/>
  <c r="L133" i="5" a="1"/>
  <c r="AB133" i="5" a="1"/>
  <c r="AJ133" i="5" a="1"/>
  <c r="AR133" i="5" a="1"/>
  <c r="T133" i="5" a="1"/>
  <c r="BA133" i="5" a="1"/>
  <c r="BI133" i="5" a="1"/>
  <c r="M133" i="5" a="1"/>
  <c r="U133" i="5" a="1"/>
  <c r="AC133" i="5" a="1"/>
  <c r="AK133" i="5" a="1"/>
  <c r="AS133" i="5" a="1"/>
  <c r="BB133" i="5" a="1"/>
  <c r="BJ133" i="5" a="1"/>
  <c r="H133" i="5" a="1"/>
  <c r="P133" i="5" a="1"/>
  <c r="X133" i="5" a="1"/>
  <c r="AN133" i="5" a="1"/>
  <c r="AV133" i="5" a="1"/>
  <c r="BD133" i="5" a="1"/>
  <c r="AF133" i="5" a="1"/>
  <c r="BE133" i="5" a="1"/>
  <c r="BM133" i="5" a="1"/>
  <c r="O133" i="5" a="1"/>
  <c r="AD133" i="5" a="1"/>
  <c r="BF133" i="5" a="1"/>
  <c r="Q133" i="5" a="1"/>
  <c r="AQ133" i="5" a="1"/>
  <c r="I133" i="5" a="1"/>
  <c r="AI133" i="5" a="1"/>
  <c r="AX133" i="5" a="1"/>
  <c r="BL133" i="5" a="1"/>
  <c r="J133" i="5" a="1"/>
  <c r="W133" i="5" a="1"/>
  <c r="AL133" i="5" a="1"/>
  <c r="AY133" i="5" a="1"/>
  <c r="BN133" i="5" a="1"/>
  <c r="R133" i="5" a="1"/>
  <c r="BG133" i="5" a="1"/>
  <c r="AM133" i="5" a="1"/>
  <c r="BH133" i="5" a="1"/>
  <c r="S133" i="5" a="1"/>
  <c r="AO133" i="5" a="1"/>
  <c r="G133" i="5" a="1"/>
  <c r="AU133" i="5" a="1"/>
  <c r="AE133" i="5" a="1"/>
  <c r="BK133" i="5" a="1"/>
  <c r="AG133" i="5" a="1"/>
  <c r="N133" i="5" a="1"/>
  <c r="AW133" i="5" a="1"/>
  <c r="E133" i="6"/>
  <c r="V133" i="5" a="1"/>
  <c r="AZ133" i="5" a="1"/>
  <c r="Y133" i="5" a="1"/>
  <c r="K133" i="5" a="1"/>
  <c r="AA133" i="5" a="1"/>
  <c r="Z133" i="5" a="1"/>
  <c r="AH133" i="5" a="1"/>
  <c r="BC133" i="5" a="1"/>
  <c r="AP133" i="5" a="1"/>
  <c r="AT133" i="5" a="1"/>
  <c r="N37" i="5" a="1"/>
  <c r="U37" i="5" a="1"/>
  <c r="BC37" i="5" a="1"/>
  <c r="K37" i="5" a="1"/>
  <c r="X37" i="5" a="1"/>
  <c r="AE37" i="5" a="1"/>
  <c r="AL37" i="5" a="1"/>
  <c r="AZ37" i="5" a="1"/>
  <c r="Z37" i="5" a="1"/>
  <c r="AI37" i="5" a="1"/>
  <c r="AQ37" i="5" a="1"/>
  <c r="S37" i="5" a="1"/>
  <c r="AA37" i="5" a="1"/>
  <c r="AR37" i="5" a="1"/>
  <c r="BH37" i="5" a="1"/>
  <c r="L37" i="5" a="1"/>
  <c r="AB37" i="5" a="1"/>
  <c r="AJ37" i="5" a="1"/>
  <c r="AS37" i="5" a="1"/>
  <c r="BA37" i="5" a="1"/>
  <c r="T37" i="5" a="1"/>
  <c r="AK37" i="5" a="1"/>
  <c r="AT37" i="5" a="1"/>
  <c r="BI37" i="5" a="1"/>
  <c r="O37" i="5" a="1"/>
  <c r="AD37" i="5" a="1"/>
  <c r="BL37" i="5" a="1"/>
  <c r="G37" i="5" a="1"/>
  <c r="W37" i="5" a="1"/>
  <c r="AN37" i="5" a="1"/>
  <c r="AV37" i="5" a="1"/>
  <c r="BD37" i="5" a="1"/>
  <c r="BB37" i="5" a="1"/>
  <c r="V37" i="5" a="1"/>
  <c r="AM37" i="5" a="1"/>
  <c r="H37" i="5" a="1"/>
  <c r="BE37" i="5" a="1"/>
  <c r="I37" i="5" a="1"/>
  <c r="AO37" i="5" a="1"/>
  <c r="M37" i="5" a="1"/>
  <c r="AC37" i="5" a="1"/>
  <c r="BJ37" i="5" a="1"/>
  <c r="AU37" i="5" a="1"/>
  <c r="BK37" i="5" a="1"/>
  <c r="AP37" i="5" a="1"/>
  <c r="P37" i="5" a="1"/>
  <c r="AW37" i="5" a="1"/>
  <c r="Y37" i="5" a="1"/>
  <c r="BF37" i="5" a="1"/>
  <c r="BG37" i="5" a="1"/>
  <c r="Q37" i="5" a="1"/>
  <c r="R37" i="5" a="1"/>
  <c r="AF37" i="5" a="1"/>
  <c r="AG37" i="5" a="1"/>
  <c r="AX37" i="5" a="1"/>
  <c r="AY37" i="5" a="1"/>
  <c r="BM37" i="5" a="1"/>
  <c r="BN37" i="5" a="1"/>
  <c r="AH37" i="5" a="1"/>
  <c r="E37" i="6"/>
  <c r="N53" i="5" a="1"/>
  <c r="V53" i="5" a="1"/>
  <c r="AL53" i="5" a="1"/>
  <c r="BA53" i="5" a="1"/>
  <c r="BH53" i="5" a="1"/>
  <c r="O53" i="5" a="1"/>
  <c r="W53" i="5" a="1"/>
  <c r="AE53" i="5" a="1"/>
  <c r="AM53" i="5" a="1"/>
  <c r="AT53" i="5" a="1"/>
  <c r="I53" i="5" a="1"/>
  <c r="Q53" i="5" a="1"/>
  <c r="BC53" i="5" a="1"/>
  <c r="BJ53" i="5" a="1"/>
  <c r="P53" i="5" a="1"/>
  <c r="Z53" i="5" a="1"/>
  <c r="AJ53" i="5" a="1"/>
  <c r="BD53" i="5" a="1"/>
  <c r="BN53" i="5" a="1"/>
  <c r="AA53" i="5" a="1"/>
  <c r="AK53" i="5" a="1"/>
  <c r="AU53" i="5" a="1"/>
  <c r="BE53" i="5" a="1"/>
  <c r="AV53" i="5" a="1"/>
  <c r="G53" i="5" a="1"/>
  <c r="R53" i="5" a="1"/>
  <c r="AB53" i="5" a="1"/>
  <c r="BF53" i="5" a="1"/>
  <c r="J53" i="5" a="1"/>
  <c r="T53" i="5" a="1"/>
  <c r="AF53" i="5" a="1"/>
  <c r="AX53" i="5" a="1"/>
  <c r="BI53" i="5" a="1"/>
  <c r="U53" i="5" a="1"/>
  <c r="AG53" i="5" a="1"/>
  <c r="AP53" i="5" a="1"/>
  <c r="AY53" i="5" a="1"/>
  <c r="AN53" i="5" a="1"/>
  <c r="BG53" i="5" a="1"/>
  <c r="S53" i="5" a="1"/>
  <c r="AO53" i="5" a="1"/>
  <c r="BK53" i="5" a="1"/>
  <c r="AC53" i="5" a="1"/>
  <c r="BB53" i="5" a="1"/>
  <c r="AD53" i="5" a="1"/>
  <c r="AH53" i="5" a="1"/>
  <c r="H53" i="5" a="1"/>
  <c r="BL53" i="5" a="1"/>
  <c r="AQ53" i="5" a="1"/>
  <c r="L53" i="5" a="1"/>
  <c r="AR53" i="5" a="1"/>
  <c r="M53" i="5" a="1"/>
  <c r="AS53" i="5" a="1"/>
  <c r="X53" i="5" a="1"/>
  <c r="Y53" i="5" a="1"/>
  <c r="AI53" i="5" a="1"/>
  <c r="K53" i="5" a="1"/>
  <c r="BM53" i="5" a="1"/>
  <c r="AW53" i="5" a="1"/>
  <c r="AZ53" i="5" a="1"/>
  <c r="E53" i="6"/>
  <c r="AA139" i="5" a="1"/>
  <c r="AH139" i="5" a="1"/>
  <c r="AO139" i="5" a="1"/>
  <c r="BE139" i="5" a="1"/>
  <c r="M139" i="5" a="1"/>
  <c r="T139" i="5" a="1"/>
  <c r="AP139" i="5" a="1"/>
  <c r="AX139" i="5" a="1"/>
  <c r="BM139" i="5" a="1"/>
  <c r="G139" i="5" a="1"/>
  <c r="AB139" i="5" a="1"/>
  <c r="AI139" i="5" a="1"/>
  <c r="AY139" i="5" a="1"/>
  <c r="BF139" i="5" a="1"/>
  <c r="BN139" i="5" a="1"/>
  <c r="I139" i="5" a="1"/>
  <c r="P139" i="5" a="1"/>
  <c r="BA139" i="5" a="1"/>
  <c r="BI139" i="5" a="1"/>
  <c r="W139" i="5" a="1"/>
  <c r="AE139" i="5" a="1"/>
  <c r="AL139" i="5" a="1"/>
  <c r="AT139" i="5" a="1"/>
  <c r="BB139" i="5" a="1"/>
  <c r="BJ139" i="5" a="1"/>
  <c r="V139" i="5" a="1"/>
  <c r="AJ139" i="5" a="1"/>
  <c r="AV139" i="5" a="1"/>
  <c r="K139" i="5" a="1"/>
  <c r="X139" i="5" a="1"/>
  <c r="AW139" i="5" a="1"/>
  <c r="BK139" i="5" a="1"/>
  <c r="Q139" i="5" a="1"/>
  <c r="AC139" i="5" a="1"/>
  <c r="R139" i="5" a="1"/>
  <c r="AD139" i="5" a="1"/>
  <c r="AQ139" i="5" a="1"/>
  <c r="BD139" i="5" a="1"/>
  <c r="L139" i="5" a="1"/>
  <c r="AF139" i="5" a="1"/>
  <c r="N139" i="5" a="1"/>
  <c r="AZ139" i="5" a="1"/>
  <c r="O139" i="5" a="1"/>
  <c r="AG139" i="5" a="1"/>
  <c r="U139" i="5" a="1"/>
  <c r="BG139" i="5" a="1"/>
  <c r="Y139" i="5" a="1"/>
  <c r="BC139" i="5" a="1"/>
  <c r="Z139" i="5" a="1"/>
  <c r="AM139" i="5" a="1"/>
  <c r="J139" i="5" a="1"/>
  <c r="AN139" i="5" a="1"/>
  <c r="E139" i="6"/>
  <c r="AR139" i="5" a="1"/>
  <c r="AS139" i="5" a="1"/>
  <c r="BH139" i="5" a="1"/>
  <c r="H139" i="5" a="1"/>
  <c r="BL139" i="5" a="1"/>
  <c r="S139" i="5" a="1"/>
  <c r="AU139" i="5" a="1"/>
  <c r="AK139" i="5" a="1"/>
  <c r="O70" i="5" a="1"/>
  <c r="AM70" i="5" a="1"/>
  <c r="BA70" i="5" a="1"/>
  <c r="BI70" i="5" a="1"/>
  <c r="H70" i="5" a="1"/>
  <c r="W70" i="5" a="1"/>
  <c r="AE70" i="5" a="1"/>
  <c r="AN70" i="5" a="1"/>
  <c r="AU70" i="5" a="1"/>
  <c r="BB70" i="5" a="1"/>
  <c r="BJ70" i="5" a="1"/>
  <c r="K70" i="5" a="1"/>
  <c r="AA70" i="5" a="1"/>
  <c r="AI70" i="5" a="1"/>
  <c r="AQ70" i="5" a="1"/>
  <c r="AX70" i="5" a="1"/>
  <c r="R70" i="5" a="1"/>
  <c r="BG70" i="5" a="1"/>
  <c r="I70" i="5" a="1"/>
  <c r="S70" i="5" a="1"/>
  <c r="AC70" i="5" a="1"/>
  <c r="AO70" i="5" a="1"/>
  <c r="BH70" i="5" a="1"/>
  <c r="J70" i="5" a="1"/>
  <c r="T70" i="5" a="1"/>
  <c r="AD70" i="5" a="1"/>
  <c r="AP70" i="5" a="1"/>
  <c r="AY70" i="5" a="1"/>
  <c r="U70" i="5" a="1"/>
  <c r="AV70" i="5" a="1"/>
  <c r="AJ70" i="5" a="1"/>
  <c r="BK70" i="5" a="1"/>
  <c r="G70" i="5" a="1"/>
  <c r="V70" i="5" a="1"/>
  <c r="AW70" i="5" a="1"/>
  <c r="X70" i="5" a="1"/>
  <c r="AK70" i="5" a="1"/>
  <c r="BL70" i="5" a="1"/>
  <c r="M70" i="5" a="1"/>
  <c r="Z70" i="5" a="1"/>
  <c r="N70" i="5" a="1"/>
  <c r="AR70" i="5" a="1"/>
  <c r="BC70" i="5" a="1"/>
  <c r="AB70" i="5" a="1"/>
  <c r="BD70" i="5" a="1"/>
  <c r="AL70" i="5" a="1"/>
  <c r="L70" i="5" a="1"/>
  <c r="AS70" i="5" a="1"/>
  <c r="AG70" i="5" a="1"/>
  <c r="AH70" i="5" a="1"/>
  <c r="AT70" i="5" a="1"/>
  <c r="P70" i="5" a="1"/>
  <c r="BF70" i="5" a="1"/>
  <c r="Q70" i="5" a="1"/>
  <c r="BE70" i="5" a="1"/>
  <c r="Y70" i="5" a="1"/>
  <c r="AF70" i="5" a="1"/>
  <c r="AZ70" i="5" a="1"/>
  <c r="BM70" i="5" a="1"/>
  <c r="E70" i="6"/>
  <c r="BN70" i="5" a="1"/>
  <c r="Q112" i="5" a="1"/>
  <c r="Y112" i="5" a="1"/>
  <c r="AW112" i="5" a="1"/>
  <c r="BE112" i="5" a="1"/>
  <c r="BM112" i="5" a="1"/>
  <c r="J112" i="5" a="1"/>
  <c r="N112" i="5" a="1"/>
  <c r="U112" i="5" a="1"/>
  <c r="AC112" i="5" a="1"/>
  <c r="AJ112" i="5" a="1"/>
  <c r="AS112" i="5" a="1"/>
  <c r="BA112" i="5" a="1"/>
  <c r="BH112" i="5" a="1"/>
  <c r="AK112" i="5" a="1"/>
  <c r="BI112" i="5" a="1"/>
  <c r="P112" i="5" a="1"/>
  <c r="Z112" i="5" a="1"/>
  <c r="AI112" i="5" a="1"/>
  <c r="AU112" i="5" a="1"/>
  <c r="BF112" i="5" a="1"/>
  <c r="AA112" i="5" a="1"/>
  <c r="AL112" i="5" a="1"/>
  <c r="AV112" i="5" a="1"/>
  <c r="AB112" i="5" a="1"/>
  <c r="AX112" i="5" a="1"/>
  <c r="BG112" i="5" a="1"/>
  <c r="I112" i="5" a="1"/>
  <c r="AZ112" i="5" a="1"/>
  <c r="BK112" i="5" a="1"/>
  <c r="K112" i="5" a="1"/>
  <c r="V112" i="5" a="1"/>
  <c r="AF112" i="5" a="1"/>
  <c r="AP112" i="5" a="1"/>
  <c r="BB112" i="5" a="1"/>
  <c r="BL112" i="5" a="1"/>
  <c r="T112" i="5" a="1"/>
  <c r="AM112" i="5" a="1"/>
  <c r="BD112" i="5" a="1"/>
  <c r="AN112" i="5" a="1"/>
  <c r="L112" i="5" a="1"/>
  <c r="AD112" i="5" a="1"/>
  <c r="M112" i="5" a="1"/>
  <c r="AE112" i="5" a="1"/>
  <c r="O112" i="5" a="1"/>
  <c r="AO112" i="5" a="1"/>
  <c r="AQ112" i="5" a="1"/>
  <c r="R112" i="5" a="1"/>
  <c r="AR112" i="5" a="1"/>
  <c r="BC112" i="5" a="1"/>
  <c r="AT112" i="5" a="1"/>
  <c r="G112" i="5" a="1"/>
  <c r="AY112" i="5" a="1"/>
  <c r="X112" i="5" a="1"/>
  <c r="BN112" i="5" a="1"/>
  <c r="AG112" i="5" a="1"/>
  <c r="BJ112" i="5" a="1"/>
  <c r="E112" i="6"/>
  <c r="H112" i="5" a="1"/>
  <c r="S112" i="5" a="1"/>
  <c r="W112" i="5" a="1"/>
  <c r="AH112" i="5" a="1"/>
  <c r="G52" i="5" a="1"/>
  <c r="T52" i="5" a="1"/>
  <c r="AG52" i="5" a="1"/>
  <c r="AT52" i="5" a="1"/>
  <c r="BG52" i="5" a="1"/>
  <c r="BN52" i="5" a="1"/>
  <c r="N52" i="5" a="1"/>
  <c r="AA52" i="5" a="1"/>
  <c r="AN52" i="5" a="1"/>
  <c r="BA52" i="5" a="1"/>
  <c r="BH52" i="5" a="1"/>
  <c r="I52" i="5" a="1"/>
  <c r="V52" i="5" a="1"/>
  <c r="AI52" i="5" a="1"/>
  <c r="AP52" i="5" a="1"/>
  <c r="BC52" i="5" a="1"/>
  <c r="L52" i="5" a="1"/>
  <c r="U52" i="5" a="1"/>
  <c r="AD52" i="5" a="1"/>
  <c r="AL52" i="5" a="1"/>
  <c r="AU52" i="5" a="1"/>
  <c r="BD52" i="5" a="1"/>
  <c r="BL52" i="5" a="1"/>
  <c r="AV52" i="5" a="1"/>
  <c r="M52" i="5" a="1"/>
  <c r="AE52" i="5" a="1"/>
  <c r="AM52" i="5" a="1"/>
  <c r="AW52" i="5" a="1"/>
  <c r="BE52" i="5" a="1"/>
  <c r="BM52" i="5" a="1"/>
  <c r="W52" i="5" a="1"/>
  <c r="H52" i="5" a="1"/>
  <c r="Y52" i="5" a="1"/>
  <c r="AH52" i="5" a="1"/>
  <c r="AQ52" i="5" a="1"/>
  <c r="AY52" i="5" a="1"/>
  <c r="Q52" i="5" a="1"/>
  <c r="BI52" i="5" a="1"/>
  <c r="X52" i="5" a="1"/>
  <c r="AO52" i="5" a="1"/>
  <c r="BF52" i="5" a="1"/>
  <c r="Z52" i="5" a="1"/>
  <c r="AR52" i="5" a="1"/>
  <c r="BJ52" i="5" a="1"/>
  <c r="O52" i="5" a="1"/>
  <c r="P52" i="5" a="1"/>
  <c r="AK52" i="5" a="1"/>
  <c r="BK52" i="5" a="1"/>
  <c r="R52" i="5" a="1"/>
  <c r="AX52" i="5" a="1"/>
  <c r="AB52" i="5" a="1"/>
  <c r="AC52" i="5" a="1"/>
  <c r="AZ52" i="5" a="1"/>
  <c r="S52" i="5" a="1"/>
  <c r="AF52" i="5" a="1"/>
  <c r="AJ52" i="5" a="1"/>
  <c r="AS52" i="5" a="1"/>
  <c r="J52" i="5" a="1"/>
  <c r="K52" i="5" a="1"/>
  <c r="E52" i="6"/>
  <c r="BB52" i="5" a="1"/>
  <c r="V138" i="5" a="1"/>
  <c r="AD138" i="5" a="1"/>
  <c r="AZ138" i="5" a="1"/>
  <c r="BG138" i="5" a="1"/>
  <c r="BN138" i="5" a="1"/>
  <c r="O138" i="5" a="1"/>
  <c r="AK138" i="5" a="1"/>
  <c r="AR138" i="5" a="1"/>
  <c r="BA138" i="5" a="1"/>
  <c r="BH138" i="5" a="1"/>
  <c r="G138" i="5" a="1"/>
  <c r="P138" i="5" a="1"/>
  <c r="W138" i="5" a="1"/>
  <c r="AE138" i="5" a="1"/>
  <c r="AL138" i="5" a="1"/>
  <c r="J138" i="5" a="1"/>
  <c r="AG138" i="5" a="1"/>
  <c r="AV138" i="5" a="1"/>
  <c r="K138" i="5" a="1"/>
  <c r="S138" i="5" a="1"/>
  <c r="Z138" i="5" a="1"/>
  <c r="AH138" i="5" a="1"/>
  <c r="AO138" i="5" a="1"/>
  <c r="BD138" i="5" a="1"/>
  <c r="BK138" i="5" a="1"/>
  <c r="AT138" i="5" a="1"/>
  <c r="H138" i="5" a="1"/>
  <c r="U138" i="5" a="1"/>
  <c r="AI138" i="5" a="1"/>
  <c r="AU138" i="5" a="1"/>
  <c r="BI138" i="5" a="1"/>
  <c r="N138" i="5" a="1"/>
  <c r="AB138" i="5" a="1"/>
  <c r="AN138" i="5" a="1"/>
  <c r="BB138" i="5" a="1"/>
  <c r="BM138" i="5" a="1"/>
  <c r="Q138" i="5" a="1"/>
  <c r="AC138" i="5" a="1"/>
  <c r="BC138" i="5" a="1"/>
  <c r="R138" i="5" a="1"/>
  <c r="AJ138" i="5" a="1"/>
  <c r="BE138" i="5" a="1"/>
  <c r="Y138" i="5" a="1"/>
  <c r="AQ138" i="5" a="1"/>
  <c r="BL138" i="5" a="1"/>
  <c r="BF138" i="5" a="1"/>
  <c r="M138" i="5" a="1"/>
  <c r="AS138" i="5" a="1"/>
  <c r="T138" i="5" a="1"/>
  <c r="AW138" i="5" a="1"/>
  <c r="BJ138" i="5" a="1"/>
  <c r="I138" i="5" a="1"/>
  <c r="L138" i="5" a="1"/>
  <c r="AA138" i="5" a="1"/>
  <c r="X138" i="5" a="1"/>
  <c r="AF138" i="5" a="1"/>
  <c r="AP138" i="5" a="1"/>
  <c r="AX138" i="5" a="1"/>
  <c r="AM138" i="5" a="1"/>
  <c r="AY138" i="5" a="1"/>
  <c r="E138" i="6"/>
  <c r="K104" i="5" a="1"/>
  <c r="S104" i="5" a="1"/>
  <c r="AG104" i="5" a="1"/>
  <c r="AN104" i="5" a="1"/>
  <c r="AU104" i="5" a="1"/>
  <c r="BC104" i="5" a="1"/>
  <c r="U104" i="5" a="1"/>
  <c r="AR104" i="5" a="1"/>
  <c r="AY104" i="5" a="1"/>
  <c r="M104" i="5" a="1"/>
  <c r="AC104" i="5" a="1"/>
  <c r="AJ104" i="5" a="1"/>
  <c r="AZ104" i="5" a="1"/>
  <c r="BH104" i="5" a="1"/>
  <c r="J104" i="5" a="1"/>
  <c r="AD104" i="5" a="1"/>
  <c r="AV104" i="5" a="1"/>
  <c r="BF104" i="5" a="1"/>
  <c r="V104" i="5" a="1"/>
  <c r="AM104" i="5" a="1"/>
  <c r="L104" i="5" a="1"/>
  <c r="AE104" i="5" a="1"/>
  <c r="AW104" i="5" a="1"/>
  <c r="BG104" i="5" a="1"/>
  <c r="P104" i="5" a="1"/>
  <c r="Y104" i="5" a="1"/>
  <c r="AH104" i="5" a="1"/>
  <c r="AQ104" i="5" a="1"/>
  <c r="BA104" i="5" a="1"/>
  <c r="G104" i="5" a="1"/>
  <c r="Z104" i="5" a="1"/>
  <c r="AS104" i="5" a="1"/>
  <c r="BB104" i="5" a="1"/>
  <c r="BL104" i="5" a="1"/>
  <c r="AX104" i="5" a="1"/>
  <c r="R104" i="5" a="1"/>
  <c r="AI104" i="5" a="1"/>
  <c r="BN104" i="5" a="1"/>
  <c r="T104" i="5" a="1"/>
  <c r="I104" i="5" a="1"/>
  <c r="AA104" i="5" a="1"/>
  <c r="AP104" i="5" a="1"/>
  <c r="BI104" i="5" a="1"/>
  <c r="AB104" i="5" a="1"/>
  <c r="BE104" i="5" a="1"/>
  <c r="AO104" i="5" a="1"/>
  <c r="O104" i="5" a="1"/>
  <c r="Q104" i="5" a="1"/>
  <c r="BJ104" i="5" a="1"/>
  <c r="W104" i="5" a="1"/>
  <c r="BK104" i="5" a="1"/>
  <c r="AK104" i="5" a="1"/>
  <c r="BM104" i="5" a="1"/>
  <c r="H104" i="5" a="1"/>
  <c r="E104" i="6"/>
  <c r="AL104" i="5" a="1"/>
  <c r="AT104" i="5" a="1"/>
  <c r="BD104" i="5" a="1"/>
  <c r="AF104" i="5" a="1"/>
  <c r="X104" i="5" a="1"/>
  <c r="N104" i="5" a="1"/>
  <c r="Q69" i="5" a="1"/>
  <c r="Z69" i="5" a="1"/>
  <c r="AI69" i="5" a="1"/>
  <c r="AQ69" i="5" a="1"/>
  <c r="AY69" i="5" a="1"/>
  <c r="I69" i="5" a="1"/>
  <c r="AA69" i="5" a="1"/>
  <c r="AR69" i="5" a="1"/>
  <c r="BH69" i="5" a="1"/>
  <c r="L69" i="5" a="1"/>
  <c r="AE69" i="5" a="1"/>
  <c r="AU69" i="5" a="1"/>
  <c r="BC69" i="5" a="1"/>
  <c r="BL69" i="5" a="1"/>
  <c r="K69" i="5" a="1"/>
  <c r="AJ69" i="5" a="1"/>
  <c r="AT69" i="5" a="1"/>
  <c r="M69" i="5" a="1"/>
  <c r="X69" i="5" a="1"/>
  <c r="AK69" i="5" a="1"/>
  <c r="BF69" i="5" a="1"/>
  <c r="N69" i="5" a="1"/>
  <c r="Y69" i="5" a="1"/>
  <c r="AV69" i="5" a="1"/>
  <c r="BG69" i="5" a="1"/>
  <c r="G69" i="5" a="1"/>
  <c r="U69" i="5" a="1"/>
  <c r="AL69" i="5" a="1"/>
  <c r="AZ69" i="5" a="1"/>
  <c r="V69" i="5" a="1"/>
  <c r="AM69" i="5" a="1"/>
  <c r="BN69" i="5" a="1"/>
  <c r="H69" i="5" a="1"/>
  <c r="W69" i="5" a="1"/>
  <c r="AN69" i="5" a="1"/>
  <c r="BA69" i="5" a="1"/>
  <c r="AB69" i="5" a="1"/>
  <c r="AO69" i="5" a="1"/>
  <c r="BB69" i="5" a="1"/>
  <c r="O69" i="5" a="1"/>
  <c r="AD69" i="5" a="1"/>
  <c r="BI69" i="5" a="1"/>
  <c r="P69" i="5" a="1"/>
  <c r="AS69" i="5" a="1"/>
  <c r="AF69" i="5" a="1"/>
  <c r="BJ69" i="5" a="1"/>
  <c r="AC69" i="5" a="1"/>
  <c r="AG69" i="5" a="1"/>
  <c r="BM69" i="5" a="1"/>
  <c r="AH69" i="5" a="1"/>
  <c r="AW69" i="5" a="1"/>
  <c r="AX69" i="5" a="1"/>
  <c r="R69" i="5" a="1"/>
  <c r="S69" i="5" a="1"/>
  <c r="BK69" i="5" a="1"/>
  <c r="T69" i="5" a="1"/>
  <c r="J69" i="5" a="1"/>
  <c r="BE69" i="5" a="1"/>
  <c r="E69" i="6"/>
  <c r="AP69" i="5" a="1"/>
  <c r="BD69" i="5" a="1"/>
  <c r="W25" i="5" a="1"/>
  <c r="AK25" i="5" a="1"/>
  <c r="AX25" i="5" a="1"/>
  <c r="BK25" i="5" a="1"/>
  <c r="H25" i="5" a="1"/>
  <c r="O25" i="5" a="1"/>
  <c r="AE25" i="5" a="1"/>
  <c r="AL25" i="5" a="1"/>
  <c r="AS25" i="5" a="1"/>
  <c r="AZ25" i="5" a="1"/>
  <c r="BG25" i="5" a="1"/>
  <c r="P25" i="5" a="1"/>
  <c r="X25" i="5" a="1"/>
  <c r="BH25" i="5" a="1"/>
  <c r="L25" i="5" a="1"/>
  <c r="AC25" i="5" a="1"/>
  <c r="AM25" i="5" a="1"/>
  <c r="AU25" i="5" a="1"/>
  <c r="BL25" i="5" a="1"/>
  <c r="U25" i="5" a="1"/>
  <c r="AD25" i="5" a="1"/>
  <c r="AV25" i="5" a="1"/>
  <c r="BD25" i="5" a="1"/>
  <c r="G25" i="5" a="1"/>
  <c r="Q25" i="5" a="1"/>
  <c r="AH25" i="5" a="1"/>
  <c r="AY25" i="5" a="1"/>
  <c r="Z25" i="5" a="1"/>
  <c r="AW25" i="5" a="1"/>
  <c r="BI25" i="5" a="1"/>
  <c r="N25" i="5" a="1"/>
  <c r="AQ25" i="5" a="1"/>
  <c r="BN25" i="5" a="1"/>
  <c r="I25" i="5" a="1"/>
  <c r="T25" i="5" a="1"/>
  <c r="AG25" i="5" a="1"/>
  <c r="AR25" i="5" a="1"/>
  <c r="BC25" i="5" a="1"/>
  <c r="J25" i="5" a="1"/>
  <c r="BE25" i="5" a="1"/>
  <c r="V25" i="5" a="1"/>
  <c r="AT25" i="5" a="1"/>
  <c r="AA25" i="5" a="1"/>
  <c r="AB25" i="5" a="1"/>
  <c r="BA25" i="5" a="1"/>
  <c r="AF25" i="5" a="1"/>
  <c r="BB25" i="5" a="1"/>
  <c r="AN25" i="5" a="1"/>
  <c r="BJ25" i="5" a="1"/>
  <c r="R25" i="5" a="1"/>
  <c r="AI25" i="5" a="1"/>
  <c r="AJ25" i="5" a="1"/>
  <c r="AO25" i="5" a="1"/>
  <c r="AP25" i="5" a="1"/>
  <c r="K25" i="5" a="1"/>
  <c r="BF25" i="5" a="1"/>
  <c r="M25" i="5" a="1"/>
  <c r="BM25" i="5" a="1"/>
  <c r="S25" i="5" a="1"/>
  <c r="Y25" i="5" a="1"/>
  <c r="E25" i="6"/>
  <c r="P83" i="5" a="1"/>
  <c r="AE83" i="5" a="1"/>
  <c r="BB83" i="5" a="1"/>
  <c r="BJ83" i="5" a="1"/>
  <c r="O83" i="5" a="1"/>
  <c r="Y83" i="5" a="1"/>
  <c r="AF83" i="5" a="1"/>
  <c r="AO83" i="5" a="1"/>
  <c r="BE83" i="5" a="1"/>
  <c r="BN83" i="5" a="1"/>
  <c r="G83" i="5" a="1"/>
  <c r="AG83" i="5" a="1"/>
  <c r="AP83" i="5" a="1"/>
  <c r="AX83" i="5" a="1"/>
  <c r="BF83" i="5" a="1"/>
  <c r="H83" i="5" a="1"/>
  <c r="Q83" i="5" a="1"/>
  <c r="Z83" i="5" a="1"/>
  <c r="AH83" i="5" a="1"/>
  <c r="BG83" i="5" a="1"/>
  <c r="I83" i="5" a="1"/>
  <c r="R83" i="5" a="1"/>
  <c r="AI83" i="5" a="1"/>
  <c r="AQ83" i="5" a="1"/>
  <c r="AY83" i="5" a="1"/>
  <c r="BH83" i="5" a="1"/>
  <c r="K83" i="5" a="1"/>
  <c r="AB83" i="5" a="1"/>
  <c r="AK83" i="5" a="1"/>
  <c r="L83" i="5" a="1"/>
  <c r="U83" i="5" a="1"/>
  <c r="AL83" i="5" a="1"/>
  <c r="AS83" i="5" a="1"/>
  <c r="BA83" i="5" a="1"/>
  <c r="S83" i="5" a="1"/>
  <c r="AJ83" i="5" a="1"/>
  <c r="T83" i="5" a="1"/>
  <c r="AZ83" i="5" a="1"/>
  <c r="V83" i="5" a="1"/>
  <c r="AM83" i="5" a="1"/>
  <c r="BC83" i="5" a="1"/>
  <c r="J83" i="5" a="1"/>
  <c r="BI83" i="5" a="1"/>
  <c r="M83" i="5" a="1"/>
  <c r="AN83" i="5" a="1"/>
  <c r="BK83" i="5" a="1"/>
  <c r="W83" i="5" a="1"/>
  <c r="AT83" i="5" a="1"/>
  <c r="X83" i="5" a="1"/>
  <c r="AU83" i="5" a="1"/>
  <c r="AA83" i="5" a="1"/>
  <c r="BL83" i="5" a="1"/>
  <c r="BM83" i="5" a="1"/>
  <c r="AR83" i="5" a="1"/>
  <c r="AV83" i="5" a="1"/>
  <c r="AW83" i="5" a="1"/>
  <c r="AD83" i="5" a="1"/>
  <c r="BD83" i="5" a="1"/>
  <c r="E83" i="6"/>
  <c r="N83" i="5" a="1"/>
  <c r="AC83" i="5" a="1"/>
  <c r="S89" i="5" a="1"/>
  <c r="BG89" i="5" a="1"/>
  <c r="L89" i="5" a="1"/>
  <c r="U89" i="5" a="1"/>
  <c r="AD89" i="5" a="1"/>
  <c r="BC89" i="5" a="1"/>
  <c r="AE89" i="5" a="1"/>
  <c r="AL89" i="5" a="1"/>
  <c r="AU89" i="5" a="1"/>
  <c r="BD89" i="5" a="1"/>
  <c r="BL89" i="5" a="1"/>
  <c r="M89" i="5" a="1"/>
  <c r="V89" i="5" a="1"/>
  <c r="AM89" i="5" a="1"/>
  <c r="AV89" i="5" a="1"/>
  <c r="G89" i="5" a="1"/>
  <c r="O89" i="5" a="1"/>
  <c r="X89" i="5" a="1"/>
  <c r="AX89" i="5" a="1"/>
  <c r="P89" i="5" a="1"/>
  <c r="Y89" i="5" a="1"/>
  <c r="AH89" i="5" a="1"/>
  <c r="AP89" i="5" a="1"/>
  <c r="AY89" i="5" a="1"/>
  <c r="BH89" i="5" a="1"/>
  <c r="K89" i="5" a="1"/>
  <c r="AB89" i="5" a="1"/>
  <c r="AQ89" i="5" a="1"/>
  <c r="BE89" i="5" a="1"/>
  <c r="AC89" i="5" a="1"/>
  <c r="AR89" i="5" a="1"/>
  <c r="BF89" i="5" a="1"/>
  <c r="N89" i="5" a="1"/>
  <c r="AS89" i="5" a="1"/>
  <c r="Z89" i="5" a="1"/>
  <c r="AT89" i="5" a="1"/>
  <c r="BM89" i="5" a="1"/>
  <c r="H89" i="5" a="1"/>
  <c r="AA89" i="5" a="1"/>
  <c r="BN89" i="5" a="1"/>
  <c r="I89" i="5" a="1"/>
  <c r="AF89" i="5" a="1"/>
  <c r="AW89" i="5" a="1"/>
  <c r="AJ89" i="5" a="1"/>
  <c r="BB89" i="5" a="1"/>
  <c r="R89" i="5" a="1"/>
  <c r="AK89" i="5" a="1"/>
  <c r="AN89" i="5" a="1"/>
  <c r="J89" i="5" a="1"/>
  <c r="AO89" i="5" a="1"/>
  <c r="T89" i="5" a="1"/>
  <c r="BA89" i="5" a="1"/>
  <c r="BI89" i="5" a="1"/>
  <c r="BK89" i="5" a="1"/>
  <c r="Q89" i="5" a="1"/>
  <c r="AI89" i="5" a="1"/>
  <c r="W89" i="5" a="1"/>
  <c r="AG89" i="5" a="1"/>
  <c r="BJ89" i="5" a="1"/>
  <c r="E89" i="6"/>
  <c r="AZ89" i="5" a="1"/>
  <c r="O118" i="5" a="1"/>
  <c r="W118" i="5" a="1"/>
  <c r="AG118" i="5" a="1"/>
  <c r="BE118" i="5" a="1"/>
  <c r="BN118" i="5" a="1"/>
  <c r="J118" i="5" a="1"/>
  <c r="S118" i="5" a="1"/>
  <c r="AB118" i="5" a="1"/>
  <c r="AK118" i="5" a="1"/>
  <c r="AS118" i="5" a="1"/>
  <c r="K118" i="5" a="1"/>
  <c r="T118" i="5" a="1"/>
  <c r="AC118" i="5" a="1"/>
  <c r="AT118" i="5" a="1"/>
  <c r="BB118" i="5" a="1"/>
  <c r="BJ118" i="5" a="1"/>
  <c r="Q118" i="5" a="1"/>
  <c r="AA118" i="5" a="1"/>
  <c r="AM118" i="5" a="1"/>
  <c r="AY118" i="5" a="1"/>
  <c r="BI118" i="5" a="1"/>
  <c r="AD118" i="5" a="1"/>
  <c r="AN118" i="5" a="1"/>
  <c r="AZ118" i="5" a="1"/>
  <c r="G118" i="5" a="1"/>
  <c r="R118" i="5" a="1"/>
  <c r="AO118" i="5" a="1"/>
  <c r="BK118" i="5" a="1"/>
  <c r="I118" i="5" a="1"/>
  <c r="V118" i="5" a="1"/>
  <c r="AR118" i="5" a="1"/>
  <c r="AI118" i="5" a="1"/>
  <c r="AU118" i="5" a="1"/>
  <c r="BD118" i="5" a="1"/>
  <c r="Y118" i="5" a="1"/>
  <c r="BL118" i="5" a="1"/>
  <c r="BM118" i="5" a="1"/>
  <c r="N118" i="5" a="1"/>
  <c r="P118" i="5" a="1"/>
  <c r="AJ118" i="5" a="1"/>
  <c r="BC118" i="5" a="1"/>
  <c r="H118" i="5" a="1"/>
  <c r="AL118" i="5" a="1"/>
  <c r="L118" i="5" a="1"/>
  <c r="AP118" i="5" a="1"/>
  <c r="U118" i="5" a="1"/>
  <c r="AX118" i="5" a="1"/>
  <c r="M118" i="5" a="1"/>
  <c r="BF118" i="5" a="1"/>
  <c r="BG118" i="5" a="1"/>
  <c r="AF118" i="5" a="1"/>
  <c r="AH118" i="5" a="1"/>
  <c r="AQ118" i="5" a="1"/>
  <c r="AV118" i="5" a="1"/>
  <c r="E118" i="6"/>
  <c r="X118" i="5" a="1"/>
  <c r="Z118" i="5" a="1"/>
  <c r="AE118" i="5" a="1"/>
  <c r="BA118" i="5" a="1"/>
  <c r="AW118" i="5" a="1"/>
  <c r="BH118" i="5" a="1"/>
  <c r="K100" i="5" a="1"/>
  <c r="R100" i="5" a="1"/>
  <c r="Y100" i="5" a="1"/>
  <c r="AF100" i="5" a="1"/>
  <c r="AT100" i="5" a="1"/>
  <c r="BH100" i="5" a="1"/>
  <c r="N100" i="5" a="1"/>
  <c r="U100" i="5" a="1"/>
  <c r="AK100" i="5" a="1"/>
  <c r="AZ100" i="5" a="1"/>
  <c r="V100" i="5" a="1"/>
  <c r="AD100" i="5" a="1"/>
  <c r="AS100" i="5" a="1"/>
  <c r="BA100" i="5" a="1"/>
  <c r="G100" i="5" a="1"/>
  <c r="O100" i="5" a="1"/>
  <c r="W100" i="5" a="1"/>
  <c r="AL100" i="5" a="1"/>
  <c r="BB100" i="5" a="1"/>
  <c r="BI100" i="5" a="1"/>
  <c r="M100" i="5" a="1"/>
  <c r="X100" i="5" a="1"/>
  <c r="BC100" i="5" a="1"/>
  <c r="BL100" i="5" a="1"/>
  <c r="AH100" i="5" a="1"/>
  <c r="AR100" i="5" a="1"/>
  <c r="BM100" i="5" a="1"/>
  <c r="Z100" i="5" a="1"/>
  <c r="AI100" i="5" a="1"/>
  <c r="AU100" i="5" a="1"/>
  <c r="BD100" i="5" a="1"/>
  <c r="H100" i="5" a="1"/>
  <c r="AB100" i="5" a="1"/>
  <c r="AN100" i="5" a="1"/>
  <c r="AW100" i="5" a="1"/>
  <c r="BF100" i="5" a="1"/>
  <c r="I100" i="5" a="1"/>
  <c r="S100" i="5" a="1"/>
  <c r="AC100" i="5" a="1"/>
  <c r="AO100" i="5" a="1"/>
  <c r="BG100" i="5" a="1"/>
  <c r="J100" i="5" a="1"/>
  <c r="BK100" i="5" a="1"/>
  <c r="L100" i="5" a="1"/>
  <c r="AE100" i="5" a="1"/>
  <c r="AV100" i="5" a="1"/>
  <c r="BN100" i="5" a="1"/>
  <c r="T100" i="5" a="1"/>
  <c r="AM100" i="5" a="1"/>
  <c r="BE100" i="5" a="1"/>
  <c r="AA100" i="5" a="1"/>
  <c r="AP100" i="5" a="1"/>
  <c r="P100" i="5" a="1"/>
  <c r="AG100" i="5" a="1"/>
  <c r="AJ100" i="5" a="1"/>
  <c r="AQ100" i="5" a="1"/>
  <c r="Q100" i="5" a="1"/>
  <c r="AX100" i="5" a="1"/>
  <c r="AY100" i="5" a="1"/>
  <c r="E100" i="6"/>
  <c r="BJ100" i="5" a="1"/>
  <c r="P68" i="5" a="1"/>
  <c r="AC68" i="5" a="1"/>
  <c r="AJ68" i="5" a="1"/>
  <c r="AW68" i="5" a="1"/>
  <c r="BJ68" i="5" a="1"/>
  <c r="J68" i="5" a="1"/>
  <c r="W68" i="5" a="1"/>
  <c r="AD68" i="5" a="1"/>
  <c r="AQ68" i="5" a="1"/>
  <c r="BD68" i="5" a="1"/>
  <c r="M68" i="5" a="1"/>
  <c r="Z68" i="5" a="1"/>
  <c r="AM68" i="5" a="1"/>
  <c r="AZ68" i="5" a="1"/>
  <c r="BM68" i="5" a="1"/>
  <c r="S68" i="5" a="1"/>
  <c r="AK68" i="5" a="1"/>
  <c r="AS68" i="5" a="1"/>
  <c r="BB68" i="5" a="1"/>
  <c r="BK68" i="5" a="1"/>
  <c r="K68" i="5" a="1"/>
  <c r="T68" i="5" a="1"/>
  <c r="AB68" i="5" a="1"/>
  <c r="AT68" i="5" a="1"/>
  <c r="L68" i="5" a="1"/>
  <c r="AL68" i="5" a="1"/>
  <c r="BC68" i="5" a="1"/>
  <c r="BL68" i="5" a="1"/>
  <c r="H68" i="5" a="1"/>
  <c r="U68" i="5" a="1"/>
  <c r="AF68" i="5" a="1"/>
  <c r="AG68" i="5" a="1"/>
  <c r="AR68" i="5" a="1"/>
  <c r="BE68" i="5" a="1"/>
  <c r="I68" i="5" a="1"/>
  <c r="V68" i="5" a="1"/>
  <c r="X68" i="5" a="1"/>
  <c r="AH68" i="5" a="1"/>
  <c r="AU68" i="5" a="1"/>
  <c r="BF68" i="5" a="1"/>
  <c r="AX68" i="5" a="1"/>
  <c r="O68" i="5" a="1"/>
  <c r="BI68" i="5" a="1"/>
  <c r="AA68" i="5" a="1"/>
  <c r="AN68" i="5" a="1"/>
  <c r="AY68" i="5" a="1"/>
  <c r="BA68" i="5" a="1"/>
  <c r="AE68" i="5" a="1"/>
  <c r="BG68" i="5" a="1"/>
  <c r="BH68" i="5" a="1"/>
  <c r="G68" i="5" a="1"/>
  <c r="N68" i="5" a="1"/>
  <c r="Q68" i="5" a="1"/>
  <c r="R68" i="5" a="1"/>
  <c r="BN68" i="5" a="1"/>
  <c r="AI68" i="5" a="1"/>
  <c r="AP68" i="5" a="1"/>
  <c r="AV68" i="5" a="1"/>
  <c r="Y68" i="5" a="1"/>
  <c r="E68" i="6"/>
  <c r="AO68" i="5" a="1"/>
  <c r="Q41" i="5" a="1"/>
  <c r="BA41" i="5" a="1"/>
  <c r="J41" i="5" a="1"/>
  <c r="R41" i="5" a="1"/>
  <c r="Y41" i="5" a="1"/>
  <c r="AG41" i="5" a="1"/>
  <c r="AN41" i="5" a="1"/>
  <c r="AU41" i="5" a="1"/>
  <c r="BI41" i="5" a="1"/>
  <c r="K41" i="5" a="1"/>
  <c r="Z41" i="5" a="1"/>
  <c r="BB41" i="5" a="1"/>
  <c r="BJ41" i="5" a="1"/>
  <c r="S41" i="5" a="1"/>
  <c r="AH41" i="5" a="1"/>
  <c r="AO41" i="5" a="1"/>
  <c r="AV41" i="5" a="1"/>
  <c r="N41" i="5" a="1"/>
  <c r="U41" i="5" a="1"/>
  <c r="AB41" i="5" a="1"/>
  <c r="AX41" i="5" a="1"/>
  <c r="BL41" i="5" a="1"/>
  <c r="AJ41" i="5" a="1"/>
  <c r="AQ41" i="5" a="1"/>
  <c r="BE41" i="5" a="1"/>
  <c r="BM41" i="5" a="1"/>
  <c r="T41" i="5" a="1"/>
  <c r="BK41" i="5" a="1"/>
  <c r="AI41" i="5" a="1"/>
  <c r="AW41" i="5" a="1"/>
  <c r="G41" i="5" a="1"/>
  <c r="V41" i="5" a="1"/>
  <c r="AK41" i="5" a="1"/>
  <c r="AY41" i="5" a="1"/>
  <c r="H41" i="5" a="1"/>
  <c r="AL41" i="5" a="1"/>
  <c r="BN41" i="5" a="1"/>
  <c r="L41" i="5" a="1"/>
  <c r="AA41" i="5" a="1"/>
  <c r="BC41" i="5" a="1"/>
  <c r="M41" i="5" a="1"/>
  <c r="AP41" i="5" a="1"/>
  <c r="BD41" i="5" a="1"/>
  <c r="I41" i="5" a="1"/>
  <c r="AM41" i="5" a="1"/>
  <c r="O41" i="5" a="1"/>
  <c r="AR41" i="5" a="1"/>
  <c r="W41" i="5" a="1"/>
  <c r="AZ41" i="5" a="1"/>
  <c r="X41" i="5" a="1"/>
  <c r="P41" i="5" a="1"/>
  <c r="AC41" i="5" a="1"/>
  <c r="AD41" i="5" a="1"/>
  <c r="AS41" i="5" a="1"/>
  <c r="AT41" i="5" a="1"/>
  <c r="BF41" i="5" a="1"/>
  <c r="BG41" i="5" a="1"/>
  <c r="BH41" i="5" a="1"/>
  <c r="AE41" i="5" a="1"/>
  <c r="AF41" i="5" a="1"/>
  <c r="E41" i="6"/>
  <c r="R26" i="5" a="1"/>
  <c r="Y26" i="5" a="1"/>
  <c r="O26" i="5" a="1"/>
  <c r="AD26" i="5" a="1"/>
  <c r="AK26" i="5" a="1"/>
  <c r="AR26" i="5" a="1"/>
  <c r="AY26" i="5" a="1"/>
  <c r="BF26" i="5" a="1"/>
  <c r="BM26" i="5" a="1"/>
  <c r="G26" i="5" a="1"/>
  <c r="P26" i="5" a="1"/>
  <c r="W26" i="5" a="1"/>
  <c r="AL26" i="5" a="1"/>
  <c r="AS26" i="5" a="1"/>
  <c r="N26" i="5" a="1"/>
  <c r="BN26" i="5" a="1"/>
  <c r="X26" i="5" a="1"/>
  <c r="AG26" i="5" a="1"/>
  <c r="AO26" i="5" a="1"/>
  <c r="AW26" i="5" a="1"/>
  <c r="BE26" i="5" a="1"/>
  <c r="S26" i="5" a="1"/>
  <c r="AB26" i="5" a="1"/>
  <c r="AJ26" i="5" a="1"/>
  <c r="BA26" i="5" a="1"/>
  <c r="BJ26" i="5" a="1"/>
  <c r="M26" i="5" a="1"/>
  <c r="AA26" i="5" a="1"/>
  <c r="AV26" i="5" a="1"/>
  <c r="BH26" i="5" a="1"/>
  <c r="T26" i="5" a="1"/>
  <c r="AE26" i="5" a="1"/>
  <c r="AP26" i="5" a="1"/>
  <c r="BL26" i="5" a="1"/>
  <c r="H26" i="5" a="1"/>
  <c r="AF26" i="5" a="1"/>
  <c r="BB26" i="5" a="1"/>
  <c r="I26" i="5" a="1"/>
  <c r="U26" i="5" a="1"/>
  <c r="AQ26" i="5" a="1"/>
  <c r="J26" i="5" a="1"/>
  <c r="Q26" i="5" a="1"/>
  <c r="AI26" i="5" a="1"/>
  <c r="BC26" i="5" a="1"/>
  <c r="AM26" i="5" a="1"/>
  <c r="BD26" i="5" a="1"/>
  <c r="BG26" i="5" a="1"/>
  <c r="Z26" i="5" a="1"/>
  <c r="AT26" i="5" a="1"/>
  <c r="BK26" i="5" a="1"/>
  <c r="BI26" i="5" a="1"/>
  <c r="V26" i="5" a="1"/>
  <c r="AC26" i="5" a="1"/>
  <c r="AN26" i="5" a="1"/>
  <c r="AH26" i="5" a="1"/>
  <c r="K26" i="5" a="1"/>
  <c r="AX26" i="5" a="1"/>
  <c r="AZ26" i="5" a="1"/>
  <c r="L26" i="5" a="1"/>
  <c r="AU26" i="5" a="1"/>
  <c r="E26" i="6"/>
  <c r="J105" i="5" a="1"/>
  <c r="R105" i="5" a="1"/>
  <c r="Z105" i="5" a="1"/>
  <c r="AO105" i="5" a="1"/>
  <c r="AV105" i="5" a="1"/>
  <c r="BC105" i="5" a="1"/>
  <c r="H105" i="5" a="1"/>
  <c r="Y105" i="5" a="1"/>
  <c r="AG105" i="5" a="1"/>
  <c r="AP105" i="5" a="1"/>
  <c r="BE105" i="5" a="1"/>
  <c r="BN105" i="5" a="1"/>
  <c r="Q105" i="5" a="1"/>
  <c r="AH105" i="5" a="1"/>
  <c r="AX105" i="5" a="1"/>
  <c r="BF105" i="5" a="1"/>
  <c r="G105" i="5" a="1"/>
  <c r="S105" i="5" a="1"/>
  <c r="AC105" i="5" a="1"/>
  <c r="AL105" i="5" a="1"/>
  <c r="I105" i="5" a="1"/>
  <c r="BG105" i="5" a="1"/>
  <c r="T105" i="5" a="1"/>
  <c r="AD105" i="5" a="1"/>
  <c r="AM105" i="5" a="1"/>
  <c r="AW105" i="5" a="1"/>
  <c r="M105" i="5" a="1"/>
  <c r="W105" i="5" a="1"/>
  <c r="AF105" i="5" a="1"/>
  <c r="BJ105" i="5" a="1"/>
  <c r="N105" i="5" a="1"/>
  <c r="AR105" i="5" a="1"/>
  <c r="BA105" i="5" a="1"/>
  <c r="BK105" i="5" a="1"/>
  <c r="X105" i="5" a="1"/>
  <c r="BD105" i="5" a="1"/>
  <c r="AA105" i="5" a="1"/>
  <c r="AQ105" i="5" a="1"/>
  <c r="BH105" i="5" a="1"/>
  <c r="K105" i="5" a="1"/>
  <c r="AB105" i="5" a="1"/>
  <c r="AS105" i="5" a="1"/>
  <c r="O105" i="5" a="1"/>
  <c r="P105" i="5" a="1"/>
  <c r="AI105" i="5" a="1"/>
  <c r="AY105" i="5" a="1"/>
  <c r="BB105" i="5" a="1"/>
  <c r="AK105" i="5" a="1"/>
  <c r="L105" i="5" a="1"/>
  <c r="AN105" i="5" a="1"/>
  <c r="AT105" i="5" a="1"/>
  <c r="AU105" i="5" a="1"/>
  <c r="U105" i="5" a="1"/>
  <c r="BL105" i="5" a="1"/>
  <c r="AJ105" i="5" a="1"/>
  <c r="AZ105" i="5" a="1"/>
  <c r="V105" i="5" a="1"/>
  <c r="AE105" i="5" a="1"/>
  <c r="E105" i="6"/>
  <c r="BM105" i="5" a="1"/>
  <c r="BI105" i="5" a="1"/>
  <c r="H33" i="5" a="1"/>
  <c r="O33" i="5" a="1"/>
  <c r="V33" i="5" a="1"/>
  <c r="AI33" i="5" a="1"/>
  <c r="AP33" i="5" a="1"/>
  <c r="BD33" i="5" a="1"/>
  <c r="BK33" i="5" a="1"/>
  <c r="R33" i="5" a="1"/>
  <c r="AE33" i="5" a="1"/>
  <c r="AL33" i="5" a="1"/>
  <c r="AZ33" i="5" a="1"/>
  <c r="BG33" i="5" a="1"/>
  <c r="BN33" i="5" a="1"/>
  <c r="U33" i="5" a="1"/>
  <c r="AK33" i="5" a="1"/>
  <c r="AT33" i="5" a="1"/>
  <c r="BB33" i="5" a="1"/>
  <c r="BJ33" i="5" a="1"/>
  <c r="J33" i="5" a="1"/>
  <c r="AG33" i="5" a="1"/>
  <c r="G33" i="5" a="1"/>
  <c r="Q33" i="5" a="1"/>
  <c r="AJ33" i="5" a="1"/>
  <c r="AA33" i="5" a="1"/>
  <c r="AU33" i="5" a="1"/>
  <c r="BE33" i="5" a="1"/>
  <c r="I33" i="5" a="1"/>
  <c r="S33" i="5" a="1"/>
  <c r="AB33" i="5" a="1"/>
  <c r="BF33" i="5" a="1"/>
  <c r="AC33" i="5" a="1"/>
  <c r="AM33" i="5" a="1"/>
  <c r="AV33" i="5" a="1"/>
  <c r="AO33" i="5" a="1"/>
  <c r="AY33" i="5" a="1"/>
  <c r="BI33" i="5" a="1"/>
  <c r="M33" i="5" a="1"/>
  <c r="W33" i="5" a="1"/>
  <c r="AF33" i="5" a="1"/>
  <c r="T33" i="5" a="1"/>
  <c r="AN33" i="5" a="1"/>
  <c r="BH33" i="5" a="1"/>
  <c r="AQ33" i="5" a="1"/>
  <c r="BL33" i="5" a="1"/>
  <c r="X33" i="5" a="1"/>
  <c r="K33" i="5" a="1"/>
  <c r="AD33" i="5" a="1"/>
  <c r="AW33" i="5" a="1"/>
  <c r="L33" i="5" a="1"/>
  <c r="AX33" i="5" a="1"/>
  <c r="Y33" i="5" a="1"/>
  <c r="BM33" i="5" a="1"/>
  <c r="Z33" i="5" a="1"/>
  <c r="AH33" i="5" a="1"/>
  <c r="AR33" i="5" a="1"/>
  <c r="AS33" i="5" a="1"/>
  <c r="BA33" i="5" a="1"/>
  <c r="BC33" i="5" a="1"/>
  <c r="N33" i="5" a="1"/>
  <c r="P33" i="5" a="1"/>
  <c r="E33" i="6"/>
  <c r="I99" i="5" a="1"/>
  <c r="P99" i="5" a="1"/>
  <c r="M99" i="5" a="1"/>
  <c r="U99" i="5" a="1"/>
  <c r="AK99" i="5" a="1"/>
  <c r="AC99" i="5" a="1"/>
  <c r="AU99" i="5" a="1"/>
  <c r="BD99" i="5" a="1"/>
  <c r="BM99" i="5" a="1"/>
  <c r="J99" i="5" a="1"/>
  <c r="R99" i="5" a="1"/>
  <c r="AB99" i="5" a="1"/>
  <c r="AL99" i="5" a="1"/>
  <c r="BE99" i="5" a="1"/>
  <c r="BN99" i="5" a="1"/>
  <c r="S99" i="5" a="1"/>
  <c r="AD99" i="5" a="1"/>
  <c r="AM99" i="5" a="1"/>
  <c r="AV99" i="5" a="1"/>
  <c r="X99" i="5" a="1"/>
  <c r="AX99" i="5" a="1"/>
  <c r="L99" i="5" a="1"/>
  <c r="Y99" i="5" a="1"/>
  <c r="AJ99" i="5" a="1"/>
  <c r="AY99" i="5" a="1"/>
  <c r="BJ99" i="5" a="1"/>
  <c r="N99" i="5" a="1"/>
  <c r="BK99" i="5" a="1"/>
  <c r="AF99" i="5" a="1"/>
  <c r="AP99" i="5" a="1"/>
  <c r="BB99" i="5" a="1"/>
  <c r="Q99" i="5" a="1"/>
  <c r="AQ99" i="5" a="1"/>
  <c r="BC99" i="5" a="1"/>
  <c r="AA99" i="5" a="1"/>
  <c r="AW99" i="5" a="1"/>
  <c r="G99" i="5" a="1"/>
  <c r="AE99" i="5" a="1"/>
  <c r="AZ99" i="5" a="1"/>
  <c r="H99" i="5" a="1"/>
  <c r="AG99" i="5" a="1"/>
  <c r="AN99" i="5" a="1"/>
  <c r="BH99" i="5" a="1"/>
  <c r="T99" i="5" a="1"/>
  <c r="BI99" i="5" a="1"/>
  <c r="O99" i="5" a="1"/>
  <c r="BA99" i="5" a="1"/>
  <c r="V99" i="5" a="1"/>
  <c r="BF99" i="5" a="1"/>
  <c r="AI99" i="5" a="1"/>
  <c r="AO99" i="5" a="1"/>
  <c r="AR99" i="5" a="1"/>
  <c r="AS99" i="5" a="1"/>
  <c r="K99" i="5" a="1"/>
  <c r="E99" i="6"/>
  <c r="W99" i="5" a="1"/>
  <c r="BL99" i="5" a="1"/>
  <c r="Z99" i="5" a="1"/>
  <c r="AT99" i="5" a="1"/>
  <c r="BG99" i="5" a="1"/>
  <c r="AH99" i="5" a="1"/>
  <c r="W67" i="5" a="1"/>
  <c r="AF67" i="5" a="1"/>
  <c r="AN67" i="5" a="1"/>
  <c r="AU67" i="5" a="1"/>
  <c r="BC67" i="5" a="1"/>
  <c r="BJ67" i="5" a="1"/>
  <c r="O67" i="5" a="1"/>
  <c r="AG67" i="5" a="1"/>
  <c r="BD67" i="5" a="1"/>
  <c r="BK67" i="5" a="1"/>
  <c r="J67" i="5" a="1"/>
  <c r="AA67" i="5" a="1"/>
  <c r="AR67" i="5" a="1"/>
  <c r="AY67" i="5" a="1"/>
  <c r="BN67" i="5" a="1"/>
  <c r="G67" i="5" a="1"/>
  <c r="R67" i="5" a="1"/>
  <c r="AD67" i="5" a="1"/>
  <c r="AO67" i="5" a="1"/>
  <c r="BH67" i="5" a="1"/>
  <c r="H67" i="5" a="1"/>
  <c r="S67" i="5" a="1"/>
  <c r="I67" i="5" a="1"/>
  <c r="T67" i="5" a="1"/>
  <c r="AE67" i="5" a="1"/>
  <c r="AP67" i="5" a="1"/>
  <c r="AZ67" i="5" a="1"/>
  <c r="BI67" i="5" a="1"/>
  <c r="L67" i="5" a="1"/>
  <c r="Z67" i="5" a="1"/>
  <c r="AQ67" i="5" a="1"/>
  <c r="M67" i="5" a="1"/>
  <c r="AB67" i="5" a="1"/>
  <c r="BE67" i="5" a="1"/>
  <c r="N67" i="5" a="1"/>
  <c r="AC67" i="5" a="1"/>
  <c r="AS67" i="5" a="1"/>
  <c r="P67" i="5" a="1"/>
  <c r="AH67" i="5" a="1"/>
  <c r="BF67" i="5" a="1"/>
  <c r="U67" i="5" a="1"/>
  <c r="AJ67" i="5" a="1"/>
  <c r="AV67" i="5" a="1"/>
  <c r="BL67" i="5" a="1"/>
  <c r="AK67" i="5" a="1"/>
  <c r="AW67" i="5" a="1"/>
  <c r="V67" i="5" a="1"/>
  <c r="AL67" i="5" a="1"/>
  <c r="AX67" i="5" a="1"/>
  <c r="BM67" i="5" a="1"/>
  <c r="BG67" i="5" a="1"/>
  <c r="Y67" i="5" a="1"/>
  <c r="AI67" i="5" a="1"/>
  <c r="X67" i="5" a="1"/>
  <c r="BA67" i="5" a="1"/>
  <c r="Q67" i="5" a="1"/>
  <c r="AM67" i="5" a="1"/>
  <c r="BB67" i="5" a="1"/>
  <c r="K67" i="5" a="1"/>
  <c r="E67" i="6"/>
  <c r="AT67" i="5" a="1"/>
  <c r="N40" i="5" a="1"/>
  <c r="U40" i="5" a="1"/>
  <c r="AB40" i="5" a="1"/>
  <c r="AI40" i="5" a="1"/>
  <c r="AP40" i="5" a="1"/>
  <c r="AW40" i="5" a="1"/>
  <c r="BD40" i="5" a="1"/>
  <c r="H40" i="5" a="1"/>
  <c r="AQ40" i="5" a="1"/>
  <c r="BK40" i="5" a="1"/>
  <c r="O40" i="5" a="1"/>
  <c r="V40" i="5" a="1"/>
  <c r="AC40" i="5" a="1"/>
  <c r="AJ40" i="5" a="1"/>
  <c r="AX40" i="5" a="1"/>
  <c r="BE40" i="5" a="1"/>
  <c r="I40" i="5" a="1"/>
  <c r="W40" i="5" a="1"/>
  <c r="AD40" i="5" a="1"/>
  <c r="AK40" i="5" a="1"/>
  <c r="AR40" i="5" a="1"/>
  <c r="BL40" i="5" a="1"/>
  <c r="Y40" i="5" a="1"/>
  <c r="AF40" i="5" a="1"/>
  <c r="AZ40" i="5" a="1"/>
  <c r="BG40" i="5" a="1"/>
  <c r="K40" i="5" a="1"/>
  <c r="R40" i="5" a="1"/>
  <c r="AM40" i="5" a="1"/>
  <c r="AT40" i="5" a="1"/>
  <c r="BN40" i="5" a="1"/>
  <c r="AY40" i="5" a="1"/>
  <c r="J40" i="5" a="1"/>
  <c r="X40" i="5" a="1"/>
  <c r="AL40" i="5" a="1"/>
  <c r="BM40" i="5" a="1"/>
  <c r="Z40" i="5" a="1"/>
  <c r="BA40" i="5" a="1"/>
  <c r="L40" i="5" a="1"/>
  <c r="AN40" i="5" a="1"/>
  <c r="BB40" i="5" a="1"/>
  <c r="P40" i="5" a="1"/>
  <c r="AE40" i="5" a="1"/>
  <c r="BF40" i="5" a="1"/>
  <c r="Q40" i="5" a="1"/>
  <c r="AS40" i="5" a="1"/>
  <c r="M40" i="5" a="1"/>
  <c r="AO40" i="5" a="1"/>
  <c r="S40" i="5" a="1"/>
  <c r="AU40" i="5" a="1"/>
  <c r="AA40" i="5" a="1"/>
  <c r="BC40" i="5" a="1"/>
  <c r="T40" i="5" a="1"/>
  <c r="AG40" i="5" a="1"/>
  <c r="BI40" i="5" a="1"/>
  <c r="BJ40" i="5" a="1"/>
  <c r="AH40" i="5" a="1"/>
  <c r="G40" i="5" a="1"/>
  <c r="AV40" i="5" a="1"/>
  <c r="BH40" i="5" a="1"/>
  <c r="E40" i="6"/>
  <c r="R111" i="5" a="1"/>
  <c r="AL111" i="5" a="1"/>
  <c r="K111" i="5" a="1"/>
  <c r="Y111" i="5" a="1"/>
  <c r="AF111" i="5" a="1"/>
  <c r="Q111" i="5" a="1"/>
  <c r="Z111" i="5" a="1"/>
  <c r="AH111" i="5" a="1"/>
  <c r="BD111" i="5" a="1"/>
  <c r="I111" i="5" a="1"/>
  <c r="S111" i="5" a="1"/>
  <c r="AQ111" i="5" a="1"/>
  <c r="AX111" i="5" a="1"/>
  <c r="BK111" i="5" a="1"/>
  <c r="J111" i="5" a="1"/>
  <c r="AA111" i="5" a="1"/>
  <c r="AI111" i="5" a="1"/>
  <c r="BE111" i="5" a="1"/>
  <c r="AD111" i="5" a="1"/>
  <c r="AT111" i="5" a="1"/>
  <c r="BG111" i="5" a="1"/>
  <c r="BN111" i="5" a="1"/>
  <c r="N111" i="5" a="1"/>
  <c r="V111" i="5" a="1"/>
  <c r="AM111" i="5" a="1"/>
  <c r="BA111" i="5" a="1"/>
  <c r="BH111" i="5" a="1"/>
  <c r="AZ111" i="5" a="1"/>
  <c r="BL111" i="5" a="1"/>
  <c r="M111" i="5" a="1"/>
  <c r="AB111" i="5" a="1"/>
  <c r="AO111" i="5" a="1"/>
  <c r="BB111" i="5" a="1"/>
  <c r="O111" i="5" a="1"/>
  <c r="AP111" i="5" a="1"/>
  <c r="BM111" i="5" a="1"/>
  <c r="T111" i="5" a="1"/>
  <c r="AG111" i="5" a="1"/>
  <c r="AU111" i="5" a="1"/>
  <c r="BF111" i="5" a="1"/>
  <c r="AV111" i="5" a="1"/>
  <c r="P111" i="5" a="1"/>
  <c r="AN111" i="5" a="1"/>
  <c r="BI111" i="5" a="1"/>
  <c r="AR111" i="5" a="1"/>
  <c r="AC111" i="5" a="1"/>
  <c r="AY111" i="5" a="1"/>
  <c r="G111" i="5" a="1"/>
  <c r="AE111" i="5" a="1"/>
  <c r="H111" i="5" a="1"/>
  <c r="AS111" i="5" a="1"/>
  <c r="L111" i="5" a="1"/>
  <c r="W111" i="5" a="1"/>
  <c r="BJ111" i="5" a="1"/>
  <c r="U111" i="5" a="1"/>
  <c r="AK111" i="5" a="1"/>
  <c r="E111" i="6"/>
  <c r="AW111" i="5" a="1"/>
  <c r="BC111" i="5" a="1"/>
  <c r="X111" i="5" a="1"/>
  <c r="AJ111" i="5" a="1"/>
  <c r="AN98" i="5" a="1"/>
  <c r="AW98" i="5" a="1"/>
  <c r="BJ98" i="5" a="1"/>
  <c r="O98" i="5" a="1"/>
  <c r="Y98" i="5" a="1"/>
  <c r="AG98" i="5" a="1"/>
  <c r="AP98" i="5" a="1"/>
  <c r="P98" i="5" a="1"/>
  <c r="Z98" i="5" a="1"/>
  <c r="AH98" i="5" a="1"/>
  <c r="AQ98" i="5" a="1"/>
  <c r="AY98" i="5" a="1"/>
  <c r="BF98" i="5" a="1"/>
  <c r="BM98" i="5" a="1"/>
  <c r="I98" i="5" a="1"/>
  <c r="J98" i="5" a="1"/>
  <c r="T98" i="5" a="1"/>
  <c r="AE98" i="5" a="1"/>
  <c r="AO98" i="5" a="1"/>
  <c r="AZ98" i="5" a="1"/>
  <c r="BH98" i="5" a="1"/>
  <c r="U98" i="5" a="1"/>
  <c r="BI98" i="5" a="1"/>
  <c r="S98" i="5" a="1"/>
  <c r="AI98" i="5" a="1"/>
  <c r="AU98" i="5" a="1"/>
  <c r="BG98" i="5" a="1"/>
  <c r="V98" i="5" a="1"/>
  <c r="AJ98" i="5" a="1"/>
  <c r="AV98" i="5" a="1"/>
  <c r="L98" i="5" a="1"/>
  <c r="AA98" i="5" a="1"/>
  <c r="BL98" i="5" a="1"/>
  <c r="AM98" i="5" a="1"/>
  <c r="BB98" i="5" a="1"/>
  <c r="W98" i="5" a="1"/>
  <c r="BN98" i="5" a="1"/>
  <c r="X98" i="5" a="1"/>
  <c r="AT98" i="5" a="1"/>
  <c r="H98" i="5" a="1"/>
  <c r="AF98" i="5" a="1"/>
  <c r="BD98" i="5" a="1"/>
  <c r="K98" i="5" a="1"/>
  <c r="AL98" i="5" a="1"/>
  <c r="AR98" i="5" a="1"/>
  <c r="Q98" i="5" a="1"/>
  <c r="BE98" i="5" a="1"/>
  <c r="R98" i="5" a="1"/>
  <c r="AS98" i="5" a="1"/>
  <c r="AX98" i="5" a="1"/>
  <c r="BA98" i="5" a="1"/>
  <c r="M98" i="5" a="1"/>
  <c r="AD98" i="5" a="1"/>
  <c r="AK98" i="5" a="1"/>
  <c r="BC98" i="5" a="1"/>
  <c r="E98" i="6"/>
  <c r="BK98" i="5" a="1"/>
  <c r="G98" i="5" a="1"/>
  <c r="N98" i="5" a="1"/>
  <c r="AB98" i="5" a="1"/>
  <c r="AC98" i="5" a="1"/>
  <c r="R51" i="5" a="1"/>
  <c r="Z51" i="5" a="1"/>
  <c r="AX51" i="5" a="1"/>
  <c r="K51" i="5" a="1"/>
  <c r="S51" i="5" a="1"/>
  <c r="AA51" i="5" a="1"/>
  <c r="AI51" i="5" a="1"/>
  <c r="AQ51" i="5" a="1"/>
  <c r="AY51" i="5" a="1"/>
  <c r="BH51" i="5" a="1"/>
  <c r="M51" i="5" a="1"/>
  <c r="U51" i="5" a="1"/>
  <c r="AC51" i="5" a="1"/>
  <c r="AS51" i="5" a="1"/>
  <c r="BA51" i="5" a="1"/>
  <c r="BJ51" i="5" a="1"/>
  <c r="H51" i="5" a="1"/>
  <c r="AD51" i="5" a="1"/>
  <c r="AO51" i="5" a="1"/>
  <c r="AZ51" i="5" a="1"/>
  <c r="BL51" i="5" a="1"/>
  <c r="I51" i="5" a="1"/>
  <c r="T51" i="5" a="1"/>
  <c r="AE51" i="5" a="1"/>
  <c r="J51" i="5" a="1"/>
  <c r="V51" i="5" a="1"/>
  <c r="AP51" i="5" a="1"/>
  <c r="BB51" i="5" a="1"/>
  <c r="BM51" i="5" a="1"/>
  <c r="L51" i="5" a="1"/>
  <c r="AF51" i="5" a="1"/>
  <c r="BC51" i="5" a="1"/>
  <c r="N51" i="5" a="1"/>
  <c r="X51" i="5" a="1"/>
  <c r="BE51" i="5" a="1"/>
  <c r="O51" i="5" a="1"/>
  <c r="AJ51" i="5" a="1"/>
  <c r="AU51" i="5" a="1"/>
  <c r="BF51" i="5" a="1"/>
  <c r="W51" i="5" a="1"/>
  <c r="AR51" i="5" a="1"/>
  <c r="BN51" i="5" a="1"/>
  <c r="AT51" i="5" a="1"/>
  <c r="Y51" i="5" a="1"/>
  <c r="AV51" i="5" a="1"/>
  <c r="Q51" i="5" a="1"/>
  <c r="AW51" i="5" a="1"/>
  <c r="AB51" i="5" a="1"/>
  <c r="AG51" i="5" a="1"/>
  <c r="G51" i="5" a="1"/>
  <c r="AH51" i="5" a="1"/>
  <c r="BI51" i="5" a="1"/>
  <c r="AK51" i="5" a="1"/>
  <c r="BK51" i="5" a="1"/>
  <c r="P51" i="5" a="1"/>
  <c r="AN51" i="5" a="1"/>
  <c r="BD51" i="5" a="1"/>
  <c r="BG51" i="5" a="1"/>
  <c r="AL51" i="5" a="1"/>
  <c r="AM51" i="5" a="1"/>
  <c r="E51" i="6"/>
  <c r="Q39" i="5" a="1"/>
  <c r="G39" i="5" a="1"/>
  <c r="M39" i="5" a="1"/>
  <c r="U39" i="5" a="1"/>
  <c r="AH39" i="5" a="1"/>
  <c r="AU39" i="5" a="1"/>
  <c r="BB39" i="5" a="1"/>
  <c r="BI39" i="5" a="1"/>
  <c r="N39" i="5" a="1"/>
  <c r="AB39" i="5" a="1"/>
  <c r="AO39" i="5" a="1"/>
  <c r="AV39" i="5" a="1"/>
  <c r="O39" i="5" a="1"/>
  <c r="V39" i="5" a="1"/>
  <c r="AI39" i="5" a="1"/>
  <c r="BC39" i="5" a="1"/>
  <c r="BJ39" i="5" a="1"/>
  <c r="AC39" i="5" a="1"/>
  <c r="AP39" i="5" a="1"/>
  <c r="AW39" i="5" a="1"/>
  <c r="BK39" i="5" a="1"/>
  <c r="X39" i="5" a="1"/>
  <c r="AK39" i="5" a="1"/>
  <c r="AY39" i="5" a="1"/>
  <c r="J39" i="5" a="1"/>
  <c r="R39" i="5" a="1"/>
  <c r="AE39" i="5" a="1"/>
  <c r="AR39" i="5" a="1"/>
  <c r="BF39" i="5" a="1"/>
  <c r="BM39" i="5" a="1"/>
  <c r="P39" i="5" a="1"/>
  <c r="BD39" i="5" a="1"/>
  <c r="AD39" i="5" a="1"/>
  <c r="AQ39" i="5" a="1"/>
  <c r="BE39" i="5" a="1"/>
  <c r="AS39" i="5" a="1"/>
  <c r="S39" i="5" a="1"/>
  <c r="AF39" i="5" a="1"/>
  <c r="BG39" i="5" a="1"/>
  <c r="H39" i="5" a="1"/>
  <c r="W39" i="5" a="1"/>
  <c r="AJ39" i="5" a="1"/>
  <c r="I39" i="5" a="1"/>
  <c r="AX39" i="5" a="1"/>
  <c r="BL39" i="5" a="1"/>
  <c r="AT39" i="5" a="1"/>
  <c r="T39" i="5" a="1"/>
  <c r="Y39" i="5" a="1"/>
  <c r="AZ39" i="5" a="1"/>
  <c r="AG39" i="5" a="1"/>
  <c r="BH39" i="5" a="1"/>
  <c r="Z39" i="5" a="1"/>
  <c r="AA39" i="5" a="1"/>
  <c r="AL39" i="5" a="1"/>
  <c r="BA39" i="5" a="1"/>
  <c r="BN39" i="5" a="1"/>
  <c r="L39" i="5" a="1"/>
  <c r="AM39" i="5" a="1"/>
  <c r="K39" i="5" a="1"/>
  <c r="AN39" i="5" a="1"/>
  <c r="E39" i="6"/>
  <c r="K21" i="5" a="1"/>
  <c r="AA21" i="5" a="1"/>
  <c r="AO21" i="5" a="1"/>
  <c r="AV21" i="5" a="1"/>
  <c r="BJ21" i="5" a="1"/>
  <c r="G21" i="5" a="1"/>
  <c r="N21" i="5" a="1"/>
  <c r="U21" i="5" a="1"/>
  <c r="AB21" i="5" a="1"/>
  <c r="AI21" i="5" a="1"/>
  <c r="BC21" i="5" a="1"/>
  <c r="Q21" i="5" a="1"/>
  <c r="Y21" i="5" a="1"/>
  <c r="AG21" i="5" a="1"/>
  <c r="AP21" i="5" a="1"/>
  <c r="AX21" i="5" a="1"/>
  <c r="I21" i="5" a="1"/>
  <c r="R21" i="5" a="1"/>
  <c r="AH21" i="5" a="1"/>
  <c r="BG21" i="5" a="1"/>
  <c r="X21" i="5" a="1"/>
  <c r="O21" i="5" a="1"/>
  <c r="AJ21" i="5" a="1"/>
  <c r="AS21" i="5" a="1"/>
  <c r="BB21" i="5" a="1"/>
  <c r="BM21" i="5" a="1"/>
  <c r="P21" i="5" a="1"/>
  <c r="Z21" i="5" a="1"/>
  <c r="AT21" i="5" a="1"/>
  <c r="AK21" i="5" a="1"/>
  <c r="BD21" i="5" a="1"/>
  <c r="BN21" i="5" a="1"/>
  <c r="J21" i="5" a="1"/>
  <c r="AW21" i="5" a="1"/>
  <c r="V21" i="5" a="1"/>
  <c r="AL21" i="5" a="1"/>
  <c r="BA21" i="5" a="1"/>
  <c r="AM21" i="5" a="1"/>
  <c r="BE21" i="5" a="1"/>
  <c r="L21" i="5" a="1"/>
  <c r="AD21" i="5" a="1"/>
  <c r="AU21" i="5" a="1"/>
  <c r="BK21" i="5" a="1"/>
  <c r="AE21" i="5" a="1"/>
  <c r="BL21" i="5" a="1"/>
  <c r="M21" i="5" a="1"/>
  <c r="AF21" i="5" a="1"/>
  <c r="AY21" i="5" a="1"/>
  <c r="AN21" i="5" a="1"/>
  <c r="H21" i="5" a="1"/>
  <c r="AQ21" i="5" a="1"/>
  <c r="AR21" i="5" a="1"/>
  <c r="W21" i="5" a="1"/>
  <c r="BF21" i="5" a="1"/>
  <c r="BH21" i="5" a="1"/>
  <c r="AZ21" i="5" a="1"/>
  <c r="BI21" i="5" a="1"/>
  <c r="S21" i="5" a="1"/>
  <c r="T21" i="5" a="1"/>
  <c r="AC21" i="5" a="1"/>
  <c r="E21" i="6"/>
  <c r="M9" i="5" a="1"/>
  <c r="G9" i="5" a="1"/>
  <c r="N9" i="5" a="1"/>
  <c r="J9" i="5" a="1"/>
  <c r="H9" i="5" a="1"/>
  <c r="R9" i="5" a="1"/>
  <c r="Y9" i="5" a="1"/>
  <c r="AH9" i="5" a="1"/>
  <c r="AO9" i="5" a="1"/>
  <c r="AW9" i="5" a="1"/>
  <c r="BD9" i="5" a="1"/>
  <c r="BL9" i="5" a="1"/>
  <c r="K9" i="5" a="1"/>
  <c r="AC9" i="5" a="1"/>
  <c r="AL9" i="5" a="1"/>
  <c r="AU9" i="5" a="1"/>
  <c r="BB9" i="5" a="1"/>
  <c r="AF9" i="5" a="1"/>
  <c r="AN9" i="5" a="1"/>
  <c r="BM9" i="5" a="1"/>
  <c r="T9" i="5" a="1"/>
  <c r="AE9" i="5" a="1"/>
  <c r="AP9" i="5" a="1"/>
  <c r="AY9" i="5" a="1"/>
  <c r="BI9" i="5" a="1"/>
  <c r="X9" i="5" a="1"/>
  <c r="AS9" i="5" a="1"/>
  <c r="BN9" i="5" a="1"/>
  <c r="O9" i="5" a="1"/>
  <c r="AJ9" i="5" a="1"/>
  <c r="AT9" i="5" a="1"/>
  <c r="BC9" i="5" a="1"/>
  <c r="V9" i="5" a="1"/>
  <c r="AX9" i="5" a="1"/>
  <c r="BJ9" i="5" a="1"/>
  <c r="AA9" i="5" a="1"/>
  <c r="BA9" i="5" a="1"/>
  <c r="L9" i="5" a="1"/>
  <c r="AB9" i="5" a="1"/>
  <c r="AI9" i="5" a="1"/>
  <c r="S9" i="5" a="1"/>
  <c r="AK9" i="5" a="1"/>
  <c r="BE9" i="5" a="1"/>
  <c r="Z9" i="5" a="1"/>
  <c r="AR9" i="5" a="1"/>
  <c r="BK9" i="5" a="1"/>
  <c r="I9" i="5" a="1"/>
  <c r="AD9" i="5" a="1"/>
  <c r="AV9" i="5" a="1"/>
  <c r="BG9" i="5" a="1"/>
  <c r="BH9" i="5" a="1"/>
  <c r="AG9" i="5" a="1"/>
  <c r="AQ9" i="5" a="1"/>
  <c r="U9" i="5" a="1"/>
  <c r="AZ9" i="5" a="1"/>
  <c r="BF9" i="5" a="1"/>
  <c r="W9" i="5" a="1"/>
  <c r="AM9" i="5" a="1"/>
  <c r="P9" i="5" a="1"/>
  <c r="Q9" i="5" a="1"/>
  <c r="E9" i="6"/>
  <c r="L131" i="5" a="1"/>
  <c r="S131" i="5" a="1"/>
  <c r="AN131" i="5" a="1"/>
  <c r="AU131" i="5" a="1"/>
  <c r="BC131" i="5" a="1"/>
  <c r="O131" i="5" a="1"/>
  <c r="AK131" i="5" a="1"/>
  <c r="AR131" i="5" a="1"/>
  <c r="BF131" i="5" a="1"/>
  <c r="BM131" i="5" a="1"/>
  <c r="H131" i="5" a="1"/>
  <c r="W131" i="5" a="1"/>
  <c r="AE131" i="5" a="1"/>
  <c r="AZ131" i="5" a="1"/>
  <c r="BN131" i="5" a="1"/>
  <c r="J131" i="5" a="1"/>
  <c r="T131" i="5" a="1"/>
  <c r="AD131" i="5" a="1"/>
  <c r="AM131" i="5" a="1"/>
  <c r="AW131" i="5" a="1"/>
  <c r="K131" i="5" a="1"/>
  <c r="BG131" i="5" a="1"/>
  <c r="U131" i="5" a="1"/>
  <c r="AF131" i="5" a="1"/>
  <c r="AO131" i="5" a="1"/>
  <c r="AX131" i="5" a="1"/>
  <c r="BH131" i="5" a="1"/>
  <c r="BB131" i="5" a="1"/>
  <c r="P131" i="5" a="1"/>
  <c r="Z131" i="5" a="1"/>
  <c r="AI131" i="5" a="1"/>
  <c r="AS131" i="5" a="1"/>
  <c r="BK131" i="5" a="1"/>
  <c r="N131" i="5" a="1"/>
  <c r="BL131" i="5" a="1"/>
  <c r="Q131" i="5" a="1"/>
  <c r="AG131" i="5" a="1"/>
  <c r="AV131" i="5" a="1"/>
  <c r="X131" i="5" a="1"/>
  <c r="BD131" i="5" a="1"/>
  <c r="G131" i="5" a="1"/>
  <c r="Y131" i="5" a="1"/>
  <c r="AP131" i="5" a="1"/>
  <c r="AH131" i="5" a="1"/>
  <c r="BE131" i="5" a="1"/>
  <c r="I131" i="5" a="1"/>
  <c r="AJ131" i="5" a="1"/>
  <c r="M131" i="5" a="1"/>
  <c r="BI131" i="5" a="1"/>
  <c r="AL131" i="5" a="1"/>
  <c r="BA131" i="5" a="1"/>
  <c r="V131" i="5" a="1"/>
  <c r="AA131" i="5" a="1"/>
  <c r="BJ131" i="5" a="1"/>
  <c r="AQ131" i="5" a="1"/>
  <c r="AT131" i="5" a="1"/>
  <c r="AY131" i="5" a="1"/>
  <c r="R131" i="5" a="1"/>
  <c r="AB131" i="5" a="1"/>
  <c r="E131" i="6"/>
  <c r="AC131" i="5" a="1"/>
  <c r="G97" i="5" a="1"/>
  <c r="N97" i="5" a="1"/>
  <c r="AA97" i="5" a="1"/>
  <c r="AN97" i="5" a="1"/>
  <c r="AU97" i="5" a="1"/>
  <c r="BB97" i="5" a="1"/>
  <c r="BI97" i="5" a="1"/>
  <c r="H97" i="5" a="1"/>
  <c r="O97" i="5" a="1"/>
  <c r="V97" i="5" a="1"/>
  <c r="AC97" i="5" a="1"/>
  <c r="AJ97" i="5" a="1"/>
  <c r="AR97" i="5" a="1"/>
  <c r="AY97" i="5" a="1"/>
  <c r="BN97" i="5" a="1"/>
  <c r="BG97" i="5" a="1"/>
  <c r="P97" i="5" a="1"/>
  <c r="X97" i="5" a="1"/>
  <c r="AO97" i="5" a="1"/>
  <c r="AX97" i="5" a="1"/>
  <c r="BH97" i="5" a="1"/>
  <c r="AG97" i="5" a="1"/>
  <c r="AP97" i="5" a="1"/>
  <c r="I97" i="5" a="1"/>
  <c r="Q97" i="5" a="1"/>
  <c r="Y97" i="5" a="1"/>
  <c r="AH97" i="5" a="1"/>
  <c r="AZ97" i="5" a="1"/>
  <c r="BJ97" i="5" a="1"/>
  <c r="R97" i="5" a="1"/>
  <c r="BA97" i="5" a="1"/>
  <c r="AD97" i="5" a="1"/>
  <c r="BM97" i="5" a="1"/>
  <c r="S97" i="5" a="1"/>
  <c r="AQ97" i="5" a="1"/>
  <c r="BC97" i="5" a="1"/>
  <c r="W97" i="5" a="1"/>
  <c r="AI97" i="5" a="1"/>
  <c r="L97" i="5" a="1"/>
  <c r="BF97" i="5" a="1"/>
  <c r="AL97" i="5" a="1"/>
  <c r="BE97" i="5" a="1"/>
  <c r="T97" i="5" a="1"/>
  <c r="U97" i="5" a="1"/>
  <c r="AM97" i="5" a="1"/>
  <c r="BK97" i="5" a="1"/>
  <c r="J97" i="5" a="1"/>
  <c r="AV97" i="5" a="1"/>
  <c r="AB97" i="5" a="1"/>
  <c r="Z97" i="5" a="1"/>
  <c r="AS97" i="5" a="1"/>
  <c r="K97" i="5" a="1"/>
  <c r="AT97" i="5" a="1"/>
  <c r="AW97" i="5" a="1"/>
  <c r="BD97" i="5" a="1"/>
  <c r="BL97" i="5" a="1"/>
  <c r="M97" i="5" a="1"/>
  <c r="AE97" i="5" a="1"/>
  <c r="AF97" i="5" a="1"/>
  <c r="E97" i="6"/>
  <c r="AK97" i="5" a="1"/>
  <c r="H61" i="5" a="1"/>
  <c r="P61" i="5" a="1"/>
  <c r="X61" i="5" a="1"/>
  <c r="AE61" i="5" a="1"/>
  <c r="AM61" i="5" a="1"/>
  <c r="AU61" i="5" a="1"/>
  <c r="BL61" i="5" a="1"/>
  <c r="Q61" i="5" a="1"/>
  <c r="AN61" i="5" a="1"/>
  <c r="AV61" i="5" a="1"/>
  <c r="BD61" i="5" a="1"/>
  <c r="BM61" i="5" a="1"/>
  <c r="I61" i="5" a="1"/>
  <c r="Y61" i="5" a="1"/>
  <c r="AF61" i="5" a="1"/>
  <c r="AO61" i="5" a="1"/>
  <c r="AW61" i="5" a="1"/>
  <c r="BN61" i="5" a="1"/>
  <c r="R61" i="5" a="1"/>
  <c r="Z61" i="5" a="1"/>
  <c r="BE61" i="5" a="1"/>
  <c r="T61" i="5" a="1"/>
  <c r="AI61" i="5" a="1"/>
  <c r="AQ61" i="5" a="1"/>
  <c r="L61" i="5" a="1"/>
  <c r="AB61" i="5" a="1"/>
  <c r="AJ61" i="5" a="1"/>
  <c r="AR61" i="5" a="1"/>
  <c r="AZ61" i="5" a="1"/>
  <c r="BH61" i="5" a="1"/>
  <c r="S61" i="5" a="1"/>
  <c r="AG61" i="5" a="1"/>
  <c r="AX61" i="5" a="1"/>
  <c r="AH61" i="5" a="1"/>
  <c r="AY61" i="5" a="1"/>
  <c r="U61" i="5" a="1"/>
  <c r="AK61" i="5" a="1"/>
  <c r="BA61" i="5" a="1"/>
  <c r="J61" i="5" a="1"/>
  <c r="K61" i="5" a="1"/>
  <c r="AD61" i="5" a="1"/>
  <c r="BB61" i="5" a="1"/>
  <c r="M61" i="5" a="1"/>
  <c r="BC61" i="5" a="1"/>
  <c r="BF61" i="5" a="1"/>
  <c r="V61" i="5" a="1"/>
  <c r="AP61" i="5" a="1"/>
  <c r="BJ61" i="5" a="1"/>
  <c r="W61" i="5" a="1"/>
  <c r="BK61" i="5" a="1"/>
  <c r="N61" i="5" a="1"/>
  <c r="O61" i="5" a="1"/>
  <c r="AA61" i="5" a="1"/>
  <c r="G61" i="5" a="1"/>
  <c r="AC61" i="5" a="1"/>
  <c r="AT61" i="5" a="1"/>
  <c r="AL61" i="5" a="1"/>
  <c r="BG61" i="5" a="1"/>
  <c r="BI61" i="5" a="1"/>
  <c r="E61" i="6"/>
  <c r="AS61" i="5" a="1"/>
  <c r="I24" i="5" a="1"/>
  <c r="P24" i="5" a="1"/>
  <c r="AC24" i="5" a="1"/>
  <c r="AJ24" i="5" a="1"/>
  <c r="BD24" i="5" a="1"/>
  <c r="W24" i="5" a="1"/>
  <c r="AQ24" i="5" a="1"/>
  <c r="M24" i="5" a="1"/>
  <c r="AD24" i="5" a="1"/>
  <c r="AL24" i="5" a="1"/>
  <c r="AT24" i="5" a="1"/>
  <c r="BI24" i="5" a="1"/>
  <c r="N24" i="5" a="1"/>
  <c r="V24" i="5" a="1"/>
  <c r="AM24" i="5" a="1"/>
  <c r="AU24" i="5" a="1"/>
  <c r="BB24" i="5" a="1"/>
  <c r="Q24" i="5" a="1"/>
  <c r="AI24" i="5" a="1"/>
  <c r="AS24" i="5" a="1"/>
  <c r="BL24" i="5" a="1"/>
  <c r="G24" i="5" a="1"/>
  <c r="Z24" i="5" a="1"/>
  <c r="BC24" i="5" a="1"/>
  <c r="K24" i="5" a="1"/>
  <c r="T24" i="5" a="1"/>
  <c r="AE24" i="5" a="1"/>
  <c r="AX24" i="5" a="1"/>
  <c r="AY24" i="5" a="1"/>
  <c r="BJ24" i="5" a="1"/>
  <c r="L24" i="5" a="1"/>
  <c r="Y24" i="5" a="1"/>
  <c r="BK24" i="5" a="1"/>
  <c r="BE24" i="5" a="1"/>
  <c r="S24" i="5" a="1"/>
  <c r="AF24" i="5" a="1"/>
  <c r="AR24" i="5" a="1"/>
  <c r="AG24" i="5" a="1"/>
  <c r="BF24" i="5" a="1"/>
  <c r="H24" i="5" a="1"/>
  <c r="U24" i="5" a="1"/>
  <c r="AH24" i="5" a="1"/>
  <c r="AV24" i="5" a="1"/>
  <c r="BG24" i="5" a="1"/>
  <c r="AN24" i="5" a="1"/>
  <c r="BM24" i="5" a="1"/>
  <c r="O24" i="5" a="1"/>
  <c r="AO24" i="5" a="1"/>
  <c r="BN24" i="5" a="1"/>
  <c r="R24" i="5" a="1"/>
  <c r="AP24" i="5" a="1"/>
  <c r="AA24" i="5" a="1"/>
  <c r="AZ24" i="5" a="1"/>
  <c r="AW24" i="5" a="1"/>
  <c r="BA24" i="5" a="1"/>
  <c r="X24" i="5" a="1"/>
  <c r="J24" i="5" a="1"/>
  <c r="AB24" i="5" a="1"/>
  <c r="BH24" i="5" a="1"/>
  <c r="AK24" i="5" a="1"/>
  <c r="E24" i="6"/>
  <c r="J106" i="5" a="1"/>
  <c r="W106" i="5" a="1"/>
  <c r="AD106" i="5" a="1"/>
  <c r="AY106" i="5" a="1"/>
  <c r="BF106" i="5" a="1"/>
  <c r="BM106" i="5" a="1"/>
  <c r="AB106" i="5" a="1"/>
  <c r="AQ106" i="5" a="1"/>
  <c r="BG106" i="5" a="1"/>
  <c r="BN106" i="5" a="1"/>
  <c r="G106" i="5" a="1"/>
  <c r="N106" i="5" a="1"/>
  <c r="U106" i="5" a="1"/>
  <c r="AJ106" i="5" a="1"/>
  <c r="AR106" i="5" a="1"/>
  <c r="H106" i="5" a="1"/>
  <c r="P106" i="5" a="1"/>
  <c r="AH106" i="5" a="1"/>
  <c r="AP106" i="5" a="1"/>
  <c r="BJ106" i="5" a="1"/>
  <c r="Q106" i="5" a="1"/>
  <c r="Z106" i="5" a="1"/>
  <c r="AS106" i="5" a="1"/>
  <c r="BA106" i="5" a="1"/>
  <c r="I106" i="5" a="1"/>
  <c r="R106" i="5" a="1"/>
  <c r="AI106" i="5" a="1"/>
  <c r="BK106" i="5" a="1"/>
  <c r="L106" i="5" a="1"/>
  <c r="T106" i="5" a="1"/>
  <c r="AM106" i="5" a="1"/>
  <c r="BD106" i="5" a="1"/>
  <c r="AE106" i="5" a="1"/>
  <c r="AV106" i="5" a="1"/>
  <c r="BE106" i="5" a="1"/>
  <c r="AC106" i="5" a="1"/>
  <c r="AT106" i="5" a="1"/>
  <c r="BI106" i="5" a="1"/>
  <c r="O106" i="5" a="1"/>
  <c r="AF106" i="5" a="1"/>
  <c r="AU106" i="5" a="1"/>
  <c r="V106" i="5" a="1"/>
  <c r="AL106" i="5" a="1"/>
  <c r="AZ106" i="5" a="1"/>
  <c r="BB106" i="5" a="1"/>
  <c r="AW106" i="5" a="1"/>
  <c r="X106" i="5" a="1"/>
  <c r="BH106" i="5" a="1"/>
  <c r="AK106" i="5" a="1"/>
  <c r="BL106" i="5" a="1"/>
  <c r="Y106" i="5" a="1"/>
  <c r="AA106" i="5" a="1"/>
  <c r="AO106" i="5" a="1"/>
  <c r="K106" i="5" a="1"/>
  <c r="M106" i="5" a="1"/>
  <c r="AX106" i="5" a="1"/>
  <c r="BC106" i="5" a="1"/>
  <c r="E106" i="6"/>
  <c r="AN106" i="5" a="1"/>
  <c r="S106" i="5" a="1"/>
  <c r="AG106" i="5" a="1"/>
  <c r="V56" i="5" a="1"/>
  <c r="AQ56" i="5" a="1"/>
  <c r="O56" i="5" a="1"/>
  <c r="AD56" i="5" a="1"/>
  <c r="AK56" i="5" a="1"/>
  <c r="AS56" i="5" a="1"/>
  <c r="BA56" i="5" a="1"/>
  <c r="T56" i="5" a="1"/>
  <c r="AC56" i="5" a="1"/>
  <c r="BD56" i="5" a="1"/>
  <c r="K56" i="5" a="1"/>
  <c r="U56" i="5" a="1"/>
  <c r="AL56" i="5" a="1"/>
  <c r="AV56" i="5" a="1"/>
  <c r="BM56" i="5" a="1"/>
  <c r="L56" i="5" a="1"/>
  <c r="AM56" i="5" a="1"/>
  <c r="BE56" i="5" a="1"/>
  <c r="BN56" i="5" a="1"/>
  <c r="M56" i="5" a="1"/>
  <c r="W56" i="5" a="1"/>
  <c r="AE56" i="5" a="1"/>
  <c r="AN56" i="5" a="1"/>
  <c r="AW56" i="5" a="1"/>
  <c r="BF56" i="5" a="1"/>
  <c r="P56" i="5" a="1"/>
  <c r="Y56" i="5" a="1"/>
  <c r="AG56" i="5" a="1"/>
  <c r="AP56" i="5" a="1"/>
  <c r="AY56" i="5" a="1"/>
  <c r="BI56" i="5" a="1"/>
  <c r="G56" i="5" a="1"/>
  <c r="AH56" i="5" a="1"/>
  <c r="AZ56" i="5" a="1"/>
  <c r="N56" i="5" a="1"/>
  <c r="AF56" i="5" a="1"/>
  <c r="AX56" i="5" a="1"/>
  <c r="Q56" i="5" a="1"/>
  <c r="BB56" i="5" a="1"/>
  <c r="AI56" i="5" a="1"/>
  <c r="BG56" i="5" a="1"/>
  <c r="I56" i="5" a="1"/>
  <c r="AJ56" i="5" a="1"/>
  <c r="BH56" i="5" a="1"/>
  <c r="J56" i="5" a="1"/>
  <c r="BJ56" i="5" a="1"/>
  <c r="R56" i="5" a="1"/>
  <c r="AO56" i="5" a="1"/>
  <c r="X56" i="5" a="1"/>
  <c r="AR56" i="5" a="1"/>
  <c r="AT56" i="5" a="1"/>
  <c r="Z56" i="5" a="1"/>
  <c r="AU56" i="5" a="1"/>
  <c r="BK56" i="5" a="1"/>
  <c r="H56" i="5" a="1"/>
  <c r="BL56" i="5" a="1"/>
  <c r="S56" i="5" a="1"/>
  <c r="BC56" i="5" a="1"/>
  <c r="AB56" i="5" a="1"/>
  <c r="E56" i="6"/>
  <c r="AA56" i="5" a="1"/>
  <c r="R30" i="5" a="1"/>
  <c r="Y30" i="5" a="1"/>
  <c r="AF30" i="5" a="1"/>
  <c r="AT30" i="5" a="1"/>
  <c r="BA30" i="5" a="1"/>
  <c r="K30" i="5" a="1"/>
  <c r="AN30" i="5" a="1"/>
  <c r="AU30" i="5" a="1"/>
  <c r="BB30" i="5" a="1"/>
  <c r="BI30" i="5" a="1"/>
  <c r="Z30" i="5" a="1"/>
  <c r="AQ30" i="5" a="1"/>
  <c r="AY30" i="5" a="1"/>
  <c r="BG30" i="5" a="1"/>
  <c r="I30" i="5" a="1"/>
  <c r="Q30" i="5" a="1"/>
  <c r="AI30" i="5" a="1"/>
  <c r="BH30" i="5" a="1"/>
  <c r="M30" i="5" a="1"/>
  <c r="AC30" i="5" a="1"/>
  <c r="AL30" i="5" a="1"/>
  <c r="AV30" i="5" a="1"/>
  <c r="J30" i="5" a="1"/>
  <c r="V30" i="5" a="1"/>
  <c r="AG30" i="5" a="1"/>
  <c r="BD30" i="5" a="1"/>
  <c r="BN30" i="5" a="1"/>
  <c r="L30" i="5" a="1"/>
  <c r="AH30" i="5" a="1"/>
  <c r="AS30" i="5" a="1"/>
  <c r="AM30" i="5" a="1"/>
  <c r="AX30" i="5" a="1"/>
  <c r="BJ30" i="5" a="1"/>
  <c r="P30" i="5" a="1"/>
  <c r="AB30" i="5" a="1"/>
  <c r="S30" i="5" a="1"/>
  <c r="AO30" i="5" a="1"/>
  <c r="AZ30" i="5" a="1"/>
  <c r="BK30" i="5" a="1"/>
  <c r="AJ30" i="5" a="1"/>
  <c r="O30" i="5" a="1"/>
  <c r="BC30" i="5" a="1"/>
  <c r="AK30" i="5" a="1"/>
  <c r="BE30" i="5" a="1"/>
  <c r="T30" i="5" a="1"/>
  <c r="X30" i="5" a="1"/>
  <c r="AR30" i="5" a="1"/>
  <c r="BL30" i="5" a="1"/>
  <c r="G30" i="5" a="1"/>
  <c r="AP30" i="5" a="1"/>
  <c r="H30" i="5" a="1"/>
  <c r="AW30" i="5" a="1"/>
  <c r="U30" i="5" a="1"/>
  <c r="BF30" i="5" a="1"/>
  <c r="W30" i="5" a="1"/>
  <c r="BM30" i="5" a="1"/>
  <c r="N30" i="5" a="1"/>
  <c r="AA30" i="5" a="1"/>
  <c r="AD30" i="5" a="1"/>
  <c r="AE30" i="5" a="1"/>
  <c r="E30" i="6"/>
  <c r="H110" i="5" a="1"/>
  <c r="O110" i="5" a="1"/>
  <c r="X110" i="5" a="1"/>
  <c r="AE110" i="5" a="1"/>
  <c r="AT110" i="5" a="1"/>
  <c r="BC110" i="5" a="1"/>
  <c r="BK110" i="5" a="1"/>
  <c r="AL110" i="5" a="1"/>
  <c r="AU110" i="5" a="1"/>
  <c r="BD110" i="5" a="1"/>
  <c r="U110" i="5" a="1"/>
  <c r="AN110" i="5" a="1"/>
  <c r="BG110" i="5" a="1"/>
  <c r="M110" i="5" a="1"/>
  <c r="V110" i="5" a="1"/>
  <c r="AF110" i="5" a="1"/>
  <c r="AO110" i="5" a="1"/>
  <c r="AX110" i="5" a="1"/>
  <c r="BH110" i="5" a="1"/>
  <c r="W110" i="5" a="1"/>
  <c r="AP110" i="5" a="1"/>
  <c r="AY110" i="5" a="1"/>
  <c r="BI110" i="5" a="1"/>
  <c r="BB110" i="5" a="1"/>
  <c r="BM110" i="5" a="1"/>
  <c r="I110" i="5" a="1"/>
  <c r="Q110" i="5" a="1"/>
  <c r="AA110" i="5" a="1"/>
  <c r="AI110" i="5" a="1"/>
  <c r="AS110" i="5" a="1"/>
  <c r="G110" i="5" a="1"/>
  <c r="Y110" i="5" a="1"/>
  <c r="AK110" i="5" a="1"/>
  <c r="BE110" i="5" a="1"/>
  <c r="J110" i="5" a="1"/>
  <c r="AM110" i="5" a="1"/>
  <c r="Z110" i="5" a="1"/>
  <c r="AQ110" i="5" a="1"/>
  <c r="BF110" i="5" a="1"/>
  <c r="AD110" i="5" a="1"/>
  <c r="AV110" i="5" a="1"/>
  <c r="BL110" i="5" a="1"/>
  <c r="P110" i="5" a="1"/>
  <c r="AG110" i="5" a="1"/>
  <c r="BN110" i="5" a="1"/>
  <c r="AW110" i="5" a="1"/>
  <c r="T110" i="5" a="1"/>
  <c r="AZ110" i="5" a="1"/>
  <c r="AH110" i="5" a="1"/>
  <c r="K110" i="5" a="1"/>
  <c r="AJ110" i="5" a="1"/>
  <c r="AB110" i="5" a="1"/>
  <c r="AC110" i="5" a="1"/>
  <c r="AR110" i="5" a="1"/>
  <c r="L110" i="5" a="1"/>
  <c r="N110" i="5" a="1"/>
  <c r="E110" i="6"/>
  <c r="BA110" i="5" a="1"/>
  <c r="R110" i="5" a="1"/>
  <c r="S110" i="5" a="1"/>
  <c r="BJ110" i="5" a="1"/>
  <c r="J50" i="5" a="1"/>
  <c r="Q50" i="5" a="1"/>
  <c r="Y50" i="5" a="1"/>
  <c r="AF50" i="5" a="1"/>
  <c r="BC50" i="5" a="1"/>
  <c r="R50" i="5" a="1"/>
  <c r="AN50" i="5" a="1"/>
  <c r="AU50" i="5" a="1"/>
  <c r="BK50" i="5" a="1"/>
  <c r="M50" i="5" a="1"/>
  <c r="T50" i="5" a="1"/>
  <c r="AA50" i="5" a="1"/>
  <c r="AH50" i="5" a="1"/>
  <c r="AP50" i="5" a="1"/>
  <c r="AX50" i="5" a="1"/>
  <c r="S50" i="5" a="1"/>
  <c r="AB50" i="5" a="1"/>
  <c r="AV50" i="5" a="1"/>
  <c r="I50" i="5" a="1"/>
  <c r="AL50" i="5" a="1"/>
  <c r="AW50" i="5" a="1"/>
  <c r="BG50" i="5" a="1"/>
  <c r="AC50" i="5" a="1"/>
  <c r="AM50" i="5" a="1"/>
  <c r="BH50" i="5" a="1"/>
  <c r="K50" i="5" a="1"/>
  <c r="U50" i="5" a="1"/>
  <c r="AD50" i="5" a="1"/>
  <c r="AY50" i="5" a="1"/>
  <c r="BI50" i="5" a="1"/>
  <c r="N50" i="5" a="1"/>
  <c r="AG50" i="5" a="1"/>
  <c r="W50" i="5" a="1"/>
  <c r="AR50" i="5" a="1"/>
  <c r="BA50" i="5" a="1"/>
  <c r="BL50" i="5" a="1"/>
  <c r="AO50" i="5" a="1"/>
  <c r="V50" i="5" a="1"/>
  <c r="AQ50" i="5" a="1"/>
  <c r="BJ50" i="5" a="1"/>
  <c r="X50" i="5" a="1"/>
  <c r="BM50" i="5" a="1"/>
  <c r="Z50" i="5" a="1"/>
  <c r="AZ50" i="5" a="1"/>
  <c r="BB50" i="5" a="1"/>
  <c r="G50" i="5" a="1"/>
  <c r="AE50" i="5" a="1"/>
  <c r="BD50" i="5" a="1"/>
  <c r="L50" i="5" a="1"/>
  <c r="AI50" i="5" a="1"/>
  <c r="BN50" i="5" a="1"/>
  <c r="AJ50" i="5" a="1"/>
  <c r="O50" i="5" a="1"/>
  <c r="AK50" i="5" a="1"/>
  <c r="H50" i="5" a="1"/>
  <c r="P50" i="5" a="1"/>
  <c r="AT50" i="5" a="1"/>
  <c r="BE50" i="5" a="1"/>
  <c r="AS50" i="5" a="1"/>
  <c r="BF50" i="5" a="1"/>
  <c r="E50" i="6"/>
  <c r="G129" i="5" a="1"/>
  <c r="U129" i="5" a="1"/>
  <c r="AY129" i="5" a="1"/>
  <c r="BF129" i="5" a="1"/>
  <c r="BM129" i="5" a="1"/>
  <c r="Y129" i="5" a="1"/>
  <c r="AG129" i="5" a="1"/>
  <c r="AN129" i="5" a="1"/>
  <c r="BJ129" i="5" a="1"/>
  <c r="K129" i="5" a="1"/>
  <c r="R129" i="5" a="1"/>
  <c r="Z129" i="5" a="1"/>
  <c r="AO129" i="5" a="1"/>
  <c r="AV129" i="5" a="1"/>
  <c r="BC129" i="5" a="1"/>
  <c r="X129" i="5" a="1"/>
  <c r="AI129" i="5" a="1"/>
  <c r="BB129" i="5" a="1"/>
  <c r="BL129" i="5" a="1"/>
  <c r="P129" i="5" a="1"/>
  <c r="AJ129" i="5" a="1"/>
  <c r="AT129" i="5" a="1"/>
  <c r="BD129" i="5" a="1"/>
  <c r="H129" i="5" a="1"/>
  <c r="AA129" i="5" a="1"/>
  <c r="AK129" i="5" a="1"/>
  <c r="J129" i="5" a="1"/>
  <c r="T129" i="5" a="1"/>
  <c r="AD129" i="5" a="1"/>
  <c r="AX129" i="5" a="1"/>
  <c r="L129" i="5" a="1"/>
  <c r="AE129" i="5" a="1"/>
  <c r="BH129" i="5" a="1"/>
  <c r="AR129" i="5" a="1"/>
  <c r="AB129" i="5" a="1"/>
  <c r="AS129" i="5" a="1"/>
  <c r="BI129" i="5" a="1"/>
  <c r="AZ129" i="5" a="1"/>
  <c r="S129" i="5" a="1"/>
  <c r="AL129" i="5" a="1"/>
  <c r="AU129" i="5" a="1"/>
  <c r="V129" i="5" a="1"/>
  <c r="W129" i="5" a="1"/>
  <c r="AW129" i="5" a="1"/>
  <c r="AM129" i="5" a="1"/>
  <c r="O129" i="5" a="1"/>
  <c r="BE129" i="5" a="1"/>
  <c r="E129" i="6"/>
  <c r="Q129" i="5" a="1"/>
  <c r="BG129" i="5" a="1"/>
  <c r="BK129" i="5" a="1"/>
  <c r="AC129" i="5" a="1"/>
  <c r="I129" i="5" a="1"/>
  <c r="M129" i="5" a="1"/>
  <c r="N129" i="5" a="1"/>
  <c r="AH129" i="5" a="1"/>
  <c r="AF129" i="5" a="1"/>
  <c r="AP129" i="5" a="1"/>
  <c r="BA129" i="5" a="1"/>
  <c r="BN129" i="5" a="1"/>
  <c r="AQ129" i="5" a="1"/>
  <c r="I60" i="5" a="1"/>
  <c r="Y60" i="5" a="1"/>
  <c r="AF60" i="5" a="1"/>
  <c r="AM60" i="5" a="1"/>
  <c r="AU60" i="5" a="1"/>
  <c r="BI60" i="5" a="1"/>
  <c r="J60" i="5" a="1"/>
  <c r="R60" i="5" a="1"/>
  <c r="AG60" i="5" a="1"/>
  <c r="AN60" i="5" a="1"/>
  <c r="BB60" i="5" a="1"/>
  <c r="Z60" i="5" a="1"/>
  <c r="AH60" i="5" a="1"/>
  <c r="AV60" i="5" a="1"/>
  <c r="BJ60" i="5" a="1"/>
  <c r="K60" i="5" a="1"/>
  <c r="S60" i="5" a="1"/>
  <c r="AO60" i="5" a="1"/>
  <c r="BC60" i="5" a="1"/>
  <c r="M60" i="5" a="1"/>
  <c r="U60" i="5" a="1"/>
  <c r="AC60" i="5" a="1"/>
  <c r="AJ60" i="5" a="1"/>
  <c r="AQ60" i="5" a="1"/>
  <c r="AX60" i="5" a="1"/>
  <c r="BF60" i="5" a="1"/>
  <c r="V60" i="5" a="1"/>
  <c r="BM60" i="5" a="1"/>
  <c r="T60" i="5" a="1"/>
  <c r="AI60" i="5" a="1"/>
  <c r="AW60" i="5" a="1"/>
  <c r="BK60" i="5" a="1"/>
  <c r="BL60" i="5" a="1"/>
  <c r="W60" i="5" a="1"/>
  <c r="AK60" i="5" a="1"/>
  <c r="AY60" i="5" a="1"/>
  <c r="AZ60" i="5" a="1"/>
  <c r="L60" i="5" a="1"/>
  <c r="AE60" i="5" a="1"/>
  <c r="N60" i="5" a="1"/>
  <c r="BA60" i="5" a="1"/>
  <c r="O60" i="5" a="1"/>
  <c r="BD60" i="5" a="1"/>
  <c r="X60" i="5" a="1"/>
  <c r="AP60" i="5" a="1"/>
  <c r="BH60" i="5" a="1"/>
  <c r="AR60" i="5" a="1"/>
  <c r="AB60" i="5" a="1"/>
  <c r="AD60" i="5" a="1"/>
  <c r="AL60" i="5" a="1"/>
  <c r="G60" i="5" a="1"/>
  <c r="H60" i="5" a="1"/>
  <c r="AS60" i="5" a="1"/>
  <c r="P60" i="5" a="1"/>
  <c r="Q60" i="5" a="1"/>
  <c r="AA60" i="5" a="1"/>
  <c r="BN60" i="5" a="1"/>
  <c r="AT60" i="5" a="1"/>
  <c r="E60" i="6"/>
  <c r="BE60" i="5" a="1"/>
  <c r="BG60" i="5" a="1"/>
  <c r="K64" i="5" a="1"/>
  <c r="S64" i="5" a="1"/>
  <c r="AG64" i="5" a="1"/>
  <c r="AU64" i="5" a="1"/>
  <c r="BB64" i="5" a="1"/>
  <c r="BI64" i="5" a="1"/>
  <c r="L64" i="5" a="1"/>
  <c r="AA64" i="5" a="1"/>
  <c r="AO64" i="5" a="1"/>
  <c r="AV64" i="5" a="1"/>
  <c r="M64" i="5" a="1"/>
  <c r="T64" i="5" a="1"/>
  <c r="AH64" i="5" a="1"/>
  <c r="BC64" i="5" a="1"/>
  <c r="BJ64" i="5" a="1"/>
  <c r="AB64" i="5" a="1"/>
  <c r="AP64" i="5" a="1"/>
  <c r="AW64" i="5" a="1"/>
  <c r="O64" i="5" a="1"/>
  <c r="V64" i="5" a="1"/>
  <c r="AK64" i="5" a="1"/>
  <c r="AR64" i="5" a="1"/>
  <c r="BL64" i="5" a="1"/>
  <c r="H64" i="5" a="1"/>
  <c r="W64" i="5" a="1"/>
  <c r="AD64" i="5" a="1"/>
  <c r="AL64" i="5" a="1"/>
  <c r="AY64" i="5" a="1"/>
  <c r="BF64" i="5" a="1"/>
  <c r="U64" i="5" a="1"/>
  <c r="AI64" i="5" a="1"/>
  <c r="BK64" i="5" a="1"/>
  <c r="G64" i="5" a="1"/>
  <c r="AJ64" i="5" a="1"/>
  <c r="AX64" i="5" a="1"/>
  <c r="BM64" i="5" a="1"/>
  <c r="N64" i="5" a="1"/>
  <c r="AZ64" i="5" a="1"/>
  <c r="AF64" i="5" a="1"/>
  <c r="P64" i="5" a="1"/>
  <c r="BA64" i="5" a="1"/>
  <c r="AM64" i="5" a="1"/>
  <c r="BD64" i="5" a="1"/>
  <c r="X64" i="5" a="1"/>
  <c r="BG64" i="5" a="1"/>
  <c r="Y64" i="5" a="1"/>
  <c r="AQ64" i="5" a="1"/>
  <c r="BH64" i="5" a="1"/>
  <c r="Z64" i="5" a="1"/>
  <c r="AS64" i="5" a="1"/>
  <c r="AC64" i="5" a="1"/>
  <c r="AE64" i="5" a="1"/>
  <c r="AN64" i="5" a="1"/>
  <c r="BE64" i="5" a="1"/>
  <c r="J64" i="5" a="1"/>
  <c r="Q64" i="5" a="1"/>
  <c r="R64" i="5" a="1"/>
  <c r="I64" i="5" a="1"/>
  <c r="BN64" i="5" a="1"/>
  <c r="AT64" i="5" a="1"/>
  <c r="E64" i="6"/>
  <c r="Z7" i="5" a="1"/>
  <c r="AG7" i="5" a="1"/>
  <c r="AO7" i="5" a="1"/>
  <c r="AW7" i="5" a="1"/>
  <c r="L7" i="5" a="1"/>
  <c r="S7" i="5" a="1"/>
  <c r="BD7" i="5" a="1"/>
  <c r="BL7" i="5" a="1"/>
  <c r="H7" i="5" a="1"/>
  <c r="AK7" i="5" a="1"/>
  <c r="AZ7" i="5" a="1"/>
  <c r="BH7" i="5" a="1"/>
  <c r="M7" i="5" a="1"/>
  <c r="V7" i="5" a="1"/>
  <c r="AF7" i="5" a="1"/>
  <c r="BA7" i="5" a="1"/>
  <c r="P7" i="5" a="1"/>
  <c r="AA7" i="5" a="1"/>
  <c r="AV7" i="5" a="1"/>
  <c r="BG7" i="5" a="1"/>
  <c r="R7" i="5" a="1"/>
  <c r="AC7" i="5" a="1"/>
  <c r="AY7" i="5" a="1"/>
  <c r="BJ7" i="5" a="1"/>
  <c r="N7" i="5" a="1"/>
  <c r="AN7" i="5" a="1"/>
  <c r="BB7" i="5" a="1"/>
  <c r="O7" i="5" a="1"/>
  <c r="AB7" i="5" a="1"/>
  <c r="AP7" i="5" a="1"/>
  <c r="I7" i="5" a="1"/>
  <c r="AH7" i="5" a="1"/>
  <c r="AU7" i="5" a="1"/>
  <c r="U7" i="5" a="1"/>
  <c r="AI7" i="5" a="1"/>
  <c r="BI7" i="5" a="1"/>
  <c r="T7" i="5" a="1"/>
  <c r="AM7" i="5" a="1"/>
  <c r="BF7" i="5" a="1"/>
  <c r="Y7" i="5" a="1"/>
  <c r="AT7" i="5" a="1"/>
  <c r="J7" i="5" a="1"/>
  <c r="AD7" i="5" a="1"/>
  <c r="AX7" i="5" a="1"/>
  <c r="AS7" i="5" a="1"/>
  <c r="W7" i="5" a="1"/>
  <c r="G7" i="5" a="1"/>
  <c r="BE7" i="5" a="1"/>
  <c r="K7" i="5" a="1"/>
  <c r="AJ7" i="5" a="1"/>
  <c r="BK7" i="5" a="1"/>
  <c r="BM7" i="5" a="1"/>
  <c r="AE7" i="5" a="1"/>
  <c r="AL7" i="5" a="1"/>
  <c r="AQ7" i="5" a="1"/>
  <c r="AR7" i="5" a="1"/>
  <c r="BC7" i="5" a="1"/>
  <c r="Q7" i="5" a="1"/>
  <c r="X7" i="5" a="1"/>
  <c r="BN7" i="5" a="1"/>
  <c r="E7" i="6"/>
  <c r="I128" i="5" a="1"/>
  <c r="AO128" i="5" a="1"/>
  <c r="AX128" i="5" a="1"/>
  <c r="U128" i="5" a="1"/>
  <c r="AC128" i="5" a="1"/>
  <c r="BC128" i="5" a="1"/>
  <c r="BK128" i="5" a="1"/>
  <c r="M128" i="5" a="1"/>
  <c r="AL128" i="5" a="1"/>
  <c r="AT128" i="5" a="1"/>
  <c r="BL128" i="5" a="1"/>
  <c r="T128" i="5" a="1"/>
  <c r="AF128" i="5" a="1"/>
  <c r="BB128" i="5" a="1"/>
  <c r="BN128" i="5" a="1"/>
  <c r="K128" i="5" a="1"/>
  <c r="V128" i="5" a="1"/>
  <c r="AG128" i="5" a="1"/>
  <c r="AQ128" i="5" a="1"/>
  <c r="BD128" i="5" a="1"/>
  <c r="W128" i="5" a="1"/>
  <c r="AH128" i="5" a="1"/>
  <c r="AR128" i="5" a="1"/>
  <c r="BE128" i="5" a="1"/>
  <c r="O128" i="5" a="1"/>
  <c r="Z128" i="5" a="1"/>
  <c r="AK128" i="5" a="1"/>
  <c r="AV128" i="5" a="1"/>
  <c r="P128" i="5" a="1"/>
  <c r="AA128" i="5" a="1"/>
  <c r="AM128" i="5" a="1"/>
  <c r="AW128" i="5" a="1"/>
  <c r="BH128" i="5" a="1"/>
  <c r="AE128" i="5" a="1"/>
  <c r="N128" i="5" a="1"/>
  <c r="AZ128" i="5" a="1"/>
  <c r="BI128" i="5" a="1"/>
  <c r="G128" i="5" a="1"/>
  <c r="X128" i="5" a="1"/>
  <c r="AP128" i="5" a="1"/>
  <c r="BJ128" i="5" a="1"/>
  <c r="Y128" i="5" a="1"/>
  <c r="BA128" i="5" a="1"/>
  <c r="AB128" i="5" a="1"/>
  <c r="BF128" i="5" a="1"/>
  <c r="J128" i="5" a="1"/>
  <c r="Q128" i="5" a="1"/>
  <c r="BG128" i="5" a="1"/>
  <c r="E128" i="6"/>
  <c r="R128" i="5" a="1"/>
  <c r="AJ128" i="5" a="1"/>
  <c r="AN128" i="5" a="1"/>
  <c r="AS128" i="5" a="1"/>
  <c r="AU128" i="5" a="1"/>
  <c r="BM128" i="5" a="1"/>
  <c r="L128" i="5" a="1"/>
  <c r="H128" i="5" a="1"/>
  <c r="S128" i="5" a="1"/>
  <c r="AD128" i="5" a="1"/>
  <c r="AI128" i="5" a="1"/>
  <c r="AY128" i="5" a="1"/>
  <c r="X95" i="5" a="1"/>
  <c r="AE95" i="5" a="1"/>
  <c r="AM95" i="5" a="1"/>
  <c r="AV95" i="5" a="1"/>
  <c r="BC95" i="5" a="1"/>
  <c r="BJ95" i="5" a="1"/>
  <c r="G95" i="5" a="1"/>
  <c r="W95" i="5" a="1"/>
  <c r="AO95" i="5" a="1"/>
  <c r="BE95" i="5" a="1"/>
  <c r="BM95" i="5" a="1"/>
  <c r="O95" i="5" a="1"/>
  <c r="AF95" i="5" a="1"/>
  <c r="AP95" i="5" a="1"/>
  <c r="AX95" i="5" a="1"/>
  <c r="BN95" i="5" a="1"/>
  <c r="V95" i="5" a="1"/>
  <c r="AG95" i="5" a="1"/>
  <c r="BA95" i="5" a="1"/>
  <c r="BK95" i="5" a="1"/>
  <c r="M95" i="5" a="1"/>
  <c r="AH95" i="5" a="1"/>
  <c r="AR95" i="5" a="1"/>
  <c r="BB95" i="5" a="1"/>
  <c r="Y95" i="5" a="1"/>
  <c r="AS95" i="5" a="1"/>
  <c r="BL95" i="5" a="1"/>
  <c r="P95" i="5" a="1"/>
  <c r="BD95" i="5" a="1"/>
  <c r="Q95" i="5" a="1"/>
  <c r="AB95" i="5" a="1"/>
  <c r="AQ95" i="5" a="1"/>
  <c r="R95" i="5" a="1"/>
  <c r="AC95" i="5" a="1"/>
  <c r="BF95" i="5" a="1"/>
  <c r="I95" i="5" a="1"/>
  <c r="U95" i="5" a="1"/>
  <c r="AJ95" i="5" a="1"/>
  <c r="AW95" i="5" a="1"/>
  <c r="BI95" i="5" a="1"/>
  <c r="J95" i="5" a="1"/>
  <c r="AK95" i="5" a="1"/>
  <c r="T95" i="5" a="1"/>
  <c r="AT95" i="5" a="1"/>
  <c r="AU95" i="5" a="1"/>
  <c r="Z95" i="5" a="1"/>
  <c r="K95" i="5" a="1"/>
  <c r="AI95" i="5" a="1"/>
  <c r="AA95" i="5" a="1"/>
  <c r="AN95" i="5" a="1"/>
  <c r="H95" i="5" a="1"/>
  <c r="AY95" i="5" a="1"/>
  <c r="AZ95" i="5" a="1"/>
  <c r="BG95" i="5" a="1"/>
  <c r="S95" i="5" a="1"/>
  <c r="L95" i="5" a="1"/>
  <c r="AL95" i="5" a="1"/>
  <c r="E95" i="6"/>
  <c r="BH95" i="5" a="1"/>
  <c r="N95" i="5" a="1"/>
  <c r="AD95" i="5" a="1"/>
  <c r="G59" i="5" a="1"/>
  <c r="N59" i="5" a="1"/>
  <c r="V59" i="5" a="1"/>
  <c r="AC59" i="5" a="1"/>
  <c r="AR59" i="5" a="1"/>
  <c r="BI59" i="5" a="1"/>
  <c r="O59" i="5" a="1"/>
  <c r="AD59" i="5" a="1"/>
  <c r="AK59" i="5" a="1"/>
  <c r="BA59" i="5" a="1"/>
  <c r="H59" i="5" a="1"/>
  <c r="P59" i="5" a="1"/>
  <c r="W59" i="5" a="1"/>
  <c r="AE59" i="5" a="1"/>
  <c r="AL59" i="5" a="1"/>
  <c r="AS59" i="5" a="1"/>
  <c r="BB59" i="5" a="1"/>
  <c r="BJ59" i="5" a="1"/>
  <c r="Q59" i="5" a="1"/>
  <c r="X59" i="5" a="1"/>
  <c r="AT59" i="5" a="1"/>
  <c r="J59" i="5" a="1"/>
  <c r="S59" i="5" a="1"/>
  <c r="Z59" i="5" a="1"/>
  <c r="AG59" i="5" a="1"/>
  <c r="AN59" i="5" a="1"/>
  <c r="AV59" i="5" a="1"/>
  <c r="BD59" i="5" a="1"/>
  <c r="BE59" i="5" a="1"/>
  <c r="BM59" i="5" a="1"/>
  <c r="R59" i="5" a="1"/>
  <c r="AF59" i="5" a="1"/>
  <c r="BK59" i="5" a="1"/>
  <c r="AU59" i="5" a="1"/>
  <c r="BL59" i="5" a="1"/>
  <c r="T59" i="5" a="1"/>
  <c r="AH59" i="5" a="1"/>
  <c r="AW59" i="5" a="1"/>
  <c r="BN59" i="5" a="1"/>
  <c r="I59" i="5" a="1"/>
  <c r="AX59" i="5" a="1"/>
  <c r="AB59" i="5" a="1"/>
  <c r="AY59" i="5" a="1"/>
  <c r="K59" i="5" a="1"/>
  <c r="AZ59" i="5" a="1"/>
  <c r="L59" i="5" a="1"/>
  <c r="BC59" i="5" a="1"/>
  <c r="AM59" i="5" a="1"/>
  <c r="BF59" i="5" a="1"/>
  <c r="U59" i="5" a="1"/>
  <c r="BG59" i="5" a="1"/>
  <c r="AO59" i="5" a="1"/>
  <c r="BH59" i="5" a="1"/>
  <c r="AJ59" i="5" a="1"/>
  <c r="AP59" i="5" a="1"/>
  <c r="AQ59" i="5" a="1"/>
  <c r="Y59" i="5" a="1"/>
  <c r="M59" i="5" a="1"/>
  <c r="AI59" i="5" a="1"/>
  <c r="AA59" i="5" a="1"/>
  <c r="E59" i="6"/>
  <c r="I22" i="5" a="1"/>
  <c r="AD22" i="5" a="1"/>
  <c r="AK22" i="5" a="1"/>
  <c r="AY22" i="5" a="1"/>
  <c r="BG22" i="5" a="1"/>
  <c r="J22" i="5" a="1"/>
  <c r="Q22" i="5" a="1"/>
  <c r="X22" i="5" a="1"/>
  <c r="AR22" i="5" a="1"/>
  <c r="AZ22" i="5" a="1"/>
  <c r="G22" i="5" a="1"/>
  <c r="O22" i="5" a="1"/>
  <c r="AF22" i="5" a="1"/>
  <c r="AW22" i="5" a="1"/>
  <c r="BF22" i="5" a="1"/>
  <c r="P22" i="5" a="1"/>
  <c r="Y22" i="5" a="1"/>
  <c r="AO22" i="5" a="1"/>
  <c r="N22" i="5" a="1"/>
  <c r="Z22" i="5" a="1"/>
  <c r="AI22" i="5" a="1"/>
  <c r="AS22" i="5" a="1"/>
  <c r="BD22" i="5" a="1"/>
  <c r="BN22" i="5" a="1"/>
  <c r="AJ22" i="5" a="1"/>
  <c r="AT22" i="5" a="1"/>
  <c r="R22" i="5" a="1"/>
  <c r="AA22" i="5" a="1"/>
  <c r="BE22" i="5" a="1"/>
  <c r="AC22" i="5" a="1"/>
  <c r="AM22" i="5" a="1"/>
  <c r="AX22" i="5" a="1"/>
  <c r="BJ22" i="5" a="1"/>
  <c r="L22" i="5" a="1"/>
  <c r="AU22" i="5" a="1"/>
  <c r="AE22" i="5" a="1"/>
  <c r="AV22" i="5" a="1"/>
  <c r="BM22" i="5" a="1"/>
  <c r="BC22" i="5" a="1"/>
  <c r="U22" i="5" a="1"/>
  <c r="AN22" i="5" a="1"/>
  <c r="BH22" i="5" a="1"/>
  <c r="H22" i="5" a="1"/>
  <c r="V22" i="5" a="1"/>
  <c r="BI22" i="5" a="1"/>
  <c r="W22" i="5" a="1"/>
  <c r="AP22" i="5" a="1"/>
  <c r="M22" i="5" a="1"/>
  <c r="S22" i="5" a="1"/>
  <c r="BA22" i="5" a="1"/>
  <c r="T22" i="5" a="1"/>
  <c r="BB22" i="5" a="1"/>
  <c r="AG22" i="5" a="1"/>
  <c r="BK22" i="5" a="1"/>
  <c r="BL22" i="5" a="1"/>
  <c r="AB22" i="5" a="1"/>
  <c r="K22" i="5" a="1"/>
  <c r="AH22" i="5" a="1"/>
  <c r="AL22" i="5" a="1"/>
  <c r="AQ22" i="5" a="1"/>
  <c r="E22" i="6"/>
  <c r="J46" i="5" a="1"/>
  <c r="W46" i="5" a="1"/>
  <c r="AJ46" i="5" a="1"/>
  <c r="AW46" i="5" a="1"/>
  <c r="BD46" i="5" a="1"/>
  <c r="Q46" i="5" a="1"/>
  <c r="AD46" i="5" a="1"/>
  <c r="AQ46" i="5" a="1"/>
  <c r="AX46" i="5" a="1"/>
  <c r="BK46" i="5" a="1"/>
  <c r="K46" i="5" a="1"/>
  <c r="X46" i="5" a="1"/>
  <c r="AK46" i="5" a="1"/>
  <c r="AR46" i="5" a="1"/>
  <c r="M46" i="5" a="1"/>
  <c r="T46" i="5" a="1"/>
  <c r="AG46" i="5" a="1"/>
  <c r="AT46" i="5" a="1"/>
  <c r="G46" i="5" a="1"/>
  <c r="N46" i="5" a="1"/>
  <c r="AA46" i="5" a="1"/>
  <c r="AN46" i="5" a="1"/>
  <c r="BA46" i="5" a="1"/>
  <c r="BN46" i="5" a="1"/>
  <c r="H46" i="5" a="1"/>
  <c r="AC46" i="5" a="1"/>
  <c r="AO46" i="5" a="1"/>
  <c r="AZ46" i="5" a="1"/>
  <c r="BI46" i="5" a="1"/>
  <c r="S46" i="5" a="1"/>
  <c r="AE46" i="5" a="1"/>
  <c r="BJ46" i="5" a="1"/>
  <c r="V46" i="5" a="1"/>
  <c r="AH46" i="5" a="1"/>
  <c r="AS46" i="5" a="1"/>
  <c r="BC46" i="5" a="1"/>
  <c r="U46" i="5" a="1"/>
  <c r="AI46" i="5" a="1"/>
  <c r="AY46" i="5" a="1"/>
  <c r="BL46" i="5" a="1"/>
  <c r="AL46" i="5" a="1"/>
  <c r="BM46" i="5" a="1"/>
  <c r="I46" i="5" a="1"/>
  <c r="BB46" i="5" a="1"/>
  <c r="AP46" i="5" a="1"/>
  <c r="AB46" i="5" a="1"/>
  <c r="BF46" i="5" a="1"/>
  <c r="AM46" i="5" a="1"/>
  <c r="L46" i="5" a="1"/>
  <c r="O46" i="5" a="1"/>
  <c r="Y46" i="5" a="1"/>
  <c r="BG46" i="5" a="1"/>
  <c r="Z46" i="5" a="1"/>
  <c r="BH46" i="5" a="1"/>
  <c r="AF46" i="5" a="1"/>
  <c r="AU46" i="5" a="1"/>
  <c r="AV46" i="5" a="1"/>
  <c r="P46" i="5" a="1"/>
  <c r="BE46" i="5" a="1"/>
  <c r="E46" i="6"/>
  <c r="R46" i="5" a="1"/>
  <c r="I132" i="5" a="1"/>
  <c r="R132" i="5" a="1"/>
  <c r="Z132" i="5" a="1"/>
  <c r="AQ132" i="5" a="1"/>
  <c r="AX132" i="5" a="1"/>
  <c r="BG132" i="5" a="1"/>
  <c r="M132" i="5" a="1"/>
  <c r="AD132" i="5" a="1"/>
  <c r="BC132" i="5" a="1"/>
  <c r="BK132" i="5" a="1"/>
  <c r="N132" i="5" a="1"/>
  <c r="V132" i="5" a="1"/>
  <c r="AE132" i="5" a="1"/>
  <c r="AM132" i="5" a="1"/>
  <c r="AU132" i="5" a="1"/>
  <c r="BL132" i="5" a="1"/>
  <c r="AC132" i="5" a="1"/>
  <c r="AO132" i="5" a="1"/>
  <c r="H132" i="5" a="1"/>
  <c r="T132" i="5" a="1"/>
  <c r="AF132" i="5" a="1"/>
  <c r="AP132" i="5" a="1"/>
  <c r="AZ132" i="5" a="1"/>
  <c r="AG132" i="5" a="1"/>
  <c r="BA132" i="5" a="1"/>
  <c r="BM132" i="5" a="1"/>
  <c r="L132" i="5" a="1"/>
  <c r="Y132" i="5" a="1"/>
  <c r="AT132" i="5" a="1"/>
  <c r="BF132" i="5" a="1"/>
  <c r="O132" i="5" a="1"/>
  <c r="AJ132" i="5" a="1"/>
  <c r="W132" i="5" a="1"/>
  <c r="BH132" i="5" a="1"/>
  <c r="X132" i="5" a="1"/>
  <c r="AR132" i="5" a="1"/>
  <c r="BI132" i="5" a="1"/>
  <c r="K132" i="5" a="1"/>
  <c r="AH132" i="5" a="1"/>
  <c r="AY132" i="5" a="1"/>
  <c r="AA132" i="5" a="1"/>
  <c r="BB132" i="5" a="1"/>
  <c r="BD132" i="5" a="1"/>
  <c r="AB132" i="5" a="1"/>
  <c r="BE132" i="5" a="1"/>
  <c r="J132" i="5" a="1"/>
  <c r="AL132" i="5" a="1"/>
  <c r="P132" i="5" a="1"/>
  <c r="Q132" i="5" a="1"/>
  <c r="BJ132" i="5" a="1"/>
  <c r="AK132" i="5" a="1"/>
  <c r="AN132" i="5" a="1"/>
  <c r="AS132" i="5" a="1"/>
  <c r="BN132" i="5" a="1"/>
  <c r="G132" i="5" a="1"/>
  <c r="S132" i="5" a="1"/>
  <c r="AW132" i="5" a="1"/>
  <c r="AV132" i="5" a="1"/>
  <c r="AI132" i="5" a="1"/>
  <c r="U132" i="5" a="1"/>
  <c r="E132" i="6"/>
  <c r="K45" i="5" a="1"/>
  <c r="S45" i="5" a="1"/>
  <c r="BC45" i="5" a="1"/>
  <c r="BK45" i="5" a="1"/>
  <c r="L45" i="5" a="1"/>
  <c r="AA45" i="5" a="1"/>
  <c r="AH45" i="5" a="1"/>
  <c r="AO45" i="5" a="1"/>
  <c r="AW45" i="5" a="1"/>
  <c r="BD45" i="5" a="1"/>
  <c r="T45" i="5" a="1"/>
  <c r="AB45" i="5" a="1"/>
  <c r="AI45" i="5" a="1"/>
  <c r="AP45" i="5" a="1"/>
  <c r="BE45" i="5" a="1"/>
  <c r="BL45" i="5" a="1"/>
  <c r="G45" i="5" a="1"/>
  <c r="W45" i="5" a="1"/>
  <c r="BG45" i="5" a="1"/>
  <c r="P45" i="5" a="1"/>
  <c r="X45" i="5" a="1"/>
  <c r="AE45" i="5" a="1"/>
  <c r="AL45" i="5" a="1"/>
  <c r="AS45" i="5" a="1"/>
  <c r="AZ45" i="5" a="1"/>
  <c r="BH45" i="5" a="1"/>
  <c r="O45" i="5" a="1"/>
  <c r="BM45" i="5" a="1"/>
  <c r="AC45" i="5" a="1"/>
  <c r="AN45" i="5" a="1"/>
  <c r="BA45" i="5" a="1"/>
  <c r="BN45" i="5" a="1"/>
  <c r="Q45" i="5" a="1"/>
  <c r="AD45" i="5" a="1"/>
  <c r="BB45" i="5" a="1"/>
  <c r="R45" i="5" a="1"/>
  <c r="AQ45" i="5" a="1"/>
  <c r="H45" i="5" a="1"/>
  <c r="AG45" i="5" a="1"/>
  <c r="V45" i="5" a="1"/>
  <c r="AM45" i="5" a="1"/>
  <c r="BJ45" i="5" a="1"/>
  <c r="U45" i="5" a="1"/>
  <c r="AR45" i="5" a="1"/>
  <c r="AT45" i="5" a="1"/>
  <c r="Y45" i="5" a="1"/>
  <c r="AU45" i="5" a="1"/>
  <c r="AF45" i="5" a="1"/>
  <c r="AY45" i="5" a="1"/>
  <c r="Z45" i="5" a="1"/>
  <c r="AJ45" i="5" a="1"/>
  <c r="AK45" i="5" a="1"/>
  <c r="AV45" i="5" a="1"/>
  <c r="BF45" i="5" a="1"/>
  <c r="I45" i="5" a="1"/>
  <c r="BI45" i="5" a="1"/>
  <c r="J45" i="5" a="1"/>
  <c r="M45" i="5" a="1"/>
  <c r="N45" i="5" a="1"/>
  <c r="AX45" i="5" a="1"/>
  <c r="E45" i="6"/>
  <c r="P125" i="5" a="1"/>
  <c r="W125" i="5" a="1"/>
  <c r="AD125" i="5" a="1"/>
  <c r="AK125" i="5" a="1"/>
  <c r="AY125" i="5" a="1"/>
  <c r="BF125" i="5" a="1"/>
  <c r="S125" i="5" a="1"/>
  <c r="Z125" i="5" a="1"/>
  <c r="AU125" i="5" a="1"/>
  <c r="BI125" i="5" a="1"/>
  <c r="M125" i="5" a="1"/>
  <c r="AA125" i="5" a="1"/>
  <c r="AH125" i="5" a="1"/>
  <c r="AO125" i="5" a="1"/>
  <c r="AV125" i="5" a="1"/>
  <c r="BC125" i="5" a="1"/>
  <c r="AL125" i="5" a="1"/>
  <c r="BE125" i="5" a="1"/>
  <c r="BN125" i="5" a="1"/>
  <c r="K125" i="5" a="1"/>
  <c r="T125" i="5" a="1"/>
  <c r="AC125" i="5" a="1"/>
  <c r="AM125" i="5" a="1"/>
  <c r="U125" i="5" a="1"/>
  <c r="AW125" i="5" a="1"/>
  <c r="O125" i="5" a="1"/>
  <c r="X125" i="5" a="1"/>
  <c r="AG125" i="5" a="1"/>
  <c r="G125" i="5" a="1"/>
  <c r="AQ125" i="5" a="1"/>
  <c r="BA125" i="5" a="1"/>
  <c r="BJ125" i="5" a="1"/>
  <c r="V125" i="5" a="1"/>
  <c r="BB125" i="5" a="1"/>
  <c r="AB125" i="5" a="1"/>
  <c r="AS125" i="5" a="1"/>
  <c r="BH125" i="5" a="1"/>
  <c r="N125" i="5" a="1"/>
  <c r="AE125" i="5" a="1"/>
  <c r="BK125" i="5" a="1"/>
  <c r="AT125" i="5" a="1"/>
  <c r="Y125" i="5" a="1"/>
  <c r="AX125" i="5" a="1"/>
  <c r="J125" i="5" a="1"/>
  <c r="AI125" i="5" a="1"/>
  <c r="BG125" i="5" a="1"/>
  <c r="AN125" i="5" a="1"/>
  <c r="H125" i="5" a="1"/>
  <c r="BD125" i="5" a="1"/>
  <c r="R125" i="5" a="1"/>
  <c r="BL125" i="5" a="1"/>
  <c r="I125" i="5" a="1"/>
  <c r="L125" i="5" a="1"/>
  <c r="Q125" i="5" a="1"/>
  <c r="AJ125" i="5" a="1"/>
  <c r="AF125" i="5" a="1"/>
  <c r="AP125" i="5" a="1"/>
  <c r="E125" i="6"/>
  <c r="BM125" i="5" a="1"/>
  <c r="AR125" i="5" a="1"/>
  <c r="AZ125" i="5" a="1"/>
  <c r="O65" i="5" a="1"/>
  <c r="W65" i="5" a="1"/>
  <c r="AK65" i="5" a="1"/>
  <c r="BB65" i="5" a="1"/>
  <c r="H65" i="5" a="1"/>
  <c r="P65" i="5" a="1"/>
  <c r="AD65" i="5" a="1"/>
  <c r="AT65" i="5" a="1"/>
  <c r="BC65" i="5" a="1"/>
  <c r="BJ65" i="5" a="1"/>
  <c r="I65" i="5" a="1"/>
  <c r="Q65" i="5" a="1"/>
  <c r="K65" i="5" a="1"/>
  <c r="S65" i="5" a="1"/>
  <c r="Z65" i="5" a="1"/>
  <c r="AH65" i="5" a="1"/>
  <c r="AO65" i="5" a="1"/>
  <c r="BF65" i="5" a="1"/>
  <c r="L65" i="5" a="1"/>
  <c r="AB65" i="5" a="1"/>
  <c r="AL65" i="5" a="1"/>
  <c r="AW65" i="5" a="1"/>
  <c r="R65" i="5" a="1"/>
  <c r="AM65" i="5" a="1"/>
  <c r="AX65" i="5" a="1"/>
  <c r="BH65" i="5" a="1"/>
  <c r="T65" i="5" a="1"/>
  <c r="AC65" i="5" a="1"/>
  <c r="AN65" i="5" a="1"/>
  <c r="AY65" i="5" a="1"/>
  <c r="BI65" i="5" a="1"/>
  <c r="J65" i="5" a="1"/>
  <c r="AA65" i="5" a="1"/>
  <c r="AP65" i="5" a="1"/>
  <c r="BD65" i="5" a="1"/>
  <c r="AQ65" i="5" a="1"/>
  <c r="BE65" i="5" a="1"/>
  <c r="M65" i="5" a="1"/>
  <c r="U65" i="5" a="1"/>
  <c r="AG65" i="5" a="1"/>
  <c r="AU65" i="5" a="1"/>
  <c r="BK65" i="5" a="1"/>
  <c r="V65" i="5" a="1"/>
  <c r="AI65" i="5" a="1"/>
  <c r="AV65" i="5" a="1"/>
  <c r="BL65" i="5" a="1"/>
  <c r="AZ65" i="5" a="1"/>
  <c r="N65" i="5" a="1"/>
  <c r="BA65" i="5" a="1"/>
  <c r="X65" i="5" a="1"/>
  <c r="AR65" i="5" a="1"/>
  <c r="AS65" i="5" a="1"/>
  <c r="BG65" i="5" a="1"/>
  <c r="Y65" i="5" a="1"/>
  <c r="AE65" i="5" a="1"/>
  <c r="BN65" i="5" a="1"/>
  <c r="G65" i="5" a="1"/>
  <c r="AF65" i="5" a="1"/>
  <c r="AJ65" i="5" a="1"/>
  <c r="E65" i="6"/>
  <c r="BM65" i="5" a="1"/>
  <c r="I38" i="5" a="1"/>
  <c r="V38" i="5" a="1"/>
  <c r="AX38" i="5" a="1"/>
  <c r="BL38" i="5" a="1"/>
  <c r="L38" i="5" a="1"/>
  <c r="Y38" i="5" a="1"/>
  <c r="AG38" i="5" a="1"/>
  <c r="AN38" i="5" a="1"/>
  <c r="AU38" i="5" a="1"/>
  <c r="P38" i="5" a="1"/>
  <c r="AF38" i="5" a="1"/>
  <c r="AO38" i="5" a="1"/>
  <c r="AW38" i="5" a="1"/>
  <c r="BF38" i="5" a="1"/>
  <c r="H38" i="5" a="1"/>
  <c r="X38" i="5" a="1"/>
  <c r="BN38" i="5" a="1"/>
  <c r="Q38" i="5" a="1"/>
  <c r="AH38" i="5" a="1"/>
  <c r="AP38" i="5" a="1"/>
  <c r="AY38" i="5" a="1"/>
  <c r="BG38" i="5" a="1"/>
  <c r="J38" i="5" a="1"/>
  <c r="AQ38" i="5" a="1"/>
  <c r="AK38" i="5" a="1"/>
  <c r="BA38" i="5" a="1"/>
  <c r="T38" i="5" a="1"/>
  <c r="AB38" i="5" a="1"/>
  <c r="AT38" i="5" a="1"/>
  <c r="BB38" i="5" a="1"/>
  <c r="BJ38" i="5" a="1"/>
  <c r="Z38" i="5" a="1"/>
  <c r="AR38" i="5" a="1"/>
  <c r="BH38" i="5" a="1"/>
  <c r="K38" i="5" a="1"/>
  <c r="AA38" i="5" a="1"/>
  <c r="AS38" i="5" a="1"/>
  <c r="BI38" i="5" a="1"/>
  <c r="M38" i="5" a="1"/>
  <c r="AC38" i="5" a="1"/>
  <c r="BK38" i="5" a="1"/>
  <c r="AD38" i="5" a="1"/>
  <c r="R38" i="5" a="1"/>
  <c r="AI38" i="5" a="1"/>
  <c r="AZ38" i="5" a="1"/>
  <c r="S38" i="5" a="1"/>
  <c r="AJ38" i="5" a="1"/>
  <c r="N38" i="5" a="1"/>
  <c r="AV38" i="5" a="1"/>
  <c r="O38" i="5" a="1"/>
  <c r="U38" i="5" a="1"/>
  <c r="BC38" i="5" a="1"/>
  <c r="AE38" i="5" a="1"/>
  <c r="BM38" i="5" a="1"/>
  <c r="W38" i="5" a="1"/>
  <c r="AL38" i="5" a="1"/>
  <c r="AM38" i="5" a="1"/>
  <c r="BD38" i="5" a="1"/>
  <c r="G38" i="5" a="1"/>
  <c r="BE38" i="5" a="1"/>
  <c r="E38" i="6"/>
  <c r="AO96" i="5" a="1"/>
  <c r="BF96" i="5" a="1"/>
  <c r="N96" i="5" a="1"/>
  <c r="V96" i="5" a="1"/>
  <c r="AD96" i="5" a="1"/>
  <c r="AM96" i="5" a="1"/>
  <c r="AV96" i="5" a="1"/>
  <c r="BE96" i="5" a="1"/>
  <c r="O96" i="5" a="1"/>
  <c r="W96" i="5" a="1"/>
  <c r="AE96" i="5" a="1"/>
  <c r="AN96" i="5" a="1"/>
  <c r="AW96" i="5" a="1"/>
  <c r="BG96" i="5" a="1"/>
  <c r="L96" i="5" a="1"/>
  <c r="AH96" i="5" a="1"/>
  <c r="AR96" i="5" a="1"/>
  <c r="BA96" i="5" a="1"/>
  <c r="BM96" i="5" a="1"/>
  <c r="M96" i="5" a="1"/>
  <c r="X96" i="5" a="1"/>
  <c r="AI96" i="5" a="1"/>
  <c r="AS96" i="5" a="1"/>
  <c r="BB96" i="5" a="1"/>
  <c r="BN96" i="5" a="1"/>
  <c r="Y96" i="5" a="1"/>
  <c r="BC96" i="5" a="1"/>
  <c r="U96" i="5" a="1"/>
  <c r="AK96" i="5" a="1"/>
  <c r="BL96" i="5" a="1"/>
  <c r="I96" i="5" a="1"/>
  <c r="AY96" i="5" a="1"/>
  <c r="J96" i="5" a="1"/>
  <c r="Z96" i="5" a="1"/>
  <c r="AL96" i="5" a="1"/>
  <c r="AQ96" i="5" a="1"/>
  <c r="BH96" i="5" a="1"/>
  <c r="Q96" i="5" a="1"/>
  <c r="AC96" i="5" a="1"/>
  <c r="BI96" i="5" a="1"/>
  <c r="G96" i="5" a="1"/>
  <c r="H96" i="5" a="1"/>
  <c r="AF96" i="5" a="1"/>
  <c r="BD96" i="5" a="1"/>
  <c r="AG96" i="5" a="1"/>
  <c r="BJ96" i="5" a="1"/>
  <c r="S96" i="5" a="1"/>
  <c r="AP96" i="5" a="1"/>
  <c r="AT96" i="5" a="1"/>
  <c r="AU96" i="5" a="1"/>
  <c r="AA96" i="5" a="1"/>
  <c r="AX96" i="5" a="1"/>
  <c r="AZ96" i="5" a="1"/>
  <c r="R96" i="5" a="1"/>
  <c r="AB96" i="5" a="1"/>
  <c r="AJ96" i="5" a="1"/>
  <c r="K96" i="5" a="1"/>
  <c r="E96" i="6"/>
  <c r="T96" i="5" a="1"/>
  <c r="P96" i="5" a="1"/>
  <c r="BK96" i="5" a="1"/>
  <c r="M23" i="5" a="1"/>
  <c r="AO23" i="5" a="1"/>
  <c r="AW23" i="5" a="1"/>
  <c r="BD23" i="5" a="1"/>
  <c r="G23" i="5" a="1"/>
  <c r="N23" i="5" a="1"/>
  <c r="U23" i="5" a="1"/>
  <c r="AB23" i="5" a="1"/>
  <c r="AI23" i="5" a="1"/>
  <c r="AP23" i="5" a="1"/>
  <c r="AX23" i="5" a="1"/>
  <c r="BK23" i="5" a="1"/>
  <c r="H23" i="5" a="1"/>
  <c r="X23" i="5" a="1"/>
  <c r="AN23" i="5" a="1"/>
  <c r="BF23" i="5" a="1"/>
  <c r="P23" i="5" a="1"/>
  <c r="AG23" i="5" a="1"/>
  <c r="AY23" i="5" a="1"/>
  <c r="BN23" i="5" a="1"/>
  <c r="Q23" i="5" a="1"/>
  <c r="BE23" i="5" a="1"/>
  <c r="AA23" i="5" a="1"/>
  <c r="AK23" i="5" a="1"/>
  <c r="AU23" i="5" a="1"/>
  <c r="K23" i="5" a="1"/>
  <c r="AE23" i="5" a="1"/>
  <c r="AQ23" i="5" a="1"/>
  <c r="BI23" i="5" a="1"/>
  <c r="AF23" i="5" a="1"/>
  <c r="S23" i="5" a="1"/>
  <c r="AT23" i="5" a="1"/>
  <c r="BH23" i="5" a="1"/>
  <c r="Y23" i="5" a="1"/>
  <c r="BA23" i="5" a="1"/>
  <c r="L23" i="5" a="1"/>
  <c r="Z23" i="5" a="1"/>
  <c r="AM23" i="5" a="1"/>
  <c r="BM23" i="5" a="1"/>
  <c r="BB23" i="5" a="1"/>
  <c r="AC23" i="5" a="1"/>
  <c r="AR23" i="5" a="1"/>
  <c r="T23" i="5" a="1"/>
  <c r="V23" i="5" a="1"/>
  <c r="AV23" i="5" a="1"/>
  <c r="W23" i="5" a="1"/>
  <c r="AZ23" i="5" a="1"/>
  <c r="I23" i="5" a="1"/>
  <c r="AH23" i="5" a="1"/>
  <c r="BJ23" i="5" a="1"/>
  <c r="BC23" i="5" a="1"/>
  <c r="BG23" i="5" a="1"/>
  <c r="J23" i="5" a="1"/>
  <c r="BL23" i="5" a="1"/>
  <c r="AD23" i="5" a="1"/>
  <c r="O23" i="5" a="1"/>
  <c r="R23" i="5" a="1"/>
  <c r="AJ23" i="5" a="1"/>
  <c r="AL23" i="5" a="1"/>
  <c r="AS23" i="5" a="1"/>
  <c r="E23" i="6"/>
  <c r="L124" i="5" a="1"/>
  <c r="T124" i="5" a="1"/>
  <c r="AB124" i="5" a="1"/>
  <c r="AK124" i="5" a="1"/>
  <c r="BA124" i="5" a="1"/>
  <c r="H124" i="5" a="1"/>
  <c r="AW124" i="5" a="1"/>
  <c r="BE124" i="5" a="1"/>
  <c r="P124" i="5" a="1"/>
  <c r="X124" i="5" a="1"/>
  <c r="AG124" i="5" a="1"/>
  <c r="AO124" i="5" a="1"/>
  <c r="BN124" i="5" a="1"/>
  <c r="O124" i="5" a="1"/>
  <c r="AA124" i="5" a="1"/>
  <c r="AL124" i="5" a="1"/>
  <c r="AV124" i="5" a="1"/>
  <c r="BH124" i="5" a="1"/>
  <c r="AM124" i="5" a="1"/>
  <c r="AX124" i="5" a="1"/>
  <c r="BI124" i="5" a="1"/>
  <c r="Q124" i="5" a="1"/>
  <c r="AY124" i="5" a="1"/>
  <c r="BJ124" i="5" a="1"/>
  <c r="AF124" i="5" a="1"/>
  <c r="AQ124" i="5" a="1"/>
  <c r="BB124" i="5" a="1"/>
  <c r="BM124" i="5" a="1"/>
  <c r="K124" i="5" a="1"/>
  <c r="V124" i="5" a="1"/>
  <c r="AH124" i="5" a="1"/>
  <c r="AR124" i="5" a="1"/>
  <c r="BC124" i="5" a="1"/>
  <c r="I124" i="5" a="1"/>
  <c r="Z124" i="5" a="1"/>
  <c r="AT124" i="5" a="1"/>
  <c r="J124" i="5" a="1"/>
  <c r="AC124" i="5" a="1"/>
  <c r="AU124" i="5" a="1"/>
  <c r="R124" i="5" a="1"/>
  <c r="AJ124" i="5" a="1"/>
  <c r="BD124" i="5" a="1"/>
  <c r="S124" i="5" a="1"/>
  <c r="AD124" i="5" a="1"/>
  <c r="BF124" i="5" a="1"/>
  <c r="AE124" i="5" a="1"/>
  <c r="BG124" i="5" a="1"/>
  <c r="BK124" i="5" a="1"/>
  <c r="N124" i="5" a="1"/>
  <c r="AP124" i="5" a="1"/>
  <c r="U124" i="5" a="1"/>
  <c r="BL124" i="5" a="1"/>
  <c r="AS124" i="5" a="1"/>
  <c r="G124" i="5" a="1"/>
  <c r="M124" i="5" a="1"/>
  <c r="AZ124" i="5" a="1"/>
  <c r="W124" i="5" a="1"/>
  <c r="E124" i="6"/>
  <c r="AN124" i="5" a="1"/>
  <c r="Y124" i="5" a="1"/>
  <c r="AI124" i="5" a="1"/>
  <c r="M19" i="5" a="1"/>
  <c r="T19" i="5" a="1"/>
  <c r="AG19" i="5" a="1"/>
  <c r="AN19" i="5" a="1"/>
  <c r="AB19" i="5" a="1"/>
  <c r="AI19" i="5" a="1"/>
  <c r="AP19" i="5" a="1"/>
  <c r="AW19" i="5" a="1"/>
  <c r="BE19" i="5" a="1"/>
  <c r="U19" i="5" a="1"/>
  <c r="BF19" i="5" a="1"/>
  <c r="BM19" i="5" a="1"/>
  <c r="J19" i="5" a="1"/>
  <c r="S19" i="5" a="1"/>
  <c r="AC19" i="5" a="1"/>
  <c r="AK19" i="5" a="1"/>
  <c r="AS19" i="5" a="1"/>
  <c r="BK19" i="5" a="1"/>
  <c r="K19" i="5" a="1"/>
  <c r="AT19" i="5" a="1"/>
  <c r="BC19" i="5" a="1"/>
  <c r="BL19" i="5" a="1"/>
  <c r="Y19" i="5" a="1"/>
  <c r="AJ19" i="5" a="1"/>
  <c r="AU19" i="5" a="1"/>
  <c r="P19" i="5" a="1"/>
  <c r="BG19" i="5" a="1"/>
  <c r="Z19" i="5" a="1"/>
  <c r="AL19" i="5" a="1"/>
  <c r="AV19" i="5" a="1"/>
  <c r="AA19" i="5" a="1"/>
  <c r="BH19" i="5" a="1"/>
  <c r="AE19" i="5" a="1"/>
  <c r="AO19" i="5" a="1"/>
  <c r="AZ19" i="5" a="1"/>
  <c r="BJ19" i="5" a="1"/>
  <c r="BN19" i="5" a="1"/>
  <c r="L19" i="5" a="1"/>
  <c r="AX19" i="5" a="1"/>
  <c r="V19" i="5" a="1"/>
  <c r="AM19" i="5" a="1"/>
  <c r="W19" i="5" a="1"/>
  <c r="BD19" i="5" a="1"/>
  <c r="BI19" i="5" a="1"/>
  <c r="G19" i="5" a="1"/>
  <c r="X19" i="5" a="1"/>
  <c r="AQ19" i="5" a="1"/>
  <c r="N19" i="5" a="1"/>
  <c r="AY19" i="5" a="1"/>
  <c r="O19" i="5" a="1"/>
  <c r="R19" i="5" a="1"/>
  <c r="BA19" i="5" a="1"/>
  <c r="BB19" i="5" a="1"/>
  <c r="AF19" i="5" a="1"/>
  <c r="AD19" i="5" a="1"/>
  <c r="AH19" i="5" a="1"/>
  <c r="AR19" i="5" a="1"/>
  <c r="H19" i="5" a="1"/>
  <c r="I19" i="5" a="1"/>
  <c r="E19" i="6"/>
  <c r="AA150" i="5" a="1"/>
  <c r="AI150" i="5" a="1"/>
  <c r="BI150" i="5" a="1"/>
  <c r="K150" i="5" a="1"/>
  <c r="S150" i="5" a="1"/>
  <c r="AB150" i="5" a="1"/>
  <c r="AS150" i="5" a="1"/>
  <c r="BA150" i="5" a="1"/>
  <c r="BJ150" i="5" a="1"/>
  <c r="AN150" i="5" a="1"/>
  <c r="BE150" i="5" a="1"/>
  <c r="BM150" i="5" a="1"/>
  <c r="O150" i="5" a="1"/>
  <c r="W150" i="5" a="1"/>
  <c r="AF150" i="5" a="1"/>
  <c r="AO150" i="5" a="1"/>
  <c r="AW150" i="5" a="1"/>
  <c r="BF150" i="5" a="1"/>
  <c r="H150" i="5" a="1"/>
  <c r="T150" i="5" a="1"/>
  <c r="AG150" i="5" a="1"/>
  <c r="AU150" i="5" a="1"/>
  <c r="I150" i="5" a="1"/>
  <c r="U150" i="5" a="1"/>
  <c r="AH150" i="5" a="1"/>
  <c r="BH150" i="5" a="1"/>
  <c r="M150" i="5" a="1"/>
  <c r="Z150" i="5" a="1"/>
  <c r="AL150" i="5" a="1"/>
  <c r="AY150" i="5" a="1"/>
  <c r="BL150" i="5" a="1"/>
  <c r="R150" i="5" a="1"/>
  <c r="AJ150" i="5" a="1"/>
  <c r="BB150" i="5" a="1"/>
  <c r="AK150" i="5" a="1"/>
  <c r="AC150" i="5" a="1"/>
  <c r="AR150" i="5" a="1"/>
  <c r="L150" i="5" a="1"/>
  <c r="AD150" i="5" a="1"/>
  <c r="AT150" i="5" a="1"/>
  <c r="BK150" i="5" a="1"/>
  <c r="N150" i="5" a="1"/>
  <c r="AV150" i="5" a="1"/>
  <c r="P150" i="5" a="1"/>
  <c r="AE150" i="5" a="1"/>
  <c r="AX150" i="5" a="1"/>
  <c r="BN150" i="5" a="1"/>
  <c r="AM150" i="5" a="1"/>
  <c r="AP150" i="5" a="1"/>
  <c r="G150" i="5" a="1"/>
  <c r="AQ150" i="5" a="1"/>
  <c r="J150" i="5" a="1"/>
  <c r="AZ150" i="5" a="1"/>
  <c r="Q150" i="5" a="1"/>
  <c r="V150" i="5" a="1"/>
  <c r="BC150" i="5" a="1"/>
  <c r="X150" i="5" a="1"/>
  <c r="BG150" i="5" a="1"/>
  <c r="E150" i="6"/>
  <c r="BD150" i="5" a="1"/>
  <c r="Y150" i="5" a="1"/>
  <c r="H123" i="5" a="1"/>
  <c r="O123" i="5" a="1"/>
  <c r="AB123" i="5" a="1"/>
  <c r="AJ123" i="5" a="1"/>
  <c r="AX123" i="5" a="1"/>
  <c r="Y123" i="5" a="1"/>
  <c r="AF123" i="5" a="1"/>
  <c r="AM123" i="5" a="1"/>
  <c r="AT123" i="5" a="1"/>
  <c r="L123" i="5" a="1"/>
  <c r="S123" i="5" a="1"/>
  <c r="AG123" i="5" a="1"/>
  <c r="AU123" i="5" a="1"/>
  <c r="BB123" i="5" a="1"/>
  <c r="BI123" i="5" a="1"/>
  <c r="I123" i="5" a="1"/>
  <c r="R123" i="5" a="1"/>
  <c r="AA123" i="5" a="1"/>
  <c r="AK123" i="5" a="1"/>
  <c r="BM123" i="5" a="1"/>
  <c r="AV123" i="5" a="1"/>
  <c r="BD123" i="5" a="1"/>
  <c r="BN123" i="5" a="1"/>
  <c r="J123" i="5" a="1"/>
  <c r="T123" i="5" a="1"/>
  <c r="AC123" i="5" a="1"/>
  <c r="AL123" i="5" a="1"/>
  <c r="BE123" i="5" a="1"/>
  <c r="W123" i="5" a="1"/>
  <c r="AY123" i="5" a="1"/>
  <c r="BH123" i="5" a="1"/>
  <c r="N123" i="5" a="1"/>
  <c r="AP123" i="5" a="1"/>
  <c r="AZ123" i="5" a="1"/>
  <c r="U123" i="5" a="1"/>
  <c r="BA123" i="5" a="1"/>
  <c r="BG123" i="5" a="1"/>
  <c r="M123" i="5" a="1"/>
  <c r="AD123" i="5" a="1"/>
  <c r="AR123" i="5" a="1"/>
  <c r="BJ123" i="5" a="1"/>
  <c r="P123" i="5" a="1"/>
  <c r="AN123" i="5" a="1"/>
  <c r="BK123" i="5" a="1"/>
  <c r="Q123" i="5" a="1"/>
  <c r="AO123" i="5" a="1"/>
  <c r="BL123" i="5" a="1"/>
  <c r="G123" i="5" a="1"/>
  <c r="AQ123" i="5" a="1"/>
  <c r="AS123" i="5" a="1"/>
  <c r="X123" i="5" a="1"/>
  <c r="Z123" i="5" a="1"/>
  <c r="BF123" i="5" a="1"/>
  <c r="AE123" i="5" a="1"/>
  <c r="AW123" i="5" a="1"/>
  <c r="BC123" i="5" a="1"/>
  <c r="E123" i="6"/>
  <c r="AH123" i="5" a="1"/>
  <c r="AI123" i="5" a="1"/>
  <c r="V123" i="5" a="1"/>
  <c r="K123" i="5" a="1"/>
  <c r="R92" i="5" a="1"/>
  <c r="AA92" i="5" a="1"/>
  <c r="AI92" i="5" a="1"/>
  <c r="AZ92" i="5" a="1"/>
  <c r="BH92" i="5" a="1"/>
  <c r="J92" i="5" a="1"/>
  <c r="AB92" i="5" a="1"/>
  <c r="AT92" i="5" a="1"/>
  <c r="BC92" i="5" a="1"/>
  <c r="BM92" i="5" a="1"/>
  <c r="K92" i="5" a="1"/>
  <c r="S92" i="5" a="1"/>
  <c r="AC92" i="5" a="1"/>
  <c r="AL92" i="5" a="1"/>
  <c r="AU92" i="5" a="1"/>
  <c r="BN92" i="5" a="1"/>
  <c r="T92" i="5" a="1"/>
  <c r="AM92" i="5" a="1"/>
  <c r="BD92" i="5" a="1"/>
  <c r="W92" i="5" a="1"/>
  <c r="AE92" i="5" a="1"/>
  <c r="AO92" i="5" a="1"/>
  <c r="AX92" i="5" a="1"/>
  <c r="BF92" i="5" a="1"/>
  <c r="N92" i="5" a="1"/>
  <c r="AP92" i="5" a="1"/>
  <c r="AY92" i="5" a="1"/>
  <c r="BG92" i="5" a="1"/>
  <c r="V92" i="5" a="1"/>
  <c r="AK92" i="5" a="1"/>
  <c r="BA92" i="5" a="1"/>
  <c r="G92" i="5" a="1"/>
  <c r="X92" i="5" a="1"/>
  <c r="AN92" i="5" a="1"/>
  <c r="H92" i="5" a="1"/>
  <c r="Y92" i="5" a="1"/>
  <c r="BB92" i="5" a="1"/>
  <c r="Q92" i="5" a="1"/>
  <c r="AQ92" i="5" a="1"/>
  <c r="BJ92" i="5" a="1"/>
  <c r="U92" i="5" a="1"/>
  <c r="AR92" i="5" a="1"/>
  <c r="BK92" i="5" a="1"/>
  <c r="AS92" i="5" a="1"/>
  <c r="BL92" i="5" a="1"/>
  <c r="L92" i="5" a="1"/>
  <c r="M92" i="5" a="1"/>
  <c r="AF92" i="5" a="1"/>
  <c r="Z92" i="5" a="1"/>
  <c r="BI92" i="5" a="1"/>
  <c r="AD92" i="5" a="1"/>
  <c r="I92" i="5" a="1"/>
  <c r="AG92" i="5" a="1"/>
  <c r="AH92" i="5" a="1"/>
  <c r="O92" i="5" a="1"/>
  <c r="P92" i="5" a="1"/>
  <c r="AW92" i="5" a="1"/>
  <c r="E92" i="6"/>
  <c r="AJ92" i="5" a="1"/>
  <c r="BE92" i="5" a="1"/>
  <c r="AV92" i="5" a="1"/>
  <c r="H77" i="5" a="1"/>
  <c r="Q77" i="5" a="1"/>
  <c r="AA77" i="5" a="1"/>
  <c r="AJ77" i="5" a="1"/>
  <c r="AR77" i="5" a="1"/>
  <c r="BA77" i="5" a="1"/>
  <c r="I77" i="5" a="1"/>
  <c r="R77" i="5" a="1"/>
  <c r="AB77" i="5" a="1"/>
  <c r="AK77" i="5" a="1"/>
  <c r="AS77" i="5" a="1"/>
  <c r="BI77" i="5" a="1"/>
  <c r="J77" i="5" a="1"/>
  <c r="S77" i="5" a="1"/>
  <c r="AC77" i="5" a="1"/>
  <c r="AT77" i="5" a="1"/>
  <c r="BB77" i="5" a="1"/>
  <c r="BJ77" i="5" a="1"/>
  <c r="V77" i="5" a="1"/>
  <c r="AH77" i="5" a="1"/>
  <c r="BE77" i="5" a="1"/>
  <c r="K77" i="5" a="1"/>
  <c r="W77" i="5" a="1"/>
  <c r="AI77" i="5" a="1"/>
  <c r="AU77" i="5" a="1"/>
  <c r="AV77" i="5" a="1"/>
  <c r="BF77" i="5" a="1"/>
  <c r="L77" i="5" a="1"/>
  <c r="X77" i="5" a="1"/>
  <c r="AL77" i="5" a="1"/>
  <c r="AW77" i="5" a="1"/>
  <c r="BG77" i="5" a="1"/>
  <c r="O77" i="5" a="1"/>
  <c r="AN77" i="5" a="1"/>
  <c r="BK77" i="5" a="1"/>
  <c r="AD77" i="5" a="1"/>
  <c r="AO77" i="5" a="1"/>
  <c r="AZ77" i="5" a="1"/>
  <c r="BL77" i="5" a="1"/>
  <c r="Y77" i="5" a="1"/>
  <c r="AX77" i="5" a="1"/>
  <c r="Z77" i="5" a="1"/>
  <c r="AY77" i="5" a="1"/>
  <c r="AE77" i="5" a="1"/>
  <c r="BC77" i="5" a="1"/>
  <c r="T77" i="5" a="1"/>
  <c r="U77" i="5" a="1"/>
  <c r="BH77" i="5" a="1"/>
  <c r="AF77" i="5" a="1"/>
  <c r="AP77" i="5" a="1"/>
  <c r="G77" i="5" a="1"/>
  <c r="N77" i="5" a="1"/>
  <c r="BN77" i="5" a="1"/>
  <c r="P77" i="5" a="1"/>
  <c r="AQ77" i="5" a="1"/>
  <c r="M77" i="5" a="1"/>
  <c r="AG77" i="5" a="1"/>
  <c r="BM77" i="5" a="1"/>
  <c r="E77" i="6"/>
  <c r="AM77" i="5" a="1"/>
  <c r="BD77" i="5" a="1"/>
  <c r="R63" i="5" a="1"/>
  <c r="Y63" i="5" a="1"/>
  <c r="AF63" i="5" a="1"/>
  <c r="AN63" i="5" a="1"/>
  <c r="AU63" i="5" a="1"/>
  <c r="BL63" i="5" a="1"/>
  <c r="K63" i="5" a="1"/>
  <c r="AV63" i="5" a="1"/>
  <c r="BD63" i="5" a="1"/>
  <c r="S63" i="5" a="1"/>
  <c r="Z63" i="5" a="1"/>
  <c r="AG63" i="5" a="1"/>
  <c r="AO63" i="5" a="1"/>
  <c r="AW63" i="5" a="1"/>
  <c r="BM63" i="5" a="1"/>
  <c r="L63" i="5" a="1"/>
  <c r="T63" i="5" a="1"/>
  <c r="AA63" i="5" a="1"/>
  <c r="AH63" i="5" a="1"/>
  <c r="AX63" i="5" a="1"/>
  <c r="BE63" i="5" a="1"/>
  <c r="BN63" i="5" a="1"/>
  <c r="G63" i="5" a="1"/>
  <c r="N63" i="5" a="1"/>
  <c r="V63" i="5" a="1"/>
  <c r="AC63" i="5" a="1"/>
  <c r="AK63" i="5" a="1"/>
  <c r="AR63" i="5" a="1"/>
  <c r="BA63" i="5" a="1"/>
  <c r="BH63" i="5" a="1"/>
  <c r="AI63" i="5" a="1"/>
  <c r="AY63" i="5" a="1"/>
  <c r="U63" i="5" a="1"/>
  <c r="AJ63" i="5" a="1"/>
  <c r="AZ63" i="5" a="1"/>
  <c r="H63" i="5" a="1"/>
  <c r="W63" i="5" a="1"/>
  <c r="BB63" i="5" a="1"/>
  <c r="M63" i="5" a="1"/>
  <c r="AE63" i="5" a="1"/>
  <c r="O63" i="5" a="1"/>
  <c r="BC63" i="5" a="1"/>
  <c r="P63" i="5" a="1"/>
  <c r="AL63" i="5" a="1"/>
  <c r="BF63" i="5" a="1"/>
  <c r="AP63" i="5" a="1"/>
  <c r="X63" i="5" a="1"/>
  <c r="AQ63" i="5" a="1"/>
  <c r="BJ63" i="5" a="1"/>
  <c r="BK63" i="5" a="1"/>
  <c r="AM63" i="5" a="1"/>
  <c r="AS63" i="5" a="1"/>
  <c r="AT63" i="5" a="1"/>
  <c r="AD63" i="5" a="1"/>
  <c r="BG63" i="5" a="1"/>
  <c r="I63" i="5" a="1"/>
  <c r="J63" i="5" a="1"/>
  <c r="AB63" i="5" a="1"/>
  <c r="BI63" i="5" a="1"/>
  <c r="Q63" i="5" a="1"/>
  <c r="E63" i="6"/>
  <c r="M18" i="5" a="1"/>
  <c r="T18" i="5" a="1"/>
  <c r="AG18" i="5" a="1"/>
  <c r="AT18" i="5" a="1"/>
  <c r="BG18" i="5" a="1"/>
  <c r="H18" i="5" a="1"/>
  <c r="O18" i="5" a="1"/>
  <c r="V18" i="5" a="1"/>
  <c r="AC18" i="5" a="1"/>
  <c r="AJ18" i="5" a="1"/>
  <c r="AQ18" i="5" a="1"/>
  <c r="AR18" i="5" a="1"/>
  <c r="AY18" i="5" a="1"/>
  <c r="BF18" i="5" a="1"/>
  <c r="BM18" i="5" a="1"/>
  <c r="AF18" i="5" a="1"/>
  <c r="BE18" i="5" a="1"/>
  <c r="J18" i="5" a="1"/>
  <c r="R18" i="5" a="1"/>
  <c r="AA18" i="5" a="1"/>
  <c r="AI18" i="5" a="1"/>
  <c r="BA18" i="5" a="1"/>
  <c r="BI18" i="5" a="1"/>
  <c r="AS18" i="5" a="1"/>
  <c r="BJ18" i="5" a="1"/>
  <c r="K18" i="5" a="1"/>
  <c r="S18" i="5" a="1"/>
  <c r="AB18" i="5" a="1"/>
  <c r="AK18" i="5" a="1"/>
  <c r="BB18" i="5" a="1"/>
  <c r="Y18" i="5" a="1"/>
  <c r="AM18" i="5" a="1"/>
  <c r="N18" i="5" a="1"/>
  <c r="Z18" i="5" a="1"/>
  <c r="AN18" i="5" a="1"/>
  <c r="AZ18" i="5" a="1"/>
  <c r="BL18" i="5" a="1"/>
  <c r="P18" i="5" a="1"/>
  <c r="AO18" i="5" a="1"/>
  <c r="BN18" i="5" a="1"/>
  <c r="AD18" i="5" a="1"/>
  <c r="BC18" i="5" a="1"/>
  <c r="G18" i="5" a="1"/>
  <c r="AW18" i="5" a="1"/>
  <c r="I18" i="5" a="1"/>
  <c r="AE18" i="5" a="1"/>
  <c r="AX18" i="5" a="1"/>
  <c r="U18" i="5" a="1"/>
  <c r="AP18" i="5" a="1"/>
  <c r="BK18" i="5" a="1"/>
  <c r="W18" i="5" a="1"/>
  <c r="AU18" i="5" a="1"/>
  <c r="AH18" i="5" a="1"/>
  <c r="AL18" i="5" a="1"/>
  <c r="BD18" i="5" a="1"/>
  <c r="L18" i="5" a="1"/>
  <c r="Q18" i="5" a="1"/>
  <c r="AV18" i="5" a="1"/>
  <c r="X18" i="5" a="1"/>
  <c r="BH18" i="5" a="1"/>
  <c r="E18" i="6"/>
  <c r="AR6" i="5" a="1"/>
  <c r="AY6" i="5" a="1"/>
  <c r="BF6" i="5" a="1"/>
  <c r="BM6" i="5" a="1"/>
  <c r="I6" i="5" a="1"/>
  <c r="Q6" i="5" a="1"/>
  <c r="X6" i="5" a="1"/>
  <c r="AE6" i="5" a="1"/>
  <c r="AL6" i="5" a="1"/>
  <c r="AZ6" i="5" a="1"/>
  <c r="L6" i="5" a="1"/>
  <c r="T6" i="5" a="1"/>
  <c r="AA6" i="5" a="1"/>
  <c r="AH6" i="5" a="1"/>
  <c r="AO6" i="5" a="1"/>
  <c r="BI6" i="5" a="1"/>
  <c r="R6" i="5" a="1"/>
  <c r="AB6" i="5" a="1"/>
  <c r="AJ6" i="5" a="1"/>
  <c r="AT6" i="5" a="1"/>
  <c r="BC6" i="5" a="1"/>
  <c r="BL6" i="5" a="1"/>
  <c r="O6" i="5" a="1"/>
  <c r="BD6" i="5" a="1"/>
  <c r="G6" i="5" a="1"/>
  <c r="AC6" i="5" a="1"/>
  <c r="AM6" i="5" a="1"/>
  <c r="BG6" i="5" a="1"/>
  <c r="N6" i="5" a="1"/>
  <c r="Z6" i="5" a="1"/>
  <c r="AN6" i="5" a="1"/>
  <c r="BJ6" i="5" a="1"/>
  <c r="BK6" i="5" a="1"/>
  <c r="H6" i="5" a="1"/>
  <c r="U6" i="5" a="1"/>
  <c r="J6" i="5" a="1"/>
  <c r="V6" i="5" a="1"/>
  <c r="AG6" i="5" a="1"/>
  <c r="AS6" i="5" a="1"/>
  <c r="BE6" i="5" a="1"/>
  <c r="Y6" i="5" a="1"/>
  <c r="AQ6" i="5" a="1"/>
  <c r="M6" i="5" a="1"/>
  <c r="AF6" i="5" a="1"/>
  <c r="AX6" i="5" a="1"/>
  <c r="P6" i="5" a="1"/>
  <c r="BA6" i="5" a="1"/>
  <c r="AI6" i="5" a="1"/>
  <c r="AU6" i="5" a="1"/>
  <c r="W6" i="5" a="1"/>
  <c r="AV6" i="5" a="1"/>
  <c r="AW6" i="5" a="1"/>
  <c r="K6" i="5" a="1"/>
  <c r="BB6" i="5" a="1"/>
  <c r="BH6" i="5" a="1"/>
  <c r="BN6" i="5" a="1"/>
  <c r="AD6" i="5" a="1"/>
  <c r="AK6" i="5" a="1"/>
  <c r="S6" i="5" a="1"/>
  <c r="AP6" i="5" a="1"/>
  <c r="E6" i="6"/>
  <c r="AO127" i="5" a="1"/>
  <c r="AV127" i="5" a="1"/>
  <c r="BC127" i="5" a="1"/>
  <c r="BJ127" i="5" a="1"/>
  <c r="O127" i="5" a="1"/>
  <c r="AK127" i="5" a="1"/>
  <c r="AR127" i="5" a="1"/>
  <c r="BG127" i="5" a="1"/>
  <c r="H127" i="5" a="1"/>
  <c r="V127" i="5" a="1"/>
  <c r="AD127" i="5" a="1"/>
  <c r="AL127" i="5" a="1"/>
  <c r="AS127" i="5" a="1"/>
  <c r="AZ127" i="5" a="1"/>
  <c r="BN127" i="5" a="1"/>
  <c r="U127" i="5" a="1"/>
  <c r="AP127" i="5" a="1"/>
  <c r="AY127" i="5" a="1"/>
  <c r="BI127" i="5" a="1"/>
  <c r="M127" i="5" a="1"/>
  <c r="W127" i="5" a="1"/>
  <c r="AG127" i="5" a="1"/>
  <c r="BA127" i="5" a="1"/>
  <c r="N127" i="5" a="1"/>
  <c r="AH127" i="5" a="1"/>
  <c r="AQ127" i="5" a="1"/>
  <c r="G127" i="5" a="1"/>
  <c r="AA127" i="5" a="1"/>
  <c r="AU127" i="5" a="1"/>
  <c r="BM127" i="5" a="1"/>
  <c r="I127" i="5" a="1"/>
  <c r="R127" i="5" a="1"/>
  <c r="BE127" i="5" a="1"/>
  <c r="X127" i="5" a="1"/>
  <c r="AN127" i="5" a="1"/>
  <c r="Y127" i="5" a="1"/>
  <c r="BF127" i="5" a="1"/>
  <c r="P127" i="5" a="1"/>
  <c r="AF127" i="5" a="1"/>
  <c r="BL127" i="5" a="1"/>
  <c r="Q127" i="5" a="1"/>
  <c r="AI127" i="5" a="1"/>
  <c r="AX127" i="5" a="1"/>
  <c r="J127" i="5" a="1"/>
  <c r="BH127" i="5" a="1"/>
  <c r="K127" i="5" a="1"/>
  <c r="AJ127" i="5" a="1"/>
  <c r="L127" i="5" a="1"/>
  <c r="AM127" i="5" a="1"/>
  <c r="BK127" i="5" a="1"/>
  <c r="T127" i="5" a="1"/>
  <c r="AT127" i="5" a="1"/>
  <c r="BD127" i="5" a="1"/>
  <c r="E127" i="6"/>
  <c r="Z127" i="5" a="1"/>
  <c r="AB127" i="5" a="1"/>
  <c r="AW127" i="5" a="1"/>
  <c r="BB127" i="5" a="1"/>
  <c r="AE127" i="5" a="1"/>
  <c r="S127" i="5" a="1"/>
  <c r="AC127" i="5" a="1"/>
  <c r="J94" i="5" a="1"/>
  <c r="Z94" i="5" a="1"/>
  <c r="AH94" i="5" a="1"/>
  <c r="AY94" i="5" a="1"/>
  <c r="BG94" i="5" a="1"/>
  <c r="T94" i="5" a="1"/>
  <c r="AL94" i="5" a="1"/>
  <c r="BD94" i="5" a="1"/>
  <c r="L94" i="5" a="1"/>
  <c r="U94" i="5" a="1"/>
  <c r="AC94" i="5" a="1"/>
  <c r="AM94" i="5" a="1"/>
  <c r="AV94" i="5" a="1"/>
  <c r="BE94" i="5" a="1"/>
  <c r="X94" i="5" a="1"/>
  <c r="AF94" i="5" a="1"/>
  <c r="AP94" i="5" a="1"/>
  <c r="O94" i="5" a="1"/>
  <c r="AG94" i="5" a="1"/>
  <c r="AQ94" i="5" a="1"/>
  <c r="W94" i="5" a="1"/>
  <c r="BJ94" i="5" a="1"/>
  <c r="K94" i="5" a="1"/>
  <c r="Y94" i="5" a="1"/>
  <c r="AK94" i="5" a="1"/>
  <c r="BK94" i="5" a="1"/>
  <c r="AN94" i="5" a="1"/>
  <c r="AZ94" i="5" a="1"/>
  <c r="BL94" i="5" a="1"/>
  <c r="H94" i="5" a="1"/>
  <c r="AS94" i="5" a="1"/>
  <c r="BH94" i="5" a="1"/>
  <c r="I94" i="5" a="1"/>
  <c r="AB94" i="5" a="1"/>
  <c r="AT94" i="5" a="1"/>
  <c r="BI94" i="5" a="1"/>
  <c r="M94" i="5" a="1"/>
  <c r="AD94" i="5" a="1"/>
  <c r="AU94" i="5" a="1"/>
  <c r="BM94" i="5" a="1"/>
  <c r="R94" i="5" a="1"/>
  <c r="AJ94" i="5" a="1"/>
  <c r="BB94" i="5" a="1"/>
  <c r="AA94" i="5" a="1"/>
  <c r="BC94" i="5" a="1"/>
  <c r="BF94" i="5" a="1"/>
  <c r="AE94" i="5" a="1"/>
  <c r="N94" i="5" a="1"/>
  <c r="AR94" i="5" a="1"/>
  <c r="P94" i="5" a="1"/>
  <c r="AO94" i="5" a="1"/>
  <c r="AW94" i="5" a="1"/>
  <c r="Q94" i="5" a="1"/>
  <c r="S94" i="5" a="1"/>
  <c r="AX94" i="5" a="1"/>
  <c r="BA94" i="5" a="1"/>
  <c r="BN94" i="5" a="1"/>
  <c r="G94" i="5" a="1"/>
  <c r="V94" i="5" a="1"/>
  <c r="AI94" i="5" a="1"/>
  <c r="E94" i="6"/>
  <c r="N58" i="5" a="1"/>
  <c r="V58" i="5" a="1"/>
  <c r="AL58" i="5" a="1"/>
  <c r="AT58" i="5" a="1"/>
  <c r="BA58" i="5" a="1"/>
  <c r="O58" i="5" a="1"/>
  <c r="AE58" i="5" a="1"/>
  <c r="AM58" i="5" a="1"/>
  <c r="BB58" i="5" a="1"/>
  <c r="BI58" i="5" a="1"/>
  <c r="G58" i="5" a="1"/>
  <c r="W58" i="5" a="1"/>
  <c r="AU58" i="5" a="1"/>
  <c r="H58" i="5" a="1"/>
  <c r="P58" i="5" a="1"/>
  <c r="X58" i="5" a="1"/>
  <c r="AF58" i="5" a="1"/>
  <c r="AN58" i="5" a="1"/>
  <c r="AV58" i="5" a="1"/>
  <c r="BC58" i="5" a="1"/>
  <c r="BJ58" i="5" a="1"/>
  <c r="J58" i="5" a="1"/>
  <c r="Z58" i="5" a="1"/>
  <c r="AH58" i="5" a="1"/>
  <c r="AP58" i="5" a="1"/>
  <c r="AX58" i="5" a="1"/>
  <c r="BE58" i="5" a="1"/>
  <c r="K58" i="5" a="1"/>
  <c r="S58" i="5" a="1"/>
  <c r="AA58" i="5" a="1"/>
  <c r="AI58" i="5" a="1"/>
  <c r="BL58" i="5" a="1"/>
  <c r="Q58" i="5" a="1"/>
  <c r="R58" i="5" a="1"/>
  <c r="AG58" i="5" a="1"/>
  <c r="AW58" i="5" a="1"/>
  <c r="BK58" i="5" a="1"/>
  <c r="AJ58" i="5" a="1"/>
  <c r="AY58" i="5" a="1"/>
  <c r="AB58" i="5" a="1"/>
  <c r="I58" i="5" a="1"/>
  <c r="AC58" i="5" a="1"/>
  <c r="AZ58" i="5" a="1"/>
  <c r="L58" i="5" a="1"/>
  <c r="AD58" i="5" a="1"/>
  <c r="T58" i="5" a="1"/>
  <c r="AO58" i="5" a="1"/>
  <c r="BG58" i="5" a="1"/>
  <c r="U58" i="5" a="1"/>
  <c r="AQ58" i="5" a="1"/>
  <c r="BH58" i="5" a="1"/>
  <c r="AS58" i="5" a="1"/>
  <c r="BD58" i="5" a="1"/>
  <c r="BF58" i="5" a="1"/>
  <c r="M58" i="5" a="1"/>
  <c r="BM58" i="5" a="1"/>
  <c r="AR58" i="5" a="1"/>
  <c r="BN58" i="5" a="1"/>
  <c r="Y58" i="5" a="1"/>
  <c r="AK58" i="5" a="1"/>
  <c r="E58" i="6"/>
  <c r="I16" i="5" a="1"/>
  <c r="O16" i="5" a="1"/>
  <c r="U16" i="5" a="1"/>
  <c r="AA16" i="5" a="1"/>
  <c r="AG16" i="5" a="1"/>
  <c r="AM16" i="5" a="1"/>
  <c r="AS16" i="5" a="1"/>
  <c r="AY16" i="5" a="1"/>
  <c r="BE16" i="5" a="1"/>
  <c r="BK16" i="5" a="1"/>
  <c r="K16" i="5" a="1"/>
  <c r="X16" i="5" a="1"/>
  <c r="AK16" i="5" a="1"/>
  <c r="AX16" i="5" a="1"/>
  <c r="M16" i="5" a="1"/>
  <c r="Z16" i="5" a="1"/>
  <c r="AT16" i="5" a="1"/>
  <c r="BG16" i="5" a="1"/>
  <c r="G16" i="5" a="1"/>
  <c r="T16" i="5" a="1"/>
  <c r="AN16" i="5" a="1"/>
  <c r="BA16" i="5" a="1"/>
  <c r="BN16" i="5" a="1"/>
  <c r="S16" i="5" a="1"/>
  <c r="AC16" i="5" a="1"/>
  <c r="AU16" i="5" a="1"/>
  <c r="BC16" i="5" a="1"/>
  <c r="BL16" i="5" a="1"/>
  <c r="AF16" i="5" a="1"/>
  <c r="P16" i="5" a="1"/>
  <c r="AH16" i="5" a="1"/>
  <c r="AP16" i="5" a="1"/>
  <c r="BH16" i="5" a="1"/>
  <c r="H16" i="5" a="1"/>
  <c r="Y16" i="5" a="1"/>
  <c r="N16" i="5" a="1"/>
  <c r="AR16" i="5" a="1"/>
  <c r="AD16" i="5" a="1"/>
  <c r="BF16" i="5" a="1"/>
  <c r="Q16" i="5" a="1"/>
  <c r="AE16" i="5" a="1"/>
  <c r="BI16" i="5" a="1"/>
  <c r="R16" i="5" a="1"/>
  <c r="AV16" i="5" a="1"/>
  <c r="V16" i="5" a="1"/>
  <c r="AJ16" i="5" a="1"/>
  <c r="AZ16" i="5" a="1"/>
  <c r="W16" i="5" a="1"/>
  <c r="AW16" i="5" a="1"/>
  <c r="J16" i="5" a="1"/>
  <c r="AL16" i="5" a="1"/>
  <c r="BJ16" i="5" a="1"/>
  <c r="L16" i="5" a="1"/>
  <c r="BM16" i="5" a="1"/>
  <c r="AO16" i="5" a="1"/>
  <c r="BB16" i="5" a="1"/>
  <c r="BD16" i="5" a="1"/>
  <c r="AB16" i="5" a="1"/>
  <c r="AI16" i="5" a="1"/>
  <c r="AQ16" i="5" a="1"/>
  <c r="E16" i="6"/>
  <c r="R122" i="5" a="1"/>
  <c r="AA122" i="5" a="1"/>
  <c r="AH122" i="5" a="1"/>
  <c r="AQ122" i="5" a="1"/>
  <c r="W122" i="5" a="1"/>
  <c r="AV122" i="5" a="1"/>
  <c r="BK122" i="5" a="1"/>
  <c r="G122" i="5" a="1"/>
  <c r="O122" i="5" a="1"/>
  <c r="AE122" i="5" a="1"/>
  <c r="AN122" i="5" a="1"/>
  <c r="AW122" i="5" a="1"/>
  <c r="BE122" i="5" a="1"/>
  <c r="BL122" i="5" a="1"/>
  <c r="N122" i="5" a="1"/>
  <c r="Y122" i="5" a="1"/>
  <c r="AJ122" i="5" a="1"/>
  <c r="AU122" i="5" a="1"/>
  <c r="P122" i="5" a="1"/>
  <c r="Z122" i="5" a="1"/>
  <c r="AK122" i="5" a="1"/>
  <c r="AX122" i="5" a="1"/>
  <c r="BG122" i="5" a="1"/>
  <c r="AB122" i="5" a="1"/>
  <c r="AL122" i="5" a="1"/>
  <c r="AY122" i="5" a="1"/>
  <c r="BH122" i="5" a="1"/>
  <c r="I122" i="5" a="1"/>
  <c r="S122" i="5" a="1"/>
  <c r="AD122" i="5" a="1"/>
  <c r="AP122" i="5" a="1"/>
  <c r="BB122" i="5" a="1"/>
  <c r="J122" i="5" a="1"/>
  <c r="T122" i="5" a="1"/>
  <c r="AF122" i="5" a="1"/>
  <c r="BM122" i="5" a="1"/>
  <c r="H122" i="5" a="1"/>
  <c r="BJ122" i="5" a="1"/>
  <c r="AS122" i="5" a="1"/>
  <c r="BN122" i="5" a="1"/>
  <c r="Q122" i="5" a="1"/>
  <c r="BC122" i="5" a="1"/>
  <c r="AI122" i="5" a="1"/>
  <c r="BD122" i="5" a="1"/>
  <c r="AT122" i="5" a="1"/>
  <c r="U122" i="5" a="1"/>
  <c r="V122" i="5" a="1"/>
  <c r="AZ122" i="5" a="1"/>
  <c r="X122" i="5" a="1"/>
  <c r="AC122" i="5" a="1"/>
  <c r="AO122" i="5" a="1"/>
  <c r="E122" i="6"/>
  <c r="AR122" i="5" a="1"/>
  <c r="K122" i="5" a="1"/>
  <c r="BA122" i="5" a="1"/>
  <c r="AG122" i="5" a="1"/>
  <c r="AM122" i="5" a="1"/>
  <c r="BI122" i="5" a="1"/>
  <c r="BF122" i="5" a="1"/>
  <c r="L122" i="5" a="1"/>
  <c r="M122" i="5" a="1"/>
  <c r="M107" i="5" a="1"/>
  <c r="O107" i="5" a="1"/>
  <c r="W107" i="5" a="1"/>
  <c r="AS107" i="5" a="1"/>
  <c r="BA107" i="5" a="1"/>
  <c r="BI107" i="5" a="1"/>
  <c r="G107" i="5" a="1"/>
  <c r="X107" i="5" a="1"/>
  <c r="AE107" i="5" a="1"/>
  <c r="AL107" i="5" a="1"/>
  <c r="AT107" i="5" a="1"/>
  <c r="BB107" i="5" a="1"/>
  <c r="K107" i="5" a="1"/>
  <c r="U107" i="5" a="1"/>
  <c r="AD107" i="5" a="1"/>
  <c r="AM107" i="5" a="1"/>
  <c r="AW107" i="5" a="1"/>
  <c r="AN107" i="5" a="1"/>
  <c r="BF107" i="5" a="1"/>
  <c r="L107" i="5" a="1"/>
  <c r="V107" i="5" a="1"/>
  <c r="AF107" i="5" a="1"/>
  <c r="AO107" i="5" a="1"/>
  <c r="AX107" i="5" a="1"/>
  <c r="Q107" i="5" a="1"/>
  <c r="Z107" i="5" a="1"/>
  <c r="AH107" i="5" a="1"/>
  <c r="AZ107" i="5" a="1"/>
  <c r="AR107" i="5" a="1"/>
  <c r="BK107" i="5" a="1"/>
  <c r="R107" i="5" a="1"/>
  <c r="AG107" i="5" a="1"/>
  <c r="BM107" i="5" a="1"/>
  <c r="S107" i="5" a="1"/>
  <c r="BN107" i="5" a="1"/>
  <c r="AI107" i="5" a="1"/>
  <c r="AY107" i="5" a="1"/>
  <c r="I107" i="5" a="1"/>
  <c r="AP107" i="5" a="1"/>
  <c r="BD107" i="5" a="1"/>
  <c r="J107" i="5" a="1"/>
  <c r="AA107" i="5" a="1"/>
  <c r="BE107" i="5" a="1"/>
  <c r="N107" i="5" a="1"/>
  <c r="AQ107" i="5" a="1"/>
  <c r="P107" i="5" a="1"/>
  <c r="AC107" i="5" a="1"/>
  <c r="BG107" i="5" a="1"/>
  <c r="AU107" i="5" a="1"/>
  <c r="H107" i="5" a="1"/>
  <c r="AV107" i="5" a="1"/>
  <c r="Y107" i="5" a="1"/>
  <c r="BL107" i="5" a="1"/>
  <c r="T107" i="5" a="1"/>
  <c r="AK107" i="5" a="1"/>
  <c r="BC107" i="5" a="1"/>
  <c r="BH107" i="5" a="1"/>
  <c r="AB107" i="5" a="1"/>
  <c r="AJ107" i="5" a="1"/>
  <c r="BJ107" i="5" a="1"/>
  <c r="E107" i="6"/>
  <c r="J91" i="5" a="1"/>
  <c r="Q91" i="5" a="1"/>
  <c r="AE91" i="5" a="1"/>
  <c r="AM91" i="5" a="1"/>
  <c r="AT91" i="5" a="1"/>
  <c r="BC91" i="5" a="1"/>
  <c r="BJ91" i="5" a="1"/>
  <c r="T91" i="5" a="1"/>
  <c r="AJ91" i="5" a="1"/>
  <c r="AR91" i="5" a="1"/>
  <c r="AZ91" i="5" a="1"/>
  <c r="M91" i="5" a="1"/>
  <c r="U91" i="5" a="1"/>
  <c r="AB91" i="5" a="1"/>
  <c r="BA91" i="5" a="1"/>
  <c r="BI91" i="5" a="1"/>
  <c r="AC91" i="5" a="1"/>
  <c r="AK91" i="5" a="1"/>
  <c r="AS91" i="5" a="1"/>
  <c r="BB91" i="5" a="1"/>
  <c r="H91" i="5" a="1"/>
  <c r="O91" i="5" a="1"/>
  <c r="BL91" i="5" a="1"/>
  <c r="X91" i="5" a="1"/>
  <c r="AN91" i="5" a="1"/>
  <c r="AV91" i="5" a="1"/>
  <c r="BE91" i="5" a="1"/>
  <c r="BM91" i="5" a="1"/>
  <c r="K91" i="5" a="1"/>
  <c r="Y91" i="5" a="1"/>
  <c r="AL91" i="5" a="1"/>
  <c r="AY91" i="5" a="1"/>
  <c r="L91" i="5" a="1"/>
  <c r="Z91" i="5" a="1"/>
  <c r="AO91" i="5" a="1"/>
  <c r="V91" i="5" a="1"/>
  <c r="AP91" i="5" a="1"/>
  <c r="W91" i="5" a="1"/>
  <c r="BH91" i="5" a="1"/>
  <c r="G91" i="5" a="1"/>
  <c r="AQ91" i="5" a="1"/>
  <c r="BK91" i="5" a="1"/>
  <c r="AF91" i="5" a="1"/>
  <c r="P91" i="5" a="1"/>
  <c r="AG91" i="5" a="1"/>
  <c r="AX91" i="5" a="1"/>
  <c r="R91" i="5" a="1"/>
  <c r="AW91" i="5" a="1"/>
  <c r="BD91" i="5" a="1"/>
  <c r="S91" i="5" a="1"/>
  <c r="BN91" i="5" a="1"/>
  <c r="AH91" i="5" a="1"/>
  <c r="I91" i="5" a="1"/>
  <c r="BG91" i="5" a="1"/>
  <c r="AD91" i="5" a="1"/>
  <c r="AI91" i="5" a="1"/>
  <c r="AA91" i="5" a="1"/>
  <c r="N91" i="5" a="1"/>
  <c r="AU91" i="5" a="1"/>
  <c r="BF91" i="5" a="1"/>
  <c r="E91" i="6"/>
  <c r="K76" i="5" a="1"/>
  <c r="S76" i="5" a="1"/>
  <c r="AR76" i="5" a="1"/>
  <c r="T76" i="5" a="1"/>
  <c r="AB76" i="5" a="1"/>
  <c r="AJ76" i="5" a="1"/>
  <c r="AZ76" i="5" a="1"/>
  <c r="BH76" i="5" a="1"/>
  <c r="L76" i="5" a="1"/>
  <c r="U76" i="5" a="1"/>
  <c r="AC76" i="5" a="1"/>
  <c r="AK76" i="5" a="1"/>
  <c r="AS76" i="5" a="1"/>
  <c r="BI76" i="5" a="1"/>
  <c r="Z76" i="5" a="1"/>
  <c r="P76" i="5" a="1"/>
  <c r="AL76" i="5" a="1"/>
  <c r="AV76" i="5" a="1"/>
  <c r="BF76" i="5" a="1"/>
  <c r="AA76" i="5" a="1"/>
  <c r="AW76" i="5" a="1"/>
  <c r="BG76" i="5" a="1"/>
  <c r="Q76" i="5" a="1"/>
  <c r="AD76" i="5" a="1"/>
  <c r="AM76" i="5" a="1"/>
  <c r="AX76" i="5" a="1"/>
  <c r="BJ76" i="5" a="1"/>
  <c r="I76" i="5" a="1"/>
  <c r="AF76" i="5" a="1"/>
  <c r="AO76" i="5" a="1"/>
  <c r="BA76" i="5" a="1"/>
  <c r="V76" i="5" a="1"/>
  <c r="AG76" i="5" a="1"/>
  <c r="AP76" i="5" a="1"/>
  <c r="BB76" i="5" a="1"/>
  <c r="BL76" i="5" a="1"/>
  <c r="R76" i="5" a="1"/>
  <c r="AN76" i="5" a="1"/>
  <c r="BK76" i="5" a="1"/>
  <c r="AQ76" i="5" a="1"/>
  <c r="BM76" i="5" a="1"/>
  <c r="W76" i="5" a="1"/>
  <c r="N76" i="5" a="1"/>
  <c r="O76" i="5" a="1"/>
  <c r="AY76" i="5" a="1"/>
  <c r="X76" i="5" a="1"/>
  <c r="BC76" i="5" a="1"/>
  <c r="BN76" i="5" a="1"/>
  <c r="AH76" i="5" a="1"/>
  <c r="M76" i="5" a="1"/>
  <c r="Y76" i="5" a="1"/>
  <c r="AE76" i="5" a="1"/>
  <c r="AT76" i="5" a="1"/>
  <c r="AU76" i="5" a="1"/>
  <c r="AI76" i="5" a="1"/>
  <c r="BD76" i="5" a="1"/>
  <c r="H76" i="5" a="1"/>
  <c r="J76" i="5" a="1"/>
  <c r="BE76" i="5" a="1"/>
  <c r="G76" i="5" a="1"/>
  <c r="E76" i="6"/>
  <c r="L62" i="5" a="1"/>
  <c r="T62" i="5" a="1"/>
  <c r="AA62" i="5" a="1"/>
  <c r="AH62" i="5" a="1"/>
  <c r="AO62" i="5" a="1"/>
  <c r="AV62" i="5" a="1"/>
  <c r="BC62" i="5" a="1"/>
  <c r="BK62" i="5" a="1"/>
  <c r="M62" i="5" a="1"/>
  <c r="AP62" i="5" a="1"/>
  <c r="BD62" i="5" a="1"/>
  <c r="BL62" i="5" a="1"/>
  <c r="N62" i="5" a="1"/>
  <c r="U62" i="5" a="1"/>
  <c r="AB62" i="5" a="1"/>
  <c r="AI62" i="5" a="1"/>
  <c r="AW62" i="5" a="1"/>
  <c r="AQ62" i="5" a="1"/>
  <c r="AX62" i="5" a="1"/>
  <c r="BE62" i="5" a="1"/>
  <c r="BM62" i="5" a="1"/>
  <c r="I62" i="5" a="1"/>
  <c r="W62" i="5" a="1"/>
  <c r="AD62" i="5" a="1"/>
  <c r="AK62" i="5" a="1"/>
  <c r="AS62" i="5" a="1"/>
  <c r="Q62" i="5" a="1"/>
  <c r="AL62" i="5" a="1"/>
  <c r="AZ62" i="5" a="1"/>
  <c r="BG62" i="5" a="1"/>
  <c r="G62" i="5" a="1"/>
  <c r="V62" i="5" a="1"/>
  <c r="AJ62" i="5" a="1"/>
  <c r="H62" i="5" a="1"/>
  <c r="AY62" i="5" a="1"/>
  <c r="BN62" i="5" a="1"/>
  <c r="J62" i="5" a="1"/>
  <c r="X62" i="5" a="1"/>
  <c r="O62" i="5" a="1"/>
  <c r="AF62" i="5" a="1"/>
  <c r="BA62" i="5" a="1"/>
  <c r="P62" i="5" a="1"/>
  <c r="AG62" i="5" a="1"/>
  <c r="BB62" i="5" a="1"/>
  <c r="R62" i="5" a="1"/>
  <c r="AM62" i="5" a="1"/>
  <c r="AR62" i="5" a="1"/>
  <c r="Y62" i="5" a="1"/>
  <c r="BI62" i="5" a="1"/>
  <c r="Z62" i="5" a="1"/>
  <c r="AT62" i="5" a="1"/>
  <c r="BJ62" i="5" a="1"/>
  <c r="K62" i="5" a="1"/>
  <c r="BF62" i="5" a="1"/>
  <c r="BH62" i="5" a="1"/>
  <c r="AE62" i="5" a="1"/>
  <c r="AN62" i="5" a="1"/>
  <c r="S62" i="5" a="1"/>
  <c r="AC62" i="5" a="1"/>
  <c r="AU62" i="5" a="1"/>
  <c r="E62" i="6"/>
  <c r="I47" i="5" a="1"/>
  <c r="AD47" i="5" a="1"/>
  <c r="AK47" i="5" a="1"/>
  <c r="AR47" i="5" a="1"/>
  <c r="AY47" i="5" a="1"/>
  <c r="BF47" i="5" a="1"/>
  <c r="BN47" i="5" a="1"/>
  <c r="P47" i="5" a="1"/>
  <c r="X47" i="5" a="1"/>
  <c r="BG47" i="5" a="1"/>
  <c r="M47" i="5" a="1"/>
  <c r="AA47" i="5" a="1"/>
  <c r="AH47" i="5" a="1"/>
  <c r="AO47" i="5" a="1"/>
  <c r="K47" i="5" a="1"/>
  <c r="S47" i="5" a="1"/>
  <c r="AC47" i="5" a="1"/>
  <c r="AV47" i="5" a="1"/>
  <c r="BE47" i="5" a="1"/>
  <c r="T47" i="5" a="1"/>
  <c r="AM47" i="5" a="1"/>
  <c r="AW47" i="5" a="1"/>
  <c r="W47" i="5" a="1"/>
  <c r="AF47" i="5" a="1"/>
  <c r="AP47" i="5" a="1"/>
  <c r="BI47" i="5" a="1"/>
  <c r="BA47" i="5" a="1"/>
  <c r="BL47" i="5" a="1"/>
  <c r="O47" i="5" a="1"/>
  <c r="AN47" i="5" a="1"/>
  <c r="BB47" i="5" a="1"/>
  <c r="BM47" i="5" a="1"/>
  <c r="Q47" i="5" a="1"/>
  <c r="AB47" i="5" a="1"/>
  <c r="AE47" i="5" a="1"/>
  <c r="AQ47" i="5" a="1"/>
  <c r="BC47" i="5" a="1"/>
  <c r="G47" i="5" a="1"/>
  <c r="U47" i="5" a="1"/>
  <c r="AG47" i="5" a="1"/>
  <c r="BH47" i="5" a="1"/>
  <c r="H47" i="5" a="1"/>
  <c r="V47" i="5" a="1"/>
  <c r="AI47" i="5" a="1"/>
  <c r="AT47" i="5" a="1"/>
  <c r="BD47" i="5" a="1"/>
  <c r="J47" i="5" a="1"/>
  <c r="AJ47" i="5" a="1"/>
  <c r="AL47" i="5" a="1"/>
  <c r="L47" i="5" a="1"/>
  <c r="R47" i="5" a="1"/>
  <c r="AX47" i="5" a="1"/>
  <c r="AZ47" i="5" a="1"/>
  <c r="Y47" i="5" a="1"/>
  <c r="BJ47" i="5" a="1"/>
  <c r="Z47" i="5" a="1"/>
  <c r="AS47" i="5" a="1"/>
  <c r="AU47" i="5" a="1"/>
  <c r="N47" i="5" a="1"/>
  <c r="BK47" i="5" a="1"/>
  <c r="E47" i="6"/>
  <c r="I17" i="5" a="1"/>
  <c r="P17" i="5" a="1"/>
  <c r="W17" i="5" a="1"/>
  <c r="AL17" i="5" a="1"/>
  <c r="BH17" i="5" a="1"/>
  <c r="R17" i="5" a="1"/>
  <c r="AH17" i="5" a="1"/>
  <c r="AO17" i="5" a="1"/>
  <c r="BE17" i="5" a="1"/>
  <c r="M17" i="5" a="1"/>
  <c r="AB17" i="5" a="1"/>
  <c r="AR17" i="5" a="1"/>
  <c r="AZ17" i="5" a="1"/>
  <c r="U17" i="5" a="1"/>
  <c r="AK17" i="5" a="1"/>
  <c r="AS17" i="5" a="1"/>
  <c r="BA17" i="5" a="1"/>
  <c r="BI17" i="5" a="1"/>
  <c r="N17" i="5" a="1"/>
  <c r="X17" i="5" a="1"/>
  <c r="AT17" i="5" a="1"/>
  <c r="BM17" i="5" a="1"/>
  <c r="Q17" i="5" a="1"/>
  <c r="AM17" i="5" a="1"/>
  <c r="AW17" i="5" a="1"/>
  <c r="BG17" i="5" a="1"/>
  <c r="H17" i="5" a="1"/>
  <c r="S17" i="5" a="1"/>
  <c r="AC17" i="5" a="1"/>
  <c r="AX17" i="5" a="1"/>
  <c r="AD17" i="5" a="1"/>
  <c r="AN17" i="5" a="1"/>
  <c r="AY17" i="5" a="1"/>
  <c r="BJ17" i="5" a="1"/>
  <c r="L17" i="5" a="1"/>
  <c r="Z17" i="5" a="1"/>
  <c r="BF17" i="5" a="1"/>
  <c r="AA17" i="5" a="1"/>
  <c r="AQ17" i="5" a="1"/>
  <c r="AE17" i="5" a="1"/>
  <c r="O17" i="5" a="1"/>
  <c r="AF17" i="5" a="1"/>
  <c r="AU17" i="5" a="1"/>
  <c r="BK17" i="5" a="1"/>
  <c r="T17" i="5" a="1"/>
  <c r="AI17" i="5" a="1"/>
  <c r="BN17" i="5" a="1"/>
  <c r="K17" i="5" a="1"/>
  <c r="Y17" i="5" a="1"/>
  <c r="BC17" i="5" a="1"/>
  <c r="BD17" i="5" a="1"/>
  <c r="AG17" i="5" a="1"/>
  <c r="AP17" i="5" a="1"/>
  <c r="AV17" i="5" a="1"/>
  <c r="BB17" i="5" a="1"/>
  <c r="BL17" i="5" a="1"/>
  <c r="G17" i="5" a="1"/>
  <c r="J17" i="5" a="1"/>
  <c r="V17" i="5" a="1"/>
  <c r="AJ17" i="5" a="1"/>
  <c r="E17" i="6"/>
  <c r="Q5" i="5" a="1"/>
  <c r="Y5" i="5" a="1"/>
  <c r="AF5" i="5" a="1"/>
  <c r="AM5" i="5" a="1"/>
  <c r="BA5" i="5" a="1"/>
  <c r="BI5" i="5" a="1"/>
  <c r="K5" i="5" a="1"/>
  <c r="R5" i="5" a="1"/>
  <c r="AT5" i="5" a="1"/>
  <c r="BB5" i="5" a="1"/>
  <c r="G5" i="5" a="1"/>
  <c r="N5" i="5" a="1"/>
  <c r="U5" i="5" a="1"/>
  <c r="AI5" i="5" a="1"/>
  <c r="I5" i="5" a="1"/>
  <c r="S5" i="5" a="1"/>
  <c r="AC5" i="5" a="1"/>
  <c r="AL5" i="5" a="1"/>
  <c r="AV5" i="5" a="1"/>
  <c r="BE5" i="5" a="1"/>
  <c r="V5" i="5" a="1"/>
  <c r="AG5" i="5" a="1"/>
  <c r="AQ5" i="5" a="1"/>
  <c r="BL5" i="5" a="1"/>
  <c r="X5" i="5" a="1"/>
  <c r="J5" i="5" a="1"/>
  <c r="AJ5" i="5" a="1"/>
  <c r="BH5" i="5" a="1"/>
  <c r="L5" i="5" a="1"/>
  <c r="W5" i="5" a="1"/>
  <c r="AW5" i="5" a="1"/>
  <c r="BJ5" i="5" a="1"/>
  <c r="P5" i="5" a="1"/>
  <c r="AD5" i="5" a="1"/>
  <c r="AO5" i="5" a="1"/>
  <c r="AP5" i="5" a="1"/>
  <c r="BC5" i="5" a="1"/>
  <c r="AB5" i="5" a="1"/>
  <c r="AU5" i="5" a="1"/>
  <c r="BN5" i="5" a="1"/>
  <c r="AH5" i="5" a="1"/>
  <c r="AZ5" i="5" a="1"/>
  <c r="AK5" i="5" a="1"/>
  <c r="BD5" i="5" a="1"/>
  <c r="O5" i="5" a="1"/>
  <c r="BM5" i="5" a="1"/>
  <c r="T5" i="5" a="1"/>
  <c r="AE5" i="5" a="1"/>
  <c r="BF5" i="5" a="1"/>
  <c r="BK5" i="5" a="1"/>
  <c r="Z5" i="5" a="1"/>
  <c r="AA5" i="5" a="1"/>
  <c r="AR5" i="5" a="1"/>
  <c r="AX5" i="5" a="1"/>
  <c r="AY5" i="5" a="1"/>
  <c r="M5" i="5" a="1"/>
  <c r="H5" i="5" a="1"/>
  <c r="BG5" i="5" a="1"/>
  <c r="AN5" i="5" a="1"/>
  <c r="AS5" i="5" a="1"/>
  <c r="E5" i="6"/>
  <c r="H120" i="5" a="1"/>
  <c r="Q120" i="5" a="1"/>
  <c r="AP120" i="5" a="1"/>
  <c r="AY120" i="5" a="1"/>
  <c r="BN120" i="5" a="1"/>
  <c r="L120" i="5" a="1"/>
  <c r="T120" i="5" a="1"/>
  <c r="AE120" i="5" a="1"/>
  <c r="AM120" i="5" a="1"/>
  <c r="AU120" i="5" a="1"/>
  <c r="BK120" i="5" a="1"/>
  <c r="M120" i="5" a="1"/>
  <c r="U120" i="5" a="1"/>
  <c r="AV120" i="5" a="1"/>
  <c r="BC120" i="5" a="1"/>
  <c r="AA120" i="5" a="1"/>
  <c r="AL120" i="5" a="1"/>
  <c r="BH120" i="5" a="1"/>
  <c r="P120" i="5" a="1"/>
  <c r="AB120" i="5" a="1"/>
  <c r="AN120" i="5" a="1"/>
  <c r="AX120" i="5" a="1"/>
  <c r="BI120" i="5" a="1"/>
  <c r="AC120" i="5" a="1"/>
  <c r="AR120" i="5" a="1"/>
  <c r="BB120" i="5" a="1"/>
  <c r="BM120" i="5" a="1"/>
  <c r="J120" i="5" a="1"/>
  <c r="V120" i="5" a="1"/>
  <c r="AH120" i="5" a="1"/>
  <c r="AS120" i="5" a="1"/>
  <c r="O120" i="5" a="1"/>
  <c r="R120" i="5" a="1"/>
  <c r="AJ120" i="5" a="1"/>
  <c r="BD120" i="5" a="1"/>
  <c r="G120" i="5" a="1"/>
  <c r="Y120" i="5" a="1"/>
  <c r="AT120" i="5" a="1"/>
  <c r="BL120" i="5" a="1"/>
  <c r="Z120" i="5" a="1"/>
  <c r="AD120" i="5" a="1"/>
  <c r="BE120" i="5" a="1"/>
  <c r="AF120" i="5" a="1"/>
  <c r="BF120" i="5" a="1"/>
  <c r="AG120" i="5" a="1"/>
  <c r="BG120" i="5" a="1"/>
  <c r="K120" i="5" a="1"/>
  <c r="BJ120" i="5" a="1"/>
  <c r="S120" i="5" a="1"/>
  <c r="AO120" i="5" a="1"/>
  <c r="AQ120" i="5" a="1"/>
  <c r="E120" i="6"/>
  <c r="I120" i="5" a="1"/>
  <c r="AW120" i="5" a="1"/>
  <c r="N120" i="5" a="1"/>
  <c r="W120" i="5" a="1"/>
  <c r="AI120" i="5" a="1"/>
  <c r="AK120" i="5" a="1"/>
  <c r="X120" i="5" a="1"/>
  <c r="AZ120" i="5" a="1"/>
  <c r="BA120" i="5" a="1"/>
  <c r="I93" i="5" a="1"/>
  <c r="Q93" i="5" a="1"/>
  <c r="Y93" i="5" a="1"/>
  <c r="AM93" i="5" a="1"/>
  <c r="BB93" i="5" a="1"/>
  <c r="BJ93" i="5" a="1"/>
  <c r="N93" i="5" a="1"/>
  <c r="V93" i="5" a="1"/>
  <c r="AL93" i="5" a="1"/>
  <c r="AT93" i="5" a="1"/>
  <c r="BK93" i="5" a="1"/>
  <c r="W93" i="5" a="1"/>
  <c r="AE93" i="5" a="1"/>
  <c r="AU93" i="5" a="1"/>
  <c r="BC93" i="5" a="1"/>
  <c r="BL93" i="5" a="1"/>
  <c r="R93" i="5" a="1"/>
  <c r="AH93" i="5" a="1"/>
  <c r="AX93" i="5" a="1"/>
  <c r="BF93" i="5" a="1"/>
  <c r="BN93" i="5" a="1"/>
  <c r="AA93" i="5" a="1"/>
  <c r="AP93" i="5" a="1"/>
  <c r="BG93" i="5" a="1"/>
  <c r="H93" i="5" a="1"/>
  <c r="U93" i="5" a="1"/>
  <c r="AS93" i="5" a="1"/>
  <c r="BE93" i="5" a="1"/>
  <c r="J93" i="5" a="1"/>
  <c r="AI93" i="5" a="1"/>
  <c r="K93" i="5" a="1"/>
  <c r="AV93" i="5" a="1"/>
  <c r="BH93" i="5" a="1"/>
  <c r="T93" i="5" a="1"/>
  <c r="AZ93" i="5" a="1"/>
  <c r="AK93" i="5" a="1"/>
  <c r="X93" i="5" a="1"/>
  <c r="BA93" i="5" a="1"/>
  <c r="AR93" i="5" a="1"/>
  <c r="BI93" i="5" a="1"/>
  <c r="M93" i="5" a="1"/>
  <c r="AC93" i="5" a="1"/>
  <c r="AD93" i="5" a="1"/>
  <c r="AF93" i="5" a="1"/>
  <c r="AG93" i="5" a="1"/>
  <c r="P93" i="5" a="1"/>
  <c r="AQ93" i="5" a="1"/>
  <c r="AY93" i="5" a="1"/>
  <c r="G93" i="5" a="1"/>
  <c r="AB93" i="5" a="1"/>
  <c r="AJ93" i="5" a="1"/>
  <c r="AN93" i="5" a="1"/>
  <c r="AO93" i="5" a="1"/>
  <c r="E93" i="6"/>
  <c r="L93" i="5" a="1"/>
  <c r="O93" i="5" a="1"/>
  <c r="BM93" i="5" a="1"/>
  <c r="S93" i="5" a="1"/>
  <c r="Z93" i="5" a="1"/>
  <c r="AW93" i="5" a="1"/>
  <c r="BD93" i="5" a="1"/>
  <c r="N57" i="5" a="1"/>
  <c r="U57" i="5" a="1"/>
  <c r="AB57" i="5" a="1"/>
  <c r="AI57" i="5" a="1"/>
  <c r="AQ57" i="5" a="1"/>
  <c r="AX57" i="5" a="1"/>
  <c r="AK57" i="5" a="1"/>
  <c r="AZ57" i="5" a="1"/>
  <c r="W57" i="5" a="1"/>
  <c r="AN57" i="5" a="1"/>
  <c r="AW57" i="5" a="1"/>
  <c r="BF57" i="5" a="1"/>
  <c r="BM57" i="5" a="1"/>
  <c r="O57" i="5" a="1"/>
  <c r="AF57" i="5" a="1"/>
  <c r="BG57" i="5" a="1"/>
  <c r="BN57" i="5" a="1"/>
  <c r="P57" i="5" a="1"/>
  <c r="X57" i="5" a="1"/>
  <c r="AO57" i="5" a="1"/>
  <c r="AY57" i="5" a="1"/>
  <c r="G57" i="5" a="1"/>
  <c r="Q57" i="5" a="1"/>
  <c r="Y57" i="5" a="1"/>
  <c r="AG57" i="5" a="1"/>
  <c r="AP57" i="5" a="1"/>
  <c r="BH57" i="5" a="1"/>
  <c r="J57" i="5" a="1"/>
  <c r="S57" i="5" a="1"/>
  <c r="AA57" i="5" a="1"/>
  <c r="AS57" i="5" a="1"/>
  <c r="BB57" i="5" a="1"/>
  <c r="BJ57" i="5" a="1"/>
  <c r="AJ57" i="5" a="1"/>
  <c r="AT57" i="5" a="1"/>
  <c r="BC57" i="5" a="1"/>
  <c r="H57" i="5" a="1"/>
  <c r="BI57" i="5" a="1"/>
  <c r="I57" i="5" a="1"/>
  <c r="Z57" i="5" a="1"/>
  <c r="AR57" i="5" a="1"/>
  <c r="K57" i="5" a="1"/>
  <c r="BK57" i="5" a="1"/>
  <c r="AU57" i="5" a="1"/>
  <c r="V57" i="5" a="1"/>
  <c r="AV57" i="5" a="1"/>
  <c r="AC57" i="5" a="1"/>
  <c r="BA57" i="5" a="1"/>
  <c r="BD57" i="5" a="1"/>
  <c r="L57" i="5" a="1"/>
  <c r="AH57" i="5" a="1"/>
  <c r="M57" i="5" a="1"/>
  <c r="BE57" i="5" a="1"/>
  <c r="BL57" i="5" a="1"/>
  <c r="R57" i="5" a="1"/>
  <c r="AE57" i="5" a="1"/>
  <c r="AL57" i="5" a="1"/>
  <c r="T57" i="5" a="1"/>
  <c r="AD57" i="5" a="1"/>
  <c r="AM57" i="5" a="1"/>
  <c r="E57" i="6"/>
  <c r="M15" i="5" a="1"/>
  <c r="AH15" i="5" a="1"/>
  <c r="AV15" i="5" a="1"/>
  <c r="T15" i="5" a="1"/>
  <c r="AA15" i="5" a="1"/>
  <c r="G15" i="5" a="1"/>
  <c r="AF15" i="5" a="1"/>
  <c r="AN15" i="5" a="1"/>
  <c r="AW15" i="5" a="1"/>
  <c r="BL15" i="5" a="1"/>
  <c r="J15" i="5" a="1"/>
  <c r="Z15" i="5" a="1"/>
  <c r="AQ15" i="5" a="1"/>
  <c r="BN15" i="5" a="1"/>
  <c r="R15" i="5" a="1"/>
  <c r="AJ15" i="5" a="1"/>
  <c r="AR15" i="5" a="1"/>
  <c r="AZ15" i="5" a="1"/>
  <c r="BG15" i="5" a="1"/>
  <c r="Q15" i="5" a="1"/>
  <c r="AC15" i="5" a="1"/>
  <c r="AY15" i="5" a="1"/>
  <c r="H15" i="5" a="1"/>
  <c r="S15" i="5" a="1"/>
  <c r="AD15" i="5" a="1"/>
  <c r="AO15" i="5" a="1"/>
  <c r="BJ15" i="5" a="1"/>
  <c r="L15" i="5" a="1"/>
  <c r="W15" i="5" a="1"/>
  <c r="AI15" i="5" a="1"/>
  <c r="BD15" i="5" a="1"/>
  <c r="N15" i="5" a="1"/>
  <c r="X15" i="5" a="1"/>
  <c r="AK15" i="5" a="1"/>
  <c r="AT15" i="5" a="1"/>
  <c r="BE15" i="5" a="1"/>
  <c r="Y15" i="5" a="1"/>
  <c r="AU15" i="5" a="1"/>
  <c r="AM15" i="5" a="1"/>
  <c r="BF15" i="5" a="1"/>
  <c r="V15" i="5" a="1"/>
  <c r="BH15" i="5" a="1"/>
  <c r="AP15" i="5" a="1"/>
  <c r="BI15" i="5" a="1"/>
  <c r="BK15" i="5" a="1"/>
  <c r="K15" i="5" a="1"/>
  <c r="AE15" i="5" a="1"/>
  <c r="BM15" i="5" a="1"/>
  <c r="AB15" i="5" a="1"/>
  <c r="BB15" i="5" a="1"/>
  <c r="BC15" i="5" a="1"/>
  <c r="I15" i="5" a="1"/>
  <c r="AS15" i="5" a="1"/>
  <c r="O15" i="5" a="1"/>
  <c r="P15" i="5" a="1"/>
  <c r="AX15" i="5" a="1"/>
  <c r="U15" i="5" a="1"/>
  <c r="AG15" i="5" a="1"/>
  <c r="AL15" i="5" a="1"/>
  <c r="BA15" i="5" a="1"/>
  <c r="E15" i="6"/>
  <c r="I75" i="5" a="1"/>
  <c r="R75" i="5" a="1"/>
  <c r="AI75" i="5" a="1"/>
  <c r="AQ75" i="5" a="1"/>
  <c r="AZ75" i="5" a="1"/>
  <c r="J75" i="5" a="1"/>
  <c r="AA75" i="5" a="1"/>
  <c r="AJ75" i="5" a="1"/>
  <c r="AR75" i="5" a="1"/>
  <c r="BA75" i="5" a="1"/>
  <c r="BJ75" i="5" a="1"/>
  <c r="S75" i="5" a="1"/>
  <c r="AB75" i="5" a="1"/>
  <c r="AK75" i="5" a="1"/>
  <c r="AS75" i="5" a="1"/>
  <c r="BB75" i="5" a="1"/>
  <c r="BK75" i="5" a="1"/>
  <c r="P75" i="5" a="1"/>
  <c r="AN75" i="5" a="1"/>
  <c r="BL75" i="5" a="1"/>
  <c r="Q75" i="5" a="1"/>
  <c r="AC75" i="5" a="1"/>
  <c r="AX75" i="5" a="1"/>
  <c r="BM75" i="5" a="1"/>
  <c r="AD75" i="5" a="1"/>
  <c r="AO75" i="5" a="1"/>
  <c r="AY75" i="5" a="1"/>
  <c r="BN75" i="5" a="1"/>
  <c r="G75" i="5" a="1"/>
  <c r="K75" i="5" a="1"/>
  <c r="V75" i="5" a="1"/>
  <c r="AF75" i="5" a="1"/>
  <c r="AT75" i="5" a="1"/>
  <c r="AG75" i="5" a="1"/>
  <c r="BE75" i="5" a="1"/>
  <c r="H75" i="5" a="1"/>
  <c r="AE75" i="5" a="1"/>
  <c r="BC75" i="5" a="1"/>
  <c r="BD75" i="5" a="1"/>
  <c r="L75" i="5" a="1"/>
  <c r="AH75" i="5" a="1"/>
  <c r="BF75" i="5" a="1"/>
  <c r="M75" i="5" a="1"/>
  <c r="BG75" i="5" a="1"/>
  <c r="AP75" i="5" a="1"/>
  <c r="N75" i="5" a="1"/>
  <c r="AU75" i="5" a="1"/>
  <c r="W75" i="5" a="1"/>
  <c r="BH75" i="5" a="1"/>
  <c r="X75" i="5" a="1"/>
  <c r="BI75" i="5" a="1"/>
  <c r="T75" i="5" a="1"/>
  <c r="U75" i="5" a="1"/>
  <c r="Y75" i="5" a="1"/>
  <c r="AV75" i="5" a="1"/>
  <c r="AL75" i="5" a="1"/>
  <c r="AM75" i="5" a="1"/>
  <c r="O75" i="5" a="1"/>
  <c r="E75" i="6"/>
  <c r="Z75" i="5" a="1"/>
  <c r="AW75" i="5" a="1"/>
  <c r="O74" i="5" a="1"/>
  <c r="AD74" i="5" a="1"/>
  <c r="AZ74" i="5" a="1"/>
  <c r="BI74" i="5" a="1"/>
  <c r="H74" i="5" a="1"/>
  <c r="P74" i="5" a="1"/>
  <c r="W74" i="5" a="1"/>
  <c r="AK74" i="5" a="1"/>
  <c r="AT74" i="5" a="1"/>
  <c r="I74" i="5" a="1"/>
  <c r="AE74" i="5" a="1"/>
  <c r="AL74" i="5" a="1"/>
  <c r="BA74" i="5" a="1"/>
  <c r="BJ74" i="5" a="1"/>
  <c r="M74" i="5" a="1"/>
  <c r="X74" i="5" a="1"/>
  <c r="AQ74" i="5" a="1"/>
  <c r="BB74" i="5" a="1"/>
  <c r="BM74" i="5" a="1"/>
  <c r="Y74" i="5" a="1"/>
  <c r="AH74" i="5" a="1"/>
  <c r="AR74" i="5" a="1"/>
  <c r="BC74" i="5" a="1"/>
  <c r="N74" i="5" a="1"/>
  <c r="AS74" i="5" a="1"/>
  <c r="BD74" i="5" a="1"/>
  <c r="BN74" i="5" a="1"/>
  <c r="Q74" i="5" a="1"/>
  <c r="Z74" i="5" a="1"/>
  <c r="AI74" i="5" a="1"/>
  <c r="AU74" i="5" a="1"/>
  <c r="BE74" i="5" a="1"/>
  <c r="S74" i="5" a="1"/>
  <c r="AB74" i="5" a="1"/>
  <c r="AM74" i="5" a="1"/>
  <c r="BG74" i="5" a="1"/>
  <c r="J74" i="5" a="1"/>
  <c r="AN74" i="5" a="1"/>
  <c r="AW74" i="5" a="1"/>
  <c r="T74" i="5" a="1"/>
  <c r="AC74" i="5" a="1"/>
  <c r="V74" i="5" a="1"/>
  <c r="AA74" i="5" a="1"/>
  <c r="AV74" i="5" a="1"/>
  <c r="AX74" i="5" a="1"/>
  <c r="BL74" i="5" a="1"/>
  <c r="AJ74" i="5" a="1"/>
  <c r="G74" i="5" a="1"/>
  <c r="R74" i="5" a="1"/>
  <c r="AY74" i="5" a="1"/>
  <c r="U74" i="5" a="1"/>
  <c r="AF74" i="5" a="1"/>
  <c r="AP74" i="5" a="1"/>
  <c r="BF74" i="5" a="1"/>
  <c r="K74" i="5" a="1"/>
  <c r="L74" i="5" a="1"/>
  <c r="AG74" i="5" a="1"/>
  <c r="AO74" i="5" a="1"/>
  <c r="E74" i="6"/>
  <c r="BH74" i="5" a="1"/>
  <c r="BK74" i="5" a="1"/>
  <c r="S11" i="5" a="1"/>
  <c r="AA11" i="5" a="1"/>
  <c r="AI11" i="5" a="1"/>
  <c r="BE11" i="5" a="1"/>
  <c r="AH11" i="5" a="1"/>
  <c r="AQ11" i="5" a="1"/>
  <c r="AY11" i="5" a="1"/>
  <c r="BG11" i="5" a="1"/>
  <c r="L11" i="5" a="1"/>
  <c r="AS11" i="5" a="1"/>
  <c r="Z11" i="5" a="1"/>
  <c r="AK11" i="5" a="1"/>
  <c r="H11" i="5" a="1"/>
  <c r="Q11" i="5" a="1"/>
  <c r="AB11" i="5" a="1"/>
  <c r="AL11" i="5" a="1"/>
  <c r="AU11" i="5" a="1"/>
  <c r="BD11" i="5" a="1"/>
  <c r="BN11" i="5" a="1"/>
  <c r="K11" i="5" a="1"/>
  <c r="V11" i="5" a="1"/>
  <c r="AT11" i="5" a="1"/>
  <c r="O11" i="5" a="1"/>
  <c r="Y11" i="5" a="1"/>
  <c r="AX11" i="5" a="1"/>
  <c r="BJ11" i="5" a="1"/>
  <c r="AC11" i="5" a="1"/>
  <c r="AN11" i="5" a="1"/>
  <c r="BK11" i="5" a="1"/>
  <c r="X11" i="5" a="1"/>
  <c r="AP11" i="5" a="1"/>
  <c r="BF11" i="5" a="1"/>
  <c r="M11" i="5" a="1"/>
  <c r="AG11" i="5" a="1"/>
  <c r="AW11" i="5" a="1"/>
  <c r="BM11" i="5" a="1"/>
  <c r="T11" i="5" a="1"/>
  <c r="AZ11" i="5" a="1"/>
  <c r="U11" i="5" a="1"/>
  <c r="AJ11" i="5" a="1"/>
  <c r="BA11" i="5" a="1"/>
  <c r="P11" i="5" a="1"/>
  <c r="AR11" i="5" a="1"/>
  <c r="R11" i="5" a="1"/>
  <c r="AV11" i="5" a="1"/>
  <c r="AE11" i="5" a="1"/>
  <c r="BC11" i="5" a="1"/>
  <c r="AO11" i="5" a="1"/>
  <c r="N11" i="5" a="1"/>
  <c r="W11" i="5" a="1"/>
  <c r="BL11" i="5" a="1"/>
  <c r="AD11" i="5" a="1"/>
  <c r="I11" i="5" a="1"/>
  <c r="BB11" i="5" a="1"/>
  <c r="AF11" i="5" a="1"/>
  <c r="AM11" i="5" a="1"/>
  <c r="BH11" i="5" a="1"/>
  <c r="BI11" i="5" a="1"/>
  <c r="E11" i="6"/>
  <c r="R146" i="5" a="1"/>
  <c r="Z146" i="5" a="1"/>
  <c r="AR146" i="5" a="1"/>
  <c r="AZ146" i="5" a="1"/>
  <c r="L146" i="5" a="1"/>
  <c r="T146" i="5" a="1"/>
  <c r="AJ146" i="5" a="1"/>
  <c r="BA146" i="5" a="1"/>
  <c r="BJ146" i="5" a="1"/>
  <c r="G146" i="5" a="1"/>
  <c r="N146" i="5" a="1"/>
  <c r="AD146" i="5" a="1"/>
  <c r="AM146" i="5" a="1"/>
  <c r="AV146" i="5" a="1"/>
  <c r="K146" i="5" a="1"/>
  <c r="V146" i="5" a="1"/>
  <c r="AF146" i="5" a="1"/>
  <c r="AS146" i="5" a="1"/>
  <c r="BD146" i="5" a="1"/>
  <c r="W146" i="5" a="1"/>
  <c r="AG146" i="5" a="1"/>
  <c r="AT146" i="5" a="1"/>
  <c r="BE146" i="5" a="1"/>
  <c r="AA146" i="5" a="1"/>
  <c r="BI146" i="5" a="1"/>
  <c r="H146" i="5" a="1"/>
  <c r="P146" i="5" a="1"/>
  <c r="AB146" i="5" a="1"/>
  <c r="AN146" i="5" a="1"/>
  <c r="AY146" i="5" a="1"/>
  <c r="BK146" i="5" a="1"/>
  <c r="X146" i="5" a="1"/>
  <c r="AO146" i="5" a="1"/>
  <c r="BF146" i="5" a="1"/>
  <c r="I146" i="5" a="1"/>
  <c r="AP146" i="5" a="1"/>
  <c r="Y146" i="5" a="1"/>
  <c r="AQ146" i="5" a="1"/>
  <c r="BG146" i="5" a="1"/>
  <c r="AW146" i="5" a="1"/>
  <c r="BM146" i="5" a="1"/>
  <c r="J146" i="5" a="1"/>
  <c r="AH146" i="5" a="1"/>
  <c r="BH146" i="5" a="1"/>
  <c r="M146" i="5" a="1"/>
  <c r="AI146" i="5" a="1"/>
  <c r="AU146" i="5" a="1"/>
  <c r="U146" i="5" a="1"/>
  <c r="AX146" i="5" a="1"/>
  <c r="BL146" i="5" a="1"/>
  <c r="E146" i="6"/>
  <c r="O146" i="5" a="1"/>
  <c r="BN146" i="5" a="1"/>
  <c r="Q146" i="5" a="1"/>
  <c r="S146" i="5" a="1"/>
  <c r="AE146" i="5" a="1"/>
  <c r="AC146" i="5" a="1"/>
  <c r="AK146" i="5" a="1"/>
  <c r="AL146" i="5" a="1"/>
  <c r="BB146" i="5" a="1"/>
  <c r="BC146" i="5" a="1"/>
  <c r="I44" i="5" a="1"/>
  <c r="P44" i="5" a="1"/>
  <c r="AJ44" i="5" a="1"/>
  <c r="AQ44" i="5" a="1"/>
  <c r="BD44" i="5" a="1"/>
  <c r="BK44" i="5" a="1"/>
  <c r="J44" i="5" a="1"/>
  <c r="W44" i="5" a="1"/>
  <c r="AD44" i="5" a="1"/>
  <c r="AX44" i="5" a="1"/>
  <c r="BL44" i="5" a="1"/>
  <c r="Q44" i="5" a="1"/>
  <c r="AK44" i="5" a="1"/>
  <c r="AR44" i="5" a="1"/>
  <c r="BE44" i="5" a="1"/>
  <c r="BM44" i="5" a="1"/>
  <c r="S44" i="5" a="1"/>
  <c r="AN44" i="5" a="1"/>
  <c r="BA44" i="5" a="1"/>
  <c r="BH44" i="5" a="1"/>
  <c r="M44" i="5" a="1"/>
  <c r="Z44" i="5" a="1"/>
  <c r="AG44" i="5" a="1"/>
  <c r="AU44" i="5" a="1"/>
  <c r="AA44" i="5" a="1"/>
  <c r="AL44" i="5" a="1"/>
  <c r="AW44" i="5" a="1"/>
  <c r="O44" i="5" a="1"/>
  <c r="AB44" i="5" a="1"/>
  <c r="AM44" i="5" a="1"/>
  <c r="AY44" i="5" a="1"/>
  <c r="BJ44" i="5" a="1"/>
  <c r="AO44" i="5" a="1"/>
  <c r="AZ44" i="5" a="1"/>
  <c r="G44" i="5" a="1"/>
  <c r="R44" i="5" a="1"/>
  <c r="AC44" i="5" a="1"/>
  <c r="AF44" i="5" a="1"/>
  <c r="BC44" i="5" a="1"/>
  <c r="K44" i="5" a="1"/>
  <c r="U44" i="5" a="1"/>
  <c r="AH44" i="5" a="1"/>
  <c r="AS44" i="5" a="1"/>
  <c r="AE44" i="5" a="1"/>
  <c r="BB44" i="5" a="1"/>
  <c r="H44" i="5" a="1"/>
  <c r="BF44" i="5" a="1"/>
  <c r="L44" i="5" a="1"/>
  <c r="AI44" i="5" a="1"/>
  <c r="BG44" i="5" a="1"/>
  <c r="AP44" i="5" a="1"/>
  <c r="BN44" i="5" a="1"/>
  <c r="T44" i="5" a="1"/>
  <c r="AT44" i="5" a="1"/>
  <c r="X44" i="5" a="1"/>
  <c r="Y44" i="5" a="1"/>
  <c r="BI44" i="5" a="1"/>
  <c r="AV44" i="5" a="1"/>
  <c r="N44" i="5" a="1"/>
  <c r="V44" i="5" a="1"/>
  <c r="E44" i="6"/>
  <c r="K2" i="5" a="1"/>
  <c r="S2" i="5" a="1"/>
  <c r="AA2" i="5" a="1"/>
  <c r="AI2" i="5" a="1"/>
  <c r="AQ2" i="5" a="1"/>
  <c r="AX2" i="5" a="1"/>
  <c r="AY2" i="5" a="1"/>
  <c r="BI2" i="5" a="1"/>
  <c r="W2" i="5" a="1"/>
  <c r="O2" i="5" a="1"/>
  <c r="AE2" i="5" a="1"/>
  <c r="AM2" i="5" a="1"/>
  <c r="AU2" i="5" a="1"/>
  <c r="BD2" i="5" a="1"/>
  <c r="BM2" i="5" a="1"/>
  <c r="M2" i="5" a="1"/>
  <c r="Y2" i="5" a="1"/>
  <c r="AT2" i="5" a="1"/>
  <c r="BG2" i="5" a="1"/>
  <c r="Z2" i="5" a="1"/>
  <c r="AK2" i="5" a="1"/>
  <c r="BH2" i="5" a="1"/>
  <c r="R2" i="5" a="1"/>
  <c r="AO2" i="5" a="1"/>
  <c r="AZ2" i="5" a="1"/>
  <c r="J2" i="5" a="1"/>
  <c r="AB2" i="5" a="1"/>
  <c r="BE2" i="5" a="1"/>
  <c r="L2" i="5" a="1"/>
  <c r="AC2" i="5" a="1"/>
  <c r="AR2" i="5" a="1"/>
  <c r="BF2" i="5" a="1"/>
  <c r="T2" i="5" a="1"/>
  <c r="AH2" i="5" a="1"/>
  <c r="AW2" i="5" a="1"/>
  <c r="U2" i="5" a="1"/>
  <c r="AJ2" i="5" a="1"/>
  <c r="BN2" i="5" a="1"/>
  <c r="BA2" i="5" a="1"/>
  <c r="G2" i="5" a="1"/>
  <c r="V2" i="5" a="1"/>
  <c r="AL2" i="5" a="1"/>
  <c r="BB2" i="5" a="1"/>
  <c r="N2" i="5" a="1"/>
  <c r="P2" i="5" a="1"/>
  <c r="AS2" i="5" a="1"/>
  <c r="Q2" i="5" a="1"/>
  <c r="AV2" i="5" a="1"/>
  <c r="BC2" i="5" a="1"/>
  <c r="X2" i="5" a="1"/>
  <c r="AD2" i="5" a="1"/>
  <c r="AG2" i="5" a="1"/>
  <c r="H2" i="5" a="1"/>
  <c r="I2" i="5" a="1"/>
  <c r="AF2" i="5" a="1"/>
  <c r="E2" i="6"/>
  <c r="BL2" i="5" a="1"/>
  <c r="AN2" i="5" a="1"/>
  <c r="AP2" i="5" a="1"/>
  <c r="BJ2" i="5" a="1"/>
  <c r="BK2" i="5" a="1"/>
  <c r="L117" i="5" a="1"/>
  <c r="T117" i="5" a="1"/>
  <c r="AB117" i="5" a="1"/>
  <c r="AI117" i="5" a="1"/>
  <c r="AP117" i="5" a="1"/>
  <c r="AX117" i="5" a="1"/>
  <c r="BN117" i="5" a="1"/>
  <c r="H117" i="5" a="1"/>
  <c r="P117" i="5" a="1"/>
  <c r="X117" i="5" a="1"/>
  <c r="AE117" i="5" a="1"/>
  <c r="AM117" i="5" a="1"/>
  <c r="AT117" i="5" a="1"/>
  <c r="Y117" i="5" a="1"/>
  <c r="AF117" i="5" a="1"/>
  <c r="BC117" i="5" a="1"/>
  <c r="BK117" i="5" a="1"/>
  <c r="N117" i="5" a="1"/>
  <c r="AH117" i="5" a="1"/>
  <c r="AQ117" i="5" a="1"/>
  <c r="BB117" i="5" a="1"/>
  <c r="BM117" i="5" a="1"/>
  <c r="Z117" i="5" a="1"/>
  <c r="AR117" i="5" a="1"/>
  <c r="BD117" i="5" a="1"/>
  <c r="O117" i="5" a="1"/>
  <c r="AJ117" i="5" a="1"/>
  <c r="G117" i="5" a="1"/>
  <c r="R117" i="5" a="1"/>
  <c r="AC117" i="5" a="1"/>
  <c r="AV117" i="5" a="1"/>
  <c r="BH117" i="5" a="1"/>
  <c r="I117" i="5" a="1"/>
  <c r="S117" i="5" a="1"/>
  <c r="AN117" i="5" a="1"/>
  <c r="AW117" i="5" a="1"/>
  <c r="K117" i="5" a="1"/>
  <c r="AD117" i="5" a="1"/>
  <c r="AU117" i="5" a="1"/>
  <c r="M117" i="5" a="1"/>
  <c r="V117" i="5" a="1"/>
  <c r="AL117" i="5" a="1"/>
  <c r="BE117" i="5" a="1"/>
  <c r="BF117" i="5" a="1"/>
  <c r="AO117" i="5" a="1"/>
  <c r="Q117" i="5" a="1"/>
  <c r="AG117" i="5" a="1"/>
  <c r="J117" i="5" a="1"/>
  <c r="AZ117" i="5" a="1"/>
  <c r="BA117" i="5" a="1"/>
  <c r="U117" i="5" a="1"/>
  <c r="BG117" i="5" a="1"/>
  <c r="W117" i="5" a="1"/>
  <c r="BI117" i="5" a="1"/>
  <c r="AA117" i="5" a="1"/>
  <c r="E117" i="6"/>
  <c r="BJ117" i="5" a="1"/>
  <c r="BL117" i="5" a="1"/>
  <c r="AK117" i="5" a="1"/>
  <c r="AS117" i="5" a="1"/>
  <c r="AY117" i="5" a="1"/>
  <c r="O149" i="5" a="1"/>
  <c r="W149" i="5" a="1"/>
  <c r="AE149" i="5" a="1"/>
  <c r="AM149" i="5" a="1"/>
  <c r="AU149" i="5" a="1"/>
  <c r="BB149" i="5" a="1"/>
  <c r="H149" i="5" a="1"/>
  <c r="P149" i="5" a="1"/>
  <c r="AF149" i="5" a="1"/>
  <c r="AN149" i="5" a="1"/>
  <c r="BC149" i="5" a="1"/>
  <c r="BK149" i="5" a="1"/>
  <c r="T149" i="5" a="1"/>
  <c r="AI149" i="5" a="1"/>
  <c r="AQ149" i="5" a="1"/>
  <c r="AY149" i="5" a="1"/>
  <c r="BF149" i="5" a="1"/>
  <c r="K149" i="5" a="1"/>
  <c r="AA149" i="5" a="1"/>
  <c r="AR149" i="5" a="1"/>
  <c r="BN149" i="5" a="1"/>
  <c r="I149" i="5" a="1"/>
  <c r="AG149" i="5" a="1"/>
  <c r="AS149" i="5" a="1"/>
  <c r="BD149" i="5" a="1"/>
  <c r="V149" i="5" a="1"/>
  <c r="AH149" i="5" a="1"/>
  <c r="AT149" i="5" a="1"/>
  <c r="N149" i="5" a="1"/>
  <c r="AL149" i="5" a="1"/>
  <c r="AX149" i="5" a="1"/>
  <c r="BI149" i="5" a="1"/>
  <c r="AD149" i="5" a="1"/>
  <c r="AV149" i="5" a="1"/>
  <c r="Q149" i="5" a="1"/>
  <c r="AW149" i="5" a="1"/>
  <c r="BL149" i="5" a="1"/>
  <c r="X149" i="5" a="1"/>
  <c r="G149" i="5" a="1"/>
  <c r="Y149" i="5" a="1"/>
  <c r="AO149" i="5" a="1"/>
  <c r="J149" i="5" a="1"/>
  <c r="Z149" i="5" a="1"/>
  <c r="BE149" i="5" a="1"/>
  <c r="L149" i="5" a="1"/>
  <c r="AB149" i="5" a="1"/>
  <c r="AP149" i="5" a="1"/>
  <c r="BG149" i="5" a="1"/>
  <c r="AJ149" i="5" a="1"/>
  <c r="BM149" i="5" a="1"/>
  <c r="AK149" i="5" a="1"/>
  <c r="E149" i="6"/>
  <c r="M149" i="5" a="1"/>
  <c r="R149" i="5" a="1"/>
  <c r="AZ149" i="5" a="1"/>
  <c r="BJ149" i="5" a="1"/>
  <c r="AC149" i="5" a="1"/>
  <c r="BA149" i="5" a="1"/>
  <c r="BH149" i="5" a="1"/>
  <c r="S149" i="5" a="1"/>
  <c r="U149" i="5" a="1"/>
  <c r="U119" i="5" a="1"/>
  <c r="AD119" i="5" a="1"/>
  <c r="AK119" i="5" a="1"/>
  <c r="BA119" i="5" a="1"/>
  <c r="BH119" i="5" a="1"/>
  <c r="I119" i="5" a="1"/>
  <c r="Q119" i="5" a="1"/>
  <c r="Z119" i="5" a="1"/>
  <c r="AP119" i="5" a="1"/>
  <c r="AW119" i="5" a="1"/>
  <c r="R119" i="5" a="1"/>
  <c r="AH119" i="5" a="1"/>
  <c r="BE119" i="5" a="1"/>
  <c r="BL119" i="5" a="1"/>
  <c r="L119" i="5" a="1"/>
  <c r="V119" i="5" a="1"/>
  <c r="AG119" i="5" a="1"/>
  <c r="BK119" i="5" a="1"/>
  <c r="M119" i="5" a="1"/>
  <c r="W119" i="5" a="1"/>
  <c r="AS119" i="5" a="1"/>
  <c r="BC119" i="5" a="1"/>
  <c r="BM119" i="5" a="1"/>
  <c r="N119" i="5" a="1"/>
  <c r="X119" i="5" a="1"/>
  <c r="AI119" i="5" a="1"/>
  <c r="AT119" i="5" a="1"/>
  <c r="BN119" i="5" a="1"/>
  <c r="G119" i="5" a="1"/>
  <c r="AB119" i="5" a="1"/>
  <c r="AM119" i="5" a="1"/>
  <c r="AC119" i="5" a="1"/>
  <c r="AX119" i="5" a="1"/>
  <c r="BG119" i="5" a="1"/>
  <c r="AN119" i="5" a="1"/>
  <c r="AO119" i="5" a="1"/>
  <c r="BF119" i="5" a="1"/>
  <c r="K119" i="5" a="1"/>
  <c r="AV119" i="5" a="1"/>
  <c r="O119" i="5" a="1"/>
  <c r="AF119" i="5" a="1"/>
  <c r="AY119" i="5" a="1"/>
  <c r="BI119" i="5" a="1"/>
  <c r="H119" i="5" a="1"/>
  <c r="AJ119" i="5" a="1"/>
  <c r="BJ119" i="5" a="1"/>
  <c r="S119" i="5" a="1"/>
  <c r="AL119" i="5" a="1"/>
  <c r="AQ119" i="5" a="1"/>
  <c r="P119" i="5" a="1"/>
  <c r="BB119" i="5" a="1"/>
  <c r="T119" i="5" a="1"/>
  <c r="BD119" i="5" a="1"/>
  <c r="Y119" i="5" a="1"/>
  <c r="AA119" i="5" a="1"/>
  <c r="AR119" i="5" a="1"/>
  <c r="AU119" i="5" a="1"/>
  <c r="AZ119" i="5" a="1"/>
  <c r="E119" i="6"/>
  <c r="AE119" i="5" a="1"/>
  <c r="J119" i="5" a="1"/>
  <c r="AF12" i="5" a="1"/>
  <c r="V12" i="5" a="1"/>
  <c r="AK12" i="5" a="1"/>
  <c r="AR12" i="5" a="1"/>
  <c r="AY12" i="5" a="1"/>
  <c r="BF12" i="5" a="1"/>
  <c r="X12" i="5" a="1"/>
  <c r="AE12" i="5" a="1"/>
  <c r="AT12" i="5" a="1"/>
  <c r="BA12" i="5" a="1"/>
  <c r="BH12" i="5" a="1"/>
  <c r="O12" i="5" a="1"/>
  <c r="AG12" i="5" a="1"/>
  <c r="AP12" i="5" a="1"/>
  <c r="AX12" i="5" a="1"/>
  <c r="P12" i="5" a="1"/>
  <c r="Y12" i="5" a="1"/>
  <c r="AH12" i="5" a="1"/>
  <c r="BG12" i="5" a="1"/>
  <c r="J12" i="5" a="1"/>
  <c r="T12" i="5" a="1"/>
  <c r="AO12" i="5" a="1"/>
  <c r="W12" i="5" a="1"/>
  <c r="AI12" i="5" a="1"/>
  <c r="AS12" i="5" a="1"/>
  <c r="BC12" i="5" a="1"/>
  <c r="BM12" i="5" a="1"/>
  <c r="M12" i="5" a="1"/>
  <c r="Z12" i="5" a="1"/>
  <c r="BN12" i="5" a="1"/>
  <c r="L12" i="5" a="1"/>
  <c r="AB12" i="5" a="1"/>
  <c r="N12" i="5" a="1"/>
  <c r="AQ12" i="5" a="1"/>
  <c r="BD12" i="5" a="1"/>
  <c r="AV12" i="5" a="1"/>
  <c r="BJ12" i="5" a="1"/>
  <c r="G12" i="5" a="1"/>
  <c r="AJ12" i="5" a="1"/>
  <c r="BK12" i="5" a="1"/>
  <c r="H12" i="5" a="1"/>
  <c r="U12" i="5" a="1"/>
  <c r="AW12" i="5" a="1"/>
  <c r="BL12" i="5" a="1"/>
  <c r="BE12" i="5" a="1"/>
  <c r="K12" i="5" a="1"/>
  <c r="AL12" i="5" a="1"/>
  <c r="Q12" i="5" a="1"/>
  <c r="AM12" i="5" a="1"/>
  <c r="BI12" i="5" a="1"/>
  <c r="AN12" i="5" a="1"/>
  <c r="AU12" i="5" a="1"/>
  <c r="AA12" i="5" a="1"/>
  <c r="AC12" i="5" a="1"/>
  <c r="AZ12" i="5" a="1"/>
  <c r="I12" i="5" a="1"/>
  <c r="R12" i="5" a="1"/>
  <c r="BB12" i="5" a="1"/>
  <c r="AD12" i="5" a="1"/>
  <c r="S12" i="5" a="1"/>
  <c r="E12" i="6"/>
  <c r="K82" i="5" a="1"/>
  <c r="R82" i="5" a="1"/>
  <c r="AL82" i="5" a="1"/>
  <c r="AS82" i="5" a="1"/>
  <c r="BA82" i="5" a="1"/>
  <c r="BI82" i="5" a="1"/>
  <c r="T82" i="5" a="1"/>
  <c r="AA82" i="5" a="1"/>
  <c r="AI82" i="5" a="1"/>
  <c r="AX82" i="5" a="1"/>
  <c r="BG82" i="5" a="1"/>
  <c r="M82" i="5" a="1"/>
  <c r="AB82" i="5" a="1"/>
  <c r="AQ82" i="5" a="1"/>
  <c r="BH82" i="5" a="1"/>
  <c r="U82" i="5" a="1"/>
  <c r="AJ82" i="5" a="1"/>
  <c r="AY82" i="5" a="1"/>
  <c r="G82" i="5" a="1"/>
  <c r="N82" i="5" a="1"/>
  <c r="V82" i="5" a="1"/>
  <c r="AC82" i="5" a="1"/>
  <c r="AR82" i="5" a="1"/>
  <c r="AZ82" i="5" a="1"/>
  <c r="P82" i="5" a="1"/>
  <c r="AE82" i="5" a="1"/>
  <c r="AU82" i="5" a="1"/>
  <c r="BC82" i="5" a="1"/>
  <c r="BK82" i="5" a="1"/>
  <c r="I82" i="5" a="1"/>
  <c r="Q82" i="5" a="1"/>
  <c r="X82" i="5" a="1"/>
  <c r="AF82" i="5" a="1"/>
  <c r="AM82" i="5" a="1"/>
  <c r="BL82" i="5" a="1"/>
  <c r="AD82" i="5" a="1"/>
  <c r="BJ82" i="5" a="1"/>
  <c r="O82" i="5" a="1"/>
  <c r="AT82" i="5" a="1"/>
  <c r="AV82" i="5" a="1"/>
  <c r="AG82" i="5" a="1"/>
  <c r="BM82" i="5" a="1"/>
  <c r="W82" i="5" a="1"/>
  <c r="AP82" i="5" a="1"/>
  <c r="Y82" i="5" a="1"/>
  <c r="AW82" i="5" a="1"/>
  <c r="J82" i="5" a="1"/>
  <c r="AH82" i="5" a="1"/>
  <c r="BD82" i="5" a="1"/>
  <c r="BE82" i="5" a="1"/>
  <c r="AN82" i="5" a="1"/>
  <c r="AO82" i="5" a="1"/>
  <c r="S82" i="5" a="1"/>
  <c r="BF82" i="5" a="1"/>
  <c r="AK82" i="5" a="1"/>
  <c r="BN82" i="5" a="1"/>
  <c r="H82" i="5" a="1"/>
  <c r="BB82" i="5" a="1"/>
  <c r="Z82" i="5" a="1"/>
  <c r="E82" i="6"/>
  <c r="L82" i="5" a="1"/>
  <c r="L88" i="5" a="1"/>
  <c r="Y88" i="5" a="1"/>
  <c r="AL88" i="5" a="1"/>
  <c r="AS88" i="5" a="1"/>
  <c r="BF88" i="5" a="1"/>
  <c r="G88" i="5" a="1"/>
  <c r="N88" i="5" a="1"/>
  <c r="BE88" i="5" a="1"/>
  <c r="BL88" i="5" a="1"/>
  <c r="O88" i="5" a="1"/>
  <c r="V88" i="5" a="1"/>
  <c r="AC88" i="5" a="1"/>
  <c r="AJ88" i="5" a="1"/>
  <c r="AQ88" i="5" a="1"/>
  <c r="AX88" i="5" a="1"/>
  <c r="BM88" i="5" a="1"/>
  <c r="H88" i="5" a="1"/>
  <c r="AY88" i="5" a="1"/>
  <c r="J88" i="5" a="1"/>
  <c r="Q88" i="5" a="1"/>
  <c r="X88" i="5" a="1"/>
  <c r="AE88" i="5" a="1"/>
  <c r="AM88" i="5" a="1"/>
  <c r="AT88" i="5" a="1"/>
  <c r="BA88" i="5" a="1"/>
  <c r="BH88" i="5" a="1"/>
  <c r="AF88" i="5" a="1"/>
  <c r="K88" i="5" a="1"/>
  <c r="W88" i="5" a="1"/>
  <c r="AI88" i="5" a="1"/>
  <c r="AV88" i="5" a="1"/>
  <c r="BI88" i="5" a="1"/>
  <c r="AK88" i="5" a="1"/>
  <c r="R88" i="5" a="1"/>
  <c r="AZ88" i="5" a="1"/>
  <c r="S88" i="5" a="1"/>
  <c r="AH88" i="5" a="1"/>
  <c r="BB88" i="5" a="1"/>
  <c r="I88" i="5" a="1"/>
  <c r="AA88" i="5" a="1"/>
  <c r="BD88" i="5" a="1"/>
  <c r="AP88" i="5" a="1"/>
  <c r="BG88" i="5" a="1"/>
  <c r="AN88" i="5" a="1"/>
  <c r="M88" i="5" a="1"/>
  <c r="BN88" i="5" a="1"/>
  <c r="AO88" i="5" a="1"/>
  <c r="U88" i="5" a="1"/>
  <c r="AW88" i="5" a="1"/>
  <c r="Z88" i="5" a="1"/>
  <c r="T88" i="5" a="1"/>
  <c r="AB88" i="5" a="1"/>
  <c r="AU88" i="5" a="1"/>
  <c r="P88" i="5" a="1"/>
  <c r="AG88" i="5" a="1"/>
  <c r="BC88" i="5" a="1"/>
  <c r="E88" i="6"/>
  <c r="AD88" i="5" a="1"/>
  <c r="AR88" i="5" a="1"/>
  <c r="BJ88" i="5" a="1"/>
  <c r="BK88" i="5" a="1"/>
  <c r="J29" i="5" a="1"/>
  <c r="P29" i="5" a="1"/>
  <c r="V29" i="5" a="1"/>
  <c r="AB29" i="5" a="1"/>
  <c r="AH29" i="5" a="1"/>
  <c r="AN29" i="5" a="1"/>
  <c r="AT29" i="5" a="1"/>
  <c r="AZ29" i="5" a="1"/>
  <c r="BF29" i="5" a="1"/>
  <c r="BL29" i="5" a="1"/>
  <c r="K29" i="5" a="1"/>
  <c r="R29" i="5" a="1"/>
  <c r="Y29" i="5" a="1"/>
  <c r="AF29" i="5" a="1"/>
  <c r="AM29" i="5" a="1"/>
  <c r="AU29" i="5" a="1"/>
  <c r="BB29" i="5" a="1"/>
  <c r="BI29" i="5" a="1"/>
  <c r="G29" i="5" a="1"/>
  <c r="N29" i="5" a="1"/>
  <c r="U29" i="5" a="1"/>
  <c r="AC29" i="5" a="1"/>
  <c r="AJ29" i="5" a="1"/>
  <c r="AQ29" i="5" a="1"/>
  <c r="AX29" i="5" a="1"/>
  <c r="BE29" i="5" a="1"/>
  <c r="BM29" i="5" a="1"/>
  <c r="AE29" i="5" a="1"/>
  <c r="BH29" i="5" a="1"/>
  <c r="M29" i="5" a="1"/>
  <c r="W29" i="5" a="1"/>
  <c r="AP29" i="5" a="1"/>
  <c r="AY29" i="5" a="1"/>
  <c r="Q29" i="5" a="1"/>
  <c r="AS29" i="5" a="1"/>
  <c r="H29" i="5" a="1"/>
  <c r="AA29" i="5" a="1"/>
  <c r="AK29" i="5" a="1"/>
  <c r="BD29" i="5" a="1"/>
  <c r="BN29" i="5" a="1"/>
  <c r="S29" i="5" a="1"/>
  <c r="AV29" i="5" a="1"/>
  <c r="X29" i="5" a="1"/>
  <c r="AO29" i="5" a="1"/>
  <c r="I29" i="5" a="1"/>
  <c r="BG29" i="5" a="1"/>
  <c r="Z29" i="5" a="1"/>
  <c r="L29" i="5" a="1"/>
  <c r="AR29" i="5" a="1"/>
  <c r="BJ29" i="5" a="1"/>
  <c r="O29" i="5" a="1"/>
  <c r="AG29" i="5" a="1"/>
  <c r="AW29" i="5" a="1"/>
  <c r="AD29" i="5" a="1"/>
  <c r="BK29" i="5" a="1"/>
  <c r="AI29" i="5" a="1"/>
  <c r="AL29" i="5" a="1"/>
  <c r="BA29" i="5" a="1"/>
  <c r="BC29" i="5" a="1"/>
  <c r="T29" i="5" a="1"/>
  <c r="E29" i="6"/>
  <c r="H81" i="5" a="1"/>
  <c r="X81" i="5" a="1"/>
  <c r="AN81" i="5" a="1"/>
  <c r="AU81" i="5" a="1"/>
  <c r="BE81" i="5" a="1"/>
  <c r="BL81" i="5" a="1"/>
  <c r="L81" i="5" a="1"/>
  <c r="AD81" i="5" a="1"/>
  <c r="AM81" i="5" a="1"/>
  <c r="AT81" i="5" a="1"/>
  <c r="BM81" i="5" a="1"/>
  <c r="M81" i="5" a="1"/>
  <c r="U81" i="5" a="1"/>
  <c r="AE81" i="5" a="1"/>
  <c r="AV81" i="5" a="1"/>
  <c r="BF81" i="5" a="1"/>
  <c r="V81" i="5" a="1"/>
  <c r="AF81" i="5" a="1"/>
  <c r="AW81" i="5" a="1"/>
  <c r="BG81" i="5" a="1"/>
  <c r="BN81" i="5" a="1"/>
  <c r="N81" i="5" a="1"/>
  <c r="W81" i="5" a="1"/>
  <c r="AG81" i="5" a="1"/>
  <c r="AO81" i="5" a="1"/>
  <c r="I81" i="5" a="1"/>
  <c r="Z81" i="5" a="1"/>
  <c r="AI81" i="5" a="1"/>
  <c r="AQ81" i="5" a="1"/>
  <c r="AY81" i="5" a="1"/>
  <c r="Q81" i="5" a="1"/>
  <c r="AA81" i="5" a="1"/>
  <c r="AZ81" i="5" a="1"/>
  <c r="BJ81" i="5" a="1"/>
  <c r="Y81" i="5" a="1"/>
  <c r="BH81" i="5" a="1"/>
  <c r="G81" i="5" a="1"/>
  <c r="AP81" i="5" a="1"/>
  <c r="BI81" i="5" a="1"/>
  <c r="J81" i="5" a="1"/>
  <c r="AB81" i="5" a="1"/>
  <c r="AR81" i="5" a="1"/>
  <c r="BK81" i="5" a="1"/>
  <c r="BC81" i="5" a="1"/>
  <c r="AH81" i="5" a="1"/>
  <c r="BD81" i="5" a="1"/>
  <c r="K81" i="5" a="1"/>
  <c r="AJ81" i="5" a="1"/>
  <c r="AS81" i="5" a="1"/>
  <c r="R81" i="5" a="1"/>
  <c r="O81" i="5" a="1"/>
  <c r="BB81" i="5" a="1"/>
  <c r="P81" i="5" a="1"/>
  <c r="S81" i="5" a="1"/>
  <c r="AK81" i="5" a="1"/>
  <c r="T81" i="5" a="1"/>
  <c r="AC81" i="5" a="1"/>
  <c r="BA81" i="5" a="1"/>
  <c r="AX81" i="5" a="1"/>
  <c r="AL81" i="5" a="1"/>
  <c r="E81" i="6"/>
  <c r="S36" i="5" a="1"/>
  <c r="AN36" i="5" a="1"/>
  <c r="I36" i="5" a="1"/>
  <c r="V36" i="5" a="1"/>
  <c r="AC36" i="5" a="1"/>
  <c r="O36" i="5" a="1"/>
  <c r="W36" i="5" a="1"/>
  <c r="AE36" i="5" a="1"/>
  <c r="AM36" i="5" a="1"/>
  <c r="AU36" i="5" a="1"/>
  <c r="BB36" i="5" a="1"/>
  <c r="K36" i="5" a="1"/>
  <c r="AA36" i="5" a="1"/>
  <c r="AI36" i="5" a="1"/>
  <c r="BE36" i="5" a="1"/>
  <c r="G36" i="5" a="1"/>
  <c r="Q36" i="5" a="1"/>
  <c r="Z36" i="5" a="1"/>
  <c r="AK36" i="5" a="1"/>
  <c r="AT36" i="5" a="1"/>
  <c r="BJ36" i="5" a="1"/>
  <c r="H36" i="5" a="1"/>
  <c r="AB36" i="5" a="1"/>
  <c r="BC36" i="5" a="1"/>
  <c r="BK36" i="5" a="1"/>
  <c r="R36" i="5" a="1"/>
  <c r="AL36" i="5" a="1"/>
  <c r="BL36" i="5" a="1"/>
  <c r="J36" i="5" a="1"/>
  <c r="AV36" i="5" a="1"/>
  <c r="BD36" i="5" a="1"/>
  <c r="BM36" i="5" a="1"/>
  <c r="L36" i="5" a="1"/>
  <c r="AX36" i="5" a="1"/>
  <c r="M36" i="5" a="1"/>
  <c r="AF36" i="5" a="1"/>
  <c r="AP36" i="5" a="1"/>
  <c r="AY36" i="5" a="1"/>
  <c r="BG36" i="5" a="1"/>
  <c r="AD36" i="5" a="1"/>
  <c r="AW36" i="5" a="1"/>
  <c r="BN36" i="5" a="1"/>
  <c r="AG36" i="5" a="1"/>
  <c r="AZ36" i="5" a="1"/>
  <c r="N36" i="5" a="1"/>
  <c r="AH36" i="5" a="1"/>
  <c r="T36" i="5" a="1"/>
  <c r="U36" i="5" a="1"/>
  <c r="AO36" i="5" a="1"/>
  <c r="BF36" i="5" a="1"/>
  <c r="AJ36" i="5" a="1"/>
  <c r="AQ36" i="5" a="1"/>
  <c r="AR36" i="5" a="1"/>
  <c r="P36" i="5" a="1"/>
  <c r="BA36" i="5" a="1"/>
  <c r="BH36" i="5" a="1"/>
  <c r="BI36" i="5" a="1"/>
  <c r="X36" i="5" a="1"/>
  <c r="Y36" i="5" a="1"/>
  <c r="AS36" i="5" a="1"/>
  <c r="E36" i="6"/>
  <c r="G3" i="5" a="1"/>
  <c r="N3" i="5" a="1"/>
  <c r="AH3" i="5" a="1"/>
  <c r="AO3" i="5" a="1"/>
  <c r="AV3" i="5" a="1"/>
  <c r="U3" i="5" a="1"/>
  <c r="AB3" i="5" a="1"/>
  <c r="AW3" i="5" a="1"/>
  <c r="BD3" i="5" a="1"/>
  <c r="BK3" i="5" a="1"/>
  <c r="J3" i="5" a="1"/>
  <c r="Q3" i="5" a="1"/>
  <c r="AE3" i="5" a="1"/>
  <c r="BN3" i="5" a="1"/>
  <c r="AC3" i="5" a="1"/>
  <c r="AL3" i="5" a="1"/>
  <c r="BE3" i="5" a="1"/>
  <c r="V3" i="5" a="1"/>
  <c r="AF3" i="5" a="1"/>
  <c r="AP3" i="5" a="1"/>
  <c r="AZ3" i="5" a="1"/>
  <c r="BJ3" i="5" a="1"/>
  <c r="O3" i="5" a="1"/>
  <c r="X3" i="5" a="1"/>
  <c r="AR3" i="5" a="1"/>
  <c r="BB3" i="5" a="1"/>
  <c r="AI3" i="5" a="1"/>
  <c r="AT3" i="5" a="1"/>
  <c r="BG3" i="5" a="1"/>
  <c r="K3" i="5" a="1"/>
  <c r="W3" i="5" a="1"/>
  <c r="AU3" i="5" a="1"/>
  <c r="AN3" i="5" a="1"/>
  <c r="BA3" i="5" a="1"/>
  <c r="BM3" i="5" a="1"/>
  <c r="T3" i="5" a="1"/>
  <c r="AM3" i="5" a="1"/>
  <c r="BF3" i="5" a="1"/>
  <c r="I3" i="5" a="1"/>
  <c r="AA3" i="5" a="1"/>
  <c r="BL3" i="5" a="1"/>
  <c r="L3" i="5" a="1"/>
  <c r="AD3" i="5" a="1"/>
  <c r="P3" i="5" a="1"/>
  <c r="AQ3" i="5" a="1"/>
  <c r="Z3" i="5" a="1"/>
  <c r="AY3" i="5" a="1"/>
  <c r="BC3" i="5" a="1"/>
  <c r="R3" i="5" a="1"/>
  <c r="BH3" i="5" a="1"/>
  <c r="S3" i="5" a="1"/>
  <c r="BI3" i="5" a="1"/>
  <c r="Y3" i="5" a="1"/>
  <c r="AK3" i="5" a="1"/>
  <c r="AG3" i="5" a="1"/>
  <c r="AJ3" i="5" a="1"/>
  <c r="H3" i="5" a="1"/>
  <c r="AS3" i="5" a="1"/>
  <c r="M3" i="5" a="1"/>
  <c r="AX3" i="5" a="1"/>
  <c r="E3" i="6"/>
  <c r="Q145" i="5" a="1"/>
  <c r="X145" i="5" a="1"/>
  <c r="AF145" i="5" a="1"/>
  <c r="AP145" i="5" a="1"/>
  <c r="BD145" i="5" a="1"/>
  <c r="BK145" i="5" a="1"/>
  <c r="Y145" i="5" a="1"/>
  <c r="AG145" i="5" a="1"/>
  <c r="AQ145" i="5" a="1"/>
  <c r="BE145" i="5" a="1"/>
  <c r="BL145" i="5" a="1"/>
  <c r="AB145" i="5" a="1"/>
  <c r="AS145" i="5" a="1"/>
  <c r="BA145" i="5" a="1"/>
  <c r="I145" i="5" a="1"/>
  <c r="T145" i="5" a="1"/>
  <c r="AD145" i="5" a="1"/>
  <c r="AZ145" i="5" a="1"/>
  <c r="BI145" i="5" a="1"/>
  <c r="J145" i="5" a="1"/>
  <c r="U145" i="5" a="1"/>
  <c r="BJ145" i="5" a="1"/>
  <c r="N145" i="5" a="1"/>
  <c r="AJ145" i="5" a="1"/>
  <c r="AU145" i="5" a="1"/>
  <c r="O145" i="5" a="1"/>
  <c r="AK145" i="5" a="1"/>
  <c r="AL145" i="5" a="1"/>
  <c r="BB145" i="5" a="1"/>
  <c r="V145" i="5" a="1"/>
  <c r="AM145" i="5" a="1"/>
  <c r="G145" i="5" a="1"/>
  <c r="W145" i="5" a="1"/>
  <c r="AN145" i="5" a="1"/>
  <c r="BC145" i="5" a="1"/>
  <c r="M145" i="5" a="1"/>
  <c r="AC145" i="5" a="1"/>
  <c r="BH145" i="5" a="1"/>
  <c r="AV145" i="5" a="1"/>
  <c r="Z145" i="5" a="1"/>
  <c r="AW145" i="5" a="1"/>
  <c r="L145" i="5" a="1"/>
  <c r="AH145" i="5" a="1"/>
  <c r="BG145" i="5" a="1"/>
  <c r="AI145" i="5" a="1"/>
  <c r="P145" i="5" a="1"/>
  <c r="AO145" i="5" a="1"/>
  <c r="R145" i="5" a="1"/>
  <c r="AR145" i="5" a="1"/>
  <c r="AA145" i="5" a="1"/>
  <c r="AE145" i="5" a="1"/>
  <c r="AT145" i="5" a="1"/>
  <c r="AX145" i="5" a="1"/>
  <c r="E145" i="6"/>
  <c r="S145" i="5" a="1"/>
  <c r="H145" i="5" a="1"/>
  <c r="K145" i="5" a="1"/>
  <c r="BN145" i="5" a="1"/>
  <c r="AY145" i="5" a="1"/>
  <c r="BF145" i="5" a="1"/>
  <c r="BM145" i="5" a="1"/>
  <c r="AN87" i="5" a="1"/>
  <c r="AX87" i="5" a="1"/>
  <c r="K87" i="5" a="1"/>
  <c r="T87" i="5" a="1"/>
  <c r="AD87" i="5" a="1"/>
  <c r="L87" i="5" a="1"/>
  <c r="AM87" i="5" a="1"/>
  <c r="U87" i="5" a="1"/>
  <c r="AE87" i="5" a="1"/>
  <c r="AO87" i="5" a="1"/>
  <c r="AY87" i="5" a="1"/>
  <c r="BH87" i="5" a="1"/>
  <c r="M87" i="5" a="1"/>
  <c r="V87" i="5" a="1"/>
  <c r="AF87" i="5" a="1"/>
  <c r="AP87" i="5" a="1"/>
  <c r="AZ87" i="5" a="1"/>
  <c r="P87" i="5" a="1"/>
  <c r="X87" i="5" a="1"/>
  <c r="AR87" i="5" a="1"/>
  <c r="BB87" i="5" a="1"/>
  <c r="BJ87" i="5" a="1"/>
  <c r="G87" i="5" a="1"/>
  <c r="Y87" i="5" a="1"/>
  <c r="AI87" i="5" a="1"/>
  <c r="AS87" i="5" a="1"/>
  <c r="BC87" i="5" a="1"/>
  <c r="W87" i="5" a="1"/>
  <c r="BE87" i="5" a="1"/>
  <c r="AQ87" i="5" a="1"/>
  <c r="BF87" i="5" a="1"/>
  <c r="H87" i="5" a="1"/>
  <c r="Z87" i="5" a="1"/>
  <c r="BG87" i="5" a="1"/>
  <c r="I87" i="5" a="1"/>
  <c r="AA87" i="5" a="1"/>
  <c r="N87" i="5" a="1"/>
  <c r="AK87" i="5" a="1"/>
  <c r="O87" i="5" a="1"/>
  <c r="AL87" i="5" a="1"/>
  <c r="BK87" i="5" a="1"/>
  <c r="Q87" i="5" a="1"/>
  <c r="AT87" i="5" a="1"/>
  <c r="BL87" i="5" a="1"/>
  <c r="AB87" i="5" a="1"/>
  <c r="AW87" i="5" a="1"/>
  <c r="AC87" i="5" a="1"/>
  <c r="BA87" i="5" a="1"/>
  <c r="AH87" i="5" a="1"/>
  <c r="AJ87" i="5" a="1"/>
  <c r="J87" i="5" a="1"/>
  <c r="S87" i="5" a="1"/>
  <c r="BD87" i="5" a="1"/>
  <c r="BI87" i="5" a="1"/>
  <c r="BM87" i="5" a="1"/>
  <c r="BN87" i="5" a="1"/>
  <c r="E87" i="6"/>
  <c r="AV87" i="5" a="1"/>
  <c r="R87" i="5" a="1"/>
  <c r="AG87" i="5" a="1"/>
  <c r="AU87" i="5" a="1"/>
  <c r="AI28" i="5" a="1"/>
  <c r="AQ28" i="5" a="1"/>
  <c r="BE28" i="5" a="1"/>
  <c r="N28" i="5" a="1"/>
  <c r="U28" i="5" a="1"/>
  <c r="AB28" i="5" a="1"/>
  <c r="AJ28" i="5" a="1"/>
  <c r="AX28" i="5" a="1"/>
  <c r="BL28" i="5" a="1"/>
  <c r="K28" i="5" a="1"/>
  <c r="AL28" i="5" a="1"/>
  <c r="AT28" i="5" a="1"/>
  <c r="BB28" i="5" a="1"/>
  <c r="T28" i="5" a="1"/>
  <c r="AC28" i="5" a="1"/>
  <c r="BC28" i="5" a="1"/>
  <c r="BK28" i="5" a="1"/>
  <c r="G28" i="5" a="1"/>
  <c r="P28" i="5" a="1"/>
  <c r="X28" i="5" a="1"/>
  <c r="AF28" i="5" a="1"/>
  <c r="AO28" i="5" a="1"/>
  <c r="BG28" i="5" a="1"/>
  <c r="AY28" i="5" a="1"/>
  <c r="Q28" i="5" a="1"/>
  <c r="AA28" i="5" a="1"/>
  <c r="AN28" i="5" a="1"/>
  <c r="BJ28" i="5" a="1"/>
  <c r="J28" i="5" a="1"/>
  <c r="V28" i="5" a="1"/>
  <c r="AG28" i="5" a="1"/>
  <c r="AS28" i="5" a="1"/>
  <c r="W28" i="5" a="1"/>
  <c r="BF28" i="5" a="1"/>
  <c r="L28" i="5" a="1"/>
  <c r="AH28" i="5" a="1"/>
  <c r="AU28" i="5" a="1"/>
  <c r="AV28" i="5" a="1"/>
  <c r="BN28" i="5" a="1"/>
  <c r="I28" i="5" a="1"/>
  <c r="AD28" i="5" a="1"/>
  <c r="AW28" i="5" a="1"/>
  <c r="M28" i="5" a="1"/>
  <c r="AE28" i="5" a="1"/>
  <c r="AZ28" i="5" a="1"/>
  <c r="O28" i="5" a="1"/>
  <c r="R28" i="5" a="1"/>
  <c r="AM28" i="5" a="1"/>
  <c r="S28" i="5" a="1"/>
  <c r="BH28" i="5" a="1"/>
  <c r="BA28" i="5" a="1"/>
  <c r="BD28" i="5" a="1"/>
  <c r="BI28" i="5" a="1"/>
  <c r="Y28" i="5" a="1"/>
  <c r="AK28" i="5" a="1"/>
  <c r="Z28" i="5" a="1"/>
  <c r="AP28" i="5" a="1"/>
  <c r="AR28" i="5" a="1"/>
  <c r="BM28" i="5" a="1"/>
  <c r="H28" i="5" a="1"/>
  <c r="E28" i="6"/>
  <c r="S141" i="5" a="1"/>
  <c r="Z141" i="5" a="1"/>
  <c r="AH141" i="5" a="1"/>
  <c r="AP141" i="5" a="1"/>
  <c r="AX141" i="5" a="1"/>
  <c r="BF141" i="5" a="1"/>
  <c r="BN141" i="5" a="1"/>
  <c r="L141" i="5" a="1"/>
  <c r="T141" i="5" a="1"/>
  <c r="M141" i="5" a="1"/>
  <c r="AA141" i="5" a="1"/>
  <c r="AI141" i="5" a="1"/>
  <c r="AQ141" i="5" a="1"/>
  <c r="AY141" i="5" a="1"/>
  <c r="BG141" i="5" a="1"/>
  <c r="G141" i="5" a="1"/>
  <c r="O141" i="5" a="1"/>
  <c r="W141" i="5" a="1"/>
  <c r="AD141" i="5" a="1"/>
  <c r="AT141" i="5" a="1"/>
  <c r="H141" i="5" a="1"/>
  <c r="P141" i="5" a="1"/>
  <c r="AE141" i="5" a="1"/>
  <c r="AL141" i="5" a="1"/>
  <c r="BC141" i="5" a="1"/>
  <c r="BK141" i="5" a="1"/>
  <c r="Y141" i="5" a="1"/>
  <c r="BA141" i="5" a="1"/>
  <c r="N141" i="5" a="1"/>
  <c r="AM141" i="5" a="1"/>
  <c r="BB141" i="5" a="1"/>
  <c r="AF141" i="5" a="1"/>
  <c r="AS141" i="5" a="1"/>
  <c r="BH141" i="5" a="1"/>
  <c r="U141" i="5" a="1"/>
  <c r="AU141" i="5" a="1"/>
  <c r="BI141" i="5" a="1"/>
  <c r="AG141" i="5" a="1"/>
  <c r="BD141" i="5" a="1"/>
  <c r="Q141" i="5" a="1"/>
  <c r="AJ141" i="5" a="1"/>
  <c r="X141" i="5" a="1"/>
  <c r="AR141" i="5" a="1"/>
  <c r="AB141" i="5" a="1"/>
  <c r="BE141" i="5" a="1"/>
  <c r="BJ141" i="5" a="1"/>
  <c r="J141" i="5" a="1"/>
  <c r="AO141" i="5" a="1"/>
  <c r="E141" i="6"/>
  <c r="K141" i="5" a="1"/>
  <c r="R141" i="5" a="1"/>
  <c r="AV141" i="5" a="1"/>
  <c r="V141" i="5" a="1"/>
  <c r="AW141" i="5" a="1"/>
  <c r="BL141" i="5" a="1"/>
  <c r="BM141" i="5" a="1"/>
  <c r="I141" i="5" a="1"/>
  <c r="AC141" i="5" a="1"/>
  <c r="AK141" i="5" a="1"/>
  <c r="AN141" i="5" a="1"/>
  <c r="AZ141" i="5" a="1"/>
  <c r="G116" i="5" a="1"/>
  <c r="W116" i="5" a="1"/>
  <c r="AS116" i="5" a="1"/>
  <c r="BB116" i="5" a="1"/>
  <c r="BK116" i="5" a="1"/>
  <c r="K116" i="5" a="1"/>
  <c r="S116" i="5" a="1"/>
  <c r="AO116" i="5" a="1"/>
  <c r="AX116" i="5" a="1"/>
  <c r="BF116" i="5" a="1"/>
  <c r="AA116" i="5" a="1"/>
  <c r="AH116" i="5" a="1"/>
  <c r="AP116" i="5" a="1"/>
  <c r="BG116" i="5" a="1"/>
  <c r="H116" i="5" a="1"/>
  <c r="R116" i="5" a="1"/>
  <c r="AW116" i="5" a="1"/>
  <c r="BI116" i="5" a="1"/>
  <c r="I116" i="5" a="1"/>
  <c r="T116" i="5" a="1"/>
  <c r="AD116" i="5" a="1"/>
  <c r="AM116" i="5" a="1"/>
  <c r="AY116" i="5" a="1"/>
  <c r="BJ116" i="5" a="1"/>
  <c r="U116" i="5" a="1"/>
  <c r="AE116" i="5" a="1"/>
  <c r="AZ116" i="5" a="1"/>
  <c r="M116" i="5" a="1"/>
  <c r="X116" i="5" a="1"/>
  <c r="AG116" i="5" a="1"/>
  <c r="AR116" i="5" a="1"/>
  <c r="N116" i="5" a="1"/>
  <c r="AI116" i="5" a="1"/>
  <c r="BD116" i="5" a="1"/>
  <c r="P116" i="5" a="1"/>
  <c r="BA116" i="5" a="1"/>
  <c r="Q116" i="5" a="1"/>
  <c r="AJ116" i="5" a="1"/>
  <c r="Y116" i="5" a="1"/>
  <c r="Z116" i="5" a="1"/>
  <c r="AQ116" i="5" a="1"/>
  <c r="BL116" i="5" a="1"/>
  <c r="AT116" i="5" a="1"/>
  <c r="AU116" i="5" a="1"/>
  <c r="V116" i="5" a="1"/>
  <c r="BE116" i="5" a="1"/>
  <c r="J116" i="5" a="1"/>
  <c r="AV116" i="5" a="1"/>
  <c r="E116" i="6"/>
  <c r="L116" i="5" a="1"/>
  <c r="BC116" i="5" a="1"/>
  <c r="AC116" i="5" a="1"/>
  <c r="AF116" i="5" a="1"/>
  <c r="AK116" i="5" a="1"/>
  <c r="BH116" i="5" a="1"/>
  <c r="BM116" i="5" a="1"/>
  <c r="BN116" i="5" a="1"/>
  <c r="AN116" i="5" a="1"/>
  <c r="AL116" i="5" a="1"/>
  <c r="AB116" i="5" a="1"/>
  <c r="O116" i="5" a="1"/>
  <c r="L80" i="5" a="1"/>
  <c r="AB80" i="5" a="1"/>
  <c r="AK80" i="5" a="1"/>
  <c r="AS80" i="5" a="1"/>
  <c r="BA80" i="5" a="1"/>
  <c r="BI80" i="5" a="1"/>
  <c r="T80" i="5" a="1"/>
  <c r="AD80" i="5" a="1"/>
  <c r="AM80" i="5" a="1"/>
  <c r="BD80" i="5" a="1"/>
  <c r="M80" i="5" a="1"/>
  <c r="U80" i="5" a="1"/>
  <c r="AE80" i="5" a="1"/>
  <c r="AN80" i="5" a="1"/>
  <c r="AW80" i="5" a="1"/>
  <c r="BE80" i="5" a="1"/>
  <c r="BM80" i="5" a="1"/>
  <c r="V80" i="5" a="1"/>
  <c r="N80" i="5" a="1"/>
  <c r="AF80" i="5" a="1"/>
  <c r="AO80" i="5" a="1"/>
  <c r="AX80" i="5" a="1"/>
  <c r="BF80" i="5" a="1"/>
  <c r="BN80" i="5" a="1"/>
  <c r="H80" i="5" a="1"/>
  <c r="Y80" i="5" a="1"/>
  <c r="AQ80" i="5" a="1"/>
  <c r="AZ80" i="5" a="1"/>
  <c r="BH80" i="5" a="1"/>
  <c r="I80" i="5" a="1"/>
  <c r="Q80" i="5" a="1"/>
  <c r="AI80" i="5" a="1"/>
  <c r="O80" i="5" a="1"/>
  <c r="AG80" i="5" a="1"/>
  <c r="AY80" i="5" a="1"/>
  <c r="P80" i="5" a="1"/>
  <c r="AH80" i="5" a="1"/>
  <c r="R80" i="5" a="1"/>
  <c r="AJ80" i="5" a="1"/>
  <c r="BB80" i="5" a="1"/>
  <c r="AP80" i="5" a="1"/>
  <c r="K80" i="5" a="1"/>
  <c r="BL80" i="5" a="1"/>
  <c r="AR80" i="5" a="1"/>
  <c r="Z80" i="5" a="1"/>
  <c r="BC80" i="5" a="1"/>
  <c r="AA80" i="5" a="1"/>
  <c r="AC80" i="5" a="1"/>
  <c r="AV80" i="5" a="1"/>
  <c r="G80" i="5" a="1"/>
  <c r="J80" i="5" a="1"/>
  <c r="AT80" i="5" a="1"/>
  <c r="AU80" i="5" a="1"/>
  <c r="BG80" i="5" a="1"/>
  <c r="BJ80" i="5" a="1"/>
  <c r="BK80" i="5" a="1"/>
  <c r="S80" i="5" a="1"/>
  <c r="W80" i="5" a="1"/>
  <c r="E80" i="6"/>
  <c r="X80" i="5" a="1"/>
  <c r="AL80" i="5" a="1"/>
  <c r="H35" i="5" a="1"/>
  <c r="N35" i="5" a="1"/>
  <c r="T35" i="5" a="1"/>
  <c r="Z35" i="5" a="1"/>
  <c r="AF35" i="5" a="1"/>
  <c r="AL35" i="5" a="1"/>
  <c r="AR35" i="5" a="1"/>
  <c r="AX35" i="5" a="1"/>
  <c r="BD35" i="5" a="1"/>
  <c r="BJ35" i="5" a="1"/>
  <c r="I35" i="5" a="1"/>
  <c r="P35" i="5" a="1"/>
  <c r="W35" i="5" a="1"/>
  <c r="AS35" i="5" a="1"/>
  <c r="AZ35" i="5" a="1"/>
  <c r="BG35" i="5" a="1"/>
  <c r="AA35" i="5" a="1"/>
  <c r="AH35" i="5" a="1"/>
  <c r="AO35" i="5" a="1"/>
  <c r="BK35" i="5" a="1"/>
  <c r="O35" i="5" a="1"/>
  <c r="X35" i="5" a="1"/>
  <c r="BF35" i="5" a="1"/>
  <c r="G35" i="5" a="1"/>
  <c r="AG35" i="5" a="1"/>
  <c r="AP35" i="5" a="1"/>
  <c r="Y35" i="5" a="1"/>
  <c r="AY35" i="5" a="1"/>
  <c r="BH35" i="5" a="1"/>
  <c r="Q35" i="5" a="1"/>
  <c r="AQ35" i="5" a="1"/>
  <c r="S35" i="5" a="1"/>
  <c r="AB35" i="5" a="1"/>
  <c r="BB35" i="5" a="1"/>
  <c r="K35" i="5" a="1"/>
  <c r="AK35" i="5" a="1"/>
  <c r="AT35" i="5" a="1"/>
  <c r="R35" i="5" a="1"/>
  <c r="AI35" i="5" a="1"/>
  <c r="AJ35" i="5" a="1"/>
  <c r="BA35" i="5" a="1"/>
  <c r="U35" i="5" a="1"/>
  <c r="BC35" i="5" a="1"/>
  <c r="AM35" i="5" a="1"/>
  <c r="BI35" i="5" a="1"/>
  <c r="J35" i="5" a="1"/>
  <c r="V35" i="5" a="1"/>
  <c r="BE35" i="5" a="1"/>
  <c r="AC35" i="5" a="1"/>
  <c r="BL35" i="5" a="1"/>
  <c r="AD35" i="5" a="1"/>
  <c r="AN35" i="5" a="1"/>
  <c r="BM35" i="5" a="1"/>
  <c r="BN35" i="5" a="1"/>
  <c r="L35" i="5" a="1"/>
  <c r="AE35" i="5" a="1"/>
  <c r="AU35" i="5" a="1"/>
  <c r="M35" i="5" a="1"/>
  <c r="AV35" i="5" a="1"/>
  <c r="AW35" i="5" a="1"/>
  <c r="E35" i="6"/>
  <c r="H134" i="5" a="1"/>
  <c r="P134" i="5" a="1"/>
  <c r="W134" i="5" a="1"/>
  <c r="AM134" i="5" a="1"/>
  <c r="AU134" i="5" a="1"/>
  <c r="BC134" i="5" a="1"/>
  <c r="BJ134" i="5" a="1"/>
  <c r="I134" i="5" a="1"/>
  <c r="X134" i="5" a="1"/>
  <c r="AF134" i="5" a="1"/>
  <c r="AN134" i="5" a="1"/>
  <c r="AV134" i="5" a="1"/>
  <c r="Q134" i="5" a="1"/>
  <c r="Y134" i="5" a="1"/>
  <c r="AO134" i="5" a="1"/>
  <c r="AW134" i="5" a="1"/>
  <c r="BD134" i="5" a="1"/>
  <c r="BK134" i="5" a="1"/>
  <c r="L134" i="5" a="1"/>
  <c r="T134" i="5" a="1"/>
  <c r="AI134" i="5" a="1"/>
  <c r="AR134" i="5" a="1"/>
  <c r="BF134" i="5" a="1"/>
  <c r="BN134" i="5" a="1"/>
  <c r="M134" i="5" a="1"/>
  <c r="AB134" i="5" a="1"/>
  <c r="AJ134" i="5" a="1"/>
  <c r="AZ134" i="5" a="1"/>
  <c r="AK134" i="5" a="1"/>
  <c r="AY134" i="5" a="1"/>
  <c r="BL134" i="5" a="1"/>
  <c r="K134" i="5" a="1"/>
  <c r="AL134" i="5" a="1"/>
  <c r="R134" i="5" a="1"/>
  <c r="AS134" i="5" a="1"/>
  <c r="BE134" i="5" a="1"/>
  <c r="AE134" i="5" a="1"/>
  <c r="S134" i="5" a="1"/>
  <c r="BG134" i="5" a="1"/>
  <c r="U134" i="5" a="1"/>
  <c r="AP134" i="5" a="1"/>
  <c r="BH134" i="5" a="1"/>
  <c r="AC134" i="5" a="1"/>
  <c r="AG134" i="5" a="1"/>
  <c r="BI134" i="5" a="1"/>
  <c r="E134" i="6"/>
  <c r="AH134" i="5" a="1"/>
  <c r="BM134" i="5" a="1"/>
  <c r="O134" i="5" a="1"/>
  <c r="AX134" i="5" a="1"/>
  <c r="V134" i="5" a="1"/>
  <c r="BA134" i="5" a="1"/>
  <c r="Z134" i="5" a="1"/>
  <c r="BB134" i="5" a="1"/>
  <c r="G134" i="5" a="1"/>
  <c r="J134" i="5" a="1"/>
  <c r="N134" i="5" a="1"/>
  <c r="AD134" i="5" a="1"/>
  <c r="AA134" i="5" a="1"/>
  <c r="AQ134" i="5" a="1"/>
  <c r="AT134" i="5" a="1"/>
  <c r="N121" i="5" a="1"/>
  <c r="V121" i="5" a="1"/>
  <c r="AD121" i="5" a="1"/>
  <c r="AL121" i="5" a="1"/>
  <c r="AS121" i="5" a="1"/>
  <c r="BB121" i="5" a="1"/>
  <c r="I121" i="5" a="1"/>
  <c r="R121" i="5" a="1"/>
  <c r="Z121" i="5" a="1"/>
  <c r="AH121" i="5" a="1"/>
  <c r="AX121" i="5" a="1"/>
  <c r="BF121" i="5" a="1"/>
  <c r="J121" i="5" a="1"/>
  <c r="AP121" i="5" a="1"/>
  <c r="BG121" i="5" a="1"/>
  <c r="AE121" i="5" a="1"/>
  <c r="AO121" i="5" a="1"/>
  <c r="BA121" i="5" a="1"/>
  <c r="BL121" i="5" a="1"/>
  <c r="K121" i="5" a="1"/>
  <c r="U121" i="5" a="1"/>
  <c r="AF121" i="5" a="1"/>
  <c r="AQ121" i="5" a="1"/>
  <c r="BC121" i="5" a="1"/>
  <c r="BM121" i="5" a="1"/>
  <c r="O121" i="5" a="1"/>
  <c r="AK121" i="5" a="1"/>
  <c r="AU121" i="5" a="1"/>
  <c r="BE121" i="5" a="1"/>
  <c r="P121" i="5" a="1"/>
  <c r="AA121" i="5" a="1"/>
  <c r="AV121" i="5" a="1"/>
  <c r="BH121" i="5" a="1"/>
  <c r="L121" i="5" a="1"/>
  <c r="AC121" i="5" a="1"/>
  <c r="M121" i="5" a="1"/>
  <c r="AW121" i="5" a="1"/>
  <c r="T121" i="5" a="1"/>
  <c r="AM121" i="5" a="1"/>
  <c r="W121" i="5" a="1"/>
  <c r="AN121" i="5" a="1"/>
  <c r="X121" i="5" a="1"/>
  <c r="AY121" i="5" a="1"/>
  <c r="Y121" i="5" a="1"/>
  <c r="AZ121" i="5" a="1"/>
  <c r="AB121" i="5" a="1"/>
  <c r="AJ121" i="5" a="1"/>
  <c r="BK121" i="5" a="1"/>
  <c r="AR121" i="5" a="1"/>
  <c r="E121" i="6"/>
  <c r="BJ121" i="5" a="1"/>
  <c r="S121" i="5" a="1"/>
  <c r="BN121" i="5" a="1"/>
  <c r="AG121" i="5" a="1"/>
  <c r="G121" i="5" a="1"/>
  <c r="H121" i="5" a="1"/>
  <c r="Q121" i="5" a="1"/>
  <c r="AI121" i="5" a="1"/>
  <c r="AT121" i="5" a="1"/>
  <c r="BD121" i="5" a="1"/>
  <c r="BI121" i="5" a="1"/>
  <c r="H147" i="5" a="1"/>
  <c r="P147" i="5" a="1"/>
  <c r="W147" i="5" a="1"/>
  <c r="AK147" i="5" a="1"/>
  <c r="AR147" i="5" a="1"/>
  <c r="AZ147" i="5" a="1"/>
  <c r="J147" i="5" a="1"/>
  <c r="Q147" i="5" a="1"/>
  <c r="X147" i="5" a="1"/>
  <c r="AL147" i="5" a="1"/>
  <c r="L147" i="5" a="1"/>
  <c r="S147" i="5" a="1"/>
  <c r="Z147" i="5" a="1"/>
  <c r="AI147" i="5" a="1"/>
  <c r="AS147" i="5" a="1"/>
  <c r="BI147" i="5" a="1"/>
  <c r="G147" i="5" a="1"/>
  <c r="AA147" i="5" a="1"/>
  <c r="BB147" i="5" a="1"/>
  <c r="BJ147" i="5" a="1"/>
  <c r="U147" i="5" a="1"/>
  <c r="AD147" i="5" a="1"/>
  <c r="AN147" i="5" a="1"/>
  <c r="BM147" i="5" a="1"/>
  <c r="M147" i="5" a="1"/>
  <c r="V147" i="5" a="1"/>
  <c r="AE147" i="5" a="1"/>
  <c r="AO147" i="5" a="1"/>
  <c r="AW147" i="5" a="1"/>
  <c r="BF147" i="5" a="1"/>
  <c r="BC147" i="5" a="1"/>
  <c r="BN147" i="5" a="1"/>
  <c r="N147" i="5" a="1"/>
  <c r="AB147" i="5" a="1"/>
  <c r="AP147" i="5" a="1"/>
  <c r="O147" i="5" a="1"/>
  <c r="AQ147" i="5" a="1"/>
  <c r="BD147" i="5" a="1"/>
  <c r="AH147" i="5" a="1"/>
  <c r="AU147" i="5" a="1"/>
  <c r="BK147" i="5" a="1"/>
  <c r="AT147" i="5" a="1"/>
  <c r="AG147" i="5" a="1"/>
  <c r="K147" i="5" a="1"/>
  <c r="BA147" i="5" a="1"/>
  <c r="AJ147" i="5" a="1"/>
  <c r="BE147" i="5" a="1"/>
  <c r="R147" i="5" a="1"/>
  <c r="AV147" i="5" a="1"/>
  <c r="AX147" i="5" a="1"/>
  <c r="I147" i="5" a="1"/>
  <c r="AY147" i="5" a="1"/>
  <c r="T147" i="5" a="1"/>
  <c r="BH147" i="5" a="1"/>
  <c r="BG147" i="5" a="1"/>
  <c r="BL147" i="5" a="1"/>
  <c r="E147" i="6"/>
  <c r="Y147" i="5" a="1"/>
  <c r="AC147" i="5" a="1"/>
  <c r="AF147" i="5" a="1"/>
  <c r="AM147" i="5" a="1"/>
  <c r="M144" i="5" a="1"/>
  <c r="U144" i="5" a="1"/>
  <c r="AZ144" i="5" a="1"/>
  <c r="BH144" i="5" a="1"/>
  <c r="N144" i="5" a="1"/>
  <c r="V144" i="5" a="1"/>
  <c r="AE144" i="5" a="1"/>
  <c r="AM144" i="5" a="1"/>
  <c r="H144" i="5" a="1"/>
  <c r="Q144" i="5" a="1"/>
  <c r="Z144" i="5" a="1"/>
  <c r="AH144" i="5" a="1"/>
  <c r="AO144" i="5" a="1"/>
  <c r="AV144" i="5" a="1"/>
  <c r="BL144" i="5" a="1"/>
  <c r="P144" i="5" a="1"/>
  <c r="AB144" i="5" a="1"/>
  <c r="AL144" i="5" a="1"/>
  <c r="BF144" i="5" a="1"/>
  <c r="AW144" i="5" a="1"/>
  <c r="K144" i="5" a="1"/>
  <c r="AG144" i="5" a="1"/>
  <c r="AQ144" i="5" a="1"/>
  <c r="BA144" i="5" a="1"/>
  <c r="W144" i="5" a="1"/>
  <c r="BB144" i="5" a="1"/>
  <c r="BM144" i="5" a="1"/>
  <c r="R144" i="5" a="1"/>
  <c r="AI144" i="5" a="1"/>
  <c r="S144" i="5" a="1"/>
  <c r="AX144" i="5" a="1"/>
  <c r="BN144" i="5" a="1"/>
  <c r="AJ144" i="5" a="1"/>
  <c r="I144" i="5" a="1"/>
  <c r="AA144" i="5" a="1"/>
  <c r="BE144" i="5" a="1"/>
  <c r="L144" i="5" a="1"/>
  <c r="AK144" i="5" a="1"/>
  <c r="BG144" i="5" a="1"/>
  <c r="AN144" i="5" a="1"/>
  <c r="BI144" i="5" a="1"/>
  <c r="Y144" i="5" a="1"/>
  <c r="AT144" i="5" a="1"/>
  <c r="AU144" i="5" a="1"/>
  <c r="E144" i="6"/>
  <c r="AC144" i="5" a="1"/>
  <c r="AY144" i="5" a="1"/>
  <c r="AD144" i="5" a="1"/>
  <c r="BC144" i="5" a="1"/>
  <c r="AP144" i="5" a="1"/>
  <c r="AR144" i="5" a="1"/>
  <c r="AS144" i="5" a="1"/>
  <c r="J144" i="5" a="1"/>
  <c r="G144" i="5" a="1"/>
  <c r="BD144" i="5" a="1"/>
  <c r="BJ144" i="5" a="1"/>
  <c r="X144" i="5" a="1"/>
  <c r="BK144" i="5" a="1"/>
  <c r="AF144" i="5" a="1"/>
  <c r="O144" i="5" a="1"/>
  <c r="T144" i="5" a="1"/>
  <c r="H114" i="5" a="1"/>
  <c r="O114" i="5" a="1"/>
  <c r="W114" i="5" a="1"/>
  <c r="AF114" i="5" a="1"/>
  <c r="AW114" i="5" a="1"/>
  <c r="BN114" i="5" a="1"/>
  <c r="L114" i="5" a="1"/>
  <c r="AB114" i="5" a="1"/>
  <c r="AK114" i="5" a="1"/>
  <c r="AS114" i="5" a="1"/>
  <c r="BB114" i="5" a="1"/>
  <c r="S114" i="5" a="1"/>
  <c r="AC114" i="5" a="1"/>
  <c r="AL114" i="5" a="1"/>
  <c r="BJ114" i="5" a="1"/>
  <c r="K114" i="5" a="1"/>
  <c r="M114" i="5" a="1"/>
  <c r="V114" i="5" a="1"/>
  <c r="AH114" i="5" a="1"/>
  <c r="AT114" i="5" a="1"/>
  <c r="BE114" i="5" a="1"/>
  <c r="X114" i="5" a="1"/>
  <c r="AI114" i="5" a="1"/>
  <c r="AU114" i="5" a="1"/>
  <c r="BF114" i="5" a="1"/>
  <c r="G114" i="5" a="1"/>
  <c r="P114" i="5" a="1"/>
  <c r="AY114" i="5" a="1"/>
  <c r="BI114" i="5" a="1"/>
  <c r="AD114" i="5" a="1"/>
  <c r="AN114" i="5" a="1"/>
  <c r="BK114" i="5" a="1"/>
  <c r="I114" i="5" a="1"/>
  <c r="AA114" i="5" a="1"/>
  <c r="AV114" i="5" a="1"/>
  <c r="BM114" i="5" a="1"/>
  <c r="J114" i="5" a="1"/>
  <c r="Q114" i="5" a="1"/>
  <c r="BD114" i="5" a="1"/>
  <c r="R114" i="5" a="1"/>
  <c r="AM114" i="5" a="1"/>
  <c r="AE114" i="5" a="1"/>
  <c r="BG114" i="5" a="1"/>
  <c r="BH114" i="5" a="1"/>
  <c r="AG114" i="5" a="1"/>
  <c r="BL114" i="5" a="1"/>
  <c r="AQ114" i="5" a="1"/>
  <c r="AX114" i="5" a="1"/>
  <c r="AZ114" i="5" a="1"/>
  <c r="Y114" i="5" a="1"/>
  <c r="Z114" i="5" a="1"/>
  <c r="AJ114" i="5" a="1"/>
  <c r="E114" i="6"/>
  <c r="AO114" i="5" a="1"/>
  <c r="N114" i="5" a="1"/>
  <c r="T114" i="5" a="1"/>
  <c r="U114" i="5" a="1"/>
  <c r="AR114" i="5" a="1"/>
  <c r="AP114" i="5" a="1"/>
  <c r="BA114" i="5" a="1"/>
  <c r="BC114" i="5" a="1"/>
  <c r="G101" i="5" a="1"/>
  <c r="W101" i="5" a="1"/>
  <c r="AE101" i="5" a="1"/>
  <c r="AM101" i="5" a="1"/>
  <c r="AV101" i="5" a="1"/>
  <c r="BJ101" i="5" a="1"/>
  <c r="Y101" i="5" a="1"/>
  <c r="AY101" i="5" a="1"/>
  <c r="H101" i="5" a="1"/>
  <c r="P101" i="5" a="1"/>
  <c r="AH101" i="5" a="1"/>
  <c r="AQ101" i="5" a="1"/>
  <c r="BG101" i="5" a="1"/>
  <c r="I101" i="5" a="1"/>
  <c r="Q101" i="5" a="1"/>
  <c r="Z101" i="5" a="1"/>
  <c r="AR101" i="5" a="1"/>
  <c r="AZ101" i="5" a="1"/>
  <c r="BH101" i="5" a="1"/>
  <c r="N101" i="5" a="1"/>
  <c r="AA101" i="5" a="1"/>
  <c r="AX101" i="5" a="1"/>
  <c r="O101" i="5" a="1"/>
  <c r="AN101" i="5" a="1"/>
  <c r="R101" i="5" a="1"/>
  <c r="AB101" i="5" a="1"/>
  <c r="BK101" i="5" a="1"/>
  <c r="J101" i="5" a="1"/>
  <c r="BM101" i="5" a="1"/>
  <c r="U101" i="5" a="1"/>
  <c r="AG101" i="5" a="1"/>
  <c r="AT101" i="5" a="1"/>
  <c r="BD101" i="5" a="1"/>
  <c r="BN101" i="5" a="1"/>
  <c r="V101" i="5" a="1"/>
  <c r="AP101" i="5" a="1"/>
  <c r="BI101" i="5" a="1"/>
  <c r="X101" i="5" a="1"/>
  <c r="AS101" i="5" a="1"/>
  <c r="AU101" i="5" a="1"/>
  <c r="BL101" i="5" a="1"/>
  <c r="L101" i="5" a="1"/>
  <c r="AF101" i="5" a="1"/>
  <c r="BA101" i="5" a="1"/>
  <c r="AI101" i="5" a="1"/>
  <c r="BB101" i="5" a="1"/>
  <c r="AC101" i="5" a="1"/>
  <c r="BF101" i="5" a="1"/>
  <c r="AD101" i="5" a="1"/>
  <c r="K101" i="5" a="1"/>
  <c r="M101" i="5" a="1"/>
  <c r="AW101" i="5" a="1"/>
  <c r="S101" i="5" a="1"/>
  <c r="T101" i="5" a="1"/>
  <c r="AL101" i="5" a="1"/>
  <c r="BC101" i="5" a="1"/>
  <c r="AJ101" i="5" a="1"/>
  <c r="E101" i="6"/>
  <c r="AO101" i="5" a="1"/>
  <c r="AK101" i="5" a="1"/>
  <c r="BE101" i="5" a="1"/>
  <c r="W86" i="5" a="1"/>
  <c r="AD86" i="5" a="1"/>
  <c r="AZ86" i="5" a="1"/>
  <c r="BG86" i="5" a="1"/>
  <c r="P86" i="5" a="1"/>
  <c r="BC86" i="5" a="1"/>
  <c r="I86" i="5" a="1"/>
  <c r="Q86" i="5" a="1"/>
  <c r="X86" i="5" a="1"/>
  <c r="AF86" i="5" a="1"/>
  <c r="AN86" i="5" a="1"/>
  <c r="AU86" i="5" a="1"/>
  <c r="BK86" i="5" a="1"/>
  <c r="J86" i="5" a="1"/>
  <c r="Y86" i="5" a="1"/>
  <c r="AV86" i="5" a="1"/>
  <c r="BD86" i="5" a="1"/>
  <c r="R86" i="5" a="1"/>
  <c r="AG86" i="5" a="1"/>
  <c r="AO86" i="5" a="1"/>
  <c r="AW86" i="5" a="1"/>
  <c r="BE86" i="5" a="1"/>
  <c r="BL86" i="5" a="1"/>
  <c r="L86" i="5" a="1"/>
  <c r="T86" i="5" a="1"/>
  <c r="AA86" i="5" a="1"/>
  <c r="AQ86" i="5" a="1"/>
  <c r="AY86" i="5" a="1"/>
  <c r="BN86" i="5" a="1"/>
  <c r="M86" i="5" a="1"/>
  <c r="AI86" i="5" a="1"/>
  <c r="S86" i="5" a="1"/>
  <c r="AH86" i="5" a="1"/>
  <c r="AX86" i="5" a="1"/>
  <c r="BM86" i="5" a="1"/>
  <c r="U86" i="5" a="1"/>
  <c r="AJ86" i="5" a="1"/>
  <c r="G86" i="5" a="1"/>
  <c r="AK86" i="5" a="1"/>
  <c r="BA86" i="5" a="1"/>
  <c r="Z86" i="5" a="1"/>
  <c r="AT86" i="5" a="1"/>
  <c r="AB86" i="5" a="1"/>
  <c r="AL86" i="5" a="1"/>
  <c r="BH86" i="5" a="1"/>
  <c r="N86" i="5" a="1"/>
  <c r="AM86" i="5" a="1"/>
  <c r="BI86" i="5" a="1"/>
  <c r="K86" i="5" a="1"/>
  <c r="AS86" i="5" a="1"/>
  <c r="BB86" i="5" a="1"/>
  <c r="O86" i="5" a="1"/>
  <c r="AC86" i="5" a="1"/>
  <c r="H86" i="5" a="1"/>
  <c r="AP86" i="5" a="1"/>
  <c r="AR86" i="5" a="1"/>
  <c r="V86" i="5" a="1"/>
  <c r="AE86" i="5" a="1"/>
  <c r="BJ86" i="5" a="1"/>
  <c r="BF86" i="5" a="1"/>
  <c r="E86" i="6"/>
  <c r="H71" i="5" a="1"/>
  <c r="Q71" i="5" a="1"/>
  <c r="Z71" i="5" a="1"/>
  <c r="AI71" i="5" a="1"/>
  <c r="R71" i="5" a="1"/>
  <c r="AA71" i="5" a="1"/>
  <c r="AJ71" i="5" a="1"/>
  <c r="AQ71" i="5" a="1"/>
  <c r="AX71" i="5" a="1"/>
  <c r="BG71" i="5" a="1"/>
  <c r="L71" i="5" a="1"/>
  <c r="AE71" i="5" a="1"/>
  <c r="AM71" i="5" a="1"/>
  <c r="BJ71" i="5" a="1"/>
  <c r="I71" i="5" a="1"/>
  <c r="U71" i="5" a="1"/>
  <c r="BB71" i="5" a="1"/>
  <c r="BM71" i="5" a="1"/>
  <c r="J71" i="5" a="1"/>
  <c r="V71" i="5" a="1"/>
  <c r="AG71" i="5" a="1"/>
  <c r="AR71" i="5" a="1"/>
  <c r="BC71" i="5" a="1"/>
  <c r="BN71" i="5" a="1"/>
  <c r="W71" i="5" a="1"/>
  <c r="AH71" i="5" a="1"/>
  <c r="N71" i="5" a="1"/>
  <c r="AD71" i="5" a="1"/>
  <c r="AS71" i="5" a="1"/>
  <c r="BH71" i="5" a="1"/>
  <c r="O71" i="5" a="1"/>
  <c r="AT71" i="5" a="1"/>
  <c r="P71" i="5" a="1"/>
  <c r="AF71" i="5" a="1"/>
  <c r="BI71" i="5" a="1"/>
  <c r="S71" i="5" a="1"/>
  <c r="AU71" i="5" a="1"/>
  <c r="X71" i="5" a="1"/>
  <c r="AL71" i="5" a="1"/>
  <c r="AY71" i="5" a="1"/>
  <c r="AZ71" i="5" a="1"/>
  <c r="G71" i="5" a="1"/>
  <c r="Y71" i="5" a="1"/>
  <c r="AN71" i="5" a="1"/>
  <c r="BA71" i="5" a="1"/>
  <c r="K71" i="5" a="1"/>
  <c r="AP71" i="5" a="1"/>
  <c r="M71" i="5" a="1"/>
  <c r="AV71" i="5" a="1"/>
  <c r="AW71" i="5" a="1"/>
  <c r="BD71" i="5" a="1"/>
  <c r="AC71" i="5" a="1"/>
  <c r="AK71" i="5" a="1"/>
  <c r="BE71" i="5" a="1"/>
  <c r="BF71" i="5" a="1"/>
  <c r="AO71" i="5" a="1"/>
  <c r="T71" i="5" a="1"/>
  <c r="AB71" i="5" a="1"/>
  <c r="E71" i="6"/>
  <c r="BL71" i="5" a="1"/>
  <c r="BK71" i="5" a="1"/>
  <c r="AS140" i="5" a="1"/>
  <c r="BB140" i="5" a="1"/>
  <c r="BL140" i="5" a="1"/>
  <c r="N140" i="5" a="1"/>
  <c r="V140" i="5" a="1"/>
  <c r="AD140" i="5" a="1"/>
  <c r="AK140" i="5" a="1"/>
  <c r="AT140" i="5" a="1"/>
  <c r="O140" i="5" a="1"/>
  <c r="W140" i="5" a="1"/>
  <c r="AL140" i="5" a="1"/>
  <c r="AU140" i="5" a="1"/>
  <c r="BC140" i="5" a="1"/>
  <c r="BM140" i="5" a="1"/>
  <c r="J140" i="5" a="1"/>
  <c r="R140" i="5" a="1"/>
  <c r="AG140" i="5" a="1"/>
  <c r="AO140" i="5" a="1"/>
  <c r="BG140" i="5" a="1"/>
  <c r="Z140" i="5" a="1"/>
  <c r="AX140" i="5" a="1"/>
  <c r="AC140" i="5" a="1"/>
  <c r="BF140" i="5" a="1"/>
  <c r="Q140" i="5" a="1"/>
  <c r="AE140" i="5" a="1"/>
  <c r="AQ140" i="5" a="1"/>
  <c r="BH140" i="5" a="1"/>
  <c r="I140" i="5" a="1"/>
  <c r="AI140" i="5" a="1"/>
  <c r="AY140" i="5" a="1"/>
  <c r="BN140" i="5" a="1"/>
  <c r="K140" i="5" a="1"/>
  <c r="X140" i="5" a="1"/>
  <c r="AJ140" i="5" a="1"/>
  <c r="L140" i="5" a="1"/>
  <c r="AZ140" i="5" a="1"/>
  <c r="AF140" i="5" a="1"/>
  <c r="BA140" i="5" a="1"/>
  <c r="M140" i="5" a="1"/>
  <c r="AH140" i="5" a="1"/>
  <c r="BD140" i="5" a="1"/>
  <c r="T140" i="5" a="1"/>
  <c r="BK140" i="5" a="1"/>
  <c r="Y140" i="5" a="1"/>
  <c r="BE140" i="5" a="1"/>
  <c r="AA140" i="5" a="1"/>
  <c r="BI140" i="5" a="1"/>
  <c r="E140" i="6"/>
  <c r="G140" i="5" a="1"/>
  <c r="AN140" i="5" a="1"/>
  <c r="H140" i="5" a="1"/>
  <c r="AP140" i="5" a="1"/>
  <c r="P140" i="5" a="1"/>
  <c r="AR140" i="5" a="1"/>
  <c r="S140" i="5" a="1"/>
  <c r="BJ140" i="5" a="1"/>
  <c r="U140" i="5" a="1"/>
  <c r="AB140" i="5" a="1"/>
  <c r="AW140" i="5" a="1"/>
  <c r="AM140" i="5" a="1"/>
  <c r="AV140" i="5" a="1"/>
  <c r="J109" i="5" a="1"/>
  <c r="Q109" i="5" a="1"/>
  <c r="AF109" i="5" a="1"/>
  <c r="AM109" i="5" a="1"/>
  <c r="BH109" i="5" a="1"/>
  <c r="X109" i="5" a="1"/>
  <c r="AN109" i="5" a="1"/>
  <c r="AU109" i="5" a="1"/>
  <c r="BB109" i="5" a="1"/>
  <c r="T109" i="5" a="1"/>
  <c r="AT109" i="5" a="1"/>
  <c r="BC109" i="5" a="1"/>
  <c r="BL109" i="5" a="1"/>
  <c r="L109" i="5" a="1"/>
  <c r="AC109" i="5" a="1"/>
  <c r="AK109" i="5" a="1"/>
  <c r="AV109" i="5" a="1"/>
  <c r="BD109" i="5" a="1"/>
  <c r="U109" i="5" a="1"/>
  <c r="AD109" i="5" a="1"/>
  <c r="AL109" i="5" a="1"/>
  <c r="BM109" i="5" a="1"/>
  <c r="G109" i="5" a="1"/>
  <c r="O109" i="5" a="1"/>
  <c r="W109" i="5" a="1"/>
  <c r="AY109" i="5" a="1"/>
  <c r="H109" i="5" a="1"/>
  <c r="P109" i="5" a="1"/>
  <c r="AH109" i="5" a="1"/>
  <c r="AQ109" i="5" a="1"/>
  <c r="BG109" i="5" a="1"/>
  <c r="V109" i="5" a="1"/>
  <c r="AJ109" i="5" a="1"/>
  <c r="I109" i="5" a="1"/>
  <c r="BA109" i="5" a="1"/>
  <c r="Y109" i="5" a="1"/>
  <c r="AO109" i="5" a="1"/>
  <c r="AS109" i="5" a="1"/>
  <c r="AE109" i="5" a="1"/>
  <c r="BI109" i="5" a="1"/>
  <c r="AB109" i="5" a="1"/>
  <c r="BE109" i="5" a="1"/>
  <c r="AG109" i="5" a="1"/>
  <c r="R109" i="5" a="1"/>
  <c r="AR109" i="5" a="1"/>
  <c r="AW109" i="5" a="1"/>
  <c r="K109" i="5" a="1"/>
  <c r="AX109" i="5" a="1"/>
  <c r="M109" i="5" a="1"/>
  <c r="Z109" i="5" a="1"/>
  <c r="BK109" i="5" a="1"/>
  <c r="N109" i="5" a="1"/>
  <c r="S109" i="5" a="1"/>
  <c r="AP109" i="5" a="1"/>
  <c r="AZ109" i="5" a="1"/>
  <c r="E109" i="6"/>
  <c r="BF109" i="5" a="1"/>
  <c r="AA109" i="5" a="1"/>
  <c r="AI109" i="5" a="1"/>
  <c r="BN109" i="5" a="1"/>
  <c r="BJ109" i="5" a="1"/>
  <c r="P73" i="5" a="1"/>
  <c r="X73" i="5" a="1"/>
  <c r="AF73" i="5" a="1"/>
  <c r="AM73" i="5" a="1"/>
  <c r="AT73" i="5" a="1"/>
  <c r="I73" i="5" a="1"/>
  <c r="Q73" i="5" a="1"/>
  <c r="Y73" i="5" a="1"/>
  <c r="AU73" i="5" a="1"/>
  <c r="BC73" i="5" a="1"/>
  <c r="L73" i="5" a="1"/>
  <c r="T73" i="5" a="1"/>
  <c r="AB73" i="5" a="1"/>
  <c r="G73" i="5" a="1"/>
  <c r="AA73" i="5" a="1"/>
  <c r="AV73" i="5" a="1"/>
  <c r="BE73" i="5" a="1"/>
  <c r="R73" i="5" a="1"/>
  <c r="AC73" i="5" a="1"/>
  <c r="AL73" i="5" a="1"/>
  <c r="BF73" i="5" a="1"/>
  <c r="H73" i="5" a="1"/>
  <c r="S73" i="5" a="1"/>
  <c r="AD73" i="5" a="1"/>
  <c r="AW73" i="5" a="1"/>
  <c r="BG73" i="5" a="1"/>
  <c r="AI73" i="5" a="1"/>
  <c r="AX73" i="5" a="1"/>
  <c r="BJ73" i="5" a="1"/>
  <c r="J73" i="5" a="1"/>
  <c r="V73" i="5" a="1"/>
  <c r="AJ73" i="5" a="1"/>
  <c r="AY73" i="5" a="1"/>
  <c r="BK73" i="5" a="1"/>
  <c r="K73" i="5" a="1"/>
  <c r="W73" i="5" a="1"/>
  <c r="AK73" i="5" a="1"/>
  <c r="AZ73" i="5" a="1"/>
  <c r="BL73" i="5" a="1"/>
  <c r="AN73" i="5" a="1"/>
  <c r="BA73" i="5" a="1"/>
  <c r="BM73" i="5" a="1"/>
  <c r="N73" i="5" a="1"/>
  <c r="AP73" i="5" a="1"/>
  <c r="AE73" i="5" a="1"/>
  <c r="AQ73" i="5" a="1"/>
  <c r="BD73" i="5" a="1"/>
  <c r="O73" i="5" a="1"/>
  <c r="Z73" i="5" a="1"/>
  <c r="BH73" i="5" a="1"/>
  <c r="BI73" i="5" a="1"/>
  <c r="AG73" i="5" a="1"/>
  <c r="BN73" i="5" a="1"/>
  <c r="M73" i="5" a="1"/>
  <c r="BB73" i="5" a="1"/>
  <c r="AH73" i="5" a="1"/>
  <c r="AO73" i="5" a="1"/>
  <c r="AR73" i="5" a="1"/>
  <c r="AS73" i="5" a="1"/>
  <c r="E73" i="6"/>
  <c r="U73" i="5" a="1"/>
  <c r="AL34" i="5" a="1"/>
  <c r="AS34" i="5" a="1"/>
  <c r="AZ34" i="5" a="1"/>
  <c r="BG34" i="5" a="1"/>
  <c r="M34" i="5" a="1"/>
  <c r="T34" i="5" a="1"/>
  <c r="AA34" i="5" a="1"/>
  <c r="AO34" i="5" a="1"/>
  <c r="AV34" i="5" a="1"/>
  <c r="BA34" i="5" a="1"/>
  <c r="BI34" i="5" a="1"/>
  <c r="G34" i="5" a="1"/>
  <c r="O34" i="5" a="1"/>
  <c r="X34" i="5" a="1"/>
  <c r="AW34" i="5" a="1"/>
  <c r="BE34" i="5" a="1"/>
  <c r="BM34" i="5" a="1"/>
  <c r="Q34" i="5" a="1"/>
  <c r="AK34" i="5" a="1"/>
  <c r="AU34" i="5" a="1"/>
  <c r="R34" i="5" a="1"/>
  <c r="AB34" i="5" a="1"/>
  <c r="BF34" i="5" a="1"/>
  <c r="H34" i="5" a="1"/>
  <c r="AC34" i="5" a="1"/>
  <c r="I34" i="5" a="1"/>
  <c r="S34" i="5" a="1"/>
  <c r="AD34" i="5" a="1"/>
  <c r="AM34" i="5" a="1"/>
  <c r="L34" i="5" a="1"/>
  <c r="V34" i="5" a="1"/>
  <c r="AF34" i="5" a="1"/>
  <c r="AP34" i="5" a="1"/>
  <c r="AY34" i="5" a="1"/>
  <c r="BJ34" i="5" a="1"/>
  <c r="W34" i="5" a="1"/>
  <c r="AG34" i="5" a="1"/>
  <c r="AQ34" i="5" a="1"/>
  <c r="AN34" i="5" a="1"/>
  <c r="BH34" i="5" a="1"/>
  <c r="U34" i="5" a="1"/>
  <c r="BK34" i="5" a="1"/>
  <c r="Y34" i="5" a="1"/>
  <c r="AR34" i="5" a="1"/>
  <c r="BL34" i="5" a="1"/>
  <c r="J34" i="5" a="1"/>
  <c r="AX34" i="5" a="1"/>
  <c r="K34" i="5" a="1"/>
  <c r="AE34" i="5" a="1"/>
  <c r="AT34" i="5" a="1"/>
  <c r="N34" i="5" a="1"/>
  <c r="BB34" i="5" a="1"/>
  <c r="Z34" i="5" a="1"/>
  <c r="BN34" i="5" a="1"/>
  <c r="BC34" i="5" a="1"/>
  <c r="BD34" i="5" a="1"/>
  <c r="AI34" i="5" a="1"/>
  <c r="AJ34" i="5" a="1"/>
  <c r="P34" i="5" a="1"/>
  <c r="AH34" i="5" a="1"/>
  <c r="E34" i="6"/>
  <c r="D44" i="1"/>
  <c r="E43" i="5" s="1"/>
  <c r="E10" i="1"/>
  <c r="D116" i="1"/>
  <c r="E115" i="5" s="1"/>
  <c r="D73" i="1"/>
  <c r="E72" i="5" s="1"/>
  <c r="D56" i="1"/>
  <c r="E55" i="5" s="1"/>
  <c r="D15" i="1"/>
  <c r="E14" i="5" s="1"/>
  <c r="E115" i="1"/>
  <c r="E92" i="1"/>
  <c r="E68" i="1"/>
  <c r="D131" i="1"/>
  <c r="E130" i="5" s="1"/>
  <c r="D50" i="1"/>
  <c r="E49" i="5" s="1"/>
  <c r="D33" i="1"/>
  <c r="E32" i="5" s="1"/>
  <c r="D14" i="1"/>
  <c r="E13" i="5" s="1"/>
  <c r="E113" i="1"/>
  <c r="E90" i="1"/>
  <c r="E66" i="1"/>
  <c r="E42" i="1"/>
  <c r="E22" i="1"/>
  <c r="E126" i="1"/>
  <c r="E150" i="1"/>
  <c r="D80" i="1"/>
  <c r="E79" i="5" s="1"/>
  <c r="D138" i="1"/>
  <c r="E137" i="5" s="1"/>
  <c r="D49" i="1"/>
  <c r="E48" i="5" s="1"/>
  <c r="D32" i="1"/>
  <c r="E31" i="5" s="1"/>
  <c r="D109" i="1"/>
  <c r="E108" i="5" s="1"/>
  <c r="D86" i="1"/>
  <c r="E85" i="5" s="1"/>
  <c r="D28" i="1"/>
  <c r="E27" i="5" s="1"/>
  <c r="D11" i="1"/>
  <c r="E10" i="5" s="1"/>
  <c r="D144" i="1"/>
  <c r="E143" i="5" s="1"/>
  <c r="D127" i="1"/>
  <c r="E126" i="5" s="1"/>
  <c r="D85" i="1"/>
  <c r="E84" i="5" s="1"/>
  <c r="D5" i="1"/>
  <c r="E4" i="5" s="1"/>
  <c r="D104" i="1"/>
  <c r="E103" i="5" s="1"/>
  <c r="D143" i="1"/>
  <c r="E142" i="5" s="1"/>
  <c r="E148" i="1"/>
  <c r="D149" i="1"/>
  <c r="E148" i="5" s="1"/>
  <c r="D137" i="1"/>
  <c r="E136" i="5" s="1"/>
  <c r="D114" i="1"/>
  <c r="E113" i="5" s="1"/>
  <c r="D103" i="1"/>
  <c r="E102" i="5" s="1"/>
  <c r="D91" i="1"/>
  <c r="E90" i="5" s="1"/>
  <c r="D79" i="1"/>
  <c r="E78" i="5" s="1"/>
  <c r="D67" i="1"/>
  <c r="E66" i="5" s="1"/>
  <c r="D55" i="1"/>
  <c r="E54" i="5" s="1"/>
  <c r="D43" i="1"/>
  <c r="E42" i="5" s="1"/>
  <c r="E147" i="1"/>
  <c r="E135" i="1"/>
  <c r="E124" i="1"/>
  <c r="E112" i="1"/>
  <c r="E101" i="1"/>
  <c r="E89" i="1"/>
  <c r="E77" i="1"/>
  <c r="E65" i="1"/>
  <c r="E53" i="1"/>
  <c r="E41" i="1"/>
  <c r="E31" i="1"/>
  <c r="E20" i="1"/>
  <c r="E8" i="1"/>
  <c r="E125" i="1"/>
  <c r="D136" i="1"/>
  <c r="E135" i="5" s="1"/>
  <c r="D21" i="1"/>
  <c r="E20" i="5" s="1"/>
  <c r="D9" i="1"/>
  <c r="E8" i="5" s="1"/>
  <c r="E146" i="1"/>
  <c r="E134" i="1"/>
  <c r="E123" i="1"/>
  <c r="E111" i="1"/>
  <c r="E100" i="1"/>
  <c r="E88" i="1"/>
  <c r="E76" i="1"/>
  <c r="E64" i="1"/>
  <c r="E52" i="1"/>
  <c r="E40" i="1"/>
  <c r="E30" i="1"/>
  <c r="E19" i="1"/>
  <c r="E7" i="1"/>
  <c r="E145" i="1"/>
  <c r="E133" i="1"/>
  <c r="E122" i="1"/>
  <c r="E99" i="1"/>
  <c r="E87" i="1"/>
  <c r="E75" i="1"/>
  <c r="E63" i="1"/>
  <c r="E51" i="1"/>
  <c r="E39" i="1"/>
  <c r="E29" i="1"/>
  <c r="E18" i="1"/>
  <c r="E6" i="1"/>
  <c r="S101" i="7" l="1"/>
  <c r="T101" i="7" a="1"/>
  <c r="R101" i="7" a="1"/>
  <c r="N101" i="7"/>
  <c r="L102" i="7"/>
  <c r="F150" i="5"/>
  <c r="F37" i="5"/>
  <c r="F11" i="5"/>
  <c r="F38" i="5"/>
  <c r="F17" i="5"/>
  <c r="F17" i="6" s="1"/>
  <c r="F21" i="5"/>
  <c r="M21" i="6" s="1"/>
  <c r="F34" i="5"/>
  <c r="AV34" i="6" s="1"/>
  <c r="F75" i="5"/>
  <c r="AJ75" i="6" s="1"/>
  <c r="F7" i="5"/>
  <c r="AC7" i="6" s="1"/>
  <c r="F104" i="5"/>
  <c r="X104" i="6" s="1"/>
  <c r="F73" i="5"/>
  <c r="AD73" i="6" s="1"/>
  <c r="F91" i="5"/>
  <c r="AR91" i="6" s="1"/>
  <c r="F26" i="5"/>
  <c r="F87" i="5"/>
  <c r="BA87" i="6" s="1"/>
  <c r="F58" i="5"/>
  <c r="BJ58" i="6" s="1"/>
  <c r="F39" i="5"/>
  <c r="AZ39" i="6" s="1"/>
  <c r="F146" i="5"/>
  <c r="BE146" i="6" s="1"/>
  <c r="F25" i="5"/>
  <c r="P25" i="6" s="1"/>
  <c r="J79" i="5" a="1"/>
  <c r="R79" i="5" a="1"/>
  <c r="AA79" i="5" a="1"/>
  <c r="AP79" i="5" a="1"/>
  <c r="AY79" i="5" a="1"/>
  <c r="BG79" i="5" a="1"/>
  <c r="M79" i="5" a="1"/>
  <c r="V79" i="5" a="1"/>
  <c r="BE79" i="5" a="1"/>
  <c r="N79" i="5" a="1"/>
  <c r="AE79" i="5" a="1"/>
  <c r="AN79" i="5" a="1"/>
  <c r="AW79" i="5" a="1"/>
  <c r="BM79" i="5" a="1"/>
  <c r="W79" i="5" a="1"/>
  <c r="AF79" i="5" a="1"/>
  <c r="AX79" i="5" a="1"/>
  <c r="BF79" i="5" a="1"/>
  <c r="BN79" i="5" a="1"/>
  <c r="O79" i="5" a="1"/>
  <c r="X79" i="5" a="1"/>
  <c r="AO79" i="5" a="1"/>
  <c r="G79" i="5" a="1"/>
  <c r="Q79" i="5" a="1"/>
  <c r="Z79" i="5" a="1"/>
  <c r="AI79" i="5" a="1"/>
  <c r="AR79" i="5" a="1"/>
  <c r="BA79" i="5" a="1"/>
  <c r="BI79" i="5" a="1"/>
  <c r="H79" i="5" a="1"/>
  <c r="AB79" i="5" a="1"/>
  <c r="AJ79" i="5" a="1"/>
  <c r="AS79" i="5" a="1"/>
  <c r="BJ79" i="5" a="1"/>
  <c r="BH79" i="5" a="1"/>
  <c r="Y79" i="5" a="1"/>
  <c r="AQ79" i="5" a="1"/>
  <c r="I79" i="5" a="1"/>
  <c r="K79" i="5" a="1"/>
  <c r="AC79" i="5" a="1"/>
  <c r="AT79" i="5" a="1"/>
  <c r="BK79" i="5" a="1"/>
  <c r="U79" i="5" a="1"/>
  <c r="AZ79" i="5" a="1"/>
  <c r="BB79" i="5" a="1"/>
  <c r="L79" i="5" a="1"/>
  <c r="AK79" i="5" a="1"/>
  <c r="AL79" i="5" a="1"/>
  <c r="BL79" i="5" a="1"/>
  <c r="AU79" i="5" a="1"/>
  <c r="AV79" i="5" a="1"/>
  <c r="T79" i="5" a="1"/>
  <c r="AD79" i="5" a="1"/>
  <c r="AG79" i="5" a="1"/>
  <c r="AH79" i="5" a="1"/>
  <c r="P79" i="5" a="1"/>
  <c r="BC79" i="5" a="1"/>
  <c r="AM79" i="5" a="1"/>
  <c r="BD79" i="5" a="1"/>
  <c r="S79" i="5" a="1"/>
  <c r="E79" i="6"/>
  <c r="Q17" i="6"/>
  <c r="AC17" i="6"/>
  <c r="AO17" i="6"/>
  <c r="BA17" i="6"/>
  <c r="BM17" i="6"/>
  <c r="BB17" i="6"/>
  <c r="BN17" i="6"/>
  <c r="X17" i="6"/>
  <c r="AJ17" i="6"/>
  <c r="AV17" i="6"/>
  <c r="BH17" i="6"/>
  <c r="O17" i="6"/>
  <c r="AG17" i="6"/>
  <c r="AW17" i="6"/>
  <c r="G17" i="6"/>
  <c r="V17" i="6"/>
  <c r="AL17" i="6"/>
  <c r="BC17" i="6"/>
  <c r="T17" i="6"/>
  <c r="BJ17" i="6"/>
  <c r="I17" i="6"/>
  <c r="AY17" i="6"/>
  <c r="J17" i="6"/>
  <c r="AE17" i="6"/>
  <c r="AZ17" i="6"/>
  <c r="K17" i="6"/>
  <c r="BE17" i="6"/>
  <c r="AM17" i="6"/>
  <c r="AS17" i="6"/>
  <c r="AT17" i="6"/>
  <c r="N17" i="6"/>
  <c r="BF17" i="6"/>
  <c r="H17" i="6"/>
  <c r="AK17" i="6"/>
  <c r="W17" i="6"/>
  <c r="Z17" i="6"/>
  <c r="F77" i="5"/>
  <c r="BD21" i="6"/>
  <c r="AT21" i="6"/>
  <c r="F21" i="6"/>
  <c r="AC21" i="6"/>
  <c r="AU21" i="6"/>
  <c r="AM21" i="6"/>
  <c r="K21" i="6"/>
  <c r="J21" i="6"/>
  <c r="P21" i="6"/>
  <c r="BM21" i="6"/>
  <c r="AQ21" i="6"/>
  <c r="AZ21" i="6"/>
  <c r="N21" i="6"/>
  <c r="AS21" i="6"/>
  <c r="BB21" i="6"/>
  <c r="K143" i="5" a="1"/>
  <c r="Q143" i="5" a="1"/>
  <c r="W143" i="5" a="1"/>
  <c r="AC143" i="5" a="1"/>
  <c r="AI143" i="5" a="1"/>
  <c r="AO143" i="5" a="1"/>
  <c r="AU143" i="5" a="1"/>
  <c r="BA143" i="5" a="1"/>
  <c r="BG143" i="5" a="1"/>
  <c r="BM143" i="5" a="1"/>
  <c r="H143" i="5" a="1"/>
  <c r="N143" i="5" a="1"/>
  <c r="T143" i="5" a="1"/>
  <c r="Z143" i="5" a="1"/>
  <c r="AF143" i="5" a="1"/>
  <c r="AL143" i="5" a="1"/>
  <c r="AR143" i="5" a="1"/>
  <c r="AX143" i="5" a="1"/>
  <c r="BD143" i="5" a="1"/>
  <c r="AH143" i="5" a="1"/>
  <c r="AS143" i="5" a="1"/>
  <c r="BC143" i="5" a="1"/>
  <c r="BL143" i="5" a="1"/>
  <c r="O143" i="5" a="1"/>
  <c r="Y143" i="5" a="1"/>
  <c r="AJ143" i="5" a="1"/>
  <c r="BN143" i="5" a="1"/>
  <c r="I143" i="5" a="1"/>
  <c r="S143" i="5" a="1"/>
  <c r="AD143" i="5" a="1"/>
  <c r="AN143" i="5" a="1"/>
  <c r="AY143" i="5" a="1"/>
  <c r="BI143" i="5" a="1"/>
  <c r="AE143" i="5" a="1"/>
  <c r="AT143" i="5" a="1"/>
  <c r="BJ143" i="5" a="1"/>
  <c r="P143" i="5" a="1"/>
  <c r="AV143" i="5" a="1"/>
  <c r="R143" i="5" a="1"/>
  <c r="AG143" i="5" a="1"/>
  <c r="BK143" i="5" a="1"/>
  <c r="G143" i="5" a="1"/>
  <c r="V143" i="5" a="1"/>
  <c r="BB143" i="5" a="1"/>
  <c r="AW143" i="5" a="1"/>
  <c r="AA143" i="5" a="1"/>
  <c r="AK143" i="5" a="1"/>
  <c r="BF143" i="5" a="1"/>
  <c r="M143" i="5" a="1"/>
  <c r="AM143" i="5" a="1"/>
  <c r="BH143" i="5" a="1"/>
  <c r="AP143" i="5" a="1"/>
  <c r="U143" i="5" a="1"/>
  <c r="AZ143" i="5" a="1"/>
  <c r="J143" i="5" a="1"/>
  <c r="BE143" i="5" a="1"/>
  <c r="L143" i="5" a="1"/>
  <c r="X143" i="5" a="1"/>
  <c r="E143" i="6"/>
  <c r="AB143" i="5" a="1"/>
  <c r="AQ143" i="5" a="1"/>
  <c r="F114" i="5"/>
  <c r="F46" i="5"/>
  <c r="F64" i="5"/>
  <c r="BI104" i="6"/>
  <c r="F138" i="5"/>
  <c r="F112" i="5"/>
  <c r="I37" i="6"/>
  <c r="AT37" i="6"/>
  <c r="AZ37" i="6"/>
  <c r="BC37" i="6"/>
  <c r="Z37" i="6"/>
  <c r="AU37" i="6"/>
  <c r="U37" i="6"/>
  <c r="BH37" i="6"/>
  <c r="R37" i="6"/>
  <c r="K37" i="6"/>
  <c r="BL37" i="6"/>
  <c r="AG37" i="6"/>
  <c r="M37" i="6"/>
  <c r="AK37" i="6"/>
  <c r="AI37" i="6"/>
  <c r="AL37" i="6"/>
  <c r="AS37" i="6"/>
  <c r="AB37" i="6"/>
  <c r="BB37" i="6"/>
  <c r="BD37" i="6"/>
  <c r="BN37" i="6"/>
  <c r="W37" i="6"/>
  <c r="N37" i="6"/>
  <c r="AY37" i="6"/>
  <c r="V37" i="6"/>
  <c r="AO37" i="6"/>
  <c r="AJ37" i="6"/>
  <c r="AD37" i="6"/>
  <c r="G37" i="6"/>
  <c r="BF37" i="6"/>
  <c r="L37" i="6"/>
  <c r="AW37" i="6"/>
  <c r="AV37" i="6"/>
  <c r="AC37" i="6"/>
  <c r="X37" i="6"/>
  <c r="AP37" i="6"/>
  <c r="BJ37" i="6"/>
  <c r="BM37" i="6"/>
  <c r="BA37" i="6"/>
  <c r="BI37" i="6"/>
  <c r="P37" i="6"/>
  <c r="BE37" i="6"/>
  <c r="T37" i="6"/>
  <c r="O37" i="6"/>
  <c r="S37" i="6"/>
  <c r="AH37" i="6"/>
  <c r="AR37" i="6"/>
  <c r="F37" i="6"/>
  <c r="AA37" i="6"/>
  <c r="H37" i="6"/>
  <c r="AF37" i="6"/>
  <c r="J37" i="6"/>
  <c r="Q37" i="6"/>
  <c r="AE37" i="6"/>
  <c r="AQ37" i="6"/>
  <c r="BG37" i="6"/>
  <c r="AX37" i="6"/>
  <c r="Y37" i="6"/>
  <c r="BK37" i="6"/>
  <c r="AM37" i="6"/>
  <c r="AN37" i="6"/>
  <c r="J146" i="6"/>
  <c r="BG146" i="6"/>
  <c r="AN146" i="6"/>
  <c r="BM146" i="6"/>
  <c r="W146" i="6"/>
  <c r="R146" i="6"/>
  <c r="BA146" i="6"/>
  <c r="O146" i="6"/>
  <c r="AO146" i="6"/>
  <c r="AT146" i="6"/>
  <c r="AI146" i="6"/>
  <c r="Y146" i="6"/>
  <c r="BK146" i="6"/>
  <c r="BI146" i="6"/>
  <c r="K146" i="6"/>
  <c r="S146" i="6"/>
  <c r="BH146" i="6"/>
  <c r="N146" i="6"/>
  <c r="AQ146" i="6"/>
  <c r="AB146" i="6"/>
  <c r="BC146" i="6"/>
  <c r="AC146" i="6"/>
  <c r="X146" i="6"/>
  <c r="AD146" i="6"/>
  <c r="L146" i="6"/>
  <c r="AY146" i="6"/>
  <c r="F146" i="6"/>
  <c r="AP146" i="6"/>
  <c r="BF146" i="6"/>
  <c r="AM146" i="6"/>
  <c r="AG146" i="6"/>
  <c r="G146" i="6"/>
  <c r="AZ146" i="6"/>
  <c r="AL146" i="6"/>
  <c r="Q146" i="6"/>
  <c r="U126" i="5" a="1"/>
  <c r="AC126" i="5" a="1"/>
  <c r="AL126" i="5" a="1"/>
  <c r="AU126" i="5" a="1"/>
  <c r="BD126" i="5" a="1"/>
  <c r="BL126" i="5" a="1"/>
  <c r="I126" i="5" a="1"/>
  <c r="P126" i="5" a="1"/>
  <c r="Y126" i="5" a="1"/>
  <c r="AH126" i="5" a="1"/>
  <c r="AO126" i="5" a="1"/>
  <c r="BH126" i="5" a="1"/>
  <c r="Q126" i="5" a="1"/>
  <c r="AP126" i="5" a="1"/>
  <c r="AZ126" i="5" a="1"/>
  <c r="AM126" i="5" a="1"/>
  <c r="AY126" i="5" a="1"/>
  <c r="BJ126" i="5" a="1"/>
  <c r="R126" i="5" a="1"/>
  <c r="AB126" i="5" a="1"/>
  <c r="BK126" i="5" a="1"/>
  <c r="G126" i="5" a="1"/>
  <c r="S126" i="5" a="1"/>
  <c r="AD126" i="5" a="1"/>
  <c r="AN126" i="5" a="1"/>
  <c r="BA126" i="5" a="1"/>
  <c r="K126" i="5" a="1"/>
  <c r="AG126" i="5" a="1"/>
  <c r="AS126" i="5" a="1"/>
  <c r="BF126" i="5" a="1"/>
  <c r="L126" i="5" a="1"/>
  <c r="W126" i="5" a="1"/>
  <c r="AI126" i="5" a="1"/>
  <c r="AT126" i="5" a="1"/>
  <c r="J126" i="5" a="1"/>
  <c r="AA126" i="5" a="1"/>
  <c r="AW126" i="5" a="1"/>
  <c r="T126" i="5" a="1"/>
  <c r="BG126" i="5" a="1"/>
  <c r="M126" i="5" a="1"/>
  <c r="AQ126" i="5" a="1"/>
  <c r="N126" i="5" a="1"/>
  <c r="AR126" i="5" a="1"/>
  <c r="BC126" i="5" a="1"/>
  <c r="O126" i="5" a="1"/>
  <c r="BI126" i="5" a="1"/>
  <c r="V126" i="5" a="1"/>
  <c r="AJ126" i="5" a="1"/>
  <c r="AK126" i="5" a="1"/>
  <c r="AV126" i="5" a="1"/>
  <c r="AX126" i="5" a="1"/>
  <c r="X126" i="5" a="1"/>
  <c r="Z126" i="5" a="1"/>
  <c r="AE126" i="5" a="1"/>
  <c r="AF126" i="5" a="1"/>
  <c r="BE126" i="5" a="1"/>
  <c r="BB126" i="5" a="1"/>
  <c r="BM126" i="5" a="1"/>
  <c r="BN126" i="5" a="1"/>
  <c r="H126" i="5" a="1"/>
  <c r="E126" i="6"/>
  <c r="H150" i="6"/>
  <c r="AM150" i="6"/>
  <c r="AT150" i="6"/>
  <c r="AG150" i="6"/>
  <c r="AP150" i="6"/>
  <c r="U150" i="6"/>
  <c r="BA150" i="6"/>
  <c r="BM150" i="6"/>
  <c r="BC150" i="6"/>
  <c r="BG150" i="6"/>
  <c r="AH150" i="6"/>
  <c r="K150" i="6"/>
  <c r="M150" i="6"/>
  <c r="Q150" i="6"/>
  <c r="AQ150" i="6"/>
  <c r="AU150" i="6"/>
  <c r="Z150" i="6"/>
  <c r="AD150" i="6"/>
  <c r="AI150" i="6"/>
  <c r="BJ150" i="6"/>
  <c r="W150" i="6"/>
  <c r="F150" i="6"/>
  <c r="AE150" i="6"/>
  <c r="S150" i="6"/>
  <c r="AA150" i="6"/>
  <c r="L150" i="6"/>
  <c r="AL150" i="6"/>
  <c r="AB150" i="6"/>
  <c r="AX150" i="6"/>
  <c r="BF150" i="6"/>
  <c r="AR150" i="6"/>
  <c r="I150" i="6"/>
  <c r="N150" i="6"/>
  <c r="V150" i="6"/>
  <c r="BB150" i="6"/>
  <c r="AK150" i="6"/>
  <c r="X150" i="6"/>
  <c r="AS150" i="6"/>
  <c r="R150" i="6"/>
  <c r="AJ150" i="6"/>
  <c r="BL150" i="6"/>
  <c r="BE150" i="6"/>
  <c r="AV150" i="6"/>
  <c r="G150" i="6"/>
  <c r="AO150" i="6"/>
  <c r="BH150" i="6"/>
  <c r="AC150" i="6"/>
  <c r="T150" i="6"/>
  <c r="BI150" i="6"/>
  <c r="AW150" i="6"/>
  <c r="BK150" i="6"/>
  <c r="AY150" i="6"/>
  <c r="P150" i="6"/>
  <c r="BD150" i="6"/>
  <c r="AZ150" i="6"/>
  <c r="BN150" i="6"/>
  <c r="J150" i="6"/>
  <c r="O150" i="6"/>
  <c r="AN150" i="6"/>
  <c r="AF150" i="6"/>
  <c r="Y150" i="6"/>
  <c r="F47" i="5"/>
  <c r="F127" i="5"/>
  <c r="R10" i="5" a="1"/>
  <c r="AE10" i="5" a="1"/>
  <c r="AL10" i="5" a="1"/>
  <c r="AS10" i="5" a="1"/>
  <c r="AZ10" i="5" a="1"/>
  <c r="BM10" i="5" a="1"/>
  <c r="J10" i="5" a="1"/>
  <c r="AN10" i="5" a="1"/>
  <c r="AV10" i="5" a="1"/>
  <c r="T10" i="5" a="1"/>
  <c r="AA10" i="5" a="1"/>
  <c r="AH10" i="5" a="1"/>
  <c r="AP10" i="5" a="1"/>
  <c r="BE10" i="5" a="1"/>
  <c r="BL10" i="5" a="1"/>
  <c r="AB10" i="5" a="1"/>
  <c r="N10" i="5" a="1"/>
  <c r="AX10" i="5" a="1"/>
  <c r="BG10" i="5" a="1"/>
  <c r="W10" i="5" a="1"/>
  <c r="AF10" i="5" a="1"/>
  <c r="AO10" i="5" a="1"/>
  <c r="AY10" i="5" a="1"/>
  <c r="BH10" i="5" a="1"/>
  <c r="O10" i="5" a="1"/>
  <c r="AW10" i="5" a="1"/>
  <c r="BI10" i="5" a="1"/>
  <c r="S10" i="5" a="1"/>
  <c r="AD10" i="5" a="1"/>
  <c r="AQ10" i="5" a="1"/>
  <c r="BB10" i="5" a="1"/>
  <c r="H10" i="5" a="1"/>
  <c r="AR10" i="5" a="1"/>
  <c r="K10" i="5" a="1"/>
  <c r="Z10" i="5" a="1"/>
  <c r="L10" i="5" a="1"/>
  <c r="Q10" i="5" a="1"/>
  <c r="BK10" i="5" a="1"/>
  <c r="U10" i="5" a="1"/>
  <c r="AI10" i="5" a="1"/>
  <c r="BN10" i="5" a="1"/>
  <c r="AJ10" i="5" a="1"/>
  <c r="Y10" i="5" a="1"/>
  <c r="BA10" i="5" a="1"/>
  <c r="BC10" i="5" a="1"/>
  <c r="AC10" i="5" a="1"/>
  <c r="BD10" i="5" a="1"/>
  <c r="G10" i="5" a="1"/>
  <c r="AG10" i="5" a="1"/>
  <c r="BF10" i="5" a="1"/>
  <c r="M10" i="5" a="1"/>
  <c r="AM10" i="5" a="1"/>
  <c r="BJ10" i="5" a="1"/>
  <c r="AK10" i="5" a="1"/>
  <c r="AT10" i="5" a="1"/>
  <c r="P10" i="5" a="1"/>
  <c r="V10" i="5" a="1"/>
  <c r="I10" i="5" a="1"/>
  <c r="X10" i="5" a="1"/>
  <c r="AU10" i="5" a="1"/>
  <c r="E10" i="6"/>
  <c r="F145" i="5"/>
  <c r="AQ145" i="6" s="1"/>
  <c r="F60" i="5"/>
  <c r="F30" i="5"/>
  <c r="F106" i="5"/>
  <c r="F61" i="5"/>
  <c r="F111" i="5"/>
  <c r="AF111" i="6" s="1"/>
  <c r="L26" i="6"/>
  <c r="BE26" i="6"/>
  <c r="H26" i="6"/>
  <c r="AQ26" i="6"/>
  <c r="BG26" i="6"/>
  <c r="R26" i="6"/>
  <c r="Q26" i="6"/>
  <c r="AD26" i="6"/>
  <c r="M26" i="6"/>
  <c r="Z26" i="6"/>
  <c r="O26" i="6"/>
  <c r="AF26" i="6"/>
  <c r="AI26" i="6"/>
  <c r="BA26" i="6"/>
  <c r="AR26" i="6"/>
  <c r="BM26" i="6"/>
  <c r="AA26" i="6"/>
  <c r="AT26" i="6"/>
  <c r="BB26" i="6"/>
  <c r="I26" i="6"/>
  <c r="N26" i="6"/>
  <c r="BK26" i="6"/>
  <c r="AE26" i="6"/>
  <c r="BD26" i="6"/>
  <c r="AH26" i="6"/>
  <c r="BF26" i="6"/>
  <c r="K26" i="6"/>
  <c r="AU26" i="6"/>
  <c r="AB26" i="6"/>
  <c r="BN26" i="6"/>
  <c r="AV26" i="6"/>
  <c r="AK26" i="6"/>
  <c r="F26" i="6"/>
  <c r="G26" i="6"/>
  <c r="AN26" i="6"/>
  <c r="AO26" i="6"/>
  <c r="S26" i="6"/>
  <c r="AX26" i="6"/>
  <c r="AG26" i="6"/>
  <c r="BL26" i="6"/>
  <c r="BC26" i="6"/>
  <c r="BH26" i="6"/>
  <c r="AJ26" i="6"/>
  <c r="P26" i="6"/>
  <c r="AP26" i="6"/>
  <c r="BJ26" i="6"/>
  <c r="J26" i="6"/>
  <c r="W26" i="6"/>
  <c r="AS26" i="6"/>
  <c r="BI26" i="6"/>
  <c r="V26" i="6"/>
  <c r="AM26" i="6"/>
  <c r="AY26" i="6"/>
  <c r="X26" i="6"/>
  <c r="T26" i="6"/>
  <c r="AL26" i="6"/>
  <c r="AW26" i="6"/>
  <c r="AC26" i="6"/>
  <c r="AZ26" i="6"/>
  <c r="U26" i="6"/>
  <c r="Y26" i="6"/>
  <c r="I102" i="5" a="1"/>
  <c r="P102" i="5" a="1"/>
  <c r="AC102" i="5" a="1"/>
  <c r="AK102" i="5" a="1"/>
  <c r="AY102" i="5" a="1"/>
  <c r="BF102" i="5" a="1"/>
  <c r="G102" i="5" a="1"/>
  <c r="AS102" i="5" a="1"/>
  <c r="BA102" i="5" a="1"/>
  <c r="BH102" i="5" a="1"/>
  <c r="O102" i="5" a="1"/>
  <c r="V102" i="5" a="1"/>
  <c r="AL102" i="5" a="1"/>
  <c r="AT102" i="5" a="1"/>
  <c r="BI102" i="5" a="1"/>
  <c r="H102" i="5" a="1"/>
  <c r="W102" i="5" a="1"/>
  <c r="AD102" i="5" a="1"/>
  <c r="BB102" i="5" a="1"/>
  <c r="AO102" i="5" a="1"/>
  <c r="AZ102" i="5" a="1"/>
  <c r="L102" i="5" a="1"/>
  <c r="U102" i="5" a="1"/>
  <c r="AF102" i="5" a="1"/>
  <c r="BK102" i="5" a="1"/>
  <c r="M102" i="5" a="1"/>
  <c r="AG102" i="5" a="1"/>
  <c r="AP102" i="5" a="1"/>
  <c r="BC102" i="5" a="1"/>
  <c r="Q102" i="5" a="1"/>
  <c r="Z102" i="5" a="1"/>
  <c r="BE102" i="5" a="1"/>
  <c r="BN102" i="5" a="1"/>
  <c r="AJ102" i="5" a="1"/>
  <c r="AV102" i="5" a="1"/>
  <c r="S102" i="5" a="1"/>
  <c r="AI102" i="5" a="1"/>
  <c r="AM102" i="5" a="1"/>
  <c r="BD102" i="5" a="1"/>
  <c r="T102" i="5" a="1"/>
  <c r="AA102" i="5" a="1"/>
  <c r="AR102" i="5" a="1"/>
  <c r="BJ102" i="5" a="1"/>
  <c r="K102" i="5" a="1"/>
  <c r="AU102" i="5" a="1"/>
  <c r="BL102" i="5" a="1"/>
  <c r="AE102" i="5" a="1"/>
  <c r="AH102" i="5" a="1"/>
  <c r="BM102" i="5" a="1"/>
  <c r="AW102" i="5" a="1"/>
  <c r="R102" i="5" a="1"/>
  <c r="AX102" i="5" a="1"/>
  <c r="J102" i="5" a="1"/>
  <c r="BG102" i="5" a="1"/>
  <c r="Y102" i="5" a="1"/>
  <c r="AB102" i="5" a="1"/>
  <c r="AN102" i="5" a="1"/>
  <c r="E102" i="6"/>
  <c r="N102" i="5" a="1"/>
  <c r="X102" i="5" a="1"/>
  <c r="AQ102" i="5" a="1"/>
  <c r="M115" i="5" a="1"/>
  <c r="AC115" i="5" a="1"/>
  <c r="AK115" i="5" a="1"/>
  <c r="AZ115" i="5" a="1"/>
  <c r="I115" i="5" a="1"/>
  <c r="Q115" i="5" a="1"/>
  <c r="X115" i="5" a="1"/>
  <c r="AF115" i="5" a="1"/>
  <c r="BC115" i="5" a="1"/>
  <c r="BL115" i="5" a="1"/>
  <c r="J115" i="5" a="1"/>
  <c r="Y115" i="5" a="1"/>
  <c r="AG115" i="5" a="1"/>
  <c r="AO115" i="5" a="1"/>
  <c r="AV115" i="5" a="1"/>
  <c r="BD115" i="5" a="1"/>
  <c r="G115" i="5" a="1"/>
  <c r="AB115" i="5" a="1"/>
  <c r="AL115" i="5" a="1"/>
  <c r="AU115" i="5" a="1"/>
  <c r="BF115" i="5" a="1"/>
  <c r="R115" i="5" a="1"/>
  <c r="AW115" i="5" a="1"/>
  <c r="BG115" i="5" a="1"/>
  <c r="H115" i="5" a="1"/>
  <c r="S115" i="5" a="1"/>
  <c r="AM115" i="5" a="1"/>
  <c r="AX115" i="5" a="1"/>
  <c r="BH115" i="5" a="1"/>
  <c r="L115" i="5" a="1"/>
  <c r="V115" i="5" a="1"/>
  <c r="BA115" i="5" a="1"/>
  <c r="BK115" i="5" a="1"/>
  <c r="AH115" i="5" a="1"/>
  <c r="AQ115" i="5" a="1"/>
  <c r="BM115" i="5" a="1"/>
  <c r="W115" i="5" a="1"/>
  <c r="BE115" i="5" a="1"/>
  <c r="AP115" i="5" a="1"/>
  <c r="BI115" i="5" a="1"/>
  <c r="AE115" i="5" a="1"/>
  <c r="O115" i="5" a="1"/>
  <c r="AI115" i="5" a="1"/>
  <c r="AY115" i="5" a="1"/>
  <c r="Z115" i="5" a="1"/>
  <c r="AA115" i="5" a="1"/>
  <c r="BB115" i="5" a="1"/>
  <c r="AD115" i="5" a="1"/>
  <c r="E115" i="6"/>
  <c r="K115" i="5" a="1"/>
  <c r="AS115" i="5" a="1"/>
  <c r="N115" i="5" a="1"/>
  <c r="AT115" i="5" a="1"/>
  <c r="P115" i="5" a="1"/>
  <c r="AJ115" i="5" a="1"/>
  <c r="AN115" i="5" a="1"/>
  <c r="AR115" i="5" a="1"/>
  <c r="BN115" i="5" a="1"/>
  <c r="BJ115" i="5" a="1"/>
  <c r="T115" i="5" a="1"/>
  <c r="U115" i="5" a="1"/>
  <c r="F3" i="5"/>
  <c r="F57" i="5"/>
  <c r="F93" i="5"/>
  <c r="F123" i="5"/>
  <c r="F125" i="5"/>
  <c r="F45" i="5"/>
  <c r="F132" i="5"/>
  <c r="BH106" i="6"/>
  <c r="F131" i="5"/>
  <c r="F133" i="5"/>
  <c r="I66" i="5" a="1"/>
  <c r="P66" i="5" a="1"/>
  <c r="W66" i="5" a="1"/>
  <c r="AL66" i="5" a="1"/>
  <c r="BF66" i="5" a="1"/>
  <c r="BM66" i="5" a="1"/>
  <c r="X66" i="5" a="1"/>
  <c r="AE66" i="5" a="1"/>
  <c r="AS66" i="5" a="1"/>
  <c r="AZ66" i="5" a="1"/>
  <c r="BN66" i="5" a="1"/>
  <c r="T66" i="5" a="1"/>
  <c r="AA66" i="5" a="1"/>
  <c r="AH66" i="5" a="1"/>
  <c r="AO66" i="5" a="1"/>
  <c r="AV66" i="5" a="1"/>
  <c r="BC66" i="5" a="1"/>
  <c r="BJ66" i="5" a="1"/>
  <c r="J66" i="5" a="1"/>
  <c r="AM66" i="5" a="1"/>
  <c r="AU66" i="5" a="1"/>
  <c r="AC66" i="5" a="1"/>
  <c r="AW66" i="5" a="1"/>
  <c r="BE66" i="5" a="1"/>
  <c r="K66" i="5" a="1"/>
  <c r="U66" i="5" a="1"/>
  <c r="AD66" i="5" a="1"/>
  <c r="AN66" i="5" a="1"/>
  <c r="G66" i="5" a="1"/>
  <c r="BG66" i="5" a="1"/>
  <c r="H66" i="5" a="1"/>
  <c r="V66" i="5" a="1"/>
  <c r="AT66" i="5" a="1"/>
  <c r="BH66" i="5" a="1"/>
  <c r="AI66" i="5" a="1"/>
  <c r="L66" i="5" a="1"/>
  <c r="Y66" i="5" a="1"/>
  <c r="AJ66" i="5" a="1"/>
  <c r="AX66" i="5" a="1"/>
  <c r="BI66" i="5" a="1"/>
  <c r="O66" i="5" a="1"/>
  <c r="AP66" i="5" a="1"/>
  <c r="BA66" i="5" a="1"/>
  <c r="BL66" i="5" a="1"/>
  <c r="AB66" i="5" a="1"/>
  <c r="BB66" i="5" a="1"/>
  <c r="S66" i="5" a="1"/>
  <c r="AY66" i="5" a="1"/>
  <c r="Z66" i="5" a="1"/>
  <c r="AF66" i="5" a="1"/>
  <c r="BD66" i="5" a="1"/>
  <c r="AK66" i="5" a="1"/>
  <c r="AQ66" i="5" a="1"/>
  <c r="M66" i="5" a="1"/>
  <c r="N66" i="5" a="1"/>
  <c r="BK66" i="5" a="1"/>
  <c r="Q66" i="5" a="1"/>
  <c r="AR66" i="5" a="1"/>
  <c r="AG66" i="5" a="1"/>
  <c r="R66" i="5" a="1"/>
  <c r="E66" i="6"/>
  <c r="M14" i="5" a="1"/>
  <c r="Z14" i="5" a="1"/>
  <c r="AG14" i="5" a="1"/>
  <c r="AT14" i="5" a="1"/>
  <c r="BG14" i="5" a="1"/>
  <c r="G14" i="5" a="1"/>
  <c r="T14" i="5" a="1"/>
  <c r="AA14" i="5" a="1"/>
  <c r="AN14" i="5" a="1"/>
  <c r="BA14" i="5" a="1"/>
  <c r="BN14" i="5" a="1"/>
  <c r="S14" i="5" a="1"/>
  <c r="AB14" i="5" a="1"/>
  <c r="AQ14" i="5" a="1"/>
  <c r="AY14" i="5" a="1"/>
  <c r="O14" i="5" a="1"/>
  <c r="AD14" i="5" a="1"/>
  <c r="BB14" i="5" a="1"/>
  <c r="W14" i="5" a="1"/>
  <c r="AL14" i="5" a="1"/>
  <c r="AU14" i="5" a="1"/>
  <c r="BJ14" i="5" a="1"/>
  <c r="N14" i="5" a="1"/>
  <c r="AI14" i="5" a="1"/>
  <c r="AS14" i="5" a="1"/>
  <c r="BD14" i="5" a="1"/>
  <c r="P14" i="5" a="1"/>
  <c r="Y14" i="5" a="1"/>
  <c r="AJ14" i="5" a="1"/>
  <c r="BE14" i="5" a="1"/>
  <c r="AO14" i="5" a="1"/>
  <c r="AX14" i="5" a="1"/>
  <c r="BI14" i="5" a="1"/>
  <c r="J14" i="5" a="1"/>
  <c r="U14" i="5" a="1"/>
  <c r="AE14" i="5" a="1"/>
  <c r="BK14" i="5" a="1"/>
  <c r="AP14" i="5" a="1"/>
  <c r="AZ14" i="5" a="1"/>
  <c r="H14" i="5" a="1"/>
  <c r="I14" i="5" a="1"/>
  <c r="AR14" i="5" a="1"/>
  <c r="BL14" i="5" a="1"/>
  <c r="K14" i="5" a="1"/>
  <c r="AV14" i="5" a="1"/>
  <c r="L14" i="5" a="1"/>
  <c r="AC14" i="5" a="1"/>
  <c r="BM14" i="5" a="1"/>
  <c r="Q14" i="5" a="1"/>
  <c r="V14" i="5" a="1"/>
  <c r="BC14" i="5" a="1"/>
  <c r="AK14" i="5" a="1"/>
  <c r="AM14" i="5" a="1"/>
  <c r="BF14" i="5" a="1"/>
  <c r="BH14" i="5" a="1"/>
  <c r="X14" i="5" a="1"/>
  <c r="AF14" i="5" a="1"/>
  <c r="R14" i="5" a="1"/>
  <c r="AH14" i="5" a="1"/>
  <c r="AW14" i="5" a="1"/>
  <c r="E14" i="6"/>
  <c r="F129" i="5"/>
  <c r="F74" i="5"/>
  <c r="U85" i="5" a="1"/>
  <c r="AD85" i="5" a="1"/>
  <c r="AL85" i="5" a="1"/>
  <c r="AT85" i="5" a="1"/>
  <c r="BK85" i="5" a="1"/>
  <c r="H85" i="5" a="1"/>
  <c r="P85" i="5" a="1"/>
  <c r="AI85" i="5" a="1"/>
  <c r="BI85" i="5" a="1"/>
  <c r="I85" i="5" a="1"/>
  <c r="Q85" i="5" a="1"/>
  <c r="Y85" i="5" a="1"/>
  <c r="AQ85" i="5" a="1"/>
  <c r="AZ85" i="5" a="1"/>
  <c r="R85" i="5" a="1"/>
  <c r="Z85" i="5" a="1"/>
  <c r="AJ85" i="5" a="1"/>
  <c r="AR85" i="5" a="1"/>
  <c r="BA85" i="5" a="1"/>
  <c r="BJ85" i="5" a="1"/>
  <c r="J85" i="5" a="1"/>
  <c r="AA85" i="5" a="1"/>
  <c r="BB85" i="5" a="1"/>
  <c r="L85" i="5" a="1"/>
  <c r="T85" i="5" a="1"/>
  <c r="AC85" i="5" a="1"/>
  <c r="AM85" i="5" a="1"/>
  <c r="AV85" i="5" a="1"/>
  <c r="BE85" i="5" a="1"/>
  <c r="AE85" i="5" a="1"/>
  <c r="AW85" i="5" a="1"/>
  <c r="BN85" i="5" a="1"/>
  <c r="K85" i="5" a="1"/>
  <c r="AS85" i="5" a="1"/>
  <c r="BL85" i="5" a="1"/>
  <c r="AB85" i="5" a="1"/>
  <c r="AU85" i="5" a="1"/>
  <c r="BM85" i="5" a="1"/>
  <c r="M85" i="5" a="1"/>
  <c r="AF85" i="5" a="1"/>
  <c r="N85" i="5" a="1"/>
  <c r="AX85" i="5" a="1"/>
  <c r="AK85" i="5" a="1"/>
  <c r="G85" i="5" a="1"/>
  <c r="BH85" i="5" a="1"/>
  <c r="O85" i="5" a="1"/>
  <c r="AN85" i="5" a="1"/>
  <c r="V85" i="5" a="1"/>
  <c r="W85" i="5" a="1"/>
  <c r="AY85" i="5" a="1"/>
  <c r="X85" i="5" a="1"/>
  <c r="AG85" i="5" a="1"/>
  <c r="AP85" i="5" a="1"/>
  <c r="BC85" i="5" a="1"/>
  <c r="AH85" i="5" a="1"/>
  <c r="AO85" i="5" a="1"/>
  <c r="S85" i="5" a="1"/>
  <c r="BD85" i="5" a="1"/>
  <c r="BF85" i="5" a="1"/>
  <c r="BG85" i="5" a="1"/>
  <c r="E85" i="6"/>
  <c r="F71" i="5"/>
  <c r="F121" i="5"/>
  <c r="F36" i="5"/>
  <c r="F12" i="5"/>
  <c r="F149" i="5"/>
  <c r="F76" i="5"/>
  <c r="F16" i="5"/>
  <c r="F19" i="5"/>
  <c r="F9" i="5"/>
  <c r="F100" i="5"/>
  <c r="F139" i="5"/>
  <c r="F29" i="5"/>
  <c r="F120" i="5"/>
  <c r="F18" i="5"/>
  <c r="F124" i="5"/>
  <c r="F22" i="5"/>
  <c r="BA22" i="6" s="1"/>
  <c r="F56" i="5"/>
  <c r="F40" i="5"/>
  <c r="F105" i="5"/>
  <c r="F41" i="5"/>
  <c r="AJ41" i="6" s="1"/>
  <c r="F118" i="5"/>
  <c r="F53" i="5"/>
  <c r="M103" i="5" a="1"/>
  <c r="AA103" i="5" a="1"/>
  <c r="AH103" i="5" a="1"/>
  <c r="AW103" i="5" a="1"/>
  <c r="BE103" i="5" a="1"/>
  <c r="BL103" i="5" a="1"/>
  <c r="Q103" i="5" a="1"/>
  <c r="AF103" i="5" a="1"/>
  <c r="AV103" i="5" a="1"/>
  <c r="BM103" i="5" a="1"/>
  <c r="H103" i="5" a="1"/>
  <c r="Y103" i="5" a="1"/>
  <c r="AN103" i="5" a="1"/>
  <c r="I103" i="5" a="1"/>
  <c r="W103" i="5" a="1"/>
  <c r="AP103" i="5" a="1"/>
  <c r="BI103" i="5" a="1"/>
  <c r="N103" i="5" a="1"/>
  <c r="AG103" i="5" a="1"/>
  <c r="AQ103" i="5" a="1"/>
  <c r="AZ103" i="5" a="1"/>
  <c r="BJ103" i="5" a="1"/>
  <c r="X103" i="5" a="1"/>
  <c r="BA103" i="5" a="1"/>
  <c r="AT103" i="5" a="1"/>
  <c r="BD103" i="5" a="1"/>
  <c r="G103" i="5" a="1"/>
  <c r="S103" i="5" a="1"/>
  <c r="AB103" i="5" a="1"/>
  <c r="AK103" i="5" a="1"/>
  <c r="AU103" i="5" a="1"/>
  <c r="BF103" i="5" a="1"/>
  <c r="AC103" i="5" a="1"/>
  <c r="AS103" i="5" a="1"/>
  <c r="L103" i="5" a="1"/>
  <c r="AD103" i="5" a="1"/>
  <c r="BK103" i="5" a="1"/>
  <c r="O103" i="5" a="1"/>
  <c r="U103" i="5" a="1"/>
  <c r="AJ103" i="5" a="1"/>
  <c r="AL103" i="5" a="1"/>
  <c r="BB103" i="5" a="1"/>
  <c r="AE103" i="5" a="1"/>
  <c r="AI103" i="5" a="1"/>
  <c r="BH103" i="5" a="1"/>
  <c r="R103" i="5" a="1"/>
  <c r="AR103" i="5" a="1"/>
  <c r="T103" i="5" a="1"/>
  <c r="AM103" i="5" a="1"/>
  <c r="K103" i="5" a="1"/>
  <c r="BC103" i="5" a="1"/>
  <c r="BN103" i="5" a="1"/>
  <c r="Z103" i="5" a="1"/>
  <c r="AO103" i="5" a="1"/>
  <c r="AX103" i="5" a="1"/>
  <c r="J103" i="5" a="1"/>
  <c r="P103" i="5" a="1"/>
  <c r="V103" i="5" a="1"/>
  <c r="BG103" i="5" a="1"/>
  <c r="AY103" i="5" a="1"/>
  <c r="E103" i="6"/>
  <c r="F35" i="5"/>
  <c r="F81" i="5"/>
  <c r="L27" i="5" a="1"/>
  <c r="Y27" i="5" a="1"/>
  <c r="AF27" i="5" a="1"/>
  <c r="AS27" i="5" a="1"/>
  <c r="AZ27" i="5" a="1"/>
  <c r="BG27" i="5" a="1"/>
  <c r="S27" i="5" a="1"/>
  <c r="AM27" i="5" a="1"/>
  <c r="AT27" i="5" a="1"/>
  <c r="BN27" i="5" a="1"/>
  <c r="N27" i="5" a="1"/>
  <c r="V27" i="5" a="1"/>
  <c r="AD27" i="5" a="1"/>
  <c r="BB27" i="5" a="1"/>
  <c r="BJ27" i="5" a="1"/>
  <c r="AL27" i="5" a="1"/>
  <c r="AU27" i="5" a="1"/>
  <c r="BC27" i="5" a="1"/>
  <c r="J27" i="5" a="1"/>
  <c r="Z27" i="5" a="1"/>
  <c r="AP27" i="5" a="1"/>
  <c r="BF27" i="5" a="1"/>
  <c r="BA27" i="5" a="1"/>
  <c r="BL27" i="5" a="1"/>
  <c r="K27" i="5" a="1"/>
  <c r="U27" i="5" a="1"/>
  <c r="AG27" i="5" a="1"/>
  <c r="AQ27" i="5" a="1"/>
  <c r="P27" i="5" a="1"/>
  <c r="AA27" i="5" a="1"/>
  <c r="AV27" i="5" a="1"/>
  <c r="AB27" i="5" a="1"/>
  <c r="AK27" i="5" a="1"/>
  <c r="BH27" i="5" a="1"/>
  <c r="G27" i="5" a="1"/>
  <c r="Q27" i="5" a="1"/>
  <c r="AN27" i="5" a="1"/>
  <c r="AW27" i="5" a="1"/>
  <c r="M27" i="5" a="1"/>
  <c r="AE27" i="5" a="1"/>
  <c r="AX27" i="5" a="1"/>
  <c r="AH27" i="5" a="1"/>
  <c r="O27" i="5" a="1"/>
  <c r="AI27" i="5" a="1"/>
  <c r="AY27" i="5" a="1"/>
  <c r="R27" i="5" a="1"/>
  <c r="W27" i="5" a="1"/>
  <c r="AO27" i="5" a="1"/>
  <c r="BE27" i="5" a="1"/>
  <c r="BI27" i="5" a="1"/>
  <c r="AJ27" i="5" a="1"/>
  <c r="H27" i="5" a="1"/>
  <c r="AR27" i="5" a="1"/>
  <c r="BD27" i="5" a="1"/>
  <c r="T27" i="5" a="1"/>
  <c r="I27" i="5" a="1"/>
  <c r="X27" i="5" a="1"/>
  <c r="AC27" i="5" a="1"/>
  <c r="BK27" i="5" a="1"/>
  <c r="BM27" i="5" a="1"/>
  <c r="E27" i="6"/>
  <c r="N113" i="5" a="1"/>
  <c r="AC113" i="5" a="1"/>
  <c r="AZ113" i="5" a="1"/>
  <c r="J113" i="5" a="1"/>
  <c r="R113" i="5" a="1"/>
  <c r="Y113" i="5" a="1"/>
  <c r="AG113" i="5" a="1"/>
  <c r="AO113" i="5" a="1"/>
  <c r="K113" i="5" a="1"/>
  <c r="Z113" i="5" a="1"/>
  <c r="AP113" i="5" a="1"/>
  <c r="AW113" i="5" a="1"/>
  <c r="BE113" i="5" a="1"/>
  <c r="BM113" i="5" a="1"/>
  <c r="I113" i="5" a="1"/>
  <c r="AN113" i="5" a="1"/>
  <c r="AY113" i="5" a="1"/>
  <c r="L113" i="5" a="1"/>
  <c r="U113" i="5" a="1"/>
  <c r="AE113" i="5" a="1"/>
  <c r="BJ113" i="5" a="1"/>
  <c r="V113" i="5" a="1"/>
  <c r="AQ113" i="5" a="1"/>
  <c r="BA113" i="5" a="1"/>
  <c r="BK113" i="5" a="1"/>
  <c r="AI113" i="5" a="1"/>
  <c r="AT113" i="5" a="1"/>
  <c r="BD113" i="5" a="1"/>
  <c r="P113" i="5" a="1"/>
  <c r="AJ113" i="5" a="1"/>
  <c r="AH113" i="5" a="1"/>
  <c r="AX113" i="5" a="1"/>
  <c r="Q113" i="5" a="1"/>
  <c r="BB113" i="5" a="1"/>
  <c r="G113" i="5" a="1"/>
  <c r="X113" i="5" a="1"/>
  <c r="BH113" i="5" a="1"/>
  <c r="H113" i="5" a="1"/>
  <c r="AA113" i="5" a="1"/>
  <c r="AR113" i="5" a="1"/>
  <c r="BI113" i="5" a="1"/>
  <c r="AK113" i="5" a="1"/>
  <c r="BL113" i="5" a="1"/>
  <c r="M113" i="5" a="1"/>
  <c r="AL113" i="5" a="1"/>
  <c r="BN113" i="5" a="1"/>
  <c r="AM113" i="5" a="1"/>
  <c r="AV113" i="5" a="1"/>
  <c r="AB113" i="5" a="1"/>
  <c r="AU113" i="5" a="1"/>
  <c r="O113" i="5" a="1"/>
  <c r="S113" i="5" a="1"/>
  <c r="BC113" i="5" a="1"/>
  <c r="W113" i="5" a="1"/>
  <c r="T113" i="5" a="1"/>
  <c r="AD113" i="5" a="1"/>
  <c r="AS113" i="5" a="1"/>
  <c r="BF113" i="5" a="1"/>
  <c r="BG113" i="5" a="1"/>
  <c r="AF113" i="5" a="1"/>
  <c r="E113" i="6"/>
  <c r="L8" i="5" a="1"/>
  <c r="S8" i="5" a="1"/>
  <c r="Z8" i="5" a="1"/>
  <c r="AG8" i="5" a="1"/>
  <c r="AU8" i="5" a="1"/>
  <c r="BH8" i="5" a="1"/>
  <c r="M8" i="5" a="1"/>
  <c r="T8" i="5" a="1"/>
  <c r="AN8" i="5" a="1"/>
  <c r="BB8" i="5" a="1"/>
  <c r="P8" i="5" a="1"/>
  <c r="AC8" i="5" a="1"/>
  <c r="AJ8" i="5" a="1"/>
  <c r="AQ8" i="5" a="1"/>
  <c r="BE8" i="5" a="1"/>
  <c r="W8" i="5" a="1"/>
  <c r="AF8" i="5" a="1"/>
  <c r="AO8" i="5" a="1"/>
  <c r="AY8" i="5" a="1"/>
  <c r="BG8" i="5" a="1"/>
  <c r="K8" i="5" a="1"/>
  <c r="AE8" i="5" a="1"/>
  <c r="AZ8" i="5" a="1"/>
  <c r="BJ8" i="5" a="1"/>
  <c r="O8" i="5" a="1"/>
  <c r="X8" i="5" a="1"/>
  <c r="BL8" i="5" a="1"/>
  <c r="H8" i="5" a="1"/>
  <c r="I8" i="5" a="1"/>
  <c r="U8" i="5" a="1"/>
  <c r="AH8" i="5" a="1"/>
  <c r="AT8" i="5" a="1"/>
  <c r="AA8" i="5" a="1"/>
  <c r="AL8" i="5" a="1"/>
  <c r="AX8" i="5" a="1"/>
  <c r="BK8" i="5" a="1"/>
  <c r="BN8" i="5" a="1"/>
  <c r="G8" i="5" a="1"/>
  <c r="J8" i="5" a="1"/>
  <c r="Y8" i="5" a="1"/>
  <c r="AP8" i="5" a="1"/>
  <c r="BF8" i="5" a="1"/>
  <c r="N8" i="5" a="1"/>
  <c r="AI8" i="5" a="1"/>
  <c r="BD8" i="5" a="1"/>
  <c r="Q8" i="5" a="1"/>
  <c r="AB8" i="5" a="1"/>
  <c r="AV8" i="5" a="1"/>
  <c r="BA8" i="5" a="1"/>
  <c r="R8" i="5" a="1"/>
  <c r="BC8" i="5" a="1"/>
  <c r="V8" i="5" a="1"/>
  <c r="BI8" i="5" a="1"/>
  <c r="AD8" i="5" a="1"/>
  <c r="AS8" i="5" a="1"/>
  <c r="AW8" i="5" a="1"/>
  <c r="BM8" i="5" a="1"/>
  <c r="AK8" i="5" a="1"/>
  <c r="AM8" i="5" a="1"/>
  <c r="AR8" i="5" a="1"/>
  <c r="E8" i="6"/>
  <c r="I136" i="5" a="1"/>
  <c r="Q136" i="5" a="1"/>
  <c r="X136" i="5" a="1"/>
  <c r="AN136" i="5" a="1"/>
  <c r="AF136" i="5" a="1"/>
  <c r="AO136" i="5" a="1"/>
  <c r="AV136" i="5" a="1"/>
  <c r="BD136" i="5" a="1"/>
  <c r="BL136" i="5" a="1"/>
  <c r="J136" i="5" a="1"/>
  <c r="R136" i="5" a="1"/>
  <c r="Y136" i="5" a="1"/>
  <c r="AW136" i="5" a="1"/>
  <c r="BM136" i="5" a="1"/>
  <c r="T136" i="5" a="1"/>
  <c r="AI136" i="5" a="1"/>
  <c r="AY136" i="5" a="1"/>
  <c r="BG136" i="5" a="1"/>
  <c r="M136" i="5" a="1"/>
  <c r="AB136" i="5" a="1"/>
  <c r="AJ136" i="5" a="1"/>
  <c r="AR136" i="5" a="1"/>
  <c r="AZ136" i="5" a="1"/>
  <c r="BH136" i="5" a="1"/>
  <c r="AG136" i="5" a="1"/>
  <c r="AT136" i="5" a="1"/>
  <c r="H136" i="5" a="1"/>
  <c r="U136" i="5" a="1"/>
  <c r="AU136" i="5" a="1"/>
  <c r="BI136" i="5" a="1"/>
  <c r="N136" i="5" a="1"/>
  <c r="Z136" i="5" a="1"/>
  <c r="AM136" i="5" a="1"/>
  <c r="AA136" i="5" a="1"/>
  <c r="AP136" i="5" a="1"/>
  <c r="BB136" i="5" a="1"/>
  <c r="O136" i="5" a="1"/>
  <c r="AH136" i="5" a="1"/>
  <c r="BC136" i="5" a="1"/>
  <c r="P136" i="5" a="1"/>
  <c r="AK136" i="5" a="1"/>
  <c r="BE136" i="5" a="1"/>
  <c r="AL136" i="5" a="1"/>
  <c r="W136" i="5" a="1"/>
  <c r="AS136" i="5" a="1"/>
  <c r="AC136" i="5" a="1"/>
  <c r="BF136" i="5" a="1"/>
  <c r="BJ136" i="5" a="1"/>
  <c r="AQ136" i="5" a="1"/>
  <c r="L136" i="5" a="1"/>
  <c r="S136" i="5" a="1"/>
  <c r="AX136" i="5" a="1"/>
  <c r="BK136" i="5" a="1"/>
  <c r="G136" i="5" a="1"/>
  <c r="BN136" i="5" a="1"/>
  <c r="E136" i="6"/>
  <c r="K136" i="5" a="1"/>
  <c r="V136" i="5" a="1"/>
  <c r="AD136" i="5" a="1"/>
  <c r="AE136" i="5" a="1"/>
  <c r="BA136" i="5" a="1"/>
  <c r="AC108" i="5" a="1"/>
  <c r="AK108" i="5" a="1"/>
  <c r="AR108" i="5" a="1"/>
  <c r="I108" i="5" a="1"/>
  <c r="P108" i="5" a="1"/>
  <c r="W108" i="5" a="1"/>
  <c r="AS108" i="5" a="1"/>
  <c r="BB108" i="5" a="1"/>
  <c r="BK108" i="5" a="1"/>
  <c r="G108" i="5" a="1"/>
  <c r="O108" i="5" a="1"/>
  <c r="X108" i="5" a="1"/>
  <c r="AG108" i="5" a="1"/>
  <c r="AO108" i="5" a="1"/>
  <c r="BJ108" i="5" a="1"/>
  <c r="Y108" i="5" a="1"/>
  <c r="AZ108" i="5" a="1"/>
  <c r="BL108" i="5" a="1"/>
  <c r="H108" i="5" a="1"/>
  <c r="Q108" i="5" a="1"/>
  <c r="AH108" i="5" a="1"/>
  <c r="AP108" i="5" a="1"/>
  <c r="BA108" i="5" a="1"/>
  <c r="K108" i="5" a="1"/>
  <c r="AJ108" i="5" a="1"/>
  <c r="L108" i="5" a="1"/>
  <c r="T108" i="5" a="1"/>
  <c r="AB108" i="5" a="1"/>
  <c r="AL108" i="5" a="1"/>
  <c r="AU108" i="5" a="1"/>
  <c r="BE108" i="5" a="1"/>
  <c r="S108" i="5" a="1"/>
  <c r="AX108" i="5" a="1"/>
  <c r="U108" i="5" a="1"/>
  <c r="AI108" i="5" a="1"/>
  <c r="AY108" i="5" a="1"/>
  <c r="BC108" i="5" a="1"/>
  <c r="M108" i="5" a="1"/>
  <c r="AN108" i="5" a="1"/>
  <c r="BG108" i="5" a="1"/>
  <c r="AA108" i="5" a="1"/>
  <c r="AQ108" i="5" a="1"/>
  <c r="BH108" i="5" a="1"/>
  <c r="J108" i="5" a="1"/>
  <c r="AF108" i="5" a="1"/>
  <c r="BM108" i="5" a="1"/>
  <c r="V108" i="5" a="1"/>
  <c r="AV108" i="5" a="1"/>
  <c r="AW108" i="5" a="1"/>
  <c r="Z108" i="5" a="1"/>
  <c r="BN108" i="5" a="1"/>
  <c r="AD108" i="5" a="1"/>
  <c r="N108" i="5" a="1"/>
  <c r="AT108" i="5" a="1"/>
  <c r="BD108" i="5" a="1"/>
  <c r="E108" i="6"/>
  <c r="BF108" i="5" a="1"/>
  <c r="R108" i="5" a="1"/>
  <c r="BI108" i="5" a="1"/>
  <c r="AE108" i="5" a="1"/>
  <c r="AM108" i="5" a="1"/>
  <c r="M13" i="5" a="1"/>
  <c r="T13" i="5" a="1"/>
  <c r="AB13" i="5" a="1"/>
  <c r="AI13" i="5" a="1"/>
  <c r="AQ13" i="5" a="1"/>
  <c r="AY13" i="5" a="1"/>
  <c r="H13" i="5" a="1"/>
  <c r="O13" i="5" a="1"/>
  <c r="W13" i="5" a="1"/>
  <c r="AD13" i="5" a="1"/>
  <c r="AL13" i="5" a="1"/>
  <c r="AS13" i="5" a="1"/>
  <c r="Z13" i="5" a="1"/>
  <c r="AH13" i="5" a="1"/>
  <c r="AR13" i="5" a="1"/>
  <c r="BA13" i="5" a="1"/>
  <c r="BH13" i="5" a="1"/>
  <c r="I13" i="5" a="1"/>
  <c r="Q13" i="5" a="1"/>
  <c r="X13" i="5" a="1"/>
  <c r="AT13" i="5" a="1"/>
  <c r="P13" i="5" a="1"/>
  <c r="AM13" i="5" a="1"/>
  <c r="AV13" i="5" a="1"/>
  <c r="AC13" i="5" a="1"/>
  <c r="AW13" i="5" a="1"/>
  <c r="BG13" i="5" a="1"/>
  <c r="AZ13" i="5" a="1"/>
  <c r="BL13" i="5" a="1"/>
  <c r="K13" i="5" a="1"/>
  <c r="AN13" i="5" a="1"/>
  <c r="BB13" i="5" a="1"/>
  <c r="BM13" i="5" a="1"/>
  <c r="AE13" i="5" a="1"/>
  <c r="BF13" i="5" a="1"/>
  <c r="R13" i="5" a="1"/>
  <c r="AF13" i="5" a="1"/>
  <c r="AU13" i="5" a="1"/>
  <c r="BI13" i="5" a="1"/>
  <c r="V13" i="5" a="1"/>
  <c r="Y13" i="5" a="1"/>
  <c r="AX13" i="5" a="1"/>
  <c r="AA13" i="5" a="1"/>
  <c r="BC13" i="5" a="1"/>
  <c r="AJ13" i="5" a="1"/>
  <c r="J13" i="5" a="1"/>
  <c r="L13" i="5" a="1"/>
  <c r="BD13" i="5" a="1"/>
  <c r="AG13" i="5" a="1"/>
  <c r="BN13" i="5" a="1"/>
  <c r="AK13" i="5" a="1"/>
  <c r="BE13" i="5" a="1"/>
  <c r="BJ13" i="5" a="1"/>
  <c r="BK13" i="5" a="1"/>
  <c r="N13" i="5" a="1"/>
  <c r="G13" i="5" a="1"/>
  <c r="S13" i="5" a="1"/>
  <c r="U13" i="5" a="1"/>
  <c r="AO13" i="5" a="1"/>
  <c r="AP13" i="5" a="1"/>
  <c r="E13" i="6"/>
  <c r="U43" i="5" a="1"/>
  <c r="AB43" i="5" a="1"/>
  <c r="AI43" i="5" a="1"/>
  <c r="AW43" i="5" a="1"/>
  <c r="H43" i="5" a="1"/>
  <c r="O43" i="5" a="1"/>
  <c r="AP43" i="5" a="1"/>
  <c r="BD43" i="5" a="1"/>
  <c r="BK43" i="5" a="1"/>
  <c r="V43" i="5" a="1"/>
  <c r="AC43" i="5" a="1"/>
  <c r="AJ43" i="5" a="1"/>
  <c r="AQ43" i="5" a="1"/>
  <c r="AX43" i="5" a="1"/>
  <c r="BE43" i="5" a="1"/>
  <c r="K43" i="5" a="1"/>
  <c r="Y43" i="5" a="1"/>
  <c r="AS43" i="5" a="1"/>
  <c r="AZ43" i="5" a="1"/>
  <c r="BG43" i="5" a="1"/>
  <c r="R43" i="5" a="1"/>
  <c r="AF43" i="5" a="1"/>
  <c r="AM43" i="5" a="1"/>
  <c r="BN43" i="5" a="1"/>
  <c r="AN43" i="5" a="1"/>
  <c r="BL43" i="5" a="1"/>
  <c r="Q43" i="5" a="1"/>
  <c r="BA43" i="5" a="1"/>
  <c r="S43" i="5" a="1"/>
  <c r="AD43" i="5" a="1"/>
  <c r="AO43" i="5" a="1"/>
  <c r="BM43" i="5" a="1"/>
  <c r="G43" i="5" a="1"/>
  <c r="AE43" i="5" a="1"/>
  <c r="BB43" i="5" a="1"/>
  <c r="J43" i="5" a="1"/>
  <c r="AH43" i="5" a="1"/>
  <c r="AT43" i="5" a="1"/>
  <c r="BF43" i="5" a="1"/>
  <c r="L43" i="5" a="1"/>
  <c r="W43" i="5" a="1"/>
  <c r="AU43" i="5" a="1"/>
  <c r="T43" i="5" a="1"/>
  <c r="AR43" i="5" a="1"/>
  <c r="X43" i="5" a="1"/>
  <c r="Z43" i="5" a="1"/>
  <c r="AV43" i="5" a="1"/>
  <c r="I43" i="5" a="1"/>
  <c r="BC43" i="5" a="1"/>
  <c r="AG43" i="5" a="1"/>
  <c r="AY43" i="5" a="1"/>
  <c r="M43" i="5" a="1"/>
  <c r="BH43" i="5" a="1"/>
  <c r="AA43" i="5" a="1"/>
  <c r="AK43" i="5" a="1"/>
  <c r="BI43" i="5" a="1"/>
  <c r="BJ43" i="5" a="1"/>
  <c r="N43" i="5" a="1"/>
  <c r="P43" i="5" a="1"/>
  <c r="AL43" i="5" a="1"/>
  <c r="E43" i="6"/>
  <c r="G20" i="5" a="1"/>
  <c r="O20" i="5" a="1"/>
  <c r="AX20" i="5" a="1"/>
  <c r="BE20" i="5" a="1"/>
  <c r="BL20" i="5" a="1"/>
  <c r="M20" i="5" a="1"/>
  <c r="T20" i="5" a="1"/>
  <c r="AB20" i="5" a="1"/>
  <c r="AJ20" i="5" a="1"/>
  <c r="AR20" i="5" a="1"/>
  <c r="BG20" i="5" a="1"/>
  <c r="AC20" i="5" a="1"/>
  <c r="AK20" i="5" a="1"/>
  <c r="AZ20" i="5" a="1"/>
  <c r="N20" i="5" a="1"/>
  <c r="W20" i="5" a="1"/>
  <c r="BH20" i="5" a="1"/>
  <c r="X20" i="5" a="1"/>
  <c r="AG20" i="5" a="1"/>
  <c r="AP20" i="5" a="1"/>
  <c r="AY20" i="5" a="1"/>
  <c r="H20" i="5" a="1"/>
  <c r="S20" i="5" a="1"/>
  <c r="BB20" i="5" a="1"/>
  <c r="BK20" i="5" a="1"/>
  <c r="I20" i="5" a="1"/>
  <c r="AF20" i="5" a="1"/>
  <c r="AQ20" i="5" a="1"/>
  <c r="BM20" i="5" a="1"/>
  <c r="J20" i="5" a="1"/>
  <c r="U20" i="5" a="1"/>
  <c r="AS20" i="5" a="1"/>
  <c r="BC20" i="5" a="1"/>
  <c r="K20" i="5" a="1"/>
  <c r="V20" i="5" a="1"/>
  <c r="AH20" i="5" a="1"/>
  <c r="BN20" i="5" a="1"/>
  <c r="Z20" i="5" a="1"/>
  <c r="AL20" i="5" a="1"/>
  <c r="AT20" i="5" a="1"/>
  <c r="BJ20" i="5" a="1"/>
  <c r="AA20" i="5" a="1"/>
  <c r="AU20" i="5" a="1"/>
  <c r="Q20" i="5" a="1"/>
  <c r="BD20" i="5" a="1"/>
  <c r="R20" i="5" a="1"/>
  <c r="AM20" i="5" a="1"/>
  <c r="BF20" i="5" a="1"/>
  <c r="AD20" i="5" a="1"/>
  <c r="AE20" i="5" a="1"/>
  <c r="AI20" i="5" a="1"/>
  <c r="AV20" i="5" a="1"/>
  <c r="L20" i="5" a="1"/>
  <c r="AN20" i="5" a="1"/>
  <c r="AO20" i="5" a="1"/>
  <c r="AW20" i="5" a="1"/>
  <c r="BA20" i="5" a="1"/>
  <c r="P20" i="5" a="1"/>
  <c r="BI20" i="5" a="1"/>
  <c r="Y20" i="5" a="1"/>
  <c r="E20" i="6"/>
  <c r="Q148" i="5" a="1"/>
  <c r="AH148" i="5" a="1"/>
  <c r="AY148" i="5" a="1"/>
  <c r="BG148" i="5" a="1"/>
  <c r="I148" i="5" a="1"/>
  <c r="Y148" i="5" a="1"/>
  <c r="AI148" i="5" a="1"/>
  <c r="AP148" i="5" a="1"/>
  <c r="M148" i="5" a="1"/>
  <c r="U148" i="5" a="1"/>
  <c r="AC148" i="5" a="1"/>
  <c r="AT148" i="5" a="1"/>
  <c r="AD148" i="5" a="1"/>
  <c r="AL148" i="5" a="1"/>
  <c r="AU148" i="5" a="1"/>
  <c r="BC148" i="5" a="1"/>
  <c r="BK148" i="5" a="1"/>
  <c r="R148" i="5" a="1"/>
  <c r="AE148" i="5" a="1"/>
  <c r="AQ148" i="5" a="1"/>
  <c r="BD148" i="5" a="1"/>
  <c r="S148" i="5" a="1"/>
  <c r="AR148" i="5" a="1"/>
  <c r="G148" i="5" a="1"/>
  <c r="AF148" i="5" a="1"/>
  <c r="BE148" i="5" a="1"/>
  <c r="L148" i="5" a="1"/>
  <c r="T148" i="5" a="1"/>
  <c r="BF148" i="5" a="1"/>
  <c r="V148" i="5" a="1"/>
  <c r="AM148" i="5" a="1"/>
  <c r="BH148" i="5" a="1"/>
  <c r="K148" i="5" a="1"/>
  <c r="AA148" i="5" a="1"/>
  <c r="AW148" i="5" a="1"/>
  <c r="BN148" i="5" a="1"/>
  <c r="AB148" i="5" a="1"/>
  <c r="AX148" i="5" a="1"/>
  <c r="N148" i="5" a="1"/>
  <c r="AG148" i="5" a="1"/>
  <c r="AZ148" i="5" a="1"/>
  <c r="O148" i="5" a="1"/>
  <c r="BA148" i="5" a="1"/>
  <c r="W148" i="5" a="1"/>
  <c r="BI148" i="5" a="1"/>
  <c r="X148" i="5" a="1"/>
  <c r="BJ148" i="5" a="1"/>
  <c r="E148" i="6"/>
  <c r="Z148" i="5" a="1"/>
  <c r="BL148" i="5" a="1"/>
  <c r="BM148" i="5" a="1"/>
  <c r="AK148" i="5" a="1"/>
  <c r="AJ148" i="5" a="1"/>
  <c r="AN148" i="5" a="1"/>
  <c r="AV148" i="5" a="1"/>
  <c r="P148" i="5" a="1"/>
  <c r="J148" i="5" a="1"/>
  <c r="AO148" i="5" a="1"/>
  <c r="AS148" i="5" a="1"/>
  <c r="H148" i="5" a="1"/>
  <c r="BB148" i="5" a="1"/>
  <c r="H31" i="5" a="1"/>
  <c r="N31" i="5" a="1"/>
  <c r="T31" i="5" a="1"/>
  <c r="Z31" i="5" a="1"/>
  <c r="AF31" i="5" a="1"/>
  <c r="AL31" i="5" a="1"/>
  <c r="AR31" i="5" a="1"/>
  <c r="I31" i="5" a="1"/>
  <c r="P31" i="5" a="1"/>
  <c r="W31" i="5" a="1"/>
  <c r="AD31" i="5" a="1"/>
  <c r="AK31" i="5" a="1"/>
  <c r="AS31" i="5" a="1"/>
  <c r="AY31" i="5" a="1"/>
  <c r="BE31" i="5" a="1"/>
  <c r="BK31" i="5" a="1"/>
  <c r="Q31" i="5" a="1"/>
  <c r="AA31" i="5" a="1"/>
  <c r="AT31" i="5" a="1"/>
  <c r="BB31" i="5" a="1"/>
  <c r="G31" i="5" a="1"/>
  <c r="AJ31" i="5" a="1"/>
  <c r="BJ31" i="5" a="1"/>
  <c r="L31" i="5" a="1"/>
  <c r="AE31" i="5" a="1"/>
  <c r="AO31" i="5" a="1"/>
  <c r="BF31" i="5" a="1"/>
  <c r="BN31" i="5" a="1"/>
  <c r="V31" i="5" a="1"/>
  <c r="AX31" i="5" a="1"/>
  <c r="M31" i="5" a="1"/>
  <c r="AG31" i="5" a="1"/>
  <c r="AP31" i="5" a="1"/>
  <c r="BG31" i="5" a="1"/>
  <c r="K31" i="5" a="1"/>
  <c r="BH31" i="5" a="1"/>
  <c r="AC31" i="5" a="1"/>
  <c r="AU31" i="5" a="1"/>
  <c r="O31" i="5" a="1"/>
  <c r="AV31" i="5" a="1"/>
  <c r="BI31" i="5" a="1"/>
  <c r="AH31" i="5" a="1"/>
  <c r="BM31" i="5" a="1"/>
  <c r="U31" i="5" a="1"/>
  <c r="AM31" i="5" a="1"/>
  <c r="BA31" i="5" a="1"/>
  <c r="R31" i="5" a="1"/>
  <c r="AW31" i="5" a="1"/>
  <c r="S31" i="5" a="1"/>
  <c r="AZ31" i="5" a="1"/>
  <c r="X31" i="5" a="1"/>
  <c r="BC31" i="5" a="1"/>
  <c r="BL31" i="5" a="1"/>
  <c r="AI31" i="5" a="1"/>
  <c r="BD31" i="5" a="1"/>
  <c r="Y31" i="5" a="1"/>
  <c r="AB31" i="5" a="1"/>
  <c r="AN31" i="5" a="1"/>
  <c r="AQ31" i="5" a="1"/>
  <c r="J31" i="5" a="1"/>
  <c r="E31" i="6"/>
  <c r="O32" i="5" a="1"/>
  <c r="W32" i="5" a="1"/>
  <c r="I32" i="5" a="1"/>
  <c r="P32" i="5" a="1"/>
  <c r="AL32" i="5" a="1"/>
  <c r="BA32" i="5" a="1"/>
  <c r="L32" i="5" a="1"/>
  <c r="Z32" i="5" a="1"/>
  <c r="AO32" i="5" a="1"/>
  <c r="AW32" i="5" a="1"/>
  <c r="BL32" i="5" a="1"/>
  <c r="J32" i="5" a="1"/>
  <c r="T32" i="5" a="1"/>
  <c r="AB32" i="5" a="1"/>
  <c r="AU32" i="5" a="1"/>
  <c r="BC32" i="5" a="1"/>
  <c r="K32" i="5" a="1"/>
  <c r="N32" i="5" a="1"/>
  <c r="AG32" i="5" a="1"/>
  <c r="AY32" i="5" a="1"/>
  <c r="BH32" i="5" a="1"/>
  <c r="X32" i="5" a="1"/>
  <c r="AI32" i="5" a="1"/>
  <c r="AS32" i="5" a="1"/>
  <c r="BD32" i="5" a="1"/>
  <c r="M32" i="5" a="1"/>
  <c r="Y32" i="5" a="1"/>
  <c r="AT32" i="5" a="1"/>
  <c r="BE32" i="5" a="1"/>
  <c r="AJ32" i="5" a="1"/>
  <c r="BF32" i="5" a="1"/>
  <c r="AK32" i="5" a="1"/>
  <c r="AV32" i="5" a="1"/>
  <c r="BG32" i="5" a="1"/>
  <c r="R32" i="5" a="1"/>
  <c r="AC32" i="5" a="1"/>
  <c r="G32" i="5" a="1"/>
  <c r="S32" i="5" a="1"/>
  <c r="AD32" i="5" a="1"/>
  <c r="AN32" i="5" a="1"/>
  <c r="BJ32" i="5" a="1"/>
  <c r="Q32" i="5" a="1"/>
  <c r="AM32" i="5" a="1"/>
  <c r="BI32" i="5" a="1"/>
  <c r="AP32" i="5" a="1"/>
  <c r="BK32" i="5" a="1"/>
  <c r="U32" i="5" a="1"/>
  <c r="AQ32" i="5" a="1"/>
  <c r="BM32" i="5" a="1"/>
  <c r="AA32" i="5" a="1"/>
  <c r="AX32" i="5" a="1"/>
  <c r="AR32" i="5" a="1"/>
  <c r="AZ32" i="5" a="1"/>
  <c r="H32" i="5" a="1"/>
  <c r="BN32" i="5" a="1"/>
  <c r="V32" i="5" a="1"/>
  <c r="AE32" i="5" a="1"/>
  <c r="AF32" i="5" a="1"/>
  <c r="BB32" i="5" a="1"/>
  <c r="AH32" i="5" a="1"/>
  <c r="E32" i="6"/>
  <c r="F28" i="5"/>
  <c r="F44" i="5"/>
  <c r="F23" i="5"/>
  <c r="F59" i="5"/>
  <c r="F99" i="5"/>
  <c r="F69" i="5"/>
  <c r="F15" i="5"/>
  <c r="F97" i="5"/>
  <c r="F83" i="5"/>
  <c r="F52" i="5"/>
  <c r="BM52" i="6" s="1"/>
  <c r="P87" i="6"/>
  <c r="F87" i="6"/>
  <c r="W87" i="6"/>
  <c r="AP87" i="6"/>
  <c r="AM87" i="6"/>
  <c r="AV87" i="6"/>
  <c r="AH87" i="6"/>
  <c r="BD87" i="6"/>
  <c r="V87" i="6"/>
  <c r="BH87" i="6"/>
  <c r="AO87" i="6"/>
  <c r="I87" i="6"/>
  <c r="AR87" i="6"/>
  <c r="Y87" i="6"/>
  <c r="AI87" i="6"/>
  <c r="U87" i="6"/>
  <c r="H87" i="6"/>
  <c r="AS87" i="6"/>
  <c r="BL87" i="6"/>
  <c r="AJ87" i="6"/>
  <c r="AY87" i="6"/>
  <c r="AE87" i="6"/>
  <c r="AQ87" i="6"/>
  <c r="T87" i="6"/>
  <c r="X87" i="6"/>
  <c r="R87" i="6"/>
  <c r="BK58" i="6"/>
  <c r="AJ58" i="6"/>
  <c r="L58" i="6"/>
  <c r="AQ58" i="6"/>
  <c r="AH58" i="6"/>
  <c r="AO58" i="6"/>
  <c r="AE58" i="6"/>
  <c r="Z58" i="6"/>
  <c r="AC58" i="6"/>
  <c r="N58" i="6"/>
  <c r="BF58" i="6"/>
  <c r="G58" i="6"/>
  <c r="M58" i="6"/>
  <c r="BL58" i="6"/>
  <c r="BE58" i="6"/>
  <c r="BD58" i="6"/>
  <c r="F62" i="5"/>
  <c r="AL62" i="6" s="1"/>
  <c r="F95" i="5"/>
  <c r="H78" i="5" a="1"/>
  <c r="O78" i="5" a="1"/>
  <c r="V78" i="5" a="1"/>
  <c r="AL78" i="5" a="1"/>
  <c r="BA78" i="5" a="1"/>
  <c r="BI78" i="5" a="1"/>
  <c r="W78" i="5" a="1"/>
  <c r="AE78" i="5" a="1"/>
  <c r="I78" i="5" a="1"/>
  <c r="P78" i="5" a="1"/>
  <c r="AF78" i="5" a="1"/>
  <c r="AM78" i="5" a="1"/>
  <c r="Q78" i="5" a="1"/>
  <c r="Z78" i="5" a="1"/>
  <c r="AT78" i="5" a="1"/>
  <c r="BB78" i="5" a="1"/>
  <c r="BK78" i="5" a="1"/>
  <c r="G78" i="5" a="1"/>
  <c r="R78" i="5" a="1"/>
  <c r="AK78" i="5" a="1"/>
  <c r="AU78" i="5" a="1"/>
  <c r="AA78" i="5" a="1"/>
  <c r="AV78" i="5" a="1"/>
  <c r="BC78" i="5" a="1"/>
  <c r="BL78" i="5" a="1"/>
  <c r="J78" i="5" a="1"/>
  <c r="S78" i="5" a="1"/>
  <c r="AB78" i="5" a="1"/>
  <c r="AN78" i="5" a="1"/>
  <c r="BD78" i="5" a="1"/>
  <c r="BM78" i="5" a="1"/>
  <c r="L78" i="5" a="1"/>
  <c r="AP78" i="5" a="1"/>
  <c r="AX78" i="5" a="1"/>
  <c r="U78" i="5" a="1"/>
  <c r="AG78" i="5" a="1"/>
  <c r="AQ78" i="5" a="1"/>
  <c r="BF78" i="5" a="1"/>
  <c r="K78" i="5" a="1"/>
  <c r="AC78" i="5" a="1"/>
  <c r="AW78" i="5" a="1"/>
  <c r="AD78" i="5" a="1"/>
  <c r="BN78" i="5" a="1"/>
  <c r="M78" i="5" a="1"/>
  <c r="AH78" i="5" a="1"/>
  <c r="AY78" i="5" a="1"/>
  <c r="AI78" i="5" a="1"/>
  <c r="Y78" i="5" a="1"/>
  <c r="BE78" i="5" a="1"/>
  <c r="BG78" i="5" a="1"/>
  <c r="N78" i="5" a="1"/>
  <c r="AR78" i="5" a="1"/>
  <c r="BH78" i="5" a="1"/>
  <c r="BJ78" i="5" a="1"/>
  <c r="T78" i="5" a="1"/>
  <c r="AO78" i="5" a="1"/>
  <c r="AS78" i="5" a="1"/>
  <c r="AZ78" i="5" a="1"/>
  <c r="X78" i="5" a="1"/>
  <c r="E78" i="6"/>
  <c r="AJ78" i="5" a="1"/>
  <c r="H55" i="5" a="1"/>
  <c r="O55" i="5" a="1"/>
  <c r="W55" i="5" a="1"/>
  <c r="AD55" i="5" a="1"/>
  <c r="AK55" i="5" a="1"/>
  <c r="BG55" i="5" a="1"/>
  <c r="BN55" i="5" a="1"/>
  <c r="R55" i="5" a="1"/>
  <c r="AF55" i="5" a="1"/>
  <c r="AM55" i="5" a="1"/>
  <c r="AT55" i="5" a="1"/>
  <c r="BA55" i="5" a="1"/>
  <c r="BI55" i="5" a="1"/>
  <c r="J55" i="5" a="1"/>
  <c r="T55" i="5" a="1"/>
  <c r="AS55" i="5" a="1"/>
  <c r="BK55" i="5" a="1"/>
  <c r="AB55" i="5" a="1"/>
  <c r="AJ55" i="5" a="1"/>
  <c r="BB55" i="5" a="1"/>
  <c r="K55" i="5" a="1"/>
  <c r="U55" i="5" a="1"/>
  <c r="AC55" i="5" a="1"/>
  <c r="AL55" i="5" a="1"/>
  <c r="BC55" i="5" a="1"/>
  <c r="BL55" i="5" a="1"/>
  <c r="L55" i="5" a="1"/>
  <c r="AU55" i="5" a="1"/>
  <c r="BD55" i="5" a="1"/>
  <c r="N55" i="5" a="1"/>
  <c r="BF55" i="5" a="1"/>
  <c r="X55" i="5" a="1"/>
  <c r="AG55" i="5" a="1"/>
  <c r="AO55" i="5" a="1"/>
  <c r="AW55" i="5" a="1"/>
  <c r="V55" i="5" a="1"/>
  <c r="AN55" i="5" a="1"/>
  <c r="BE55" i="5" a="1"/>
  <c r="Y55" i="5" a="1"/>
  <c r="AP55" i="5" a="1"/>
  <c r="BH55" i="5" a="1"/>
  <c r="Z55" i="5" a="1"/>
  <c r="AV55" i="5" a="1"/>
  <c r="AA55" i="5" a="1"/>
  <c r="AX55" i="5" a="1"/>
  <c r="G55" i="5" a="1"/>
  <c r="AY55" i="5" a="1"/>
  <c r="AH55" i="5" a="1"/>
  <c r="M55" i="5" a="1"/>
  <c r="BJ55" i="5" a="1"/>
  <c r="P55" i="5" a="1"/>
  <c r="AI55" i="5" a="1"/>
  <c r="I55" i="5" a="1"/>
  <c r="Q55" i="5" a="1"/>
  <c r="S55" i="5" a="1"/>
  <c r="BM55" i="5" a="1"/>
  <c r="AE55" i="5" a="1"/>
  <c r="AQ55" i="5" a="1"/>
  <c r="AR55" i="5" a="1"/>
  <c r="AZ55" i="5" a="1"/>
  <c r="E55" i="6"/>
  <c r="AI75" i="6"/>
  <c r="BL75" i="6"/>
  <c r="AO75" i="6"/>
  <c r="N90" i="5" a="1"/>
  <c r="V90" i="5" a="1"/>
  <c r="AC90" i="5" a="1"/>
  <c r="BA90" i="5" a="1"/>
  <c r="BJ90" i="5" a="1"/>
  <c r="L90" i="5" a="1"/>
  <c r="T90" i="5" a="1"/>
  <c r="AB90" i="5" a="1"/>
  <c r="AJ90" i="5" a="1"/>
  <c r="AS90" i="5" a="1"/>
  <c r="AK90" i="5" a="1"/>
  <c r="AT90" i="5" a="1"/>
  <c r="BC90" i="5" a="1"/>
  <c r="BM90" i="5" a="1"/>
  <c r="M90" i="5" a="1"/>
  <c r="U90" i="5" a="1"/>
  <c r="AL90" i="5" a="1"/>
  <c r="AU90" i="5" a="1"/>
  <c r="BD90" i="5" a="1"/>
  <c r="P90" i="5" a="1"/>
  <c r="AE90" i="5" a="1"/>
  <c r="AN90" i="5" a="1"/>
  <c r="AW90" i="5" a="1"/>
  <c r="BF90" i="5" a="1"/>
  <c r="G90" i="5" a="1"/>
  <c r="X90" i="5" a="1"/>
  <c r="AO90" i="5" a="1"/>
  <c r="BG90" i="5" a="1"/>
  <c r="J90" i="5" a="1"/>
  <c r="AM90" i="5" a="1"/>
  <c r="BB90" i="5" a="1"/>
  <c r="K90" i="5" a="1"/>
  <c r="Z90" i="5" a="1"/>
  <c r="AP90" i="5" a="1"/>
  <c r="BE90" i="5" a="1"/>
  <c r="W90" i="5" a="1"/>
  <c r="BL90" i="5" a="1"/>
  <c r="Y90" i="5" a="1"/>
  <c r="AR90" i="5" a="1"/>
  <c r="BN90" i="5" a="1"/>
  <c r="AA90" i="5" a="1"/>
  <c r="AV90" i="5" a="1"/>
  <c r="Q90" i="5" a="1"/>
  <c r="AG90" i="5" a="1"/>
  <c r="AZ90" i="5" a="1"/>
  <c r="R90" i="5" a="1"/>
  <c r="AH90" i="5" a="1"/>
  <c r="I90" i="5" a="1"/>
  <c r="AQ90" i="5" a="1"/>
  <c r="O90" i="5" a="1"/>
  <c r="AX90" i="5" a="1"/>
  <c r="AD90" i="5" a="1"/>
  <c r="BK90" i="5" a="1"/>
  <c r="H90" i="5" a="1"/>
  <c r="AI90" i="5" a="1"/>
  <c r="AY90" i="5" a="1"/>
  <c r="BH90" i="5" a="1"/>
  <c r="BI90" i="5" a="1"/>
  <c r="S90" i="5" a="1"/>
  <c r="E90" i="6"/>
  <c r="AF90" i="5" a="1"/>
  <c r="O72" i="5" a="1"/>
  <c r="W72" i="5" a="1"/>
  <c r="AL72" i="5" a="1"/>
  <c r="H72" i="5" a="1"/>
  <c r="AF72" i="5" a="1"/>
  <c r="AM72" i="5" a="1"/>
  <c r="AT72" i="5" a="1"/>
  <c r="BB72" i="5" a="1"/>
  <c r="BJ72" i="5" a="1"/>
  <c r="K72" i="5" a="1"/>
  <c r="AA72" i="5" a="1"/>
  <c r="AI72" i="5" a="1"/>
  <c r="AP72" i="5" a="1"/>
  <c r="BF72" i="5" a="1"/>
  <c r="BM72" i="5" a="1"/>
  <c r="P72" i="5" a="1"/>
  <c r="Z72" i="5" a="1"/>
  <c r="AU72" i="5" a="1"/>
  <c r="BE72" i="5" a="1"/>
  <c r="Q72" i="5" a="1"/>
  <c r="AB72" i="5" a="1"/>
  <c r="AK72" i="5" a="1"/>
  <c r="BG72" i="5" a="1"/>
  <c r="G72" i="5" a="1"/>
  <c r="AC72" i="5" a="1"/>
  <c r="AV72" i="5" a="1"/>
  <c r="M72" i="5" a="1"/>
  <c r="N72" i="5" a="1"/>
  <c r="AD72" i="5" a="1"/>
  <c r="BC72" i="5" a="1"/>
  <c r="AE72" i="5" a="1"/>
  <c r="AQ72" i="5" a="1"/>
  <c r="BD72" i="5" a="1"/>
  <c r="R72" i="5" a="1"/>
  <c r="AR72" i="5" a="1"/>
  <c r="BH72" i="5" a="1"/>
  <c r="T72" i="5" a="1"/>
  <c r="AH72" i="5" a="1"/>
  <c r="AW72" i="5" a="1"/>
  <c r="I72" i="5" a="1"/>
  <c r="U72" i="5" a="1"/>
  <c r="AX72" i="5" a="1"/>
  <c r="BK72" i="5" a="1"/>
  <c r="V72" i="5" a="1"/>
  <c r="AJ72" i="5" a="1"/>
  <c r="AZ72" i="5" a="1"/>
  <c r="X72" i="5" a="1"/>
  <c r="BA72" i="5" a="1"/>
  <c r="Y72" i="5" a="1"/>
  <c r="BI72" i="5" a="1"/>
  <c r="L72" i="5" a="1"/>
  <c r="BN72" i="5" a="1"/>
  <c r="S72" i="5" a="1"/>
  <c r="AG72" i="5" a="1"/>
  <c r="AO72" i="5" a="1"/>
  <c r="BL72" i="5" a="1"/>
  <c r="AN72" i="5" a="1"/>
  <c r="AS72" i="5" a="1"/>
  <c r="J72" i="5" a="1"/>
  <c r="AY72" i="5" a="1"/>
  <c r="E72" i="6"/>
  <c r="J135" i="5" a="1"/>
  <c r="AN135" i="5" a="1"/>
  <c r="AU135" i="5" a="1"/>
  <c r="BJ135" i="5" a="1"/>
  <c r="R135" i="5" a="1"/>
  <c r="Y135" i="5" a="1"/>
  <c r="AG135" i="5" a="1"/>
  <c r="BC135" i="5" a="1"/>
  <c r="K135" i="5" a="1"/>
  <c r="Z135" i="5" a="1"/>
  <c r="AH135" i="5" a="1"/>
  <c r="AO135" i="5" a="1"/>
  <c r="AV135" i="5" a="1"/>
  <c r="BD135" i="5" a="1"/>
  <c r="BK135" i="5" a="1"/>
  <c r="M135" i="5" a="1"/>
  <c r="U135" i="5" a="1"/>
  <c r="AJ135" i="5" a="1"/>
  <c r="AQ135" i="5" a="1"/>
  <c r="N135" i="5" a="1"/>
  <c r="V135" i="5" a="1"/>
  <c r="AC135" i="5" a="1"/>
  <c r="AR135" i="5" a="1"/>
  <c r="AY135" i="5" a="1"/>
  <c r="BG135" i="5" a="1"/>
  <c r="BN135" i="5" a="1"/>
  <c r="P135" i="5" a="1"/>
  <c r="AP135" i="5" a="1"/>
  <c r="BB135" i="5" a="1"/>
  <c r="Q135" i="5" a="1"/>
  <c r="AD135" i="5" a="1"/>
  <c r="I135" i="5" a="1"/>
  <c r="W135" i="5" a="1"/>
  <c r="AK135" i="5" a="1"/>
  <c r="AW135" i="5" a="1"/>
  <c r="BI135" i="5" a="1"/>
  <c r="S135" i="5" a="1"/>
  <c r="AL135" i="5" a="1"/>
  <c r="BE135" i="5" a="1"/>
  <c r="T135" i="5" a="1"/>
  <c r="BF135" i="5" a="1"/>
  <c r="AM135" i="5" a="1"/>
  <c r="H135" i="5" a="1"/>
  <c r="AA135" i="5" a="1"/>
  <c r="AT135" i="5" a="1"/>
  <c r="BM135" i="5" a="1"/>
  <c r="AE135" i="5" a="1"/>
  <c r="BH135" i="5" a="1"/>
  <c r="AF135" i="5" a="1"/>
  <c r="BL135" i="5" a="1"/>
  <c r="AS135" i="5" a="1"/>
  <c r="O135" i="5" a="1"/>
  <c r="AX135" i="5" a="1"/>
  <c r="X135" i="5" a="1"/>
  <c r="AZ135" i="5" a="1"/>
  <c r="G135" i="5" a="1"/>
  <c r="L135" i="5" a="1"/>
  <c r="AB135" i="5" a="1"/>
  <c r="AI135" i="5" a="1"/>
  <c r="BA135" i="5" a="1"/>
  <c r="E135" i="6"/>
  <c r="N48" i="5" a="1"/>
  <c r="Q48" i="5" a="1"/>
  <c r="AM48" i="5" a="1"/>
  <c r="AU48" i="5" a="1"/>
  <c r="BC48" i="5" a="1"/>
  <c r="BK48" i="5" a="1"/>
  <c r="H48" i="5" a="1"/>
  <c r="Y48" i="5" a="1"/>
  <c r="AF48" i="5" a="1"/>
  <c r="AN48" i="5" a="1"/>
  <c r="BD48" i="5" a="1"/>
  <c r="BL48" i="5" a="1"/>
  <c r="K48" i="5" a="1"/>
  <c r="S48" i="5" a="1"/>
  <c r="AA48" i="5" a="1"/>
  <c r="R48" i="5" a="1"/>
  <c r="AK48" i="5" a="1"/>
  <c r="AV48" i="5" a="1"/>
  <c r="AC48" i="5" a="1"/>
  <c r="AW48" i="5" a="1"/>
  <c r="BH48" i="5" a="1"/>
  <c r="G48" i="5" a="1"/>
  <c r="T48" i="5" a="1"/>
  <c r="AL48" i="5" a="1"/>
  <c r="AX48" i="5" a="1"/>
  <c r="I48" i="5" a="1"/>
  <c r="U48" i="5" a="1"/>
  <c r="AD48" i="5" a="1"/>
  <c r="AY48" i="5" a="1"/>
  <c r="BI48" i="5" a="1"/>
  <c r="L48" i="5" a="1"/>
  <c r="W48" i="5" a="1"/>
  <c r="AG48" i="5" a="1"/>
  <c r="AQ48" i="5" a="1"/>
  <c r="BA48" i="5" a="1"/>
  <c r="M48" i="5" a="1"/>
  <c r="AH48" i="5" a="1"/>
  <c r="BM48" i="5" a="1"/>
  <c r="V48" i="5" a="1"/>
  <c r="AO48" i="5" a="1"/>
  <c r="AP48" i="5" a="1"/>
  <c r="BJ48" i="5" a="1"/>
  <c r="X48" i="5" a="1"/>
  <c r="AR48" i="5" a="1"/>
  <c r="BN48" i="5" a="1"/>
  <c r="J48" i="5" a="1"/>
  <c r="AJ48" i="5" a="1"/>
  <c r="O48" i="5" a="1"/>
  <c r="AS48" i="5" a="1"/>
  <c r="AZ48" i="5" a="1"/>
  <c r="Z48" i="5" a="1"/>
  <c r="AB48" i="5" a="1"/>
  <c r="BB48" i="5" a="1"/>
  <c r="BE48" i="5" a="1"/>
  <c r="BF48" i="5" a="1"/>
  <c r="BG48" i="5" a="1"/>
  <c r="P48" i="5" a="1"/>
  <c r="AE48" i="5" a="1"/>
  <c r="AT48" i="5" a="1"/>
  <c r="E48" i="6"/>
  <c r="AI48" i="5" a="1"/>
  <c r="J49" i="5" a="1"/>
  <c r="AF49" i="5" a="1"/>
  <c r="AM49" i="5" a="1"/>
  <c r="BC49" i="5" a="1"/>
  <c r="BK49" i="5" a="1"/>
  <c r="K49" i="5" a="1"/>
  <c r="R49" i="5" a="1"/>
  <c r="Y49" i="5" a="1"/>
  <c r="AN49" i="5" a="1"/>
  <c r="AV49" i="5" a="1"/>
  <c r="BD49" i="5" a="1"/>
  <c r="BL49" i="5" a="1"/>
  <c r="AA49" i="5" a="1"/>
  <c r="AI49" i="5" a="1"/>
  <c r="AX49" i="5" a="1"/>
  <c r="BF49" i="5" a="1"/>
  <c r="BN49" i="5" a="1"/>
  <c r="H49" i="5" a="1"/>
  <c r="AC49" i="5" a="1"/>
  <c r="AW49" i="5" a="1"/>
  <c r="S49" i="5" a="1"/>
  <c r="AL49" i="5" a="1"/>
  <c r="BH49" i="5" a="1"/>
  <c r="I49" i="5" a="1"/>
  <c r="T49" i="5" a="1"/>
  <c r="AD49" i="5" a="1"/>
  <c r="AO49" i="5" a="1"/>
  <c r="AY49" i="5" a="1"/>
  <c r="BI49" i="5" a="1"/>
  <c r="W49" i="5" a="1"/>
  <c r="AG49" i="5" a="1"/>
  <c r="BM49" i="5" a="1"/>
  <c r="N49" i="5" a="1"/>
  <c r="AH49" i="5" a="1"/>
  <c r="AR49" i="5" a="1"/>
  <c r="BB49" i="5" a="1"/>
  <c r="U49" i="5" a="1"/>
  <c r="AP49" i="5" a="1"/>
  <c r="V49" i="5" a="1"/>
  <c r="AQ49" i="5" a="1"/>
  <c r="BJ49" i="5" a="1"/>
  <c r="X49" i="5" a="1"/>
  <c r="AE49" i="5" a="1"/>
  <c r="G49" i="5" a="1"/>
  <c r="BE49" i="5" a="1"/>
  <c r="BG49" i="5" a="1"/>
  <c r="L49" i="5" a="1"/>
  <c r="AJ49" i="5" a="1"/>
  <c r="O49" i="5" a="1"/>
  <c r="AS49" i="5" a="1"/>
  <c r="P49" i="5" a="1"/>
  <c r="AT49" i="5" a="1"/>
  <c r="Q49" i="5" a="1"/>
  <c r="AU49" i="5" a="1"/>
  <c r="M49" i="5" a="1"/>
  <c r="Z49" i="5" a="1"/>
  <c r="AB49" i="5" a="1"/>
  <c r="AZ49" i="5" a="1"/>
  <c r="BA49" i="5" a="1"/>
  <c r="AK49" i="5" a="1"/>
  <c r="E49" i="6"/>
  <c r="F140" i="5"/>
  <c r="F147" i="5"/>
  <c r="F80" i="5"/>
  <c r="M142" i="5" a="1"/>
  <c r="AL142" i="5" a="1"/>
  <c r="N142" i="5" a="1"/>
  <c r="V142" i="5" a="1"/>
  <c r="AD142" i="5" a="1"/>
  <c r="AM142" i="5" a="1"/>
  <c r="AU142" i="5" a="1"/>
  <c r="BC142" i="5" a="1"/>
  <c r="BL142" i="5" a="1"/>
  <c r="G142" i="5" a="1"/>
  <c r="O142" i="5" a="1"/>
  <c r="W142" i="5" a="1"/>
  <c r="AE142" i="5" a="1"/>
  <c r="BD142" i="5" a="1"/>
  <c r="J142" i="5" a="1"/>
  <c r="Y142" i="5" a="1"/>
  <c r="AP142" i="5" a="1"/>
  <c r="BH142" i="5" a="1"/>
  <c r="R142" i="5" a="1"/>
  <c r="Z142" i="5" a="1"/>
  <c r="AH142" i="5" a="1"/>
  <c r="AY142" i="5" a="1"/>
  <c r="T142" i="5" a="1"/>
  <c r="AG142" i="5" a="1"/>
  <c r="AV142" i="5" a="1"/>
  <c r="H142" i="5" a="1"/>
  <c r="AW142" i="5" a="1"/>
  <c r="BK142" i="5" a="1"/>
  <c r="L142" i="5" a="1"/>
  <c r="AO142" i="5" a="1"/>
  <c r="BB142" i="5" a="1"/>
  <c r="AA142" i="5" a="1"/>
  <c r="BE142" i="5" a="1"/>
  <c r="P142" i="5" a="1"/>
  <c r="AI142" i="5" a="1"/>
  <c r="BF142" i="5" a="1"/>
  <c r="AJ142" i="5" a="1"/>
  <c r="BG142" i="5" a="1"/>
  <c r="Q142" i="5" a="1"/>
  <c r="AK142" i="5" a="1"/>
  <c r="BI142" i="5" a="1"/>
  <c r="X142" i="5" a="1"/>
  <c r="AS142" i="5" a="1"/>
  <c r="AB142" i="5" a="1"/>
  <c r="BJ142" i="5" a="1"/>
  <c r="AC142" i="5" a="1"/>
  <c r="BM142" i="5" a="1"/>
  <c r="K142" i="5" a="1"/>
  <c r="AR142" i="5" a="1"/>
  <c r="AT142" i="5" a="1"/>
  <c r="S142" i="5" a="1"/>
  <c r="AX142" i="5" a="1"/>
  <c r="U142" i="5" a="1"/>
  <c r="BN142" i="5" a="1"/>
  <c r="I142" i="5" a="1"/>
  <c r="AF142" i="5" a="1"/>
  <c r="AQ142" i="5" a="1"/>
  <c r="AZ142" i="5" a="1"/>
  <c r="AN142" i="5" a="1"/>
  <c r="BA142" i="5" a="1"/>
  <c r="E142" i="6"/>
  <c r="K137" i="5" a="1"/>
  <c r="AH137" i="5" a="1"/>
  <c r="AP137" i="5" a="1"/>
  <c r="AX137" i="5" a="1"/>
  <c r="BN137" i="5" a="1"/>
  <c r="L137" i="5" a="1"/>
  <c r="S137" i="5" a="1"/>
  <c r="AA137" i="5" a="1"/>
  <c r="AY137" i="5" a="1"/>
  <c r="BG137" i="5" a="1"/>
  <c r="T137" i="5" a="1"/>
  <c r="AB137" i="5" a="1"/>
  <c r="AI137" i="5" a="1"/>
  <c r="AQ137" i="5" a="1"/>
  <c r="BH137" i="5" a="1"/>
  <c r="G137" i="5" a="1"/>
  <c r="O137" i="5" a="1"/>
  <c r="AL137" i="5" a="1"/>
  <c r="AT137" i="5" a="1"/>
  <c r="BB137" i="5" a="1"/>
  <c r="H137" i="5" a="1"/>
  <c r="W137" i="5" a="1"/>
  <c r="AE137" i="5" a="1"/>
  <c r="AM137" i="5" a="1"/>
  <c r="BK137" i="5" a="1"/>
  <c r="N137" i="5" a="1"/>
  <c r="Z137" i="5" a="1"/>
  <c r="AN137" i="5" a="1"/>
  <c r="BA137" i="5" a="1"/>
  <c r="BC137" i="5" a="1"/>
  <c r="U137" i="5" a="1"/>
  <c r="AG137" i="5" a="1"/>
  <c r="AU137" i="5" a="1"/>
  <c r="BI137" i="5" a="1"/>
  <c r="AV137" i="5" a="1"/>
  <c r="BJ137" i="5" a="1"/>
  <c r="P137" i="5" a="1"/>
  <c r="AJ137" i="5" a="1"/>
  <c r="BD137" i="5" a="1"/>
  <c r="BE137" i="5" a="1"/>
  <c r="Q137" i="5" a="1"/>
  <c r="AK137" i="5" a="1"/>
  <c r="BF137" i="5" a="1"/>
  <c r="AC137" i="5" a="1"/>
  <c r="AD137" i="5" a="1"/>
  <c r="AR137" i="5" a="1"/>
  <c r="M137" i="5" a="1"/>
  <c r="AS137" i="5" a="1"/>
  <c r="R137" i="5" a="1"/>
  <c r="V137" i="5" a="1"/>
  <c r="AW137" i="5" a="1"/>
  <c r="BL137" i="5" a="1"/>
  <c r="BM137" i="5" a="1"/>
  <c r="I137" i="5" a="1"/>
  <c r="J137" i="5" a="1"/>
  <c r="Y137" i="5" a="1"/>
  <c r="X137" i="5" a="1"/>
  <c r="E137" i="6"/>
  <c r="AF137" i="5" a="1"/>
  <c r="AZ137" i="5" a="1"/>
  <c r="AO137" i="5" a="1"/>
  <c r="U130" i="5" a="1"/>
  <c r="AC130" i="5" a="1"/>
  <c r="AK130" i="5" a="1"/>
  <c r="AT130" i="5" a="1"/>
  <c r="BB130" i="5" a="1"/>
  <c r="I130" i="5" a="1"/>
  <c r="X130" i="5" a="1"/>
  <c r="AG130" i="5" a="1"/>
  <c r="AP130" i="5" a="1"/>
  <c r="AX130" i="5" a="1"/>
  <c r="BG130" i="5" a="1"/>
  <c r="Q130" i="5" a="1"/>
  <c r="Y130" i="5" a="1"/>
  <c r="AH130" i="5" a="1"/>
  <c r="AY130" i="5" a="1"/>
  <c r="BH130" i="5" a="1"/>
  <c r="N130" i="5" a="1"/>
  <c r="AJ130" i="5" a="1"/>
  <c r="Z130" i="5" a="1"/>
  <c r="AV130" i="5" a="1"/>
  <c r="O130" i="5" a="1"/>
  <c r="AA130" i="5" a="1"/>
  <c r="AL130" i="5" a="1"/>
  <c r="BI130" i="5" a="1"/>
  <c r="S130" i="5" a="1"/>
  <c r="AD130" i="5" a="1"/>
  <c r="AO130" i="5" a="1"/>
  <c r="BA130" i="5" a="1"/>
  <c r="BM130" i="5" a="1"/>
  <c r="J130" i="5" a="1"/>
  <c r="T130" i="5" a="1"/>
  <c r="AQ130" i="5" a="1"/>
  <c r="BN130" i="5" a="1"/>
  <c r="R130" i="5" a="1"/>
  <c r="BD130" i="5" a="1"/>
  <c r="AM130" i="5" a="1"/>
  <c r="BE130" i="5" a="1"/>
  <c r="H130" i="5" a="1"/>
  <c r="AS130" i="5" a="1"/>
  <c r="K130" i="5" a="1"/>
  <c r="AB130" i="5" a="1"/>
  <c r="AU130" i="5" a="1"/>
  <c r="AN130" i="5" a="1"/>
  <c r="L130" i="5" a="1"/>
  <c r="M130" i="5" a="1"/>
  <c r="AR130" i="5" a="1"/>
  <c r="AZ130" i="5" a="1"/>
  <c r="P130" i="5" a="1"/>
  <c r="BF130" i="5" a="1"/>
  <c r="BJ130" i="5" a="1"/>
  <c r="AF130" i="5" a="1"/>
  <c r="AI130" i="5" a="1"/>
  <c r="AW130" i="5" a="1"/>
  <c r="V130" i="5" a="1"/>
  <c r="W130" i="5" a="1"/>
  <c r="AE130" i="5" a="1"/>
  <c r="BC130" i="5" a="1"/>
  <c r="BK130" i="5" a="1"/>
  <c r="G130" i="5" a="1"/>
  <c r="BL130" i="5" a="1"/>
  <c r="E130" i="6"/>
  <c r="F109" i="5"/>
  <c r="F82" i="5"/>
  <c r="F119" i="5"/>
  <c r="F5" i="5"/>
  <c r="F107" i="5"/>
  <c r="F122" i="5"/>
  <c r="F94" i="5"/>
  <c r="F63" i="5"/>
  <c r="BI63" i="6" s="1"/>
  <c r="F92" i="5"/>
  <c r="F65" i="5"/>
  <c r="F128" i="5"/>
  <c r="BD128" i="6" s="1"/>
  <c r="F24" i="5"/>
  <c r="F98" i="5"/>
  <c r="F67" i="5"/>
  <c r="BA52" i="6"/>
  <c r="F70" i="5"/>
  <c r="BN34" i="6"/>
  <c r="AH34" i="6"/>
  <c r="F34" i="6"/>
  <c r="AW34" i="6"/>
  <c r="Y34" i="6"/>
  <c r="Z34" i="6"/>
  <c r="AB34" i="6"/>
  <c r="AZ34" i="6"/>
  <c r="N39" i="6"/>
  <c r="AA39" i="6"/>
  <c r="R39" i="6"/>
  <c r="AH39" i="6"/>
  <c r="AV39" i="6"/>
  <c r="AM39" i="6"/>
  <c r="AI39" i="6"/>
  <c r="BA39" i="6"/>
  <c r="AQ39" i="6"/>
  <c r="BM39" i="6"/>
  <c r="BI39" i="6"/>
  <c r="F39" i="6"/>
  <c r="W39" i="6"/>
  <c r="I39" i="6"/>
  <c r="S39" i="6"/>
  <c r="AP39" i="6"/>
  <c r="X39" i="6"/>
  <c r="AS39" i="6"/>
  <c r="AU39" i="6"/>
  <c r="M39" i="6"/>
  <c r="Y39" i="6"/>
  <c r="AT39" i="6"/>
  <c r="BE39" i="6"/>
  <c r="BJ39" i="6"/>
  <c r="K39" i="6"/>
  <c r="AB39" i="6"/>
  <c r="AL39" i="6"/>
  <c r="Q39" i="6"/>
  <c r="BL39" i="6"/>
  <c r="AW39" i="6"/>
  <c r="AF39" i="6"/>
  <c r="H39" i="6"/>
  <c r="BB39" i="6"/>
  <c r="BK39" i="6"/>
  <c r="AE39" i="6"/>
  <c r="AD39" i="6"/>
  <c r="V39" i="6"/>
  <c r="BN39" i="6"/>
  <c r="BC39" i="6"/>
  <c r="G39" i="6"/>
  <c r="J39" i="6"/>
  <c r="AR39" i="6"/>
  <c r="U39" i="6"/>
  <c r="AG39" i="6"/>
  <c r="AX39" i="6"/>
  <c r="BG39" i="6"/>
  <c r="AK39" i="6"/>
  <c r="BH39" i="6"/>
  <c r="AN39" i="6"/>
  <c r="T39" i="6"/>
  <c r="AY39" i="6"/>
  <c r="N42" i="5" a="1"/>
  <c r="AA42" i="5" a="1"/>
  <c r="AH42" i="5" a="1"/>
  <c r="AO42" i="5" a="1"/>
  <c r="BB42" i="5" a="1"/>
  <c r="H42" i="5" a="1"/>
  <c r="U42" i="5" a="1"/>
  <c r="AI42" i="5" a="1"/>
  <c r="AV42" i="5" a="1"/>
  <c r="BI42" i="5" a="1"/>
  <c r="O42" i="5" a="1"/>
  <c r="AB42" i="5" a="1"/>
  <c r="AP42" i="5" a="1"/>
  <c r="BC42" i="5" a="1"/>
  <c r="I42" i="5" a="1"/>
  <c r="V42" i="5" a="1"/>
  <c r="AC42" i="5" a="1"/>
  <c r="AJ42" i="5" a="1"/>
  <c r="K42" i="5" a="1"/>
  <c r="X42" i="5" a="1"/>
  <c r="AR42" i="5" a="1"/>
  <c r="BE42" i="5" a="1"/>
  <c r="BL42" i="5" a="1"/>
  <c r="R42" i="5" a="1"/>
  <c r="AE42" i="5" a="1"/>
  <c r="AL42" i="5" a="1"/>
  <c r="AY42" i="5" a="1"/>
  <c r="BM42" i="5" a="1"/>
  <c r="P42" i="5" a="1"/>
  <c r="BA42" i="5" a="1"/>
  <c r="Q42" i="5" a="1"/>
  <c r="AD42" i="5" a="1"/>
  <c r="AQ42" i="5" a="1"/>
  <c r="BN42" i="5" a="1"/>
  <c r="S42" i="5" a="1"/>
  <c r="AF42" i="5" a="1"/>
  <c r="AS42" i="5" a="1"/>
  <c r="BD42" i="5" a="1"/>
  <c r="W42" i="5" a="1"/>
  <c r="AU42" i="5" a="1"/>
  <c r="BG42" i="5" a="1"/>
  <c r="J42" i="5" a="1"/>
  <c r="AK42" i="5" a="1"/>
  <c r="AW42" i="5" a="1"/>
  <c r="G42" i="5" a="1"/>
  <c r="AG42" i="5" a="1"/>
  <c r="BF42" i="5" a="1"/>
  <c r="L42" i="5" a="1"/>
  <c r="BH42" i="5" a="1"/>
  <c r="AM42" i="5" a="1"/>
  <c r="BJ42" i="5" a="1"/>
  <c r="T42" i="5" a="1"/>
  <c r="AT42" i="5" a="1"/>
  <c r="M42" i="5" a="1"/>
  <c r="BK42" i="5" a="1"/>
  <c r="Y42" i="5" a="1"/>
  <c r="Z42" i="5" a="1"/>
  <c r="AX42" i="5" a="1"/>
  <c r="AZ42" i="5" a="1"/>
  <c r="AN42" i="5" a="1"/>
  <c r="E42" i="6"/>
  <c r="W4" i="5" a="1"/>
  <c r="AK4" i="5" a="1"/>
  <c r="AR4" i="5" a="1"/>
  <c r="BE4" i="5" a="1"/>
  <c r="J4" i="5" a="1"/>
  <c r="Q4" i="5" a="1"/>
  <c r="X4" i="5" a="1"/>
  <c r="AE4" i="5" a="1"/>
  <c r="AY4" i="5" a="1"/>
  <c r="BL4" i="5" a="1"/>
  <c r="M4" i="5" a="1"/>
  <c r="T4" i="5" a="1"/>
  <c r="AN4" i="5" a="1"/>
  <c r="AU4" i="5" a="1"/>
  <c r="BB4" i="5" a="1"/>
  <c r="G4" i="5" a="1"/>
  <c r="Y4" i="5" a="1"/>
  <c r="AH4" i="5" a="1"/>
  <c r="AQ4" i="5" a="1"/>
  <c r="AZ4" i="5" a="1"/>
  <c r="BI4" i="5" a="1"/>
  <c r="V4" i="5" a="1"/>
  <c r="BJ4" i="5" a="1"/>
  <c r="O4" i="5" a="1"/>
  <c r="AI4" i="5" a="1"/>
  <c r="BC4" i="5" a="1"/>
  <c r="K4" i="5" a="1"/>
  <c r="AJ4" i="5" a="1"/>
  <c r="AV4" i="5" a="1"/>
  <c r="L4" i="5" a="1"/>
  <c r="BG4" i="5" a="1"/>
  <c r="AC4" i="5" a="1"/>
  <c r="AO4" i="5" a="1"/>
  <c r="BA4" i="5" a="1"/>
  <c r="BM4" i="5" a="1"/>
  <c r="S4" i="5" a="1"/>
  <c r="AD4" i="5" a="1"/>
  <c r="AP4" i="5" a="1"/>
  <c r="BN4" i="5" a="1"/>
  <c r="R4" i="5" a="1"/>
  <c r="BF4" i="5" a="1"/>
  <c r="H4" i="5" a="1"/>
  <c r="Z4" i="5" a="1"/>
  <c r="BH4" i="5" a="1"/>
  <c r="AX4" i="5" a="1"/>
  <c r="P4" i="5" a="1"/>
  <c r="AM4" i="5" a="1"/>
  <c r="BK4" i="5" a="1"/>
  <c r="AS4" i="5" a="1"/>
  <c r="AT4" i="5" a="1"/>
  <c r="I4" i="5" a="1"/>
  <c r="AW4" i="5" a="1"/>
  <c r="U4" i="5" a="1"/>
  <c r="AG4" i="5" a="1"/>
  <c r="AL4" i="5" a="1"/>
  <c r="N4" i="5" a="1"/>
  <c r="AA4" i="5" a="1"/>
  <c r="BD4" i="5" a="1"/>
  <c r="AB4" i="5" a="1"/>
  <c r="AF4" i="5" a="1"/>
  <c r="E4" i="6"/>
  <c r="F86" i="5"/>
  <c r="F101" i="5"/>
  <c r="F144" i="5"/>
  <c r="F134" i="5"/>
  <c r="F116" i="5"/>
  <c r="F2" i="5"/>
  <c r="F6" i="5"/>
  <c r="F50" i="5"/>
  <c r="F110" i="5"/>
  <c r="F51" i="5"/>
  <c r="BF51" i="6" s="1"/>
  <c r="F33" i="5"/>
  <c r="BL41" i="6"/>
  <c r="F68" i="5"/>
  <c r="G68" i="6" s="1"/>
  <c r="H54" i="5" a="1"/>
  <c r="U54" i="5" a="1"/>
  <c r="AB54" i="5" a="1"/>
  <c r="AO54" i="5" a="1"/>
  <c r="AV54" i="5" a="1"/>
  <c r="BI54" i="5" a="1"/>
  <c r="P54" i="5" a="1"/>
  <c r="W54" i="5" a="1"/>
  <c r="AD54" i="5" a="1"/>
  <c r="AQ54" i="5" a="1"/>
  <c r="BD54" i="5" a="1"/>
  <c r="AL54" i="5" a="1"/>
  <c r="BA54" i="5" a="1"/>
  <c r="N54" i="5" a="1"/>
  <c r="V54" i="5" a="1"/>
  <c r="AE54" i="5" a="1"/>
  <c r="AT54" i="5" a="1"/>
  <c r="BB54" i="5" a="1"/>
  <c r="BJ54" i="5" a="1"/>
  <c r="G54" i="5" a="1"/>
  <c r="O54" i="5" a="1"/>
  <c r="X54" i="5" a="1"/>
  <c r="AM54" i="5" a="1"/>
  <c r="BC54" i="5" a="1"/>
  <c r="BK54" i="5" a="1"/>
  <c r="AF54" i="5" a="1"/>
  <c r="AU54" i="5" a="1"/>
  <c r="J54" i="5" a="1"/>
  <c r="R54" i="5" a="1"/>
  <c r="Z54" i="5" a="1"/>
  <c r="AP54" i="5" a="1"/>
  <c r="AX54" i="5" a="1"/>
  <c r="BM54" i="5" a="1"/>
  <c r="AH54" i="5" a="1"/>
  <c r="BF54" i="5" a="1"/>
  <c r="BN54" i="5" a="1"/>
  <c r="BL54" i="5" a="1"/>
  <c r="Q54" i="5" a="1"/>
  <c r="AG54" i="5" a="1"/>
  <c r="AW54" i="5" a="1"/>
  <c r="S54" i="5" a="1"/>
  <c r="AI54" i="5" a="1"/>
  <c r="AY54" i="5" a="1"/>
  <c r="AN54" i="5" a="1"/>
  <c r="BG54" i="5" a="1"/>
  <c r="T54" i="5" a="1"/>
  <c r="BH54" i="5" a="1"/>
  <c r="Y54" i="5" a="1"/>
  <c r="AR54" i="5" a="1"/>
  <c r="I54" i="5" a="1"/>
  <c r="AZ54" i="5" a="1"/>
  <c r="K54" i="5" a="1"/>
  <c r="AC54" i="5" a="1"/>
  <c r="M54" i="5" a="1"/>
  <c r="AA54" i="5" a="1"/>
  <c r="AJ54" i="5" a="1"/>
  <c r="AS54" i="5" a="1"/>
  <c r="AK54" i="5" a="1"/>
  <c r="BE54" i="5" a="1"/>
  <c r="L54" i="5" a="1"/>
  <c r="E54" i="6"/>
  <c r="I84" i="5" a="1"/>
  <c r="Q84" i="5" a="1"/>
  <c r="X84" i="5" a="1"/>
  <c r="AE84" i="5" a="1"/>
  <c r="AL84" i="5" a="1"/>
  <c r="AS84" i="5" a="1"/>
  <c r="BG84" i="5" a="1"/>
  <c r="AK84" i="5" a="1"/>
  <c r="AZ84" i="5" a="1"/>
  <c r="BH84" i="5" a="1"/>
  <c r="N84" i="5" a="1"/>
  <c r="V84" i="5" a="1"/>
  <c r="AD84" i="5" a="1"/>
  <c r="BA84" i="5" a="1"/>
  <c r="G84" i="5" a="1"/>
  <c r="O84" i="5" a="1"/>
  <c r="W84" i="5" a="1"/>
  <c r="AT84" i="5" a="1"/>
  <c r="BI84" i="5" a="1"/>
  <c r="AM84" i="5" a="1"/>
  <c r="AU84" i="5" a="1"/>
  <c r="BB84" i="5" a="1"/>
  <c r="J84" i="5" a="1"/>
  <c r="R84" i="5" a="1"/>
  <c r="AO84" i="5" a="1"/>
  <c r="BD84" i="5" a="1"/>
  <c r="BK84" i="5" a="1"/>
  <c r="K84" i="5" a="1"/>
  <c r="Z84" i="5" a="1"/>
  <c r="AH84" i="5" a="1"/>
  <c r="AW84" i="5" a="1"/>
  <c r="H84" i="5" a="1"/>
  <c r="BC84" i="5" a="1"/>
  <c r="Y84" i="5" a="1"/>
  <c r="AN84" i="5" a="1"/>
  <c r="AP84" i="5" a="1"/>
  <c r="BE84" i="5" a="1"/>
  <c r="L84" i="5" a="1"/>
  <c r="AA84" i="5" a="1"/>
  <c r="AQ84" i="5" a="1"/>
  <c r="T84" i="5" a="1"/>
  <c r="BN84" i="5" a="1"/>
  <c r="U84" i="5" a="1"/>
  <c r="AV84" i="5" a="1"/>
  <c r="AB84" i="5" a="1"/>
  <c r="AI84" i="5" a="1"/>
  <c r="BF84" i="5" a="1"/>
  <c r="M84" i="5" a="1"/>
  <c r="AR84" i="5" a="1"/>
  <c r="AX84" i="5" a="1"/>
  <c r="AC84" i="5" a="1"/>
  <c r="BL84" i="5" a="1"/>
  <c r="AY84" i="5" a="1"/>
  <c r="BJ84" i="5" a="1"/>
  <c r="S84" i="5" a="1"/>
  <c r="AF84" i="5" a="1"/>
  <c r="AG84" i="5" a="1"/>
  <c r="AJ84" i="5" a="1"/>
  <c r="P84" i="5" a="1"/>
  <c r="BM84" i="5" a="1"/>
  <c r="E84" i="6"/>
  <c r="F141" i="5"/>
  <c r="F88" i="5"/>
  <c r="F117" i="5"/>
  <c r="F96" i="5"/>
  <c r="F89" i="5"/>
  <c r="AK25" i="6"/>
  <c r="AC25" i="6"/>
  <c r="AJ25" i="6"/>
  <c r="BH25" i="6"/>
  <c r="AT25" i="6"/>
  <c r="S102" i="7" l="1"/>
  <c r="T102" i="7" a="1"/>
  <c r="R102" i="7" a="1"/>
  <c r="N102" i="7"/>
  <c r="L103" i="7"/>
  <c r="BH22" i="6"/>
  <c r="R7" i="6"/>
  <c r="S75" i="6"/>
  <c r="AJ146" i="6"/>
  <c r="AV146" i="6"/>
  <c r="V146" i="6"/>
  <c r="AX146" i="6"/>
  <c r="AH146" i="6"/>
  <c r="F7" i="6"/>
  <c r="AL21" i="6"/>
  <c r="Y21" i="6"/>
  <c r="Y17" i="6"/>
  <c r="AR17" i="6"/>
  <c r="AB17" i="6"/>
  <c r="BL17" i="6"/>
  <c r="L17" i="6"/>
  <c r="U25" i="6"/>
  <c r="I75" i="6"/>
  <c r="BJ146" i="6"/>
  <c r="AF146" i="6"/>
  <c r="AW21" i="6"/>
  <c r="AI17" i="6"/>
  <c r="P17" i="6"/>
  <c r="AP17" i="6"/>
  <c r="J25" i="6"/>
  <c r="AO39" i="6"/>
  <c r="Z39" i="6"/>
  <c r="BD39" i="6"/>
  <c r="L39" i="6"/>
  <c r="AC39" i="6"/>
  <c r="M146" i="6"/>
  <c r="U146" i="6"/>
  <c r="AU146" i="6"/>
  <c r="AK146" i="6"/>
  <c r="H146" i="6"/>
  <c r="AN21" i="6"/>
  <c r="BC21" i="6"/>
  <c r="AE21" i="6"/>
  <c r="BG17" i="6"/>
  <c r="M17" i="6"/>
  <c r="U17" i="6"/>
  <c r="BK17" i="6"/>
  <c r="AD17" i="6"/>
  <c r="BN25" i="6"/>
  <c r="V75" i="6"/>
  <c r="AI21" i="6"/>
  <c r="AD21" i="6"/>
  <c r="I146" i="6"/>
  <c r="P146" i="6"/>
  <c r="AA146" i="6"/>
  <c r="AF21" i="6"/>
  <c r="AA17" i="6"/>
  <c r="AQ17" i="6"/>
  <c r="L25" i="6"/>
  <c r="O39" i="6"/>
  <c r="P39" i="6"/>
  <c r="AJ39" i="6"/>
  <c r="BF39" i="6"/>
  <c r="BD146" i="6"/>
  <c r="AR146" i="6"/>
  <c r="AS146" i="6"/>
  <c r="BL146" i="6"/>
  <c r="AW146" i="6"/>
  <c r="BN146" i="6"/>
  <c r="V21" i="6"/>
  <c r="AA21" i="6"/>
  <c r="AB21" i="6"/>
  <c r="S17" i="6"/>
  <c r="BD17" i="6"/>
  <c r="BI17" i="6"/>
  <c r="AU17" i="6"/>
  <c r="R17" i="6"/>
  <c r="AE146" i="6"/>
  <c r="Z146" i="6"/>
  <c r="T146" i="6"/>
  <c r="BB146" i="6"/>
  <c r="BJ21" i="6"/>
  <c r="T21" i="6"/>
  <c r="R21" i="6"/>
  <c r="AX17" i="6"/>
  <c r="AH17" i="6"/>
  <c r="AN17" i="6"/>
  <c r="AF17" i="6"/>
  <c r="BE91" i="6"/>
  <c r="AZ91" i="6"/>
  <c r="AE91" i="6"/>
  <c r="AN58" i="6"/>
  <c r="AM58" i="6"/>
  <c r="X58" i="6"/>
  <c r="AK58" i="6"/>
  <c r="AR58" i="6"/>
  <c r="I91" i="6"/>
  <c r="S91" i="6"/>
  <c r="AS91" i="6"/>
  <c r="AL91" i="6"/>
  <c r="AV91" i="6"/>
  <c r="J73" i="6"/>
  <c r="Z73" i="6"/>
  <c r="AY73" i="6"/>
  <c r="G73" i="6"/>
  <c r="N73" i="6"/>
  <c r="AC91" i="6"/>
  <c r="T91" i="6"/>
  <c r="AK91" i="6"/>
  <c r="BK91" i="6"/>
  <c r="AI91" i="6"/>
  <c r="Q91" i="6"/>
  <c r="AG73" i="6"/>
  <c r="BH73" i="6"/>
  <c r="Q73" i="6"/>
  <c r="AF73" i="6"/>
  <c r="W73" i="6"/>
  <c r="F58" i="6"/>
  <c r="F142" i="5"/>
  <c r="G142" i="6" s="1"/>
  <c r="T58" i="6"/>
  <c r="BI58" i="6"/>
  <c r="AI58" i="6"/>
  <c r="P58" i="6"/>
  <c r="BB58" i="6"/>
  <c r="AP91" i="6"/>
  <c r="AW91" i="6"/>
  <c r="BD91" i="6"/>
  <c r="P91" i="6"/>
  <c r="V91" i="6"/>
  <c r="AX73" i="6"/>
  <c r="BB73" i="6"/>
  <c r="AQ73" i="6"/>
  <c r="P73" i="6"/>
  <c r="F73" i="6"/>
  <c r="AM91" i="6"/>
  <c r="L91" i="6"/>
  <c r="AZ58" i="6"/>
  <c r="BH58" i="6"/>
  <c r="BN58" i="6"/>
  <c r="J58" i="6"/>
  <c r="I58" i="6"/>
  <c r="X91" i="6"/>
  <c r="H91" i="6"/>
  <c r="AJ91" i="6"/>
  <c r="AG91" i="6"/>
  <c r="J91" i="6"/>
  <c r="U73" i="6"/>
  <c r="AT73" i="6"/>
  <c r="M73" i="6"/>
  <c r="BM73" i="6"/>
  <c r="BD73" i="6"/>
  <c r="AN91" i="6"/>
  <c r="K91" i="6"/>
  <c r="AX91" i="6"/>
  <c r="AT91" i="6"/>
  <c r="BK73" i="6"/>
  <c r="R73" i="6"/>
  <c r="S73" i="6"/>
  <c r="BN73" i="6"/>
  <c r="BN91" i="6"/>
  <c r="M91" i="6"/>
  <c r="BC91" i="6"/>
  <c r="BA73" i="6"/>
  <c r="BI73" i="6"/>
  <c r="AR73" i="6"/>
  <c r="AW73" i="6"/>
  <c r="AO73" i="6"/>
  <c r="O58" i="6"/>
  <c r="AL58" i="6"/>
  <c r="R58" i="6"/>
  <c r="U58" i="6"/>
  <c r="AX58" i="6"/>
  <c r="AV58" i="6"/>
  <c r="BA58" i="6"/>
  <c r="AB58" i="6"/>
  <c r="W58" i="6"/>
  <c r="BA91" i="6"/>
  <c r="BI91" i="6"/>
  <c r="BL91" i="6"/>
  <c r="W91" i="6"/>
  <c r="Y91" i="6"/>
  <c r="AO51" i="6"/>
  <c r="AM73" i="6"/>
  <c r="AB73" i="6"/>
  <c r="AP73" i="6"/>
  <c r="AV73" i="6"/>
  <c r="AN73" i="6"/>
  <c r="AP58" i="6"/>
  <c r="AU58" i="6"/>
  <c r="AA58" i="6"/>
  <c r="K58" i="6"/>
  <c r="BG58" i="6"/>
  <c r="O91" i="6"/>
  <c r="AB91" i="6"/>
  <c r="F91" i="6"/>
  <c r="BH91" i="6"/>
  <c r="BM91" i="6"/>
  <c r="X73" i="6"/>
  <c r="AA73" i="6"/>
  <c r="L73" i="6"/>
  <c r="AE73" i="6"/>
  <c r="V73" i="6"/>
  <c r="V58" i="6"/>
  <c r="AS58" i="6"/>
  <c r="AG58" i="6"/>
  <c r="BM58" i="6"/>
  <c r="H58" i="6"/>
  <c r="N91" i="6"/>
  <c r="AU91" i="6"/>
  <c r="BJ91" i="6"/>
  <c r="Z91" i="6"/>
  <c r="BG91" i="6"/>
  <c r="AK73" i="6"/>
  <c r="BG73" i="6"/>
  <c r="AL73" i="6"/>
  <c r="O73" i="6"/>
  <c r="AZ73" i="6"/>
  <c r="R91" i="6"/>
  <c r="BF73" i="6"/>
  <c r="AW58" i="6"/>
  <c r="AY58" i="6"/>
  <c r="Q58" i="6"/>
  <c r="AD58" i="6"/>
  <c r="S58" i="6"/>
  <c r="AY91" i="6"/>
  <c r="AA91" i="6"/>
  <c r="G91" i="6"/>
  <c r="AD91" i="6"/>
  <c r="AO91" i="6"/>
  <c r="K73" i="6"/>
  <c r="AH73" i="6"/>
  <c r="H73" i="6"/>
  <c r="BL73" i="6"/>
  <c r="AJ73" i="6"/>
  <c r="F11" i="6"/>
  <c r="G11" i="6"/>
  <c r="H11" i="6"/>
  <c r="AF91" i="6"/>
  <c r="BF91" i="6"/>
  <c r="I73" i="6"/>
  <c r="BE73" i="6"/>
  <c r="BC73" i="6"/>
  <c r="BJ73" i="6"/>
  <c r="AU73" i="6"/>
  <c r="T73" i="6"/>
  <c r="BF111" i="6"/>
  <c r="AT58" i="6"/>
  <c r="Y58" i="6"/>
  <c r="AF58" i="6"/>
  <c r="BC58" i="6"/>
  <c r="U91" i="6"/>
  <c r="BB91" i="6"/>
  <c r="AH91" i="6"/>
  <c r="AQ91" i="6"/>
  <c r="Y73" i="6"/>
  <c r="AS73" i="6"/>
  <c r="AC73" i="6"/>
  <c r="AI73" i="6"/>
  <c r="S34" i="6"/>
  <c r="BG34" i="6"/>
  <c r="AB75" i="6"/>
  <c r="Y7" i="6"/>
  <c r="BJ34" i="6"/>
  <c r="Q25" i="6"/>
  <c r="AN25" i="6"/>
  <c r="BJ63" i="6"/>
  <c r="BM25" i="6"/>
  <c r="AL25" i="6"/>
  <c r="BB63" i="6"/>
  <c r="AD34" i="6"/>
  <c r="AC34" i="6"/>
  <c r="BB34" i="6"/>
  <c r="G75" i="6"/>
  <c r="AR7" i="6"/>
  <c r="AJ104" i="6"/>
  <c r="AM75" i="6"/>
  <c r="N25" i="6"/>
  <c r="AD25" i="6"/>
  <c r="AA25" i="6"/>
  <c r="AY34" i="6"/>
  <c r="AU34" i="6"/>
  <c r="AY75" i="6"/>
  <c r="AY7" i="6"/>
  <c r="Q34" i="6"/>
  <c r="AG25" i="6"/>
  <c r="BI25" i="6"/>
  <c r="G34" i="6"/>
  <c r="AQ34" i="6"/>
  <c r="Q75" i="6"/>
  <c r="AB7" i="6"/>
  <c r="V104" i="6"/>
  <c r="U34" i="6"/>
  <c r="AP25" i="6"/>
  <c r="AG34" i="6"/>
  <c r="K34" i="6"/>
  <c r="BC75" i="6"/>
  <c r="N104" i="6"/>
  <c r="AU7" i="6"/>
  <c r="AX25" i="6"/>
  <c r="BG25" i="6"/>
  <c r="AW25" i="6"/>
  <c r="T25" i="6"/>
  <c r="AO34" i="6"/>
  <c r="X34" i="6"/>
  <c r="AP75" i="6"/>
  <c r="AW104" i="6"/>
  <c r="AF7" i="6"/>
  <c r="J34" i="6"/>
  <c r="O75" i="6"/>
  <c r="Z7" i="6"/>
  <c r="BE25" i="6"/>
  <c r="AI25" i="6"/>
  <c r="BF75" i="6"/>
  <c r="S7" i="6"/>
  <c r="BK104" i="6"/>
  <c r="AP104" i="6"/>
  <c r="W104" i="6"/>
  <c r="BJ104" i="6"/>
  <c r="AQ104" i="6"/>
  <c r="I104" i="6"/>
  <c r="K7" i="6"/>
  <c r="BJ7" i="6"/>
  <c r="BC7" i="6"/>
  <c r="BH7" i="6"/>
  <c r="BA7" i="6"/>
  <c r="AQ25" i="6"/>
  <c r="AZ25" i="6"/>
  <c r="AF25" i="6"/>
  <c r="AE25" i="6"/>
  <c r="Y25" i="6"/>
  <c r="BC25" i="6"/>
  <c r="W25" i="6"/>
  <c r="BF25" i="6"/>
  <c r="AM25" i="6"/>
  <c r="P34" i="6"/>
  <c r="BC34" i="6"/>
  <c r="BK34" i="6"/>
  <c r="AN34" i="6"/>
  <c r="AK34" i="6"/>
  <c r="F72" i="5"/>
  <c r="BD72" i="6" s="1"/>
  <c r="AU75" i="6"/>
  <c r="AG75" i="6"/>
  <c r="AR75" i="6"/>
  <c r="AX75" i="6"/>
  <c r="X75" i="6"/>
  <c r="L87" i="6"/>
  <c r="AU87" i="6"/>
  <c r="Z87" i="6"/>
  <c r="AL87" i="6"/>
  <c r="AD87" i="6"/>
  <c r="AV104" i="6"/>
  <c r="AZ104" i="6"/>
  <c r="AB104" i="6"/>
  <c r="AU104" i="6"/>
  <c r="AS104" i="6"/>
  <c r="BG7" i="6"/>
  <c r="H7" i="6"/>
  <c r="BI7" i="6"/>
  <c r="G7" i="6"/>
  <c r="X7" i="6"/>
  <c r="Q7" i="6"/>
  <c r="AG21" i="6"/>
  <c r="AY21" i="6"/>
  <c r="BL21" i="6"/>
  <c r="S21" i="6"/>
  <c r="O21" i="6"/>
  <c r="AM111" i="6"/>
  <c r="S104" i="6"/>
  <c r="F104" i="6"/>
  <c r="W7" i="6"/>
  <c r="O7" i="6"/>
  <c r="AN75" i="6"/>
  <c r="K75" i="6"/>
  <c r="AE75" i="6"/>
  <c r="L75" i="6"/>
  <c r="BN104" i="6"/>
  <c r="BH104" i="6"/>
  <c r="K104" i="6"/>
  <c r="BF7" i="6"/>
  <c r="AM7" i="6"/>
  <c r="BL7" i="6"/>
  <c r="BE34" i="6"/>
  <c r="W34" i="6"/>
  <c r="BI34" i="6"/>
  <c r="AI34" i="6"/>
  <c r="AX34" i="6"/>
  <c r="AL75" i="6"/>
  <c r="BM75" i="6"/>
  <c r="BA75" i="6"/>
  <c r="R75" i="6"/>
  <c r="W75" i="6"/>
  <c r="AA87" i="6"/>
  <c r="O87" i="6"/>
  <c r="N87" i="6"/>
  <c r="BM87" i="6"/>
  <c r="AC87" i="6"/>
  <c r="O104" i="6"/>
  <c r="T104" i="6"/>
  <c r="M104" i="6"/>
  <c r="AN104" i="6"/>
  <c r="BA104" i="6"/>
  <c r="BE7" i="6"/>
  <c r="AK7" i="6"/>
  <c r="T7" i="6"/>
  <c r="AW7" i="6"/>
  <c r="BN7" i="6"/>
  <c r="U21" i="6"/>
  <c r="Z21" i="6"/>
  <c r="W21" i="6"/>
  <c r="AO21" i="6"/>
  <c r="AJ21" i="6"/>
  <c r="J104" i="6"/>
  <c r="P104" i="6"/>
  <c r="F32" i="5"/>
  <c r="AM32" i="6" s="1"/>
  <c r="BF104" i="6"/>
  <c r="Y104" i="6"/>
  <c r="AD104" i="6"/>
  <c r="BD7" i="6"/>
  <c r="I7" i="6"/>
  <c r="BM7" i="6"/>
  <c r="BA25" i="6"/>
  <c r="H25" i="6"/>
  <c r="BK25" i="6"/>
  <c r="BJ25" i="6"/>
  <c r="AV25" i="6"/>
  <c r="M34" i="6"/>
  <c r="BM34" i="6"/>
  <c r="AL34" i="6"/>
  <c r="H34" i="6"/>
  <c r="N34" i="6"/>
  <c r="AS34" i="6"/>
  <c r="Z75" i="6"/>
  <c r="T75" i="6"/>
  <c r="AF75" i="6"/>
  <c r="BD75" i="6"/>
  <c r="J75" i="6"/>
  <c r="K87" i="6"/>
  <c r="AB87" i="6"/>
  <c r="AX87" i="6"/>
  <c r="BF87" i="6"/>
  <c r="AK87" i="6"/>
  <c r="BB104" i="6"/>
  <c r="AC104" i="6"/>
  <c r="AF104" i="6"/>
  <c r="AE104" i="6"/>
  <c r="AA104" i="6"/>
  <c r="AA7" i="6"/>
  <c r="AI7" i="6"/>
  <c r="AZ7" i="6"/>
  <c r="AG7" i="6"/>
  <c r="BB7" i="6"/>
  <c r="BA21" i="6"/>
  <c r="Q21" i="6"/>
  <c r="AR21" i="6"/>
  <c r="BF21" i="6"/>
  <c r="X21" i="6"/>
  <c r="BN75" i="6"/>
  <c r="F84" i="5"/>
  <c r="AJ84" i="6" s="1"/>
  <c r="R25" i="6"/>
  <c r="K25" i="6"/>
  <c r="BD25" i="6"/>
  <c r="AR25" i="6"/>
  <c r="BB25" i="6"/>
  <c r="T34" i="6"/>
  <c r="AR34" i="6"/>
  <c r="AT34" i="6"/>
  <c r="V34" i="6"/>
  <c r="AA34" i="6"/>
  <c r="AU52" i="6"/>
  <c r="Y75" i="6"/>
  <c r="AT75" i="6"/>
  <c r="H75" i="6"/>
  <c r="AQ75" i="6"/>
  <c r="BJ75" i="6"/>
  <c r="M87" i="6"/>
  <c r="AG87" i="6"/>
  <c r="BK87" i="6"/>
  <c r="BC87" i="6"/>
  <c r="AF87" i="6"/>
  <c r="F115" i="5"/>
  <c r="K115" i="6" s="1"/>
  <c r="AP41" i="6"/>
  <c r="BD104" i="6"/>
  <c r="BL104" i="6"/>
  <c r="R104" i="6"/>
  <c r="BG104" i="6"/>
  <c r="AI104" i="6"/>
  <c r="N7" i="6"/>
  <c r="AH7" i="6"/>
  <c r="AE7" i="6"/>
  <c r="P7" i="6"/>
  <c r="AP7" i="6"/>
  <c r="I21" i="6"/>
  <c r="AH21" i="6"/>
  <c r="AP21" i="6"/>
  <c r="AK21" i="6"/>
  <c r="BK21" i="6"/>
  <c r="AY104" i="6"/>
  <c r="AK104" i="6"/>
  <c r="AK75" i="6"/>
  <c r="G104" i="6"/>
  <c r="BE104" i="6"/>
  <c r="AN7" i="6"/>
  <c r="L7" i="6"/>
  <c r="AS25" i="6"/>
  <c r="AY25" i="6"/>
  <c r="V25" i="6"/>
  <c r="I25" i="6"/>
  <c r="AO25" i="6"/>
  <c r="X25" i="6"/>
  <c r="S25" i="6"/>
  <c r="F25" i="6"/>
  <c r="G25" i="6"/>
  <c r="Z25" i="6"/>
  <c r="BL34" i="6"/>
  <c r="I34" i="6"/>
  <c r="BD34" i="6"/>
  <c r="AE34" i="6"/>
  <c r="BF34" i="6"/>
  <c r="AS75" i="6"/>
  <c r="BI75" i="6"/>
  <c r="AZ75" i="6"/>
  <c r="AD75" i="6"/>
  <c r="AW75" i="6"/>
  <c r="AZ87" i="6"/>
  <c r="BI87" i="6"/>
  <c r="BB87" i="6"/>
  <c r="Q87" i="6"/>
  <c r="J87" i="6"/>
  <c r="AH104" i="6"/>
  <c r="AO104" i="6"/>
  <c r="BC104" i="6"/>
  <c r="BM104" i="6"/>
  <c r="L104" i="6"/>
  <c r="M7" i="6"/>
  <c r="AS7" i="6"/>
  <c r="J7" i="6"/>
  <c r="BK7" i="6"/>
  <c r="AD7" i="6"/>
  <c r="BI21" i="6"/>
  <c r="L21" i="6"/>
  <c r="AX21" i="6"/>
  <c r="BG21" i="6"/>
  <c r="BN21" i="6"/>
  <c r="BE21" i="6"/>
  <c r="BG75" i="6"/>
  <c r="AH75" i="6"/>
  <c r="AA75" i="6"/>
  <c r="AC75" i="6"/>
  <c r="BH75" i="6"/>
  <c r="F31" i="5"/>
  <c r="Q31" i="6" s="1"/>
  <c r="BL25" i="6"/>
  <c r="AU25" i="6"/>
  <c r="AH25" i="6"/>
  <c r="O25" i="6"/>
  <c r="AB25" i="6"/>
  <c r="M25" i="6"/>
  <c r="AS111" i="6"/>
  <c r="AF34" i="6"/>
  <c r="L34" i="6"/>
  <c r="AJ34" i="6"/>
  <c r="R34" i="6"/>
  <c r="O34" i="6"/>
  <c r="N75" i="6"/>
  <c r="M75" i="6"/>
  <c r="F75" i="6"/>
  <c r="P75" i="6"/>
  <c r="AV75" i="6"/>
  <c r="G87" i="6"/>
  <c r="BE87" i="6"/>
  <c r="S87" i="6"/>
  <c r="AT87" i="6"/>
  <c r="BN87" i="6"/>
  <c r="Q104" i="6"/>
  <c r="Z104" i="6"/>
  <c r="AL104" i="6"/>
  <c r="AG104" i="6"/>
  <c r="AX104" i="6"/>
  <c r="U104" i="6"/>
  <c r="AT7" i="6"/>
  <c r="AQ7" i="6"/>
  <c r="AL7" i="6"/>
  <c r="AV7" i="6"/>
  <c r="AO7" i="6"/>
  <c r="AP34" i="6"/>
  <c r="BH34" i="6"/>
  <c r="BA34" i="6"/>
  <c r="AM34" i="6"/>
  <c r="U75" i="6"/>
  <c r="BB75" i="6"/>
  <c r="BE75" i="6"/>
  <c r="BK75" i="6"/>
  <c r="BG87" i="6"/>
  <c r="BJ87" i="6"/>
  <c r="AW87" i="6"/>
  <c r="AN87" i="6"/>
  <c r="H104" i="6"/>
  <c r="AT104" i="6"/>
  <c r="AM104" i="6"/>
  <c r="AR104" i="6"/>
  <c r="AX7" i="6"/>
  <c r="U7" i="6"/>
  <c r="V7" i="6"/>
  <c r="AJ7" i="6"/>
  <c r="BH21" i="6"/>
  <c r="AV21" i="6"/>
  <c r="G21" i="6"/>
  <c r="H21" i="6"/>
  <c r="BJ81" i="6"/>
  <c r="BG81" i="6"/>
  <c r="Z81" i="6"/>
  <c r="P81" i="6"/>
  <c r="V81" i="6"/>
  <c r="O81" i="6"/>
  <c r="H81" i="6"/>
  <c r="BA81" i="6"/>
  <c r="AL81" i="6"/>
  <c r="AY81" i="6"/>
  <c r="AC81" i="6"/>
  <c r="AA81" i="6"/>
  <c r="AF81" i="6"/>
  <c r="BK81" i="6"/>
  <c r="AZ81" i="6"/>
  <c r="I81" i="6"/>
  <c r="AQ81" i="6"/>
  <c r="AU81" i="6"/>
  <c r="BB81" i="6"/>
  <c r="Q81" i="6"/>
  <c r="X81" i="6"/>
  <c r="AS81" i="6"/>
  <c r="AB81" i="6"/>
  <c r="AD81" i="6"/>
  <c r="F81" i="6"/>
  <c r="R81" i="6"/>
  <c r="BE81" i="6"/>
  <c r="AR81" i="6"/>
  <c r="AV81" i="6"/>
  <c r="AI81" i="6"/>
  <c r="S81" i="6"/>
  <c r="M81" i="6"/>
  <c r="BC81" i="6"/>
  <c r="AG81" i="6"/>
  <c r="K81" i="6"/>
  <c r="BL81" i="6"/>
  <c r="J81" i="6"/>
  <c r="BN81" i="6"/>
  <c r="AN81" i="6"/>
  <c r="W81" i="6"/>
  <c r="L81" i="6"/>
  <c r="AP81" i="6"/>
  <c r="AJ81" i="6"/>
  <c r="AE81" i="6"/>
  <c r="T81" i="6"/>
  <c r="AW81" i="6"/>
  <c r="AX81" i="6"/>
  <c r="AT81" i="6"/>
  <c r="N81" i="6"/>
  <c r="AK81" i="6"/>
  <c r="BI81" i="6"/>
  <c r="U81" i="6"/>
  <c r="AM81" i="6"/>
  <c r="BH81" i="6"/>
  <c r="G81" i="6"/>
  <c r="Y81" i="6"/>
  <c r="BM81" i="6"/>
  <c r="AH81" i="6"/>
  <c r="BF81" i="6"/>
  <c r="AO81" i="6"/>
  <c r="BD81" i="6"/>
  <c r="O50" i="6"/>
  <c r="X50" i="6"/>
  <c r="AG50" i="6"/>
  <c r="Y50" i="6"/>
  <c r="AN50" i="6"/>
  <c r="BE50" i="6"/>
  <c r="AA50" i="6"/>
  <c r="AL50" i="6"/>
  <c r="AW50" i="6"/>
  <c r="AT50" i="6"/>
  <c r="M50" i="6"/>
  <c r="AM50" i="6"/>
  <c r="BA50" i="6"/>
  <c r="BN50" i="6"/>
  <c r="AF50" i="6"/>
  <c r="AV50" i="6"/>
  <c r="AY50" i="6"/>
  <c r="L50" i="6"/>
  <c r="T50" i="6"/>
  <c r="BF50" i="6"/>
  <c r="Q50" i="6"/>
  <c r="AB50" i="6"/>
  <c r="BH50" i="6"/>
  <c r="U50" i="6"/>
  <c r="AI50" i="6"/>
  <c r="AZ50" i="6"/>
  <c r="AO50" i="6"/>
  <c r="K50" i="6"/>
  <c r="AQ50" i="6"/>
  <c r="F50" i="6"/>
  <c r="S50" i="6"/>
  <c r="AS50" i="6"/>
  <c r="BG50" i="6"/>
  <c r="N50" i="6"/>
  <c r="BI50" i="6"/>
  <c r="AX50" i="6"/>
  <c r="BB50" i="6"/>
  <c r="BJ50" i="6"/>
  <c r="BC50" i="6"/>
  <c r="H50" i="6"/>
  <c r="W50" i="6"/>
  <c r="BD50" i="6"/>
  <c r="V50" i="6"/>
  <c r="AR50" i="6"/>
  <c r="Z50" i="6"/>
  <c r="I50" i="6"/>
  <c r="BM50" i="6"/>
  <c r="AC50" i="6"/>
  <c r="G50" i="6"/>
  <c r="AK50" i="6"/>
  <c r="J50" i="6"/>
  <c r="BK50" i="6"/>
  <c r="R50" i="6"/>
  <c r="AE50" i="6"/>
  <c r="AU50" i="6"/>
  <c r="BL50" i="6"/>
  <c r="AD50" i="6"/>
  <c r="P50" i="6"/>
  <c r="AJ50" i="6"/>
  <c r="AP50" i="6"/>
  <c r="AH50" i="6"/>
  <c r="F55" i="5"/>
  <c r="AF115" i="6"/>
  <c r="L115" i="6"/>
  <c r="AC115" i="6"/>
  <c r="AK115" i="6"/>
  <c r="AR115" i="6"/>
  <c r="F54" i="5"/>
  <c r="I35" i="6"/>
  <c r="AW35" i="6"/>
  <c r="V35" i="6"/>
  <c r="AX35" i="6"/>
  <c r="BG35" i="6"/>
  <c r="AJ35" i="6"/>
  <c r="U35" i="6"/>
  <c r="BK35" i="6"/>
  <c r="AN35" i="6"/>
  <c r="L35" i="6"/>
  <c r="AC35" i="6"/>
  <c r="AG35" i="6"/>
  <c r="K35" i="6"/>
  <c r="BH35" i="6"/>
  <c r="AP35" i="6"/>
  <c r="BI35" i="6"/>
  <c r="AS35" i="6"/>
  <c r="Z35" i="6"/>
  <c r="X35" i="6"/>
  <c r="M35" i="6"/>
  <c r="AE35" i="6"/>
  <c r="AD35" i="6"/>
  <c r="W35" i="6"/>
  <c r="Y35" i="6"/>
  <c r="AY35" i="6"/>
  <c r="BL35" i="6"/>
  <c r="AQ35" i="6"/>
  <c r="AM35" i="6"/>
  <c r="AU35" i="6"/>
  <c r="O35" i="6"/>
  <c r="AH35" i="6"/>
  <c r="F35" i="6"/>
  <c r="R35" i="6"/>
  <c r="AV35" i="6"/>
  <c r="P35" i="6"/>
  <c r="J35" i="6"/>
  <c r="Q35" i="6"/>
  <c r="G35" i="6"/>
  <c r="BC35" i="6"/>
  <c r="S35" i="6"/>
  <c r="AK35" i="6"/>
  <c r="AF35" i="6"/>
  <c r="BB35" i="6"/>
  <c r="BJ35" i="6"/>
  <c r="AT35" i="6"/>
  <c r="BM35" i="6"/>
  <c r="BN35" i="6"/>
  <c r="AL35" i="6"/>
  <c r="BE35" i="6"/>
  <c r="AA35" i="6"/>
  <c r="H35" i="6"/>
  <c r="AR35" i="6"/>
  <c r="N35" i="6"/>
  <c r="AZ35" i="6"/>
  <c r="BA35" i="6"/>
  <c r="BD35" i="6"/>
  <c r="T35" i="6"/>
  <c r="AI35" i="6"/>
  <c r="AO35" i="6"/>
  <c r="BF35" i="6"/>
  <c r="AB35" i="6"/>
  <c r="AO88" i="6"/>
  <c r="BC88" i="6"/>
  <c r="W88" i="6"/>
  <c r="H88" i="6"/>
  <c r="R88" i="6"/>
  <c r="BB88" i="6"/>
  <c r="I88" i="6"/>
  <c r="AW88" i="6"/>
  <c r="AH88" i="6"/>
  <c r="AP88" i="6"/>
  <c r="P88" i="6"/>
  <c r="Z88" i="6"/>
  <c r="X88" i="6"/>
  <c r="BG88" i="6"/>
  <c r="S88" i="6"/>
  <c r="AD88" i="6"/>
  <c r="AT88" i="6"/>
  <c r="AZ88" i="6"/>
  <c r="L88" i="6"/>
  <c r="AQ88" i="6"/>
  <c r="AA88" i="6"/>
  <c r="T88" i="6"/>
  <c r="AC88" i="6"/>
  <c r="F88" i="6"/>
  <c r="AL88" i="6"/>
  <c r="AM88" i="6"/>
  <c r="AI88" i="6"/>
  <c r="AU88" i="6"/>
  <c r="AF88" i="6"/>
  <c r="AN88" i="6"/>
  <c r="BK88" i="6"/>
  <c r="BN88" i="6"/>
  <c r="K88" i="6"/>
  <c r="G88" i="6"/>
  <c r="BI88" i="6"/>
  <c r="BL88" i="6"/>
  <c r="M88" i="6"/>
  <c r="AB88" i="6"/>
  <c r="BA88" i="6"/>
  <c r="AR88" i="6"/>
  <c r="BD88" i="6"/>
  <c r="BF88" i="6"/>
  <c r="AG88" i="6"/>
  <c r="AX88" i="6"/>
  <c r="BE88" i="6"/>
  <c r="U88" i="6"/>
  <c r="AJ88" i="6"/>
  <c r="AK88" i="6"/>
  <c r="BH88" i="6"/>
  <c r="AY88" i="6"/>
  <c r="N88" i="6"/>
  <c r="J88" i="6"/>
  <c r="BM88" i="6"/>
  <c r="AE88" i="6"/>
  <c r="AV88" i="6"/>
  <c r="Y88" i="6"/>
  <c r="Q88" i="6"/>
  <c r="O88" i="6"/>
  <c r="BJ88" i="6"/>
  <c r="AS88" i="6"/>
  <c r="V88" i="6"/>
  <c r="AL128" i="6"/>
  <c r="BM128" i="6"/>
  <c r="F128" i="6"/>
  <c r="AM128" i="6"/>
  <c r="BN128" i="6"/>
  <c r="U128" i="6"/>
  <c r="AW128" i="6"/>
  <c r="V128" i="6"/>
  <c r="BB128" i="6"/>
  <c r="W128" i="6"/>
  <c r="BC128" i="6"/>
  <c r="AK128" i="6"/>
  <c r="AN128" i="6"/>
  <c r="AO128" i="6"/>
  <c r="AP128" i="6"/>
  <c r="AQ128" i="6"/>
  <c r="H128" i="6"/>
  <c r="BK128" i="6"/>
  <c r="BL128" i="6"/>
  <c r="BE128" i="6"/>
  <c r="Z128" i="6"/>
  <c r="I128" i="6"/>
  <c r="O128" i="6"/>
  <c r="S128" i="6"/>
  <c r="Y128" i="6"/>
  <c r="L128" i="6"/>
  <c r="AR128" i="6"/>
  <c r="AZ128" i="6"/>
  <c r="AC128" i="6"/>
  <c r="AX128" i="6"/>
  <c r="BH128" i="6"/>
  <c r="X128" i="6"/>
  <c r="BF128" i="6"/>
  <c r="BA128" i="6"/>
  <c r="AH128" i="6"/>
  <c r="K128" i="6"/>
  <c r="AB128" i="6"/>
  <c r="AJ128" i="6"/>
  <c r="Q128" i="6"/>
  <c r="AI128" i="6"/>
  <c r="M128" i="6"/>
  <c r="J128" i="6"/>
  <c r="AV128" i="6"/>
  <c r="AE128" i="6"/>
  <c r="N128" i="6"/>
  <c r="AS128" i="6"/>
  <c r="AU128" i="6"/>
  <c r="G128" i="6"/>
  <c r="BG128" i="6"/>
  <c r="P128" i="6"/>
  <c r="T128" i="6"/>
  <c r="AD128" i="6"/>
  <c r="BJ128" i="6"/>
  <c r="BI128" i="6"/>
  <c r="AY128" i="6"/>
  <c r="R128" i="6"/>
  <c r="AF128" i="6"/>
  <c r="AG128" i="6"/>
  <c r="AT128" i="6"/>
  <c r="K15" i="6"/>
  <c r="AG15" i="6"/>
  <c r="AW15" i="6"/>
  <c r="AU15" i="6"/>
  <c r="AJ15" i="6"/>
  <c r="Y15" i="6"/>
  <c r="AX15" i="6"/>
  <c r="AC15" i="6"/>
  <c r="J15" i="6"/>
  <c r="AH15" i="6"/>
  <c r="P15" i="6"/>
  <c r="AO15" i="6"/>
  <c r="F15" i="6"/>
  <c r="BB15" i="6"/>
  <c r="AV15" i="6"/>
  <c r="AK15" i="6"/>
  <c r="AB15" i="6"/>
  <c r="BC15" i="6"/>
  <c r="X15" i="6"/>
  <c r="AD15" i="6"/>
  <c r="N15" i="6"/>
  <c r="BL15" i="6"/>
  <c r="AP15" i="6"/>
  <c r="T15" i="6"/>
  <c r="BF15" i="6"/>
  <c r="BH15" i="6"/>
  <c r="M15" i="6"/>
  <c r="BD15" i="6"/>
  <c r="AQ15" i="6"/>
  <c r="G15" i="6"/>
  <c r="R15" i="6"/>
  <c r="AA15" i="6"/>
  <c r="AE15" i="6"/>
  <c r="AZ15" i="6"/>
  <c r="BM15" i="6"/>
  <c r="Q15" i="6"/>
  <c r="Z15" i="6"/>
  <c r="BJ15" i="6"/>
  <c r="BI15" i="6"/>
  <c r="AM15" i="6"/>
  <c r="V15" i="6"/>
  <c r="BK15" i="6"/>
  <c r="BA15" i="6"/>
  <c r="AS15" i="6"/>
  <c r="U15" i="6"/>
  <c r="BN15" i="6"/>
  <c r="W15" i="6"/>
  <c r="AF15" i="6"/>
  <c r="L15" i="6"/>
  <c r="BE15" i="6"/>
  <c r="AY15" i="6"/>
  <c r="O15" i="6"/>
  <c r="AT15" i="6"/>
  <c r="AL15" i="6"/>
  <c r="H15" i="6"/>
  <c r="AR15" i="6"/>
  <c r="I15" i="6"/>
  <c r="BG15" i="6"/>
  <c r="AN15" i="6"/>
  <c r="S15" i="6"/>
  <c r="AI15" i="6"/>
  <c r="Z69" i="6"/>
  <c r="AH69" i="6"/>
  <c r="R69" i="6"/>
  <c r="AP69" i="6"/>
  <c r="Y69" i="6"/>
  <c r="I69" i="6"/>
  <c r="BC69" i="6"/>
  <c r="BN69" i="6"/>
  <c r="BG69" i="6"/>
  <c r="AQ69" i="6"/>
  <c r="BH69" i="6"/>
  <c r="BE69" i="6"/>
  <c r="BA69" i="6"/>
  <c r="M69" i="6"/>
  <c r="BJ69" i="6"/>
  <c r="AT69" i="6"/>
  <c r="O69" i="6"/>
  <c r="N69" i="6"/>
  <c r="AI69" i="6"/>
  <c r="AD69" i="6"/>
  <c r="T69" i="6"/>
  <c r="AE69" i="6"/>
  <c r="AK69" i="6"/>
  <c r="AU69" i="6"/>
  <c r="BB69" i="6"/>
  <c r="AF69" i="6"/>
  <c r="BM69" i="6"/>
  <c r="L69" i="6"/>
  <c r="AZ69" i="6"/>
  <c r="F69" i="6"/>
  <c r="AN69" i="6"/>
  <c r="BD69" i="6"/>
  <c r="H69" i="6"/>
  <c r="G69" i="6"/>
  <c r="P69" i="6"/>
  <c r="J69" i="6"/>
  <c r="W69" i="6"/>
  <c r="AJ69" i="6"/>
  <c r="AR69" i="6"/>
  <c r="Q69" i="6"/>
  <c r="X69" i="6"/>
  <c r="AX69" i="6"/>
  <c r="AY69" i="6"/>
  <c r="K69" i="6"/>
  <c r="BF69" i="6"/>
  <c r="BI69" i="6"/>
  <c r="V69" i="6"/>
  <c r="U69" i="6"/>
  <c r="AA69" i="6"/>
  <c r="AG69" i="6"/>
  <c r="AS69" i="6"/>
  <c r="AC69" i="6"/>
  <c r="S69" i="6"/>
  <c r="BL69" i="6"/>
  <c r="AB69" i="6"/>
  <c r="BK69" i="6"/>
  <c r="AL69" i="6"/>
  <c r="AV69" i="6"/>
  <c r="AO69" i="6"/>
  <c r="AM69" i="6"/>
  <c r="AW69" i="6"/>
  <c r="I53" i="6"/>
  <c r="AQ53" i="6"/>
  <c r="AW53" i="6"/>
  <c r="AO53" i="6"/>
  <c r="AP53" i="6"/>
  <c r="X53" i="6"/>
  <c r="U53" i="6"/>
  <c r="BF53" i="6"/>
  <c r="BM53" i="6"/>
  <c r="BI53" i="6"/>
  <c r="J53" i="6"/>
  <c r="AG53" i="6"/>
  <c r="G53" i="6"/>
  <c r="Q53" i="6"/>
  <c r="Z53" i="6"/>
  <c r="AR53" i="6"/>
  <c r="AS53" i="6"/>
  <c r="W53" i="6"/>
  <c r="AJ53" i="6"/>
  <c r="BC53" i="6"/>
  <c r="AV53" i="6"/>
  <c r="AA53" i="6"/>
  <c r="L53" i="6"/>
  <c r="AK53" i="6"/>
  <c r="AE53" i="6"/>
  <c r="M53" i="6"/>
  <c r="AN53" i="6"/>
  <c r="AD53" i="6"/>
  <c r="BG53" i="6"/>
  <c r="BL53" i="6"/>
  <c r="AX53" i="6"/>
  <c r="N53" i="6"/>
  <c r="R53" i="6"/>
  <c r="AT53" i="6"/>
  <c r="BB53" i="6"/>
  <c r="BJ53" i="6"/>
  <c r="AU53" i="6"/>
  <c r="AH53" i="6"/>
  <c r="BK53" i="6"/>
  <c r="F53" i="6"/>
  <c r="P53" i="6"/>
  <c r="AI53" i="6"/>
  <c r="AF53" i="6"/>
  <c r="H53" i="6"/>
  <c r="AM53" i="6"/>
  <c r="BH53" i="6"/>
  <c r="T53" i="6"/>
  <c r="AB53" i="6"/>
  <c r="BA53" i="6"/>
  <c r="V53" i="6"/>
  <c r="BN53" i="6"/>
  <c r="Y53" i="6"/>
  <c r="O53" i="6"/>
  <c r="AY53" i="6"/>
  <c r="BE53" i="6"/>
  <c r="AC53" i="6"/>
  <c r="BD53" i="6"/>
  <c r="AL53" i="6"/>
  <c r="S53" i="6"/>
  <c r="K53" i="6"/>
  <c r="AZ53" i="6"/>
  <c r="K29" i="6"/>
  <c r="W29" i="6"/>
  <c r="AI29" i="6"/>
  <c r="AU29" i="6"/>
  <c r="BG29" i="6"/>
  <c r="N29" i="6"/>
  <c r="AA29" i="6"/>
  <c r="AN29" i="6"/>
  <c r="BA29" i="6"/>
  <c r="BN29" i="6"/>
  <c r="O29" i="6"/>
  <c r="AB29" i="6"/>
  <c r="AO29" i="6"/>
  <c r="BB29" i="6"/>
  <c r="F29" i="6"/>
  <c r="S29" i="6"/>
  <c r="AF29" i="6"/>
  <c r="AS29" i="6"/>
  <c r="BF29" i="6"/>
  <c r="U29" i="6"/>
  <c r="AL29" i="6"/>
  <c r="BD29" i="6"/>
  <c r="V29" i="6"/>
  <c r="AM29" i="6"/>
  <c r="BE29" i="6"/>
  <c r="L29" i="6"/>
  <c r="AD29" i="6"/>
  <c r="AV29" i="6"/>
  <c r="BL29" i="6"/>
  <c r="M29" i="6"/>
  <c r="AE29" i="6"/>
  <c r="AW29" i="6"/>
  <c r="BM29" i="6"/>
  <c r="P29" i="6"/>
  <c r="AG29" i="6"/>
  <c r="AX29" i="6"/>
  <c r="Q29" i="6"/>
  <c r="AH29" i="6"/>
  <c r="AY29" i="6"/>
  <c r="R29" i="6"/>
  <c r="AZ29" i="6"/>
  <c r="T29" i="6"/>
  <c r="BC29" i="6"/>
  <c r="X29" i="6"/>
  <c r="BH29" i="6"/>
  <c r="Y29" i="6"/>
  <c r="BI29" i="6"/>
  <c r="BK29" i="6"/>
  <c r="Z29" i="6"/>
  <c r="BJ29" i="6"/>
  <c r="AC29" i="6"/>
  <c r="AJ29" i="6"/>
  <c r="AP29" i="6"/>
  <c r="AQ29" i="6"/>
  <c r="AR29" i="6"/>
  <c r="AT29" i="6"/>
  <c r="J29" i="6"/>
  <c r="AK29" i="6"/>
  <c r="G29" i="6"/>
  <c r="H29" i="6"/>
  <c r="I29" i="6"/>
  <c r="AR132" i="6"/>
  <c r="I132" i="6"/>
  <c r="AQ132" i="6"/>
  <c r="M132" i="6"/>
  <c r="Q132" i="6"/>
  <c r="BE132" i="6"/>
  <c r="W132" i="6"/>
  <c r="BJ132" i="6"/>
  <c r="AD132" i="6"/>
  <c r="AM132" i="6"/>
  <c r="G132" i="6"/>
  <c r="AL132" i="6"/>
  <c r="F132" i="6"/>
  <c r="AW132" i="6"/>
  <c r="AN132" i="6"/>
  <c r="U132" i="6"/>
  <c r="AZ132" i="6"/>
  <c r="AA132" i="6"/>
  <c r="BA132" i="6"/>
  <c r="BD132" i="6"/>
  <c r="X132" i="6"/>
  <c r="BL132" i="6"/>
  <c r="AO132" i="6"/>
  <c r="J132" i="6"/>
  <c r="N132" i="6"/>
  <c r="AJ132" i="6"/>
  <c r="H132" i="6"/>
  <c r="BG132" i="6"/>
  <c r="AB132" i="6"/>
  <c r="AF132" i="6"/>
  <c r="AX132" i="6"/>
  <c r="BK132" i="6"/>
  <c r="S132" i="6"/>
  <c r="L132" i="6"/>
  <c r="T132" i="6"/>
  <c r="BB132" i="6"/>
  <c r="AV132" i="6"/>
  <c r="Y132" i="6"/>
  <c r="AG132" i="6"/>
  <c r="BH132" i="6"/>
  <c r="AP132" i="6"/>
  <c r="P132" i="6"/>
  <c r="R132" i="6"/>
  <c r="BI132" i="6"/>
  <c r="AH132" i="6"/>
  <c r="AE132" i="6"/>
  <c r="Z132" i="6"/>
  <c r="BC132" i="6"/>
  <c r="AI132" i="6"/>
  <c r="AS132" i="6"/>
  <c r="BF132" i="6"/>
  <c r="AU132" i="6"/>
  <c r="O132" i="6"/>
  <c r="V132" i="6"/>
  <c r="AK132" i="6"/>
  <c r="AY132" i="6"/>
  <c r="BM132" i="6"/>
  <c r="BN132" i="6"/>
  <c r="AT132" i="6"/>
  <c r="K132" i="6"/>
  <c r="AC132" i="6"/>
  <c r="L111" i="6"/>
  <c r="Z111" i="6"/>
  <c r="AQ111" i="6"/>
  <c r="BG111" i="6"/>
  <c r="M111" i="6"/>
  <c r="AA111" i="6"/>
  <c r="AR111" i="6"/>
  <c r="BH111" i="6"/>
  <c r="S111" i="6"/>
  <c r="AH111" i="6"/>
  <c r="AY111" i="6"/>
  <c r="T111" i="6"/>
  <c r="AI111" i="6"/>
  <c r="AZ111" i="6"/>
  <c r="G111" i="6"/>
  <c r="U111" i="6"/>
  <c r="AK111" i="6"/>
  <c r="BA111" i="6"/>
  <c r="I111" i="6"/>
  <c r="AG111" i="6"/>
  <c r="BK111" i="6"/>
  <c r="K111" i="6"/>
  <c r="AL111" i="6"/>
  <c r="BL111" i="6"/>
  <c r="N111" i="6"/>
  <c r="AN111" i="6"/>
  <c r="BM111" i="6"/>
  <c r="O111" i="6"/>
  <c r="AO111" i="6"/>
  <c r="P111" i="6"/>
  <c r="AT111" i="6"/>
  <c r="V111" i="6"/>
  <c r="AV111" i="6"/>
  <c r="AC111" i="6"/>
  <c r="BC111" i="6"/>
  <c r="AE111" i="6"/>
  <c r="Y111" i="6"/>
  <c r="AU111" i="6"/>
  <c r="AX111" i="6"/>
  <c r="BD111" i="6"/>
  <c r="AB111" i="6"/>
  <c r="BE111" i="6"/>
  <c r="H111" i="6"/>
  <c r="BI111" i="6"/>
  <c r="Q111" i="6"/>
  <c r="X111" i="6"/>
  <c r="J111" i="6"/>
  <c r="BJ111" i="6"/>
  <c r="W111" i="6"/>
  <c r="AJ111" i="6"/>
  <c r="AW111" i="6"/>
  <c r="AD111" i="6"/>
  <c r="R111" i="6"/>
  <c r="BB111" i="6"/>
  <c r="F111" i="6"/>
  <c r="AP111" i="6"/>
  <c r="BN111" i="6"/>
  <c r="F10" i="5"/>
  <c r="F49" i="5"/>
  <c r="BI49" i="6" s="1"/>
  <c r="F135" i="5"/>
  <c r="F78" i="5"/>
  <c r="S6" i="6"/>
  <c r="BH6" i="6"/>
  <c r="Q6" i="6"/>
  <c r="BC6" i="6"/>
  <c r="AN6" i="6"/>
  <c r="AF6" i="6"/>
  <c r="N6" i="6"/>
  <c r="AM6" i="6"/>
  <c r="Z6" i="6"/>
  <c r="AO6" i="6"/>
  <c r="AS6" i="6"/>
  <c r="AC6" i="6"/>
  <c r="BK6" i="6"/>
  <c r="BD6" i="6"/>
  <c r="G6" i="6"/>
  <c r="BG6" i="6"/>
  <c r="AR6" i="6"/>
  <c r="Y6" i="6"/>
  <c r="O6" i="6"/>
  <c r="AU6" i="6"/>
  <c r="J6" i="6"/>
  <c r="AJ6" i="6"/>
  <c r="AA6" i="6"/>
  <c r="BB6" i="6"/>
  <c r="BM6" i="6"/>
  <c r="BE6" i="6"/>
  <c r="V6" i="6"/>
  <c r="AW6" i="6"/>
  <c r="AV6" i="6"/>
  <c r="T6" i="6"/>
  <c r="R6" i="6"/>
  <c r="H6" i="6"/>
  <c r="P6" i="6"/>
  <c r="W6" i="6"/>
  <c r="AD6" i="6"/>
  <c r="K6" i="6"/>
  <c r="BJ6" i="6"/>
  <c r="AX6" i="6"/>
  <c r="M6" i="6"/>
  <c r="U6" i="6"/>
  <c r="AB6" i="6"/>
  <c r="AZ6" i="6"/>
  <c r="AQ6" i="6"/>
  <c r="X6" i="6"/>
  <c r="AT6" i="6"/>
  <c r="AI6" i="6"/>
  <c r="BF6" i="6"/>
  <c r="AK6" i="6"/>
  <c r="F6" i="6"/>
  <c r="AL6" i="6"/>
  <c r="I6" i="6"/>
  <c r="AP6" i="6"/>
  <c r="BN6" i="6"/>
  <c r="L6" i="6"/>
  <c r="AG6" i="6"/>
  <c r="AH6" i="6"/>
  <c r="BI6" i="6"/>
  <c r="BA6" i="6"/>
  <c r="AY6" i="6"/>
  <c r="BL6" i="6"/>
  <c r="AE6" i="6"/>
  <c r="AA128" i="6"/>
  <c r="F43" i="5"/>
  <c r="AJ118" i="6"/>
  <c r="F118" i="6"/>
  <c r="BG118" i="6"/>
  <c r="AC118" i="6"/>
  <c r="P118" i="6"/>
  <c r="AV118" i="6"/>
  <c r="T118" i="6"/>
  <c r="Y118" i="6"/>
  <c r="AT118" i="6"/>
  <c r="AK118" i="6"/>
  <c r="BH118" i="6"/>
  <c r="AH118" i="6"/>
  <c r="AQ118" i="6"/>
  <c r="K118" i="6"/>
  <c r="Q118" i="6"/>
  <c r="M118" i="6"/>
  <c r="AW118" i="6"/>
  <c r="BI118" i="6"/>
  <c r="AD118" i="6"/>
  <c r="AL118" i="6"/>
  <c r="AZ118" i="6"/>
  <c r="U118" i="6"/>
  <c r="AR118" i="6"/>
  <c r="AE118" i="6"/>
  <c r="BE118" i="6"/>
  <c r="BM118" i="6"/>
  <c r="AI118" i="6"/>
  <c r="BN118" i="6"/>
  <c r="BA118" i="6"/>
  <c r="BF118" i="6"/>
  <c r="AG118" i="6"/>
  <c r="BL118" i="6"/>
  <c r="AB118" i="6"/>
  <c r="BC118" i="6"/>
  <c r="V118" i="6"/>
  <c r="S118" i="6"/>
  <c r="J118" i="6"/>
  <c r="W118" i="6"/>
  <c r="BD118" i="6"/>
  <c r="AP118" i="6"/>
  <c r="AN118" i="6"/>
  <c r="L118" i="6"/>
  <c r="H118" i="6"/>
  <c r="R118" i="6"/>
  <c r="X118" i="6"/>
  <c r="AA118" i="6"/>
  <c r="AO118" i="6"/>
  <c r="Z118" i="6"/>
  <c r="I118" i="6"/>
  <c r="AM118" i="6"/>
  <c r="AS118" i="6"/>
  <c r="AX118" i="6"/>
  <c r="AY118" i="6"/>
  <c r="N118" i="6"/>
  <c r="O118" i="6"/>
  <c r="AF118" i="6"/>
  <c r="BB118" i="6"/>
  <c r="AU118" i="6"/>
  <c r="BJ118" i="6"/>
  <c r="BK118" i="6"/>
  <c r="G118" i="6"/>
  <c r="AV139" i="6"/>
  <c r="M139" i="6"/>
  <c r="AP139" i="6"/>
  <c r="I139" i="6"/>
  <c r="P139" i="6"/>
  <c r="U139" i="6"/>
  <c r="AT139" i="6"/>
  <c r="BM139" i="6"/>
  <c r="BB139" i="6"/>
  <c r="W139" i="6"/>
  <c r="AH139" i="6"/>
  <c r="AQ139" i="6"/>
  <c r="K139" i="6"/>
  <c r="BN139" i="6"/>
  <c r="AK139" i="6"/>
  <c r="BD139" i="6"/>
  <c r="BH139" i="6"/>
  <c r="AC139" i="6"/>
  <c r="AR139" i="6"/>
  <c r="N139" i="6"/>
  <c r="AY139" i="6"/>
  <c r="Q139" i="6"/>
  <c r="Y139" i="6"/>
  <c r="AU139" i="6"/>
  <c r="AW139" i="6"/>
  <c r="AA139" i="6"/>
  <c r="AI139" i="6"/>
  <c r="BL139" i="6"/>
  <c r="T139" i="6"/>
  <c r="AS139" i="6"/>
  <c r="AN139" i="6"/>
  <c r="AG139" i="6"/>
  <c r="BK139" i="6"/>
  <c r="BA139" i="6"/>
  <c r="BC139" i="6"/>
  <c r="Z139" i="6"/>
  <c r="AO139" i="6"/>
  <c r="S139" i="6"/>
  <c r="BF139" i="6"/>
  <c r="J139" i="6"/>
  <c r="AL139" i="6"/>
  <c r="H139" i="6"/>
  <c r="BE139" i="6"/>
  <c r="BJ139" i="6"/>
  <c r="V139" i="6"/>
  <c r="AX139" i="6"/>
  <c r="BG139" i="6"/>
  <c r="R139" i="6"/>
  <c r="AB139" i="6"/>
  <c r="AE139" i="6"/>
  <c r="F139" i="6"/>
  <c r="AJ139" i="6"/>
  <c r="AM139" i="6"/>
  <c r="AF139" i="6"/>
  <c r="L139" i="6"/>
  <c r="X139" i="6"/>
  <c r="BI139" i="6"/>
  <c r="AZ139" i="6"/>
  <c r="AD139" i="6"/>
  <c r="O139" i="6"/>
  <c r="G139" i="6"/>
  <c r="AP121" i="6"/>
  <c r="BL121" i="6"/>
  <c r="AU121" i="6"/>
  <c r="BD121" i="6"/>
  <c r="BH121" i="6"/>
  <c r="BB121" i="6"/>
  <c r="H121" i="6"/>
  <c r="M121" i="6"/>
  <c r="Q121" i="6"/>
  <c r="Z121" i="6"/>
  <c r="BN121" i="6"/>
  <c r="V121" i="6"/>
  <c r="AE121" i="6"/>
  <c r="AM121" i="6"/>
  <c r="AR121" i="6"/>
  <c r="K121" i="6"/>
  <c r="AJ121" i="6"/>
  <c r="AV121" i="6"/>
  <c r="BE121" i="6"/>
  <c r="BI121" i="6"/>
  <c r="AX121" i="6"/>
  <c r="I121" i="6"/>
  <c r="BA121" i="6"/>
  <c r="BF121" i="6"/>
  <c r="AS121" i="6"/>
  <c r="BK121" i="6"/>
  <c r="W121" i="6"/>
  <c r="O121" i="6"/>
  <c r="AO121" i="6"/>
  <c r="J121" i="6"/>
  <c r="BM121" i="6"/>
  <c r="AN121" i="6"/>
  <c r="AK121" i="6"/>
  <c r="AF121" i="6"/>
  <c r="AB121" i="6"/>
  <c r="G121" i="6"/>
  <c r="AG121" i="6"/>
  <c r="AA121" i="6"/>
  <c r="U121" i="6"/>
  <c r="BC121" i="6"/>
  <c r="AT121" i="6"/>
  <c r="AI121" i="6"/>
  <c r="P121" i="6"/>
  <c r="AW121" i="6"/>
  <c r="AH121" i="6"/>
  <c r="AZ121" i="6"/>
  <c r="L121" i="6"/>
  <c r="AC121" i="6"/>
  <c r="N121" i="6"/>
  <c r="AQ121" i="6"/>
  <c r="F121" i="6"/>
  <c r="T121" i="6"/>
  <c r="R121" i="6"/>
  <c r="BG121" i="6"/>
  <c r="BJ121" i="6"/>
  <c r="AD121" i="6"/>
  <c r="Y121" i="6"/>
  <c r="X121" i="6"/>
  <c r="S121" i="6"/>
  <c r="AY121" i="6"/>
  <c r="AL121" i="6"/>
  <c r="BK45" i="6"/>
  <c r="H45" i="6"/>
  <c r="BI45" i="6"/>
  <c r="BG45" i="6"/>
  <c r="O45" i="6"/>
  <c r="S45" i="6"/>
  <c r="AB45" i="6"/>
  <c r="R45" i="6"/>
  <c r="AE45" i="6"/>
  <c r="W45" i="6"/>
  <c r="AH45" i="6"/>
  <c r="AT45" i="6"/>
  <c r="AP45" i="6"/>
  <c r="AF45" i="6"/>
  <c r="AZ45" i="6"/>
  <c r="I45" i="6"/>
  <c r="AV45" i="6"/>
  <c r="BM45" i="6"/>
  <c r="BL45" i="6"/>
  <c r="AI45" i="6"/>
  <c r="BA45" i="6"/>
  <c r="AS45" i="6"/>
  <c r="Z45" i="6"/>
  <c r="AW45" i="6"/>
  <c r="BN45" i="6"/>
  <c r="G45" i="6"/>
  <c r="BE45" i="6"/>
  <c r="AO45" i="6"/>
  <c r="P45" i="6"/>
  <c r="Y45" i="6"/>
  <c r="AR45" i="6"/>
  <c r="J45" i="6"/>
  <c r="AQ45" i="6"/>
  <c r="AG45" i="6"/>
  <c r="AD45" i="6"/>
  <c r="AJ45" i="6"/>
  <c r="K45" i="6"/>
  <c r="AM45" i="6"/>
  <c r="L45" i="6"/>
  <c r="X45" i="6"/>
  <c r="BH45" i="6"/>
  <c r="AU45" i="6"/>
  <c r="AK45" i="6"/>
  <c r="Q45" i="6"/>
  <c r="N45" i="6"/>
  <c r="AX45" i="6"/>
  <c r="AN45" i="6"/>
  <c r="AY45" i="6"/>
  <c r="BJ45" i="6"/>
  <c r="V45" i="6"/>
  <c r="F45" i="6"/>
  <c r="U45" i="6"/>
  <c r="BD45" i="6"/>
  <c r="T45" i="6"/>
  <c r="AL45" i="6"/>
  <c r="BB45" i="6"/>
  <c r="M45" i="6"/>
  <c r="BC45" i="6"/>
  <c r="AA45" i="6"/>
  <c r="BF45" i="6"/>
  <c r="AC45" i="6"/>
  <c r="AE61" i="6"/>
  <c r="L61" i="6"/>
  <c r="AP61" i="6"/>
  <c r="AJ61" i="6"/>
  <c r="BA61" i="6"/>
  <c r="AR61" i="6"/>
  <c r="AC61" i="6"/>
  <c r="BL61" i="6"/>
  <c r="H61" i="6"/>
  <c r="T61" i="6"/>
  <c r="BF61" i="6"/>
  <c r="AU61" i="6"/>
  <c r="Y61" i="6"/>
  <c r="AK61" i="6"/>
  <c r="BB61" i="6"/>
  <c r="I61" i="6"/>
  <c r="AZ61" i="6"/>
  <c r="AW61" i="6"/>
  <c r="AV61" i="6"/>
  <c r="AN61" i="6"/>
  <c r="AA61" i="6"/>
  <c r="U61" i="6"/>
  <c r="BN61" i="6"/>
  <c r="BM61" i="6"/>
  <c r="AH61" i="6"/>
  <c r="P61" i="6"/>
  <c r="M61" i="6"/>
  <c r="F61" i="6"/>
  <c r="AY61" i="6"/>
  <c r="AS61" i="6"/>
  <c r="AF61" i="6"/>
  <c r="K61" i="6"/>
  <c r="BE61" i="6"/>
  <c r="V61" i="6"/>
  <c r="AM61" i="6"/>
  <c r="R61" i="6"/>
  <c r="AO61" i="6"/>
  <c r="N61" i="6"/>
  <c r="J61" i="6"/>
  <c r="BJ61" i="6"/>
  <c r="AX61" i="6"/>
  <c r="X61" i="6"/>
  <c r="W61" i="6"/>
  <c r="S61" i="6"/>
  <c r="BK61" i="6"/>
  <c r="O61" i="6"/>
  <c r="BG61" i="6"/>
  <c r="AL61" i="6"/>
  <c r="BD61" i="6"/>
  <c r="AB61" i="6"/>
  <c r="AQ61" i="6"/>
  <c r="BH61" i="6"/>
  <c r="AD61" i="6"/>
  <c r="BC61" i="6"/>
  <c r="AT61" i="6"/>
  <c r="Z61" i="6"/>
  <c r="AI61" i="6"/>
  <c r="BI61" i="6"/>
  <c r="Q61" i="6"/>
  <c r="AG61" i="6"/>
  <c r="G61" i="6"/>
  <c r="F126" i="5"/>
  <c r="AD110" i="6"/>
  <c r="BF110" i="6"/>
  <c r="AE110" i="6"/>
  <c r="BG110" i="6"/>
  <c r="O110" i="6"/>
  <c r="AP110" i="6"/>
  <c r="P110" i="6"/>
  <c r="AW110" i="6"/>
  <c r="Q110" i="6"/>
  <c r="AY110" i="6"/>
  <c r="AF110" i="6"/>
  <c r="AH110" i="6"/>
  <c r="AI110" i="6"/>
  <c r="AL110" i="6"/>
  <c r="AZ110" i="6"/>
  <c r="K110" i="6"/>
  <c r="BE110" i="6"/>
  <c r="AB110" i="6"/>
  <c r="AC110" i="6"/>
  <c r="BA110" i="6"/>
  <c r="BI110" i="6"/>
  <c r="R110" i="6"/>
  <c r="N110" i="6"/>
  <c r="F110" i="6"/>
  <c r="M110" i="6"/>
  <c r="J110" i="6"/>
  <c r="BB110" i="6"/>
  <c r="BK110" i="6"/>
  <c r="W110" i="6"/>
  <c r="H110" i="6"/>
  <c r="AK110" i="6"/>
  <c r="Y110" i="6"/>
  <c r="BC110" i="6"/>
  <c r="AX110" i="6"/>
  <c r="AN110" i="6"/>
  <c r="AM110" i="6"/>
  <c r="U110" i="6"/>
  <c r="S110" i="6"/>
  <c r="AG110" i="6"/>
  <c r="I110" i="6"/>
  <c r="BL110" i="6"/>
  <c r="AQ110" i="6"/>
  <c r="BN110" i="6"/>
  <c r="Z110" i="6"/>
  <c r="AU110" i="6"/>
  <c r="BJ110" i="6"/>
  <c r="AA110" i="6"/>
  <c r="X110" i="6"/>
  <c r="V110" i="6"/>
  <c r="AO110" i="6"/>
  <c r="AV110" i="6"/>
  <c r="T110" i="6"/>
  <c r="G110" i="6"/>
  <c r="AS110" i="6"/>
  <c r="BM110" i="6"/>
  <c r="AR110" i="6"/>
  <c r="L110" i="6"/>
  <c r="AJ110" i="6"/>
  <c r="BD110" i="6"/>
  <c r="BH110" i="6"/>
  <c r="BE97" i="6"/>
  <c r="AT97" i="6"/>
  <c r="F97" i="6"/>
  <c r="Y97" i="6"/>
  <c r="AI97" i="6"/>
  <c r="M97" i="6"/>
  <c r="BI97" i="6"/>
  <c r="X97" i="6"/>
  <c r="AX97" i="6"/>
  <c r="K97" i="6"/>
  <c r="Z97" i="6"/>
  <c r="J97" i="6"/>
  <c r="AQ97" i="6"/>
  <c r="AC97" i="6"/>
  <c r="BF97" i="6"/>
  <c r="AM97" i="6"/>
  <c r="AB97" i="6"/>
  <c r="BK97" i="6"/>
  <c r="AY97" i="6"/>
  <c r="BN97" i="6"/>
  <c r="L97" i="6"/>
  <c r="V97" i="6"/>
  <c r="R97" i="6"/>
  <c r="G97" i="6"/>
  <c r="BL97" i="6"/>
  <c r="AA97" i="6"/>
  <c r="AN97" i="6"/>
  <c r="AU97" i="6"/>
  <c r="BB97" i="6"/>
  <c r="P97" i="6"/>
  <c r="BM97" i="6"/>
  <c r="AL97" i="6"/>
  <c r="AK97" i="6"/>
  <c r="BJ97" i="6"/>
  <c r="BA97" i="6"/>
  <c r="I97" i="6"/>
  <c r="BG97" i="6"/>
  <c r="H97" i="6"/>
  <c r="U97" i="6"/>
  <c r="W97" i="6"/>
  <c r="BD97" i="6"/>
  <c r="AG97" i="6"/>
  <c r="AP97" i="6"/>
  <c r="AF97" i="6"/>
  <c r="AS97" i="6"/>
  <c r="BH97" i="6"/>
  <c r="AH97" i="6"/>
  <c r="AV97" i="6"/>
  <c r="T97" i="6"/>
  <c r="AW97" i="6"/>
  <c r="AE97" i="6"/>
  <c r="AO97" i="6"/>
  <c r="AJ97" i="6"/>
  <c r="BC97" i="6"/>
  <c r="O97" i="6"/>
  <c r="AD97" i="6"/>
  <c r="AR97" i="6"/>
  <c r="Q97" i="6"/>
  <c r="S97" i="6"/>
  <c r="N97" i="6"/>
  <c r="AZ97" i="6"/>
  <c r="I47" i="6"/>
  <c r="U47" i="6"/>
  <c r="AG47" i="6"/>
  <c r="AS47" i="6"/>
  <c r="BE47" i="6"/>
  <c r="H47" i="6"/>
  <c r="V47" i="6"/>
  <c r="AI47" i="6"/>
  <c r="AV47" i="6"/>
  <c r="BI47" i="6"/>
  <c r="J47" i="6"/>
  <c r="W47" i="6"/>
  <c r="AJ47" i="6"/>
  <c r="AW47" i="6"/>
  <c r="BJ47" i="6"/>
  <c r="N47" i="6"/>
  <c r="AA47" i="6"/>
  <c r="AN47" i="6"/>
  <c r="BA47" i="6"/>
  <c r="BN47" i="6"/>
  <c r="F47" i="6"/>
  <c r="Y47" i="6"/>
  <c r="AP47" i="6"/>
  <c r="BG47" i="6"/>
  <c r="G47" i="6"/>
  <c r="Z47" i="6"/>
  <c r="AQ47" i="6"/>
  <c r="BH47" i="6"/>
  <c r="P47" i="6"/>
  <c r="AF47" i="6"/>
  <c r="AY47" i="6"/>
  <c r="Q47" i="6"/>
  <c r="AH47" i="6"/>
  <c r="AZ47" i="6"/>
  <c r="R47" i="6"/>
  <c r="AK47" i="6"/>
  <c r="BB47" i="6"/>
  <c r="S47" i="6"/>
  <c r="AL47" i="6"/>
  <c r="BC47" i="6"/>
  <c r="AD47" i="6"/>
  <c r="BM47" i="6"/>
  <c r="AE47" i="6"/>
  <c r="AM47" i="6"/>
  <c r="AO47" i="6"/>
  <c r="L47" i="6"/>
  <c r="AT47" i="6"/>
  <c r="K47" i="6"/>
  <c r="AR47" i="6"/>
  <c r="M47" i="6"/>
  <c r="AU47" i="6"/>
  <c r="O47" i="6"/>
  <c r="AC47" i="6"/>
  <c r="T47" i="6"/>
  <c r="X47" i="6"/>
  <c r="AB47" i="6"/>
  <c r="AX47" i="6"/>
  <c r="BD47" i="6"/>
  <c r="BF47" i="6"/>
  <c r="BK47" i="6"/>
  <c r="BL47" i="6"/>
  <c r="M84" i="6"/>
  <c r="AH84" i="6"/>
  <c r="AW84" i="6"/>
  <c r="P84" i="6"/>
  <c r="AC84" i="6"/>
  <c r="S84" i="6"/>
  <c r="AQ84" i="6"/>
  <c r="AV84" i="6"/>
  <c r="BN84" i="6"/>
  <c r="AC31" i="6"/>
  <c r="U31" i="6"/>
  <c r="AJ31" i="6"/>
  <c r="G31" i="6"/>
  <c r="AD31" i="6"/>
  <c r="AL120" i="6"/>
  <c r="AF120" i="6"/>
  <c r="F120" i="6"/>
  <c r="I120" i="6"/>
  <c r="BB120" i="6"/>
  <c r="AY120" i="6"/>
  <c r="AT120" i="6"/>
  <c r="W120" i="6"/>
  <c r="AB120" i="6"/>
  <c r="AI120" i="6"/>
  <c r="BL120" i="6"/>
  <c r="BI120" i="6"/>
  <c r="AP120" i="6"/>
  <c r="AW120" i="6"/>
  <c r="O120" i="6"/>
  <c r="P120" i="6"/>
  <c r="T120" i="6"/>
  <c r="BK120" i="6"/>
  <c r="J120" i="6"/>
  <c r="S120" i="6"/>
  <c r="X120" i="6"/>
  <c r="BF120" i="6"/>
  <c r="U120" i="6"/>
  <c r="AQ120" i="6"/>
  <c r="AZ120" i="6"/>
  <c r="AJ120" i="6"/>
  <c r="Q120" i="6"/>
  <c r="AN120" i="6"/>
  <c r="BM120" i="6"/>
  <c r="AC120" i="6"/>
  <c r="L120" i="6"/>
  <c r="BD120" i="6"/>
  <c r="M120" i="6"/>
  <c r="AR120" i="6"/>
  <c r="Z120" i="6"/>
  <c r="BC120" i="6"/>
  <c r="AE120" i="6"/>
  <c r="H120" i="6"/>
  <c r="AS120" i="6"/>
  <c r="AA120" i="6"/>
  <c r="BG120" i="6"/>
  <c r="AU120" i="6"/>
  <c r="R120" i="6"/>
  <c r="BN120" i="6"/>
  <c r="AM120" i="6"/>
  <c r="AX120" i="6"/>
  <c r="Y120" i="6"/>
  <c r="AD120" i="6"/>
  <c r="BE120" i="6"/>
  <c r="V120" i="6"/>
  <c r="AO120" i="6"/>
  <c r="BJ120" i="6"/>
  <c r="G120" i="6"/>
  <c r="AG120" i="6"/>
  <c r="BA120" i="6"/>
  <c r="AK120" i="6"/>
  <c r="AV120" i="6"/>
  <c r="BH120" i="6"/>
  <c r="AH120" i="6"/>
  <c r="K120" i="6"/>
  <c r="N120" i="6"/>
  <c r="N12" i="6"/>
  <c r="Z12" i="6"/>
  <c r="AL12" i="6"/>
  <c r="AX12" i="6"/>
  <c r="BJ12" i="6"/>
  <c r="O12" i="6"/>
  <c r="AA12" i="6"/>
  <c r="AM12" i="6"/>
  <c r="AY12" i="6"/>
  <c r="BK12" i="6"/>
  <c r="I12" i="6"/>
  <c r="U12" i="6"/>
  <c r="AG12" i="6"/>
  <c r="AS12" i="6"/>
  <c r="BE12" i="6"/>
  <c r="L12" i="6"/>
  <c r="AC12" i="6"/>
  <c r="AR12" i="6"/>
  <c r="BH12" i="6"/>
  <c r="M12" i="6"/>
  <c r="AD12" i="6"/>
  <c r="AT12" i="6"/>
  <c r="BI12" i="6"/>
  <c r="S12" i="6"/>
  <c r="AI12" i="6"/>
  <c r="AZ12" i="6"/>
  <c r="J12" i="6"/>
  <c r="AF12" i="6"/>
  <c r="BB12" i="6"/>
  <c r="K12" i="6"/>
  <c r="AH12" i="6"/>
  <c r="BC12" i="6"/>
  <c r="V12" i="6"/>
  <c r="AP12" i="6"/>
  <c r="BM12" i="6"/>
  <c r="W12" i="6"/>
  <c r="AQ12" i="6"/>
  <c r="BN12" i="6"/>
  <c r="X12" i="6"/>
  <c r="AU12" i="6"/>
  <c r="F12" i="6"/>
  <c r="Y12" i="6"/>
  <c r="AV12" i="6"/>
  <c r="H12" i="6"/>
  <c r="BA12" i="6"/>
  <c r="P12" i="6"/>
  <c r="BD12" i="6"/>
  <c r="Q12" i="6"/>
  <c r="BF12" i="6"/>
  <c r="R12" i="6"/>
  <c r="BG12" i="6"/>
  <c r="AB12" i="6"/>
  <c r="T12" i="6"/>
  <c r="BL12" i="6"/>
  <c r="AE12" i="6"/>
  <c r="AK12" i="6"/>
  <c r="AN12" i="6"/>
  <c r="AJ12" i="6"/>
  <c r="AO12" i="6"/>
  <c r="AW12" i="6"/>
  <c r="G12" i="6"/>
  <c r="F14" i="5"/>
  <c r="AX14" i="6" s="1"/>
  <c r="BN131" i="6"/>
  <c r="BI131" i="6"/>
  <c r="AJ131" i="6"/>
  <c r="AN131" i="6"/>
  <c r="AR131" i="6"/>
  <c r="AF131" i="6"/>
  <c r="AH131" i="6"/>
  <c r="O131" i="6"/>
  <c r="AO131" i="6"/>
  <c r="AW131" i="6"/>
  <c r="AE131" i="6"/>
  <c r="AC131" i="6"/>
  <c r="AL131" i="6"/>
  <c r="X131" i="6"/>
  <c r="J131" i="6"/>
  <c r="F131" i="6"/>
  <c r="AT131" i="6"/>
  <c r="AY131" i="6"/>
  <c r="BD131" i="6"/>
  <c r="BK131" i="6"/>
  <c r="K131" i="6"/>
  <c r="R131" i="6"/>
  <c r="T131" i="6"/>
  <c r="V131" i="6"/>
  <c r="BM131" i="6"/>
  <c r="BF131" i="6"/>
  <c r="AZ131" i="6"/>
  <c r="AQ131" i="6"/>
  <c r="P131" i="6"/>
  <c r="N131" i="6"/>
  <c r="G131" i="6"/>
  <c r="BH131" i="6"/>
  <c r="BA131" i="6"/>
  <c r="Y131" i="6"/>
  <c r="Q131" i="6"/>
  <c r="AK131" i="6"/>
  <c r="BL131" i="6"/>
  <c r="AG131" i="6"/>
  <c r="BC131" i="6"/>
  <c r="I131" i="6"/>
  <c r="BB131" i="6"/>
  <c r="W131" i="6"/>
  <c r="AD131" i="6"/>
  <c r="S131" i="6"/>
  <c r="BG131" i="6"/>
  <c r="AM131" i="6"/>
  <c r="AS131" i="6"/>
  <c r="H131" i="6"/>
  <c r="AU131" i="6"/>
  <c r="Z131" i="6"/>
  <c r="BJ131" i="6"/>
  <c r="AV131" i="6"/>
  <c r="AX131" i="6"/>
  <c r="AA131" i="6"/>
  <c r="L131" i="6"/>
  <c r="AB131" i="6"/>
  <c r="AP131" i="6"/>
  <c r="M131" i="6"/>
  <c r="U131" i="6"/>
  <c r="AI131" i="6"/>
  <c r="BE131" i="6"/>
  <c r="R46" i="6"/>
  <c r="G46" i="6"/>
  <c r="H46" i="6"/>
  <c r="AS46" i="6"/>
  <c r="AT46" i="6"/>
  <c r="AR46" i="6"/>
  <c r="BK46" i="6"/>
  <c r="AZ46" i="6"/>
  <c r="BE46" i="6"/>
  <c r="M46" i="6"/>
  <c r="I46" i="6"/>
  <c r="S46" i="6"/>
  <c r="L46" i="6"/>
  <c r="V46" i="6"/>
  <c r="AK46" i="6"/>
  <c r="AH46" i="6"/>
  <c r="N46" i="6"/>
  <c r="BD46" i="6"/>
  <c r="AI46" i="6"/>
  <c r="BC46" i="6"/>
  <c r="BF46" i="6"/>
  <c r="BL46" i="6"/>
  <c r="AV46" i="6"/>
  <c r="BN46" i="6"/>
  <c r="AB46" i="6"/>
  <c r="AY46" i="6"/>
  <c r="BB46" i="6"/>
  <c r="BM46" i="6"/>
  <c r="AF46" i="6"/>
  <c r="Z46" i="6"/>
  <c r="T46" i="6"/>
  <c r="AO46" i="6"/>
  <c r="U46" i="6"/>
  <c r="AJ46" i="6"/>
  <c r="BH46" i="6"/>
  <c r="F46" i="6"/>
  <c r="AP46" i="6"/>
  <c r="AW46" i="6"/>
  <c r="AX46" i="6"/>
  <c r="K46" i="6"/>
  <c r="BG46" i="6"/>
  <c r="AG46" i="6"/>
  <c r="AC46" i="6"/>
  <c r="BJ46" i="6"/>
  <c r="AE46" i="6"/>
  <c r="O46" i="6"/>
  <c r="AM46" i="6"/>
  <c r="BI46" i="6"/>
  <c r="AQ46" i="6"/>
  <c r="X46" i="6"/>
  <c r="AA46" i="6"/>
  <c r="P46" i="6"/>
  <c r="W46" i="6"/>
  <c r="AD46" i="6"/>
  <c r="J46" i="6"/>
  <c r="AN46" i="6"/>
  <c r="AL46" i="6"/>
  <c r="Y46" i="6"/>
  <c r="AU46" i="6"/>
  <c r="Q46" i="6"/>
  <c r="BA46" i="6"/>
  <c r="T11" i="6"/>
  <c r="AF11" i="6"/>
  <c r="AR11" i="6"/>
  <c r="BD11" i="6"/>
  <c r="I11" i="6"/>
  <c r="U11" i="6"/>
  <c r="AG11" i="6"/>
  <c r="AS11" i="6"/>
  <c r="BE11" i="6"/>
  <c r="O11" i="6"/>
  <c r="AA11" i="6"/>
  <c r="AM11" i="6"/>
  <c r="AY11" i="6"/>
  <c r="BK11" i="6"/>
  <c r="N11" i="6"/>
  <c r="AD11" i="6"/>
  <c r="AU11" i="6"/>
  <c r="BJ11" i="6"/>
  <c r="P11" i="6"/>
  <c r="AE11" i="6"/>
  <c r="AV11" i="6"/>
  <c r="BL11" i="6"/>
  <c r="V11" i="6"/>
  <c r="AK11" i="6"/>
  <c r="BA11" i="6"/>
  <c r="L11" i="6"/>
  <c r="AI11" i="6"/>
  <c r="BC11" i="6"/>
  <c r="M11" i="6"/>
  <c r="AJ11" i="6"/>
  <c r="BF11" i="6"/>
  <c r="X11" i="6"/>
  <c r="AQ11" i="6"/>
  <c r="BN11" i="6"/>
  <c r="Y11" i="6"/>
  <c r="AT11" i="6"/>
  <c r="Z11" i="6"/>
  <c r="AW11" i="6"/>
  <c r="AB11" i="6"/>
  <c r="AX11" i="6"/>
  <c r="AH11" i="6"/>
  <c r="AL11" i="6"/>
  <c r="AN11" i="6"/>
  <c r="AO11" i="6"/>
  <c r="J11" i="6"/>
  <c r="AZ11" i="6"/>
  <c r="AP11" i="6"/>
  <c r="K11" i="6"/>
  <c r="BB11" i="6"/>
  <c r="W11" i="6"/>
  <c r="AC11" i="6"/>
  <c r="Q11" i="6"/>
  <c r="R11" i="6"/>
  <c r="S11" i="6"/>
  <c r="BG11" i="6"/>
  <c r="BH11" i="6"/>
  <c r="BI11" i="6"/>
  <c r="BM11" i="6"/>
  <c r="K36" i="6"/>
  <c r="W36" i="6"/>
  <c r="AI36" i="6"/>
  <c r="AU36" i="6"/>
  <c r="BG36" i="6"/>
  <c r="I36" i="6"/>
  <c r="V36" i="6"/>
  <c r="AJ36" i="6"/>
  <c r="AW36" i="6"/>
  <c r="BJ36" i="6"/>
  <c r="J36" i="6"/>
  <c r="X36" i="6"/>
  <c r="AK36" i="6"/>
  <c r="AX36" i="6"/>
  <c r="BK36" i="6"/>
  <c r="O36" i="6"/>
  <c r="AB36" i="6"/>
  <c r="AO36" i="6"/>
  <c r="BB36" i="6"/>
  <c r="M36" i="6"/>
  <c r="AD36" i="6"/>
  <c r="AT36" i="6"/>
  <c r="BM36" i="6"/>
  <c r="N36" i="6"/>
  <c r="AE36" i="6"/>
  <c r="AV36" i="6"/>
  <c r="BN36" i="6"/>
  <c r="T36" i="6"/>
  <c r="AM36" i="6"/>
  <c r="BD36" i="6"/>
  <c r="U36" i="6"/>
  <c r="AN36" i="6"/>
  <c r="BE36" i="6"/>
  <c r="F36" i="6"/>
  <c r="Y36" i="6"/>
  <c r="AP36" i="6"/>
  <c r="BF36" i="6"/>
  <c r="G36" i="6"/>
  <c r="Z36" i="6"/>
  <c r="AQ36" i="6"/>
  <c r="BH36" i="6"/>
  <c r="S36" i="6"/>
  <c r="BC36" i="6"/>
  <c r="AA36" i="6"/>
  <c r="BI36" i="6"/>
  <c r="AC36" i="6"/>
  <c r="BL36" i="6"/>
  <c r="AF36" i="6"/>
  <c r="AH36" i="6"/>
  <c r="AG36" i="6"/>
  <c r="AL36" i="6"/>
  <c r="L36" i="6"/>
  <c r="AR36" i="6"/>
  <c r="P36" i="6"/>
  <c r="AS36" i="6"/>
  <c r="H36" i="6"/>
  <c r="Q36" i="6"/>
  <c r="R36" i="6"/>
  <c r="AY36" i="6"/>
  <c r="AZ36" i="6"/>
  <c r="BA36" i="6"/>
  <c r="S114" i="6"/>
  <c r="AX114" i="6"/>
  <c r="AN114" i="6"/>
  <c r="AA114" i="6"/>
  <c r="M114" i="6"/>
  <c r="AG114" i="6"/>
  <c r="BL114" i="6"/>
  <c r="BF114" i="6"/>
  <c r="AC114" i="6"/>
  <c r="AE114" i="6"/>
  <c r="AU114" i="6"/>
  <c r="P114" i="6"/>
  <c r="W114" i="6"/>
  <c r="I114" i="6"/>
  <c r="AF114" i="6"/>
  <c r="AV114" i="6"/>
  <c r="AH114" i="6"/>
  <c r="AL114" i="6"/>
  <c r="AQ114" i="6"/>
  <c r="AT114" i="6"/>
  <c r="BH114" i="6"/>
  <c r="AW114" i="6"/>
  <c r="BD114" i="6"/>
  <c r="BI114" i="6"/>
  <c r="K114" i="6"/>
  <c r="AB114" i="6"/>
  <c r="Q114" i="6"/>
  <c r="AS114" i="6"/>
  <c r="BK114" i="6"/>
  <c r="BG114" i="6"/>
  <c r="N114" i="6"/>
  <c r="G114" i="6"/>
  <c r="Y114" i="6"/>
  <c r="BA114" i="6"/>
  <c r="L114" i="6"/>
  <c r="U114" i="6"/>
  <c r="H114" i="6"/>
  <c r="X114" i="6"/>
  <c r="AI114" i="6"/>
  <c r="Z114" i="6"/>
  <c r="AJ114" i="6"/>
  <c r="AK114" i="6"/>
  <c r="AR114" i="6"/>
  <c r="AM114" i="6"/>
  <c r="BE114" i="6"/>
  <c r="V114" i="6"/>
  <c r="AP114" i="6"/>
  <c r="AO114" i="6"/>
  <c r="BN114" i="6"/>
  <c r="BB114" i="6"/>
  <c r="J114" i="6"/>
  <c r="BJ114" i="6"/>
  <c r="AD114" i="6"/>
  <c r="O114" i="6"/>
  <c r="F114" i="6"/>
  <c r="T114" i="6"/>
  <c r="BC114" i="6"/>
  <c r="R114" i="6"/>
  <c r="BM114" i="6"/>
  <c r="AY114" i="6"/>
  <c r="AZ114" i="6"/>
  <c r="BM141" i="6"/>
  <c r="BJ141" i="6"/>
  <c r="AY141" i="6"/>
  <c r="U141" i="6"/>
  <c r="H141" i="6"/>
  <c r="Q141" i="6"/>
  <c r="I141" i="6"/>
  <c r="N141" i="6"/>
  <c r="BE141" i="6"/>
  <c r="Y141" i="6"/>
  <c r="F141" i="6"/>
  <c r="AF141" i="6"/>
  <c r="AA141" i="6"/>
  <c r="AI141" i="6"/>
  <c r="V141" i="6"/>
  <c r="BL141" i="6"/>
  <c r="R141" i="6"/>
  <c r="AT141" i="6"/>
  <c r="AS141" i="6"/>
  <c r="BA141" i="6"/>
  <c r="AN141" i="6"/>
  <c r="BB141" i="6"/>
  <c r="AG141" i="6"/>
  <c r="AW141" i="6"/>
  <c r="BC141" i="6"/>
  <c r="BG141" i="6"/>
  <c r="BN141" i="6"/>
  <c r="AU141" i="6"/>
  <c r="K141" i="6"/>
  <c r="P141" i="6"/>
  <c r="X141" i="6"/>
  <c r="M141" i="6"/>
  <c r="BI141" i="6"/>
  <c r="AC141" i="6"/>
  <c r="AK141" i="6"/>
  <c r="AQ141" i="6"/>
  <c r="Z141" i="6"/>
  <c r="T141" i="6"/>
  <c r="AX141" i="6"/>
  <c r="BD141" i="6"/>
  <c r="AR141" i="6"/>
  <c r="J141" i="6"/>
  <c r="AM141" i="6"/>
  <c r="AL141" i="6"/>
  <c r="AZ141" i="6"/>
  <c r="BF141" i="6"/>
  <c r="BH141" i="6"/>
  <c r="W141" i="6"/>
  <c r="S141" i="6"/>
  <c r="AO141" i="6"/>
  <c r="AH141" i="6"/>
  <c r="G141" i="6"/>
  <c r="AV141" i="6"/>
  <c r="BK141" i="6"/>
  <c r="AJ141" i="6"/>
  <c r="AD141" i="6"/>
  <c r="AP141" i="6"/>
  <c r="AB141" i="6"/>
  <c r="L141" i="6"/>
  <c r="AE141" i="6"/>
  <c r="O141" i="6"/>
  <c r="G65" i="6"/>
  <c r="S65" i="6"/>
  <c r="AE65" i="6"/>
  <c r="AQ65" i="6"/>
  <c r="BC65" i="6"/>
  <c r="K65" i="6"/>
  <c r="X65" i="6"/>
  <c r="AK65" i="6"/>
  <c r="AX65" i="6"/>
  <c r="BK65" i="6"/>
  <c r="L65" i="6"/>
  <c r="Y65" i="6"/>
  <c r="AL65" i="6"/>
  <c r="AY65" i="6"/>
  <c r="BL65" i="6"/>
  <c r="Q65" i="6"/>
  <c r="AD65" i="6"/>
  <c r="AR65" i="6"/>
  <c r="BE65" i="6"/>
  <c r="R65" i="6"/>
  <c r="AF65" i="6"/>
  <c r="AS65" i="6"/>
  <c r="BF65" i="6"/>
  <c r="F65" i="6"/>
  <c r="T65" i="6"/>
  <c r="AG65" i="6"/>
  <c r="AT65" i="6"/>
  <c r="BG65" i="6"/>
  <c r="W65" i="6"/>
  <c r="AU65" i="6"/>
  <c r="Z65" i="6"/>
  <c r="AV65" i="6"/>
  <c r="AA65" i="6"/>
  <c r="AW65" i="6"/>
  <c r="H65" i="6"/>
  <c r="AB65" i="6"/>
  <c r="AZ65" i="6"/>
  <c r="I65" i="6"/>
  <c r="AC65" i="6"/>
  <c r="BA65" i="6"/>
  <c r="M65" i="6"/>
  <c r="AI65" i="6"/>
  <c r="BD65" i="6"/>
  <c r="N65" i="6"/>
  <c r="BH65" i="6"/>
  <c r="V65" i="6"/>
  <c r="BN65" i="6"/>
  <c r="O65" i="6"/>
  <c r="BI65" i="6"/>
  <c r="AH65" i="6"/>
  <c r="J65" i="6"/>
  <c r="P65" i="6"/>
  <c r="BJ65" i="6"/>
  <c r="U65" i="6"/>
  <c r="BM65" i="6"/>
  <c r="AP65" i="6"/>
  <c r="BB65" i="6"/>
  <c r="AJ65" i="6"/>
  <c r="AM65" i="6"/>
  <c r="AN65" i="6"/>
  <c r="AO65" i="6"/>
  <c r="G92" i="6"/>
  <c r="BM92" i="6"/>
  <c r="Y92" i="6"/>
  <c r="BH92" i="6"/>
  <c r="W92" i="6"/>
  <c r="U92" i="6"/>
  <c r="S92" i="6"/>
  <c r="AX92" i="6"/>
  <c r="J92" i="6"/>
  <c r="AS92" i="6"/>
  <c r="AI92" i="6"/>
  <c r="AK92" i="6"/>
  <c r="AB92" i="6"/>
  <c r="AH92" i="6"/>
  <c r="AT92" i="6"/>
  <c r="O92" i="6"/>
  <c r="AW92" i="6"/>
  <c r="BC92" i="6"/>
  <c r="AZ92" i="6"/>
  <c r="BI92" i="6"/>
  <c r="Q92" i="6"/>
  <c r="AY92" i="6"/>
  <c r="Z92" i="6"/>
  <c r="BD92" i="6"/>
  <c r="BA92" i="6"/>
  <c r="N92" i="6"/>
  <c r="BK92" i="6"/>
  <c r="AP92" i="6"/>
  <c r="V92" i="6"/>
  <c r="H92" i="6"/>
  <c r="BN92" i="6"/>
  <c r="AE92" i="6"/>
  <c r="M92" i="6"/>
  <c r="BG92" i="6"/>
  <c r="BB92" i="6"/>
  <c r="AO92" i="6"/>
  <c r="AA92" i="6"/>
  <c r="AN92" i="6"/>
  <c r="P92" i="6"/>
  <c r="K92" i="6"/>
  <c r="I92" i="6"/>
  <c r="BF92" i="6"/>
  <c r="AG92" i="6"/>
  <c r="AD92" i="6"/>
  <c r="L92" i="6"/>
  <c r="AU92" i="6"/>
  <c r="BJ92" i="6"/>
  <c r="T92" i="6"/>
  <c r="AJ92" i="6"/>
  <c r="AL92" i="6"/>
  <c r="AQ92" i="6"/>
  <c r="AM92" i="6"/>
  <c r="R92" i="6"/>
  <c r="AR92" i="6"/>
  <c r="BE92" i="6"/>
  <c r="BL92" i="6"/>
  <c r="X92" i="6"/>
  <c r="AV92" i="6"/>
  <c r="AF92" i="6"/>
  <c r="AC92" i="6"/>
  <c r="F92" i="6"/>
  <c r="L80" i="6"/>
  <c r="AB80" i="6"/>
  <c r="AQ80" i="6"/>
  <c r="BF80" i="6"/>
  <c r="R80" i="6"/>
  <c r="AH80" i="6"/>
  <c r="AZ80" i="6"/>
  <c r="S80" i="6"/>
  <c r="AI80" i="6"/>
  <c r="BB80" i="6"/>
  <c r="H80" i="6"/>
  <c r="Z80" i="6"/>
  <c r="AR80" i="6"/>
  <c r="BH80" i="6"/>
  <c r="K80" i="6"/>
  <c r="AC80" i="6"/>
  <c r="AS80" i="6"/>
  <c r="BI80" i="6"/>
  <c r="M80" i="6"/>
  <c r="AD80" i="6"/>
  <c r="AT80" i="6"/>
  <c r="BL80" i="6"/>
  <c r="G80" i="6"/>
  <c r="AN80" i="6"/>
  <c r="N80" i="6"/>
  <c r="AO80" i="6"/>
  <c r="P80" i="6"/>
  <c r="AP80" i="6"/>
  <c r="Q80" i="6"/>
  <c r="AU80" i="6"/>
  <c r="T80" i="6"/>
  <c r="AV80" i="6"/>
  <c r="V80" i="6"/>
  <c r="BC80" i="6"/>
  <c r="BM80" i="6"/>
  <c r="AE80" i="6"/>
  <c r="F80" i="6"/>
  <c r="BN80" i="6"/>
  <c r="U80" i="6"/>
  <c r="Y80" i="6"/>
  <c r="AF80" i="6"/>
  <c r="BE80" i="6"/>
  <c r="BG80" i="6"/>
  <c r="AG80" i="6"/>
  <c r="AK80" i="6"/>
  <c r="AX80" i="6"/>
  <c r="BD80" i="6"/>
  <c r="J80" i="6"/>
  <c r="BJ80" i="6"/>
  <c r="W80" i="6"/>
  <c r="AJ80" i="6"/>
  <c r="AW80" i="6"/>
  <c r="BK80" i="6"/>
  <c r="X80" i="6"/>
  <c r="O80" i="6"/>
  <c r="AA80" i="6"/>
  <c r="AY80" i="6"/>
  <c r="I80" i="6"/>
  <c r="AL80" i="6"/>
  <c r="BA80" i="6"/>
  <c r="AM80" i="6"/>
  <c r="AK2" i="6"/>
  <c r="M2" i="6"/>
  <c r="BB2" i="6"/>
  <c r="Q2" i="6"/>
  <c r="BJ2" i="6"/>
  <c r="P2" i="6"/>
  <c r="BG2" i="6"/>
  <c r="AE2" i="6"/>
  <c r="L2" i="6"/>
  <c r="AL2" i="6"/>
  <c r="AI2" i="6"/>
  <c r="AR2" i="6"/>
  <c r="AF2" i="6"/>
  <c r="AW2" i="6"/>
  <c r="BE2" i="6"/>
  <c r="BK2" i="6"/>
  <c r="T2" i="6"/>
  <c r="AA2" i="6"/>
  <c r="J2" i="6"/>
  <c r="AS2" i="6"/>
  <c r="BN2" i="6"/>
  <c r="AB2" i="6"/>
  <c r="K2" i="6"/>
  <c r="V2" i="6"/>
  <c r="BH2" i="6"/>
  <c r="Y2" i="6"/>
  <c r="AX2" i="6"/>
  <c r="AN2" i="6"/>
  <c r="BA2" i="6"/>
  <c r="AQ2" i="6"/>
  <c r="O2" i="6"/>
  <c r="AC2" i="6"/>
  <c r="N2" i="6"/>
  <c r="BD2" i="6"/>
  <c r="AU2" i="6"/>
  <c r="W2" i="6"/>
  <c r="BL2" i="6"/>
  <c r="BM2" i="6"/>
  <c r="AO2" i="6"/>
  <c r="AD2" i="6"/>
  <c r="AP2" i="6"/>
  <c r="R2" i="6"/>
  <c r="F2" i="6"/>
  <c r="AV2" i="6"/>
  <c r="S2" i="6"/>
  <c r="AG2" i="6"/>
  <c r="U2" i="6"/>
  <c r="AY2" i="6"/>
  <c r="AT2" i="6"/>
  <c r="Z2" i="6"/>
  <c r="BF2" i="6"/>
  <c r="AJ2" i="6"/>
  <c r="H2" i="6"/>
  <c r="X2" i="6"/>
  <c r="BC2" i="6"/>
  <c r="BI2" i="6"/>
  <c r="AH2" i="6"/>
  <c r="G2" i="6"/>
  <c r="AM2" i="6"/>
  <c r="AZ2" i="6"/>
  <c r="I2" i="6"/>
  <c r="N63" i="6"/>
  <c r="AA63" i="6"/>
  <c r="AM63" i="6"/>
  <c r="AY63" i="6"/>
  <c r="BN63" i="6"/>
  <c r="S63" i="6"/>
  <c r="AE63" i="6"/>
  <c r="AQ63" i="6"/>
  <c r="BD63" i="6"/>
  <c r="F63" i="6"/>
  <c r="V63" i="6"/>
  <c r="AJ63" i="6"/>
  <c r="AX63" i="6"/>
  <c r="G63" i="6"/>
  <c r="W63" i="6"/>
  <c r="AK63" i="6"/>
  <c r="AZ63" i="6"/>
  <c r="M63" i="6"/>
  <c r="AC63" i="6"/>
  <c r="AR63" i="6"/>
  <c r="BG63" i="6"/>
  <c r="O63" i="6"/>
  <c r="AD63" i="6"/>
  <c r="AS63" i="6"/>
  <c r="BH63" i="6"/>
  <c r="Q63" i="6"/>
  <c r="AF63" i="6"/>
  <c r="AT63" i="6"/>
  <c r="BK63" i="6"/>
  <c r="T63" i="6"/>
  <c r="AP63" i="6"/>
  <c r="U63" i="6"/>
  <c r="AU63" i="6"/>
  <c r="X63" i="6"/>
  <c r="AV63" i="6"/>
  <c r="Y63" i="6"/>
  <c r="AW63" i="6"/>
  <c r="Z63" i="6"/>
  <c r="BA63" i="6"/>
  <c r="AG63" i="6"/>
  <c r="BE63" i="6"/>
  <c r="AL63" i="6"/>
  <c r="I63" i="6"/>
  <c r="BF63" i="6"/>
  <c r="BL63" i="6"/>
  <c r="AN63" i="6"/>
  <c r="J63" i="6"/>
  <c r="AO63" i="6"/>
  <c r="BC63" i="6"/>
  <c r="AH63" i="6"/>
  <c r="AI63" i="6"/>
  <c r="K63" i="6"/>
  <c r="BM63" i="6"/>
  <c r="L63" i="6"/>
  <c r="R63" i="6"/>
  <c r="AB63" i="6"/>
  <c r="Q147" i="6"/>
  <c r="S147" i="6"/>
  <c r="AM147" i="6"/>
  <c r="BF147" i="6"/>
  <c r="AN147" i="6"/>
  <c r="BE147" i="6"/>
  <c r="AJ147" i="6"/>
  <c r="BM147" i="6"/>
  <c r="AR147" i="6"/>
  <c r="AE147" i="6"/>
  <c r="AW147" i="6"/>
  <c r="I147" i="6"/>
  <c r="BI147" i="6"/>
  <c r="AV147" i="6"/>
  <c r="BJ147" i="6"/>
  <c r="X147" i="6"/>
  <c r="AA147" i="6"/>
  <c r="N147" i="6"/>
  <c r="K147" i="6"/>
  <c r="G147" i="6"/>
  <c r="AL147" i="6"/>
  <c r="AS147" i="6"/>
  <c r="BC147" i="6"/>
  <c r="R147" i="6"/>
  <c r="F147" i="6"/>
  <c r="U147" i="6"/>
  <c r="AZ147" i="6"/>
  <c r="BK147" i="6"/>
  <c r="AF147" i="6"/>
  <c r="W147" i="6"/>
  <c r="AQ147" i="6"/>
  <c r="P147" i="6"/>
  <c r="AK147" i="6"/>
  <c r="AC147" i="6"/>
  <c r="AD147" i="6"/>
  <c r="AY147" i="6"/>
  <c r="AU147" i="6"/>
  <c r="AI147" i="6"/>
  <c r="AX147" i="6"/>
  <c r="AT147" i="6"/>
  <c r="BB147" i="6"/>
  <c r="BA147" i="6"/>
  <c r="J147" i="6"/>
  <c r="AG147" i="6"/>
  <c r="AH147" i="6"/>
  <c r="AB147" i="6"/>
  <c r="AP147" i="6"/>
  <c r="T147" i="6"/>
  <c r="M147" i="6"/>
  <c r="BH147" i="6"/>
  <c r="Z147" i="6"/>
  <c r="AO147" i="6"/>
  <c r="Y147" i="6"/>
  <c r="BL147" i="6"/>
  <c r="BN147" i="6"/>
  <c r="BG147" i="6"/>
  <c r="O147" i="6"/>
  <c r="BD147" i="6"/>
  <c r="H147" i="6"/>
  <c r="V147" i="6"/>
  <c r="L147" i="6"/>
  <c r="AB95" i="6"/>
  <c r="AA95" i="6"/>
  <c r="AE95" i="6"/>
  <c r="AN95" i="6"/>
  <c r="Z95" i="6"/>
  <c r="AO95" i="6"/>
  <c r="AR95" i="6"/>
  <c r="AX95" i="6"/>
  <c r="BL95" i="6"/>
  <c r="BA95" i="6"/>
  <c r="BB95" i="6"/>
  <c r="BJ95" i="6"/>
  <c r="G95" i="6"/>
  <c r="S95" i="6"/>
  <c r="AI95" i="6"/>
  <c r="R95" i="6"/>
  <c r="J95" i="6"/>
  <c r="AJ95" i="6"/>
  <c r="AP95" i="6"/>
  <c r="BD95" i="6"/>
  <c r="I95" i="6"/>
  <c r="BI95" i="6"/>
  <c r="BM95" i="6"/>
  <c r="AK95" i="6"/>
  <c r="V95" i="6"/>
  <c r="BF95" i="6"/>
  <c r="U95" i="6"/>
  <c r="H95" i="6"/>
  <c r="L95" i="6"/>
  <c r="BH95" i="6"/>
  <c r="AT95" i="6"/>
  <c r="AU95" i="6"/>
  <c r="N95" i="6"/>
  <c r="AH95" i="6"/>
  <c r="AV95" i="6"/>
  <c r="AQ95" i="6"/>
  <c r="AG95" i="6"/>
  <c r="AD95" i="6"/>
  <c r="Y95" i="6"/>
  <c r="AS95" i="6"/>
  <c r="AW95" i="6"/>
  <c r="AZ95" i="6"/>
  <c r="BE95" i="6"/>
  <c r="BN95" i="6"/>
  <c r="W95" i="6"/>
  <c r="O95" i="6"/>
  <c r="M95" i="6"/>
  <c r="AY95" i="6"/>
  <c r="AF95" i="6"/>
  <c r="BG95" i="6"/>
  <c r="F95" i="6"/>
  <c r="X95" i="6"/>
  <c r="AM95" i="6"/>
  <c r="BC95" i="6"/>
  <c r="K95" i="6"/>
  <c r="AC95" i="6"/>
  <c r="P95" i="6"/>
  <c r="AL95" i="6"/>
  <c r="BK95" i="6"/>
  <c r="Q95" i="6"/>
  <c r="T95" i="6"/>
  <c r="AX99" i="6"/>
  <c r="AR99" i="6"/>
  <c r="AV99" i="6"/>
  <c r="AF99" i="6"/>
  <c r="T99" i="6"/>
  <c r="BK99" i="6"/>
  <c r="BI99" i="6"/>
  <c r="AA99" i="6"/>
  <c r="BH99" i="6"/>
  <c r="W99" i="6"/>
  <c r="G99" i="6"/>
  <c r="P99" i="6"/>
  <c r="AW99" i="6"/>
  <c r="M99" i="6"/>
  <c r="AT99" i="6"/>
  <c r="V99" i="6"/>
  <c r="AH99" i="6"/>
  <c r="AC99" i="6"/>
  <c r="AN99" i="6"/>
  <c r="AU99" i="6"/>
  <c r="AG99" i="6"/>
  <c r="BM99" i="6"/>
  <c r="AL99" i="6"/>
  <c r="AD99" i="6"/>
  <c r="BL99" i="6"/>
  <c r="AS99" i="6"/>
  <c r="S99" i="6"/>
  <c r="BC99" i="6"/>
  <c r="BF99" i="6"/>
  <c r="AP99" i="6"/>
  <c r="U99" i="6"/>
  <c r="Q99" i="6"/>
  <c r="N99" i="6"/>
  <c r="AY99" i="6"/>
  <c r="F99" i="6"/>
  <c r="AI99" i="6"/>
  <c r="H99" i="6"/>
  <c r="AZ99" i="6"/>
  <c r="AE99" i="6"/>
  <c r="L99" i="6"/>
  <c r="BG99" i="6"/>
  <c r="AB99" i="6"/>
  <c r="J99" i="6"/>
  <c r="I99" i="6"/>
  <c r="BB99" i="6"/>
  <c r="BJ99" i="6"/>
  <c r="AO99" i="6"/>
  <c r="BE99" i="6"/>
  <c r="O99" i="6"/>
  <c r="K99" i="6"/>
  <c r="AQ99" i="6"/>
  <c r="X99" i="6"/>
  <c r="Y99" i="6"/>
  <c r="AK99" i="6"/>
  <c r="AJ99" i="6"/>
  <c r="R99" i="6"/>
  <c r="AM99" i="6"/>
  <c r="BA99" i="6"/>
  <c r="BN99" i="6"/>
  <c r="Z99" i="6"/>
  <c r="BD99" i="6"/>
  <c r="F148" i="5"/>
  <c r="F8" i="5"/>
  <c r="F113" i="5"/>
  <c r="H41" i="6"/>
  <c r="T41" i="6"/>
  <c r="AF41" i="6"/>
  <c r="AT41" i="6"/>
  <c r="BF41" i="6"/>
  <c r="F41" i="6"/>
  <c r="S41" i="6"/>
  <c r="AG41" i="6"/>
  <c r="AV41" i="6"/>
  <c r="BI41" i="6"/>
  <c r="G41" i="6"/>
  <c r="U41" i="6"/>
  <c r="AH41" i="6"/>
  <c r="AW41" i="6"/>
  <c r="BJ41" i="6"/>
  <c r="L41" i="6"/>
  <c r="Y41" i="6"/>
  <c r="AM41" i="6"/>
  <c r="BA41" i="6"/>
  <c r="W41" i="6"/>
  <c r="AO41" i="6"/>
  <c r="BG41" i="6"/>
  <c r="X41" i="6"/>
  <c r="AQ41" i="6"/>
  <c r="BH41" i="6"/>
  <c r="N41" i="6"/>
  <c r="AD41" i="6"/>
  <c r="AY41" i="6"/>
  <c r="O41" i="6"/>
  <c r="AE41" i="6"/>
  <c r="AZ41" i="6"/>
  <c r="P41" i="6"/>
  <c r="AI41" i="6"/>
  <c r="BB41" i="6"/>
  <c r="Q41" i="6"/>
  <c r="AK41" i="6"/>
  <c r="BC41" i="6"/>
  <c r="M41" i="6"/>
  <c r="AX41" i="6"/>
  <c r="R41" i="6"/>
  <c r="BD41" i="6"/>
  <c r="V41" i="6"/>
  <c r="BE41" i="6"/>
  <c r="Z41" i="6"/>
  <c r="BK41" i="6"/>
  <c r="AB41" i="6"/>
  <c r="BN41" i="6"/>
  <c r="AA41" i="6"/>
  <c r="BM41" i="6"/>
  <c r="AC41" i="6"/>
  <c r="I41" i="6"/>
  <c r="AN41" i="6"/>
  <c r="J41" i="6"/>
  <c r="AR41" i="6"/>
  <c r="K41" i="6"/>
  <c r="AL41" i="6"/>
  <c r="AS41" i="6"/>
  <c r="AU41" i="6"/>
  <c r="V100" i="6"/>
  <c r="J100" i="6"/>
  <c r="AQ100" i="6"/>
  <c r="K100" i="6"/>
  <c r="R100" i="6"/>
  <c r="AV100" i="6"/>
  <c r="AR100" i="6"/>
  <c r="AC100" i="6"/>
  <c r="BE100" i="6"/>
  <c r="AU100" i="6"/>
  <c r="O100" i="6"/>
  <c r="AO100" i="6"/>
  <c r="BF100" i="6"/>
  <c r="G100" i="6"/>
  <c r="N100" i="6"/>
  <c r="AW100" i="6"/>
  <c r="AA100" i="6"/>
  <c r="BC100" i="6"/>
  <c r="W100" i="6"/>
  <c r="AF100" i="6"/>
  <c r="AK100" i="6"/>
  <c r="AI100" i="6"/>
  <c r="AP100" i="6"/>
  <c r="AH100" i="6"/>
  <c r="AT100" i="6"/>
  <c r="AD100" i="6"/>
  <c r="AL100" i="6"/>
  <c r="BJ100" i="6"/>
  <c r="BA100" i="6"/>
  <c r="AS100" i="6"/>
  <c r="AM100" i="6"/>
  <c r="AB100" i="6"/>
  <c r="BB100" i="6"/>
  <c r="S100" i="6"/>
  <c r="AY100" i="6"/>
  <c r="BH100" i="6"/>
  <c r="H100" i="6"/>
  <c r="AX100" i="6"/>
  <c r="BK100" i="6"/>
  <c r="U100" i="6"/>
  <c r="AG100" i="6"/>
  <c r="T100" i="6"/>
  <c r="X100" i="6"/>
  <c r="BL100" i="6"/>
  <c r="F100" i="6"/>
  <c r="AZ100" i="6"/>
  <c r="I100" i="6"/>
  <c r="BD100" i="6"/>
  <c r="L100" i="6"/>
  <c r="BG100" i="6"/>
  <c r="BI100" i="6"/>
  <c r="M100" i="6"/>
  <c r="AJ100" i="6"/>
  <c r="Z100" i="6"/>
  <c r="BM100" i="6"/>
  <c r="Y100" i="6"/>
  <c r="P100" i="6"/>
  <c r="BN100" i="6"/>
  <c r="AE100" i="6"/>
  <c r="Q100" i="6"/>
  <c r="AN100" i="6"/>
  <c r="BC71" i="6"/>
  <c r="Y71" i="6"/>
  <c r="AA71" i="6"/>
  <c r="BB71" i="6"/>
  <c r="AC71" i="6"/>
  <c r="BA71" i="6"/>
  <c r="M71" i="6"/>
  <c r="AQ71" i="6"/>
  <c r="AN71" i="6"/>
  <c r="AV71" i="6"/>
  <c r="H71" i="6"/>
  <c r="AU71" i="6"/>
  <c r="X71" i="6"/>
  <c r="Z71" i="6"/>
  <c r="BG71" i="6"/>
  <c r="BF71" i="6"/>
  <c r="O71" i="6"/>
  <c r="BN71" i="6"/>
  <c r="AM71" i="6"/>
  <c r="N71" i="6"/>
  <c r="V71" i="6"/>
  <c r="AX71" i="6"/>
  <c r="AH71" i="6"/>
  <c r="BH71" i="6"/>
  <c r="Q71" i="6"/>
  <c r="BJ71" i="6"/>
  <c r="AZ71" i="6"/>
  <c r="AD71" i="6"/>
  <c r="AO71" i="6"/>
  <c r="AT71" i="6"/>
  <c r="BM71" i="6"/>
  <c r="U71" i="6"/>
  <c r="P71" i="6"/>
  <c r="AF71" i="6"/>
  <c r="AK71" i="6"/>
  <c r="F71" i="6"/>
  <c r="AI71" i="6"/>
  <c r="W71" i="6"/>
  <c r="AW71" i="6"/>
  <c r="AP71" i="6"/>
  <c r="AR71" i="6"/>
  <c r="BE71" i="6"/>
  <c r="G71" i="6"/>
  <c r="K71" i="6"/>
  <c r="L71" i="6"/>
  <c r="J71" i="6"/>
  <c r="I71" i="6"/>
  <c r="AG71" i="6"/>
  <c r="R71" i="6"/>
  <c r="AL71" i="6"/>
  <c r="BK71" i="6"/>
  <c r="BI71" i="6"/>
  <c r="AY71" i="6"/>
  <c r="AS71" i="6"/>
  <c r="AE71" i="6"/>
  <c r="AJ71" i="6"/>
  <c r="BD71" i="6"/>
  <c r="AB71" i="6"/>
  <c r="BL71" i="6"/>
  <c r="T71" i="6"/>
  <c r="S71" i="6"/>
  <c r="F66" i="5"/>
  <c r="AI125" i="6"/>
  <c r="AE125" i="6"/>
  <c r="BL125" i="6"/>
  <c r="AG125" i="6"/>
  <c r="U125" i="6"/>
  <c r="AV125" i="6"/>
  <c r="AS125" i="6"/>
  <c r="H125" i="6"/>
  <c r="AY125" i="6"/>
  <c r="BD125" i="6"/>
  <c r="BI125" i="6"/>
  <c r="BG125" i="6"/>
  <c r="Z125" i="6"/>
  <c r="AH125" i="6"/>
  <c r="BH125" i="6"/>
  <c r="N125" i="6"/>
  <c r="W125" i="6"/>
  <c r="AU125" i="6"/>
  <c r="Q125" i="6"/>
  <c r="AL125" i="6"/>
  <c r="AD125" i="6"/>
  <c r="BE125" i="6"/>
  <c r="X125" i="6"/>
  <c r="AA125" i="6"/>
  <c r="AJ125" i="6"/>
  <c r="AP125" i="6"/>
  <c r="O125" i="6"/>
  <c r="AO125" i="6"/>
  <c r="AW125" i="6"/>
  <c r="BA125" i="6"/>
  <c r="BN125" i="6"/>
  <c r="AR125" i="6"/>
  <c r="G125" i="6"/>
  <c r="AF125" i="6"/>
  <c r="AK125" i="6"/>
  <c r="BJ125" i="6"/>
  <c r="BC125" i="6"/>
  <c r="AB125" i="6"/>
  <c r="K125" i="6"/>
  <c r="AQ125" i="6"/>
  <c r="AX125" i="6"/>
  <c r="AC125" i="6"/>
  <c r="L125" i="6"/>
  <c r="BF125" i="6"/>
  <c r="M125" i="6"/>
  <c r="P125" i="6"/>
  <c r="AZ125" i="6"/>
  <c r="AN125" i="6"/>
  <c r="S125" i="6"/>
  <c r="R125" i="6"/>
  <c r="BB125" i="6"/>
  <c r="I125" i="6"/>
  <c r="V125" i="6"/>
  <c r="BK125" i="6"/>
  <c r="Y125" i="6"/>
  <c r="AT125" i="6"/>
  <c r="BM125" i="6"/>
  <c r="J125" i="6"/>
  <c r="F125" i="6"/>
  <c r="T125" i="6"/>
  <c r="AM125" i="6"/>
  <c r="F106" i="6"/>
  <c r="R106" i="6"/>
  <c r="AD106" i="6"/>
  <c r="AP106" i="6"/>
  <c r="BB106" i="6"/>
  <c r="N106" i="6"/>
  <c r="AA106" i="6"/>
  <c r="AN106" i="6"/>
  <c r="BA106" i="6"/>
  <c r="O106" i="6"/>
  <c r="AB106" i="6"/>
  <c r="AO106" i="6"/>
  <c r="BC106" i="6"/>
  <c r="H106" i="6"/>
  <c r="U106" i="6"/>
  <c r="AH106" i="6"/>
  <c r="AU106" i="6"/>
  <c r="BI106" i="6"/>
  <c r="I106" i="6"/>
  <c r="V106" i="6"/>
  <c r="AI106" i="6"/>
  <c r="AV106" i="6"/>
  <c r="BJ106" i="6"/>
  <c r="J106" i="6"/>
  <c r="W106" i="6"/>
  <c r="AJ106" i="6"/>
  <c r="AW106" i="6"/>
  <c r="BK106" i="6"/>
  <c r="Q106" i="6"/>
  <c r="AM106" i="6"/>
  <c r="BL106" i="6"/>
  <c r="S106" i="6"/>
  <c r="AQ106" i="6"/>
  <c r="BM106" i="6"/>
  <c r="T106" i="6"/>
  <c r="AR106" i="6"/>
  <c r="BN106" i="6"/>
  <c r="X106" i="6"/>
  <c r="AS106" i="6"/>
  <c r="Y106" i="6"/>
  <c r="AT106" i="6"/>
  <c r="AC106" i="6"/>
  <c r="AY106" i="6"/>
  <c r="Z106" i="6"/>
  <c r="AK106" i="6"/>
  <c r="AL106" i="6"/>
  <c r="AE106" i="6"/>
  <c r="BG106" i="6"/>
  <c r="AF106" i="6"/>
  <c r="AG106" i="6"/>
  <c r="M106" i="6"/>
  <c r="BF106" i="6"/>
  <c r="P106" i="6"/>
  <c r="AX106" i="6"/>
  <c r="G106" i="6"/>
  <c r="AZ106" i="6"/>
  <c r="K106" i="6"/>
  <c r="BD106" i="6"/>
  <c r="L106" i="6"/>
  <c r="BE106" i="6"/>
  <c r="N77" i="6"/>
  <c r="BL77" i="6"/>
  <c r="AJ77" i="6"/>
  <c r="BJ77" i="6"/>
  <c r="V77" i="6"/>
  <c r="AA77" i="6"/>
  <c r="M77" i="6"/>
  <c r="BC77" i="6"/>
  <c r="H77" i="6"/>
  <c r="AV77" i="6"/>
  <c r="AN77" i="6"/>
  <c r="AD77" i="6"/>
  <c r="S77" i="6"/>
  <c r="AO77" i="6"/>
  <c r="Y77" i="6"/>
  <c r="BA77" i="6"/>
  <c r="AU77" i="6"/>
  <c r="AK77" i="6"/>
  <c r="BM77" i="6"/>
  <c r="AX77" i="6"/>
  <c r="X77" i="6"/>
  <c r="AF77" i="6"/>
  <c r="BH77" i="6"/>
  <c r="L77" i="6"/>
  <c r="AB77" i="6"/>
  <c r="I77" i="6"/>
  <c r="AL77" i="6"/>
  <c r="AY77" i="6"/>
  <c r="F77" i="6"/>
  <c r="AQ77" i="6"/>
  <c r="BF77" i="6"/>
  <c r="O77" i="6"/>
  <c r="AP77" i="6"/>
  <c r="J77" i="6"/>
  <c r="AC77" i="6"/>
  <c r="BG77" i="6"/>
  <c r="AZ77" i="6"/>
  <c r="AE77" i="6"/>
  <c r="R77" i="6"/>
  <c r="BI77" i="6"/>
  <c r="AH77" i="6"/>
  <c r="G77" i="6"/>
  <c r="AW77" i="6"/>
  <c r="AM77" i="6"/>
  <c r="AG77" i="6"/>
  <c r="AR77" i="6"/>
  <c r="AS77" i="6"/>
  <c r="AT77" i="6"/>
  <c r="BE77" i="6"/>
  <c r="W77" i="6"/>
  <c r="BN77" i="6"/>
  <c r="Z77" i="6"/>
  <c r="P77" i="6"/>
  <c r="AI77" i="6"/>
  <c r="BB77" i="6"/>
  <c r="U77" i="6"/>
  <c r="T77" i="6"/>
  <c r="BK77" i="6"/>
  <c r="Q77" i="6"/>
  <c r="K77" i="6"/>
  <c r="BD77" i="6"/>
  <c r="AV149" i="6"/>
  <c r="AW149" i="6"/>
  <c r="AN149" i="6"/>
  <c r="BM149" i="6"/>
  <c r="AZ149" i="6"/>
  <c r="BI149" i="6"/>
  <c r="BK149" i="6"/>
  <c r="BF149" i="6"/>
  <c r="AA149" i="6"/>
  <c r="BA149" i="6"/>
  <c r="Q149" i="6"/>
  <c r="O149" i="6"/>
  <c r="X149" i="6"/>
  <c r="K149" i="6"/>
  <c r="M149" i="6"/>
  <c r="F149" i="6"/>
  <c r="AF149" i="6"/>
  <c r="AK149" i="6"/>
  <c r="AO149" i="6"/>
  <c r="AB149" i="6"/>
  <c r="AE149" i="6"/>
  <c r="AP149" i="6"/>
  <c r="S149" i="6"/>
  <c r="AL149" i="6"/>
  <c r="Y149" i="6"/>
  <c r="AX149" i="6"/>
  <c r="BB149" i="6"/>
  <c r="AG149" i="6"/>
  <c r="BD149" i="6"/>
  <c r="AQ149" i="6"/>
  <c r="L149" i="6"/>
  <c r="BH149" i="6"/>
  <c r="G149" i="6"/>
  <c r="AD149" i="6"/>
  <c r="P149" i="6"/>
  <c r="AS149" i="6"/>
  <c r="BN149" i="6"/>
  <c r="U149" i="6"/>
  <c r="AC149" i="6"/>
  <c r="I149" i="6"/>
  <c r="AM149" i="6"/>
  <c r="AY149" i="6"/>
  <c r="V149" i="6"/>
  <c r="BE149" i="6"/>
  <c r="N149" i="6"/>
  <c r="AI149" i="6"/>
  <c r="W149" i="6"/>
  <c r="AJ149" i="6"/>
  <c r="H149" i="6"/>
  <c r="Z149" i="6"/>
  <c r="AR149" i="6"/>
  <c r="R149" i="6"/>
  <c r="J149" i="6"/>
  <c r="AU149" i="6"/>
  <c r="BJ149" i="6"/>
  <c r="T149" i="6"/>
  <c r="BL149" i="6"/>
  <c r="BG149" i="6"/>
  <c r="AH149" i="6"/>
  <c r="BC149" i="6"/>
  <c r="AT149" i="6"/>
  <c r="Y68" i="6"/>
  <c r="AH68" i="6"/>
  <c r="AI68" i="6"/>
  <c r="F68" i="6"/>
  <c r="S68" i="6"/>
  <c r="BD68" i="6"/>
  <c r="BE68" i="6"/>
  <c r="BF68" i="6"/>
  <c r="Z68" i="6"/>
  <c r="AD68" i="6"/>
  <c r="AF68" i="6"/>
  <c r="BB68" i="6"/>
  <c r="P68" i="6"/>
  <c r="BG68" i="6"/>
  <c r="AO68" i="6"/>
  <c r="N68" i="6"/>
  <c r="AL68" i="6"/>
  <c r="BL68" i="6"/>
  <c r="I68" i="6"/>
  <c r="AC68" i="6"/>
  <c r="M68" i="6"/>
  <c r="BI68" i="6"/>
  <c r="AT68" i="6"/>
  <c r="J68" i="6"/>
  <c r="AP68" i="6"/>
  <c r="AE68" i="6"/>
  <c r="W68" i="6"/>
  <c r="K68" i="6"/>
  <c r="BJ68" i="6"/>
  <c r="BC68" i="6"/>
  <c r="AU68" i="6"/>
  <c r="AQ68" i="6"/>
  <c r="AK68" i="6"/>
  <c r="H68" i="6"/>
  <c r="AX68" i="6"/>
  <c r="X68" i="6"/>
  <c r="AB68" i="6"/>
  <c r="AR68" i="6"/>
  <c r="AA68" i="6"/>
  <c r="AG68" i="6"/>
  <c r="AM68" i="6"/>
  <c r="AW68" i="6"/>
  <c r="AN68" i="6"/>
  <c r="AJ68" i="6"/>
  <c r="AS68" i="6"/>
  <c r="BK68" i="6"/>
  <c r="U68" i="6"/>
  <c r="BN68" i="6"/>
  <c r="AY68" i="6"/>
  <c r="T68" i="6"/>
  <c r="AZ68" i="6"/>
  <c r="R68" i="6"/>
  <c r="L68" i="6"/>
  <c r="BM68" i="6"/>
  <c r="V68" i="6"/>
  <c r="BH68" i="6"/>
  <c r="AV68" i="6"/>
  <c r="O68" i="6"/>
  <c r="Q68" i="6"/>
  <c r="R116" i="6"/>
  <c r="BJ116" i="6"/>
  <c r="S116" i="6"/>
  <c r="AP116" i="6"/>
  <c r="AQ116" i="6"/>
  <c r="AR116" i="6"/>
  <c r="T116" i="6"/>
  <c r="U116" i="6"/>
  <c r="Z116" i="6"/>
  <c r="AO116" i="6"/>
  <c r="BF116" i="6"/>
  <c r="BI116" i="6"/>
  <c r="BG116" i="6"/>
  <c r="AA116" i="6"/>
  <c r="AZ116" i="6"/>
  <c r="AG116" i="6"/>
  <c r="F116" i="6"/>
  <c r="K116" i="6"/>
  <c r="AI116" i="6"/>
  <c r="AN116" i="6"/>
  <c r="J116" i="6"/>
  <c r="P116" i="6"/>
  <c r="BB116" i="6"/>
  <c r="BA116" i="6"/>
  <c r="Y116" i="6"/>
  <c r="BE116" i="6"/>
  <c r="AU116" i="6"/>
  <c r="H116" i="6"/>
  <c r="AX116" i="6"/>
  <c r="BN116" i="6"/>
  <c r="AM116" i="6"/>
  <c r="AW116" i="6"/>
  <c r="AD116" i="6"/>
  <c r="BL116" i="6"/>
  <c r="AE116" i="6"/>
  <c r="AT116" i="6"/>
  <c r="BH116" i="6"/>
  <c r="AC116" i="6"/>
  <c r="AS116" i="6"/>
  <c r="G116" i="6"/>
  <c r="AY116" i="6"/>
  <c r="I116" i="6"/>
  <c r="BC116" i="6"/>
  <c r="W116" i="6"/>
  <c r="N116" i="6"/>
  <c r="AK116" i="6"/>
  <c r="L116" i="6"/>
  <c r="AL116" i="6"/>
  <c r="BD116" i="6"/>
  <c r="M116" i="6"/>
  <c r="X116" i="6"/>
  <c r="AH116" i="6"/>
  <c r="AV116" i="6"/>
  <c r="AB116" i="6"/>
  <c r="AF116" i="6"/>
  <c r="AJ116" i="6"/>
  <c r="Q116" i="6"/>
  <c r="BK116" i="6"/>
  <c r="V116" i="6"/>
  <c r="BM116" i="6"/>
  <c r="O116" i="6"/>
  <c r="L94" i="6"/>
  <c r="AF94" i="6"/>
  <c r="AV94" i="6"/>
  <c r="BN94" i="6"/>
  <c r="G94" i="6"/>
  <c r="X94" i="6"/>
  <c r="AR94" i="6"/>
  <c r="BL94" i="6"/>
  <c r="H94" i="6"/>
  <c r="Y94" i="6"/>
  <c r="AS94" i="6"/>
  <c r="BM94" i="6"/>
  <c r="R94" i="6"/>
  <c r="AI94" i="6"/>
  <c r="BA94" i="6"/>
  <c r="S94" i="6"/>
  <c r="AJ94" i="6"/>
  <c r="BB94" i="6"/>
  <c r="T94" i="6"/>
  <c r="AK94" i="6"/>
  <c r="BD94" i="6"/>
  <c r="J94" i="6"/>
  <c r="AO94" i="6"/>
  <c r="K94" i="6"/>
  <c r="AU94" i="6"/>
  <c r="Q94" i="6"/>
  <c r="AW94" i="6"/>
  <c r="U94" i="6"/>
  <c r="AX94" i="6"/>
  <c r="V94" i="6"/>
  <c r="AZ94" i="6"/>
  <c r="Z94" i="6"/>
  <c r="BG94" i="6"/>
  <c r="BF94" i="6"/>
  <c r="F94" i="6"/>
  <c r="BJ94" i="6"/>
  <c r="I94" i="6"/>
  <c r="AN94" i="6"/>
  <c r="AL94" i="6"/>
  <c r="W94" i="6"/>
  <c r="AD94" i="6"/>
  <c r="AG94" i="6"/>
  <c r="AH94" i="6"/>
  <c r="AQ94" i="6"/>
  <c r="O94" i="6"/>
  <c r="BE94" i="6"/>
  <c r="AA94" i="6"/>
  <c r="N94" i="6"/>
  <c r="AT94" i="6"/>
  <c r="AM94" i="6"/>
  <c r="AE94" i="6"/>
  <c r="AY94" i="6"/>
  <c r="P94" i="6"/>
  <c r="BI94" i="6"/>
  <c r="AC94" i="6"/>
  <c r="M94" i="6"/>
  <c r="BK94" i="6"/>
  <c r="BC94" i="6"/>
  <c r="AP94" i="6"/>
  <c r="AB94" i="6"/>
  <c r="AY59" i="6"/>
  <c r="W59" i="6"/>
  <c r="AW59" i="6"/>
  <c r="AS59" i="6"/>
  <c r="X59" i="6"/>
  <c r="AK59" i="6"/>
  <c r="AZ59" i="6"/>
  <c r="J59" i="6"/>
  <c r="AT59" i="6"/>
  <c r="BE59" i="6"/>
  <c r="AM59" i="6"/>
  <c r="BD59" i="6"/>
  <c r="Z59" i="6"/>
  <c r="K59" i="6"/>
  <c r="G59" i="6"/>
  <c r="BB59" i="6"/>
  <c r="R59" i="6"/>
  <c r="BA59" i="6"/>
  <c r="AP59" i="6"/>
  <c r="AU59" i="6"/>
  <c r="T59" i="6"/>
  <c r="M59" i="6"/>
  <c r="AL59" i="6"/>
  <c r="AA59" i="6"/>
  <c r="AR59" i="6"/>
  <c r="S59" i="6"/>
  <c r="AH59" i="6"/>
  <c r="AD59" i="6"/>
  <c r="BG59" i="6"/>
  <c r="BC59" i="6"/>
  <c r="L59" i="6"/>
  <c r="AB59" i="6"/>
  <c r="AV59" i="6"/>
  <c r="H59" i="6"/>
  <c r="Y59" i="6"/>
  <c r="AG59" i="6"/>
  <c r="Q59" i="6"/>
  <c r="AJ59" i="6"/>
  <c r="BH59" i="6"/>
  <c r="AN59" i="6"/>
  <c r="N59" i="6"/>
  <c r="AE59" i="6"/>
  <c r="AC59" i="6"/>
  <c r="V59" i="6"/>
  <c r="BF59" i="6"/>
  <c r="BK59" i="6"/>
  <c r="O59" i="6"/>
  <c r="BI59" i="6"/>
  <c r="BJ59" i="6"/>
  <c r="BL59" i="6"/>
  <c r="BM59" i="6"/>
  <c r="AI59" i="6"/>
  <c r="AQ59" i="6"/>
  <c r="AO59" i="6"/>
  <c r="P59" i="6"/>
  <c r="AF59" i="6"/>
  <c r="I59" i="6"/>
  <c r="AX59" i="6"/>
  <c r="U59" i="6"/>
  <c r="BN59" i="6"/>
  <c r="F59" i="6"/>
  <c r="AD123" i="6"/>
  <c r="BH123" i="6"/>
  <c r="BL123" i="6"/>
  <c r="AC123" i="6"/>
  <c r="AL123" i="6"/>
  <c r="AP123" i="6"/>
  <c r="S123" i="6"/>
  <c r="H123" i="6"/>
  <c r="AY123" i="6"/>
  <c r="BD123" i="6"/>
  <c r="BB123" i="6"/>
  <c r="AG123" i="6"/>
  <c r="Z123" i="6"/>
  <c r="M123" i="6"/>
  <c r="U123" i="6"/>
  <c r="AJ123" i="6"/>
  <c r="AH123" i="6"/>
  <c r="AA123" i="6"/>
  <c r="AI123" i="6"/>
  <c r="BG123" i="6"/>
  <c r="AW123" i="6"/>
  <c r="AV123" i="6"/>
  <c r="AS123" i="6"/>
  <c r="BA123" i="6"/>
  <c r="AN123" i="6"/>
  <c r="AU123" i="6"/>
  <c r="AX123" i="6"/>
  <c r="AO123" i="6"/>
  <c r="J123" i="6"/>
  <c r="AQ123" i="6"/>
  <c r="O123" i="6"/>
  <c r="W123" i="6"/>
  <c r="AR123" i="6"/>
  <c r="BC123" i="6"/>
  <c r="BJ123" i="6"/>
  <c r="BM123" i="6"/>
  <c r="P123" i="6"/>
  <c r="Q123" i="6"/>
  <c r="I123" i="6"/>
  <c r="AM123" i="6"/>
  <c r="AF123" i="6"/>
  <c r="K123" i="6"/>
  <c r="BE123" i="6"/>
  <c r="BK123" i="6"/>
  <c r="T123" i="6"/>
  <c r="G123" i="6"/>
  <c r="V123" i="6"/>
  <c r="X123" i="6"/>
  <c r="Y123" i="6"/>
  <c r="AB123" i="6"/>
  <c r="BI123" i="6"/>
  <c r="L123" i="6"/>
  <c r="AE123" i="6"/>
  <c r="F123" i="6"/>
  <c r="AZ123" i="6"/>
  <c r="AT123" i="6"/>
  <c r="R123" i="6"/>
  <c r="N123" i="6"/>
  <c r="BF123" i="6"/>
  <c r="BN123" i="6"/>
  <c r="AK123" i="6"/>
  <c r="L30" i="6"/>
  <c r="AD30" i="6"/>
  <c r="AT30" i="6"/>
  <c r="BG30" i="6"/>
  <c r="AL30" i="6"/>
  <c r="Z30" i="6"/>
  <c r="AU30" i="6"/>
  <c r="AB30" i="6"/>
  <c r="AE30" i="6"/>
  <c r="M30" i="6"/>
  <c r="O30" i="6"/>
  <c r="AO30" i="6"/>
  <c r="BN30" i="6"/>
  <c r="AW30" i="6"/>
  <c r="BH30" i="6"/>
  <c r="AQ30" i="6"/>
  <c r="AA30" i="6"/>
  <c r="BC30" i="6"/>
  <c r="N30" i="6"/>
  <c r="P30" i="6"/>
  <c r="AG30" i="6"/>
  <c r="BK30" i="6"/>
  <c r="AZ30" i="6"/>
  <c r="U30" i="6"/>
  <c r="BB30" i="6"/>
  <c r="AK30" i="6"/>
  <c r="I30" i="6"/>
  <c r="F30" i="6"/>
  <c r="AR30" i="6"/>
  <c r="R30" i="6"/>
  <c r="AH30" i="6"/>
  <c r="AY30" i="6"/>
  <c r="AX30" i="6"/>
  <c r="BL30" i="6"/>
  <c r="AJ30" i="6"/>
  <c r="Q30" i="6"/>
  <c r="W30" i="6"/>
  <c r="BD30" i="6"/>
  <c r="AN30" i="6"/>
  <c r="S30" i="6"/>
  <c r="BE30" i="6"/>
  <c r="BF30" i="6"/>
  <c r="K30" i="6"/>
  <c r="AC30" i="6"/>
  <c r="AI30" i="6"/>
  <c r="J30" i="6"/>
  <c r="AV30" i="6"/>
  <c r="AP30" i="6"/>
  <c r="BI30" i="6"/>
  <c r="H30" i="6"/>
  <c r="T30" i="6"/>
  <c r="BM30" i="6"/>
  <c r="X30" i="6"/>
  <c r="AS30" i="6"/>
  <c r="AM30" i="6"/>
  <c r="V30" i="6"/>
  <c r="AF30" i="6"/>
  <c r="Y30" i="6"/>
  <c r="BA30" i="6"/>
  <c r="G30" i="6"/>
  <c r="BJ30" i="6"/>
  <c r="AC112" i="6"/>
  <c r="AA112" i="6"/>
  <c r="BL112" i="6"/>
  <c r="O112" i="6"/>
  <c r="BG112" i="6"/>
  <c r="AP112" i="6"/>
  <c r="AO112" i="6"/>
  <c r="G112" i="6"/>
  <c r="AG112" i="6"/>
  <c r="U112" i="6"/>
  <c r="BC112" i="6"/>
  <c r="BD112" i="6"/>
  <c r="AD112" i="6"/>
  <c r="AY112" i="6"/>
  <c r="AL112" i="6"/>
  <c r="J112" i="6"/>
  <c r="V112" i="6"/>
  <c r="AU112" i="6"/>
  <c r="AH112" i="6"/>
  <c r="T112" i="6"/>
  <c r="X112" i="6"/>
  <c r="BA112" i="6"/>
  <c r="W112" i="6"/>
  <c r="AE112" i="6"/>
  <c r="Q112" i="6"/>
  <c r="AJ112" i="6"/>
  <c r="K112" i="6"/>
  <c r="AS112" i="6"/>
  <c r="AW112" i="6"/>
  <c r="AZ112" i="6"/>
  <c r="BH112" i="6"/>
  <c r="AN112" i="6"/>
  <c r="F112" i="6"/>
  <c r="N112" i="6"/>
  <c r="AK112" i="6"/>
  <c r="BB112" i="6"/>
  <c r="R112" i="6"/>
  <c r="AV112" i="6"/>
  <c r="AT112" i="6"/>
  <c r="BI112" i="6"/>
  <c r="I112" i="6"/>
  <c r="BM112" i="6"/>
  <c r="P112" i="6"/>
  <c r="H112" i="6"/>
  <c r="Y112" i="6"/>
  <c r="BN112" i="6"/>
  <c r="AM112" i="6"/>
  <c r="AF112" i="6"/>
  <c r="Z112" i="6"/>
  <c r="AX112" i="6"/>
  <c r="L112" i="6"/>
  <c r="M112" i="6"/>
  <c r="AR112" i="6"/>
  <c r="BJ112" i="6"/>
  <c r="BK112" i="6"/>
  <c r="AB112" i="6"/>
  <c r="AI112" i="6"/>
  <c r="BE112" i="6"/>
  <c r="BF112" i="6"/>
  <c r="S112" i="6"/>
  <c r="AQ112" i="6"/>
  <c r="BA68" i="6"/>
  <c r="AC134" i="6"/>
  <c r="AI134" i="6"/>
  <c r="AN134" i="6"/>
  <c r="AA134" i="6"/>
  <c r="AZ134" i="6"/>
  <c r="AR134" i="6"/>
  <c r="BA134" i="6"/>
  <c r="BJ134" i="6"/>
  <c r="BN134" i="6"/>
  <c r="M134" i="6"/>
  <c r="L134" i="6"/>
  <c r="BF134" i="6"/>
  <c r="S134" i="6"/>
  <c r="F134" i="6"/>
  <c r="Z134" i="6"/>
  <c r="AG134" i="6"/>
  <c r="BH134" i="6"/>
  <c r="BG134" i="6"/>
  <c r="AL134" i="6"/>
  <c r="G134" i="6"/>
  <c r="J134" i="6"/>
  <c r="Q134" i="6"/>
  <c r="R134" i="6"/>
  <c r="BC134" i="6"/>
  <c r="Y134" i="6"/>
  <c r="AB134" i="6"/>
  <c r="O134" i="6"/>
  <c r="AM134" i="6"/>
  <c r="AW134" i="6"/>
  <c r="X134" i="6"/>
  <c r="BI134" i="6"/>
  <c r="AP134" i="6"/>
  <c r="AJ134" i="6"/>
  <c r="N134" i="6"/>
  <c r="BL134" i="6"/>
  <c r="AV134" i="6"/>
  <c r="AK134" i="6"/>
  <c r="H134" i="6"/>
  <c r="AD134" i="6"/>
  <c r="BB134" i="6"/>
  <c r="BM134" i="6"/>
  <c r="AQ134" i="6"/>
  <c r="T134" i="6"/>
  <c r="AU134" i="6"/>
  <c r="AE134" i="6"/>
  <c r="K134" i="6"/>
  <c r="AS134" i="6"/>
  <c r="AH134" i="6"/>
  <c r="AF134" i="6"/>
  <c r="AY134" i="6"/>
  <c r="AT134" i="6"/>
  <c r="V134" i="6"/>
  <c r="W134" i="6"/>
  <c r="BD134" i="6"/>
  <c r="P134" i="6"/>
  <c r="U134" i="6"/>
  <c r="BE134" i="6"/>
  <c r="AO134" i="6"/>
  <c r="AX134" i="6"/>
  <c r="BK134" i="6"/>
  <c r="I134" i="6"/>
  <c r="F4" i="5"/>
  <c r="F42" i="5"/>
  <c r="BN70" i="6"/>
  <c r="BI70" i="6"/>
  <c r="AT70" i="6"/>
  <c r="U70" i="6"/>
  <c r="K70" i="6"/>
  <c r="P70" i="6"/>
  <c r="L70" i="6"/>
  <c r="G70" i="6"/>
  <c r="BC70" i="6"/>
  <c r="AL70" i="6"/>
  <c r="AD70" i="6"/>
  <c r="AE70" i="6"/>
  <c r="Y70" i="6"/>
  <c r="AC70" i="6"/>
  <c r="I70" i="6"/>
  <c r="O70" i="6"/>
  <c r="AR70" i="6"/>
  <c r="AV70" i="6"/>
  <c r="AW70" i="6"/>
  <c r="BD70" i="6"/>
  <c r="AK70" i="6"/>
  <c r="AY70" i="6"/>
  <c r="AF70" i="6"/>
  <c r="AP70" i="6"/>
  <c r="R70" i="6"/>
  <c r="AH70" i="6"/>
  <c r="BK70" i="6"/>
  <c r="AU70" i="6"/>
  <c r="BL70" i="6"/>
  <c r="AX70" i="6"/>
  <c r="AI70" i="6"/>
  <c r="AM70" i="6"/>
  <c r="V70" i="6"/>
  <c r="BE70" i="6"/>
  <c r="Q70" i="6"/>
  <c r="AO70" i="6"/>
  <c r="BJ70" i="6"/>
  <c r="S70" i="6"/>
  <c r="J70" i="6"/>
  <c r="AZ70" i="6"/>
  <c r="AB70" i="6"/>
  <c r="T70" i="6"/>
  <c r="AS70" i="6"/>
  <c r="BB70" i="6"/>
  <c r="AA70" i="6"/>
  <c r="BM70" i="6"/>
  <c r="AG70" i="6"/>
  <c r="BF70" i="6"/>
  <c r="W70" i="6"/>
  <c r="AQ70" i="6"/>
  <c r="F70" i="6"/>
  <c r="X70" i="6"/>
  <c r="N70" i="6"/>
  <c r="BG70" i="6"/>
  <c r="BH70" i="6"/>
  <c r="AJ70" i="6"/>
  <c r="H70" i="6"/>
  <c r="AN70" i="6"/>
  <c r="BA70" i="6"/>
  <c r="Z70" i="6"/>
  <c r="M70" i="6"/>
  <c r="BH122" i="6"/>
  <c r="AP122" i="6"/>
  <c r="U122" i="6"/>
  <c r="AT122" i="6"/>
  <c r="P122" i="6"/>
  <c r="J122" i="6"/>
  <c r="BD122" i="6"/>
  <c r="AN122" i="6"/>
  <c r="BM122" i="6"/>
  <c r="AG122" i="6"/>
  <c r="W122" i="6"/>
  <c r="O122" i="6"/>
  <c r="BI122" i="6"/>
  <c r="H122" i="6"/>
  <c r="AZ122" i="6"/>
  <c r="AK122" i="6"/>
  <c r="AC122" i="6"/>
  <c r="V122" i="6"/>
  <c r="AD122" i="6"/>
  <c r="Q122" i="6"/>
  <c r="M122" i="6"/>
  <c r="S122" i="6"/>
  <c r="F122" i="6"/>
  <c r="I122" i="6"/>
  <c r="AI122" i="6"/>
  <c r="AA122" i="6"/>
  <c r="AL122" i="6"/>
  <c r="Y122" i="6"/>
  <c r="K122" i="6"/>
  <c r="BA122" i="6"/>
  <c r="BE122" i="6"/>
  <c r="BN122" i="6"/>
  <c r="BK122" i="6"/>
  <c r="BJ122" i="6"/>
  <c r="AH122" i="6"/>
  <c r="AO122" i="6"/>
  <c r="AS122" i="6"/>
  <c r="BB122" i="6"/>
  <c r="BC122" i="6"/>
  <c r="BL122" i="6"/>
  <c r="N122" i="6"/>
  <c r="G122" i="6"/>
  <c r="AB122" i="6"/>
  <c r="Z122" i="6"/>
  <c r="T122" i="6"/>
  <c r="AM122" i="6"/>
  <c r="BG122" i="6"/>
  <c r="AR122" i="6"/>
  <c r="L122" i="6"/>
  <c r="AY122" i="6"/>
  <c r="X122" i="6"/>
  <c r="AE122" i="6"/>
  <c r="AJ122" i="6"/>
  <c r="AW122" i="6"/>
  <c r="AF122" i="6"/>
  <c r="BF122" i="6"/>
  <c r="AU122" i="6"/>
  <c r="R122" i="6"/>
  <c r="AQ122" i="6"/>
  <c r="AV122" i="6"/>
  <c r="AX122" i="6"/>
  <c r="F90" i="5"/>
  <c r="W90" i="6" s="1"/>
  <c r="L38" i="6"/>
  <c r="X38" i="6"/>
  <c r="AJ38" i="6"/>
  <c r="AV38" i="6"/>
  <c r="BH38" i="6"/>
  <c r="Q38" i="6"/>
  <c r="AD38" i="6"/>
  <c r="AQ38" i="6"/>
  <c r="BD38" i="6"/>
  <c r="R38" i="6"/>
  <c r="AE38" i="6"/>
  <c r="AR38" i="6"/>
  <c r="BE38" i="6"/>
  <c r="I38" i="6"/>
  <c r="V38" i="6"/>
  <c r="AI38" i="6"/>
  <c r="AW38" i="6"/>
  <c r="BJ38" i="6"/>
  <c r="K38" i="6"/>
  <c r="AB38" i="6"/>
  <c r="AT38" i="6"/>
  <c r="BL38" i="6"/>
  <c r="M38" i="6"/>
  <c r="AC38" i="6"/>
  <c r="AU38" i="6"/>
  <c r="BM38" i="6"/>
  <c r="T38" i="6"/>
  <c r="AL38" i="6"/>
  <c r="BB38" i="6"/>
  <c r="U38" i="6"/>
  <c r="AM38" i="6"/>
  <c r="BC38" i="6"/>
  <c r="F38" i="6"/>
  <c r="W38" i="6"/>
  <c r="AN38" i="6"/>
  <c r="BF38" i="6"/>
  <c r="G38" i="6"/>
  <c r="Y38" i="6"/>
  <c r="AO38" i="6"/>
  <c r="BG38" i="6"/>
  <c r="S38" i="6"/>
  <c r="BA38" i="6"/>
  <c r="Z38" i="6"/>
  <c r="BI38" i="6"/>
  <c r="AA38" i="6"/>
  <c r="BK38" i="6"/>
  <c r="AF38" i="6"/>
  <c r="BN38" i="6"/>
  <c r="AH38" i="6"/>
  <c r="AG38" i="6"/>
  <c r="AK38" i="6"/>
  <c r="N38" i="6"/>
  <c r="AS38" i="6"/>
  <c r="O38" i="6"/>
  <c r="AX38" i="6"/>
  <c r="P38" i="6"/>
  <c r="AP38" i="6"/>
  <c r="H38" i="6"/>
  <c r="J38" i="6"/>
  <c r="AY38" i="6"/>
  <c r="AZ38" i="6"/>
  <c r="F13" i="5"/>
  <c r="F103" i="5"/>
  <c r="AN40" i="6"/>
  <c r="AJ40" i="6"/>
  <c r="AD40" i="6"/>
  <c r="X40" i="6"/>
  <c r="N40" i="6"/>
  <c r="BA40" i="6"/>
  <c r="BB40" i="6"/>
  <c r="BD40" i="6"/>
  <c r="BI40" i="6"/>
  <c r="AR40" i="6"/>
  <c r="BN40" i="6"/>
  <c r="L40" i="6"/>
  <c r="J40" i="6"/>
  <c r="Y40" i="6"/>
  <c r="Q40" i="6"/>
  <c r="R40" i="6"/>
  <c r="AE40" i="6"/>
  <c r="AG40" i="6"/>
  <c r="BJ40" i="6"/>
  <c r="S40" i="6"/>
  <c r="AA40" i="6"/>
  <c r="BH40" i="6"/>
  <c r="AH40" i="6"/>
  <c r="AI40" i="6"/>
  <c r="AK40" i="6"/>
  <c r="AM40" i="6"/>
  <c r="H40" i="6"/>
  <c r="AZ40" i="6"/>
  <c r="BF40" i="6"/>
  <c r="BM40" i="6"/>
  <c r="AT40" i="6"/>
  <c r="K40" i="6"/>
  <c r="AU40" i="6"/>
  <c r="O40" i="6"/>
  <c r="P40" i="6"/>
  <c r="BL40" i="6"/>
  <c r="AY40" i="6"/>
  <c r="G40" i="6"/>
  <c r="AO40" i="6"/>
  <c r="BK40" i="6"/>
  <c r="AC40" i="6"/>
  <c r="AP40" i="6"/>
  <c r="M40" i="6"/>
  <c r="AX40" i="6"/>
  <c r="F40" i="6"/>
  <c r="Z40" i="6"/>
  <c r="I40" i="6"/>
  <c r="AQ40" i="6"/>
  <c r="AL40" i="6"/>
  <c r="BC40" i="6"/>
  <c r="T40" i="6"/>
  <c r="AW40" i="6"/>
  <c r="U40" i="6"/>
  <c r="AV40" i="6"/>
  <c r="V40" i="6"/>
  <c r="AF40" i="6"/>
  <c r="W40" i="6"/>
  <c r="BE40" i="6"/>
  <c r="BG40" i="6"/>
  <c r="AB40" i="6"/>
  <c r="AS40" i="6"/>
  <c r="AW9" i="6"/>
  <c r="X9" i="6"/>
  <c r="O9" i="6"/>
  <c r="BN9" i="6"/>
  <c r="Z9" i="6"/>
  <c r="BJ9" i="6"/>
  <c r="AO9" i="6"/>
  <c r="AL9" i="6"/>
  <c r="AS9" i="6"/>
  <c r="AA9" i="6"/>
  <c r="S9" i="6"/>
  <c r="BE9" i="6"/>
  <c r="BH9" i="6"/>
  <c r="K9" i="6"/>
  <c r="AQ9" i="6"/>
  <c r="AG9" i="6"/>
  <c r="U9" i="6"/>
  <c r="AC9" i="6"/>
  <c r="AT9" i="6"/>
  <c r="AP9" i="6"/>
  <c r="AN9" i="6"/>
  <c r="F9" i="6"/>
  <c r="N9" i="6"/>
  <c r="BG9" i="6"/>
  <c r="Q9" i="6"/>
  <c r="AZ9" i="6"/>
  <c r="T9" i="6"/>
  <c r="AI9" i="6"/>
  <c r="H9" i="6"/>
  <c r="AY9" i="6"/>
  <c r="AB9" i="6"/>
  <c r="BF9" i="6"/>
  <c r="AX9" i="6"/>
  <c r="BI9" i="6"/>
  <c r="AD9" i="6"/>
  <c r="AH9" i="6"/>
  <c r="AE9" i="6"/>
  <c r="AV9" i="6"/>
  <c r="BM9" i="6"/>
  <c r="BK9" i="6"/>
  <c r="I9" i="6"/>
  <c r="G9" i="6"/>
  <c r="AK9" i="6"/>
  <c r="L9" i="6"/>
  <c r="AF9" i="6"/>
  <c r="BD9" i="6"/>
  <c r="BB9" i="6"/>
  <c r="BL9" i="6"/>
  <c r="R9" i="6"/>
  <c r="J9" i="6"/>
  <c r="BA9" i="6"/>
  <c r="W9" i="6"/>
  <c r="V9" i="6"/>
  <c r="P9" i="6"/>
  <c r="AJ9" i="6"/>
  <c r="AU9" i="6"/>
  <c r="BC9" i="6"/>
  <c r="AM9" i="6"/>
  <c r="M9" i="6"/>
  <c r="Y9" i="6"/>
  <c r="AR9" i="6"/>
  <c r="M74" i="6"/>
  <c r="Z74" i="6"/>
  <c r="AN74" i="6"/>
  <c r="BA74" i="6"/>
  <c r="BN74" i="6"/>
  <c r="S74" i="6"/>
  <c r="AG74" i="6"/>
  <c r="AU74" i="6"/>
  <c r="BI74" i="6"/>
  <c r="F74" i="6"/>
  <c r="T74" i="6"/>
  <c r="AH74" i="6"/>
  <c r="AV74" i="6"/>
  <c r="BJ74" i="6"/>
  <c r="K74" i="6"/>
  <c r="Y74" i="6"/>
  <c r="AO74" i="6"/>
  <c r="BC74" i="6"/>
  <c r="L74" i="6"/>
  <c r="AB74" i="6"/>
  <c r="AP74" i="6"/>
  <c r="BD74" i="6"/>
  <c r="N74" i="6"/>
  <c r="AC74" i="6"/>
  <c r="AQ74" i="6"/>
  <c r="BE74" i="6"/>
  <c r="V74" i="6"/>
  <c r="AT74" i="6"/>
  <c r="W74" i="6"/>
  <c r="AW74" i="6"/>
  <c r="X74" i="6"/>
  <c r="AX74" i="6"/>
  <c r="AD74" i="6"/>
  <c r="AZ74" i="6"/>
  <c r="G74" i="6"/>
  <c r="AE74" i="6"/>
  <c r="BB74" i="6"/>
  <c r="I74" i="6"/>
  <c r="AI74" i="6"/>
  <c r="BG74" i="6"/>
  <c r="R74" i="6"/>
  <c r="AK74" i="6"/>
  <c r="P74" i="6"/>
  <c r="U74" i="6"/>
  <c r="BM74" i="6"/>
  <c r="AF74" i="6"/>
  <c r="AJ74" i="6"/>
  <c r="AL74" i="6"/>
  <c r="BL74" i="6"/>
  <c r="Q74" i="6"/>
  <c r="AR74" i="6"/>
  <c r="AS74" i="6"/>
  <c r="H74" i="6"/>
  <c r="BF74" i="6"/>
  <c r="J74" i="6"/>
  <c r="BH74" i="6"/>
  <c r="O74" i="6"/>
  <c r="AA74" i="6"/>
  <c r="AY74" i="6"/>
  <c r="AM74" i="6"/>
  <c r="BK74" i="6"/>
  <c r="AM62" i="6"/>
  <c r="AM60" i="6"/>
  <c r="Q60" i="6"/>
  <c r="H60" i="6"/>
  <c r="P60" i="6"/>
  <c r="Y60" i="6"/>
  <c r="AY60" i="6"/>
  <c r="AG60" i="6"/>
  <c r="Z60" i="6"/>
  <c r="AP60" i="6"/>
  <c r="BG60" i="6"/>
  <c r="BK60" i="6"/>
  <c r="AW60" i="6"/>
  <c r="AX60" i="6"/>
  <c r="R60" i="6"/>
  <c r="BH60" i="6"/>
  <c r="F60" i="6"/>
  <c r="BM60" i="6"/>
  <c r="I60" i="6"/>
  <c r="AQ60" i="6"/>
  <c r="AK60" i="6"/>
  <c r="AS60" i="6"/>
  <c r="AR60" i="6"/>
  <c r="J60" i="6"/>
  <c r="V60" i="6"/>
  <c r="AL60" i="6"/>
  <c r="BF60" i="6"/>
  <c r="BI60" i="6"/>
  <c r="AE60" i="6"/>
  <c r="BC60" i="6"/>
  <c r="G60" i="6"/>
  <c r="AF60" i="6"/>
  <c r="AZ60" i="6"/>
  <c r="BL60" i="6"/>
  <c r="AB60" i="6"/>
  <c r="AT60" i="6"/>
  <c r="M60" i="6"/>
  <c r="W60" i="6"/>
  <c r="AD60" i="6"/>
  <c r="BD60" i="6"/>
  <c r="O60" i="6"/>
  <c r="AU60" i="6"/>
  <c r="X60" i="6"/>
  <c r="AA60" i="6"/>
  <c r="BN60" i="6"/>
  <c r="BE60" i="6"/>
  <c r="S60" i="6"/>
  <c r="AC60" i="6"/>
  <c r="AJ60" i="6"/>
  <c r="N60" i="6"/>
  <c r="T60" i="6"/>
  <c r="AN60" i="6"/>
  <c r="AH60" i="6"/>
  <c r="AV60" i="6"/>
  <c r="K60" i="6"/>
  <c r="BA60" i="6"/>
  <c r="L60" i="6"/>
  <c r="U60" i="6"/>
  <c r="AO60" i="6"/>
  <c r="AI60" i="6"/>
  <c r="BB60" i="6"/>
  <c r="BJ60" i="6"/>
  <c r="BG52" i="6"/>
  <c r="F79" i="5"/>
  <c r="AK32" i="6"/>
  <c r="AU32" i="6"/>
  <c r="AY32" i="6"/>
  <c r="AG32" i="6"/>
  <c r="W32" i="6"/>
  <c r="M32" i="6"/>
  <c r="T32" i="6"/>
  <c r="BB32" i="6"/>
  <c r="R32" i="6"/>
  <c r="AJ32" i="6"/>
  <c r="BH32" i="6"/>
  <c r="AB32" i="6"/>
  <c r="BN32" i="6"/>
  <c r="F32" i="6"/>
  <c r="BF32" i="6"/>
  <c r="L24" i="6"/>
  <c r="X24" i="6"/>
  <c r="AJ24" i="6"/>
  <c r="AV24" i="6"/>
  <c r="BH24" i="6"/>
  <c r="O24" i="6"/>
  <c r="AB24" i="6"/>
  <c r="AO24" i="6"/>
  <c r="BB24" i="6"/>
  <c r="P24" i="6"/>
  <c r="AC24" i="6"/>
  <c r="AP24" i="6"/>
  <c r="BC24" i="6"/>
  <c r="G24" i="6"/>
  <c r="T24" i="6"/>
  <c r="AG24" i="6"/>
  <c r="AT24" i="6"/>
  <c r="BG24" i="6"/>
  <c r="I24" i="6"/>
  <c r="Z24" i="6"/>
  <c r="AR24" i="6"/>
  <c r="BJ24" i="6"/>
  <c r="J24" i="6"/>
  <c r="AA24" i="6"/>
  <c r="AS24" i="6"/>
  <c r="BK24" i="6"/>
  <c r="R24" i="6"/>
  <c r="AI24" i="6"/>
  <c r="AZ24" i="6"/>
  <c r="S24" i="6"/>
  <c r="AK24" i="6"/>
  <c r="BA24" i="6"/>
  <c r="U24" i="6"/>
  <c r="AL24" i="6"/>
  <c r="BD24" i="6"/>
  <c r="V24" i="6"/>
  <c r="AM24" i="6"/>
  <c r="BE24" i="6"/>
  <c r="W24" i="6"/>
  <c r="BF24" i="6"/>
  <c r="Y24" i="6"/>
  <c r="BI24" i="6"/>
  <c r="AD24" i="6"/>
  <c r="BL24" i="6"/>
  <c r="AE24" i="6"/>
  <c r="BM24" i="6"/>
  <c r="AH24" i="6"/>
  <c r="AF24" i="6"/>
  <c r="BN24" i="6"/>
  <c r="F24" i="6"/>
  <c r="AN24" i="6"/>
  <c r="M24" i="6"/>
  <c r="AU24" i="6"/>
  <c r="AW24" i="6"/>
  <c r="N24" i="6"/>
  <c r="Q24" i="6"/>
  <c r="AQ24" i="6"/>
  <c r="H24" i="6"/>
  <c r="K24" i="6"/>
  <c r="AX24" i="6"/>
  <c r="AY24" i="6"/>
  <c r="BA142" i="6"/>
  <c r="AP142" i="6"/>
  <c r="AC142" i="6"/>
  <c r="AT142" i="6"/>
  <c r="AH142" i="6"/>
  <c r="L142" i="6"/>
  <c r="AG142" i="6"/>
  <c r="X142" i="6"/>
  <c r="AE142" i="6"/>
  <c r="F142" i="6"/>
  <c r="I142" i="6"/>
  <c r="BB142" i="6"/>
  <c r="O142" i="6"/>
  <c r="AV142" i="6"/>
  <c r="S142" i="6"/>
  <c r="AT110" i="6"/>
  <c r="AJ140" i="6"/>
  <c r="M140" i="6"/>
  <c r="AR140" i="6"/>
  <c r="AU140" i="6"/>
  <c r="AY140" i="6"/>
  <c r="AV140" i="6"/>
  <c r="AB140" i="6"/>
  <c r="BJ140" i="6"/>
  <c r="BM140" i="6"/>
  <c r="Q140" i="6"/>
  <c r="BH140" i="6"/>
  <c r="AP140" i="6"/>
  <c r="F140" i="6"/>
  <c r="I140" i="6"/>
  <c r="R140" i="6"/>
  <c r="N140" i="6"/>
  <c r="BD140" i="6"/>
  <c r="W140" i="6"/>
  <c r="AE140" i="6"/>
  <c r="AI140" i="6"/>
  <c r="BA140" i="6"/>
  <c r="AQ140" i="6"/>
  <c r="G140" i="6"/>
  <c r="AF140" i="6"/>
  <c r="AL140" i="6"/>
  <c r="BN140" i="6"/>
  <c r="BE140" i="6"/>
  <c r="Y140" i="6"/>
  <c r="AX140" i="6"/>
  <c r="BF140" i="6"/>
  <c r="AN140" i="6"/>
  <c r="BK140" i="6"/>
  <c r="T140" i="6"/>
  <c r="AC140" i="6"/>
  <c r="J140" i="6"/>
  <c r="U140" i="6"/>
  <c r="AG140" i="6"/>
  <c r="AM140" i="6"/>
  <c r="AH140" i="6"/>
  <c r="L140" i="6"/>
  <c r="BI140" i="6"/>
  <c r="AZ140" i="6"/>
  <c r="X140" i="6"/>
  <c r="V140" i="6"/>
  <c r="P140" i="6"/>
  <c r="Z140" i="6"/>
  <c r="S140" i="6"/>
  <c r="AO140" i="6"/>
  <c r="AK140" i="6"/>
  <c r="BC140" i="6"/>
  <c r="O140" i="6"/>
  <c r="AT140" i="6"/>
  <c r="BL140" i="6"/>
  <c r="H140" i="6"/>
  <c r="AA140" i="6"/>
  <c r="K140" i="6"/>
  <c r="AS140" i="6"/>
  <c r="AD140" i="6"/>
  <c r="AW140" i="6"/>
  <c r="BB140" i="6"/>
  <c r="BG140" i="6"/>
  <c r="F137" i="5"/>
  <c r="F48" i="5"/>
  <c r="BI48" i="6" s="1"/>
  <c r="L23" i="6"/>
  <c r="H23" i="6"/>
  <c r="W23" i="6"/>
  <c r="N23" i="6"/>
  <c r="Z23" i="6"/>
  <c r="AW23" i="6"/>
  <c r="AS23" i="6"/>
  <c r="AD23" i="6"/>
  <c r="V23" i="6"/>
  <c r="AO23" i="6"/>
  <c r="AL23" i="6"/>
  <c r="BC23" i="6"/>
  <c r="I23" i="6"/>
  <c r="AI23" i="6"/>
  <c r="BG23" i="6"/>
  <c r="BK23" i="6"/>
  <c r="AB23" i="6"/>
  <c r="BL23" i="6"/>
  <c r="AZ23" i="6"/>
  <c r="U23" i="6"/>
  <c r="AV23" i="6"/>
  <c r="Y23" i="6"/>
  <c r="O23" i="6"/>
  <c r="BF23" i="6"/>
  <c r="R23" i="6"/>
  <c r="AG23" i="6"/>
  <c r="BI23" i="6"/>
  <c r="AQ23" i="6"/>
  <c r="AM23" i="6"/>
  <c r="AC23" i="6"/>
  <c r="BM23" i="6"/>
  <c r="BD23" i="6"/>
  <c r="BB23" i="6"/>
  <c r="BE23" i="6"/>
  <c r="K23" i="6"/>
  <c r="BH23" i="6"/>
  <c r="BJ23" i="6"/>
  <c r="J23" i="6"/>
  <c r="AJ23" i="6"/>
  <c r="P23" i="6"/>
  <c r="G23" i="6"/>
  <c r="BN23" i="6"/>
  <c r="F23" i="6"/>
  <c r="AF23" i="6"/>
  <c r="AT23" i="6"/>
  <c r="AY23" i="6"/>
  <c r="AP23" i="6"/>
  <c r="Q23" i="6"/>
  <c r="S23" i="6"/>
  <c r="T23" i="6"/>
  <c r="AR23" i="6"/>
  <c r="M23" i="6"/>
  <c r="X23" i="6"/>
  <c r="BA23" i="6"/>
  <c r="AN23" i="6"/>
  <c r="AE23" i="6"/>
  <c r="AA23" i="6"/>
  <c r="AH23" i="6"/>
  <c r="AK23" i="6"/>
  <c r="AX23" i="6"/>
  <c r="AU23" i="6"/>
  <c r="AY56" i="6"/>
  <c r="V56" i="6"/>
  <c r="AI56" i="6"/>
  <c r="BA56" i="6"/>
  <c r="AR56" i="6"/>
  <c r="BK56" i="6"/>
  <c r="AL56" i="6"/>
  <c r="BD56" i="6"/>
  <c r="Z56" i="6"/>
  <c r="K56" i="6"/>
  <c r="J56" i="6"/>
  <c r="BB56" i="6"/>
  <c r="R56" i="6"/>
  <c r="BC56" i="6"/>
  <c r="I56" i="6"/>
  <c r="BJ56" i="6"/>
  <c r="BL56" i="6"/>
  <c r="AN56" i="6"/>
  <c r="BM56" i="6"/>
  <c r="U56" i="6"/>
  <c r="N56" i="6"/>
  <c r="P56" i="6"/>
  <c r="BG56" i="6"/>
  <c r="AG56" i="6"/>
  <c r="AZ56" i="6"/>
  <c r="AJ56" i="6"/>
  <c r="Q56" i="6"/>
  <c r="AH56" i="6"/>
  <c r="L56" i="6"/>
  <c r="BH56" i="6"/>
  <c r="X56" i="6"/>
  <c r="AD56" i="6"/>
  <c r="Y56" i="6"/>
  <c r="AX56" i="6"/>
  <c r="O56" i="6"/>
  <c r="AT56" i="6"/>
  <c r="AB56" i="6"/>
  <c r="AA56" i="6"/>
  <c r="AF56" i="6"/>
  <c r="BI56" i="6"/>
  <c r="AM56" i="6"/>
  <c r="AV56" i="6"/>
  <c r="AE56" i="6"/>
  <c r="BF56" i="6"/>
  <c r="S56" i="6"/>
  <c r="T56" i="6"/>
  <c r="AO56" i="6"/>
  <c r="AW56" i="6"/>
  <c r="H56" i="6"/>
  <c r="AC56" i="6"/>
  <c r="AP56" i="6"/>
  <c r="AQ56" i="6"/>
  <c r="AS56" i="6"/>
  <c r="F56" i="6"/>
  <c r="BN56" i="6"/>
  <c r="AU56" i="6"/>
  <c r="M56" i="6"/>
  <c r="AK56" i="6"/>
  <c r="G56" i="6"/>
  <c r="W56" i="6"/>
  <c r="BE56" i="6"/>
  <c r="F19" i="6"/>
  <c r="R19" i="6"/>
  <c r="AD19" i="6"/>
  <c r="AP19" i="6"/>
  <c r="BB19" i="6"/>
  <c r="BN19" i="6"/>
  <c r="G19" i="6"/>
  <c r="S19" i="6"/>
  <c r="AE19" i="6"/>
  <c r="AQ19" i="6"/>
  <c r="BC19" i="6"/>
  <c r="M19" i="6"/>
  <c r="Y19" i="6"/>
  <c r="AK19" i="6"/>
  <c r="AW19" i="6"/>
  <c r="BI19" i="6"/>
  <c r="I19" i="6"/>
  <c r="X19" i="6"/>
  <c r="AN19" i="6"/>
  <c r="BE19" i="6"/>
  <c r="J19" i="6"/>
  <c r="Z19" i="6"/>
  <c r="AO19" i="6"/>
  <c r="BF19" i="6"/>
  <c r="O19" i="6"/>
  <c r="AF19" i="6"/>
  <c r="AU19" i="6"/>
  <c r="BK19" i="6"/>
  <c r="L19" i="6"/>
  <c r="AH19" i="6"/>
  <c r="BA19" i="6"/>
  <c r="N19" i="6"/>
  <c r="AI19" i="6"/>
  <c r="BD19" i="6"/>
  <c r="V19" i="6"/>
  <c r="AS19" i="6"/>
  <c r="BM19" i="6"/>
  <c r="W19" i="6"/>
  <c r="AT19" i="6"/>
  <c r="AA19" i="6"/>
  <c r="AV19" i="6"/>
  <c r="AB19" i="6"/>
  <c r="AX19" i="6"/>
  <c r="K19" i="6"/>
  <c r="AZ19" i="6"/>
  <c r="P19" i="6"/>
  <c r="BG19" i="6"/>
  <c r="Q19" i="6"/>
  <c r="BH19" i="6"/>
  <c r="T19" i="6"/>
  <c r="BJ19" i="6"/>
  <c r="AC19" i="6"/>
  <c r="U19" i="6"/>
  <c r="BL19" i="6"/>
  <c r="AG19" i="6"/>
  <c r="H19" i="6"/>
  <c r="AJ19" i="6"/>
  <c r="AL19" i="6"/>
  <c r="AM19" i="6"/>
  <c r="AR19" i="6"/>
  <c r="AY19" i="6"/>
  <c r="O129" i="6"/>
  <c r="P129" i="6"/>
  <c r="AH129" i="6"/>
  <c r="AI129" i="6"/>
  <c r="BC129" i="6"/>
  <c r="BD129" i="6"/>
  <c r="BN129" i="6"/>
  <c r="W129" i="6"/>
  <c r="AN129" i="6"/>
  <c r="AS129" i="6"/>
  <c r="AF129" i="6"/>
  <c r="AU129" i="6"/>
  <c r="G129" i="6"/>
  <c r="AK129" i="6"/>
  <c r="BF129" i="6"/>
  <c r="BK129" i="6"/>
  <c r="BA129" i="6"/>
  <c r="BH129" i="6"/>
  <c r="T129" i="6"/>
  <c r="AY129" i="6"/>
  <c r="U129" i="6"/>
  <c r="K129" i="6"/>
  <c r="J129" i="6"/>
  <c r="X129" i="6"/>
  <c r="AG129" i="6"/>
  <c r="BM129" i="6"/>
  <c r="AO129" i="6"/>
  <c r="AB129" i="6"/>
  <c r="AT129" i="6"/>
  <c r="BG129" i="6"/>
  <c r="Y129" i="6"/>
  <c r="AV129" i="6"/>
  <c r="BB129" i="6"/>
  <c r="S129" i="6"/>
  <c r="N129" i="6"/>
  <c r="BI129" i="6"/>
  <c r="Z129" i="6"/>
  <c r="I129" i="6"/>
  <c r="AA129" i="6"/>
  <c r="AL129" i="6"/>
  <c r="M129" i="6"/>
  <c r="R129" i="6"/>
  <c r="AE129" i="6"/>
  <c r="AQ129" i="6"/>
  <c r="AJ129" i="6"/>
  <c r="AX129" i="6"/>
  <c r="L129" i="6"/>
  <c r="AP129" i="6"/>
  <c r="BE129" i="6"/>
  <c r="F129" i="6"/>
  <c r="AZ129" i="6"/>
  <c r="AW129" i="6"/>
  <c r="V129" i="6"/>
  <c r="Q129" i="6"/>
  <c r="AD129" i="6"/>
  <c r="AM129" i="6"/>
  <c r="AC129" i="6"/>
  <c r="H129" i="6"/>
  <c r="AR129" i="6"/>
  <c r="BL129" i="6"/>
  <c r="BJ129" i="6"/>
  <c r="AQ93" i="6"/>
  <c r="AV93" i="6"/>
  <c r="AU93" i="6"/>
  <c r="O93" i="6"/>
  <c r="AX93" i="6"/>
  <c r="K93" i="6"/>
  <c r="G93" i="6"/>
  <c r="AF93" i="6"/>
  <c r="BI93" i="6"/>
  <c r="AY93" i="6"/>
  <c r="U93" i="6"/>
  <c r="F93" i="6"/>
  <c r="H93" i="6"/>
  <c r="L93" i="6"/>
  <c r="R93" i="6"/>
  <c r="AG93" i="6"/>
  <c r="V93" i="6"/>
  <c r="AA93" i="6"/>
  <c r="AI93" i="6"/>
  <c r="AO93" i="6"/>
  <c r="AK93" i="6"/>
  <c r="BM93" i="6"/>
  <c r="AP93" i="6"/>
  <c r="Q93" i="6"/>
  <c r="AR93" i="6"/>
  <c r="AJ93" i="6"/>
  <c r="AC93" i="6"/>
  <c r="AD93" i="6"/>
  <c r="BJ93" i="6"/>
  <c r="BH93" i="6"/>
  <c r="BB93" i="6"/>
  <c r="BD93" i="6"/>
  <c r="AT93" i="6"/>
  <c r="AL93" i="6"/>
  <c r="Y93" i="6"/>
  <c r="BK93" i="6"/>
  <c r="P93" i="6"/>
  <c r="AM93" i="6"/>
  <c r="J93" i="6"/>
  <c r="AN93" i="6"/>
  <c r="AE93" i="6"/>
  <c r="T93" i="6"/>
  <c r="BL93" i="6"/>
  <c r="W93" i="6"/>
  <c r="Z93" i="6"/>
  <c r="X93" i="6"/>
  <c r="AB93" i="6"/>
  <c r="S93" i="6"/>
  <c r="BC93" i="6"/>
  <c r="AH93" i="6"/>
  <c r="AW93" i="6"/>
  <c r="N93" i="6"/>
  <c r="I93" i="6"/>
  <c r="BF93" i="6"/>
  <c r="BA93" i="6"/>
  <c r="AS93" i="6"/>
  <c r="BG93" i="6"/>
  <c r="BN93" i="6"/>
  <c r="AZ93" i="6"/>
  <c r="BE93" i="6"/>
  <c r="M93" i="6"/>
  <c r="F102" i="5"/>
  <c r="U145" i="6"/>
  <c r="BH145" i="6"/>
  <c r="V145" i="6"/>
  <c r="AR145" i="6"/>
  <c r="BI145" i="6"/>
  <c r="R145" i="6"/>
  <c r="AM145" i="6"/>
  <c r="BJ145" i="6"/>
  <c r="N145" i="6"/>
  <c r="AI145" i="6"/>
  <c r="AD145" i="6"/>
  <c r="BA145" i="6"/>
  <c r="G145" i="6"/>
  <c r="AF145" i="6"/>
  <c r="BE145" i="6"/>
  <c r="AP145" i="6"/>
  <c r="L145" i="6"/>
  <c r="AB145" i="6"/>
  <c r="AW145" i="6"/>
  <c r="AJ145" i="6"/>
  <c r="BB145" i="6"/>
  <c r="Z145" i="6"/>
  <c r="AT145" i="6"/>
  <c r="O145" i="6"/>
  <c r="T145" i="6"/>
  <c r="BN145" i="6"/>
  <c r="AN145" i="6"/>
  <c r="BL145" i="6"/>
  <c r="AG145" i="6"/>
  <c r="AL145" i="6"/>
  <c r="M145" i="6"/>
  <c r="AV145" i="6"/>
  <c r="AO145" i="6"/>
  <c r="F145" i="6"/>
  <c r="AK145" i="6"/>
  <c r="H145" i="6"/>
  <c r="S145" i="6"/>
  <c r="AX145" i="6"/>
  <c r="AC145" i="6"/>
  <c r="BF145" i="6"/>
  <c r="AY145" i="6"/>
  <c r="P145" i="6"/>
  <c r="BD145" i="6"/>
  <c r="J145" i="6"/>
  <c r="AE145" i="6"/>
  <c r="BK145" i="6"/>
  <c r="AU145" i="6"/>
  <c r="BG145" i="6"/>
  <c r="BM145" i="6"/>
  <c r="BC145" i="6"/>
  <c r="AA145" i="6"/>
  <c r="W145" i="6"/>
  <c r="Y145" i="6"/>
  <c r="I145" i="6"/>
  <c r="AH145" i="6"/>
  <c r="K145" i="6"/>
  <c r="AZ145" i="6"/>
  <c r="X145" i="6"/>
  <c r="Q145" i="6"/>
  <c r="AS145" i="6"/>
  <c r="W138" i="6"/>
  <c r="AJ138" i="6"/>
  <c r="AG138" i="6"/>
  <c r="H138" i="6"/>
  <c r="AD138" i="6"/>
  <c r="Q138" i="6"/>
  <c r="I138" i="6"/>
  <c r="BG138" i="6"/>
  <c r="AV138" i="6"/>
  <c r="AU138" i="6"/>
  <c r="Z138" i="6"/>
  <c r="AY138" i="6"/>
  <c r="BD138" i="6"/>
  <c r="AP138" i="6"/>
  <c r="BH138" i="6"/>
  <c r="BJ138" i="6"/>
  <c r="AR138" i="6"/>
  <c r="M138" i="6"/>
  <c r="U138" i="6"/>
  <c r="BE138" i="6"/>
  <c r="O138" i="6"/>
  <c r="F138" i="6"/>
  <c r="BM138" i="6"/>
  <c r="AE138" i="6"/>
  <c r="AM138" i="6"/>
  <c r="AB138" i="6"/>
  <c r="T138" i="6"/>
  <c r="AZ138" i="6"/>
  <c r="BF138" i="6"/>
  <c r="AH138" i="6"/>
  <c r="AX138" i="6"/>
  <c r="AI138" i="6"/>
  <c r="BB138" i="6"/>
  <c r="BL138" i="6"/>
  <c r="AL138" i="6"/>
  <c r="V138" i="6"/>
  <c r="R138" i="6"/>
  <c r="AA138" i="6"/>
  <c r="P138" i="6"/>
  <c r="S138" i="6"/>
  <c r="K138" i="6"/>
  <c r="N138" i="6"/>
  <c r="X138" i="6"/>
  <c r="AT138" i="6"/>
  <c r="AF138" i="6"/>
  <c r="AS138" i="6"/>
  <c r="BC138" i="6"/>
  <c r="BN138" i="6"/>
  <c r="AC138" i="6"/>
  <c r="L138" i="6"/>
  <c r="G138" i="6"/>
  <c r="Y138" i="6"/>
  <c r="BI138" i="6"/>
  <c r="J138" i="6"/>
  <c r="AN138" i="6"/>
  <c r="AW138" i="6"/>
  <c r="BK138" i="6"/>
  <c r="BA138" i="6"/>
  <c r="AO138" i="6"/>
  <c r="AK138" i="6"/>
  <c r="AQ138" i="6"/>
  <c r="BB109" i="6"/>
  <c r="AA109" i="6"/>
  <c r="AU109" i="6"/>
  <c r="J109" i="6"/>
  <c r="AM109" i="6"/>
  <c r="BN109" i="6"/>
  <c r="AR109" i="6"/>
  <c r="Y109" i="6"/>
  <c r="AH109" i="6"/>
  <c r="T109" i="6"/>
  <c r="K109" i="6"/>
  <c r="BG109" i="6"/>
  <c r="AV109" i="6"/>
  <c r="BA109" i="6"/>
  <c r="BJ109" i="6"/>
  <c r="BK109" i="6"/>
  <c r="BH109" i="6"/>
  <c r="H109" i="6"/>
  <c r="AJ109" i="6"/>
  <c r="BL109" i="6"/>
  <c r="N109" i="6"/>
  <c r="O109" i="6"/>
  <c r="AF109" i="6"/>
  <c r="AL109" i="6"/>
  <c r="V109" i="6"/>
  <c r="BE109" i="6"/>
  <c r="AY109" i="6"/>
  <c r="AN109" i="6"/>
  <c r="AP109" i="6"/>
  <c r="AT109" i="6"/>
  <c r="BC109" i="6"/>
  <c r="X109" i="6"/>
  <c r="BI109" i="6"/>
  <c r="Q109" i="6"/>
  <c r="AK109" i="6"/>
  <c r="W109" i="6"/>
  <c r="BD109" i="6"/>
  <c r="AX109" i="6"/>
  <c r="G109" i="6"/>
  <c r="S109" i="6"/>
  <c r="AB109" i="6"/>
  <c r="Z109" i="6"/>
  <c r="BF109" i="6"/>
  <c r="AC109" i="6"/>
  <c r="AO109" i="6"/>
  <c r="AS109" i="6"/>
  <c r="AE109" i="6"/>
  <c r="L109" i="6"/>
  <c r="AW109" i="6"/>
  <c r="AG109" i="6"/>
  <c r="I109" i="6"/>
  <c r="BM109" i="6"/>
  <c r="F109" i="6"/>
  <c r="AZ109" i="6"/>
  <c r="U109" i="6"/>
  <c r="M109" i="6"/>
  <c r="R109" i="6"/>
  <c r="P109" i="6"/>
  <c r="AQ109" i="6"/>
  <c r="AD109" i="6"/>
  <c r="AI109" i="6"/>
  <c r="K133" i="6"/>
  <c r="J133" i="6"/>
  <c r="S133" i="6"/>
  <c r="V133" i="6"/>
  <c r="AU133" i="6"/>
  <c r="Y133" i="6"/>
  <c r="AF133" i="6"/>
  <c r="AJ133" i="6"/>
  <c r="BI133" i="6"/>
  <c r="AV133" i="6"/>
  <c r="F133" i="6"/>
  <c r="AM133" i="6"/>
  <c r="AW133" i="6"/>
  <c r="BF133" i="6"/>
  <c r="AS133" i="6"/>
  <c r="AB133" i="6"/>
  <c r="R133" i="6"/>
  <c r="BA133" i="6"/>
  <c r="N133" i="6"/>
  <c r="T133" i="6"/>
  <c r="G133" i="6"/>
  <c r="BB133" i="6"/>
  <c r="AN133" i="6"/>
  <c r="O133" i="6"/>
  <c r="U133" i="6"/>
  <c r="BK133" i="6"/>
  <c r="BN133" i="6"/>
  <c r="BC133" i="6"/>
  <c r="AH133" i="6"/>
  <c r="AL133" i="6"/>
  <c r="H133" i="6"/>
  <c r="AP133" i="6"/>
  <c r="AX133" i="6"/>
  <c r="AT133" i="6"/>
  <c r="Z133" i="6"/>
  <c r="BG133" i="6"/>
  <c r="M133" i="6"/>
  <c r="BH133" i="6"/>
  <c r="AA133" i="6"/>
  <c r="AQ133" i="6"/>
  <c r="AO133" i="6"/>
  <c r="W133" i="6"/>
  <c r="BD133" i="6"/>
  <c r="BJ133" i="6"/>
  <c r="AE133" i="6"/>
  <c r="BM133" i="6"/>
  <c r="AR133" i="6"/>
  <c r="I133" i="6"/>
  <c r="BE133" i="6"/>
  <c r="AC133" i="6"/>
  <c r="L133" i="6"/>
  <c r="AY133" i="6"/>
  <c r="P133" i="6"/>
  <c r="AI133" i="6"/>
  <c r="AD133" i="6"/>
  <c r="Q133" i="6"/>
  <c r="AG133" i="6"/>
  <c r="AZ133" i="6"/>
  <c r="AK133" i="6"/>
  <c r="X133" i="6"/>
  <c r="BL133" i="6"/>
  <c r="M105" i="6"/>
  <c r="J105" i="6"/>
  <c r="G105" i="6"/>
  <c r="Q105" i="6"/>
  <c r="AW105" i="6"/>
  <c r="F105" i="6"/>
  <c r="AA105" i="6"/>
  <c r="AB105" i="6"/>
  <c r="AG105" i="6"/>
  <c r="AL105" i="6"/>
  <c r="V105" i="6"/>
  <c r="R105" i="6"/>
  <c r="AO105" i="6"/>
  <c r="AT105" i="6"/>
  <c r="BA105" i="6"/>
  <c r="BG105" i="6"/>
  <c r="AD105" i="6"/>
  <c r="BD105" i="6"/>
  <c r="BJ105" i="6"/>
  <c r="H105" i="6"/>
  <c r="S105" i="6"/>
  <c r="BN105" i="6"/>
  <c r="AS105" i="6"/>
  <c r="AU105" i="6"/>
  <c r="O105" i="6"/>
  <c r="AN105" i="6"/>
  <c r="K105" i="6"/>
  <c r="BH105" i="6"/>
  <c r="BL105" i="6"/>
  <c r="AI105" i="6"/>
  <c r="T105" i="6"/>
  <c r="X105" i="6"/>
  <c r="I105" i="6"/>
  <c r="Y105" i="6"/>
  <c r="BE105" i="6"/>
  <c r="U105" i="6"/>
  <c r="AK105" i="6"/>
  <c r="Z105" i="6"/>
  <c r="AY105" i="6"/>
  <c r="P105" i="6"/>
  <c r="AQ105" i="6"/>
  <c r="N105" i="6"/>
  <c r="AM105" i="6"/>
  <c r="AF105" i="6"/>
  <c r="AZ105" i="6"/>
  <c r="AP105" i="6"/>
  <c r="AH105" i="6"/>
  <c r="BB105" i="6"/>
  <c r="BC105" i="6"/>
  <c r="AX105" i="6"/>
  <c r="AJ105" i="6"/>
  <c r="BK105" i="6"/>
  <c r="BF105" i="6"/>
  <c r="BI105" i="6"/>
  <c r="L105" i="6"/>
  <c r="AE105" i="6"/>
  <c r="BM105" i="6"/>
  <c r="W105" i="6"/>
  <c r="AV105" i="6"/>
  <c r="AC105" i="6"/>
  <c r="AR105" i="6"/>
  <c r="F130" i="5"/>
  <c r="AT33" i="6"/>
  <c r="AP33" i="6"/>
  <c r="O33" i="6"/>
  <c r="BN33" i="6"/>
  <c r="BB33" i="6"/>
  <c r="BG33" i="6"/>
  <c r="BH33" i="6"/>
  <c r="AJ33" i="6"/>
  <c r="AH33" i="6"/>
  <c r="V33" i="6"/>
  <c r="M33" i="6"/>
  <c r="K33" i="6"/>
  <c r="BF33" i="6"/>
  <c r="AN33" i="6"/>
  <c r="AZ33" i="6"/>
  <c r="AA33" i="6"/>
  <c r="AC33" i="6"/>
  <c r="P33" i="6"/>
  <c r="AQ33" i="6"/>
  <c r="BK33" i="6"/>
  <c r="AG33" i="6"/>
  <c r="G33" i="6"/>
  <c r="N33" i="6"/>
  <c r="Q33" i="6"/>
  <c r="AU33" i="6"/>
  <c r="AS33" i="6"/>
  <c r="W33" i="6"/>
  <c r="AE33" i="6"/>
  <c r="AM33" i="6"/>
  <c r="AW33" i="6"/>
  <c r="BC33" i="6"/>
  <c r="BI33" i="6"/>
  <c r="U33" i="6"/>
  <c r="BM33" i="6"/>
  <c r="J33" i="6"/>
  <c r="BE33" i="6"/>
  <c r="AX33" i="6"/>
  <c r="AY33" i="6"/>
  <c r="F33" i="6"/>
  <c r="L33" i="6"/>
  <c r="R33" i="6"/>
  <c r="S33" i="6"/>
  <c r="AI33" i="6"/>
  <c r="T33" i="6"/>
  <c r="AF33" i="6"/>
  <c r="BD33" i="6"/>
  <c r="X33" i="6"/>
  <c r="AO33" i="6"/>
  <c r="AK33" i="6"/>
  <c r="Z33" i="6"/>
  <c r="BA33" i="6"/>
  <c r="H33" i="6"/>
  <c r="Y33" i="6"/>
  <c r="AV33" i="6"/>
  <c r="BJ33" i="6"/>
  <c r="AB33" i="6"/>
  <c r="BL33" i="6"/>
  <c r="AD33" i="6"/>
  <c r="I33" i="6"/>
  <c r="AL33" i="6"/>
  <c r="AR33" i="6"/>
  <c r="F101" i="6"/>
  <c r="W101" i="6"/>
  <c r="AL101" i="6"/>
  <c r="BA101" i="6"/>
  <c r="J101" i="6"/>
  <c r="Z101" i="6"/>
  <c r="AP101" i="6"/>
  <c r="BG101" i="6"/>
  <c r="K101" i="6"/>
  <c r="AA101" i="6"/>
  <c r="AQ101" i="6"/>
  <c r="BJ101" i="6"/>
  <c r="P101" i="6"/>
  <c r="AH101" i="6"/>
  <c r="AY101" i="6"/>
  <c r="R101" i="6"/>
  <c r="AJ101" i="6"/>
  <c r="AZ101" i="6"/>
  <c r="S101" i="6"/>
  <c r="AK101" i="6"/>
  <c r="BB101" i="6"/>
  <c r="AB101" i="6"/>
  <c r="BD101" i="6"/>
  <c r="AC101" i="6"/>
  <c r="BF101" i="6"/>
  <c r="AD101" i="6"/>
  <c r="BK101" i="6"/>
  <c r="AF101" i="6"/>
  <c r="BL101" i="6"/>
  <c r="G101" i="6"/>
  <c r="AM101" i="6"/>
  <c r="BM101" i="6"/>
  <c r="M101" i="6"/>
  <c r="AO101" i="6"/>
  <c r="L101" i="6"/>
  <c r="BN101" i="6"/>
  <c r="X101" i="6"/>
  <c r="AX101" i="6"/>
  <c r="N101" i="6"/>
  <c r="O101" i="6"/>
  <c r="T101" i="6"/>
  <c r="Y101" i="6"/>
  <c r="AN101" i="6"/>
  <c r="AR101" i="6"/>
  <c r="BC101" i="6"/>
  <c r="AU101" i="6"/>
  <c r="AW101" i="6"/>
  <c r="BI101" i="6"/>
  <c r="BH101" i="6"/>
  <c r="Q101" i="6"/>
  <c r="U101" i="6"/>
  <c r="AE101" i="6"/>
  <c r="I101" i="6"/>
  <c r="AT101" i="6"/>
  <c r="H101" i="6"/>
  <c r="V101" i="6"/>
  <c r="AI101" i="6"/>
  <c r="AV101" i="6"/>
  <c r="AG101" i="6"/>
  <c r="AS101" i="6"/>
  <c r="BE101" i="6"/>
  <c r="L67" i="6"/>
  <c r="X67" i="6"/>
  <c r="AJ67" i="6"/>
  <c r="AV67" i="6"/>
  <c r="BJ67" i="6"/>
  <c r="J67" i="6"/>
  <c r="W67" i="6"/>
  <c r="AK67" i="6"/>
  <c r="AX67" i="6"/>
  <c r="BM67" i="6"/>
  <c r="K67" i="6"/>
  <c r="Y67" i="6"/>
  <c r="AL67" i="6"/>
  <c r="AY67" i="6"/>
  <c r="BN67" i="6"/>
  <c r="Q67" i="6"/>
  <c r="AD67" i="6"/>
  <c r="AQ67" i="6"/>
  <c r="BE67" i="6"/>
  <c r="R67" i="6"/>
  <c r="AE67" i="6"/>
  <c r="AR67" i="6"/>
  <c r="BF67" i="6"/>
  <c r="F67" i="6"/>
  <c r="S67" i="6"/>
  <c r="AF67" i="6"/>
  <c r="AS67" i="6"/>
  <c r="BH67" i="6"/>
  <c r="M67" i="6"/>
  <c r="AH67" i="6"/>
  <c r="BD67" i="6"/>
  <c r="N67" i="6"/>
  <c r="AI67" i="6"/>
  <c r="BI67" i="6"/>
  <c r="O67" i="6"/>
  <c r="AM67" i="6"/>
  <c r="BK67" i="6"/>
  <c r="P67" i="6"/>
  <c r="AN67" i="6"/>
  <c r="BL67" i="6"/>
  <c r="T67" i="6"/>
  <c r="AO67" i="6"/>
  <c r="V67" i="6"/>
  <c r="AT67" i="6"/>
  <c r="I67" i="6"/>
  <c r="BC67" i="6"/>
  <c r="AB67" i="6"/>
  <c r="AC67" i="6"/>
  <c r="U67" i="6"/>
  <c r="H67" i="6"/>
  <c r="Z67" i="6"/>
  <c r="AA67" i="6"/>
  <c r="G67" i="6"/>
  <c r="BA67" i="6"/>
  <c r="BB67" i="6"/>
  <c r="AG67" i="6"/>
  <c r="AP67" i="6"/>
  <c r="AU67" i="6"/>
  <c r="AW67" i="6"/>
  <c r="AG5" i="6"/>
  <c r="Q5" i="6"/>
  <c r="BH5" i="6"/>
  <c r="I5" i="6"/>
  <c r="Z5" i="6"/>
  <c r="AT5" i="6"/>
  <c r="AF5" i="6"/>
  <c r="U5" i="6"/>
  <c r="AO5" i="6"/>
  <c r="AA5" i="6"/>
  <c r="BG5" i="6"/>
  <c r="AV5" i="6"/>
  <c r="AQ5" i="6"/>
  <c r="AY5" i="6"/>
  <c r="AC5" i="6"/>
  <c r="J5" i="6"/>
  <c r="BM5" i="6"/>
  <c r="X5" i="6"/>
  <c r="K5" i="6"/>
  <c r="AR5" i="6"/>
  <c r="AB5" i="6"/>
  <c r="AW5" i="6"/>
  <c r="BD5" i="6"/>
  <c r="BI5" i="6"/>
  <c r="BB5" i="6"/>
  <c r="AN5" i="6"/>
  <c r="BJ5" i="6"/>
  <c r="N5" i="6"/>
  <c r="F5" i="6"/>
  <c r="R5" i="6"/>
  <c r="P5" i="6"/>
  <c r="AL5" i="6"/>
  <c r="L5" i="6"/>
  <c r="AJ5" i="6"/>
  <c r="AD5" i="6"/>
  <c r="AX5" i="6"/>
  <c r="O5" i="6"/>
  <c r="AH5" i="6"/>
  <c r="AE5" i="6"/>
  <c r="BN5" i="6"/>
  <c r="AU5" i="6"/>
  <c r="H5" i="6"/>
  <c r="BK5" i="6"/>
  <c r="AI5" i="6"/>
  <c r="BE5" i="6"/>
  <c r="M5" i="6"/>
  <c r="AM5" i="6"/>
  <c r="AS5" i="6"/>
  <c r="AZ5" i="6"/>
  <c r="BC5" i="6"/>
  <c r="BL5" i="6"/>
  <c r="V5" i="6"/>
  <c r="G5" i="6"/>
  <c r="BF5" i="6"/>
  <c r="AP5" i="6"/>
  <c r="W5" i="6"/>
  <c r="T5" i="6"/>
  <c r="S5" i="6"/>
  <c r="Y5" i="6"/>
  <c r="AK5" i="6"/>
  <c r="BA5" i="6"/>
  <c r="AA44" i="6"/>
  <c r="BE44" i="6"/>
  <c r="Y44" i="6"/>
  <c r="AU44" i="6"/>
  <c r="L44" i="6"/>
  <c r="AM44" i="6"/>
  <c r="P44" i="6"/>
  <c r="AR44" i="6"/>
  <c r="AF44" i="6"/>
  <c r="AW44" i="6"/>
  <c r="AY44" i="6"/>
  <c r="AE44" i="6"/>
  <c r="BJ44" i="6"/>
  <c r="BH44" i="6"/>
  <c r="M44" i="6"/>
  <c r="BK44" i="6"/>
  <c r="AT44" i="6"/>
  <c r="R44" i="6"/>
  <c r="AG44" i="6"/>
  <c r="BA44" i="6"/>
  <c r="AK44" i="6"/>
  <c r="AJ44" i="6"/>
  <c r="S44" i="6"/>
  <c r="H44" i="6"/>
  <c r="Z44" i="6"/>
  <c r="AX44" i="6"/>
  <c r="BB44" i="6"/>
  <c r="AP44" i="6"/>
  <c r="AI44" i="6"/>
  <c r="BC44" i="6"/>
  <c r="X44" i="6"/>
  <c r="BM44" i="6"/>
  <c r="Q44" i="6"/>
  <c r="T44" i="6"/>
  <c r="AH44" i="6"/>
  <c r="V44" i="6"/>
  <c r="I44" i="6"/>
  <c r="AO44" i="6"/>
  <c r="AL44" i="6"/>
  <c r="BG44" i="6"/>
  <c r="J44" i="6"/>
  <c r="O44" i="6"/>
  <c r="G44" i="6"/>
  <c r="AV44" i="6"/>
  <c r="N44" i="6"/>
  <c r="BF44" i="6"/>
  <c r="AC44" i="6"/>
  <c r="AB44" i="6"/>
  <c r="AQ44" i="6"/>
  <c r="AD44" i="6"/>
  <c r="BI44" i="6"/>
  <c r="BN44" i="6"/>
  <c r="U44" i="6"/>
  <c r="AS44" i="6"/>
  <c r="AN44" i="6"/>
  <c r="W44" i="6"/>
  <c r="F44" i="6"/>
  <c r="AZ44" i="6"/>
  <c r="K44" i="6"/>
  <c r="BD44" i="6"/>
  <c r="BL44" i="6"/>
  <c r="F20" i="5"/>
  <c r="F136" i="5"/>
  <c r="F27" i="5"/>
  <c r="Z27" i="6" s="1"/>
  <c r="N22" i="6"/>
  <c r="Z22" i="6"/>
  <c r="AL22" i="6"/>
  <c r="AX22" i="6"/>
  <c r="BL22" i="6"/>
  <c r="I22" i="6"/>
  <c r="U22" i="6"/>
  <c r="AG22" i="6"/>
  <c r="AS22" i="6"/>
  <c r="BF22" i="6"/>
  <c r="L22" i="6"/>
  <c r="AA22" i="6"/>
  <c r="AO22" i="6"/>
  <c r="BD22" i="6"/>
  <c r="M22" i="6"/>
  <c r="AB22" i="6"/>
  <c r="AP22" i="6"/>
  <c r="BE22" i="6"/>
  <c r="R22" i="6"/>
  <c r="AF22" i="6"/>
  <c r="AU22" i="6"/>
  <c r="BK22" i="6"/>
  <c r="T22" i="6"/>
  <c r="AM22" i="6"/>
  <c r="BI22" i="6"/>
  <c r="V22" i="6"/>
  <c r="AN22" i="6"/>
  <c r="BJ22" i="6"/>
  <c r="J22" i="6"/>
  <c r="AD22" i="6"/>
  <c r="AW22" i="6"/>
  <c r="K22" i="6"/>
  <c r="AE22" i="6"/>
  <c r="AY22" i="6"/>
  <c r="O22" i="6"/>
  <c r="AH22" i="6"/>
  <c r="AZ22" i="6"/>
  <c r="P22" i="6"/>
  <c r="AI22" i="6"/>
  <c r="BB22" i="6"/>
  <c r="Q22" i="6"/>
  <c r="BC22" i="6"/>
  <c r="S22" i="6"/>
  <c r="BG22" i="6"/>
  <c r="W22" i="6"/>
  <c r="BM22" i="6"/>
  <c r="X22" i="6"/>
  <c r="BN22" i="6"/>
  <c r="AC22" i="6"/>
  <c r="Y22" i="6"/>
  <c r="AJ22" i="6"/>
  <c r="AK22" i="6"/>
  <c r="F22" i="6"/>
  <c r="AQ22" i="6"/>
  <c r="G22" i="6"/>
  <c r="H22" i="6"/>
  <c r="AR22" i="6"/>
  <c r="AT22" i="6"/>
  <c r="AV22" i="6"/>
  <c r="AT16" i="6"/>
  <c r="AF16" i="6"/>
  <c r="L16" i="6"/>
  <c r="AD16" i="6"/>
  <c r="U16" i="6"/>
  <c r="BF16" i="6"/>
  <c r="AU16" i="6"/>
  <c r="AK16" i="6"/>
  <c r="BJ16" i="6"/>
  <c r="AY16" i="6"/>
  <c r="M16" i="6"/>
  <c r="BI16" i="6"/>
  <c r="BG16" i="6"/>
  <c r="H16" i="6"/>
  <c r="W16" i="6"/>
  <c r="Z16" i="6"/>
  <c r="S16" i="6"/>
  <c r="P16" i="6"/>
  <c r="AG16" i="6"/>
  <c r="BN16" i="6"/>
  <c r="BM16" i="6"/>
  <c r="T16" i="6"/>
  <c r="AB16" i="6"/>
  <c r="I16" i="6"/>
  <c r="AA16" i="6"/>
  <c r="Q16" i="6"/>
  <c r="AL16" i="6"/>
  <c r="BB16" i="6"/>
  <c r="AV16" i="6"/>
  <c r="AP16" i="6"/>
  <c r="BA16" i="6"/>
  <c r="AR16" i="6"/>
  <c r="AZ16" i="6"/>
  <c r="BK16" i="6"/>
  <c r="Y16" i="6"/>
  <c r="AE16" i="6"/>
  <c r="F16" i="6"/>
  <c r="AN16" i="6"/>
  <c r="AS16" i="6"/>
  <c r="AC16" i="6"/>
  <c r="AQ16" i="6"/>
  <c r="BH16" i="6"/>
  <c r="BE16" i="6"/>
  <c r="R16" i="6"/>
  <c r="G16" i="6"/>
  <c r="AJ16" i="6"/>
  <c r="BL16" i="6"/>
  <c r="V16" i="6"/>
  <c r="X16" i="6"/>
  <c r="AH16" i="6"/>
  <c r="AM16" i="6"/>
  <c r="BD16" i="6"/>
  <c r="AI16" i="6"/>
  <c r="BC16" i="6"/>
  <c r="AO16" i="6"/>
  <c r="J16" i="6"/>
  <c r="N16" i="6"/>
  <c r="K16" i="6"/>
  <c r="AW16" i="6"/>
  <c r="O16" i="6"/>
  <c r="AX16" i="6"/>
  <c r="BH94" i="6"/>
  <c r="AJ57" i="6"/>
  <c r="AB57" i="6"/>
  <c r="AZ57" i="6"/>
  <c r="BC57" i="6"/>
  <c r="F57" i="6"/>
  <c r="AW57" i="6"/>
  <c r="AR57" i="6"/>
  <c r="K57" i="6"/>
  <c r="X57" i="6"/>
  <c r="AN57" i="6"/>
  <c r="BJ57" i="6"/>
  <c r="BI57" i="6"/>
  <c r="AE57" i="6"/>
  <c r="BD57" i="6"/>
  <c r="P57" i="6"/>
  <c r="U57" i="6"/>
  <c r="BK57" i="6"/>
  <c r="BN57" i="6"/>
  <c r="BB57" i="6"/>
  <c r="BG57" i="6"/>
  <c r="AG57" i="6"/>
  <c r="Q57" i="6"/>
  <c r="G57" i="6"/>
  <c r="R57" i="6"/>
  <c r="AK57" i="6"/>
  <c r="AV57" i="6"/>
  <c r="BA57" i="6"/>
  <c r="AL57" i="6"/>
  <c r="AS57" i="6"/>
  <c r="AD57" i="6"/>
  <c r="V57" i="6"/>
  <c r="BE57" i="6"/>
  <c r="AU57" i="6"/>
  <c r="Y57" i="6"/>
  <c r="J57" i="6"/>
  <c r="AA57" i="6"/>
  <c r="BF57" i="6"/>
  <c r="W57" i="6"/>
  <c r="AY57" i="6"/>
  <c r="Z57" i="6"/>
  <c r="S57" i="6"/>
  <c r="H57" i="6"/>
  <c r="BH57" i="6"/>
  <c r="T57" i="6"/>
  <c r="I57" i="6"/>
  <c r="AT57" i="6"/>
  <c r="AX57" i="6"/>
  <c r="AO57" i="6"/>
  <c r="BM57" i="6"/>
  <c r="AH57" i="6"/>
  <c r="AF57" i="6"/>
  <c r="L57" i="6"/>
  <c r="N57" i="6"/>
  <c r="AC57" i="6"/>
  <c r="AI57" i="6"/>
  <c r="M57" i="6"/>
  <c r="AQ57" i="6"/>
  <c r="O57" i="6"/>
  <c r="BL57" i="6"/>
  <c r="AP57" i="6"/>
  <c r="AM57" i="6"/>
  <c r="F143" i="5"/>
  <c r="AZ67" i="6"/>
  <c r="AE18" i="6"/>
  <c r="Z18" i="6"/>
  <c r="X18" i="6"/>
  <c r="AF18" i="6"/>
  <c r="AW18" i="6"/>
  <c r="AR18" i="6"/>
  <c r="AS18" i="6"/>
  <c r="AV18" i="6"/>
  <c r="BN18" i="6"/>
  <c r="M18" i="6"/>
  <c r="BE18" i="6"/>
  <c r="BJ18" i="6"/>
  <c r="W18" i="6"/>
  <c r="AG18" i="6"/>
  <c r="BI18" i="6"/>
  <c r="N18" i="6"/>
  <c r="P18" i="6"/>
  <c r="AX18" i="6"/>
  <c r="AJ18" i="6"/>
  <c r="L18" i="6"/>
  <c r="J18" i="6"/>
  <c r="BD18" i="6"/>
  <c r="Q18" i="6"/>
  <c r="AA18" i="6"/>
  <c r="AM18" i="6"/>
  <c r="S18" i="6"/>
  <c r="V18" i="6"/>
  <c r="O18" i="6"/>
  <c r="AK18" i="6"/>
  <c r="BA18" i="6"/>
  <c r="G18" i="6"/>
  <c r="AP18" i="6"/>
  <c r="AY18" i="6"/>
  <c r="BK18" i="6"/>
  <c r="AZ18" i="6"/>
  <c r="F18" i="6"/>
  <c r="AH18" i="6"/>
  <c r="BC18" i="6"/>
  <c r="AN18" i="6"/>
  <c r="AT18" i="6"/>
  <c r="U18" i="6"/>
  <c r="H18" i="6"/>
  <c r="BF18" i="6"/>
  <c r="AO18" i="6"/>
  <c r="AU18" i="6"/>
  <c r="R18" i="6"/>
  <c r="BM18" i="6"/>
  <c r="K18" i="6"/>
  <c r="AQ18" i="6"/>
  <c r="BG18" i="6"/>
  <c r="I18" i="6"/>
  <c r="AI18" i="6"/>
  <c r="AD18" i="6"/>
  <c r="BB18" i="6"/>
  <c r="T18" i="6"/>
  <c r="AC18" i="6"/>
  <c r="Y18" i="6"/>
  <c r="BL18" i="6"/>
  <c r="AB18" i="6"/>
  <c r="AL18" i="6"/>
  <c r="BH18" i="6"/>
  <c r="AG144" i="6"/>
  <c r="BM144" i="6"/>
  <c r="BE144" i="6"/>
  <c r="I144" i="6"/>
  <c r="M144" i="6"/>
  <c r="L144" i="6"/>
  <c r="AU144" i="6"/>
  <c r="O144" i="6"/>
  <c r="V144" i="6"/>
  <c r="AS144" i="6"/>
  <c r="AZ144" i="6"/>
  <c r="X144" i="6"/>
  <c r="BJ144" i="6"/>
  <c r="AF144" i="6"/>
  <c r="AO144" i="6"/>
  <c r="AA144" i="6"/>
  <c r="K144" i="6"/>
  <c r="AW144" i="6"/>
  <c r="BC144" i="6"/>
  <c r="BG144" i="6"/>
  <c r="AC144" i="6"/>
  <c r="Y144" i="6"/>
  <c r="BK144" i="6"/>
  <c r="Q144" i="6"/>
  <c r="Z144" i="6"/>
  <c r="AT144" i="6"/>
  <c r="BL144" i="6"/>
  <c r="AM144" i="6"/>
  <c r="AB144" i="6"/>
  <c r="U144" i="6"/>
  <c r="AP144" i="6"/>
  <c r="AJ144" i="6"/>
  <c r="AI144" i="6"/>
  <c r="AQ144" i="6"/>
  <c r="AV144" i="6"/>
  <c r="AX144" i="6"/>
  <c r="BI144" i="6"/>
  <c r="BH144" i="6"/>
  <c r="BB144" i="6"/>
  <c r="H144" i="6"/>
  <c r="AL144" i="6"/>
  <c r="P144" i="6"/>
  <c r="AR144" i="6"/>
  <c r="R144" i="6"/>
  <c r="AN144" i="6"/>
  <c r="BF144" i="6"/>
  <c r="W144" i="6"/>
  <c r="F144" i="6"/>
  <c r="N144" i="6"/>
  <c r="T144" i="6"/>
  <c r="AD144" i="6"/>
  <c r="AE144" i="6"/>
  <c r="BA144" i="6"/>
  <c r="BN144" i="6"/>
  <c r="S144" i="6"/>
  <c r="AY144" i="6"/>
  <c r="AH144" i="6"/>
  <c r="J144" i="6"/>
  <c r="G144" i="6"/>
  <c r="BD144" i="6"/>
  <c r="AK144" i="6"/>
  <c r="AJ86" i="6"/>
  <c r="AK86" i="6"/>
  <c r="AR86" i="6"/>
  <c r="I86" i="6"/>
  <c r="L86" i="6"/>
  <c r="O86" i="6"/>
  <c r="AX86" i="6"/>
  <c r="BC86" i="6"/>
  <c r="R86" i="6"/>
  <c r="AE86" i="6"/>
  <c r="AH86" i="6"/>
  <c r="AA86" i="6"/>
  <c r="BM86" i="6"/>
  <c r="T86" i="6"/>
  <c r="AS86" i="6"/>
  <c r="G86" i="6"/>
  <c r="AM86" i="6"/>
  <c r="P86" i="6"/>
  <c r="AL86" i="6"/>
  <c r="X86" i="6"/>
  <c r="BA86" i="6"/>
  <c r="Q86" i="6"/>
  <c r="BJ86" i="6"/>
  <c r="AO86" i="6"/>
  <c r="AV86" i="6"/>
  <c r="J86" i="6"/>
  <c r="AD86" i="6"/>
  <c r="F86" i="6"/>
  <c r="BG86" i="6"/>
  <c r="Z86" i="6"/>
  <c r="AG86" i="6"/>
  <c r="BD86" i="6"/>
  <c r="AN86" i="6"/>
  <c r="AP86" i="6"/>
  <c r="AB86" i="6"/>
  <c r="K86" i="6"/>
  <c r="AY86" i="6"/>
  <c r="M86" i="6"/>
  <c r="BI86" i="6"/>
  <c r="AU86" i="6"/>
  <c r="AZ86" i="6"/>
  <c r="W86" i="6"/>
  <c r="AC86" i="6"/>
  <c r="BE86" i="6"/>
  <c r="BB86" i="6"/>
  <c r="S86" i="6"/>
  <c r="BH86" i="6"/>
  <c r="BF86" i="6"/>
  <c r="BL86" i="6"/>
  <c r="U86" i="6"/>
  <c r="AI86" i="6"/>
  <c r="Y86" i="6"/>
  <c r="AW86" i="6"/>
  <c r="BK86" i="6"/>
  <c r="AQ86" i="6"/>
  <c r="H86" i="6"/>
  <c r="V86" i="6"/>
  <c r="N86" i="6"/>
  <c r="AT86" i="6"/>
  <c r="BN86" i="6"/>
  <c r="AF86" i="6"/>
  <c r="AY119" i="6"/>
  <c r="AO119" i="6"/>
  <c r="AJ119" i="6"/>
  <c r="AB119" i="6"/>
  <c r="I119" i="6"/>
  <c r="BL119" i="6"/>
  <c r="BD119" i="6"/>
  <c r="BF119" i="6"/>
  <c r="W119" i="6"/>
  <c r="N119" i="6"/>
  <c r="J119" i="6"/>
  <c r="O119" i="6"/>
  <c r="T119" i="6"/>
  <c r="BJ119" i="6"/>
  <c r="AE119" i="6"/>
  <c r="F119" i="6"/>
  <c r="X119" i="6"/>
  <c r="AG119" i="6"/>
  <c r="AK119" i="6"/>
  <c r="G119" i="6"/>
  <c r="AV119" i="6"/>
  <c r="AP119" i="6"/>
  <c r="K119" i="6"/>
  <c r="AH119" i="6"/>
  <c r="AQ119" i="6"/>
  <c r="H119" i="6"/>
  <c r="BB119" i="6"/>
  <c r="Z119" i="6"/>
  <c r="AZ119" i="6"/>
  <c r="BH119" i="6"/>
  <c r="AC119" i="6"/>
  <c r="AD119" i="6"/>
  <c r="P119" i="6"/>
  <c r="BK119" i="6"/>
  <c r="BA119" i="6"/>
  <c r="U119" i="6"/>
  <c r="AN119" i="6"/>
  <c r="V119" i="6"/>
  <c r="BC119" i="6"/>
  <c r="AR119" i="6"/>
  <c r="M119" i="6"/>
  <c r="BI119" i="6"/>
  <c r="AA119" i="6"/>
  <c r="AS119" i="6"/>
  <c r="AI119" i="6"/>
  <c r="BE119" i="6"/>
  <c r="S119" i="6"/>
  <c r="BG119" i="6"/>
  <c r="BN119" i="6"/>
  <c r="AU119" i="6"/>
  <c r="L119" i="6"/>
  <c r="BM119" i="6"/>
  <c r="Y119" i="6"/>
  <c r="AF119" i="6"/>
  <c r="R119" i="6"/>
  <c r="AT119" i="6"/>
  <c r="AL119" i="6"/>
  <c r="AM119" i="6"/>
  <c r="Q119" i="6"/>
  <c r="AX119" i="6"/>
  <c r="AW119" i="6"/>
  <c r="P52" i="6"/>
  <c r="AB52" i="6"/>
  <c r="AN52" i="6"/>
  <c r="BB52" i="6"/>
  <c r="Q52" i="6"/>
  <c r="AC52" i="6"/>
  <c r="AO52" i="6"/>
  <c r="BC52" i="6"/>
  <c r="I52" i="6"/>
  <c r="U52" i="6"/>
  <c r="AG52" i="6"/>
  <c r="AS52" i="6"/>
  <c r="BH52" i="6"/>
  <c r="S52" i="6"/>
  <c r="AI52" i="6"/>
  <c r="AY52" i="6"/>
  <c r="T52" i="6"/>
  <c r="AJ52" i="6"/>
  <c r="AZ52" i="6"/>
  <c r="K52" i="6"/>
  <c r="Z52" i="6"/>
  <c r="AQ52" i="6"/>
  <c r="BJ52" i="6"/>
  <c r="L52" i="6"/>
  <c r="AA52" i="6"/>
  <c r="AR52" i="6"/>
  <c r="BK52" i="6"/>
  <c r="M52" i="6"/>
  <c r="AD52" i="6"/>
  <c r="AT52" i="6"/>
  <c r="BL52" i="6"/>
  <c r="AE52" i="6"/>
  <c r="BF52" i="6"/>
  <c r="F52" i="6"/>
  <c r="AF52" i="6"/>
  <c r="BI52" i="6"/>
  <c r="G52" i="6"/>
  <c r="AH52" i="6"/>
  <c r="BN52" i="6"/>
  <c r="H52" i="6"/>
  <c r="AK52" i="6"/>
  <c r="N52" i="6"/>
  <c r="J52" i="6"/>
  <c r="AL52" i="6"/>
  <c r="AM52" i="6"/>
  <c r="O52" i="6"/>
  <c r="AP52" i="6"/>
  <c r="AX52" i="6"/>
  <c r="BD52" i="6"/>
  <c r="R52" i="6"/>
  <c r="AW52" i="6"/>
  <c r="BE52" i="6"/>
  <c r="AV52" i="6"/>
  <c r="V52" i="6"/>
  <c r="W52" i="6"/>
  <c r="X52" i="6"/>
  <c r="Y52" i="6"/>
  <c r="N28" i="6"/>
  <c r="L28" i="6"/>
  <c r="T28" i="6"/>
  <c r="J28" i="6"/>
  <c r="AE28" i="6"/>
  <c r="AC28" i="6"/>
  <c r="AG28" i="6"/>
  <c r="AN28" i="6"/>
  <c r="AU28" i="6"/>
  <c r="AB28" i="6"/>
  <c r="AR28" i="6"/>
  <c r="AZ28" i="6"/>
  <c r="BI28" i="6"/>
  <c r="V28" i="6"/>
  <c r="AI28" i="6"/>
  <c r="AY28" i="6"/>
  <c r="AW28" i="6"/>
  <c r="K28" i="6"/>
  <c r="G28" i="6"/>
  <c r="X28" i="6"/>
  <c r="BK28" i="6"/>
  <c r="BM28" i="6"/>
  <c r="AK28" i="6"/>
  <c r="AP28" i="6"/>
  <c r="BC28" i="6"/>
  <c r="BF28" i="6"/>
  <c r="AL28" i="6"/>
  <c r="BE28" i="6"/>
  <c r="AA28" i="6"/>
  <c r="BN28" i="6"/>
  <c r="AS28" i="6"/>
  <c r="AM28" i="6"/>
  <c r="R28" i="6"/>
  <c r="I28" i="6"/>
  <c r="Q28" i="6"/>
  <c r="AJ28" i="6"/>
  <c r="AT28" i="6"/>
  <c r="AD28" i="6"/>
  <c r="BB28" i="6"/>
  <c r="AX28" i="6"/>
  <c r="AQ28" i="6"/>
  <c r="BG28" i="6"/>
  <c r="W28" i="6"/>
  <c r="U28" i="6"/>
  <c r="AO28" i="6"/>
  <c r="BJ28" i="6"/>
  <c r="O28" i="6"/>
  <c r="H28" i="6"/>
  <c r="AH28" i="6"/>
  <c r="Z28" i="6"/>
  <c r="M28" i="6"/>
  <c r="AF28" i="6"/>
  <c r="AV28" i="6"/>
  <c r="BD28" i="6"/>
  <c r="P28" i="6"/>
  <c r="S28" i="6"/>
  <c r="BH28" i="6"/>
  <c r="Y28" i="6"/>
  <c r="BA28" i="6"/>
  <c r="BL28" i="6"/>
  <c r="F28" i="6"/>
  <c r="F108" i="5"/>
  <c r="L124" i="6"/>
  <c r="AL124" i="6"/>
  <c r="AG124" i="6"/>
  <c r="AP124" i="6"/>
  <c r="G124" i="6"/>
  <c r="O124" i="6"/>
  <c r="X124" i="6"/>
  <c r="AZ124" i="6"/>
  <c r="BC124" i="6"/>
  <c r="BG124" i="6"/>
  <c r="AC124" i="6"/>
  <c r="AJ124" i="6"/>
  <c r="BN124" i="6"/>
  <c r="Q124" i="6"/>
  <c r="U124" i="6"/>
  <c r="AT124" i="6"/>
  <c r="V124" i="6"/>
  <c r="BA124" i="6"/>
  <c r="AK124" i="6"/>
  <c r="AR124" i="6"/>
  <c r="AU124" i="6"/>
  <c r="AI124" i="6"/>
  <c r="K124" i="6"/>
  <c r="BE124" i="6"/>
  <c r="BK124" i="6"/>
  <c r="N124" i="6"/>
  <c r="BJ124" i="6"/>
  <c r="R124" i="6"/>
  <c r="BM124" i="6"/>
  <c r="Z124" i="6"/>
  <c r="BI124" i="6"/>
  <c r="AY124" i="6"/>
  <c r="AN124" i="6"/>
  <c r="AA124" i="6"/>
  <c r="AV124" i="6"/>
  <c r="BB124" i="6"/>
  <c r="F124" i="6"/>
  <c r="BH124" i="6"/>
  <c r="P124" i="6"/>
  <c r="BL124" i="6"/>
  <c r="I124" i="6"/>
  <c r="AH124" i="6"/>
  <c r="AB124" i="6"/>
  <c r="W124" i="6"/>
  <c r="AD124" i="6"/>
  <c r="J124" i="6"/>
  <c r="AE124" i="6"/>
  <c r="Y124" i="6"/>
  <c r="AF124" i="6"/>
  <c r="AM124" i="6"/>
  <c r="AX124" i="6"/>
  <c r="AO124" i="6"/>
  <c r="BF124" i="6"/>
  <c r="T124" i="6"/>
  <c r="AQ124" i="6"/>
  <c r="S124" i="6"/>
  <c r="AS124" i="6"/>
  <c r="M124" i="6"/>
  <c r="BD124" i="6"/>
  <c r="H124" i="6"/>
  <c r="AW124" i="6"/>
  <c r="AY76" i="6"/>
  <c r="W76" i="6"/>
  <c r="AC76" i="6"/>
  <c r="BA76" i="6"/>
  <c r="BI76" i="6"/>
  <c r="BK76" i="6"/>
  <c r="AL76" i="6"/>
  <c r="AT76" i="6"/>
  <c r="X76" i="6"/>
  <c r="AN76" i="6"/>
  <c r="N76" i="6"/>
  <c r="BC76" i="6"/>
  <c r="BN76" i="6"/>
  <c r="BD76" i="6"/>
  <c r="G76" i="6"/>
  <c r="AB76" i="6"/>
  <c r="M76" i="6"/>
  <c r="K76" i="6"/>
  <c r="Y76" i="6"/>
  <c r="P76" i="6"/>
  <c r="F76" i="6"/>
  <c r="BM76" i="6"/>
  <c r="L76" i="6"/>
  <c r="BF76" i="6"/>
  <c r="AQ76" i="6"/>
  <c r="T76" i="6"/>
  <c r="I76" i="6"/>
  <c r="AF76" i="6"/>
  <c r="AI76" i="6"/>
  <c r="R76" i="6"/>
  <c r="BB76" i="6"/>
  <c r="AW76" i="6"/>
  <c r="AP76" i="6"/>
  <c r="AU76" i="6"/>
  <c r="AG76" i="6"/>
  <c r="Z76" i="6"/>
  <c r="BG76" i="6"/>
  <c r="O76" i="6"/>
  <c r="AS76" i="6"/>
  <c r="AJ76" i="6"/>
  <c r="AA76" i="6"/>
  <c r="BL76" i="6"/>
  <c r="BH76" i="6"/>
  <c r="AM76" i="6"/>
  <c r="J76" i="6"/>
  <c r="AK76" i="6"/>
  <c r="AO76" i="6"/>
  <c r="AD76" i="6"/>
  <c r="Q76" i="6"/>
  <c r="U76" i="6"/>
  <c r="AZ76" i="6"/>
  <c r="V76" i="6"/>
  <c r="BE76" i="6"/>
  <c r="S76" i="6"/>
  <c r="AR76" i="6"/>
  <c r="AH76" i="6"/>
  <c r="AV76" i="6"/>
  <c r="BJ76" i="6"/>
  <c r="H76" i="6"/>
  <c r="AE76" i="6"/>
  <c r="AX76" i="6"/>
  <c r="F85" i="5"/>
  <c r="BL3" i="6"/>
  <c r="AH3" i="6"/>
  <c r="X3" i="6"/>
  <c r="W3" i="6"/>
  <c r="AJ3" i="6"/>
  <c r="I3" i="6"/>
  <c r="AX3" i="6"/>
  <c r="AS3" i="6"/>
  <c r="BC3" i="6"/>
  <c r="AO3" i="6"/>
  <c r="V3" i="6"/>
  <c r="N3" i="6"/>
  <c r="K3" i="6"/>
  <c r="Z3" i="6"/>
  <c r="AP3" i="6"/>
  <c r="L3" i="6"/>
  <c r="O3" i="6"/>
  <c r="BD3" i="6"/>
  <c r="J3" i="6"/>
  <c r="AR3" i="6"/>
  <c r="Y3" i="6"/>
  <c r="AF3" i="6"/>
  <c r="G3" i="6"/>
  <c r="BK3" i="6"/>
  <c r="H3" i="6"/>
  <c r="AI3" i="6"/>
  <c r="AK3" i="6"/>
  <c r="M3" i="6"/>
  <c r="S3" i="6"/>
  <c r="BG3" i="6"/>
  <c r="AT3" i="6"/>
  <c r="AE3" i="6"/>
  <c r="U3" i="6"/>
  <c r="BA3" i="6"/>
  <c r="P3" i="6"/>
  <c r="AU3" i="6"/>
  <c r="BB3" i="6"/>
  <c r="AB3" i="6"/>
  <c r="BN3" i="6"/>
  <c r="BF3" i="6"/>
  <c r="AN3" i="6"/>
  <c r="AW3" i="6"/>
  <c r="AA3" i="6"/>
  <c r="BI3" i="6"/>
  <c r="T3" i="6"/>
  <c r="AL3" i="6"/>
  <c r="AD3" i="6"/>
  <c r="AY3" i="6"/>
  <c r="AQ3" i="6"/>
  <c r="BM3" i="6"/>
  <c r="F3" i="6"/>
  <c r="BE3" i="6"/>
  <c r="AM3" i="6"/>
  <c r="BH3" i="6"/>
  <c r="AZ3" i="6"/>
  <c r="AV3" i="6"/>
  <c r="Q3" i="6"/>
  <c r="AC3" i="6"/>
  <c r="AG3" i="6"/>
  <c r="BJ3" i="6"/>
  <c r="R3" i="6"/>
  <c r="AP127" i="6"/>
  <c r="L127" i="6"/>
  <c r="AR127" i="6"/>
  <c r="BM127" i="6"/>
  <c r="AZ127" i="6"/>
  <c r="BB127" i="6"/>
  <c r="Z127" i="6"/>
  <c r="BJ127" i="6"/>
  <c r="J127" i="6"/>
  <c r="Q127" i="6"/>
  <c r="BN127" i="6"/>
  <c r="AN127" i="6"/>
  <c r="X127" i="6"/>
  <c r="AE127" i="6"/>
  <c r="AJ127" i="6"/>
  <c r="H127" i="6"/>
  <c r="BC127" i="6"/>
  <c r="AS127" i="6"/>
  <c r="AW127" i="6"/>
  <c r="BE127" i="6"/>
  <c r="AU127" i="6"/>
  <c r="AO127" i="6"/>
  <c r="AB127" i="6"/>
  <c r="AX127" i="6"/>
  <c r="AL127" i="6"/>
  <c r="BH127" i="6"/>
  <c r="BD127" i="6"/>
  <c r="AT127" i="6"/>
  <c r="AG127" i="6"/>
  <c r="BG127" i="6"/>
  <c r="AH127" i="6"/>
  <c r="G127" i="6"/>
  <c r="AK127" i="6"/>
  <c r="AA127" i="6"/>
  <c r="AF127" i="6"/>
  <c r="V127" i="6"/>
  <c r="AI127" i="6"/>
  <c r="F127" i="6"/>
  <c r="AQ127" i="6"/>
  <c r="O127" i="6"/>
  <c r="R127" i="6"/>
  <c r="BI127" i="6"/>
  <c r="AY127" i="6"/>
  <c r="AD127" i="6"/>
  <c r="W127" i="6"/>
  <c r="P127" i="6"/>
  <c r="Y127" i="6"/>
  <c r="BF127" i="6"/>
  <c r="AM127" i="6"/>
  <c r="BA127" i="6"/>
  <c r="M127" i="6"/>
  <c r="BL127" i="6"/>
  <c r="I127" i="6"/>
  <c r="AC127" i="6"/>
  <c r="U127" i="6"/>
  <c r="K127" i="6"/>
  <c r="BK127" i="6"/>
  <c r="AV127" i="6"/>
  <c r="N127" i="6"/>
  <c r="T127" i="6"/>
  <c r="S127" i="6"/>
  <c r="M64" i="6"/>
  <c r="Q64" i="6"/>
  <c r="V64" i="6"/>
  <c r="J64" i="6"/>
  <c r="AC64" i="6"/>
  <c r="AP64" i="6"/>
  <c r="AX64" i="6"/>
  <c r="BJ64" i="6"/>
  <c r="K64" i="6"/>
  <c r="BF64" i="6"/>
  <c r="AY64" i="6"/>
  <c r="AL64" i="6"/>
  <c r="T64" i="6"/>
  <c r="AG64" i="6"/>
  <c r="AW64" i="6"/>
  <c r="BK64" i="6"/>
  <c r="BB64" i="6"/>
  <c r="AN64" i="6"/>
  <c r="BN64" i="6"/>
  <c r="P64" i="6"/>
  <c r="AB64" i="6"/>
  <c r="BH64" i="6"/>
  <c r="AS64" i="6"/>
  <c r="AA64" i="6"/>
  <c r="AV64" i="6"/>
  <c r="BL64" i="6"/>
  <c r="BA64" i="6"/>
  <c r="AM64" i="6"/>
  <c r="BM64" i="6"/>
  <c r="F64" i="6"/>
  <c r="Y64" i="6"/>
  <c r="R64" i="6"/>
  <c r="AH64" i="6"/>
  <c r="G64" i="6"/>
  <c r="BC64" i="6"/>
  <c r="AE64" i="6"/>
  <c r="S64" i="6"/>
  <c r="AI64" i="6"/>
  <c r="Z64" i="6"/>
  <c r="AR64" i="6"/>
  <c r="AK64" i="6"/>
  <c r="I64" i="6"/>
  <c r="BI64" i="6"/>
  <c r="AQ64" i="6"/>
  <c r="U64" i="6"/>
  <c r="O64" i="6"/>
  <c r="AD64" i="6"/>
  <c r="AO64" i="6"/>
  <c r="BE64" i="6"/>
  <c r="AJ64" i="6"/>
  <c r="L64" i="6"/>
  <c r="BD64" i="6"/>
  <c r="AT64" i="6"/>
  <c r="H64" i="6"/>
  <c r="W64" i="6"/>
  <c r="AU64" i="6"/>
  <c r="N64" i="6"/>
  <c r="X64" i="6"/>
  <c r="BG64" i="6"/>
  <c r="AF64" i="6"/>
  <c r="AZ64" i="6"/>
  <c r="BG67" i="6"/>
  <c r="AM117" i="6"/>
  <c r="AE117" i="6"/>
  <c r="T117" i="6"/>
  <c r="AU117" i="6"/>
  <c r="AG117" i="6"/>
  <c r="AZ117" i="6"/>
  <c r="AS117" i="6"/>
  <c r="AK117" i="6"/>
  <c r="G117" i="6"/>
  <c r="AW117" i="6"/>
  <c r="BM117" i="6"/>
  <c r="BG117" i="6"/>
  <c r="BD117" i="6"/>
  <c r="X117" i="6"/>
  <c r="AX117" i="6"/>
  <c r="AD117" i="6"/>
  <c r="BE117" i="6"/>
  <c r="Q117" i="6"/>
  <c r="V117" i="6"/>
  <c r="Y117" i="6"/>
  <c r="AP117" i="6"/>
  <c r="O117" i="6"/>
  <c r="AI117" i="6"/>
  <c r="AN117" i="6"/>
  <c r="BL117" i="6"/>
  <c r="M117" i="6"/>
  <c r="BA117" i="6"/>
  <c r="BK117" i="6"/>
  <c r="AR117" i="6"/>
  <c r="BH117" i="6"/>
  <c r="J117" i="6"/>
  <c r="BF117" i="6"/>
  <c r="BI117" i="6"/>
  <c r="AF117" i="6"/>
  <c r="F117" i="6"/>
  <c r="P117" i="6"/>
  <c r="W117" i="6"/>
  <c r="R117" i="6"/>
  <c r="L117" i="6"/>
  <c r="AO117" i="6"/>
  <c r="BB117" i="6"/>
  <c r="AH117" i="6"/>
  <c r="BJ117" i="6"/>
  <c r="N117" i="6"/>
  <c r="I117" i="6"/>
  <c r="AB117" i="6"/>
  <c r="AA117" i="6"/>
  <c r="AQ117" i="6"/>
  <c r="AV117" i="6"/>
  <c r="AC117" i="6"/>
  <c r="K117" i="6"/>
  <c r="S117" i="6"/>
  <c r="AJ117" i="6"/>
  <c r="BC117" i="6"/>
  <c r="U117" i="6"/>
  <c r="AL117" i="6"/>
  <c r="AT117" i="6"/>
  <c r="H117" i="6"/>
  <c r="BN117" i="6"/>
  <c r="Z117" i="6"/>
  <c r="AY117" i="6"/>
  <c r="N62" i="6"/>
  <c r="AB62" i="6"/>
  <c r="AP62" i="6"/>
  <c r="BB62" i="6"/>
  <c r="O62" i="6"/>
  <c r="AC62" i="6"/>
  <c r="AQ62" i="6"/>
  <c r="BC62" i="6"/>
  <c r="G62" i="6"/>
  <c r="T62" i="6"/>
  <c r="AG62" i="6"/>
  <c r="AU62" i="6"/>
  <c r="BG62" i="6"/>
  <c r="V62" i="6"/>
  <c r="AN62" i="6"/>
  <c r="BE62" i="6"/>
  <c r="F62" i="6"/>
  <c r="W62" i="6"/>
  <c r="AO62" i="6"/>
  <c r="BF62" i="6"/>
  <c r="L62" i="6"/>
  <c r="AE62" i="6"/>
  <c r="AW62" i="6"/>
  <c r="BL62" i="6"/>
  <c r="M62" i="6"/>
  <c r="AF62" i="6"/>
  <c r="AX62" i="6"/>
  <c r="BM62" i="6"/>
  <c r="P62" i="6"/>
  <c r="AH62" i="6"/>
  <c r="AY62" i="6"/>
  <c r="BN62" i="6"/>
  <c r="AA62" i="6"/>
  <c r="BH62" i="6"/>
  <c r="AD62" i="6"/>
  <c r="BI62" i="6"/>
  <c r="AI62" i="6"/>
  <c r="BJ62" i="6"/>
  <c r="H62" i="6"/>
  <c r="AJ62" i="6"/>
  <c r="BK62" i="6"/>
  <c r="AR62" i="6"/>
  <c r="I62" i="6"/>
  <c r="AK62" i="6"/>
  <c r="K62" i="6"/>
  <c r="AS62" i="6"/>
  <c r="AZ62" i="6"/>
  <c r="J62" i="6"/>
  <c r="BA62" i="6"/>
  <c r="AV62" i="6"/>
  <c r="BD62" i="6"/>
  <c r="Q62" i="6"/>
  <c r="AT62" i="6"/>
  <c r="S62" i="6"/>
  <c r="U62" i="6"/>
  <c r="X62" i="6"/>
  <c r="Z62" i="6"/>
  <c r="N107" i="6"/>
  <c r="AG107" i="6"/>
  <c r="AH107" i="6"/>
  <c r="M107" i="6"/>
  <c r="BD107" i="6"/>
  <c r="BE107" i="6"/>
  <c r="BL107" i="6"/>
  <c r="V107" i="6"/>
  <c r="W107" i="6"/>
  <c r="I107" i="6"/>
  <c r="Q107" i="6"/>
  <c r="AK107" i="6"/>
  <c r="AQ107" i="6"/>
  <c r="AB107" i="6"/>
  <c r="F107" i="6"/>
  <c r="AF107" i="6"/>
  <c r="BA107" i="6"/>
  <c r="BJ107" i="6"/>
  <c r="J107" i="6"/>
  <c r="R107" i="6"/>
  <c r="AT107" i="6"/>
  <c r="O107" i="6"/>
  <c r="X107" i="6"/>
  <c r="AW107" i="6"/>
  <c r="AD107" i="6"/>
  <c r="BH107" i="6"/>
  <c r="AM107" i="6"/>
  <c r="AR107" i="6"/>
  <c r="AV107" i="6"/>
  <c r="AL107" i="6"/>
  <c r="BG107" i="6"/>
  <c r="K107" i="6"/>
  <c r="T107" i="6"/>
  <c r="AI107" i="6"/>
  <c r="AJ107" i="6"/>
  <c r="AS107" i="6"/>
  <c r="AP107" i="6"/>
  <c r="BM107" i="6"/>
  <c r="BN107" i="6"/>
  <c r="AY107" i="6"/>
  <c r="AO107" i="6"/>
  <c r="BI107" i="6"/>
  <c r="AZ107" i="6"/>
  <c r="AA107" i="6"/>
  <c r="AC107" i="6"/>
  <c r="BC107" i="6"/>
  <c r="BK107" i="6"/>
  <c r="BB107" i="6"/>
  <c r="G107" i="6"/>
  <c r="H107" i="6"/>
  <c r="Y107" i="6"/>
  <c r="AE107" i="6"/>
  <c r="BF107" i="6"/>
  <c r="AX107" i="6"/>
  <c r="L107" i="6"/>
  <c r="P107" i="6"/>
  <c r="AU107" i="6"/>
  <c r="AN107" i="6"/>
  <c r="S107" i="6"/>
  <c r="U107" i="6"/>
  <c r="Z107" i="6"/>
  <c r="BA89" i="6"/>
  <c r="BB89" i="6"/>
  <c r="Z89" i="6"/>
  <c r="AL89" i="6"/>
  <c r="V89" i="6"/>
  <c r="S89" i="6"/>
  <c r="AE89" i="6"/>
  <c r="F89" i="6"/>
  <c r="K89" i="6"/>
  <c r="W89" i="6"/>
  <c r="AG89" i="6"/>
  <c r="M89" i="6"/>
  <c r="AY89" i="6"/>
  <c r="AD89" i="6"/>
  <c r="BL89" i="6"/>
  <c r="AS89" i="6"/>
  <c r="AC89" i="6"/>
  <c r="P89" i="6"/>
  <c r="BF89" i="6"/>
  <c r="R89" i="6"/>
  <c r="BE89" i="6"/>
  <c r="L89" i="6"/>
  <c r="H89" i="6"/>
  <c r="AU89" i="6"/>
  <c r="AV89" i="6"/>
  <c r="Y89" i="6"/>
  <c r="BK89" i="6"/>
  <c r="BJ89" i="6"/>
  <c r="AW89" i="6"/>
  <c r="Q89" i="6"/>
  <c r="AR89" i="6"/>
  <c r="BC89" i="6"/>
  <c r="BM89" i="6"/>
  <c r="BH89" i="6"/>
  <c r="AB89" i="6"/>
  <c r="AO89" i="6"/>
  <c r="I89" i="6"/>
  <c r="T89" i="6"/>
  <c r="BD89" i="6"/>
  <c r="AP89" i="6"/>
  <c r="AN89" i="6"/>
  <c r="J89" i="6"/>
  <c r="N89" i="6"/>
  <c r="AA89" i="6"/>
  <c r="BN89" i="6"/>
  <c r="BI89" i="6"/>
  <c r="AH89" i="6"/>
  <c r="AM89" i="6"/>
  <c r="AJ89" i="6"/>
  <c r="AK89" i="6"/>
  <c r="AQ89" i="6"/>
  <c r="AT89" i="6"/>
  <c r="AX89" i="6"/>
  <c r="X89" i="6"/>
  <c r="O89" i="6"/>
  <c r="AF89" i="6"/>
  <c r="U89" i="6"/>
  <c r="AI89" i="6"/>
  <c r="G89" i="6"/>
  <c r="BG89" i="6"/>
  <c r="AZ89" i="6"/>
  <c r="U96" i="6"/>
  <c r="N96" i="6"/>
  <c r="L96" i="6"/>
  <c r="AU96" i="6"/>
  <c r="H96" i="6"/>
  <c r="O96" i="6"/>
  <c r="AI96" i="6"/>
  <c r="AF96" i="6"/>
  <c r="AO96" i="6"/>
  <c r="AB96" i="6"/>
  <c r="J96" i="6"/>
  <c r="AA96" i="6"/>
  <c r="AW96" i="6"/>
  <c r="AZ96" i="6"/>
  <c r="BJ96" i="6"/>
  <c r="AC96" i="6"/>
  <c r="AM96" i="6"/>
  <c r="BL96" i="6"/>
  <c r="P96" i="6"/>
  <c r="S96" i="6"/>
  <c r="AX96" i="6"/>
  <c r="M96" i="6"/>
  <c r="AV96" i="6"/>
  <c r="Q96" i="6"/>
  <c r="AR96" i="6"/>
  <c r="BE96" i="6"/>
  <c r="Z96" i="6"/>
  <c r="BM96" i="6"/>
  <c r="AJ96" i="6"/>
  <c r="V96" i="6"/>
  <c r="AD96" i="6"/>
  <c r="AG96" i="6"/>
  <c r="T96" i="6"/>
  <c r="BK96" i="6"/>
  <c r="BB96" i="6"/>
  <c r="F96" i="6"/>
  <c r="AN96" i="6"/>
  <c r="BC96" i="6"/>
  <c r="AE96" i="6"/>
  <c r="BA96" i="6"/>
  <c r="K96" i="6"/>
  <c r="AK96" i="6"/>
  <c r="BN96" i="6"/>
  <c r="AL96" i="6"/>
  <c r="BF96" i="6"/>
  <c r="G96" i="6"/>
  <c r="BI96" i="6"/>
  <c r="BH96" i="6"/>
  <c r="Y96" i="6"/>
  <c r="AQ96" i="6"/>
  <c r="BG96" i="6"/>
  <c r="AH96" i="6"/>
  <c r="AS96" i="6"/>
  <c r="W96" i="6"/>
  <c r="AT96" i="6"/>
  <c r="BD96" i="6"/>
  <c r="AP96" i="6"/>
  <c r="I96" i="6"/>
  <c r="X96" i="6"/>
  <c r="AY96" i="6"/>
  <c r="R96" i="6"/>
  <c r="H51" i="6"/>
  <c r="T51" i="6"/>
  <c r="AF51" i="6"/>
  <c r="AS51" i="6"/>
  <c r="BE51" i="6"/>
  <c r="I51" i="6"/>
  <c r="U51" i="6"/>
  <c r="AG51" i="6"/>
  <c r="AT51" i="6"/>
  <c r="BG51" i="6"/>
  <c r="M51" i="6"/>
  <c r="Y51" i="6"/>
  <c r="AK51" i="6"/>
  <c r="AX51" i="6"/>
  <c r="BK51" i="6"/>
  <c r="R51" i="6"/>
  <c r="AI51" i="6"/>
  <c r="AZ51" i="6"/>
  <c r="S51" i="6"/>
  <c r="AJ51" i="6"/>
  <c r="BA51" i="6"/>
  <c r="K51" i="6"/>
  <c r="AA51" i="6"/>
  <c r="AQ51" i="6"/>
  <c r="BI51" i="6"/>
  <c r="L51" i="6"/>
  <c r="AB51" i="6"/>
  <c r="AR51" i="6"/>
  <c r="BJ51" i="6"/>
  <c r="N51" i="6"/>
  <c r="AC51" i="6"/>
  <c r="AU51" i="6"/>
  <c r="BL51" i="6"/>
  <c r="O51" i="6"/>
  <c r="G51" i="6"/>
  <c r="AM51" i="6"/>
  <c r="J51" i="6"/>
  <c r="AN51" i="6"/>
  <c r="P51" i="6"/>
  <c r="AP51" i="6"/>
  <c r="Q51" i="6"/>
  <c r="AV51" i="6"/>
  <c r="W51" i="6"/>
  <c r="AY51" i="6"/>
  <c r="V51" i="6"/>
  <c r="AW51" i="6"/>
  <c r="X51" i="6"/>
  <c r="BB51" i="6"/>
  <c r="BD51" i="6"/>
  <c r="BH51" i="6"/>
  <c r="F51" i="6"/>
  <c r="BM51" i="6"/>
  <c r="BN51" i="6"/>
  <c r="AL51" i="6"/>
  <c r="BC51" i="6"/>
  <c r="Z51" i="6"/>
  <c r="AD51" i="6"/>
  <c r="AE51" i="6"/>
  <c r="AH51" i="6"/>
  <c r="AA98" i="6"/>
  <c r="BG98" i="6"/>
  <c r="BN98" i="6"/>
  <c r="BA98" i="6"/>
  <c r="AL98" i="6"/>
  <c r="AM98" i="6"/>
  <c r="H98" i="6"/>
  <c r="L98" i="6"/>
  <c r="Z98" i="6"/>
  <c r="N98" i="6"/>
  <c r="AY98" i="6"/>
  <c r="W98" i="6"/>
  <c r="AD98" i="6"/>
  <c r="BB98" i="6"/>
  <c r="BH98" i="6"/>
  <c r="BK98" i="6"/>
  <c r="AN98" i="6"/>
  <c r="AV98" i="6"/>
  <c r="AG98" i="6"/>
  <c r="P98" i="6"/>
  <c r="AK98" i="6"/>
  <c r="AB98" i="6"/>
  <c r="AW98" i="6"/>
  <c r="AH98" i="6"/>
  <c r="R98" i="6"/>
  <c r="AX98" i="6"/>
  <c r="AR98" i="6"/>
  <c r="U98" i="6"/>
  <c r="BE98" i="6"/>
  <c r="BM98" i="6"/>
  <c r="J98" i="6"/>
  <c r="F98" i="6"/>
  <c r="X98" i="6"/>
  <c r="AF98" i="6"/>
  <c r="AO98" i="6"/>
  <c r="BL98" i="6"/>
  <c r="AT98" i="6"/>
  <c r="S98" i="6"/>
  <c r="Q98" i="6"/>
  <c r="V98" i="6"/>
  <c r="T98" i="6"/>
  <c r="AE98" i="6"/>
  <c r="AZ98" i="6"/>
  <c r="AP98" i="6"/>
  <c r="AS98" i="6"/>
  <c r="Y98" i="6"/>
  <c r="AQ98" i="6"/>
  <c r="BC98" i="6"/>
  <c r="BD98" i="6"/>
  <c r="AJ98" i="6"/>
  <c r="BJ98" i="6"/>
  <c r="O98" i="6"/>
  <c r="K98" i="6"/>
  <c r="I98" i="6"/>
  <c r="AC98" i="6"/>
  <c r="AU98" i="6"/>
  <c r="BI98" i="6"/>
  <c r="M98" i="6"/>
  <c r="G98" i="6"/>
  <c r="AI98" i="6"/>
  <c r="BF98" i="6"/>
  <c r="S82" i="6"/>
  <c r="N82" i="6"/>
  <c r="J82" i="6"/>
  <c r="R82" i="6"/>
  <c r="AB82" i="6"/>
  <c r="AG82" i="6"/>
  <c r="AF82" i="6"/>
  <c r="AE82" i="6"/>
  <c r="AQ82" i="6"/>
  <c r="AC82" i="6"/>
  <c r="O82" i="6"/>
  <c r="AV82" i="6"/>
  <c r="AZ82" i="6"/>
  <c r="BG82" i="6"/>
  <c r="BN82" i="6"/>
  <c r="AX82" i="6"/>
  <c r="AA82" i="6"/>
  <c r="BJ82" i="6"/>
  <c r="P82" i="6"/>
  <c r="K82" i="6"/>
  <c r="T82" i="6"/>
  <c r="BK82" i="6"/>
  <c r="AL82" i="6"/>
  <c r="Q82" i="6"/>
  <c r="L82" i="6"/>
  <c r="X82" i="6"/>
  <c r="H82" i="6"/>
  <c r="BB82" i="6"/>
  <c r="AJ82" i="6"/>
  <c r="AN82" i="6"/>
  <c r="AS82" i="6"/>
  <c r="W82" i="6"/>
  <c r="BI82" i="6"/>
  <c r="AY82" i="6"/>
  <c r="BA82" i="6"/>
  <c r="V82" i="6"/>
  <c r="U82" i="6"/>
  <c r="BC82" i="6"/>
  <c r="AT82" i="6"/>
  <c r="AH82" i="6"/>
  <c r="F82" i="6"/>
  <c r="Z82" i="6"/>
  <c r="AU82" i="6"/>
  <c r="AD82" i="6"/>
  <c r="AW82" i="6"/>
  <c r="BH82" i="6"/>
  <c r="BE82" i="6"/>
  <c r="BD82" i="6"/>
  <c r="G82" i="6"/>
  <c r="M82" i="6"/>
  <c r="AO82" i="6"/>
  <c r="BM82" i="6"/>
  <c r="AR82" i="6"/>
  <c r="I82" i="6"/>
  <c r="Y82" i="6"/>
  <c r="AP82" i="6"/>
  <c r="AM82" i="6"/>
  <c r="BF82" i="6"/>
  <c r="AI82" i="6"/>
  <c r="AK82" i="6"/>
  <c r="BL82" i="6"/>
  <c r="AH83" i="6"/>
  <c r="Z83" i="6"/>
  <c r="J83" i="6"/>
  <c r="O83" i="6"/>
  <c r="AB83" i="6"/>
  <c r="AU83" i="6"/>
  <c r="AP83" i="6"/>
  <c r="AE83" i="6"/>
  <c r="AL83" i="6"/>
  <c r="AZ83" i="6"/>
  <c r="BH83" i="6"/>
  <c r="BG83" i="6"/>
  <c r="BC83" i="6"/>
  <c r="BN83" i="6"/>
  <c r="AC83" i="6"/>
  <c r="K83" i="6"/>
  <c r="V83" i="6"/>
  <c r="L83" i="6"/>
  <c r="P83" i="6"/>
  <c r="AD83" i="6"/>
  <c r="U83" i="6"/>
  <c r="BA83" i="6"/>
  <c r="W83" i="6"/>
  <c r="M83" i="6"/>
  <c r="AT83" i="6"/>
  <c r="AG83" i="6"/>
  <c r="R83" i="6"/>
  <c r="AO83" i="6"/>
  <c r="AJ83" i="6"/>
  <c r="AV83" i="6"/>
  <c r="AM83" i="6"/>
  <c r="BD83" i="6"/>
  <c r="F83" i="6"/>
  <c r="I83" i="6"/>
  <c r="BF83" i="6"/>
  <c r="Q83" i="6"/>
  <c r="AS83" i="6"/>
  <c r="BI83" i="6"/>
  <c r="AA83" i="6"/>
  <c r="BE83" i="6"/>
  <c r="X83" i="6"/>
  <c r="S83" i="6"/>
  <c r="G83" i="6"/>
  <c r="AQ83" i="6"/>
  <c r="AW83" i="6"/>
  <c r="T83" i="6"/>
  <c r="BJ83" i="6"/>
  <c r="AY83" i="6"/>
  <c r="AX83" i="6"/>
  <c r="BM83" i="6"/>
  <c r="H83" i="6"/>
  <c r="AN83" i="6"/>
  <c r="BK83" i="6"/>
  <c r="N83" i="6"/>
  <c r="AK83" i="6"/>
  <c r="BL83" i="6"/>
  <c r="AI83" i="6"/>
  <c r="AF83" i="6"/>
  <c r="AR83" i="6"/>
  <c r="BB83" i="6"/>
  <c r="Y83" i="6"/>
  <c r="P63" i="6"/>
  <c r="R62" i="6"/>
  <c r="Y62" i="6"/>
  <c r="H63" i="6"/>
  <c r="S103" i="7" l="1"/>
  <c r="T103" i="7" a="1"/>
  <c r="R103" i="7" a="1"/>
  <c r="N103" i="7"/>
  <c r="L104" i="7"/>
  <c r="BI142" i="6"/>
  <c r="BN142" i="6"/>
  <c r="U142" i="6"/>
  <c r="T142" i="6"/>
  <c r="P142" i="6"/>
  <c r="BJ31" i="6"/>
  <c r="AO142" i="6"/>
  <c r="N142" i="6"/>
  <c r="AA142" i="6"/>
  <c r="AI142" i="6"/>
  <c r="AZ142" i="6"/>
  <c r="BK31" i="6"/>
  <c r="BK84" i="6"/>
  <c r="AL72" i="6"/>
  <c r="AJ142" i="6"/>
  <c r="K142" i="6"/>
  <c r="Z142" i="6"/>
  <c r="AW142" i="6"/>
  <c r="AR142" i="6"/>
  <c r="Y142" i="6"/>
  <c r="BF142" i="6"/>
  <c r="AD142" i="6"/>
  <c r="V142" i="6"/>
  <c r="AK142" i="6"/>
  <c r="Q142" i="6"/>
  <c r="BH31" i="6"/>
  <c r="AY84" i="6"/>
  <c r="BJ72" i="6"/>
  <c r="AV72" i="6"/>
  <c r="H142" i="6"/>
  <c r="BK142" i="6"/>
  <c r="R142" i="6"/>
  <c r="BC142" i="6"/>
  <c r="V72" i="6"/>
  <c r="M142" i="6"/>
  <c r="AL142" i="6"/>
  <c r="AU142" i="6"/>
  <c r="BL142" i="6"/>
  <c r="J142" i="6"/>
  <c r="V31" i="6"/>
  <c r="AE31" i="6"/>
  <c r="AP72" i="6"/>
  <c r="BD142" i="6"/>
  <c r="AS142" i="6"/>
  <c r="BJ142" i="6"/>
  <c r="AQ142" i="6"/>
  <c r="AM142" i="6"/>
  <c r="AS31" i="6"/>
  <c r="AA31" i="6"/>
  <c r="AO84" i="6"/>
  <c r="BH142" i="6"/>
  <c r="W142" i="6"/>
  <c r="BE142" i="6"/>
  <c r="AN142" i="6"/>
  <c r="AX142" i="6"/>
  <c r="AG31" i="6"/>
  <c r="K31" i="6"/>
  <c r="AS84" i="6"/>
  <c r="BG142" i="6"/>
  <c r="AF142" i="6"/>
  <c r="AB142" i="6"/>
  <c r="AY142" i="6"/>
  <c r="BM142" i="6"/>
  <c r="J31" i="6"/>
  <c r="AA84" i="6"/>
  <c r="AI84" i="6"/>
  <c r="T72" i="6"/>
  <c r="AR72" i="6"/>
  <c r="AU72" i="6"/>
  <c r="BL72" i="6"/>
  <c r="M72" i="6"/>
  <c r="AR14" i="6"/>
  <c r="AG84" i="6"/>
  <c r="T84" i="6"/>
  <c r="U84" i="6"/>
  <c r="V84" i="6"/>
  <c r="Z84" i="6"/>
  <c r="BI84" i="6"/>
  <c r="R72" i="6"/>
  <c r="BH72" i="6"/>
  <c r="X72" i="6"/>
  <c r="AW72" i="6"/>
  <c r="BF72" i="6"/>
  <c r="AD14" i="6"/>
  <c r="O84" i="6"/>
  <c r="AB84" i="6"/>
  <c r="Y84" i="6"/>
  <c r="Q84" i="6"/>
  <c r="BA84" i="6"/>
  <c r="AO72" i="6"/>
  <c r="AH72" i="6"/>
  <c r="BN72" i="6"/>
  <c r="AI72" i="6"/>
  <c r="AS72" i="6"/>
  <c r="AG72" i="6"/>
  <c r="AB72" i="6"/>
  <c r="BB84" i="6"/>
  <c r="J84" i="6"/>
  <c r="AL84" i="6"/>
  <c r="I84" i="6"/>
  <c r="AE84" i="6"/>
  <c r="AN72" i="6"/>
  <c r="K72" i="6"/>
  <c r="AZ72" i="6"/>
  <c r="U72" i="6"/>
  <c r="AF72" i="6"/>
  <c r="P72" i="6"/>
  <c r="Y72" i="6"/>
  <c r="BL84" i="6"/>
  <c r="AZ84" i="6"/>
  <c r="AT84" i="6"/>
  <c r="N84" i="6"/>
  <c r="X84" i="6"/>
  <c r="Q72" i="6"/>
  <c r="BC72" i="6"/>
  <c r="AK72" i="6"/>
  <c r="G72" i="6"/>
  <c r="S72" i="6"/>
  <c r="BE84" i="6"/>
  <c r="AR84" i="6"/>
  <c r="L84" i="6"/>
  <c r="AK84" i="6"/>
  <c r="AF84" i="6"/>
  <c r="AY72" i="6"/>
  <c r="BI72" i="6"/>
  <c r="AE72" i="6"/>
  <c r="W72" i="6"/>
  <c r="BE72" i="6"/>
  <c r="F72" i="6"/>
  <c r="K84" i="6"/>
  <c r="F84" i="6"/>
  <c r="AD84" i="6"/>
  <c r="AX84" i="6"/>
  <c r="G84" i="6"/>
  <c r="BK72" i="6"/>
  <c r="L72" i="6"/>
  <c r="BB72" i="6"/>
  <c r="I72" i="6"/>
  <c r="AQ72" i="6"/>
  <c r="H72" i="6"/>
  <c r="R84" i="6"/>
  <c r="AN84" i="6"/>
  <c r="AP84" i="6"/>
  <c r="BG84" i="6"/>
  <c r="BD84" i="6"/>
  <c r="AA72" i="6"/>
  <c r="BG72" i="6"/>
  <c r="AD72" i="6"/>
  <c r="BM72" i="6"/>
  <c r="AC72" i="6"/>
  <c r="AU84" i="6"/>
  <c r="AM84" i="6"/>
  <c r="W84" i="6"/>
  <c r="BF84" i="6"/>
  <c r="BC84" i="6"/>
  <c r="AM72" i="6"/>
  <c r="J72" i="6"/>
  <c r="BA72" i="6"/>
  <c r="AX72" i="6"/>
  <c r="N72" i="6"/>
  <c r="H84" i="6"/>
  <c r="BH84" i="6"/>
  <c r="BM84" i="6"/>
  <c r="BJ84" i="6"/>
  <c r="O72" i="6"/>
  <c r="AT72" i="6"/>
  <c r="Z72" i="6"/>
  <c r="AJ72" i="6"/>
  <c r="BJ115" i="6"/>
  <c r="AI115" i="6"/>
  <c r="AH31" i="6"/>
  <c r="BN31" i="6"/>
  <c r="AY31" i="6"/>
  <c r="Z31" i="6"/>
  <c r="AN31" i="6"/>
  <c r="AT31" i="6"/>
  <c r="F115" i="6"/>
  <c r="U115" i="6"/>
  <c r="AH115" i="6"/>
  <c r="AA115" i="6"/>
  <c r="BG115" i="6"/>
  <c r="O115" i="6"/>
  <c r="AW115" i="6"/>
  <c r="H31" i="6"/>
  <c r="BA31" i="6"/>
  <c r="T31" i="6"/>
  <c r="N31" i="6"/>
  <c r="AL31" i="6"/>
  <c r="AU31" i="6"/>
  <c r="I31" i="6"/>
  <c r="BN115" i="6"/>
  <c r="AV115" i="6"/>
  <c r="I115" i="6"/>
  <c r="M115" i="6"/>
  <c r="AT115" i="6"/>
  <c r="BL115" i="6"/>
  <c r="AY115" i="6"/>
  <c r="AP115" i="6"/>
  <c r="BL31" i="6"/>
  <c r="M31" i="6"/>
  <c r="AO31" i="6"/>
  <c r="BE31" i="6"/>
  <c r="BF31" i="6"/>
  <c r="AO115" i="6"/>
  <c r="BK115" i="6"/>
  <c r="BC115" i="6"/>
  <c r="BM115" i="6"/>
  <c r="AG115" i="6"/>
  <c r="AQ115" i="6"/>
  <c r="AP31" i="6"/>
  <c r="AB31" i="6"/>
  <c r="BM90" i="6"/>
  <c r="S31" i="6"/>
  <c r="BC31" i="6"/>
  <c r="AM31" i="6"/>
  <c r="AX31" i="6"/>
  <c r="AW31" i="6"/>
  <c r="S27" i="6"/>
  <c r="AJ115" i="6"/>
  <c r="T115" i="6"/>
  <c r="AE115" i="6"/>
  <c r="AZ115" i="6"/>
  <c r="S115" i="6"/>
  <c r="G115" i="6"/>
  <c r="Y31" i="6"/>
  <c r="X31" i="6"/>
  <c r="X115" i="6"/>
  <c r="BI31" i="6"/>
  <c r="AR31" i="6"/>
  <c r="AI31" i="6"/>
  <c r="AQ31" i="6"/>
  <c r="BM31" i="6"/>
  <c r="W115" i="6"/>
  <c r="AU115" i="6"/>
  <c r="H115" i="6"/>
  <c r="AM115" i="6"/>
  <c r="BF115" i="6"/>
  <c r="BB115" i="6"/>
  <c r="BG31" i="6"/>
  <c r="P115" i="6"/>
  <c r="AV31" i="6"/>
  <c r="W31" i="6"/>
  <c r="BD31" i="6"/>
  <c r="AK31" i="6"/>
  <c r="AZ31" i="6"/>
  <c r="V115" i="6"/>
  <c r="BI115" i="6"/>
  <c r="AX115" i="6"/>
  <c r="Z115" i="6"/>
  <c r="AS115" i="6"/>
  <c r="Q115" i="6"/>
  <c r="BE115" i="6"/>
  <c r="O31" i="6"/>
  <c r="AB115" i="6"/>
  <c r="AD115" i="6"/>
  <c r="BH115" i="6"/>
  <c r="J115" i="6"/>
  <c r="BA115" i="6"/>
  <c r="Y115" i="6"/>
  <c r="L31" i="6"/>
  <c r="AL115" i="6"/>
  <c r="AF31" i="6"/>
  <c r="BB31" i="6"/>
  <c r="P31" i="6"/>
  <c r="F31" i="6"/>
  <c r="R31" i="6"/>
  <c r="R115" i="6"/>
  <c r="N115" i="6"/>
  <c r="BD115" i="6"/>
  <c r="AN115" i="6"/>
  <c r="AQ32" i="6"/>
  <c r="Q32" i="6"/>
  <c r="AZ32" i="6"/>
  <c r="AO32" i="6"/>
  <c r="Z32" i="6"/>
  <c r="J32" i="6"/>
  <c r="G32" i="6"/>
  <c r="N32" i="6"/>
  <c r="AH32" i="6"/>
  <c r="BK32" i="6"/>
  <c r="P32" i="6"/>
  <c r="P90" i="6"/>
  <c r="H49" i="6"/>
  <c r="BL32" i="6"/>
  <c r="AS32" i="6"/>
  <c r="H32" i="6"/>
  <c r="AN32" i="6"/>
  <c r="AV32" i="6"/>
  <c r="X32" i="6"/>
  <c r="P49" i="6"/>
  <c r="BB48" i="6"/>
  <c r="AL32" i="6"/>
  <c r="O32" i="6"/>
  <c r="U32" i="6"/>
  <c r="AT32" i="6"/>
  <c r="BJ32" i="6"/>
  <c r="AX32" i="6"/>
  <c r="W49" i="6"/>
  <c r="AD32" i="6"/>
  <c r="AP32" i="6"/>
  <c r="I32" i="6"/>
  <c r="BC32" i="6"/>
  <c r="Y32" i="6"/>
  <c r="BI32" i="6"/>
  <c r="AA32" i="6"/>
  <c r="AF32" i="6"/>
  <c r="AR32" i="6"/>
  <c r="BG32" i="6"/>
  <c r="AE32" i="6"/>
  <c r="K32" i="6"/>
  <c r="S32" i="6"/>
  <c r="AI32" i="6"/>
  <c r="BE32" i="6"/>
  <c r="AC32" i="6"/>
  <c r="BM32" i="6"/>
  <c r="AW32" i="6"/>
  <c r="BD32" i="6"/>
  <c r="V32" i="6"/>
  <c r="BA32" i="6"/>
  <c r="L32" i="6"/>
  <c r="AC13" i="6"/>
  <c r="AI13" i="6"/>
  <c r="AX13" i="6"/>
  <c r="BM13" i="6"/>
  <c r="L13" i="6"/>
  <c r="AB13" i="6"/>
  <c r="BE13" i="6"/>
  <c r="V13" i="6"/>
  <c r="BB13" i="6"/>
  <c r="BN13" i="6"/>
  <c r="H13" i="6"/>
  <c r="BF13" i="6"/>
  <c r="AE13" i="6"/>
  <c r="BI13" i="6"/>
  <c r="AL13" i="6"/>
  <c r="U13" i="6"/>
  <c r="G13" i="6"/>
  <c r="AY13" i="6"/>
  <c r="M13" i="6"/>
  <c r="AM13" i="6"/>
  <c r="AH13" i="6"/>
  <c r="BA13" i="6"/>
  <c r="AW13" i="6"/>
  <c r="AV13" i="6"/>
  <c r="AD13" i="6"/>
  <c r="BC13" i="6"/>
  <c r="AJ13" i="6"/>
  <c r="AR13" i="6"/>
  <c r="Y13" i="6"/>
  <c r="AK13" i="6"/>
  <c r="P13" i="6"/>
  <c r="X13" i="6"/>
  <c r="Z13" i="6"/>
  <c r="J13" i="6"/>
  <c r="AN13" i="6"/>
  <c r="AO13" i="6"/>
  <c r="AA13" i="6"/>
  <c r="AT13" i="6"/>
  <c r="AZ13" i="6"/>
  <c r="BG13" i="6"/>
  <c r="BD13" i="6"/>
  <c r="F13" i="6"/>
  <c r="N13" i="6"/>
  <c r="S13" i="6"/>
  <c r="AU13" i="6"/>
  <c r="AQ13" i="6"/>
  <c r="T13" i="6"/>
  <c r="O13" i="6"/>
  <c r="W13" i="6"/>
  <c r="R13" i="6"/>
  <c r="Q13" i="6"/>
  <c r="AS13" i="6"/>
  <c r="BK13" i="6"/>
  <c r="BH13" i="6"/>
  <c r="AP13" i="6"/>
  <c r="BJ13" i="6"/>
  <c r="I13" i="6"/>
  <c r="AF13" i="6"/>
  <c r="K13" i="6"/>
  <c r="BL13" i="6"/>
  <c r="AG13" i="6"/>
  <c r="AR108" i="6"/>
  <c r="V108" i="6"/>
  <c r="R108" i="6"/>
  <c r="BB108" i="6"/>
  <c r="BF108" i="6"/>
  <c r="AO108" i="6"/>
  <c r="L108" i="6"/>
  <c r="AK108" i="6"/>
  <c r="AG108" i="6"/>
  <c r="M108" i="6"/>
  <c r="T108" i="6"/>
  <c r="AS108" i="6"/>
  <c r="X108" i="6"/>
  <c r="AZ108" i="6"/>
  <c r="AW108" i="6"/>
  <c r="AH108" i="6"/>
  <c r="BG108" i="6"/>
  <c r="AJ108" i="6"/>
  <c r="BN108" i="6"/>
  <c r="BM108" i="6"/>
  <c r="BC108" i="6"/>
  <c r="U108" i="6"/>
  <c r="AA108" i="6"/>
  <c r="AI108" i="6"/>
  <c r="AV108" i="6"/>
  <c r="P108" i="6"/>
  <c r="G108" i="6"/>
  <c r="N108" i="6"/>
  <c r="BI108" i="6"/>
  <c r="AB108" i="6"/>
  <c r="BH108" i="6"/>
  <c r="AE108" i="6"/>
  <c r="BK108" i="6"/>
  <c r="AN108" i="6"/>
  <c r="F108" i="6"/>
  <c r="AY108" i="6"/>
  <c r="H108" i="6"/>
  <c r="AD108" i="6"/>
  <c r="AT108" i="6"/>
  <c r="BD108" i="6"/>
  <c r="K108" i="6"/>
  <c r="AP108" i="6"/>
  <c r="I108" i="6"/>
  <c r="AQ108" i="6"/>
  <c r="Q108" i="6"/>
  <c r="AM108" i="6"/>
  <c r="AU108" i="6"/>
  <c r="S108" i="6"/>
  <c r="W108" i="6"/>
  <c r="BJ108" i="6"/>
  <c r="O108" i="6"/>
  <c r="Z108" i="6"/>
  <c r="AL108" i="6"/>
  <c r="AC108" i="6"/>
  <c r="AF108" i="6"/>
  <c r="BE108" i="6"/>
  <c r="AX108" i="6"/>
  <c r="Y108" i="6"/>
  <c r="BA108" i="6"/>
  <c r="BL108" i="6"/>
  <c r="J108" i="6"/>
  <c r="BC90" i="6"/>
  <c r="X130" i="6"/>
  <c r="BC130" i="6"/>
  <c r="BM130" i="6"/>
  <c r="AH130" i="6"/>
  <c r="AM130" i="6"/>
  <c r="AJ130" i="6"/>
  <c r="N130" i="6"/>
  <c r="I130" i="6"/>
  <c r="AZ130" i="6"/>
  <c r="BI130" i="6"/>
  <c r="AV130" i="6"/>
  <c r="AB130" i="6"/>
  <c r="AD130" i="6"/>
  <c r="Q130" i="6"/>
  <c r="V130" i="6"/>
  <c r="BH130" i="6"/>
  <c r="AP130" i="6"/>
  <c r="AW130" i="6"/>
  <c r="AI130" i="6"/>
  <c r="AN130" i="6"/>
  <c r="AF130" i="6"/>
  <c r="AC130" i="6"/>
  <c r="AE130" i="6"/>
  <c r="AK130" i="6"/>
  <c r="BK130" i="6"/>
  <c r="AS130" i="6"/>
  <c r="AQ130" i="6"/>
  <c r="AX130" i="6"/>
  <c r="BB130" i="6"/>
  <c r="W130" i="6"/>
  <c r="S130" i="6"/>
  <c r="J130" i="6"/>
  <c r="AT130" i="6"/>
  <c r="O130" i="6"/>
  <c r="R130" i="6"/>
  <c r="BE130" i="6"/>
  <c r="AL130" i="6"/>
  <c r="H130" i="6"/>
  <c r="U130" i="6"/>
  <c r="Z130" i="6"/>
  <c r="T130" i="6"/>
  <c r="L130" i="6"/>
  <c r="AU130" i="6"/>
  <c r="BG130" i="6"/>
  <c r="F130" i="6"/>
  <c r="BN130" i="6"/>
  <c r="BJ130" i="6"/>
  <c r="K130" i="6"/>
  <c r="AG130" i="6"/>
  <c r="AY130" i="6"/>
  <c r="P130" i="6"/>
  <c r="BA130" i="6"/>
  <c r="Y130" i="6"/>
  <c r="AR130" i="6"/>
  <c r="BF130" i="6"/>
  <c r="BL130" i="6"/>
  <c r="M130" i="6"/>
  <c r="AA130" i="6"/>
  <c r="AO130" i="6"/>
  <c r="BD130" i="6"/>
  <c r="G130" i="6"/>
  <c r="S79" i="6"/>
  <c r="H79" i="6"/>
  <c r="AE79" i="6"/>
  <c r="O79" i="6"/>
  <c r="BA79" i="6"/>
  <c r="AH79" i="6"/>
  <c r="AA79" i="6"/>
  <c r="Z79" i="6"/>
  <c r="AN79" i="6"/>
  <c r="V79" i="6"/>
  <c r="I79" i="6"/>
  <c r="AV79" i="6"/>
  <c r="AR79" i="6"/>
  <c r="BC79" i="6"/>
  <c r="BI79" i="6"/>
  <c r="AZ79" i="6"/>
  <c r="BE79" i="6"/>
  <c r="AM79" i="6"/>
  <c r="AT79" i="6"/>
  <c r="BF79" i="6"/>
  <c r="AQ79" i="6"/>
  <c r="L79" i="6"/>
  <c r="BB79" i="6"/>
  <c r="BN79" i="6"/>
  <c r="AJ79" i="6"/>
  <c r="AP79" i="6"/>
  <c r="Y79" i="6"/>
  <c r="J79" i="6"/>
  <c r="BH79" i="6"/>
  <c r="W79" i="6"/>
  <c r="AF79" i="6"/>
  <c r="AX79" i="6"/>
  <c r="N79" i="6"/>
  <c r="BD79" i="6"/>
  <c r="X79" i="6"/>
  <c r="AD79" i="6"/>
  <c r="AI79" i="6"/>
  <c r="U79" i="6"/>
  <c r="AU79" i="6"/>
  <c r="BG79" i="6"/>
  <c r="AG79" i="6"/>
  <c r="BM79" i="6"/>
  <c r="F79" i="6"/>
  <c r="AY79" i="6"/>
  <c r="AO79" i="6"/>
  <c r="BL79" i="6"/>
  <c r="Q79" i="6"/>
  <c r="BJ79" i="6"/>
  <c r="R79" i="6"/>
  <c r="G79" i="6"/>
  <c r="T79" i="6"/>
  <c r="AB79" i="6"/>
  <c r="K79" i="6"/>
  <c r="AC79" i="6"/>
  <c r="P79" i="6"/>
  <c r="M79" i="6"/>
  <c r="AS79" i="6"/>
  <c r="AL79" i="6"/>
  <c r="AW79" i="6"/>
  <c r="AK79" i="6"/>
  <c r="BK79" i="6"/>
  <c r="Q42" i="6"/>
  <c r="AC42" i="6"/>
  <c r="AO42" i="6"/>
  <c r="BA42" i="6"/>
  <c r="BM42" i="6"/>
  <c r="I42" i="6"/>
  <c r="V42" i="6"/>
  <c r="AI42" i="6"/>
  <c r="AV42" i="6"/>
  <c r="BI42" i="6"/>
  <c r="J42" i="6"/>
  <c r="I6" i="7" s="1"/>
  <c r="W42" i="6"/>
  <c r="AJ42" i="6"/>
  <c r="AW42" i="6"/>
  <c r="BJ42" i="6"/>
  <c r="N42" i="6"/>
  <c r="AA42" i="6"/>
  <c r="AN42" i="6"/>
  <c r="BB42" i="6"/>
  <c r="L42" i="6"/>
  <c r="AD42" i="6"/>
  <c r="AT42" i="6"/>
  <c r="BL42" i="6"/>
  <c r="M42" i="6"/>
  <c r="AE42" i="6"/>
  <c r="AU42" i="6"/>
  <c r="BN42" i="6"/>
  <c r="T42" i="6"/>
  <c r="AL42" i="6"/>
  <c r="BD42" i="6"/>
  <c r="U42" i="6"/>
  <c r="AM42" i="6"/>
  <c r="BE42" i="6"/>
  <c r="F42" i="6"/>
  <c r="X42" i="6"/>
  <c r="AP42" i="6"/>
  <c r="BF42" i="6"/>
  <c r="G42" i="6"/>
  <c r="Y42" i="6"/>
  <c r="AQ42" i="6"/>
  <c r="BG42" i="6"/>
  <c r="S42" i="6"/>
  <c r="BC42" i="6"/>
  <c r="Z42" i="6"/>
  <c r="BH42" i="6"/>
  <c r="AB42" i="6"/>
  <c r="BK42" i="6"/>
  <c r="AF42" i="6"/>
  <c r="AH42" i="6"/>
  <c r="AG42" i="6"/>
  <c r="AK42" i="6"/>
  <c r="P42" i="6"/>
  <c r="AX42" i="6"/>
  <c r="R42" i="6"/>
  <c r="AY42" i="6"/>
  <c r="AR42" i="6"/>
  <c r="D40" i="7" s="1"/>
  <c r="AS42" i="6"/>
  <c r="K42" i="6"/>
  <c r="O42" i="6"/>
  <c r="AZ42" i="6"/>
  <c r="H42" i="6"/>
  <c r="AV126" i="6"/>
  <c r="T126" i="6"/>
  <c r="N126" i="6"/>
  <c r="R126" i="6"/>
  <c r="I126" i="6"/>
  <c r="BH126" i="6"/>
  <c r="AI126" i="6"/>
  <c r="AE126" i="6"/>
  <c r="AN126" i="6"/>
  <c r="AA126" i="6"/>
  <c r="H126" i="6"/>
  <c r="AX126" i="6"/>
  <c r="BA126" i="6"/>
  <c r="BE126" i="6"/>
  <c r="AR126" i="6"/>
  <c r="U126" i="6"/>
  <c r="BL126" i="6"/>
  <c r="O126" i="6"/>
  <c r="W126" i="6"/>
  <c r="BN126" i="6"/>
  <c r="BI126" i="6"/>
  <c r="AK126" i="6"/>
  <c r="P126" i="6"/>
  <c r="AP126" i="6"/>
  <c r="AB126" i="6"/>
  <c r="S126" i="6"/>
  <c r="AY126" i="6"/>
  <c r="AL126" i="6"/>
  <c r="AQ126" i="6"/>
  <c r="AS126" i="6"/>
  <c r="L126" i="6"/>
  <c r="AW126" i="6"/>
  <c r="M126" i="6"/>
  <c r="Q126" i="6"/>
  <c r="BG126" i="6"/>
  <c r="AC126" i="6"/>
  <c r="BK126" i="6"/>
  <c r="AO126" i="6"/>
  <c r="AZ126" i="6"/>
  <c r="K126" i="6"/>
  <c r="X126" i="6"/>
  <c r="AF126" i="6"/>
  <c r="AT126" i="6"/>
  <c r="AJ126" i="6"/>
  <c r="BB126" i="6"/>
  <c r="AH126" i="6"/>
  <c r="BC126" i="6"/>
  <c r="AU126" i="6"/>
  <c r="AM126" i="6"/>
  <c r="AG126" i="6"/>
  <c r="BD126" i="6"/>
  <c r="V126" i="6"/>
  <c r="BM126" i="6"/>
  <c r="AD126" i="6"/>
  <c r="BF126" i="6"/>
  <c r="Y126" i="6"/>
  <c r="Z126" i="6"/>
  <c r="BJ126" i="6"/>
  <c r="J126" i="6"/>
  <c r="F126" i="6"/>
  <c r="G126" i="6"/>
  <c r="L78" i="6"/>
  <c r="BG78" i="6"/>
  <c r="AO78" i="6"/>
  <c r="R78" i="6"/>
  <c r="G78" i="6"/>
  <c r="Y78" i="6"/>
  <c r="M78" i="6"/>
  <c r="BH78" i="6"/>
  <c r="AV78" i="6"/>
  <c r="AG78" i="6"/>
  <c r="AL78" i="6"/>
  <c r="AE78" i="6"/>
  <c r="F78" i="6"/>
  <c r="S78" i="6"/>
  <c r="BJ78" i="6"/>
  <c r="AC78" i="6"/>
  <c r="AK78" i="6"/>
  <c r="J78" i="6"/>
  <c r="Z78" i="6"/>
  <c r="H78" i="6"/>
  <c r="O78" i="6"/>
  <c r="AQ78" i="6"/>
  <c r="BD78" i="6"/>
  <c r="AJ78" i="6"/>
  <c r="BA78" i="6"/>
  <c r="BN78" i="6"/>
  <c r="K78" i="6"/>
  <c r="BI78" i="6"/>
  <c r="I78" i="6"/>
  <c r="AY78" i="6"/>
  <c r="U78" i="6"/>
  <c r="X78" i="6"/>
  <c r="BK78" i="6"/>
  <c r="AN78" i="6"/>
  <c r="AX78" i="6"/>
  <c r="AZ78" i="6"/>
  <c r="BF78" i="6"/>
  <c r="AD78" i="6"/>
  <c r="BM78" i="6"/>
  <c r="V78" i="6"/>
  <c r="AF78" i="6"/>
  <c r="N78" i="6"/>
  <c r="W78" i="6"/>
  <c r="BC78" i="6"/>
  <c r="Q78" i="6"/>
  <c r="AA78" i="6"/>
  <c r="AT78" i="6"/>
  <c r="P78" i="6"/>
  <c r="AM78" i="6"/>
  <c r="AW78" i="6"/>
  <c r="BE78" i="6"/>
  <c r="BB78" i="6"/>
  <c r="AR78" i="6"/>
  <c r="AB78" i="6"/>
  <c r="AH78" i="6"/>
  <c r="AI78" i="6"/>
  <c r="AU78" i="6"/>
  <c r="AP78" i="6"/>
  <c r="BL78" i="6"/>
  <c r="T78" i="6"/>
  <c r="AS78" i="6"/>
  <c r="X143" i="6"/>
  <c r="BI143" i="6"/>
  <c r="AI143" i="6"/>
  <c r="BJ143" i="6"/>
  <c r="Q143" i="6"/>
  <c r="AO143" i="6"/>
  <c r="S143" i="6"/>
  <c r="AT143" i="6"/>
  <c r="T143" i="6"/>
  <c r="BA143" i="6"/>
  <c r="G143" i="6"/>
  <c r="U143" i="6"/>
  <c r="V143" i="6"/>
  <c r="W143" i="6"/>
  <c r="AJ143" i="6"/>
  <c r="AM143" i="6"/>
  <c r="BH143" i="6"/>
  <c r="BK143" i="6"/>
  <c r="AK143" i="6"/>
  <c r="AN143" i="6"/>
  <c r="BC143" i="6"/>
  <c r="BD143" i="6"/>
  <c r="BN143" i="6"/>
  <c r="AR143" i="6"/>
  <c r="K143" i="6"/>
  <c r="AY143" i="6"/>
  <c r="L143" i="6"/>
  <c r="BF143" i="6"/>
  <c r="Y143" i="6"/>
  <c r="P143" i="6"/>
  <c r="AS143" i="6"/>
  <c r="AL143" i="6"/>
  <c r="AE143" i="6"/>
  <c r="BE143" i="6"/>
  <c r="O143" i="6"/>
  <c r="AP143" i="6"/>
  <c r="AF143" i="6"/>
  <c r="AV143" i="6"/>
  <c r="BB143" i="6"/>
  <c r="J143" i="6"/>
  <c r="AA143" i="6"/>
  <c r="AH143" i="6"/>
  <c r="AQ143" i="6"/>
  <c r="BG143" i="6"/>
  <c r="AG143" i="6"/>
  <c r="BL143" i="6"/>
  <c r="I143" i="6"/>
  <c r="BM143" i="6"/>
  <c r="AU143" i="6"/>
  <c r="H143" i="6"/>
  <c r="N143" i="6"/>
  <c r="AZ143" i="6"/>
  <c r="AB143" i="6"/>
  <c r="Z143" i="6"/>
  <c r="AC143" i="6"/>
  <c r="AX143" i="6"/>
  <c r="F143" i="6"/>
  <c r="R143" i="6"/>
  <c r="AD143" i="6"/>
  <c r="M143" i="6"/>
  <c r="AW143" i="6"/>
  <c r="O48" i="6"/>
  <c r="AA48" i="6"/>
  <c r="AM48" i="6"/>
  <c r="AY48" i="6"/>
  <c r="BM48" i="6"/>
  <c r="H48" i="6"/>
  <c r="U48" i="6"/>
  <c r="AH48" i="6"/>
  <c r="AU48" i="6"/>
  <c r="BJ48" i="6"/>
  <c r="I48" i="6"/>
  <c r="V48" i="6"/>
  <c r="D18" i="7" s="1"/>
  <c r="AI48" i="6"/>
  <c r="AV48" i="6"/>
  <c r="BK48" i="6"/>
  <c r="M48" i="6"/>
  <c r="Z48" i="6"/>
  <c r="AN48" i="6"/>
  <c r="BA48" i="6"/>
  <c r="K48" i="6"/>
  <c r="AC48" i="6"/>
  <c r="AS48" i="6"/>
  <c r="BN48" i="6"/>
  <c r="L48" i="6"/>
  <c r="AD48" i="6"/>
  <c r="AT48" i="6"/>
  <c r="S48" i="6"/>
  <c r="AK48" i="6"/>
  <c r="BD48" i="6"/>
  <c r="T48" i="6"/>
  <c r="AL48" i="6"/>
  <c r="BE48" i="6"/>
  <c r="W48" i="6"/>
  <c r="AO48" i="6"/>
  <c r="BF48" i="6"/>
  <c r="F48" i="6"/>
  <c r="X48" i="6"/>
  <c r="AP48" i="6"/>
  <c r="BG48" i="6"/>
  <c r="AG48" i="6"/>
  <c r="AJ48" i="6"/>
  <c r="G48" i="6"/>
  <c r="AQ48" i="6"/>
  <c r="J48" i="6"/>
  <c r="AR48" i="6"/>
  <c r="P48" i="6"/>
  <c r="AX48" i="6"/>
  <c r="N48" i="6"/>
  <c r="AW48" i="6"/>
  <c r="Q48" i="6"/>
  <c r="AZ48" i="6"/>
  <c r="AB48" i="6"/>
  <c r="BH48" i="6"/>
  <c r="BL48" i="6"/>
  <c r="AE48" i="6"/>
  <c r="AF48" i="6"/>
  <c r="BC48" i="6"/>
  <c r="R48" i="6"/>
  <c r="Y48" i="6"/>
  <c r="S135" i="6"/>
  <c r="W135" i="6"/>
  <c r="AM135" i="6"/>
  <c r="BF135" i="6"/>
  <c r="BG135" i="6"/>
  <c r="AN135" i="6"/>
  <c r="BN135" i="6"/>
  <c r="AW135" i="6"/>
  <c r="BI135" i="6"/>
  <c r="AE135" i="6"/>
  <c r="AL135" i="6"/>
  <c r="P135" i="6"/>
  <c r="BK135" i="6"/>
  <c r="I135" i="6"/>
  <c r="AY135" i="6"/>
  <c r="BE135" i="6"/>
  <c r="AC135" i="6"/>
  <c r="H135" i="6"/>
  <c r="Z135" i="6"/>
  <c r="M135" i="6"/>
  <c r="AQ135" i="6"/>
  <c r="V135" i="6"/>
  <c r="AS135" i="6"/>
  <c r="AF135" i="6"/>
  <c r="BD135" i="6"/>
  <c r="AJ135" i="6"/>
  <c r="BM135" i="6"/>
  <c r="AZ135" i="6"/>
  <c r="AD135" i="6"/>
  <c r="X135" i="6"/>
  <c r="AG135" i="6"/>
  <c r="BC135" i="6"/>
  <c r="AH135" i="6"/>
  <c r="BJ135" i="6"/>
  <c r="AA135" i="6"/>
  <c r="Q135" i="6"/>
  <c r="G135" i="6"/>
  <c r="AT135" i="6"/>
  <c r="AR135" i="6"/>
  <c r="AI135" i="6"/>
  <c r="L135" i="6"/>
  <c r="AO135" i="6"/>
  <c r="Y135" i="6"/>
  <c r="U135" i="6"/>
  <c r="K135" i="6"/>
  <c r="AB135" i="6"/>
  <c r="BL135" i="6"/>
  <c r="BH135" i="6"/>
  <c r="T135" i="6"/>
  <c r="BA135" i="6"/>
  <c r="F135" i="6"/>
  <c r="AX135" i="6"/>
  <c r="AU135" i="6"/>
  <c r="R135" i="6"/>
  <c r="AP135" i="6"/>
  <c r="BB135" i="6"/>
  <c r="N135" i="6"/>
  <c r="O135" i="6"/>
  <c r="AV135" i="6"/>
  <c r="J135" i="6"/>
  <c r="AK135" i="6"/>
  <c r="J20" i="6"/>
  <c r="AN20" i="6"/>
  <c r="BN20" i="6"/>
  <c r="AR20" i="6"/>
  <c r="O20" i="6"/>
  <c r="AM20" i="6"/>
  <c r="AH20" i="6"/>
  <c r="M20" i="6"/>
  <c r="AL20" i="6"/>
  <c r="AS20" i="6"/>
  <c r="W20" i="6"/>
  <c r="X20" i="6"/>
  <c r="R20" i="6"/>
  <c r="G20" i="6"/>
  <c r="F20" i="6"/>
  <c r="AC20" i="6"/>
  <c r="AK20" i="6"/>
  <c r="AI20" i="6"/>
  <c r="AE20" i="6"/>
  <c r="AY20" i="6"/>
  <c r="BL20" i="6"/>
  <c r="BB20" i="6"/>
  <c r="BA20" i="6"/>
  <c r="BH20" i="6"/>
  <c r="BF20" i="6"/>
  <c r="AD20" i="6"/>
  <c r="AU20" i="6"/>
  <c r="AJ20" i="6"/>
  <c r="K20" i="6"/>
  <c r="AV20" i="6"/>
  <c r="AP20" i="6"/>
  <c r="AG20" i="6"/>
  <c r="AX20" i="6"/>
  <c r="Q20" i="6"/>
  <c r="H20" i="6"/>
  <c r="BK20" i="6"/>
  <c r="BG20" i="6"/>
  <c r="BD20" i="6"/>
  <c r="L20" i="6"/>
  <c r="AB20" i="6"/>
  <c r="N20" i="6"/>
  <c r="S20" i="6"/>
  <c r="V20" i="6"/>
  <c r="T20" i="6"/>
  <c r="AT20" i="6"/>
  <c r="U20" i="6"/>
  <c r="Z20" i="6"/>
  <c r="BE20" i="6"/>
  <c r="AO20" i="6"/>
  <c r="AA20" i="6"/>
  <c r="BI20" i="6"/>
  <c r="Y20" i="6"/>
  <c r="P20" i="6"/>
  <c r="BC20" i="6"/>
  <c r="BJ20" i="6"/>
  <c r="AW20" i="6"/>
  <c r="AZ20" i="6"/>
  <c r="AF20" i="6"/>
  <c r="AQ20" i="6"/>
  <c r="I20" i="6"/>
  <c r="BM20" i="6"/>
  <c r="AA102" i="6"/>
  <c r="AX102" i="6"/>
  <c r="AP102" i="6"/>
  <c r="AC102" i="6"/>
  <c r="AH102" i="6"/>
  <c r="AM102" i="6"/>
  <c r="BM102" i="6"/>
  <c r="BH102" i="6"/>
  <c r="AZ102" i="6"/>
  <c r="M102" i="6"/>
  <c r="AY102" i="6"/>
  <c r="U102" i="6"/>
  <c r="F102" i="6"/>
  <c r="I102" i="6"/>
  <c r="AI102" i="6"/>
  <c r="AG102" i="6"/>
  <c r="AN102" i="6"/>
  <c r="R102" i="6"/>
  <c r="AE102" i="6"/>
  <c r="AL102" i="6"/>
  <c r="AT102" i="6"/>
  <c r="BD102" i="6"/>
  <c r="AU102" i="6"/>
  <c r="BC102" i="6"/>
  <c r="BN102" i="6"/>
  <c r="BG102" i="6"/>
  <c r="AQ102" i="6"/>
  <c r="L102" i="6"/>
  <c r="W102" i="6"/>
  <c r="AD102" i="6"/>
  <c r="Q102" i="6"/>
  <c r="S102" i="6"/>
  <c r="BB102" i="6"/>
  <c r="AS102" i="6"/>
  <c r="O102" i="6"/>
  <c r="AO102" i="6"/>
  <c r="J102" i="6"/>
  <c r="BK102" i="6"/>
  <c r="BF102" i="6"/>
  <c r="K102" i="6"/>
  <c r="G102" i="6"/>
  <c r="X102" i="6"/>
  <c r="AF102" i="6"/>
  <c r="Z102" i="6"/>
  <c r="AV102" i="6"/>
  <c r="AB102" i="6"/>
  <c r="AW102" i="6"/>
  <c r="V102" i="6"/>
  <c r="BL102" i="6"/>
  <c r="AJ102" i="6"/>
  <c r="N102" i="6"/>
  <c r="AK102" i="6"/>
  <c r="BA102" i="6"/>
  <c r="Y102" i="6"/>
  <c r="BI102" i="6"/>
  <c r="T102" i="6"/>
  <c r="H102" i="6"/>
  <c r="BE102" i="6"/>
  <c r="BJ102" i="6"/>
  <c r="AR102" i="6"/>
  <c r="P102" i="6"/>
  <c r="N90" i="6"/>
  <c r="AB90" i="6"/>
  <c r="AP90" i="6"/>
  <c r="BD90" i="6"/>
  <c r="Q90" i="6"/>
  <c r="AF90" i="6"/>
  <c r="AT90" i="6"/>
  <c r="BI90" i="6"/>
  <c r="R90" i="6"/>
  <c r="AG90" i="6"/>
  <c r="AV90" i="6"/>
  <c r="BJ90" i="6"/>
  <c r="I90" i="6"/>
  <c r="X90" i="6"/>
  <c r="AL90" i="6"/>
  <c r="BA90" i="6"/>
  <c r="J90" i="6"/>
  <c r="Y90" i="6"/>
  <c r="AM90" i="6"/>
  <c r="BB90" i="6"/>
  <c r="K90" i="6"/>
  <c r="Z90" i="6"/>
  <c r="AO90" i="6"/>
  <c r="BE90" i="6"/>
  <c r="S90" i="6"/>
  <c r="AR90" i="6"/>
  <c r="T90" i="6"/>
  <c r="AS90" i="6"/>
  <c r="U90" i="6"/>
  <c r="AW90" i="6"/>
  <c r="V90" i="6"/>
  <c r="AX90" i="6"/>
  <c r="AA90" i="6"/>
  <c r="AY90" i="6"/>
  <c r="AE90" i="6"/>
  <c r="BF90" i="6"/>
  <c r="AH90" i="6"/>
  <c r="AQ90" i="6"/>
  <c r="AI90" i="6"/>
  <c r="AJ90" i="6"/>
  <c r="AK90" i="6"/>
  <c r="AZ90" i="6"/>
  <c r="O90" i="6"/>
  <c r="BN90" i="6"/>
  <c r="AC90" i="6"/>
  <c r="F90" i="6"/>
  <c r="BG90" i="6"/>
  <c r="G90" i="6"/>
  <c r="BH90" i="6"/>
  <c r="L90" i="6"/>
  <c r="BK90" i="6"/>
  <c r="M90" i="6"/>
  <c r="BL90" i="6"/>
  <c r="AD90" i="6"/>
  <c r="J4" i="6"/>
  <c r="AL4" i="6"/>
  <c r="AZ4" i="6"/>
  <c r="BM4" i="6"/>
  <c r="AK4" i="6"/>
  <c r="AD4" i="6"/>
  <c r="V4" i="6"/>
  <c r="AY4" i="6"/>
  <c r="G4" i="6"/>
  <c r="R4" i="6"/>
  <c r="AO4" i="6"/>
  <c r="AH4" i="6"/>
  <c r="BL4" i="6"/>
  <c r="AB4" i="6"/>
  <c r="AP4" i="6"/>
  <c r="AR4" i="6"/>
  <c r="AT4" i="6"/>
  <c r="P4" i="6"/>
  <c r="AW4" i="6"/>
  <c r="M4" i="6"/>
  <c r="BD4" i="6"/>
  <c r="U4" i="6"/>
  <c r="BK4" i="6"/>
  <c r="BN4" i="6"/>
  <c r="BA4" i="6"/>
  <c r="BG4" i="6"/>
  <c r="AI4" i="6"/>
  <c r="O4" i="6"/>
  <c r="N4" i="6"/>
  <c r="T4" i="6"/>
  <c r="I4" i="6"/>
  <c r="H4" i="6"/>
  <c r="AQ4" i="6"/>
  <c r="F4" i="6"/>
  <c r="AU4" i="6"/>
  <c r="S4" i="6"/>
  <c r="AF4" i="6"/>
  <c r="BB4" i="6"/>
  <c r="AX4" i="6"/>
  <c r="X4" i="6"/>
  <c r="Q4" i="6"/>
  <c r="BC4" i="6"/>
  <c r="AG4" i="6"/>
  <c r="AJ4" i="6"/>
  <c r="BJ4" i="6"/>
  <c r="K4" i="6"/>
  <c r="AM4" i="6"/>
  <c r="AS4" i="6"/>
  <c r="AV4" i="6"/>
  <c r="BH4" i="6"/>
  <c r="BI4" i="6"/>
  <c r="Z4" i="6"/>
  <c r="L4" i="6"/>
  <c r="AC4" i="6"/>
  <c r="BF4" i="6"/>
  <c r="Y4" i="6"/>
  <c r="AE4" i="6"/>
  <c r="W4" i="6"/>
  <c r="BE4" i="6"/>
  <c r="AN4" i="6"/>
  <c r="AA4" i="6"/>
  <c r="BF66" i="6"/>
  <c r="AZ66" i="6"/>
  <c r="BA66" i="6"/>
  <c r="AB66" i="6"/>
  <c r="AC66" i="6"/>
  <c r="AD66" i="6"/>
  <c r="AE66" i="6"/>
  <c r="BC66" i="6"/>
  <c r="O66" i="6"/>
  <c r="AN66" i="6"/>
  <c r="BG66" i="6"/>
  <c r="BM66" i="6"/>
  <c r="BK66" i="6"/>
  <c r="AA66" i="6"/>
  <c r="BB66" i="6"/>
  <c r="R66" i="6"/>
  <c r="AT66" i="6"/>
  <c r="L66" i="6"/>
  <c r="AM66" i="6"/>
  <c r="I66" i="6"/>
  <c r="AK66" i="6"/>
  <c r="AV66" i="6"/>
  <c r="M66" i="6"/>
  <c r="AH66" i="6"/>
  <c r="AP66" i="6"/>
  <c r="AY66" i="6"/>
  <c r="Z66" i="6"/>
  <c r="BH66" i="6"/>
  <c r="Q66" i="6"/>
  <c r="P66" i="6"/>
  <c r="AI66" i="6"/>
  <c r="H66" i="6"/>
  <c r="S66" i="6"/>
  <c r="AJ66" i="6"/>
  <c r="AO66" i="6"/>
  <c r="K66" i="6"/>
  <c r="U66" i="6"/>
  <c r="AS66" i="6"/>
  <c r="AX66" i="6"/>
  <c r="AL66" i="6"/>
  <c r="AG66" i="6"/>
  <c r="BJ66" i="6"/>
  <c r="G66" i="6"/>
  <c r="BD66" i="6"/>
  <c r="F66" i="6"/>
  <c r="N66" i="6"/>
  <c r="T66" i="6"/>
  <c r="BN66" i="6"/>
  <c r="W66" i="6"/>
  <c r="BI66" i="6"/>
  <c r="AR66" i="6"/>
  <c r="Y66" i="6"/>
  <c r="J66" i="6"/>
  <c r="X66" i="6"/>
  <c r="AU66" i="6"/>
  <c r="AQ66" i="6"/>
  <c r="AW66" i="6"/>
  <c r="BL66" i="6"/>
  <c r="AF66" i="6"/>
  <c r="V66" i="6"/>
  <c r="BE66" i="6"/>
  <c r="AN90" i="6"/>
  <c r="H90" i="6"/>
  <c r="BN137" i="6"/>
  <c r="BF137" i="6"/>
  <c r="AM137" i="6"/>
  <c r="BL137" i="6"/>
  <c r="AH137" i="6"/>
  <c r="O137" i="6"/>
  <c r="P137" i="6"/>
  <c r="BI137" i="6"/>
  <c r="I137" i="6"/>
  <c r="AY137" i="6"/>
  <c r="AB137" i="6"/>
  <c r="AE137" i="6"/>
  <c r="W137" i="6"/>
  <c r="Z137" i="6"/>
  <c r="Q137" i="6"/>
  <c r="AO137" i="6"/>
  <c r="AS137" i="6"/>
  <c r="AN137" i="6"/>
  <c r="AV137" i="6"/>
  <c r="S137" i="6"/>
  <c r="AA137" i="6"/>
  <c r="AK137" i="6"/>
  <c r="X137" i="6"/>
  <c r="AW137" i="6"/>
  <c r="AJ137" i="6"/>
  <c r="F137" i="6"/>
  <c r="AQ137" i="6"/>
  <c r="BD137" i="6"/>
  <c r="AT137" i="6"/>
  <c r="AG137" i="6"/>
  <c r="AZ137" i="6"/>
  <c r="AD137" i="6"/>
  <c r="N137" i="6"/>
  <c r="AL137" i="6"/>
  <c r="H137" i="6"/>
  <c r="K137" i="6"/>
  <c r="M137" i="6"/>
  <c r="Y137" i="6"/>
  <c r="U137" i="6"/>
  <c r="L137" i="6"/>
  <c r="BH137" i="6"/>
  <c r="AI137" i="6"/>
  <c r="R137" i="6"/>
  <c r="V137" i="6"/>
  <c r="BA137" i="6"/>
  <c r="AP137" i="6"/>
  <c r="BJ137" i="6"/>
  <c r="BB137" i="6"/>
  <c r="G137" i="6"/>
  <c r="BC137" i="6"/>
  <c r="BK137" i="6"/>
  <c r="BG137" i="6"/>
  <c r="T137" i="6"/>
  <c r="AU137" i="6"/>
  <c r="BM137" i="6"/>
  <c r="J137" i="6"/>
  <c r="AF137" i="6"/>
  <c r="AX137" i="6"/>
  <c r="BE137" i="6"/>
  <c r="AC137" i="6"/>
  <c r="AR137" i="6"/>
  <c r="AD113" i="6"/>
  <c r="P113" i="6"/>
  <c r="J113" i="6"/>
  <c r="S113" i="6"/>
  <c r="W113" i="6"/>
  <c r="AP113" i="6"/>
  <c r="AE113" i="6"/>
  <c r="AA113" i="6"/>
  <c r="AJ113" i="6"/>
  <c r="AN113" i="6"/>
  <c r="BB113" i="6"/>
  <c r="AS113" i="6"/>
  <c r="AW113" i="6"/>
  <c r="BA113" i="6"/>
  <c r="BJ113" i="6"/>
  <c r="BN113" i="6"/>
  <c r="BG113" i="6"/>
  <c r="K113" i="6"/>
  <c r="T113" i="6"/>
  <c r="AU113" i="6"/>
  <c r="AO113" i="6"/>
  <c r="AT113" i="6"/>
  <c r="L113" i="6"/>
  <c r="AL113" i="6"/>
  <c r="Y113" i="6"/>
  <c r="BC113" i="6"/>
  <c r="BH113" i="6"/>
  <c r="AH113" i="6"/>
  <c r="BE113" i="6"/>
  <c r="G113" i="6"/>
  <c r="AF113" i="6"/>
  <c r="BD113" i="6"/>
  <c r="AB113" i="6"/>
  <c r="AX113" i="6"/>
  <c r="X113" i="6"/>
  <c r="N113" i="6"/>
  <c r="AY113" i="6"/>
  <c r="H113" i="6"/>
  <c r="AC113" i="6"/>
  <c r="M113" i="6"/>
  <c r="AQ113" i="6"/>
  <c r="AR113" i="6"/>
  <c r="AI113" i="6"/>
  <c r="BK113" i="6"/>
  <c r="BF113" i="6"/>
  <c r="AZ113" i="6"/>
  <c r="Q113" i="6"/>
  <c r="AK113" i="6"/>
  <c r="BM113" i="6"/>
  <c r="AG113" i="6"/>
  <c r="V113" i="6"/>
  <c r="BI113" i="6"/>
  <c r="U113" i="6"/>
  <c r="AM113" i="6"/>
  <c r="F113" i="6"/>
  <c r="BL113" i="6"/>
  <c r="R113" i="6"/>
  <c r="AV113" i="6"/>
  <c r="I113" i="6"/>
  <c r="O113" i="6"/>
  <c r="Z113" i="6"/>
  <c r="L49" i="6"/>
  <c r="Z49" i="6"/>
  <c r="AL49" i="6"/>
  <c r="AX49" i="6"/>
  <c r="BK49" i="6"/>
  <c r="J49" i="6"/>
  <c r="Y49" i="6"/>
  <c r="AM49" i="6"/>
  <c r="AZ49" i="6"/>
  <c r="BN49" i="6"/>
  <c r="K49" i="6"/>
  <c r="AA49" i="6"/>
  <c r="AN49" i="6"/>
  <c r="BA49" i="6"/>
  <c r="Q49" i="6"/>
  <c r="AE49" i="6"/>
  <c r="AR49" i="6"/>
  <c r="BE49" i="6"/>
  <c r="S49" i="6"/>
  <c r="AJ49" i="6"/>
  <c r="BC49" i="6"/>
  <c r="T49" i="6"/>
  <c r="AK49" i="6"/>
  <c r="BD49" i="6"/>
  <c r="G49" i="6"/>
  <c r="AC49" i="6"/>
  <c r="AT49" i="6"/>
  <c r="BL49" i="6"/>
  <c r="I49" i="6"/>
  <c r="AD49" i="6"/>
  <c r="AU49" i="6"/>
  <c r="BM49" i="6"/>
  <c r="M49" i="6"/>
  <c r="AF49" i="6"/>
  <c r="AV49" i="6"/>
  <c r="N49" i="6"/>
  <c r="AG49" i="6"/>
  <c r="AW49" i="6"/>
  <c r="AQ49" i="6"/>
  <c r="F49" i="6"/>
  <c r="AS49" i="6"/>
  <c r="O49" i="6"/>
  <c r="AY49" i="6"/>
  <c r="R49" i="6"/>
  <c r="BB49" i="6"/>
  <c r="I50" i="7" s="1"/>
  <c r="V49" i="6"/>
  <c r="U49" i="6"/>
  <c r="BF49" i="6"/>
  <c r="BG49" i="6"/>
  <c r="X49" i="6"/>
  <c r="BH49" i="6"/>
  <c r="AP49" i="6"/>
  <c r="BJ49" i="6"/>
  <c r="AI49" i="6"/>
  <c r="AO49" i="6"/>
  <c r="AB49" i="6"/>
  <c r="AH49" i="6"/>
  <c r="AL14" i="6"/>
  <c r="Y54" i="6"/>
  <c r="J54" i="6"/>
  <c r="AC54" i="6"/>
  <c r="V54" i="6"/>
  <c r="F54" i="6"/>
  <c r="AL54" i="6"/>
  <c r="AB54" i="6"/>
  <c r="AX54" i="6"/>
  <c r="BD54" i="6"/>
  <c r="N54" i="6"/>
  <c r="AZ54" i="6"/>
  <c r="AR54" i="6"/>
  <c r="I54" i="6"/>
  <c r="W54" i="6"/>
  <c r="AO54" i="6"/>
  <c r="BM54" i="6"/>
  <c r="BH54" i="6"/>
  <c r="AE54" i="6"/>
  <c r="BE54" i="6"/>
  <c r="AP54" i="6"/>
  <c r="O54" i="6"/>
  <c r="AU54" i="6"/>
  <c r="AT54" i="6"/>
  <c r="AH54" i="6"/>
  <c r="AI54" i="6"/>
  <c r="AQ54" i="6"/>
  <c r="AA54" i="6"/>
  <c r="BI54" i="6"/>
  <c r="BN54" i="6"/>
  <c r="BB54" i="6"/>
  <c r="BG54" i="6"/>
  <c r="AD54" i="6"/>
  <c r="BF54" i="6"/>
  <c r="AG54" i="6"/>
  <c r="K54" i="6"/>
  <c r="R54" i="6"/>
  <c r="Q54" i="6"/>
  <c r="T54" i="6"/>
  <c r="AF54" i="6"/>
  <c r="AS54" i="6"/>
  <c r="AV54" i="6"/>
  <c r="U54" i="6"/>
  <c r="BL54" i="6"/>
  <c r="BC54" i="6"/>
  <c r="AY54" i="6"/>
  <c r="BJ54" i="6"/>
  <c r="BK54" i="6"/>
  <c r="AN54" i="6"/>
  <c r="L54" i="6"/>
  <c r="AK54" i="6"/>
  <c r="S54" i="6"/>
  <c r="P54" i="6"/>
  <c r="G54" i="6"/>
  <c r="Z54" i="6"/>
  <c r="AW54" i="6"/>
  <c r="AJ54" i="6"/>
  <c r="BA54" i="6"/>
  <c r="X54" i="6"/>
  <c r="AM54" i="6"/>
  <c r="H54" i="6"/>
  <c r="M54" i="6"/>
  <c r="AU90" i="6"/>
  <c r="V8" i="6"/>
  <c r="BE8" i="6"/>
  <c r="X8" i="6"/>
  <c r="AW8" i="6"/>
  <c r="K8" i="6"/>
  <c r="AH8" i="6"/>
  <c r="P8" i="6"/>
  <c r="AS8" i="6"/>
  <c r="Z8" i="6"/>
  <c r="BC8" i="6"/>
  <c r="AT8" i="6"/>
  <c r="AD8" i="6"/>
  <c r="BM8" i="6"/>
  <c r="AX8" i="6"/>
  <c r="M8" i="6"/>
  <c r="BF8" i="6"/>
  <c r="AR8" i="6"/>
  <c r="Q8" i="6"/>
  <c r="AA8" i="6"/>
  <c r="BH8" i="6"/>
  <c r="AL8" i="6"/>
  <c r="W8" i="6"/>
  <c r="S8" i="6"/>
  <c r="G8" i="6"/>
  <c r="BN8" i="6"/>
  <c r="AY8" i="6"/>
  <c r="AN8" i="6"/>
  <c r="AO8" i="6"/>
  <c r="AP8" i="6"/>
  <c r="AB8" i="6"/>
  <c r="F8" i="6"/>
  <c r="AM8" i="6"/>
  <c r="Y8" i="6"/>
  <c r="BI8" i="6"/>
  <c r="BJ8" i="6"/>
  <c r="BL8" i="6"/>
  <c r="BK8" i="6"/>
  <c r="AE8" i="6"/>
  <c r="O8" i="6"/>
  <c r="T8" i="6"/>
  <c r="AI8" i="6"/>
  <c r="AC8" i="6"/>
  <c r="AV8" i="6"/>
  <c r="AF8" i="6"/>
  <c r="AQ8" i="6"/>
  <c r="U8" i="6"/>
  <c r="AJ8" i="6"/>
  <c r="AU8" i="6"/>
  <c r="I8" i="6"/>
  <c r="J8" i="6"/>
  <c r="BB8" i="6"/>
  <c r="L8" i="6"/>
  <c r="R8" i="6"/>
  <c r="BD8" i="6"/>
  <c r="N8" i="6"/>
  <c r="AG8" i="6"/>
  <c r="BA8" i="6"/>
  <c r="H8" i="6"/>
  <c r="BG8" i="6"/>
  <c r="AK8" i="6"/>
  <c r="AZ8" i="6"/>
  <c r="AW10" i="6"/>
  <c r="AQ10" i="6"/>
  <c r="Q10" i="6"/>
  <c r="BG10" i="6"/>
  <c r="F10" i="6"/>
  <c r="BJ10" i="6"/>
  <c r="BH10" i="6"/>
  <c r="AL10" i="6"/>
  <c r="X10" i="6"/>
  <c r="BC10" i="6"/>
  <c r="K10" i="6"/>
  <c r="M10" i="6"/>
  <c r="BI10" i="6"/>
  <c r="BK10" i="6"/>
  <c r="AZ10" i="6"/>
  <c r="AH10" i="6"/>
  <c r="L10" i="6"/>
  <c r="H10" i="6"/>
  <c r="AS10" i="6"/>
  <c r="BM10" i="6"/>
  <c r="AT10" i="6"/>
  <c r="Z10" i="6"/>
  <c r="AE10" i="6"/>
  <c r="T10" i="6"/>
  <c r="AF10" i="6"/>
  <c r="AM10" i="6"/>
  <c r="BE10" i="6"/>
  <c r="AK10" i="6"/>
  <c r="V10" i="6"/>
  <c r="AD10" i="6"/>
  <c r="AX10" i="6"/>
  <c r="BF10" i="6"/>
  <c r="AV10" i="6"/>
  <c r="P10" i="6"/>
  <c r="I10" i="6"/>
  <c r="BN10" i="6"/>
  <c r="AB10" i="6"/>
  <c r="W10" i="6"/>
  <c r="AY10" i="6"/>
  <c r="BL10" i="6"/>
  <c r="AJ10" i="6"/>
  <c r="O10" i="6"/>
  <c r="AC10" i="6"/>
  <c r="G10" i="6"/>
  <c r="BD10" i="6"/>
  <c r="AA10" i="6"/>
  <c r="AR10" i="6"/>
  <c r="BB10" i="6"/>
  <c r="AI10" i="6"/>
  <c r="R10" i="6"/>
  <c r="S10" i="6"/>
  <c r="AU10" i="6"/>
  <c r="U10" i="6"/>
  <c r="AN10" i="6"/>
  <c r="AG10" i="6"/>
  <c r="N10" i="6"/>
  <c r="AO10" i="6"/>
  <c r="Y10" i="6"/>
  <c r="BA10" i="6"/>
  <c r="J10" i="6"/>
  <c r="AP10" i="6"/>
  <c r="L55" i="6"/>
  <c r="BH55" i="6"/>
  <c r="W55" i="6"/>
  <c r="K55" i="6"/>
  <c r="T55" i="6"/>
  <c r="Y55" i="6"/>
  <c r="M55" i="6"/>
  <c r="AQ55" i="6"/>
  <c r="AN55" i="6"/>
  <c r="BD55" i="6"/>
  <c r="AL55" i="6"/>
  <c r="AD55" i="6"/>
  <c r="BM55" i="6"/>
  <c r="O55" i="6"/>
  <c r="AE55" i="6"/>
  <c r="AY55" i="6"/>
  <c r="AU55" i="6"/>
  <c r="Z55" i="6"/>
  <c r="AO55" i="6"/>
  <c r="BF55" i="6"/>
  <c r="X55" i="6"/>
  <c r="AF55" i="6"/>
  <c r="AA55" i="6"/>
  <c r="R55" i="6"/>
  <c r="AI55" i="6"/>
  <c r="I55" i="6"/>
  <c r="AM55" i="6"/>
  <c r="AW55" i="6"/>
  <c r="AV55" i="6"/>
  <c r="AZ55" i="6"/>
  <c r="BI55" i="6"/>
  <c r="J55" i="6"/>
  <c r="F55" i="6"/>
  <c r="AH55" i="6"/>
  <c r="P55" i="6"/>
  <c r="AX55" i="6"/>
  <c r="U55" i="6"/>
  <c r="BN55" i="6"/>
  <c r="S55" i="6"/>
  <c r="AG55" i="6"/>
  <c r="V55" i="6"/>
  <c r="BB55" i="6"/>
  <c r="AS55" i="6"/>
  <c r="AP55" i="6"/>
  <c r="BC55" i="6"/>
  <c r="BE55" i="6"/>
  <c r="BJ55" i="6"/>
  <c r="AB55" i="6"/>
  <c r="AJ55" i="6"/>
  <c r="H55" i="6"/>
  <c r="AK55" i="6"/>
  <c r="Q55" i="6"/>
  <c r="BA55" i="6"/>
  <c r="N55" i="6"/>
  <c r="AC55" i="6"/>
  <c r="AT55" i="6"/>
  <c r="G55" i="6"/>
  <c r="AR55" i="6"/>
  <c r="BG55" i="6"/>
  <c r="BK55" i="6"/>
  <c r="BL55" i="6"/>
  <c r="V148" i="6"/>
  <c r="O148" i="6"/>
  <c r="AZ148" i="6"/>
  <c r="BG148" i="6"/>
  <c r="AT148" i="6"/>
  <c r="AI148" i="6"/>
  <c r="AC148" i="6"/>
  <c r="Q148" i="6"/>
  <c r="AN148" i="6"/>
  <c r="AU148" i="6"/>
  <c r="AW148" i="6"/>
  <c r="AQ148" i="6"/>
  <c r="AH148" i="6"/>
  <c r="AR148" i="6"/>
  <c r="G148" i="6"/>
  <c r="BJ148" i="6"/>
  <c r="BE148" i="6"/>
  <c r="BA148" i="6"/>
  <c r="U148" i="6"/>
  <c r="BM148" i="6"/>
  <c r="L148" i="6"/>
  <c r="AO148" i="6"/>
  <c r="AX148" i="6"/>
  <c r="BB148" i="6"/>
  <c r="BK148" i="6"/>
  <c r="BN148" i="6"/>
  <c r="X148" i="6"/>
  <c r="BC148" i="6"/>
  <c r="K148" i="6"/>
  <c r="S148" i="6"/>
  <c r="F148" i="6"/>
  <c r="AV148" i="6"/>
  <c r="AB148" i="6"/>
  <c r="AY148" i="6"/>
  <c r="BF148" i="6"/>
  <c r="AS148" i="6"/>
  <c r="N148" i="6"/>
  <c r="AM148" i="6"/>
  <c r="P148" i="6"/>
  <c r="H148" i="6"/>
  <c r="AJ148" i="6"/>
  <c r="AG148" i="6"/>
  <c r="AD148" i="6"/>
  <c r="BH148" i="6"/>
  <c r="R148" i="6"/>
  <c r="I148" i="6"/>
  <c r="AK148" i="6"/>
  <c r="M148" i="6"/>
  <c r="AL148" i="6"/>
  <c r="AA148" i="6"/>
  <c r="T148" i="6"/>
  <c r="BD148" i="6"/>
  <c r="J148" i="6"/>
  <c r="AE148" i="6"/>
  <c r="AF148" i="6"/>
  <c r="BI148" i="6"/>
  <c r="W148" i="6"/>
  <c r="Y148" i="6"/>
  <c r="BL148" i="6"/>
  <c r="AP148" i="6"/>
  <c r="Z148" i="6"/>
  <c r="O14" i="6"/>
  <c r="AC14" i="6"/>
  <c r="AQ14" i="6"/>
  <c r="BE14" i="6"/>
  <c r="P14" i="6"/>
  <c r="AE14" i="6"/>
  <c r="AS14" i="6"/>
  <c r="BF14" i="6"/>
  <c r="J14" i="6"/>
  <c r="W14" i="6"/>
  <c r="AK14" i="6"/>
  <c r="AZ14" i="6"/>
  <c r="BL14" i="6"/>
  <c r="F14" i="6"/>
  <c r="V14" i="6"/>
  <c r="AO14" i="6"/>
  <c r="BH14" i="6"/>
  <c r="G14" i="6"/>
  <c r="Y14" i="6"/>
  <c r="AP14" i="6"/>
  <c r="BI14" i="6"/>
  <c r="L14" i="6"/>
  <c r="AF14" i="6"/>
  <c r="AW14" i="6"/>
  <c r="BN14" i="6"/>
  <c r="AA14" i="6"/>
  <c r="BA14" i="6"/>
  <c r="AB14" i="6"/>
  <c r="BB14" i="6"/>
  <c r="N14" i="6"/>
  <c r="AM14" i="6"/>
  <c r="BK14" i="6"/>
  <c r="Q14" i="6"/>
  <c r="AN14" i="6"/>
  <c r="BM14" i="6"/>
  <c r="S14" i="6"/>
  <c r="AT14" i="6"/>
  <c r="T14" i="6"/>
  <c r="AU14" i="6"/>
  <c r="Z14" i="6"/>
  <c r="AG14" i="6"/>
  <c r="AH14" i="6"/>
  <c r="AI14" i="6"/>
  <c r="AV14" i="6"/>
  <c r="AJ14" i="6"/>
  <c r="AY14" i="6"/>
  <c r="BG14" i="6"/>
  <c r="BJ14" i="6"/>
  <c r="H14" i="6"/>
  <c r="BD14" i="6"/>
  <c r="BC14" i="6"/>
  <c r="I14" i="6"/>
  <c r="K14" i="6"/>
  <c r="M14" i="6"/>
  <c r="U14" i="6"/>
  <c r="X14" i="6"/>
  <c r="H27" i="6"/>
  <c r="U27" i="6"/>
  <c r="AH27" i="6"/>
  <c r="AT27" i="6"/>
  <c r="BF27" i="6"/>
  <c r="Q27" i="6"/>
  <c r="AF27" i="6"/>
  <c r="AS27" i="6"/>
  <c r="BG27" i="6"/>
  <c r="R27" i="6"/>
  <c r="AG27" i="6"/>
  <c r="AU27" i="6"/>
  <c r="BH27" i="6"/>
  <c r="J27" i="6"/>
  <c r="X27" i="6"/>
  <c r="AL27" i="6"/>
  <c r="AY27" i="6"/>
  <c r="BL27" i="6"/>
  <c r="V27" i="6"/>
  <c r="AN27" i="6"/>
  <c r="BD27" i="6"/>
  <c r="W27" i="6"/>
  <c r="AO27" i="6"/>
  <c r="BE27" i="6"/>
  <c r="L27" i="6"/>
  <c r="AD27" i="6"/>
  <c r="AW27" i="6"/>
  <c r="BN27" i="6"/>
  <c r="M27" i="6"/>
  <c r="AE27" i="6"/>
  <c r="AX27" i="6"/>
  <c r="N27" i="6"/>
  <c r="AI27" i="6"/>
  <c r="AZ27" i="6"/>
  <c r="O27" i="6"/>
  <c r="AJ27" i="6"/>
  <c r="BA27" i="6"/>
  <c r="P27" i="6"/>
  <c r="BB27" i="6"/>
  <c r="T27" i="6"/>
  <c r="BC27" i="6"/>
  <c r="Y27" i="6"/>
  <c r="BI27" i="6"/>
  <c r="AA27" i="6"/>
  <c r="BJ27" i="6"/>
  <c r="AC27" i="6"/>
  <c r="BM27" i="6"/>
  <c r="AB27" i="6"/>
  <c r="BK27" i="6"/>
  <c r="AK27" i="6"/>
  <c r="K27" i="6"/>
  <c r="AR27" i="6"/>
  <c r="AM27" i="6"/>
  <c r="AV27" i="6"/>
  <c r="I27" i="6"/>
  <c r="AP27" i="6"/>
  <c r="AQ27" i="6"/>
  <c r="G27" i="6"/>
  <c r="F27" i="6"/>
  <c r="AG85" i="6"/>
  <c r="W85" i="6"/>
  <c r="AZ85" i="6"/>
  <c r="X85" i="6"/>
  <c r="J85" i="6"/>
  <c r="AS85" i="6"/>
  <c r="AL85" i="6"/>
  <c r="P85" i="6"/>
  <c r="AU85" i="6"/>
  <c r="BH85" i="6"/>
  <c r="BE85" i="6"/>
  <c r="BA85" i="6"/>
  <c r="AJ85" i="6"/>
  <c r="Z85" i="6"/>
  <c r="BI85" i="6"/>
  <c r="BF85" i="6"/>
  <c r="BG85" i="6"/>
  <c r="BM85" i="6"/>
  <c r="AB85" i="6"/>
  <c r="AM85" i="6"/>
  <c r="S85" i="6"/>
  <c r="N85" i="6"/>
  <c r="T85" i="6"/>
  <c r="BC85" i="6"/>
  <c r="AN85" i="6"/>
  <c r="AR85" i="6"/>
  <c r="BB85" i="6"/>
  <c r="AD85" i="6"/>
  <c r="Y85" i="6"/>
  <c r="AT85" i="6"/>
  <c r="L85" i="6"/>
  <c r="AO85" i="6"/>
  <c r="AW85" i="6"/>
  <c r="M85" i="6"/>
  <c r="I85" i="6"/>
  <c r="AF85" i="6"/>
  <c r="AA85" i="6"/>
  <c r="U85" i="6"/>
  <c r="AY85" i="6"/>
  <c r="AX85" i="6"/>
  <c r="R85" i="6"/>
  <c r="O85" i="6"/>
  <c r="F85" i="6"/>
  <c r="AV85" i="6"/>
  <c r="K85" i="6"/>
  <c r="BJ85" i="6"/>
  <c r="AK85" i="6"/>
  <c r="G85" i="6"/>
  <c r="BK85" i="6"/>
  <c r="H85" i="6"/>
  <c r="BL85" i="6"/>
  <c r="Q85" i="6"/>
  <c r="AP85" i="6"/>
  <c r="AQ85" i="6"/>
  <c r="AE85" i="6"/>
  <c r="AI85" i="6"/>
  <c r="AH85" i="6"/>
  <c r="BN85" i="6"/>
  <c r="V85" i="6"/>
  <c r="AC85" i="6"/>
  <c r="BD85" i="6"/>
  <c r="BH136" i="6"/>
  <c r="AM136" i="6"/>
  <c r="Q136" i="6"/>
  <c r="U136" i="6"/>
  <c r="AT136" i="6"/>
  <c r="P136" i="6"/>
  <c r="BA136" i="6"/>
  <c r="AH136" i="6"/>
  <c r="AQ136" i="6"/>
  <c r="BL136" i="6"/>
  <c r="AC136" i="6"/>
  <c r="K136" i="6"/>
  <c r="BD136" i="6"/>
  <c r="BI136" i="6"/>
  <c r="H136" i="6"/>
  <c r="AP136" i="6"/>
  <c r="Z136" i="6"/>
  <c r="R136" i="6"/>
  <c r="AR136" i="6"/>
  <c r="M136" i="6"/>
  <c r="W136" i="6"/>
  <c r="N136" i="6"/>
  <c r="S136" i="6"/>
  <c r="V136" i="6"/>
  <c r="BM136" i="6"/>
  <c r="AL136" i="6"/>
  <c r="AF136" i="6"/>
  <c r="AK136" i="6"/>
  <c r="BJ136" i="6"/>
  <c r="AE136" i="6"/>
  <c r="BB136" i="6"/>
  <c r="AS136" i="6"/>
  <c r="I136" i="6"/>
  <c r="BE136" i="6"/>
  <c r="AW136" i="6"/>
  <c r="AZ136" i="6"/>
  <c r="BF136" i="6"/>
  <c r="AU136" i="6"/>
  <c r="BN136" i="6"/>
  <c r="T136" i="6"/>
  <c r="J136" i="6"/>
  <c r="AO136" i="6"/>
  <c r="Y136" i="6"/>
  <c r="BG136" i="6"/>
  <c r="O136" i="6"/>
  <c r="AG136" i="6"/>
  <c r="AY136" i="6"/>
  <c r="AI136" i="6"/>
  <c r="L136" i="6"/>
  <c r="F136" i="6"/>
  <c r="X136" i="6"/>
  <c r="BK136" i="6"/>
  <c r="AJ136" i="6"/>
  <c r="G136" i="6"/>
  <c r="AV136" i="6"/>
  <c r="AN136" i="6"/>
  <c r="BC136" i="6"/>
  <c r="AX136" i="6"/>
  <c r="AA136" i="6"/>
  <c r="AD136" i="6"/>
  <c r="AB136" i="6"/>
  <c r="AP103" i="6"/>
  <c r="U103" i="6"/>
  <c r="AA103" i="6"/>
  <c r="K103" i="6"/>
  <c r="AK103" i="6"/>
  <c r="BB103" i="6"/>
  <c r="AJ103" i="6"/>
  <c r="AR103" i="6"/>
  <c r="AG103" i="6"/>
  <c r="BJ103" i="6"/>
  <c r="BN103" i="6"/>
  <c r="AZ103" i="6"/>
  <c r="BI103" i="6"/>
  <c r="BC103" i="6"/>
  <c r="AM103" i="6"/>
  <c r="AY103" i="6"/>
  <c r="BF103" i="6"/>
  <c r="AW103" i="6"/>
  <c r="N103" i="6"/>
  <c r="AT103" i="6"/>
  <c r="BL103" i="6"/>
  <c r="I103" i="6"/>
  <c r="AC103" i="6"/>
  <c r="AI103" i="6"/>
  <c r="AU103" i="6"/>
  <c r="BG103" i="6"/>
  <c r="G103" i="6"/>
  <c r="BM103" i="6"/>
  <c r="L103" i="6"/>
  <c r="BH103" i="6"/>
  <c r="BE103" i="6"/>
  <c r="Y103" i="6"/>
  <c r="J103" i="6"/>
  <c r="O103" i="6"/>
  <c r="AL103" i="6"/>
  <c r="W103" i="6"/>
  <c r="Q103" i="6"/>
  <c r="P103" i="6"/>
  <c r="AV103" i="6"/>
  <c r="BK103" i="6"/>
  <c r="AE103" i="6"/>
  <c r="AB103" i="6"/>
  <c r="S103" i="6"/>
  <c r="F103" i="6"/>
  <c r="M103" i="6"/>
  <c r="R103" i="6"/>
  <c r="AH103" i="6"/>
  <c r="AD103" i="6"/>
  <c r="BD103" i="6"/>
  <c r="BA103" i="6"/>
  <c r="AS103" i="6"/>
  <c r="AN103" i="6"/>
  <c r="V103" i="6"/>
  <c r="H103" i="6"/>
  <c r="T103" i="6"/>
  <c r="X103" i="6"/>
  <c r="AO103" i="6"/>
  <c r="Z103" i="6"/>
  <c r="AX103" i="6"/>
  <c r="AF103" i="6"/>
  <c r="AQ103" i="6"/>
  <c r="R14" i="6"/>
  <c r="X43" i="6"/>
  <c r="W43" i="6"/>
  <c r="AD43" i="6"/>
  <c r="AE43" i="6"/>
  <c r="L43" i="6"/>
  <c r="I43" i="6"/>
  <c r="AL43" i="6"/>
  <c r="AP43" i="6"/>
  <c r="AX43" i="6"/>
  <c r="BJ43" i="6"/>
  <c r="AR43" i="6"/>
  <c r="U43" i="6"/>
  <c r="BA43" i="6"/>
  <c r="BH43" i="6"/>
  <c r="O43" i="6"/>
  <c r="AF43" i="6"/>
  <c r="AG43" i="6"/>
  <c r="T43" i="6"/>
  <c r="AA43" i="6"/>
  <c r="AT43" i="6"/>
  <c r="BK43" i="6"/>
  <c r="M43" i="6"/>
  <c r="V43" i="6"/>
  <c r="AB43" i="6"/>
  <c r="Q43" i="6"/>
  <c r="BL43" i="6"/>
  <c r="Z43" i="6"/>
  <c r="AN43" i="6"/>
  <c r="AV43" i="6"/>
  <c r="BC43" i="6"/>
  <c r="AI43" i="6"/>
  <c r="BE43" i="6"/>
  <c r="F43" i="6"/>
  <c r="BN43" i="6"/>
  <c r="AY43" i="6"/>
  <c r="BB43" i="6"/>
  <c r="BD43" i="6"/>
  <c r="S43" i="6"/>
  <c r="R43" i="6"/>
  <c r="BG43" i="6"/>
  <c r="AK43" i="6"/>
  <c r="Y43" i="6"/>
  <c r="BF43" i="6"/>
  <c r="BI43" i="6"/>
  <c r="AS43" i="6"/>
  <c r="AU43" i="6"/>
  <c r="AH43" i="6"/>
  <c r="K43" i="6"/>
  <c r="AO43" i="6"/>
  <c r="AM43" i="6"/>
  <c r="N43" i="6"/>
  <c r="AZ43" i="6"/>
  <c r="AQ43" i="6"/>
  <c r="J43" i="6"/>
  <c r="AJ43" i="6"/>
  <c r="G43" i="6"/>
  <c r="P43" i="6"/>
  <c r="AW43" i="6"/>
  <c r="BM43" i="6"/>
  <c r="H43" i="6"/>
  <c r="AC43" i="6"/>
  <c r="S104" i="7" l="1"/>
  <c r="T104" i="7" a="1"/>
  <c r="R104" i="7" a="1"/>
  <c r="N104" i="7"/>
  <c r="R18" i="7"/>
  <c r="L105" i="7"/>
  <c r="H3" i="7"/>
  <c r="D39" i="7"/>
  <c r="H12" i="7"/>
  <c r="I40" i="7"/>
  <c r="D38" i="7"/>
  <c r="C8" i="12" s="1"/>
  <c r="J3" i="7"/>
  <c r="G3" i="7"/>
  <c r="B3" i="7"/>
  <c r="G4" i="7"/>
  <c r="I20" i="7"/>
  <c r="I26" i="7"/>
  <c r="D31" i="7"/>
  <c r="I46" i="7"/>
  <c r="I34" i="7"/>
  <c r="D23" i="7"/>
  <c r="R23" i="7" s="1"/>
  <c r="D10" i="7"/>
  <c r="H27" i="7"/>
  <c r="H34" i="7"/>
  <c r="C22" i="7"/>
  <c r="Q22" i="7" s="1"/>
  <c r="C4" i="7"/>
  <c r="H18" i="7"/>
  <c r="H5" i="7"/>
  <c r="D5" i="7"/>
  <c r="C25" i="7"/>
  <c r="Q25" i="7" s="1"/>
  <c r="H24" i="7"/>
  <c r="H13" i="7"/>
  <c r="C30" i="7"/>
  <c r="H42" i="7"/>
  <c r="I41" i="7"/>
  <c r="C5" i="7"/>
  <c r="C6" i="8" s="1"/>
  <c r="D35" i="7"/>
  <c r="H7" i="7"/>
  <c r="D9" i="7"/>
  <c r="I4" i="7"/>
  <c r="I38" i="7"/>
  <c r="H14" i="7"/>
  <c r="C43" i="7"/>
  <c r="I17" i="7"/>
  <c r="C32" i="7"/>
  <c r="H15" i="7"/>
  <c r="C42" i="7"/>
  <c r="I23" i="7"/>
  <c r="D17" i="7"/>
  <c r="I11" i="7"/>
  <c r="C16" i="7"/>
  <c r="Q16" i="7" s="1"/>
  <c r="H48" i="7"/>
  <c r="H44" i="7"/>
  <c r="H4" i="7"/>
  <c r="H17" i="7"/>
  <c r="C19" i="7"/>
  <c r="Q19" i="7" s="1"/>
  <c r="H22" i="7"/>
  <c r="C8" i="7"/>
  <c r="H26" i="7"/>
  <c r="I32" i="7"/>
  <c r="I48" i="7"/>
  <c r="D22" i="7"/>
  <c r="R22" i="7" s="1"/>
  <c r="D7" i="7"/>
  <c r="C18" i="7"/>
  <c r="Q18" i="7" s="1"/>
  <c r="C38" i="7"/>
  <c r="C7" i="12" s="1"/>
  <c r="H46" i="7"/>
  <c r="D36" i="7"/>
  <c r="H43" i="7"/>
  <c r="I18" i="7"/>
  <c r="I16" i="7"/>
  <c r="H49" i="7"/>
  <c r="C39" i="7"/>
  <c r="H21" i="7"/>
  <c r="C33" i="7"/>
  <c r="C13" i="7"/>
  <c r="Q13" i="7" s="1"/>
  <c r="D47" i="7"/>
  <c r="D41" i="7"/>
  <c r="D26" i="7"/>
  <c r="H10" i="7"/>
  <c r="H9" i="7"/>
  <c r="H37" i="7"/>
  <c r="D49" i="7"/>
  <c r="D44" i="7"/>
  <c r="C21" i="7"/>
  <c r="Q21" i="7" s="1"/>
  <c r="H29" i="7"/>
  <c r="C35" i="7"/>
  <c r="C24" i="7"/>
  <c r="Q24" i="7" s="1"/>
  <c r="H33" i="7"/>
  <c r="H47" i="7"/>
  <c r="H40" i="7"/>
  <c r="D8" i="7"/>
  <c r="I14" i="7"/>
  <c r="H23" i="7"/>
  <c r="C28" i="7"/>
  <c r="Q28" i="7" s="1"/>
  <c r="I19" i="7"/>
  <c r="C10" i="7"/>
  <c r="Q10" i="7" s="1"/>
  <c r="C44" i="7"/>
  <c r="C23" i="7"/>
  <c r="Q23" i="7" s="1"/>
  <c r="C12" i="7"/>
  <c r="Q12" i="7" s="1"/>
  <c r="I35" i="7"/>
  <c r="I47" i="7"/>
  <c r="D50" i="7"/>
  <c r="D15" i="7"/>
  <c r="C31" i="7"/>
  <c r="C34" i="7"/>
  <c r="H41" i="7"/>
  <c r="I12" i="7"/>
  <c r="I39" i="7"/>
  <c r="H50" i="7"/>
  <c r="H36" i="7"/>
  <c r="C9" i="7"/>
  <c r="Q9" i="7" s="1"/>
  <c r="C20" i="7"/>
  <c r="Q20" i="7" s="1"/>
  <c r="I28" i="7"/>
  <c r="C45" i="7"/>
  <c r="H16" i="7"/>
  <c r="D33" i="7"/>
  <c r="D21" i="7"/>
  <c r="R21" i="7" s="1"/>
  <c r="I37" i="7"/>
  <c r="D24" i="7"/>
  <c r="R24" i="7" s="1"/>
  <c r="H30" i="7"/>
  <c r="C3" i="7"/>
  <c r="H6" i="7"/>
  <c r="C27" i="7"/>
  <c r="Q27" i="7" s="1"/>
  <c r="C47" i="7"/>
  <c r="C46" i="7"/>
  <c r="I42" i="7"/>
  <c r="D14" i="7"/>
  <c r="I9" i="7"/>
  <c r="D29" i="7"/>
  <c r="I3" i="7"/>
  <c r="I43" i="7"/>
  <c r="D45" i="7"/>
  <c r="D25" i="7"/>
  <c r="R25" i="7" s="1"/>
  <c r="D6" i="7"/>
  <c r="I5" i="7"/>
  <c r="H39" i="7"/>
  <c r="C11" i="7"/>
  <c r="Q11" i="7" s="1"/>
  <c r="C50" i="7"/>
  <c r="C48" i="7"/>
  <c r="I22" i="7"/>
  <c r="I7" i="7"/>
  <c r="D4" i="7"/>
  <c r="I30" i="7"/>
  <c r="D27" i="7"/>
  <c r="R27" i="7" s="1"/>
  <c r="D32" i="7"/>
  <c r="D13" i="7"/>
  <c r="H32" i="7"/>
  <c r="J29" i="7"/>
  <c r="E29" i="7"/>
  <c r="I44" i="7"/>
  <c r="D20" i="7"/>
  <c r="R20" i="7" s="1"/>
  <c r="I24" i="7"/>
  <c r="D28" i="7"/>
  <c r="R28" i="7" s="1"/>
  <c r="B15" i="7"/>
  <c r="M99" i="7" s="1" a="1"/>
  <c r="G15" i="7"/>
  <c r="G47" i="7"/>
  <c r="B47" i="7"/>
  <c r="B48" i="7"/>
  <c r="G48" i="7"/>
  <c r="G13" i="7"/>
  <c r="B13" i="7"/>
  <c r="I29" i="7"/>
  <c r="D30" i="7"/>
  <c r="H20" i="7"/>
  <c r="E22" i="7"/>
  <c r="S22" i="7" s="1"/>
  <c r="J22" i="7"/>
  <c r="J20" i="7"/>
  <c r="E20" i="7"/>
  <c r="S20" i="7" s="1"/>
  <c r="J11" i="7"/>
  <c r="E11" i="7"/>
  <c r="S11" i="7" s="1"/>
  <c r="J40" i="7"/>
  <c r="E40" i="7"/>
  <c r="H35" i="7"/>
  <c r="D12" i="7"/>
  <c r="D46" i="7"/>
  <c r="I25" i="7"/>
  <c r="H25" i="7"/>
  <c r="C17" i="7"/>
  <c r="Q17" i="7" s="1"/>
  <c r="B11" i="7"/>
  <c r="G11" i="7"/>
  <c r="E12" i="7"/>
  <c r="S12" i="7" s="1"/>
  <c r="J12" i="7"/>
  <c r="G43" i="7"/>
  <c r="B43" i="7"/>
  <c r="G33" i="7"/>
  <c r="B33" i="7"/>
  <c r="B30" i="7"/>
  <c r="G30" i="7"/>
  <c r="J42" i="7"/>
  <c r="E42" i="7"/>
  <c r="I21" i="7"/>
  <c r="B14" i="7"/>
  <c r="G14" i="7"/>
  <c r="G19" i="7"/>
  <c r="B19" i="7"/>
  <c r="G35" i="7"/>
  <c r="B35" i="7"/>
  <c r="G39" i="7"/>
  <c r="B39" i="7"/>
  <c r="D3" i="7"/>
  <c r="J46" i="7"/>
  <c r="E46" i="7"/>
  <c r="E31" i="7"/>
  <c r="J31" i="7"/>
  <c r="E38" i="7"/>
  <c r="J38" i="7"/>
  <c r="E48" i="7"/>
  <c r="J48" i="7"/>
  <c r="D42" i="7"/>
  <c r="I31" i="7"/>
  <c r="C15" i="7"/>
  <c r="Q15" i="7" s="1"/>
  <c r="H11" i="7"/>
  <c r="E8" i="7"/>
  <c r="J8" i="7"/>
  <c r="J13" i="7"/>
  <c r="E13" i="7"/>
  <c r="S13" i="7" s="1"/>
  <c r="E10" i="7"/>
  <c r="S10" i="7" s="1"/>
  <c r="J10" i="7"/>
  <c r="J33" i="7"/>
  <c r="E33" i="7"/>
  <c r="C41" i="7"/>
  <c r="B38" i="7"/>
  <c r="C6" i="12" s="1"/>
  <c r="G38" i="7"/>
  <c r="G31" i="7"/>
  <c r="B31" i="7"/>
  <c r="B24" i="7"/>
  <c r="P24" i="7" s="1"/>
  <c r="G24" i="7"/>
  <c r="B28" i="7"/>
  <c r="P28" i="7" s="1"/>
  <c r="G28" i="7"/>
  <c r="B45" i="7"/>
  <c r="G45" i="7"/>
  <c r="D37" i="7"/>
  <c r="J50" i="7"/>
  <c r="E50" i="7"/>
  <c r="J24" i="7"/>
  <c r="E24" i="7"/>
  <c r="S24" i="7" s="1"/>
  <c r="E34" i="7"/>
  <c r="J34" i="7"/>
  <c r="H19" i="7"/>
  <c r="G18" i="7"/>
  <c r="B18" i="7"/>
  <c r="M102" i="7" s="1" a="1"/>
  <c r="D16" i="7"/>
  <c r="B6" i="7"/>
  <c r="G6" i="7"/>
  <c r="B9" i="7"/>
  <c r="G9" i="7"/>
  <c r="E23" i="7"/>
  <c r="S23" i="7" s="1"/>
  <c r="J23" i="7"/>
  <c r="J28" i="7"/>
  <c r="E28" i="7"/>
  <c r="S28" i="7" s="1"/>
  <c r="C7" i="7"/>
  <c r="G49" i="7"/>
  <c r="B49" i="7"/>
  <c r="G40" i="7"/>
  <c r="B40" i="7"/>
  <c r="G5" i="7"/>
  <c r="B5" i="7"/>
  <c r="B27" i="7"/>
  <c r="P27" i="7" s="1"/>
  <c r="G27" i="7"/>
  <c r="B7" i="7"/>
  <c r="G7" i="7"/>
  <c r="I10" i="7"/>
  <c r="C36" i="7"/>
  <c r="D19" i="7"/>
  <c r="E36" i="7"/>
  <c r="J36" i="7"/>
  <c r="J41" i="7"/>
  <c r="E41" i="7"/>
  <c r="J15" i="7"/>
  <c r="E15" i="7"/>
  <c r="S15" i="7" s="1"/>
  <c r="J30" i="7"/>
  <c r="E30" i="7"/>
  <c r="C29" i="7"/>
  <c r="J18" i="7"/>
  <c r="E18" i="7"/>
  <c r="S18" i="7" s="1"/>
  <c r="J25" i="7"/>
  <c r="E25" i="7"/>
  <c r="S25" i="7" s="1"/>
  <c r="E16" i="7"/>
  <c r="S16" i="7" s="1"/>
  <c r="J16" i="7"/>
  <c r="J26" i="7"/>
  <c r="E26" i="7"/>
  <c r="S26" i="7" s="1"/>
  <c r="H8" i="7"/>
  <c r="J44" i="7"/>
  <c r="E44" i="7"/>
  <c r="E49" i="7"/>
  <c r="J49" i="7"/>
  <c r="J6" i="7"/>
  <c r="E6" i="7"/>
  <c r="D48" i="7"/>
  <c r="G21" i="7"/>
  <c r="B21" i="7"/>
  <c r="P21" i="7" s="1"/>
  <c r="G23" i="7"/>
  <c r="B23" i="7"/>
  <c r="P23" i="7" s="1"/>
  <c r="B12" i="7"/>
  <c r="G12" i="7"/>
  <c r="G22" i="7"/>
  <c r="B22" i="7"/>
  <c r="P22" i="7" s="1"/>
  <c r="D11" i="7"/>
  <c r="C37" i="7"/>
  <c r="E35" i="7"/>
  <c r="J35" i="7"/>
  <c r="J43" i="7"/>
  <c r="E43" i="7"/>
  <c r="J37" i="7"/>
  <c r="E37" i="7"/>
  <c r="C49" i="7"/>
  <c r="C14" i="7"/>
  <c r="Q14" i="7" s="1"/>
  <c r="I15" i="7"/>
  <c r="I45" i="7"/>
  <c r="J45" i="7"/>
  <c r="E45" i="7"/>
  <c r="H28" i="7"/>
  <c r="H45" i="7"/>
  <c r="B37" i="7"/>
  <c r="G37" i="7"/>
  <c r="B44" i="7"/>
  <c r="G44" i="7"/>
  <c r="B42" i="7"/>
  <c r="G42" i="7"/>
  <c r="G20" i="7"/>
  <c r="B20" i="7"/>
  <c r="P20" i="7" s="1"/>
  <c r="D43" i="7"/>
  <c r="C26" i="7"/>
  <c r="I49" i="7"/>
  <c r="E19" i="7"/>
  <c r="S19" i="7" s="1"/>
  <c r="J19" i="7"/>
  <c r="J7" i="7"/>
  <c r="E7" i="7"/>
  <c r="J17" i="7"/>
  <c r="E17" i="7"/>
  <c r="S17" i="7" s="1"/>
  <c r="E14" i="7"/>
  <c r="S14" i="7" s="1"/>
  <c r="J14" i="7"/>
  <c r="I13" i="7"/>
  <c r="I33" i="7"/>
  <c r="E5" i="7"/>
  <c r="C8" i="8" s="1"/>
  <c r="J5" i="7"/>
  <c r="G17" i="7"/>
  <c r="B17" i="7"/>
  <c r="B32" i="7"/>
  <c r="G32" i="7"/>
  <c r="B8" i="7"/>
  <c r="G8" i="7"/>
  <c r="I36" i="7"/>
  <c r="I8" i="7"/>
  <c r="G10" i="7"/>
  <c r="B10" i="7"/>
  <c r="G34" i="7"/>
  <c r="B34" i="7"/>
  <c r="J27" i="7"/>
  <c r="E27" i="7"/>
  <c r="S27" i="7" s="1"/>
  <c r="J39" i="7"/>
  <c r="E39" i="7"/>
  <c r="E3" i="7"/>
  <c r="H38" i="7"/>
  <c r="H31" i="7"/>
  <c r="C6" i="7"/>
  <c r="D34" i="7"/>
  <c r="I27" i="7"/>
  <c r="C40" i="7"/>
  <c r="G36" i="7"/>
  <c r="B36" i="7"/>
  <c r="B26" i="7"/>
  <c r="G26" i="7"/>
  <c r="B4" i="7"/>
  <c r="B50" i="7"/>
  <c r="G50" i="7"/>
  <c r="G16" i="7"/>
  <c r="B16" i="7"/>
  <c r="M100" i="7" s="1" a="1"/>
  <c r="G29" i="7"/>
  <c r="B29" i="7"/>
  <c r="B25" i="7"/>
  <c r="P25" i="7" s="1"/>
  <c r="G25" i="7"/>
  <c r="G46" i="7"/>
  <c r="B46" i="7"/>
  <c r="B41" i="7"/>
  <c r="G41" i="7"/>
  <c r="J21" i="7"/>
  <c r="E21" i="7"/>
  <c r="S21" i="7" s="1"/>
  <c r="E32" i="7"/>
  <c r="J32" i="7"/>
  <c r="J4" i="7"/>
  <c r="E4" i="7"/>
  <c r="E9" i="7"/>
  <c r="S9" i="7" s="1"/>
  <c r="J9" i="7"/>
  <c r="J47" i="7"/>
  <c r="E47" i="7"/>
  <c r="T105" i="7" l="1" a="1"/>
  <c r="S105" i="7"/>
  <c r="R105" i="7" a="1"/>
  <c r="N105" i="7"/>
  <c r="M105" i="7" a="1"/>
  <c r="Q69" i="7" a="1"/>
  <c r="M92" i="7" a="1"/>
  <c r="Q66" i="7" a="1"/>
  <c r="R66" i="7" s="1"/>
  <c r="N80" i="7" s="1"/>
  <c r="M89" i="7" a="1"/>
  <c r="Q70" i="7" a="1"/>
  <c r="M93" i="7" a="1"/>
  <c r="Q74" i="7" a="1"/>
  <c r="M97" i="7" a="1"/>
  <c r="Q73" i="7" a="1"/>
  <c r="M96" i="7" a="1"/>
  <c r="Q65" i="7" a="1"/>
  <c r="R65" i="7" s="1"/>
  <c r="M88" i="7" a="1"/>
  <c r="M104" i="7" a="1"/>
  <c r="Q67" i="7" a="1"/>
  <c r="M90" i="7" a="1"/>
  <c r="M103" i="7" a="1"/>
  <c r="Q72" i="7" a="1"/>
  <c r="M95" i="7" a="1"/>
  <c r="M101" i="7" a="1"/>
  <c r="M87" i="7" a="1"/>
  <c r="Q68" i="7" a="1"/>
  <c r="M91" i="7" a="1"/>
  <c r="Q71" i="7" a="1"/>
  <c r="M94" i="7" a="1"/>
  <c r="Q75" i="7" a="1"/>
  <c r="M98" i="7" a="1"/>
  <c r="P10" i="7"/>
  <c r="P18" i="7"/>
  <c r="P14" i="7"/>
  <c r="P11" i="7"/>
  <c r="P12" i="7"/>
  <c r="C5" i="8"/>
  <c r="P9" i="7"/>
  <c r="P13" i="7"/>
  <c r="P15" i="7"/>
  <c r="B5" i="8"/>
  <c r="P16" i="7"/>
  <c r="P19" i="7"/>
  <c r="P17" i="7"/>
  <c r="R64" i="7"/>
  <c r="R19" i="7"/>
  <c r="R11" i="7"/>
  <c r="R10" i="7"/>
  <c r="R46" i="7"/>
  <c r="Q46" i="7"/>
  <c r="P46" i="7"/>
  <c r="O46" i="7"/>
  <c r="N46" i="7"/>
  <c r="M46" i="7"/>
  <c r="R12" i="7"/>
  <c r="N32" i="7"/>
  <c r="C7" i="8"/>
  <c r="R14" i="7"/>
  <c r="A56" i="7"/>
  <c r="R47" i="7"/>
  <c r="Q47" i="7"/>
  <c r="P47" i="7"/>
  <c r="O47" i="7"/>
  <c r="N47" i="7"/>
  <c r="M47" i="7"/>
  <c r="R9" i="7"/>
  <c r="R15" i="7"/>
  <c r="R16" i="7"/>
  <c r="R13" i="7"/>
  <c r="R44" i="7"/>
  <c r="Q44" i="7"/>
  <c r="P44" i="7"/>
  <c r="O44" i="7"/>
  <c r="N44" i="7"/>
  <c r="M44" i="7"/>
  <c r="M48" i="7" s="1"/>
  <c r="R45" i="7"/>
  <c r="Q45" i="7"/>
  <c r="P45" i="7"/>
  <c r="O45" i="7"/>
  <c r="N45" i="7"/>
  <c r="M45" i="7"/>
  <c r="R17" i="7"/>
  <c r="L106" i="7"/>
  <c r="M32" i="7"/>
  <c r="N81" i="7" s="1"/>
  <c r="O32" i="7"/>
  <c r="O33" i="7"/>
  <c r="M33" i="7"/>
  <c r="N33" i="7"/>
  <c r="O35" i="7"/>
  <c r="N35" i="7"/>
  <c r="M35" i="7"/>
  <c r="N34" i="7"/>
  <c r="M34" i="7"/>
  <c r="O34" i="7"/>
  <c r="D7" i="8"/>
  <c r="R8" i="7"/>
  <c r="D5" i="8"/>
  <c r="P8" i="7"/>
  <c r="B5" i="4"/>
  <c r="E5" i="8" s="1"/>
  <c r="D8" i="8"/>
  <c r="S8" i="7"/>
  <c r="B8" i="12"/>
  <c r="R26" i="7"/>
  <c r="B6" i="12"/>
  <c r="P26" i="7"/>
  <c r="B7" i="12"/>
  <c r="Q26" i="7"/>
  <c r="D6" i="8"/>
  <c r="Q8" i="7"/>
  <c r="B7" i="8"/>
  <c r="A57" i="7"/>
  <c r="A58" i="7"/>
  <c r="B8" i="8"/>
  <c r="E7" i="4"/>
  <c r="F7" i="8" s="1"/>
  <c r="B6" i="8"/>
  <c r="B6" i="4"/>
  <c r="E6" i="8" s="1"/>
  <c r="C5" i="4"/>
  <c r="D6" i="4"/>
  <c r="D7" i="4"/>
  <c r="E6" i="4"/>
  <c r="F6" i="8" s="1"/>
  <c r="B7" i="4"/>
  <c r="E7" i="8" s="1"/>
  <c r="C6" i="4"/>
  <c r="E8" i="4"/>
  <c r="F8" i="8" s="1"/>
  <c r="C7" i="4"/>
  <c r="B8" i="4"/>
  <c r="E8" i="8" s="1"/>
  <c r="E5" i="4"/>
  <c r="F5" i="8" s="1"/>
  <c r="C8" i="4"/>
  <c r="D5" i="4"/>
  <c r="D8" i="4"/>
  <c r="N79" i="7" l="1"/>
  <c r="P99" i="7" s="1"/>
  <c r="S106" i="7"/>
  <c r="T106" i="7" a="1"/>
  <c r="R106" i="7" a="1"/>
  <c r="N106" i="7"/>
  <c r="M106" i="7" a="1"/>
  <c r="N82" i="7"/>
  <c r="Q105" i="7"/>
  <c r="W105" i="7" s="1"/>
  <c r="Q96" i="7"/>
  <c r="W96" i="7" s="1"/>
  <c r="Q92" i="7"/>
  <c r="W92" i="7" s="1"/>
  <c r="Q93" i="7"/>
  <c r="W93" i="7" s="1"/>
  <c r="Q97" i="7"/>
  <c r="W97" i="7" s="1"/>
  <c r="Q98" i="7"/>
  <c r="W98" i="7" s="1"/>
  <c r="Q104" i="7"/>
  <c r="W104" i="7" s="1"/>
  <c r="Q99" i="7"/>
  <c r="Q101" i="7"/>
  <c r="W101" i="7" s="1"/>
  <c r="Q100" i="7"/>
  <c r="W100" i="7" s="1"/>
  <c r="Q87" i="7"/>
  <c r="Q94" i="7"/>
  <c r="W94" i="7" s="1"/>
  <c r="Q102" i="7"/>
  <c r="W102" i="7" s="1"/>
  <c r="Q95" i="7"/>
  <c r="W95" i="7" s="1"/>
  <c r="Q88" i="7"/>
  <c r="W88" i="7" s="1"/>
  <c r="Q90" i="7"/>
  <c r="W90" i="7" s="1"/>
  <c r="Q91" i="7"/>
  <c r="W91" i="7" s="1"/>
  <c r="Q89" i="7"/>
  <c r="W89" i="7" s="1"/>
  <c r="Q103" i="7"/>
  <c r="W103" i="7" s="1"/>
  <c r="N154" i="7"/>
  <c r="O154" i="7" s="1"/>
  <c r="O79" i="7"/>
  <c r="O78" i="7"/>
  <c r="N78" i="7"/>
  <c r="O80" i="7"/>
  <c r="R48" i="7"/>
  <c r="N48" i="7"/>
  <c r="O48" i="7"/>
  <c r="P48" i="7"/>
  <c r="Q48" i="7"/>
  <c r="P35" i="7"/>
  <c r="P33" i="7"/>
  <c r="P32" i="7"/>
  <c r="P34" i="7"/>
  <c r="L107" i="7"/>
  <c r="I5" i="4"/>
  <c r="G5" i="8" s="1"/>
  <c r="G6" i="4"/>
  <c r="H6" i="8" s="1"/>
  <c r="F8" i="4"/>
  <c r="H7" i="4"/>
  <c r="I7" i="8" s="1"/>
  <c r="I7" i="4"/>
  <c r="G7" i="8" s="1"/>
  <c r="G5" i="4"/>
  <c r="H5" i="8" s="1"/>
  <c r="G8" i="4"/>
  <c r="H8" i="8" s="1"/>
  <c r="F5" i="4"/>
  <c r="F7" i="4"/>
  <c r="I8" i="4"/>
  <c r="G8" i="8" s="1"/>
  <c r="H8" i="4"/>
  <c r="I8" i="8" s="1"/>
  <c r="F6" i="4"/>
  <c r="I6" i="4"/>
  <c r="G6" i="8" s="1"/>
  <c r="H6" i="4"/>
  <c r="I6" i="8" s="1"/>
  <c r="G7" i="4"/>
  <c r="H7" i="8" s="1"/>
  <c r="H5" i="4"/>
  <c r="I5" i="8" s="1"/>
  <c r="P97" i="7" l="1"/>
  <c r="V97" i="7" s="1"/>
  <c r="P104" i="7"/>
  <c r="V104" i="7" s="1"/>
  <c r="P103" i="7"/>
  <c r="V103" i="7" s="1"/>
  <c r="P88" i="7"/>
  <c r="V88" i="7" s="1"/>
  <c r="P93" i="7"/>
  <c r="V93" i="7" s="1"/>
  <c r="P102" i="7"/>
  <c r="V102" i="7" s="1"/>
  <c r="P98" i="7"/>
  <c r="V98" i="7" s="1"/>
  <c r="P105" i="7"/>
  <c r="V105" i="7" s="1"/>
  <c r="P90" i="7"/>
  <c r="V90" i="7" s="1"/>
  <c r="P106" i="7"/>
  <c r="V106" i="7" s="1"/>
  <c r="P100" i="7"/>
  <c r="V100" i="7" s="1"/>
  <c r="P95" i="7"/>
  <c r="V95" i="7" s="1"/>
  <c r="P96" i="7"/>
  <c r="V96" i="7" s="1"/>
  <c r="P89" i="7"/>
  <c r="V89" i="7" s="1"/>
  <c r="P94" i="7"/>
  <c r="V94" i="7" s="1"/>
  <c r="P91" i="7"/>
  <c r="V91" i="7" s="1"/>
  <c r="P92" i="7"/>
  <c r="V92" i="7" s="1"/>
  <c r="P101" i="7"/>
  <c r="V101" i="7" s="1"/>
  <c r="P87" i="7"/>
  <c r="V87" i="7" s="1"/>
  <c r="W99" i="7"/>
  <c r="T107" i="7" a="1"/>
  <c r="S107" i="7"/>
  <c r="R107" i="7" a="1"/>
  <c r="N107" i="7"/>
  <c r="M107" i="7" a="1"/>
  <c r="O107" i="7" s="1"/>
  <c r="V99" i="7"/>
  <c r="W87" i="7"/>
  <c r="P138" i="7"/>
  <c r="Q138" i="7" s="1"/>
  <c r="Q106" i="7"/>
  <c r="W106" i="7" s="1"/>
  <c r="O89" i="7"/>
  <c r="U89" i="7" s="1"/>
  <c r="O91" i="7"/>
  <c r="U91" i="7" s="1"/>
  <c r="O106" i="7"/>
  <c r="U106" i="7" s="1"/>
  <c r="O90" i="7"/>
  <c r="U90" i="7" s="1"/>
  <c r="O105" i="7"/>
  <c r="U105" i="7" s="1"/>
  <c r="O104" i="7"/>
  <c r="U104" i="7" s="1"/>
  <c r="O87" i="7"/>
  <c r="U87" i="7" s="1"/>
  <c r="O95" i="7"/>
  <c r="U95" i="7" s="1"/>
  <c r="O101" i="7"/>
  <c r="U101" i="7" s="1"/>
  <c r="O96" i="7"/>
  <c r="U96" i="7" s="1"/>
  <c r="O88" i="7"/>
  <c r="U88" i="7" s="1"/>
  <c r="O93" i="7"/>
  <c r="U93" i="7" s="1"/>
  <c r="O94" i="7"/>
  <c r="U94" i="7" s="1"/>
  <c r="O102" i="7"/>
  <c r="U102" i="7" s="1"/>
  <c r="O98" i="7"/>
  <c r="U98" i="7" s="1"/>
  <c r="O99" i="7"/>
  <c r="U99" i="7" s="1"/>
  <c r="O97" i="7"/>
  <c r="U97" i="7" s="1"/>
  <c r="O103" i="7"/>
  <c r="U103" i="7" s="1"/>
  <c r="O92" i="7"/>
  <c r="U92" i="7" s="1"/>
  <c r="O100" i="7"/>
  <c r="U100" i="7" s="1"/>
  <c r="L108" i="7"/>
  <c r="O138" i="7" l="1"/>
  <c r="U107" i="7"/>
  <c r="Q107" i="7"/>
  <c r="W107" i="7" s="1"/>
  <c r="P107" i="7"/>
  <c r="P154" i="7"/>
  <c r="Q154" i="7" s="1"/>
  <c r="S138" i="7"/>
  <c r="T138" i="7" s="1"/>
  <c r="T108" i="7" a="1"/>
  <c r="S108" i="7"/>
  <c r="N108" i="7"/>
  <c r="M108" i="7" a="1"/>
  <c r="R108" i="7" a="1"/>
  <c r="N138" i="7"/>
  <c r="L109" i="7"/>
  <c r="Q108" i="7" l="1"/>
  <c r="P108" i="7"/>
  <c r="V108" i="7" s="1"/>
  <c r="O108" i="7"/>
  <c r="T109" i="7" a="1"/>
  <c r="S109" i="7"/>
  <c r="N109" i="7"/>
  <c r="M109" i="7" a="1"/>
  <c r="R109" i="7" a="1"/>
  <c r="V107" i="7"/>
  <c r="L110" i="7"/>
  <c r="T110" i="7" l="1" a="1"/>
  <c r="S110" i="7"/>
  <c r="R110" i="7" a="1"/>
  <c r="N110" i="7"/>
  <c r="M110" i="7" a="1"/>
  <c r="P109" i="7"/>
  <c r="Q109" i="7"/>
  <c r="W109" i="7" s="1"/>
  <c r="O109" i="7"/>
  <c r="U109" i="7" s="1"/>
  <c r="U108" i="7"/>
  <c r="W108" i="7"/>
  <c r="L111" i="7"/>
  <c r="S111" i="7" l="1"/>
  <c r="T111" i="7" a="1"/>
  <c r="N111" i="7"/>
  <c r="M111" i="7" a="1"/>
  <c r="R111" i="7" a="1"/>
  <c r="V109" i="7"/>
  <c r="P110" i="7"/>
  <c r="V110" i="7" s="1"/>
  <c r="Q110" i="7"/>
  <c r="O110" i="7"/>
  <c r="U110" i="7" s="1"/>
  <c r="N155" i="7"/>
  <c r="O155" i="7" s="1"/>
  <c r="L112" i="7"/>
  <c r="W110" i="7" l="1"/>
  <c r="P139" i="7"/>
  <c r="Q139" i="7" s="1"/>
  <c r="O139" i="7"/>
  <c r="N139" i="7"/>
  <c r="Q111" i="7"/>
  <c r="P111" i="7"/>
  <c r="O111" i="7"/>
  <c r="T112" i="7" a="1"/>
  <c r="S112" i="7"/>
  <c r="M112" i="7" a="1"/>
  <c r="R112" i="7" a="1"/>
  <c r="N112" i="7"/>
  <c r="L113" i="7"/>
  <c r="Q112" i="7" l="1"/>
  <c r="W112" i="7" s="1"/>
  <c r="P112" i="7"/>
  <c r="V112" i="7" s="1"/>
  <c r="O112" i="7"/>
  <c r="U112" i="7" s="1"/>
  <c r="U111" i="7"/>
  <c r="V111" i="7"/>
  <c r="W111" i="7"/>
  <c r="T113" i="7" a="1"/>
  <c r="S113" i="7"/>
  <c r="R113" i="7" a="1"/>
  <c r="N113" i="7"/>
  <c r="M113" i="7" a="1"/>
  <c r="S139" i="7"/>
  <c r="P155" i="7"/>
  <c r="Q155" i="7" s="1"/>
  <c r="L114" i="7"/>
  <c r="R139" i="7" l="1"/>
  <c r="T139" i="7"/>
  <c r="T114" i="7" a="1"/>
  <c r="S114" i="7"/>
  <c r="R114" i="7" a="1"/>
  <c r="N114" i="7"/>
  <c r="M114" i="7" a="1"/>
  <c r="P113" i="7"/>
  <c r="Q113" i="7"/>
  <c r="O113" i="7"/>
  <c r="L115" i="7"/>
  <c r="P114" i="7" l="1"/>
  <c r="V114" i="7" s="1"/>
  <c r="Q114" i="7"/>
  <c r="W114" i="7" s="1"/>
  <c r="O114" i="7"/>
  <c r="U114" i="7" s="1"/>
  <c r="W113" i="7"/>
  <c r="V113" i="7"/>
  <c r="T115" i="7" a="1"/>
  <c r="S115" i="7"/>
  <c r="R115" i="7" a="1"/>
  <c r="N115" i="7"/>
  <c r="M115" i="7" a="1"/>
  <c r="U113" i="7"/>
  <c r="L116" i="7"/>
  <c r="T116" i="7" l="1" a="1"/>
  <c r="S116" i="7"/>
  <c r="R116" i="7" a="1"/>
  <c r="N116" i="7"/>
  <c r="M116" i="7" a="1"/>
  <c r="P115" i="7"/>
  <c r="V115" i="7" s="1"/>
  <c r="Q115" i="7"/>
  <c r="W115" i="7" s="1"/>
  <c r="O115" i="7"/>
  <c r="U115" i="7" s="1"/>
  <c r="L117" i="7"/>
  <c r="Q116" i="7" l="1"/>
  <c r="W116" i="7" s="1"/>
  <c r="P116" i="7"/>
  <c r="V116" i="7" s="1"/>
  <c r="O116" i="7"/>
  <c r="T117" i="7" a="1"/>
  <c r="S117" i="7"/>
  <c r="R117" i="7" a="1"/>
  <c r="N117" i="7"/>
  <c r="M117" i="7" a="1"/>
  <c r="L118" i="7"/>
  <c r="T118" i="7" l="1" a="1"/>
  <c r="S118" i="7"/>
  <c r="R118" i="7" a="1"/>
  <c r="N118" i="7"/>
  <c r="M118" i="7" a="1"/>
  <c r="P117" i="7"/>
  <c r="Q117" i="7"/>
  <c r="O117" i="7"/>
  <c r="U117" i="7" s="1"/>
  <c r="U116" i="7"/>
  <c r="L119" i="7"/>
  <c r="T119" i="7" l="1" a="1"/>
  <c r="S119" i="7"/>
  <c r="R119" i="7" a="1"/>
  <c r="N119" i="7"/>
  <c r="M119" i="7" a="1"/>
  <c r="W117" i="7"/>
  <c r="V117" i="7"/>
  <c r="P118" i="7"/>
  <c r="V118" i="7" s="1"/>
  <c r="Q118" i="7"/>
  <c r="W118" i="7" s="1"/>
  <c r="O118" i="7"/>
  <c r="L120" i="7"/>
  <c r="T120" i="7" l="1" a="1"/>
  <c r="S120" i="7"/>
  <c r="N120" i="7"/>
  <c r="M120" i="7" a="1"/>
  <c r="R120" i="7" a="1"/>
  <c r="U118" i="7"/>
  <c r="Q119" i="7"/>
  <c r="W119" i="7" s="1"/>
  <c r="P119" i="7"/>
  <c r="V119" i="7" s="1"/>
  <c r="O119" i="7"/>
  <c r="U119" i="7" s="1"/>
  <c r="L121" i="7"/>
  <c r="Q120" i="7" l="1"/>
  <c r="W120" i="7" s="1"/>
  <c r="P120" i="7"/>
  <c r="V120" i="7" s="1"/>
  <c r="O120" i="7"/>
  <c r="U120" i="7" s="1"/>
  <c r="T121" i="7" a="1"/>
  <c r="S121" i="7"/>
  <c r="R121" i="7" a="1"/>
  <c r="N121" i="7"/>
  <c r="M121" i="7" a="1"/>
  <c r="L122" i="7"/>
  <c r="T122" i="7" l="1" a="1"/>
  <c r="S122" i="7"/>
  <c r="R122" i="7" a="1"/>
  <c r="N122" i="7"/>
  <c r="M122" i="7" a="1"/>
  <c r="P121" i="7"/>
  <c r="V121" i="7" s="1"/>
  <c r="Q121" i="7"/>
  <c r="W121" i="7" s="1"/>
  <c r="O121" i="7"/>
  <c r="U121" i="7" s="1"/>
  <c r="L123" i="7"/>
  <c r="S123" i="7" l="1"/>
  <c r="T123" i="7" a="1"/>
  <c r="N123" i="7"/>
  <c r="R123" i="7" a="1"/>
  <c r="M123" i="7" a="1"/>
  <c r="P122" i="7"/>
  <c r="Q122" i="7"/>
  <c r="O122" i="7"/>
  <c r="N156" i="7"/>
  <c r="O156" i="7" s="1"/>
  <c r="L124" i="7"/>
  <c r="S124" i="7" l="1"/>
  <c r="T124" i="7" a="1"/>
  <c r="R124" i="7" a="1"/>
  <c r="N124" i="7"/>
  <c r="M124" i="7" a="1"/>
  <c r="U122" i="7"/>
  <c r="N140" i="7"/>
  <c r="W122" i="7"/>
  <c r="P140" i="7"/>
  <c r="Q140" i="7" s="1"/>
  <c r="V122" i="7"/>
  <c r="O140" i="7"/>
  <c r="P123" i="7"/>
  <c r="Q123" i="7"/>
  <c r="O123" i="7"/>
  <c r="L125" i="7"/>
  <c r="S140" i="7" l="1"/>
  <c r="P156" i="7"/>
  <c r="Q156" i="7" s="1"/>
  <c r="Q124" i="7"/>
  <c r="W124" i="7" s="1"/>
  <c r="P124" i="7"/>
  <c r="V124" i="7" s="1"/>
  <c r="O124" i="7"/>
  <c r="U124" i="7" s="1"/>
  <c r="S125" i="7"/>
  <c r="T125" i="7" a="1"/>
  <c r="R125" i="7" a="1"/>
  <c r="N125" i="7"/>
  <c r="M125" i="7" a="1"/>
  <c r="U123" i="7"/>
  <c r="W123" i="7"/>
  <c r="V123" i="7"/>
  <c r="L126" i="7"/>
  <c r="S126" i="7" l="1"/>
  <c r="T126" i="7" a="1"/>
  <c r="R126" i="7" a="1"/>
  <c r="N126" i="7"/>
  <c r="M126" i="7" a="1"/>
  <c r="Q125" i="7"/>
  <c r="W125" i="7" s="1"/>
  <c r="P125" i="7"/>
  <c r="O125" i="7"/>
  <c r="R140" i="7"/>
  <c r="T140" i="7"/>
  <c r="L127" i="7"/>
  <c r="S127" i="7" l="1"/>
  <c r="T127" i="7" a="1"/>
  <c r="R127" i="7" a="1"/>
  <c r="N127" i="7"/>
  <c r="M127" i="7" a="1"/>
  <c r="P126" i="7"/>
  <c r="V126" i="7" s="1"/>
  <c r="Q126" i="7"/>
  <c r="O126" i="7"/>
  <c r="U126" i="7" s="1"/>
  <c r="U125" i="7"/>
  <c r="V125" i="7"/>
  <c r="L128" i="7"/>
  <c r="P127" i="7" l="1"/>
  <c r="Q127" i="7"/>
  <c r="W127" i="7" s="1"/>
  <c r="O127" i="7"/>
  <c r="W126" i="7"/>
  <c r="S128" i="7"/>
  <c r="T128" i="7" a="1"/>
  <c r="R128" i="7" a="1"/>
  <c r="N128" i="7"/>
  <c r="M128" i="7" a="1"/>
  <c r="L129" i="7"/>
  <c r="S129" i="7" l="1"/>
  <c r="T129" i="7" a="1"/>
  <c r="R129" i="7" a="1"/>
  <c r="N129" i="7"/>
  <c r="M129" i="7" a="1"/>
  <c r="Q128" i="7"/>
  <c r="P128" i="7"/>
  <c r="V128" i="7" s="1"/>
  <c r="O128" i="7"/>
  <c r="U128" i="7" s="1"/>
  <c r="U127" i="7"/>
  <c r="V127" i="7"/>
  <c r="L130" i="7"/>
  <c r="W128" i="7" l="1"/>
  <c r="S130" i="7"/>
  <c r="T130" i="7" a="1"/>
  <c r="R130" i="7" a="1"/>
  <c r="N130" i="7"/>
  <c r="M130" i="7" a="1"/>
  <c r="P129" i="7"/>
  <c r="V129" i="7" s="1"/>
  <c r="Q129" i="7"/>
  <c r="W129" i="7" s="1"/>
  <c r="O129" i="7"/>
  <c r="L131" i="7"/>
  <c r="T131" i="7" l="1" a="1"/>
  <c r="S131" i="7"/>
  <c r="R131" i="7" a="1"/>
  <c r="N131" i="7"/>
  <c r="M131" i="7" a="1"/>
  <c r="U129" i="7"/>
  <c r="Q130" i="7"/>
  <c r="W130" i="7" s="1"/>
  <c r="P130" i="7"/>
  <c r="O130" i="7"/>
  <c r="U130" i="7" s="1"/>
  <c r="L132" i="7"/>
  <c r="Q131" i="7" l="1"/>
  <c r="W131" i="7" s="1"/>
  <c r="P131" i="7"/>
  <c r="V131" i="7" s="1"/>
  <c r="O131" i="7"/>
  <c r="U131" i="7" s="1"/>
  <c r="V130" i="7"/>
  <c r="T132" i="7" a="1"/>
  <c r="S132" i="7"/>
  <c r="N132" i="7"/>
  <c r="R132" i="7" a="1"/>
  <c r="M132" i="7" a="1"/>
  <c r="L133" i="7"/>
  <c r="Q132" i="7" l="1"/>
  <c r="W132" i="7" s="1"/>
  <c r="P132" i="7"/>
  <c r="V132" i="7" s="1"/>
  <c r="O132" i="7"/>
  <c r="U132" i="7" s="1"/>
  <c r="T133" i="7" a="1"/>
  <c r="S133" i="7"/>
  <c r="R133" i="7" a="1"/>
  <c r="N133" i="7"/>
  <c r="M133" i="7" a="1"/>
  <c r="L134" i="7"/>
  <c r="Q133" i="7" l="1"/>
  <c r="W133" i="7" s="1"/>
  <c r="P133" i="7"/>
  <c r="V133" i="7" s="1"/>
  <c r="O133" i="7"/>
  <c r="U133" i="7" s="1"/>
  <c r="T134" i="7" a="1"/>
  <c r="S134" i="7"/>
  <c r="R134" i="7" a="1"/>
  <c r="N134" i="7"/>
  <c r="M134" i="7" a="1"/>
  <c r="Q134" i="7" l="1"/>
  <c r="P134" i="7"/>
  <c r="O134" i="7"/>
  <c r="N157" i="7"/>
  <c r="O157" i="7" s="1"/>
  <c r="U134" i="7" l="1"/>
  <c r="N141" i="7"/>
  <c r="V134" i="7"/>
  <c r="O141" i="7"/>
  <c r="W134" i="7"/>
  <c r="P141" i="7"/>
  <c r="Q141" i="7" s="1"/>
  <c r="P157" i="7" l="1"/>
  <c r="Q157" i="7" s="1"/>
  <c r="S141" i="7"/>
  <c r="R141" i="7" l="1"/>
  <c r="T14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 cho</author>
  </authors>
  <commentList>
    <comment ref="M57" authorId="0" shapeId="0" xr:uid="{70371A48-FB9E-4225-B5DC-AA340C21FD12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0/1/2/3+ = 개별 그룹 곡선.
평균 = 그룹0·1·2의 단순평균 곡선 (그룹3+ 제외). 매장수 가중이 아닌 단순평균이며, m6~36 회귀 기울기·절편도 세 그룹의 단순평균과 정확히 일치함(회귀는 y에 대해 선형).</t>
        </r>
      </text>
    </comment>
    <comment ref="M58" authorId="0" shapeId="0" xr:uid="{9771EA00-A0CB-49B4-98AE-056A49338286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오픈한 달을 날짜로 입력 (예: 2026-03-01). 이 달이 M0이 되고, M1은 그 다음 달로 자동 산정된다. 별려두면 시즈널지수가 전부 100(보정 없음)으로 동작한다.</t>
        </r>
      </text>
    </comment>
    <comment ref="M59" authorId="0" shapeId="0" xr:uid="{1627114B-BBD5-48ED-94F2-A548B7069659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Y: 오픈월(M58)에 맞춰 요약_월별시즈널리티!F7:F18 지수를 적용.
N: 시즈널지수를 모두 100으로 처리(보정 없음) — ② 역산과 ④ 시즈널반영 열이 탈시즈널과 동일해짐.</t>
        </r>
      </text>
    </comment>
    <comment ref="N63" authorId="0" shapeId="0" xr:uid="{3B8D55E8-F0D7-45AA-A14F-CA71CD86FCE7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오픈달은 부분월(영업일 부족)이고 성장곡선 산출에서도 제외된 구간이라 기준레벨 역산에 사용하지 않음.</t>
        </r>
      </text>
    </comment>
    <comment ref="N78" authorId="0" shapeId="0" xr:uid="{7A74CC04-3C16-4DAD-9AA6-4F4E74DAF036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79" authorId="0" shapeId="0" xr:uid="{B3D4FEED-2D41-4EAB-880D-A9A14F353F1D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80" authorId="0" shapeId="0" xr:uid="{6EEE1BD6-636E-4EDE-98EA-F6D37CE945A8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<sst xmlns="http://schemas.openxmlformats.org/spreadsheetml/2006/main" count="1188" uniqueCount="534">
  <si>
    <t>지점키</t>
  </si>
  <si>
    <t>(0001) 건대점</t>
  </si>
  <si>
    <t>150-1</t>
  </si>
  <si>
    <t>(0002) 인헌점</t>
  </si>
  <si>
    <t>(0003) 구디점</t>
  </si>
  <si>
    <t>150-3</t>
  </si>
  <si>
    <t>(0004) 신림점</t>
  </si>
  <si>
    <t>150-4</t>
  </si>
  <si>
    <t>(0005) 대학점</t>
  </si>
  <si>
    <t>150-2</t>
  </si>
  <si>
    <t>(0006) 서림점</t>
  </si>
  <si>
    <t>(0007) 낙성대점</t>
  </si>
  <si>
    <t>(0008) 트리하우스점</t>
  </si>
  <si>
    <t>(0009) 신원점</t>
  </si>
  <si>
    <t>150-0</t>
  </si>
  <si>
    <t>(0010) 별빛거리점</t>
  </si>
  <si>
    <t>(0011) 천안성정공원점</t>
  </si>
  <si>
    <t>(0012) 우송대북문점</t>
  </si>
  <si>
    <t>(0013) 구의역파워점</t>
  </si>
  <si>
    <t>(0014) 수원서둔골드점</t>
  </si>
  <si>
    <t>(1001) #화곡점</t>
  </si>
  <si>
    <t>(1002) #신대방점</t>
  </si>
  <si>
    <t>(1003) #샤로수점</t>
  </si>
  <si>
    <t>(1004) #서울대입구점</t>
  </si>
  <si>
    <t>(1005) #쑥고개점</t>
  </si>
  <si>
    <t>(1006) #회기점</t>
  </si>
  <si>
    <t>(1007) #구의점</t>
  </si>
  <si>
    <t>(1008) #개포드림웍스점</t>
  </si>
  <si>
    <t>(1009) #진시스장항점</t>
  </si>
  <si>
    <t>(1010) #삼전엠케이점</t>
  </si>
  <si>
    <t>(1011) #신길점</t>
  </si>
  <si>
    <t>(1012) #석촌점</t>
  </si>
  <si>
    <t>(1013) #방이점</t>
  </si>
  <si>
    <t>(1014) #자곡점</t>
  </si>
  <si>
    <t>(1015) #사당점</t>
  </si>
  <si>
    <t>(1016) #가산점</t>
  </si>
  <si>
    <t>(1017) #마곡점</t>
  </si>
  <si>
    <t>(1018) #논현점</t>
  </si>
  <si>
    <t>(1019) #청룡점</t>
  </si>
  <si>
    <t>(1020) #신길삼거리점</t>
  </si>
  <si>
    <t>(1021) #광주전남대점</t>
  </si>
  <si>
    <t>(1022) #서울시립대점</t>
  </si>
  <si>
    <t>(1023) #동탄석우동점</t>
  </si>
  <si>
    <t>(1024) #인헌그린점</t>
  </si>
  <si>
    <t>(1025) #연남점</t>
  </si>
  <si>
    <t>(1026) #신촌점</t>
  </si>
  <si>
    <t>(1027) #가산디지털점</t>
  </si>
  <si>
    <t>(1028) #서림에스제이점</t>
  </si>
  <si>
    <t>(1029) #사당까치점</t>
  </si>
  <si>
    <t>(1030) #노량진점</t>
  </si>
  <si>
    <t>(1032) #이대점</t>
  </si>
  <si>
    <t>(1033) #보라매점</t>
  </si>
  <si>
    <t>(1034) #부천심곡점</t>
  </si>
  <si>
    <t>(1035) #신촌대현점</t>
  </si>
  <si>
    <t>(1036) #낙성대행운점</t>
  </si>
  <si>
    <t>(1037) #신림퍼스트점</t>
  </si>
  <si>
    <t>(1038) #한양여대점</t>
  </si>
  <si>
    <t>(1039) #이문점</t>
  </si>
  <si>
    <t>(1040) #독산역점</t>
  </si>
  <si>
    <t>(1041) #인하대점</t>
  </si>
  <si>
    <t>(1042) #연희점</t>
  </si>
  <si>
    <t>(1043) #고대정문점</t>
  </si>
  <si>
    <t>(1044) #정왕역점</t>
  </si>
  <si>
    <t>(1045) #병점진안점</t>
  </si>
  <si>
    <t>(1046) #인천시청점</t>
  </si>
  <si>
    <t>(1047) #복우물공원점</t>
  </si>
  <si>
    <t>(1048) #라페스타호수점</t>
  </si>
  <si>
    <t>(1049) #천호역점</t>
  </si>
  <si>
    <t>(1050) #라페스타장항점</t>
  </si>
  <si>
    <t>(1051) #오류행복주택점</t>
  </si>
  <si>
    <t>(1052) #길병원사거리점</t>
  </si>
  <si>
    <t>(1053) #인하용현점</t>
  </si>
  <si>
    <t>(1054) #성대율전점</t>
  </si>
  <si>
    <t>(1055) #영통신원뽀송점</t>
  </si>
  <si>
    <t>(1056) #매탄삼성점</t>
  </si>
  <si>
    <t>(1057) #김포구래현대점</t>
  </si>
  <si>
    <t>(1058) #천안상명대점</t>
  </si>
  <si>
    <t>(1059) #평택동삭점</t>
  </si>
  <si>
    <t>(1060) #숭실대중문점</t>
  </si>
  <si>
    <t>(1061) #구로전화국점</t>
  </si>
  <si>
    <t>(1062) #봉천중앙점</t>
  </si>
  <si>
    <t>(1063) #성대후문점</t>
  </si>
  <si>
    <t>(1064) #병점역점</t>
  </si>
  <si>
    <t>(1065) #성대정문점</t>
  </si>
  <si>
    <t>(1066) #원천삼성점</t>
  </si>
  <si>
    <t>(1067) #곡반정파크점</t>
  </si>
  <si>
    <t>(1068) #용현사랑점</t>
  </si>
  <si>
    <t>(1069) #숭실대입구역점</t>
  </si>
  <si>
    <t>(1070) #뉴신림로데오점</t>
  </si>
  <si>
    <t>(1071) #성신정문점</t>
  </si>
  <si>
    <t>(1072) #역삼센터필드점</t>
  </si>
  <si>
    <t>(1073) #고대후문점</t>
  </si>
  <si>
    <t>(1074) #평택용이파크점</t>
  </si>
  <si>
    <t>(1075) #연대동문점</t>
  </si>
  <si>
    <t>(1076) #수원매탄스쿨점</t>
  </si>
  <si>
    <t>(1077) #양청송대공원점</t>
  </si>
  <si>
    <t>(1078) #오창양청파크점</t>
  </si>
  <si>
    <t>(1079) #충북대정문점</t>
  </si>
  <si>
    <t>(1080) #오산대호스쿨점</t>
  </si>
  <si>
    <t>(1081) #등마루증미역점</t>
  </si>
  <si>
    <t>(1082) #천천푸르지오서문점</t>
  </si>
  <si>
    <t>(1083) #신촌창천스쿨점</t>
  </si>
  <si>
    <t>(1084) #신대방삼거리점</t>
  </si>
  <si>
    <t>(1085) #신설동오거리점</t>
  </si>
  <si>
    <t>(1086) #궁동로데오점</t>
  </si>
  <si>
    <t>(1087) #둔산스쿨점</t>
  </si>
  <si>
    <t>(1088) #유성온천점</t>
  </si>
  <si>
    <t>(1089) #경희대정문점</t>
  </si>
  <si>
    <t>(1090) #중앙대후문점</t>
  </si>
  <si>
    <t>(1091) #선릉역점</t>
  </si>
  <si>
    <t>(1092) #신대방역조원점</t>
  </si>
  <si>
    <t>(1093) #영통망포뽀송점</t>
  </si>
  <si>
    <t>(1094) #숙명여대정문점</t>
  </si>
  <si>
    <t>(1095) #상도역점</t>
  </si>
  <si>
    <t>(1096) #논현역점</t>
  </si>
  <si>
    <t>(1097) #궁동한빛점</t>
  </si>
  <si>
    <t>(1098) #공릉역점</t>
  </si>
  <si>
    <t>(1099) #관악샘말점</t>
  </si>
  <si>
    <t>(1100) #신림남부초교점</t>
  </si>
  <si>
    <t>(1101) #강서교차로점</t>
  </si>
  <si>
    <t>(1102) #당산영동초등점</t>
  </si>
  <si>
    <t>(1103) #한양대학로점</t>
  </si>
  <si>
    <t>(1104) #신림신원시장점</t>
  </si>
  <si>
    <t>(1105) #공항시장역점</t>
  </si>
  <si>
    <t>(1106) #아주대씨씨점</t>
  </si>
  <si>
    <t>(1107) #송파거여공원점</t>
  </si>
  <si>
    <t>(1108) #봉천해피점</t>
  </si>
  <si>
    <t>(1109) #서강대남문점</t>
  </si>
  <si>
    <t>(1110) #서림스마일점</t>
  </si>
  <si>
    <t>(1111) #성신후문점</t>
  </si>
  <si>
    <t>(1112) #봉천은천입구점</t>
  </si>
  <si>
    <t>(1113) #우송대삼거리점</t>
  </si>
  <si>
    <t>(1114) #관악초등점</t>
  </si>
  <si>
    <t>(1115) #화곡소나무점</t>
  </si>
  <si>
    <t>(1116) #용현용일초등점</t>
  </si>
  <si>
    <t>(1117) #성신여대역점</t>
  </si>
  <si>
    <t>(1118) #관악원당초교점</t>
  </si>
  <si>
    <t>(1119) #카이스트문지점</t>
  </si>
  <si>
    <t>(1120) #대전용문롯데점</t>
  </si>
  <si>
    <t>(1121) #한강성심병원점</t>
  </si>
  <si>
    <t>(1122) #군자용마초교점</t>
  </si>
  <si>
    <t>(1123) #왕십리도선점</t>
  </si>
  <si>
    <t>(1124) #능동대공원점</t>
  </si>
  <si>
    <t>(1125) #불광역대조점</t>
  </si>
  <si>
    <t>(1126) #창천신촌로점</t>
  </si>
  <si>
    <t>(1127) #수원시청뽀송점</t>
  </si>
  <si>
    <t>(1128) #응암서부점</t>
  </si>
  <si>
    <t>(1129) #간석오거리점</t>
  </si>
  <si>
    <t>(1130) #배재대정문점</t>
  </si>
  <si>
    <t>(1131) #대전백운초교점</t>
  </si>
  <si>
    <t>(1132) #한남대정문점</t>
  </si>
  <si>
    <t>(1133) #원천제이씨점</t>
  </si>
  <si>
    <t>(1134) #인하문화점</t>
  </si>
  <si>
    <t>(1135) #관악미성점</t>
  </si>
  <si>
    <t>(1136) #주안역삼거리점</t>
  </si>
  <si>
    <t>(1137) #서울예대점</t>
  </si>
  <si>
    <t>(0015) 부평더갤러리점</t>
  </si>
  <si>
    <t>(1138) #강원대공대점</t>
  </si>
  <si>
    <t>(1139) #두정메트로점</t>
  </si>
  <si>
    <t>(1140) #대전보건대점</t>
  </si>
  <si>
    <t>경쟁강도</t>
  </si>
  <si>
    <t>경쟁강도</t>
    <phoneticPr fontId="3" type="noConversion"/>
  </si>
  <si>
    <t>오픈일</t>
    <phoneticPr fontId="3" type="noConversion"/>
  </si>
  <si>
    <t>150-1</t>
    <phoneticPr fontId="3" type="noConversion"/>
  </si>
  <si>
    <t>150-5</t>
  </si>
  <si>
    <t>오픈다음달1일</t>
  </si>
  <si>
    <t>오픈다음달1일</t>
    <phoneticPr fontId="3" type="noConversion"/>
  </si>
  <si>
    <t>36M초과</t>
    <phoneticPr fontId="3" type="noConversion"/>
  </si>
  <si>
    <t>48M초과</t>
    <phoneticPr fontId="3" type="noConversion"/>
  </si>
  <si>
    <t>운영개월수</t>
    <phoneticPr fontId="3" type="noConversion"/>
  </si>
  <si>
    <t>36m초과</t>
    <phoneticPr fontId="3" type="noConversion"/>
  </si>
  <si>
    <t>48m초과</t>
    <phoneticPr fontId="3" type="noConversion"/>
  </si>
  <si>
    <t>세탁건조매출</t>
    <phoneticPr fontId="3" type="noConversion"/>
  </si>
  <si>
    <t>월</t>
  </si>
  <si>
    <t>평균 인덱스
(램프업 제외)</t>
  </si>
  <si>
    <t>인덱스 = (해당월 매출 / 매장-연도 평균 매출) × 100, 100=평균</t>
  </si>
  <si>
    <t>제외 매장: 요약_이상치감지 [B] 8개 매장 (3개월 이동평균 -30% 이상 급락)</t>
  </si>
  <si>
    <t>페어 수
(램프업 제외)</t>
  </si>
  <si>
    <t>중앙값 인덱스
(램프업 제외)</t>
  </si>
  <si>
    <t>평균 차이
(제외 − 포함)</t>
  </si>
  <si>
    <t>월별 시즈널리티 인덱스 (이상치 매장 8개 제외)</t>
  </si>
  <si>
    <t>페어 수</t>
  </si>
  <si>
    <t>평균 인덱스</t>
  </si>
  <si>
    <t>중앙값 인덱스</t>
  </si>
  <si>
    <t>* 이 시트는 Calc_매장월인덱스의 AB열(급락매장여부) 플래그를 SUMPRODUCT/AGGREGATE로 참조 — 원본/이상치 리스트가 바뀌면 자동 갱신</t>
  </si>
  <si>
    <t>경쟁사수</t>
  </si>
  <si>
    <t>그룹</t>
  </si>
  <si>
    <t>기준매출(m4-9)</t>
  </si>
  <si>
    <t>3+</t>
  </si>
  <si>
    <t>오픈후개월(m)</t>
    <phoneticPr fontId="3" type="noConversion"/>
  </si>
  <si>
    <t>그룹0(경쟁0)</t>
    <phoneticPr fontId="3" type="noConversion"/>
  </si>
  <si>
    <t>그룹1</t>
    <phoneticPr fontId="3" type="noConversion"/>
  </si>
  <si>
    <t>그룹2</t>
    <phoneticPr fontId="3" type="noConversion"/>
  </si>
  <si>
    <t>그룹3+</t>
    <phoneticPr fontId="3" type="noConversion"/>
  </si>
  <si>
    <t>n0</t>
    <phoneticPr fontId="3" type="noConversion"/>
  </si>
  <si>
    <t>n1</t>
    <phoneticPr fontId="3" type="noConversion"/>
  </si>
  <si>
    <t>n2</t>
    <phoneticPr fontId="3" type="noConversion"/>
  </si>
  <si>
    <t>n3+</t>
    <phoneticPr fontId="3" type="noConversion"/>
  </si>
  <si>
    <t>경쟁강도별 성장곡선 — 점포 기준매출(오픈4~9개월 평균)=100, 탈시즈널·이상치제외 평균지수</t>
  </si>
  <si>
    <t>경쟁강도별 연차별 매출 성장률</t>
  </si>
  <si>
    <t>탈시즈널 지수 기준(기준=오픈 4~9개월 평균=100). 연차 평균지수는 요약_성장곡선의 그룹별 곡선을 12개월씩 평균. 비율은 시즈널리티 제거된 실질 성장률.</t>
  </si>
  <si>
    <t>경쟁강도그룹</t>
  </si>
  <si>
    <t>1년차(m1-12)</t>
  </si>
  <si>
    <t>2년차(m13-24)</t>
  </si>
  <si>
    <t>3년차(m25-36)</t>
  </si>
  <si>
    <t>4년차(m37-48)</t>
  </si>
  <si>
    <t>YoY 2년차</t>
  </si>
  <si>
    <t>YoY 3년차</t>
  </si>
  <si>
    <t>YoY 4년차</t>
  </si>
  <si>
    <t>4년 누적배수</t>
  </si>
  <si>
    <t>경쟁0 (없음)</t>
  </si>
  <si>
    <t>경쟁1</t>
  </si>
  <si>
    <t>경쟁2</t>
  </si>
  <si>
    <t>경쟁3+ (많음)</t>
  </si>
  <si>
    <t>할인 종료 후 이탈 분석 및 오픈할인 권고</t>
  </si>
  <si>
    <t>[1] 경쟁강도별 이탈·잠식 지표 (탈시즈널 지수, 기준=오픈 4~9개월 평균=100)</t>
  </si>
  <si>
    <t>할인기 m1-2</t>
  </si>
  <si>
    <t>할인직후 m3</t>
  </si>
  <si>
    <t>안정기 m6</t>
  </si>
  <si>
    <t>1년차</t>
  </si>
  <si>
    <t>4년차</t>
  </si>
  <si>
    <t>장기 이탈·잠식 판정</t>
  </si>
  <si>
    <t>이탈 거의 없음 — 4년 지속 성장</t>
  </si>
  <si>
    <t>이탈 낮음 — 경쟁0과 사실상 동일한 성장</t>
  </si>
  <si>
    <t>이탈 낮음 — 지속 성장(초기 변동 다소 큼)</t>
  </si>
  <si>
    <t>누적 이탈 높음 — 2년차 정점 후 역성장(잠식)</t>
  </si>
  <si>
    <t>[2] 오픈할인 권고 (기준가 4,950원 → 할인가)</t>
  </si>
  <si>
    <t>권장 할인폭</t>
  </si>
  <si>
    <t>권장 할인가(원)</t>
  </si>
  <si>
    <t>권장 기간</t>
  </si>
  <si>
    <t>현행 대비</t>
  </si>
  <si>
    <t>근거</t>
  </si>
  <si>
    <t>현행 60%·60일 → 20%·30일</t>
  </si>
  <si>
    <t>이탈 거의 없음. 4년 1.58배 지속 성장 → 깊은 할인 불필요(인사이트 확정)</t>
  </si>
  <si>
    <t>60%·60일 → 35%·45일</t>
  </si>
  <si>
    <t>곡선·성장(1.49배)이 경쟁0과 거의 동일 → 할인 대폭 완화 가능</t>
  </si>
  <si>
    <t>60%·60일 → 50%·45일</t>
  </si>
  <si>
    <t>장기 성장(1.50배) 양호하나 초기 변동 큼 → 기간 단축, 할인폭 소폭 완화</t>
  </si>
  <si>
    <t>현행 60%·60일 유지</t>
  </si>
  <si>
    <t>2년차 후 잠식(누적 0.98배). 오픈할인만으론 장기이탈 차단 불가 → 표준 유지 + 상시 리텐션 병행</t>
  </si>
  <si>
    <t>[방법·한계]</t>
  </si>
  <si>
    <t>· 곡선은 매장별 매출을 월별 시즈널리티로 보정(탈시즈널)하고, 각 매장의 오픈 4~9개월 평균을 100으로 지수화 후 그룹 평균(이상치 지수&gt;300 제외).</t>
  </si>
  <si>
    <t>· 표본은 매출 데이터 구간(2021-06~) 내 오픈 매장만(오픈 직후 관측 가능 코호트). 경쟁강도 빈칸·오픈일 오류 매장 자동 제외.</t>
  </si>
  <si>
    <t>· 한계: 매출만으로는 할인종료(약 60일) 직후 '고객수' 이탈을 직접 측정 불가 — 가격 정상화(1,990→4,950)로 매출은 오히려 상승. 따라서 장기 곡선의 정체·하락을 '누적 이탈'의 대용지표로 사용.</t>
  </si>
  <si>
    <t>· 권장 할인폭·기간(노란칸, 파란글씨)은 경쟁0(20%·30일) 앵커에서 경쟁강도·잠식정도에 비례해 보정한 권고치이며 실측 dose-response가 아님 → 그룹별 A/B 테스트로 검증 권장.</t>
  </si>
  <si>
    <t>· 경쟁3+는 오픈할인 강화보다 상시 리텐션(재방문 쿠폰·구독·멤버십)이 핵심. 오픈할인만 늘려도 2년차 후 잠식 추세는 차단되지 않음.</t>
  </si>
  <si>
    <t>기준=오픈 4~9개월 평균=100 · 할인 60일은 전 매장 공통(그룹 간 비교 유효) · 신뢰구간: 전 그룹 24개월, 경쟁0·1·2는 36개월까지</t>
  </si>
  <si>
    <t>1. 공통 패턴: 오픈 약 6개월차에 기준선(100) 도달 — m1 66~76 → m3 88~90 → m6 약 100</t>
  </si>
  <si>
    <t>※ 할인이 전 매장 동일(60일)해 초기 매출에 가격할인 효과가 공통 반영됨 → 그룹 간 비교는 유효, 단 초기 절대수준은 실수요보다 낮게 표시됨</t>
  </si>
  <si>
    <t>5. 시사점: 경쟁 0~2개 입지는 3~4년 성장 지속, 경쟁 3개+ 입지는 2년차 이후 꺾임 → 출점심사 강화 및 고경쟁 입지 리텐션 전략 필요</t>
    <phoneticPr fontId="3" type="noConversion"/>
  </si>
  <si>
    <t>n ≥ 30</t>
  </si>
  <si>
    <t>견고 — 평균 안정, 결론 내려도 됨</t>
  </si>
  <si>
    <t>15 ~ 29</t>
  </si>
  <si>
    <t>주의 — 사용 가능하나 신뢰구간 넓음</t>
  </si>
  <si>
    <t>10 ~ 14</t>
  </si>
  <si>
    <t>참고 — 매장 1~2곳 변동에 민감</t>
  </si>
  <si>
    <t>&lt; 10</t>
  </si>
  <si>
    <t>일화적 — 방향성만, 수치 단정 금지</t>
  </si>
  <si>
    <t>그룹0추세원본(m6-36)</t>
    <phoneticPr fontId="3" type="noConversion"/>
  </si>
  <si>
    <t>그룹1추세원본</t>
    <phoneticPr fontId="3" type="noConversion"/>
  </si>
  <si>
    <t>그룹2추세원본</t>
    <phoneticPr fontId="3" type="noConversion"/>
  </si>
  <si>
    <t>그룹3+추세원본</t>
    <phoneticPr fontId="3" type="noConversion"/>
  </si>
  <si>
    <t>오픈 60일 할인(4,950→1,990원) 효과 — 경쟁사 그룹 매칭 DiD 재분석</t>
  </si>
  <si>
    <t>기존 분석은 대조군 전체(16개)를 시즈널 기준선으로 사용. 본 시트는 대조군도 경쟁사 그룹(150-0/1/2)별로 매칭하여 입지 특성을 통제한 DiD를 산출. 세탁코스1(세탁매출&gt;0) 결제건수 기준.</t>
  </si>
  <si>
    <t>분석 논리</t>
  </si>
  <si>
    <t>① 실험 변화율 = 실험 후기건수 / 실험 전기건수  (해당 경쟁사 그룹의 실험지점 합산)</t>
  </si>
  <si>
    <t>② 대조 변화율 = 같은 경쟁사 그룹 대조지점들의 후기건수 / 전기건수  (= 그룹별 시즈널리티)</t>
  </si>
  <si>
    <t>③ 순효과(DiD) = ① / ②   →  같은 입지조건(경쟁사 밀도) 내에서 할인효과만 분리</t>
  </si>
  <si>
    <t>※ 대조군 건수 비율 = 각 경쟁사 그룹 대조군이 전체 대조군 건수에서 차지하는 비중 (표본 대표성 점검)</t>
  </si>
  <si>
    <t>지점별 명세 (세탁결제건수)</t>
  </si>
  <si>
    <t>지점명</t>
  </si>
  <si>
    <t>경쟁사</t>
  </si>
  <si>
    <t>전기시작</t>
  </si>
  <si>
    <t>전기종료</t>
  </si>
  <si>
    <t>후기시작</t>
  </si>
  <si>
    <t>후기종료</t>
  </si>
  <si>
    <t>구분</t>
  </si>
  <si>
    <t>실험지점수</t>
  </si>
  <si>
    <t>실험_전기</t>
  </si>
  <si>
    <t>실험_후기</t>
  </si>
  <si>
    <t>실험변화율</t>
  </si>
  <si>
    <t>대조_전기</t>
  </si>
  <si>
    <t>대조_후기</t>
  </si>
  <si>
    <t>대조변화율</t>
  </si>
  <si>
    <t>순효과(DiD)</t>
  </si>
  <si>
    <t>대조군지점수</t>
  </si>
  <si>
    <t>대조군건수비율</t>
  </si>
  <si>
    <t>전체</t>
  </si>
  <si>
    <t>요약 — 경쟁사 그룹별 대조군 매칭 DiD (건조건수 기준, 지점 합산)</t>
  </si>
  <si>
    <t>결론 (경쟁사 그룹 대조군 매칭 기준)</t>
  </si>
  <si>
    <t>• 해석: 세탁은 할인 종료 후 경쟁사 있는 입지에서 크게 이탈(150-1 −13%, 150-2 −21%). 건조는 세탁을 하면 따라오므로 전반 유지되나, 경쟁사 2개 이상 입지는 건조까지 이탈(0.90)</t>
  </si>
  <si>
    <t>• 대조군 건수비율: 150-0 43.6%, 150-1 43.7%, 150-2 12.7% — 150-2 그룹은 대조군 표본이 얇아 해석 시 주의</t>
  </si>
  <si>
    <t>• 시사점: 경쟁사 없는 입지는 할인 필요성 낮음. 경쟁사 2개 이상 입지는 세탁·건조 모두 이탈이 커 할인 재설계(기간·폭) 우선 검토</t>
  </si>
  <si>
    <t>가격 권장안 — 경쟁사 유무별 차등 할인 (세탁만 해당, 건조 할인 없음)</t>
  </si>
  <si>
    <t>현재는 입지 구분 없이 일괄 −60%~−43% 할인. 분석상 경쟁사 없는 입지(150-0)는 할인 종료 후에도 고객이 유지(DiD 1.02)되어 깊은 할인이 불필요. 아래는 입지별 차등 권장안.</t>
  </si>
  <si>
    <t>입력 — 정가 및 권장 할인율</t>
  </si>
  <si>
    <t>코스</t>
  </si>
  <si>
    <t>정가</t>
  </si>
  <si>
    <t>현 할인가</t>
  </si>
  <si>
    <t>현 할인율</t>
  </si>
  <si>
    <t>150-0 권장할인율</t>
  </si>
  <si>
    <t>150-1 권장할인율</t>
  </si>
  <si>
    <t>150-2 권장할인율</t>
  </si>
  <si>
    <t>1코스</t>
  </si>
  <si>
    <t>2코스</t>
  </si>
  <si>
    <t>3코스</t>
  </si>
  <si>
    <t>권장 할인가 (990원 끝자리 반올림)</t>
  </si>
  <si>
    <t>150-0 권장가</t>
  </si>
  <si>
    <t>150-0 할인율</t>
  </si>
  <si>
    <t>150-1 권장가</t>
  </si>
  <si>
    <t>150-1 할인율</t>
  </si>
  <si>
    <t>150-2 권장가</t>
  </si>
  <si>
    <t>150-2 할인율</t>
  </si>
  <si>
    <t>권장 근거 및 운영안</t>
  </si>
  <si>
    <t>• 공통: 건조는 현행처럼 비할인 유지(세탁 사용 시 건조는 자연 따라옴, 건조 DiD 1.05로 양호). 할인은 세탁에만 집중</t>
  </si>
  <si>
    <t>• 경쟁사 −50% 대응: 권장안은 경쟁사 없는 곳의 마진 손실을 줄여(−60→−20) 경쟁사 있는 곳의 −50% 유지 여력을 확보. 전체 할인 예산 효율 ↑</t>
  </si>
  <si>
    <t>※ 할인율은 E47:G49 입력 셀에서 조정 가능 — 변경 시 권장가 자동 재계산</t>
  </si>
  <si>
    <t>30일 할인 시나리오 — 실제 세탁건수 (그룹·코스별, 오픈 60일)</t>
  </si>
  <si>
    <t>첫 30일(0~29일)은 권장 할인가로, 다음 30일(30~59일)은 정가로 전환(이탈 반영) 가정. 아래 건수는 DATA 실적치.</t>
  </si>
  <si>
    <t>첫30일건수</t>
  </si>
  <si>
    <t>후30일건수(실적)</t>
  </si>
  <si>
    <t>권장할인가</t>
  </si>
  <si>
    <t>현할인가</t>
  </si>
  <si>
    <t>정가자잔율</t>
  </si>
  <si>
    <t>30일시나리오매출</t>
  </si>
  <si>
    <t>현행매출(60일할인)</t>
  </si>
  <si>
    <t>매출차이</t>
  </si>
  <si>
    <t>후30일정가건수</t>
  </si>
  <si>
    <t>기타(4코스류)</t>
  </si>
  <si>
    <t>그룹별 요약 (30일 시나리오 vs 현행 60일 할인)</t>
  </si>
  <si>
    <t>현행매출(60일)</t>
  </si>
  <si>
    <t>차이율</t>
  </si>
  <si>
    <t>★ 지점별 30일 할인 시나리오 — 점주별 매출 이득 액 (세탁만, 오픈 60일)</t>
  </si>
  <si>
    <t>첫 30일은 권장 할인가, 다음 30일은 정가로 전환(그룹별 이탈율 반영) 가정. 현행은 60일 전부 할인 실적. 건수는 DATA 실적치, 이탈율은 세탁 실험변화율.</t>
  </si>
  <si>
    <t>정가잔존율</t>
  </si>
  <si>
    <t>매출이득</t>
  </si>
  <si>
    <t>★ 점주별 매출 이득 요약 (30일 시나리오 vs 현행 60일 할인)</t>
  </si>
  <si>
    <t>이득율</t>
  </si>
  <si>
    <t>해석</t>
  </si>
  <si>
    <t>• 6개 지점 모두 30일 시나리오가 현행 60일 할인보다 매출이 큼 — 후반 30일을 정가로 전환하면 이탈을 감안해도 단가 상승 효과가 더 큼</t>
  </si>
  <si>
    <t>※ 기간 정의: 원래 분석의 '이탈'은 전기(오픈 1~60일, 할인) vs 후기(61~120일, 할인종료 후) 실적으로 측정한 값 — 할인 끝난 뒤 실제 잔존이 근거</t>
  </si>
  <si>
    <t>※ 가정의 한계: 이 시나리오의 31~60일 정가전환 잔존율은 60일 완주 후 61~120일 관측값을 끜어다 쓴 것. 30일만 할인한 조기전환 잔존율은 실측 데이터가 없으므로 보수적 추정임</t>
  </si>
  <si>
    <t>오픈할인 종합 결론 — 경쟁강도별 권장안</t>
  </si>
  <si>
    <t>두 분석 종합 ① 매출 성장곡선(탈시즈널리티, 전 매장, 기준=오픈 4~9개월=100)  ② 세탁/건조 결제건수 DiD(경쟁그룹 매칭, 실험 6지점 vs 대조군 16지점)</t>
  </si>
  <si>
    <t>1. 두 분석 핵심 종합</t>
  </si>
  <si>
    <t>매출곡선 2년(지수)</t>
  </si>
  <si>
    <t>매출곡선 3년</t>
  </si>
  <si>
    <t>세탁 DiD</t>
  </si>
  <si>
    <t>건조 DiD</t>
  </si>
  <si>
    <t>종합 진단</t>
  </si>
  <si>
    <t>경쟁 0개</t>
  </si>
  <si>
    <t>지속 성장 + 이탈 거의 없음 → 할인 의존도 낮음</t>
  </si>
  <si>
    <t>경쟁 1개</t>
  </si>
  <si>
    <t>우상향이나 종료 후 -13% 이탈 → 획득+전환 필요</t>
  </si>
  <si>
    <t>경쟁 2개+</t>
  </si>
  <si>
    <t>이탈 최대(-21%), 건조까지 이탈; 경쟁3+는 2년차 역성장 → 리텐션이 관건</t>
  </si>
  <si>
    <t>2. 경쟁강도별 권장안  (파란·노랑 칸 = 조정 가능한 입력값)</t>
  </si>
  <si>
    <t>권장 할인율</t>
  </si>
  <si>
    <t>권장 할인기간</t>
  </si>
  <si>
    <t>1코스 권장가</t>
  </si>
  <si>
    <t>핵심 근거</t>
  </si>
  <si>
    <t>리텐션 방안</t>
  </si>
  <si>
    <t>별도 불필요(자연 잔존), 마진 우선</t>
  </si>
  <si>
    <t>할인 종료 전 멤버십·정기권 전환</t>
  </si>
  <si>
    <t>정기권·적립 필수, 단계적 가격인상(절벽 방지), 출점 신중</t>
  </si>
  <si>
    <t>3. 결론</t>
  </si>
  <si>
    <t>핵심: 경쟁이 심할수록 '깊고 짧은 할인'의 효용은 낮고, '습관 형성·이탈 방어'가 관건. 할인 예산을 획득에서 리텐션으로 이동할수록 고경쟁 입지 성과가 개선됨.</t>
  </si>
  <si>
    <t>• 경쟁 0개: 할인 없이도 잔존(DiD 1.02)·매출 지속성장 → 20%·30일로 축소해 마진 회복.</t>
  </si>
  <si>
    <t>• 경쟁 1개: 종료 후 -13% 이탈하나 장기 우상향 → 50%·60일로 유인 후, 할인 종료 전 멤버십 전환으로 이탈 차단.</t>
  </si>
  <si>
    <t>• 경쟁 2개+: 이탈 최대(-21%)·건조까지 이탈·경쟁3+ 2년차 역성장 → 할인율은 50% 유지하되 기간을 90일로 늘려 습관 형성, 정기권·적립 상시 리텐션 필수, 출점은 보수적으로.</t>
  </si>
  <si>
    <t>※ DiD 실험지점 6개(경쟁2+ 1개)로 표본이 작아 방향성 참고. 권장가는 1코스(4,950원) 기준이며 2·3코스도 동일 할인율 적용 권장.</t>
  </si>
  <si>
    <t>DiD 1.02(이탈無)+곡선 지속성장 → 깊은 할인 불필요, 마진 회복</t>
    <phoneticPr fontId="3" type="noConversion"/>
  </si>
  <si>
    <t>DiD 0.88(-13%)+곡선 우상향 → 1차 유인 중간 할인, 표준 60일</t>
    <phoneticPr fontId="3" type="noConversion"/>
  </si>
  <si>
    <t>DiD 0.78(-21%, 최대)+경쟁3+ 2년차 역성장 → 기간 연장으로 습관 형성</t>
    <phoneticPr fontId="3" type="noConversion"/>
  </si>
  <si>
    <t>실험_세탁전기</t>
  </si>
  <si>
    <t>실험_세탁후기</t>
  </si>
  <si>
    <t>대조_세탁전기</t>
  </si>
  <si>
    <t>대조_세탁후기</t>
  </si>
  <si>
    <t>실험_건조전기</t>
  </si>
  <si>
    <t>실험_건조후기</t>
  </si>
  <si>
    <t>대조_건조전기</t>
  </si>
  <si>
    <t>대조_건조후기</t>
  </si>
  <si>
    <t>요약 — 경쟁사 그룹별 대조군 매칭 DiD (세탁건수 기준, 지점 합산)</t>
  </si>
  <si>
    <t>• 【세탁】 경쟁 밀도가 높을수록 DiD 감소: 150-0 1.021 → 150-1 0.875 → 150-2 0.785 (전체 0.930)</t>
  </si>
  <si>
    <t>• 【건조】 DiD가 세탁보다 전반적으로 높음: 150-0 1.088 → 150-1 1.077 → 150-2 0.904 (전체 1.047) — 경쟁사 2개 이상에서만 1 미만</t>
  </si>
  <si>
    <t>• 150-0 (경쟁사 없음): 세탁 DiD 1.021 — 할인 종료 후에도 고객 유지. 현 −60% 할인은 과잉. −20% 수준(1코스 3,960원)으로 낮춰 마진 회복 권장</t>
  </si>
  <si>
    <t>• 150-1 (경쟁사 1개): 세탁 DiD 0.875 (−13% 이탈). 경쟁사 −50% 표시에 맞춰 −50%(1코스 2,470원)로 1차 방문 유인, 품질·편의로 재방문 전환</t>
  </si>
  <si>
    <t>• 150-2 (경쟁사 2개+): 세탁 DiD 0.785 (−21% 최대 이탈). 가격은 −50%(2,470원) 동일하되 할인 기간을 더 길게 가져가 반복 체감 · 습관화 유도</t>
  </si>
  <si>
    <t>• 이득 액 최대는 경쟁사 없는(150-0) 지점들: 대전백운초교 +491,913원, 수원시청뽀송 +1,430,396원 — 잔존율 100%↑라 정가 전환에도 건수 유지</t>
  </si>
  <si>
    <t>• 경쟁사 2개+ 한남대정문은 이득 +343,297원으로 가장 작음(이탈율 높아 3코스는 소폭 적자). 이 입지는 할인 기간을 쪼개기보다 유지·기간연장 고려</t>
  </si>
  <si>
    <t>경쟁강도별 성장곡선 — 핵심 인사이트</t>
    <phoneticPr fontId="3" type="noConversion"/>
  </si>
  <si>
    <t>표본수(n) 신뢰도 음영 기준 (G:J = 그룹별 개월차 매장 수)</t>
    <phoneticPr fontId="3" type="noConversion"/>
  </si>
  <si>
    <t>경쟁강도별 성장곡선 추세 (선형회귀 · 오픈 m6~36 구간 기준)</t>
  </si>
  <si>
    <t>기울기 (지수/월)</t>
  </si>
  <si>
    <t>절편</t>
  </si>
  <si>
    <t>R²</t>
  </si>
  <si>
    <t>연환산 (기울기×12)</t>
  </si>
  <si>
    <t>그룹0 (경쟁0)</t>
  </si>
  <si>
    <t>그룹1 (경쟁1)</t>
  </si>
  <si>
    <t>그룹2 (경쟁2)</t>
  </si>
  <si>
    <t>그룹3+ (경쟁3+)</t>
  </si>
  <si>
    <t>※ 기울기=월당 지수 증가폭(지수 100=오픈 4~9개월 평균). 그룹3+는 m18~24 정점 후 역성장이라 선형기울기가 0 부근/음수(R² 낮음) — 2년차 정체·잠식 반영(n=9, 신뢰구간 24개월).</t>
  </si>
  <si>
    <t>표준</t>
    <phoneticPr fontId="3" type="noConversion"/>
  </si>
  <si>
    <t>살균</t>
    <phoneticPr fontId="3" type="noConversion"/>
  </si>
  <si>
    <t>대용량</t>
    <phoneticPr fontId="3" type="noConversion"/>
  </si>
  <si>
    <t>정상가</t>
    <phoneticPr fontId="3" type="noConversion"/>
  </si>
  <si>
    <t>오픈할인가</t>
    <phoneticPr fontId="3" type="noConversion"/>
  </si>
  <si>
    <t>할인율</t>
    <phoneticPr fontId="3" type="noConversion"/>
  </si>
  <si>
    <t>Turn #</t>
  </si>
  <si>
    <t>Date</t>
  </si>
  <si>
    <t>User Request</t>
  </si>
  <si>
    <t>Action Taken</t>
  </si>
  <si>
    <t>Details</t>
  </si>
  <si>
    <t>Outcome</t>
  </si>
  <si>
    <t>성장곡선 회귀 구간을 오픈후 6~36개월로 잡은 이유 질문</t>
  </si>
  <si>
    <t>읽기 전용 분석 — 회귀 구간 근거 설명</t>
  </si>
  <si>
    <t>요약_성장곡선 M32:P35(SLOPE/INTERCEPT/RSQ, B8:B38 = m6~36), G28:J40 표본수(n), 세팅!K3:L8(36M/48M 초과 매장수), 요약_연차별성장률 확인</t>
  </si>
  <si>
    <t>설명 완료: 하한 6=램프업·오픈할인 왜곡 제외 및 기준선(100) 도달 시점, 상한 36=표본수 급감·생존편향 회피. 워크북 변경 없음</t>
  </si>
  <si>
    <t>그룹0의 m6~36 평균은 124인데 절편(97.2)은 어떻게 산출되는지 질문. 이어서 N32 복구는 불필요하다고 회신</t>
  </si>
  <si>
    <t>읽기 전용 설명 — 회귀 절편 산출 원리 설명 후 회귀 블록 현재 상태 재확인</t>
  </si>
  <si>
    <t>절편 = ȳ − 기울기×x̄ = 124.0 − 1.2756×21 = 97.2 (x̄=21은 m6~36의 중앙). 요약_성장곡선 M32:P35 재확인 결과 N32의 =INTERCEPT(B8:B38,$A8:$A38) 수식이 정상 복원되어 있음(97.226)</t>
  </si>
  <si>
    <t>설명 완료. 사용자 요청에 따라 워크북 수정 없음. M32:P35 수식 4행 모두 정상</t>
  </si>
  <si>
    <t>구간별 선형기울기 — 오픈 1개월차부터 포함 (신규 매장 초기실적 적용용)</t>
  </si>
  <si>
    <t>기울기 m1-12</t>
  </si>
  <si>
    <t>기울기 m1-24</t>
  </si>
  <si>
    <t>기울기 m1-36</t>
  </si>
  <si>
    <t>R² m1-24</t>
  </si>
  <si>
    <t>R² m1-36</t>
  </si>
  <si>
    <t>평균 (그룹3+ 제외)</t>
  </si>
  <si>
    <t>※ 기울기=월당 지수 증가폭(지수 100=오픈 4~9개월 평균). m1부터 포함하면 램프업 급상승이 섞여 구간이 짧을수록 기울기가 큼 — 동일 구간 예상에만 사용하고 장기 외삽은 금지.</t>
  </si>
  <si>
    <t>※ 평균(그룹3+ 제외)은 그룹0·1·2 기울기의 단순평균(매장수 가중 아님). 그룹3+는 m1-36 R² 0.16으로 직선 회귀를 적용하기 어려움(m18~24 정점 후 역성장).</t>
  </si>
  <si>
    <t>(1) x̄=(6+36)/2의 의미, (2) 절편 97.2 vs 실제 시작 66~80 차이, (3) 기준창 m4~9와 회귀창 m6~36의 차이 질문 / 신규매장(실적 4개월)용으로 m1-12·m1-24·m1-36 기울기를 그룹별+3+제외 평균으로 산출 요청</t>
  </si>
  <si>
    <t>요약_성장곡선 L45:R53에 m1 시작 기준 구간별 SLOPE·RSQ 표 신설</t>
  </si>
  <si>
    <t>SLOPE/RSQ(B$3:B$14 / B$3:B$26 / B$3:B$38 등) 그룹0~3+ 4행, 평균행은 AVERAGE(M47:M49)로 그룹3+ 제외 단순평균. 기존 M32:P35(m6-36 회귀)는 미변경, 사용자 검산블록 M41:P43도 미변경</t>
  </si>
  <si>
    <t>기울기 m1-12/24/36 = 그룹0 3.63/2.25/1.62, 그룹1 3.14/1.64/1.35, 그룹2 3.89/1.74/1.39, 그룹3+ 2.38/1.11/0.30, 3+제외 평균 3.55/1.88/1.45. 장기 외삽 금지 주석 2행 추가</t>
  </si>
  <si>
    <t>R² m1-12</t>
    <phoneticPr fontId="3" type="noConversion"/>
  </si>
  <si>
    <t>오픈 초기 실적 기반 매출 예측 테이블 (성장곡선 적용)</t>
  </si>
  <si>
    <t>① 입력값 (파란 셀만 수정)</t>
  </si>
  <si>
    <t>② 보유 실적 입력 (기준레벨 역산)</t>
  </si>
  <si>
    <t>오픈후개월(m)</t>
  </si>
  <si>
    <t>실매출</t>
  </si>
  <si>
    <t>시즈널지수</t>
  </si>
  <si>
    <t>탈시즈널 매출</t>
  </si>
  <si>
    <t>그룹 곡선지수</t>
  </si>
  <si>
    <t>환산 기준매출(지수100)</t>
  </si>
  <si>
    <t>M0 (오픈달)</t>
  </si>
  <si>
    <t>제외</t>
  </si>
  <si>
    <t>-</t>
  </si>
  <si>
    <t>M1 (오픈 다음달)</t>
  </si>
  <si>
    <t>M2</t>
  </si>
  <si>
    <t>M3</t>
  </si>
  <si>
    <t>적용 기울기 (지수/월, m6~36 회귀)</t>
  </si>
  <si>
    <t>④ 월별 예상매출 (m1~m48)</t>
  </si>
  <si>
    <t>곡선지수</t>
  </si>
  <si>
    <t>지수 산출근거</t>
  </si>
  <si>
    <t>실적(참고)</t>
  </si>
  <si>
    <t>구간</t>
  </si>
  <si>
    <t>m1~m12</t>
  </si>
  <si>
    <t>m13~m24</t>
  </si>
  <si>
    <t>m25~m36</t>
  </si>
  <si>
    <t>m37~m48</t>
  </si>
  <si>
    <t>※ 곡선 m1 = 오픈 다음 달 (Calc_오픈정렬 기준). 오픈달(M0)은 부분월이며 곡선 산출에서도 제외된 구간 → 기준레벨 역산에 미사용.</t>
  </si>
  <si>
    <t>※ m1~m36은 실제 곡선값(B:E열)을 사용하고, m37~m48은 m6~36 회귀식(지수 = 절편 + 기울기×m)으로 연장함. 절편은 m=0 지점이라 단독 해석하지 말 것.</t>
  </si>
  <si>
    <t>기준매출(지수100)</t>
  </si>
  <si>
    <t>2년차</t>
  </si>
  <si>
    <t>3년차</t>
  </si>
  <si>
    <t>4년차 (회귀 외삽)</t>
  </si>
  <si>
    <t>⑤ 연도별 합산 (세 가지 산정방식 병렬)</t>
  </si>
  <si>
    <t>※ 그룹별 표본: 그룹0 n=30(m24 시점 23개점), 그룹3+ n=9 · 그룹3+는 R² 0.02로 회귀 외삽(m37~48) 사용 금지(m18~24 정점 후 역성장).</t>
  </si>
  <si>
    <t>적용 그룹 (0 / 1 / 2 / 3+ / 평균)</t>
  </si>
  <si>
    <t>역산 사용(Y/N)</t>
  </si>
  <si>
    <t>Y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</si>
  <si>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</si>
  <si>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</si>
  <si>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</si>
  <si>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</si>
  <si>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</si>
  <si>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</si>
  <si>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</si>
  <si>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</si>
  <si>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</si>
  <si>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③ 산출 파라미터 — 역산 시작월별 기준매출 (끝은 입력된 마지막 월까지 자동)</t>
  </si>
  <si>
    <t>시작 m</t>
  </si>
  <si>
    <t>사용 개월수</t>
  </si>
  <si>
    <t>A. M1부터 사용</t>
  </si>
  <si>
    <t>B. M2부터 사용 (M1 제외)</t>
  </si>
  <si>
    <t>C. M3부터 사용 (M2까지 제외)</t>
  </si>
  <si>
    <t>(참고용)</t>
    <phoneticPr fontId="3" type="noConversion"/>
  </si>
  <si>
    <t>적용 절편 (m=0 지점, m37~ 외삽용)</t>
  </si>
  <si>
    <t>탈시즈널 A (M1~)</t>
  </si>
  <si>
    <t>탈시즈널 B (M2~)</t>
  </si>
  <si>
    <t>탈시즈널 C (M3~)</t>
  </si>
  <si>
    <t>시즈널반영 B</t>
  </si>
  <si>
    <t>시즈널반영 C</t>
  </si>
  <si>
    <t>연매출 A (M1~)</t>
  </si>
  <si>
    <t>연매출 B (M2~)</t>
  </si>
  <si>
    <t>연매출 C (M3~)</t>
  </si>
  <si>
    <t>월평균 (C)</t>
  </si>
  <si>
    <t>※ A/B/C는 역산 시작월의 차이일 뿐이고(끝은 세 방식 동일하게 입력된 마지막 월), 세 열이 ④·⑤에 동시 표시된다. 특정 월만 무효로 만들고 싶으면 ②의 '역산 사용' 칸을 N으로 바꾸면 된다.</t>
  </si>
  <si>
    <t>전년 대비 성장률 (C)</t>
  </si>
  <si>
    <t>※ 사용법: ①에서 적용 그룹(M57)만 고르면 되고, ②에 M1~M12 실적을 아는 만큼 입력하면 된다. 빈 칸은 자동 제외되므로 기록이 늘어날수록 기준매출 정확도가 올라간다.</t>
    <phoneticPr fontId="3" type="noConversion"/>
  </si>
  <si>
    <t>⑥ 성공 판정 — 목표 월평균 매출 도달 여부</t>
  </si>
  <si>
    <t>목표 월평균 매출</t>
  </si>
  <si>
    <t>평균 곡선지수</t>
  </si>
  <si>
    <t>필요 기준매출</t>
  </si>
  <si>
    <t>판정</t>
  </si>
  <si>
    <t>※ 시즈널리티 보정 기능은 제거했다(오픈 다음 달 1일 입력칸 삭제). ④·⑤의 예상매출은 모두 탈시즈널 기준이며, 특정 월의 실제 매출은 요약_월별시즈널리티!F7:F18 지수를 곱해 보정해서 보면 된다.</t>
  </si>
  <si>
    <t>※ ⑥ 판정은 기준매출 C(M3부터 역산) 기준. 필요 기준매출 = 목표 월평균 ÷ (해당 연차 평균 곡선지수/100). 즉 '지수 100 수준의 매출'이 이 값을 넘으면 그 연차에 목표를 달성한다는 뜻.</t>
  </si>
  <si>
    <t>오픈월 (오픈한 달, 예: 2026-03)</t>
  </si>
  <si>
    <t>해당 연월</t>
  </si>
  <si>
    <t>연매출 C · 시즈널반영</t>
  </si>
  <si>
    <t>월평균 · 시즈널반영</t>
  </si>
  <si>
    <t>예상 월평균 (C·시즈널반영)</t>
  </si>
  <si>
    <t>시즈널지수 반영 (Y/N)</t>
  </si>
  <si>
    <t>시즈널반영 A</t>
    <phoneticPr fontId="3" type="noConversion"/>
  </si>
  <si>
    <t>서울예대점</t>
    <phoneticPr fontId="3" type="noConversion"/>
  </si>
  <si>
    <t>오픈월</t>
    <phoneticPr fontId="3" type="noConversion"/>
  </si>
  <si>
    <t>확인개월차</t>
    <phoneticPr fontId="3" type="noConversion"/>
  </si>
  <si>
    <t>예상매출</t>
    <phoneticPr fontId="3" type="noConversion"/>
  </si>
  <si>
    <t>관악미성점</t>
    <phoneticPr fontId="3" type="noConversion"/>
  </si>
  <si>
    <t>(예상)매출</t>
    <phoneticPr fontId="3" type="noConversion"/>
  </si>
  <si>
    <t>26-06 기준</t>
    <phoneticPr fontId="3" type="noConversion"/>
  </si>
  <si>
    <t>시즌적용</t>
    <phoneticPr fontId="3" type="noConversion"/>
  </si>
  <si>
    <t>서림스마일</t>
    <phoneticPr fontId="3" type="noConversion"/>
  </si>
  <si>
    <t>관악초등점</t>
    <phoneticPr fontId="3" type="noConversion"/>
  </si>
  <si>
    <t>관악원당초교점</t>
    <phoneticPr fontId="3" type="noConversion"/>
  </si>
  <si>
    <t>군자용마초교점</t>
    <phoneticPr fontId="3" type="noConversion"/>
  </si>
  <si>
    <t>차이</t>
    <phoneticPr fontId="3" type="noConversion"/>
  </si>
  <si>
    <t>왕십리도선점</t>
    <phoneticPr fontId="3" type="noConversion"/>
  </si>
  <si>
    <t>대전백운초교점</t>
    <phoneticPr fontId="3" type="noConversion"/>
  </si>
  <si>
    <t>간석오거리점</t>
    <phoneticPr fontId="3" type="noConversion"/>
  </si>
  <si>
    <t>지점</t>
    <phoneticPr fontId="3" type="noConversion"/>
  </si>
  <si>
    <t>평균</t>
  </si>
  <si>
    <t>26-12-24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</si>
</sst>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_);[Red]\(0\)"/>
    <numFmt numFmtId="177" formatCode="0.0"/>
    <numFmt numFmtId="178" formatCode="_-* #,##0.0_-;\-* #,##0.0_-;_-* &quot;-&quot;_-;_-@_-"/>
    <numFmt numFmtId="179" formatCode="\+0.0;\-0.0;0.0"/>
    <numFmt numFmtId="180" formatCode="0.0%"/>
    <numFmt numFmtId="181" formatCode="0.00&quot;x&quot;"/>
    <numFmt numFmtId="182" formatCode="#,##0&quot;원&quot;"/>
    <numFmt numFmtId="183" formatCode="0&quot;일&quot;"/>
    <numFmt numFmtId="184" formatCode="0.000"/>
    <numFmt numFmtId="185" formatCode="_-* #,##0.00_-;\-* #,##0.00_-;_-* &quot;-&quot;_-;_-@_-"/>
    <numFmt numFmtId="186" formatCode="yyyy/mm"/>
    <numFmt numFmtId="187" formatCode="0&quot;개월&quot;"/>
  </numFmts>
  <fonts count="47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i/>
      <sz val="11"/>
      <color rgb="FF666666"/>
      <name val="맑은 고딕"/>
      <family val="2"/>
      <charset val="129"/>
      <scheme val="minor"/>
    </font>
    <font>
      <b/>
      <sz val="9"/>
      <color rgb="FFFFFFFF"/>
      <name val="맑은 고딕"/>
      <family val="2"/>
      <charset val="129"/>
    </font>
    <font>
      <b/>
      <sz val="13"/>
      <color theme="1"/>
      <name val="맑은 고딕"/>
      <family val="2"/>
      <charset val="129"/>
    </font>
    <font>
      <b/>
      <sz val="14"/>
      <color theme="1"/>
      <name val="맑은 고딕"/>
      <family val="2"/>
      <charset val="129"/>
    </font>
    <font>
      <sz val="9"/>
      <color rgb="FF0000FF"/>
      <name val="맑은 고딕"/>
      <family val="2"/>
      <charset val="129"/>
    </font>
    <font>
      <b/>
      <sz val="10"/>
      <color rgb="FF444444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006100"/>
      <name val="맑은 고딕"/>
      <family val="2"/>
      <charset val="129"/>
    </font>
    <font>
      <b/>
      <sz val="9"/>
      <color rgb="FF9C6500"/>
      <name val="맑은 고딕"/>
      <family val="2"/>
      <charset val="129"/>
    </font>
    <font>
      <b/>
      <sz val="9"/>
      <color rgb="FFC65911"/>
      <name val="맑은 고딕"/>
      <family val="2"/>
      <charset val="129"/>
    </font>
    <font>
      <b/>
      <sz val="9"/>
      <color rgb="FF9C0006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i/>
      <sz val="8"/>
      <color rgb="FFC00000"/>
      <name val="맑은 고딕"/>
      <family val="3"/>
      <charset val="129"/>
    </font>
    <font>
      <b/>
      <sz val="14"/>
      <color rgb="FF1F4E78"/>
      <name val="맑은 고딕"/>
      <family val="2"/>
      <charset val="129"/>
    </font>
    <font>
      <sz val="9"/>
      <color rgb="FF008000"/>
      <name val="맑은 고딕"/>
      <family val="2"/>
      <charset val="129"/>
    </font>
    <font>
      <b/>
      <i/>
      <sz val="9"/>
      <color rgb="FF808080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i/>
      <sz val="9"/>
      <color theme="1"/>
      <name val="맑은 고딕"/>
      <family val="2"/>
      <charset val="129"/>
    </font>
    <font>
      <b/>
      <sz val="12"/>
      <color rgb="FF1F3864"/>
      <name val="맑은 고딕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595959"/>
      <name val="맑은 고딕"/>
      <family val="2"/>
      <charset val="129"/>
    </font>
    <font>
      <b/>
      <sz val="9"/>
      <color rgb="FF595959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medium">
        <color rgb="FFFF0000"/>
      </bottom>
      <diagonal/>
    </border>
    <border>
      <left/>
      <right/>
      <top/>
      <bottom style="thin">
        <color auto="1"/>
      </bottom>
      <diagonal/>
    </border>
    <border>
      <left style="medium">
        <color rgb="FF290DFB"/>
      </left>
      <right style="medium">
        <color rgb="FF290DFB"/>
      </right>
      <top style="medium">
        <color rgb="FF290DFB"/>
      </top>
      <bottom style="medium">
        <color rgb="FF290DFB"/>
      </bottom>
      <diagonal/>
    </border>
    <border>
      <left style="medium">
        <color rgb="FF290DFB"/>
      </left>
      <right style="medium">
        <color rgb="FF290DFB"/>
      </right>
      <top style="medium">
        <color rgb="FF290DFB"/>
      </top>
      <bottom/>
      <diagonal/>
    </border>
    <border>
      <left style="medium">
        <color rgb="FF290DFB"/>
      </left>
      <right style="medium">
        <color rgb="FF290DFB"/>
      </right>
      <top/>
      <bottom/>
      <diagonal/>
    </border>
    <border>
      <left style="medium">
        <color rgb="FF290DFB"/>
      </left>
      <right style="medium">
        <color rgb="FF290DFB"/>
      </right>
      <top/>
      <bottom style="medium">
        <color rgb="FF290DFB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7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3" fontId="6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7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0" fillId="4" borderId="0" xfId="0" applyFont="1" applyFill="1">
      <alignment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9" fontId="13" fillId="5" borderId="0" xfId="0" applyNumberFormat="1" applyFont="1" applyFill="1">
      <alignment vertical="center"/>
    </xf>
    <xf numFmtId="182" fontId="0" fillId="5" borderId="0" xfId="0" applyNumberFormat="1" applyFill="1">
      <alignment vertical="center"/>
    </xf>
    <xf numFmtId="183" fontId="13" fillId="5" borderId="0" xfId="0" applyNumberFormat="1" applyFont="1" applyFill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16" fillId="0" borderId="0" xfId="0" applyFont="1">
      <alignment vertical="center"/>
    </xf>
    <xf numFmtId="0" fontId="17" fillId="4" borderId="0" xfId="0" applyFont="1" applyFill="1">
      <alignment vertical="center"/>
    </xf>
    <xf numFmtId="0" fontId="18" fillId="8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4" borderId="1" xfId="0" applyFont="1" applyFill="1" applyBorder="1" applyAlignment="1">
      <alignment horizontal="center" vertical="center"/>
    </xf>
    <xf numFmtId="0" fontId="25" fillId="0" borderId="1" xfId="0" applyFont="1" applyBorder="1">
      <alignment vertical="center"/>
    </xf>
    <xf numFmtId="14" fontId="25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>
      <alignment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180" fontId="25" fillId="0" borderId="1" xfId="0" applyNumberFormat="1" applyFont="1" applyBorder="1">
      <alignment vertical="center"/>
    </xf>
    <xf numFmtId="180" fontId="25" fillId="0" borderId="2" xfId="0" applyNumberFormat="1" applyFont="1" applyBorder="1">
      <alignment vertical="center"/>
    </xf>
    <xf numFmtId="184" fontId="25" fillId="0" borderId="5" xfId="0" applyNumberFormat="1" applyFont="1" applyBorder="1">
      <alignment vertical="center"/>
    </xf>
    <xf numFmtId="0" fontId="25" fillId="0" borderId="4" xfId="0" applyFont="1" applyBorder="1">
      <alignment vertical="center"/>
    </xf>
    <xf numFmtId="0" fontId="28" fillId="10" borderId="1" xfId="0" applyFont="1" applyFill="1" applyBorder="1">
      <alignment vertical="center"/>
    </xf>
    <xf numFmtId="3" fontId="28" fillId="10" borderId="1" xfId="0" applyNumberFormat="1" applyFont="1" applyFill="1" applyBorder="1">
      <alignment vertical="center"/>
    </xf>
    <xf numFmtId="180" fontId="28" fillId="10" borderId="1" xfId="0" applyNumberFormat="1" applyFont="1" applyFill="1" applyBorder="1">
      <alignment vertical="center"/>
    </xf>
    <xf numFmtId="180" fontId="28" fillId="10" borderId="2" xfId="0" applyNumberFormat="1" applyFont="1" applyFill="1" applyBorder="1">
      <alignment vertical="center"/>
    </xf>
    <xf numFmtId="184" fontId="28" fillId="10" borderId="6" xfId="0" applyNumberFormat="1" applyFont="1" applyFill="1" applyBorder="1">
      <alignment vertical="center"/>
    </xf>
    <xf numFmtId="0" fontId="28" fillId="10" borderId="4" xfId="0" applyFont="1" applyFill="1" applyBorder="1">
      <alignment vertical="center"/>
    </xf>
    <xf numFmtId="0" fontId="29" fillId="0" borderId="0" xfId="0" applyFont="1">
      <alignment vertical="center"/>
    </xf>
    <xf numFmtId="185" fontId="0" fillId="0" borderId="0" xfId="1" applyNumberFormat="1" applyFont="1">
      <alignment vertical="center"/>
    </xf>
    <xf numFmtId="0" fontId="30" fillId="0" borderId="0" xfId="0" applyFont="1">
      <alignment vertical="center"/>
    </xf>
    <xf numFmtId="3" fontId="31" fillId="0" borderId="1" xfId="0" applyNumberFormat="1" applyFont="1" applyBorder="1">
      <alignment vertical="center"/>
    </xf>
    <xf numFmtId="9" fontId="31" fillId="0" borderId="1" xfId="0" applyNumberFormat="1" applyFont="1" applyBorder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9" fillId="0" borderId="0" xfId="0" applyFo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" fontId="38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9" fontId="13" fillId="12" borderId="1" xfId="0" applyNumberFormat="1" applyFont="1" applyFill="1" applyBorder="1" applyAlignment="1">
      <alignment horizontal="center" vertical="center"/>
    </xf>
    <xf numFmtId="183" fontId="13" fillId="12" borderId="1" xfId="0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40" fillId="0" borderId="0" xfId="0" applyFont="1">
      <alignment vertical="center"/>
    </xf>
    <xf numFmtId="0" fontId="2" fillId="11" borderId="0" xfId="0" applyFont="1" applyFill="1">
      <alignment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41" fillId="0" borderId="0" xfId="0" applyFont="1">
      <alignment vertical="center"/>
    </xf>
    <xf numFmtId="9" fontId="0" fillId="0" borderId="0" xfId="2" applyFont="1">
      <alignment vertical="center"/>
    </xf>
    <xf numFmtId="0" fontId="0" fillId="13" borderId="0" xfId="0" applyFill="1">
      <alignment vertical="center"/>
    </xf>
    <xf numFmtId="2" fontId="0" fillId="0" borderId="0" xfId="0" applyNumberFormat="1">
      <alignment vertical="center"/>
    </xf>
    <xf numFmtId="2" fontId="2" fillId="0" borderId="0" xfId="0" applyNumberFormat="1" applyFont="1">
      <alignment vertical="center"/>
    </xf>
    <xf numFmtId="184" fontId="2" fillId="0" borderId="0" xfId="0" applyNumberFormat="1" applyFont="1" applyAlignment="1">
      <alignment horizontal="center" vertical="center"/>
    </xf>
    <xf numFmtId="49" fontId="13" fillId="12" borderId="0" xfId="0" applyNumberFormat="1" applyFont="1" applyFill="1" applyAlignment="1">
      <alignment horizontal="center" vertical="center"/>
    </xf>
    <xf numFmtId="3" fontId="13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186" fontId="0" fillId="0" borderId="0" xfId="0" applyNumberFormat="1" applyAlignment="1">
      <alignment horizontal="center" vertical="center"/>
    </xf>
    <xf numFmtId="0" fontId="45" fillId="0" borderId="0" xfId="0" applyFont="1">
      <alignment vertical="center"/>
    </xf>
    <xf numFmtId="0" fontId="42" fillId="0" borderId="0" xfId="0" applyFont="1">
      <alignment vertical="center"/>
    </xf>
    <xf numFmtId="0" fontId="2" fillId="11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3" fontId="2" fillId="15" borderId="0" xfId="0" applyNumberFormat="1" applyFont="1" applyFill="1">
      <alignment vertical="center"/>
    </xf>
    <xf numFmtId="49" fontId="13" fillId="0" borderId="0" xfId="0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4" fontId="2" fillId="0" borderId="0" xfId="0" applyNumberFormat="1" applyFont="1">
      <alignment vertical="center"/>
    </xf>
    <xf numFmtId="3" fontId="0" fillId="0" borderId="0" xfId="0" applyNumberFormat="1" applyAlignment="1">
      <alignment horizontal="right" vertical="center"/>
    </xf>
    <xf numFmtId="3" fontId="13" fillId="16" borderId="9" xfId="0" applyNumberFormat="1" applyFont="1" applyFill="1" applyBorder="1">
      <alignment vertical="center"/>
    </xf>
    <xf numFmtId="3" fontId="13" fillId="16" borderId="10" xfId="0" applyNumberFormat="1" applyFont="1" applyFill="1" applyBorder="1">
      <alignment vertical="center"/>
    </xf>
    <xf numFmtId="3" fontId="13" fillId="16" borderId="11" xfId="0" applyNumberFormat="1" applyFont="1" applyFill="1" applyBorder="1">
      <alignment vertical="center"/>
    </xf>
    <xf numFmtId="49" fontId="13" fillId="16" borderId="8" xfId="0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6" fillId="11" borderId="0" xfId="0" applyFont="1" applyFill="1" applyAlignment="1">
      <alignment horizontal="center" vertical="center"/>
    </xf>
    <xf numFmtId="3" fontId="13" fillId="16" borderId="8" xfId="0" applyNumberFormat="1" applyFont="1" applyFill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16" borderId="9" xfId="0" applyNumberFormat="1" applyFill="1" applyBorder="1" applyAlignment="1">
      <alignment horizontal="right" vertical="center"/>
    </xf>
    <xf numFmtId="177" fontId="0" fillId="16" borderId="10" xfId="0" applyNumberFormat="1" applyFill="1" applyBorder="1" applyAlignment="1">
      <alignment horizontal="right" vertical="center"/>
    </xf>
    <xf numFmtId="177" fontId="0" fillId="16" borderId="11" xfId="0" applyNumberFormat="1" applyFill="1" applyBorder="1" applyAlignment="1">
      <alignment horizontal="right" vertical="center"/>
    </xf>
    <xf numFmtId="0" fontId="2" fillId="14" borderId="7" xfId="0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5">
    <dxf>
      <font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290DF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경쟁강도별 오픈 후 성장곡선 </a:t>
            </a:r>
            <a:r>
              <a:rPr lang="en-US" altLang="ko-KR"/>
              <a:t>(</a:t>
            </a:r>
            <a:r>
              <a:rPr lang="ko-KR" altLang="en-US"/>
              <a:t>탈시즈널 지수</a:t>
            </a:r>
            <a:r>
              <a:rPr lang="en-US" altLang="ko-KR"/>
              <a:t>, </a:t>
            </a:r>
            <a:r>
              <a:rPr lang="ko-KR" altLang="en-US"/>
              <a:t>기준</a:t>
            </a:r>
            <a:r>
              <a:rPr lang="en-US" altLang="ko-KR"/>
              <a:t>=</a:t>
            </a:r>
            <a:r>
              <a:rPr lang="ko-KR" altLang="en-US"/>
              <a:t>오픈 </a:t>
            </a:r>
            <a:r>
              <a:rPr lang="en-US" altLang="ko-KR"/>
              <a:t>4~9</a:t>
            </a:r>
            <a:r>
              <a:rPr lang="ko-KR" altLang="en-US"/>
              <a:t>개월 평균</a:t>
            </a:r>
            <a:r>
              <a:rPr lang="en-US" altLang="ko-KR"/>
              <a:t>=100)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요약_성장곡선!$B$2</c:f>
              <c:strCache>
                <c:ptCount val="1"/>
                <c:pt idx="0">
                  <c:v>그룹0(경쟁0)</c:v>
                </c:pt>
              </c:strCache>
            </c:strRef>
          </c:tx>
          <c:spPr>
            <a:ln w="28575" cap="rnd">
              <a:solidFill>
                <a:srgbClr val="290DFB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요약_성장곡선!$B$3:$B$50</c:f>
              <c:numCache>
                <c:formatCode>General</c:formatCode>
                <c:ptCount val="48"/>
                <c:pt idx="0">
                  <c:v>66.247363628111145</c:v>
                </c:pt>
                <c:pt idx="1">
                  <c:v>76.770819410463261</c:v>
                </c:pt>
                <c:pt idx="2">
                  <c:v>89.973806546706356</c:v>
                </c:pt>
                <c:pt idx="3">
                  <c:v>92.50554233557655</c:v>
                </c:pt>
                <c:pt idx="4">
                  <c:v>96.990759570244933</c:v>
                </c:pt>
                <c:pt idx="5">
                  <c:v>101.0059771858066</c:v>
                </c:pt>
                <c:pt idx="6">
                  <c:v>100.65036676315161</c:v>
                </c:pt>
                <c:pt idx="7">
                  <c:v>103.51068903182636</c:v>
                </c:pt>
                <c:pt idx="8">
                  <c:v>105.52068804833858</c:v>
                </c:pt>
                <c:pt idx="9">
                  <c:v>106.30981948394717</c:v>
                </c:pt>
                <c:pt idx="10">
                  <c:v>110.82314609417666</c:v>
                </c:pt>
                <c:pt idx="11">
                  <c:v>114.71430003699933</c:v>
                </c:pt>
                <c:pt idx="12">
                  <c:v>117.31465673663187</c:v>
                </c:pt>
                <c:pt idx="13">
                  <c:v>115.34861291605984</c:v>
                </c:pt>
                <c:pt idx="14">
                  <c:v>115.7491536927032</c:v>
                </c:pt>
                <c:pt idx="15">
                  <c:v>122.74010249130443</c:v>
                </c:pt>
                <c:pt idx="16">
                  <c:v>124.13466194725004</c:v>
                </c:pt>
                <c:pt idx="17">
                  <c:v>122.93332981137846</c:v>
                </c:pt>
                <c:pt idx="18">
                  <c:v>122.38261435924343</c:v>
                </c:pt>
                <c:pt idx="19">
                  <c:v>125.6421112156745</c:v>
                </c:pt>
                <c:pt idx="20">
                  <c:v>127.40709186173295</c:v>
                </c:pt>
                <c:pt idx="21">
                  <c:v>128.8779716091135</c:v>
                </c:pt>
                <c:pt idx="22">
                  <c:v>128.31435658201215</c:v>
                </c:pt>
                <c:pt idx="23">
                  <c:v>128.99135134436494</c:v>
                </c:pt>
                <c:pt idx="24">
                  <c:v>131.5388307926153</c:v>
                </c:pt>
                <c:pt idx="25">
                  <c:v>132.29578778107944</c:v>
                </c:pt>
                <c:pt idx="26">
                  <c:v>129.36564646233953</c:v>
                </c:pt>
                <c:pt idx="27">
                  <c:v>136.00233934531414</c:v>
                </c:pt>
                <c:pt idx="28">
                  <c:v>133.59024479122155</c:v>
                </c:pt>
                <c:pt idx="29">
                  <c:v>136.72023211647536</c:v>
                </c:pt>
                <c:pt idx="30">
                  <c:v>136.61178579302955</c:v>
                </c:pt>
                <c:pt idx="31">
                  <c:v>132.40005182439489</c:v>
                </c:pt>
                <c:pt idx="32">
                  <c:v>133.57477946377264</c:v>
                </c:pt>
                <c:pt idx="33">
                  <c:v>137.03309885640442</c:v>
                </c:pt>
                <c:pt idx="34">
                  <c:v>138.37993314983672</c:v>
                </c:pt>
                <c:pt idx="35">
                  <c:v>144.51771910045593</c:v>
                </c:pt>
                <c:pt idx="36">
                  <c:v>146.83488333851179</c:v>
                </c:pt>
                <c:pt idx="37">
                  <c:v>143.7891560394857</c:v>
                </c:pt>
                <c:pt idx="38">
                  <c:v>149.86371571014556</c:v>
                </c:pt>
                <c:pt idx="39">
                  <c:v>157.79447302953002</c:v>
                </c:pt>
                <c:pt idx="40">
                  <c:v>158.33749157781563</c:v>
                </c:pt>
                <c:pt idx="41">
                  <c:v>162.3810214305729</c:v>
                </c:pt>
                <c:pt idx="42">
                  <c:v>160.6211620888715</c:v>
                </c:pt>
                <c:pt idx="43">
                  <c:v>160.26336101343958</c:v>
                </c:pt>
                <c:pt idx="44">
                  <c:v>153.50470553989777</c:v>
                </c:pt>
                <c:pt idx="45">
                  <c:v>153.82167794639207</c:v>
                </c:pt>
                <c:pt idx="46">
                  <c:v>147.23375395933326</c:v>
                </c:pt>
                <c:pt idx="47">
                  <c:v>143.51148636089786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2-4D4B-AE91-09A8E911DF3E}"/>
            </c:ext>
          </c:extLst>
        </c:ser>
        <c:ser>
          <c:idx val="1"/>
          <c:order val="1"/>
          <c:tx>
            <c:strRef>
              <c:f>요약_성장곡선!$C$2</c:f>
              <c:strCache>
                <c:ptCount val="1"/>
                <c:pt idx="0">
                  <c:v>그룹1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요약_성장곡선!$C$3:$C$50</c:f>
              <c:numCache>
                <c:formatCode>General</c:formatCode>
                <c:ptCount val="48"/>
                <c:pt idx="0">
                  <c:v>70.759843335013883</c:v>
                </c:pt>
                <c:pt idx="1">
                  <c:v>81.243971882617785</c:v>
                </c:pt>
                <c:pt idx="2">
                  <c:v>88.239997806816575</c:v>
                </c:pt>
                <c:pt idx="3">
                  <c:v>94.218113594867944</c:v>
                </c:pt>
                <c:pt idx="4">
                  <c:v>98.707428032075498</c:v>
                </c:pt>
                <c:pt idx="5">
                  <c:v>98.442295611254337</c:v>
                </c:pt>
                <c:pt idx="6">
                  <c:v>102.33662928801135</c:v>
                </c:pt>
                <c:pt idx="7">
                  <c:v>101.32801037066668</c:v>
                </c:pt>
                <c:pt idx="8">
                  <c:v>105.40648785439184</c:v>
                </c:pt>
                <c:pt idx="9">
                  <c:v>109.04441482345334</c:v>
                </c:pt>
                <c:pt idx="10">
                  <c:v>109.68923387583554</c:v>
                </c:pt>
                <c:pt idx="11">
                  <c:v>109.7222444501252</c:v>
                </c:pt>
                <c:pt idx="12">
                  <c:v>112.22717406210054</c:v>
                </c:pt>
                <c:pt idx="13">
                  <c:v>112.83479724662352</c:v>
                </c:pt>
                <c:pt idx="14">
                  <c:v>116.25495275420953</c:v>
                </c:pt>
                <c:pt idx="15">
                  <c:v>117.98173403031301</c:v>
                </c:pt>
                <c:pt idx="16">
                  <c:v>115.50816280473548</c:v>
                </c:pt>
                <c:pt idx="17">
                  <c:v>119.73564383951546</c:v>
                </c:pt>
                <c:pt idx="18">
                  <c:v>117.38516698946572</c:v>
                </c:pt>
                <c:pt idx="19">
                  <c:v>119.9944489223051</c:v>
                </c:pt>
                <c:pt idx="20">
                  <c:v>119.03062072309369</c:v>
                </c:pt>
                <c:pt idx="21">
                  <c:v>115.86846455173503</c:v>
                </c:pt>
                <c:pt idx="22">
                  <c:v>115.9354791192262</c:v>
                </c:pt>
                <c:pt idx="23">
                  <c:v>117.37782430968372</c:v>
                </c:pt>
                <c:pt idx="24">
                  <c:v>122.05658296361824</c:v>
                </c:pt>
                <c:pt idx="25">
                  <c:v>120.96818282095657</c:v>
                </c:pt>
                <c:pt idx="26">
                  <c:v>125.19820188539779</c:v>
                </c:pt>
                <c:pt idx="27">
                  <c:v>126.60386223043872</c:v>
                </c:pt>
                <c:pt idx="28">
                  <c:v>128.00772431171271</c:v>
                </c:pt>
                <c:pt idx="29">
                  <c:v>129.06716695234286</c:v>
                </c:pt>
                <c:pt idx="30">
                  <c:v>128.57561619314282</c:v>
                </c:pt>
                <c:pt idx="31">
                  <c:v>130.52299763636509</c:v>
                </c:pt>
                <c:pt idx="32">
                  <c:v>129.78093610440703</c:v>
                </c:pt>
                <c:pt idx="33">
                  <c:v>132.26751850022868</c:v>
                </c:pt>
                <c:pt idx="34">
                  <c:v>134.33741709318127</c:v>
                </c:pt>
                <c:pt idx="35">
                  <c:v>139.94138138174961</c:v>
                </c:pt>
                <c:pt idx="36">
                  <c:v>140.48217068706296</c:v>
                </c:pt>
                <c:pt idx="37">
                  <c:v>133.52203244135953</c:v>
                </c:pt>
                <c:pt idx="38">
                  <c:v>136.63502613369999</c:v>
                </c:pt>
                <c:pt idx="39">
                  <c:v>134.6026222769018</c:v>
                </c:pt>
                <c:pt idx="40">
                  <c:v>145.75101687025361</c:v>
                </c:pt>
                <c:pt idx="41">
                  <c:v>146.96837124454356</c:v>
                </c:pt>
                <c:pt idx="42">
                  <c:v>152.80316738991891</c:v>
                </c:pt>
                <c:pt idx="43">
                  <c:v>150.92888367446838</c:v>
                </c:pt>
                <c:pt idx="44">
                  <c:v>153.15350580903575</c:v>
                </c:pt>
                <c:pt idx="45">
                  <c:v>147.99769560557678</c:v>
                </c:pt>
                <c:pt idx="46">
                  <c:v>150.55963192715697</c:v>
                </c:pt>
                <c:pt idx="47">
                  <c:v>150.78152685665893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2-4D4B-AE91-09A8E911DF3E}"/>
            </c:ext>
          </c:extLst>
        </c:ser>
        <c:ser>
          <c:idx val="2"/>
          <c:order val="2"/>
          <c:tx>
            <c:strRef>
              <c:f>요약_성장곡선!$D$2</c:f>
              <c:strCache>
                <c:ptCount val="1"/>
                <c:pt idx="0">
                  <c:v>그룹2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요약_성장곡선!$D$3:$D$50</c:f>
              <c:numCache>
                <c:formatCode>General</c:formatCode>
                <c:ptCount val="48"/>
                <c:pt idx="0">
                  <c:v>66.555541070017696</c:v>
                </c:pt>
                <c:pt idx="1">
                  <c:v>79.978936532409065</c:v>
                </c:pt>
                <c:pt idx="2">
                  <c:v>88.301058855159383</c:v>
                </c:pt>
                <c:pt idx="3">
                  <c:v>93.556964476715748</c:v>
                </c:pt>
                <c:pt idx="4">
                  <c:v>95.526395453158699</c:v>
                </c:pt>
                <c:pt idx="5">
                  <c:v>98.197520104846063</c:v>
                </c:pt>
                <c:pt idx="6">
                  <c:v>104.20552316749659</c:v>
                </c:pt>
                <c:pt idx="7">
                  <c:v>103.81707902841829</c:v>
                </c:pt>
                <c:pt idx="8">
                  <c:v>104.87715306818626</c:v>
                </c:pt>
                <c:pt idx="9">
                  <c:v>109.77260755558653</c:v>
                </c:pt>
                <c:pt idx="10">
                  <c:v>115.71453829406927</c:v>
                </c:pt>
                <c:pt idx="11">
                  <c:v>116.91378910657181</c:v>
                </c:pt>
                <c:pt idx="12">
                  <c:v>114.62516423228818</c:v>
                </c:pt>
                <c:pt idx="13">
                  <c:v>116.9594338181055</c:v>
                </c:pt>
                <c:pt idx="14">
                  <c:v>115.49487020755878</c:v>
                </c:pt>
                <c:pt idx="15">
                  <c:v>119.92975460618231</c:v>
                </c:pt>
                <c:pt idx="16">
                  <c:v>120.21334789169636</c:v>
                </c:pt>
                <c:pt idx="17">
                  <c:v>120.12435035910669</c:v>
                </c:pt>
                <c:pt idx="18">
                  <c:v>120.77791363332052</c:v>
                </c:pt>
                <c:pt idx="19">
                  <c:v>119.37917307747563</c:v>
                </c:pt>
                <c:pt idx="20">
                  <c:v>115.75658424675787</c:v>
                </c:pt>
                <c:pt idx="21">
                  <c:v>118.48393380664761</c:v>
                </c:pt>
                <c:pt idx="22">
                  <c:v>116.50290279797883</c:v>
                </c:pt>
                <c:pt idx="23">
                  <c:v>117.43589527679688</c:v>
                </c:pt>
                <c:pt idx="24">
                  <c:v>121.94420096373129</c:v>
                </c:pt>
                <c:pt idx="25">
                  <c:v>123.25004207037807</c:v>
                </c:pt>
                <c:pt idx="26">
                  <c:v>125.80622843087427</c:v>
                </c:pt>
                <c:pt idx="27">
                  <c:v>125.9902558747501</c:v>
                </c:pt>
                <c:pt idx="28">
                  <c:v>129.05968001159351</c:v>
                </c:pt>
                <c:pt idx="29">
                  <c:v>135.8286481600158</c:v>
                </c:pt>
                <c:pt idx="30">
                  <c:v>136.94502923800783</c:v>
                </c:pt>
                <c:pt idx="31">
                  <c:v>137.28445934465682</c:v>
                </c:pt>
                <c:pt idx="32">
                  <c:v>134.91463237215618</c:v>
                </c:pt>
                <c:pt idx="33">
                  <c:v>133.88638058890953</c:v>
                </c:pt>
                <c:pt idx="34">
                  <c:v>129.04066178840245</c:v>
                </c:pt>
                <c:pt idx="35">
                  <c:v>133.66996619341666</c:v>
                </c:pt>
                <c:pt idx="36">
                  <c:v>132.05459627085793</c:v>
                </c:pt>
                <c:pt idx="37">
                  <c:v>134.70942392452642</c:v>
                </c:pt>
                <c:pt idx="38">
                  <c:v>141.54174961940362</c:v>
                </c:pt>
                <c:pt idx="39">
                  <c:v>134.98978631558199</c:v>
                </c:pt>
                <c:pt idx="40">
                  <c:v>144.82076799307123</c:v>
                </c:pt>
                <c:pt idx="41">
                  <c:v>144.7602998146501</c:v>
                </c:pt>
                <c:pt idx="42">
                  <c:v>146.85169353276103</c:v>
                </c:pt>
                <c:pt idx="43">
                  <c:v>156.30403344257482</c:v>
                </c:pt>
                <c:pt idx="44">
                  <c:v>162.85373599568297</c:v>
                </c:pt>
                <c:pt idx="45">
                  <c:v>151.42400122731675</c:v>
                </c:pt>
                <c:pt idx="46">
                  <c:v>159.33328598327122</c:v>
                </c:pt>
                <c:pt idx="47">
                  <c:v>160.50015132643549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2-4D4B-AE91-09A8E911DF3E}"/>
            </c:ext>
          </c:extLst>
        </c:ser>
        <c:ser>
          <c:idx val="3"/>
          <c:order val="3"/>
          <c:tx>
            <c:strRef>
              <c:f>요약_성장곡선!$E$2</c:f>
              <c:strCache>
                <c:ptCount val="1"/>
                <c:pt idx="0">
                  <c:v>그룹3+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요약_성장곡선!$E$3:$E$50</c:f>
              <c:numCache>
                <c:formatCode>General</c:formatCode>
                <c:ptCount val="48"/>
                <c:pt idx="0">
                  <c:v>75.54893717348412</c:v>
                </c:pt>
                <c:pt idx="1">
                  <c:v>85.79110753888277</c:v>
                </c:pt>
                <c:pt idx="2">
                  <c:v>89.339693558706387</c:v>
                </c:pt>
                <c:pt idx="3">
                  <c:v>95.320334101645003</c:v>
                </c:pt>
                <c:pt idx="4">
                  <c:v>102.56641734508844</c:v>
                </c:pt>
                <c:pt idx="5">
                  <c:v>97.592832204730186</c:v>
                </c:pt>
                <c:pt idx="6">
                  <c:v>103.70754744288098</c:v>
                </c:pt>
                <c:pt idx="7">
                  <c:v>99.615326320821325</c:v>
                </c:pt>
                <c:pt idx="8">
                  <c:v>101.19754258483407</c:v>
                </c:pt>
                <c:pt idx="9">
                  <c:v>103.69318507605765</c:v>
                </c:pt>
                <c:pt idx="10">
                  <c:v>106.3700816995933</c:v>
                </c:pt>
                <c:pt idx="11">
                  <c:v>108.91704314031202</c:v>
                </c:pt>
                <c:pt idx="12">
                  <c:v>107.21090722333552</c:v>
                </c:pt>
                <c:pt idx="13">
                  <c:v>108.45014937212278</c:v>
                </c:pt>
                <c:pt idx="14">
                  <c:v>106.72683541863499</c:v>
                </c:pt>
                <c:pt idx="15">
                  <c:v>108.16247159623137</c:v>
                </c:pt>
                <c:pt idx="16">
                  <c:v>108.36374644004954</c:v>
                </c:pt>
                <c:pt idx="17">
                  <c:v>113.22488411294881</c:v>
                </c:pt>
                <c:pt idx="18">
                  <c:v>111.6773979091767</c:v>
                </c:pt>
                <c:pt idx="19">
                  <c:v>112.40787466987362</c:v>
                </c:pt>
                <c:pt idx="20">
                  <c:v>109.54238890381797</c:v>
                </c:pt>
                <c:pt idx="21">
                  <c:v>111.18620764629854</c:v>
                </c:pt>
                <c:pt idx="22">
                  <c:v>105.42107708763513</c:v>
                </c:pt>
                <c:pt idx="23">
                  <c:v>114.89250166905872</c:v>
                </c:pt>
                <c:pt idx="24">
                  <c:v>110.527037480274</c:v>
                </c:pt>
                <c:pt idx="25">
                  <c:v>106.0005418798283</c:v>
                </c:pt>
                <c:pt idx="26">
                  <c:v>106.13038345042028</c:v>
                </c:pt>
                <c:pt idx="27">
                  <c:v>102.81865991887842</c:v>
                </c:pt>
                <c:pt idx="28">
                  <c:v>104.13399424136225</c:v>
                </c:pt>
                <c:pt idx="29">
                  <c:v>98.226672229326383</c:v>
                </c:pt>
                <c:pt idx="30">
                  <c:v>101.70884876673681</c:v>
                </c:pt>
                <c:pt idx="31">
                  <c:v>101.17802220441628</c:v>
                </c:pt>
                <c:pt idx="32">
                  <c:v>101.57612954367107</c:v>
                </c:pt>
                <c:pt idx="33">
                  <c:v>104.71867098034765</c:v>
                </c:pt>
                <c:pt idx="34">
                  <c:v>103.47501095350341</c:v>
                </c:pt>
                <c:pt idx="35">
                  <c:v>99.388361555301316</c:v>
                </c:pt>
                <c:pt idx="36">
                  <c:v>93.951247308095304</c:v>
                </c:pt>
                <c:pt idx="37">
                  <c:v>96.551137304375345</c:v>
                </c:pt>
                <c:pt idx="38">
                  <c:v>96.28777441288635</c:v>
                </c:pt>
                <c:pt idx="39">
                  <c:v>98.646277445148641</c:v>
                </c:pt>
                <c:pt idx="40">
                  <c:v>103.45457978412401</c:v>
                </c:pt>
                <c:pt idx="41">
                  <c:v>103.04839647656418</c:v>
                </c:pt>
                <c:pt idx="42">
                  <c:v>97.183642696185387</c:v>
                </c:pt>
                <c:pt idx="43">
                  <c:v>99.298027373885532</c:v>
                </c:pt>
                <c:pt idx="44">
                  <c:v>100.64167798775642</c:v>
                </c:pt>
                <c:pt idx="45">
                  <c:v>86.611940601175505</c:v>
                </c:pt>
                <c:pt idx="46">
                  <c:v>86.340019942303229</c:v>
                </c:pt>
                <c:pt idx="47">
                  <c:v>84.192241244676097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2-4D4B-AE91-09A8E911D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695920"/>
        <c:axId val="1285691600"/>
      </c:lineChart>
      <c:catAx>
        <c:axId val="12856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오픈 후 개월수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1600"/>
        <c:crosses val="autoZero"/>
        <c:auto val="1"/>
        <c:lblAlgn val="ctr"/>
        <c:lblOffset val="100"/>
        <c:noMultiLvlLbl val="0"/>
      </c:catAx>
      <c:valAx>
        <c:axId val="1285691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지수 </a:t>
                </a:r>
                <a:r>
                  <a:rPr lang="en-US" altLang="ko-KR"/>
                  <a:t>(100=</a:t>
                </a:r>
                <a:r>
                  <a:rPr lang="ko-KR" altLang="en-US"/>
                  <a:t>오픈 </a:t>
                </a:r>
                <a:r>
                  <a:rPr lang="en-US" altLang="ko-KR"/>
                  <a:t>4~9</a:t>
                </a:r>
                <a:r>
                  <a:rPr lang="ko-KR" altLang="en-US"/>
                  <a:t>개월 평균</a:t>
                </a:r>
                <a:r>
                  <a:rPr lang="en-US" altLang="ko-K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552449</xdr:colOff>
      <xdr:row>2</xdr:row>
      <xdr:rowOff>0</xdr:rowOff>
    </xdr:from>
    <xdr:to>
      <xdr:col>24</xdr:col>
      <xdr:colOff>371474</xdr:colOff>
      <xdr:row>28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1DBDE8-9C39-E067-C231-C87CAC22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scho/Downloads/(26.05.22)&#47588;&#52636;&#49457;&#51109;%20&#48143;%20&#49884;&#51592;&#45328;&#47532;&#54000;%20&#48516;&#49437;_6&#44060;&#50900;%20&#47016;&#54532;&#50629;%20&#48152;&#50689;_v1.1(&#48124;&#51228;).xlsx" TargetMode="External"/><Relationship Id="rId2" Type="http://schemas.openxmlformats.org/officeDocument/2006/relationships/externalLinkPath" Target="file:///C:\Users\nscho\Downloads\(26.05.22)&#47588;&#52636;&#49457;&#51109;%20&#48143;%20&#49884;&#51592;&#45328;&#47532;&#54000;%20&#48516;&#49437;_6&#44060;&#50900;%20&#47016;&#54532;&#50629;%20&#48152;&#50689;_v1.1(&#48124;&#51228;).xlsx" TargetMode="External"/><Relationship Id="rId1" Type="http://schemas.openxmlformats.org/officeDocument/2006/relationships/externalLinkPath" Target="/Users/nscho/Downloads/(26.05.22)&#47588;&#52636;&#49457;&#51109;%20&#48143;%20&#49884;&#51592;&#45328;&#47532;&#54000;%20&#48516;&#49437;_6&#44060;&#50900;%20&#47016;&#54532;&#50629;%20&#48152;&#50689;_v1.1(&#48124;&#5122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요약_연차별성장률"/>
      <sheetName val="요약_월별시즈널리티"/>
      <sheetName val="요약_이상치감지"/>
      <sheetName val="요약_매장별성장률"/>
      <sheetName val="Calc_경쟁사없는매출"/>
      <sheetName val="Calc_매장별연차"/>
      <sheetName val="Calc_매장월인덱스"/>
      <sheetName val="Claude Log"/>
      <sheetName val="Raw_매출정보(전체)~26.02"/>
      <sheetName val="Raw_경쟁사데이터"/>
      <sheetName val="DB_지점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71500000</v>
          </cell>
        </row>
      </sheetData>
      <sheetData sheetId="6">
        <row r="2">
          <cell r="B2">
            <v>2017</v>
          </cell>
          <cell r="P2">
            <v>85.622074259296937</v>
          </cell>
          <cell r="Q2">
            <v>80.283778675893345</v>
          </cell>
          <cell r="R2">
            <v>90.471898351408711</v>
          </cell>
          <cell r="S2">
            <v>95.164713749890964</v>
          </cell>
          <cell r="T2">
            <v>99.386503067484654</v>
          </cell>
          <cell r="U2">
            <v>90.78591573866774</v>
          </cell>
          <cell r="V2">
            <v>111.49361788736078</v>
          </cell>
          <cell r="W2">
            <v>105.38772424621288</v>
          </cell>
          <cell r="X2">
            <v>110.65623818800336</v>
          </cell>
          <cell r="Y2">
            <v>126.11287180530921</v>
          </cell>
          <cell r="Z2">
            <v>99.700520454743696</v>
          </cell>
          <cell r="AA2">
            <v>104.93414357572762</v>
          </cell>
          <cell r="AB2">
            <v>0</v>
          </cell>
          <cell r="AD2">
            <v>2016</v>
          </cell>
          <cell r="AE2">
            <v>9</v>
          </cell>
        </row>
        <row r="3">
          <cell r="B3">
            <v>2018</v>
          </cell>
          <cell r="P3">
            <v>86.276177314765604</v>
          </cell>
          <cell r="Q3">
            <v>86.984869423478969</v>
          </cell>
          <cell r="R3">
            <v>94.355267354098018</v>
          </cell>
          <cell r="S3">
            <v>89.011728854399209</v>
          </cell>
          <cell r="T3">
            <v>102.5760958151731</v>
          </cell>
          <cell r="U3">
            <v>98.522376953332625</v>
          </cell>
          <cell r="V3">
            <v>108.08972042096312</v>
          </cell>
          <cell r="W3">
            <v>94.752134934977491</v>
          </cell>
          <cell r="X3">
            <v>113.29152049891924</v>
          </cell>
          <cell r="Y3">
            <v>114.01438644980688</v>
          </cell>
          <cell r="Z3">
            <v>99.670458169448281</v>
          </cell>
          <cell r="AA3">
            <v>112.45526381063746</v>
          </cell>
          <cell r="AB3">
            <v>0</v>
          </cell>
          <cell r="AD3">
            <v>2016</v>
          </cell>
          <cell r="AE3">
            <v>9</v>
          </cell>
        </row>
        <row r="4">
          <cell r="B4">
            <v>2019</v>
          </cell>
          <cell r="P4">
            <v>99.204734603292025</v>
          </cell>
          <cell r="Q4">
            <v>102.32487298599852</v>
          </cell>
          <cell r="R4">
            <v>96.476245389962898</v>
          </cell>
          <cell r="S4">
            <v>94.400504792262751</v>
          </cell>
          <cell r="T4">
            <v>97.964512233596963</v>
          </cell>
          <cell r="U4">
            <v>95.066308380204305</v>
          </cell>
          <cell r="V4">
            <v>97.076774116341554</v>
          </cell>
          <cell r="W4">
            <v>117.70363037021725</v>
          </cell>
          <cell r="X4">
            <v>102.99067657394009</v>
          </cell>
          <cell r="Y4">
            <v>111.05864946311425</v>
          </cell>
          <cell r="Z4">
            <v>99.322229354105247</v>
          </cell>
          <cell r="AA4">
            <v>86.410861736964065</v>
          </cell>
          <cell r="AB4">
            <v>0</v>
          </cell>
          <cell r="AD4">
            <v>2016</v>
          </cell>
          <cell r="AE4">
            <v>9</v>
          </cell>
        </row>
        <row r="5">
          <cell r="B5">
            <v>2020</v>
          </cell>
          <cell r="P5">
            <v>116.29417593306177</v>
          </cell>
          <cell r="Q5">
            <v>87.559176483540682</v>
          </cell>
          <cell r="R5">
            <v>101.34867334581085</v>
          </cell>
          <cell r="S5">
            <v>95.073213695915442</v>
          </cell>
          <cell r="T5">
            <v>106.18738302323021</v>
          </cell>
          <cell r="U5">
            <v>100.1100957833315</v>
          </cell>
          <cell r="V5">
            <v>87.757348893537383</v>
          </cell>
          <cell r="W5">
            <v>121.52923043047453</v>
          </cell>
          <cell r="X5">
            <v>99.746779698337562</v>
          </cell>
          <cell r="Y5">
            <v>103.41296928327645</v>
          </cell>
          <cell r="Z5">
            <v>92.150170648464169</v>
          </cell>
          <cell r="AA5">
            <v>88.830782781019494</v>
          </cell>
          <cell r="AB5">
            <v>0</v>
          </cell>
          <cell r="AD5">
            <v>2016</v>
          </cell>
          <cell r="AE5">
            <v>9</v>
          </cell>
        </row>
        <row r="6">
          <cell r="B6">
            <v>2021</v>
          </cell>
          <cell r="P6">
            <v>85.684628257906894</v>
          </cell>
          <cell r="Q6">
            <v>78.346526193889162</v>
          </cell>
          <cell r="R6">
            <v>90.226455863349742</v>
          </cell>
          <cell r="S6">
            <v>92.48042254814041</v>
          </cell>
          <cell r="T6">
            <v>108.58018458235948</v>
          </cell>
          <cell r="U6">
            <v>105.58054470861549</v>
          </cell>
          <cell r="V6">
            <v>99.42874089975075</v>
          </cell>
          <cell r="W6">
            <v>93.505723182951201</v>
          </cell>
          <cell r="X6">
            <v>104.42814068932402</v>
          </cell>
          <cell r="Y6">
            <v>130.17081282614376</v>
          </cell>
          <cell r="Z6">
            <v>113.04575015711391</v>
          </cell>
          <cell r="AA6">
            <v>98.522070090455244</v>
          </cell>
          <cell r="AB6">
            <v>0</v>
          </cell>
          <cell r="AD6">
            <v>2016</v>
          </cell>
          <cell r="AE6">
            <v>9</v>
          </cell>
        </row>
        <row r="7">
          <cell r="B7">
            <v>2022</v>
          </cell>
          <cell r="P7">
            <v>98.279543070116887</v>
          </cell>
          <cell r="Q7">
            <v>93.534163359036256</v>
          </cell>
          <cell r="R7">
            <v>94.942810397575954</v>
          </cell>
          <cell r="S7">
            <v>86.825481837990921</v>
          </cell>
          <cell r="T7">
            <v>99.987527604346269</v>
          </cell>
          <cell r="U7">
            <v>107.49737712856107</v>
          </cell>
          <cell r="V7">
            <v>113.5193432183183</v>
          </cell>
          <cell r="W7">
            <v>102.69917315353521</v>
          </cell>
          <cell r="X7">
            <v>100.48935811182605</v>
          </cell>
          <cell r="Y7">
            <v>114.11801820969767</v>
          </cell>
          <cell r="Z7">
            <v>95.418228773083115</v>
          </cell>
          <cell r="AA7">
            <v>92.688975135912429</v>
          </cell>
          <cell r="AB7">
            <v>0</v>
          </cell>
          <cell r="AD7">
            <v>2016</v>
          </cell>
          <cell r="AE7">
            <v>9</v>
          </cell>
        </row>
        <row r="8">
          <cell r="B8">
            <v>2023</v>
          </cell>
          <cell r="P8">
            <v>95.40442235563485</v>
          </cell>
          <cell r="Q8">
            <v>85.841297185607345</v>
          </cell>
          <cell r="R8">
            <v>92.972811781092744</v>
          </cell>
          <cell r="S8">
            <v>94.860031928498557</v>
          </cell>
          <cell r="T8">
            <v>106.43740167893031</v>
          </cell>
          <cell r="U8">
            <v>93.921139905164168</v>
          </cell>
          <cell r="V8">
            <v>101.87450258214965</v>
          </cell>
          <cell r="W8">
            <v>95.061637850014691</v>
          </cell>
          <cell r="X8">
            <v>108.41372039291078</v>
          </cell>
          <cell r="Y8">
            <v>122.02511424259943</v>
          </cell>
          <cell r="Z8">
            <v>110.67076310381782</v>
          </cell>
          <cell r="AA8">
            <v>92.517156993579675</v>
          </cell>
          <cell r="AB8">
            <v>0</v>
          </cell>
          <cell r="AD8">
            <v>2016</v>
          </cell>
          <cell r="AE8">
            <v>9</v>
          </cell>
        </row>
        <row r="9">
          <cell r="B9">
            <v>2024</v>
          </cell>
          <cell r="P9">
            <v>96.284800195696647</v>
          </cell>
          <cell r="Q9">
            <v>90.354541928304727</v>
          </cell>
          <cell r="R9">
            <v>96.070628696842547</v>
          </cell>
          <cell r="S9">
            <v>106.39208694473324</v>
          </cell>
          <cell r="T9">
            <v>103.32987927621325</v>
          </cell>
          <cell r="U9">
            <v>100.8982116594314</v>
          </cell>
          <cell r="V9">
            <v>106.84626053056199</v>
          </cell>
          <cell r="W9">
            <v>109.50356090052958</v>
          </cell>
          <cell r="X9">
            <v>98.598605062709737</v>
          </cell>
          <cell r="Y9">
            <v>107.37416248380778</v>
          </cell>
          <cell r="Z9">
            <v>96.144870254752036</v>
          </cell>
          <cell r="AA9">
            <v>88.202392066417119</v>
          </cell>
          <cell r="AB9">
            <v>0</v>
          </cell>
          <cell r="AD9">
            <v>2016</v>
          </cell>
          <cell r="AE9">
            <v>9</v>
          </cell>
        </row>
        <row r="10">
          <cell r="B10">
            <v>2025</v>
          </cell>
          <cell r="P10">
            <v>82.137189746033641</v>
          </cell>
          <cell r="Q10">
            <v>74.468562066754615</v>
          </cell>
          <cell r="R10">
            <v>97.46025090947596</v>
          </cell>
          <cell r="S10">
            <v>89.359640858361175</v>
          </cell>
          <cell r="T10">
            <v>115.65327571668216</v>
          </cell>
          <cell r="U10">
            <v>110.74653058100861</v>
          </cell>
          <cell r="V10">
            <v>108.67075780613038</v>
          </cell>
          <cell r="W10">
            <v>106.6444081925588</v>
          </cell>
          <cell r="X10">
            <v>95.111710168216888</v>
          </cell>
          <cell r="Y10">
            <v>122.43194446364399</v>
          </cell>
          <cell r="Z10">
            <v>101.97434698508027</v>
          </cell>
          <cell r="AA10">
            <v>95.341382506053563</v>
          </cell>
          <cell r="AB10">
            <v>0</v>
          </cell>
          <cell r="AD10">
            <v>2016</v>
          </cell>
          <cell r="AE10">
            <v>9</v>
          </cell>
        </row>
        <row r="11">
          <cell r="B11">
            <v>2017</v>
          </cell>
          <cell r="P11">
            <v>76.89979492256559</v>
          </cell>
          <cell r="Q11">
            <v>76.203945972703494</v>
          </cell>
          <cell r="R11">
            <v>88.304928930061536</v>
          </cell>
          <cell r="S11">
            <v>87.456332649741881</v>
          </cell>
          <cell r="T11">
            <v>106.27819814723145</v>
          </cell>
          <cell r="U11">
            <v>103.64754967824059</v>
          </cell>
          <cell r="V11">
            <v>129.852202814511</v>
          </cell>
          <cell r="W11">
            <v>116.66501661834383</v>
          </cell>
          <cell r="X11">
            <v>110.50420762322327</v>
          </cell>
          <cell r="Y11">
            <v>114.10225585177854</v>
          </cell>
          <cell r="Z11">
            <v>89.5269075737218</v>
          </cell>
          <cell r="AA11">
            <v>100.55865921787711</v>
          </cell>
          <cell r="AB11">
            <v>0</v>
          </cell>
          <cell r="AD11">
            <v>2016</v>
          </cell>
          <cell r="AE11">
            <v>12</v>
          </cell>
        </row>
        <row r="12">
          <cell r="B12">
            <v>2018</v>
          </cell>
          <cell r="P12">
            <v>87.48979829777312</v>
          </cell>
          <cell r="Q12">
            <v>84.27188993820684</v>
          </cell>
          <cell r="R12">
            <v>86.743616649178037</v>
          </cell>
          <cell r="S12">
            <v>77.602891453888304</v>
          </cell>
          <cell r="T12">
            <v>97.190159729509148</v>
          </cell>
          <cell r="U12">
            <v>102.56888577979868</v>
          </cell>
          <cell r="V12">
            <v>119.17142746103922</v>
          </cell>
          <cell r="W12">
            <v>97.796432318992657</v>
          </cell>
          <cell r="X12">
            <v>116.04679180754731</v>
          </cell>
          <cell r="Y12">
            <v>112.87551980101821</v>
          </cell>
          <cell r="Z12">
            <v>101.09206793362094</v>
          </cell>
          <cell r="AA12">
            <v>117.15051882942753</v>
          </cell>
          <cell r="AB12">
            <v>0</v>
          </cell>
          <cell r="AD12">
            <v>2016</v>
          </cell>
          <cell r="AE12">
            <v>12</v>
          </cell>
        </row>
        <row r="13">
          <cell r="B13">
            <v>2019</v>
          </cell>
          <cell r="P13">
            <v>93.147015086329219</v>
          </cell>
          <cell r="Q13">
            <v>78.026630946840271</v>
          </cell>
          <cell r="R13">
            <v>90.953878287718666</v>
          </cell>
          <cell r="S13">
            <v>89.727901195327661</v>
          </cell>
          <cell r="T13">
            <v>99.631071708308269</v>
          </cell>
          <cell r="U13">
            <v>100.93878060685866</v>
          </cell>
          <cell r="V13">
            <v>107.39559329345126</v>
          </cell>
          <cell r="W13">
            <v>117.23065396796568</v>
          </cell>
          <cell r="X13">
            <v>115.66412768324386</v>
          </cell>
          <cell r="Y13">
            <v>114.26106501084081</v>
          </cell>
          <cell r="Z13">
            <v>101.25208586380303</v>
          </cell>
          <cell r="AA13">
            <v>91.77119634931266</v>
          </cell>
          <cell r="AB13">
            <v>0</v>
          </cell>
          <cell r="AD13">
            <v>2016</v>
          </cell>
          <cell r="AE13">
            <v>12</v>
          </cell>
        </row>
        <row r="14">
          <cell r="B14">
            <v>2020</v>
          </cell>
          <cell r="P14">
            <v>121.82356755998806</v>
          </cell>
          <cell r="Q14">
            <v>113.53653620317949</v>
          </cell>
          <cell r="R14">
            <v>101.21115454051494</v>
          </cell>
          <cell r="S14">
            <v>86.950730022961096</v>
          </cell>
          <cell r="T14">
            <v>115.21918216395281</v>
          </cell>
          <cell r="U14">
            <v>92.629660140571048</v>
          </cell>
          <cell r="V14">
            <v>98.72925174837431</v>
          </cell>
          <cell r="W14">
            <v>122.07596445410407</v>
          </cell>
          <cell r="X14">
            <v>84.721224124936455</v>
          </cell>
          <cell r="Y14">
            <v>93.218586226841708</v>
          </cell>
          <cell r="Z14">
            <v>93.660280791544707</v>
          </cell>
          <cell r="AA14">
            <v>76.223862023031202</v>
          </cell>
          <cell r="AB14">
            <v>0</v>
          </cell>
          <cell r="AD14">
            <v>2016</v>
          </cell>
          <cell r="AE14">
            <v>12</v>
          </cell>
        </row>
        <row r="15">
          <cell r="B15">
            <v>2021</v>
          </cell>
          <cell r="P15">
            <v>91.353320525799745</v>
          </cell>
          <cell r="Q15">
            <v>81.094007828007051</v>
          </cell>
          <cell r="R15">
            <v>95.992729997528841</v>
          </cell>
          <cell r="S15">
            <v>101.13434358733171</v>
          </cell>
          <cell r="T15">
            <v>121.29425175572155</v>
          </cell>
          <cell r="U15">
            <v>105.97224325810902</v>
          </cell>
          <cell r="V15">
            <v>124.00376254513858</v>
          </cell>
          <cell r="W15">
            <v>99.776001020351231</v>
          </cell>
          <cell r="X15">
            <v>109.06438575653463</v>
          </cell>
          <cell r="Y15">
            <v>103.3488246032189</v>
          </cell>
          <cell r="Z15">
            <v>84.078535158274008</v>
          </cell>
          <cell r="AA15">
            <v>82.887593963984799</v>
          </cell>
          <cell r="AB15">
            <v>0</v>
          </cell>
          <cell r="AD15">
            <v>2016</v>
          </cell>
          <cell r="AE15">
            <v>12</v>
          </cell>
        </row>
        <row r="16">
          <cell r="B16">
            <v>2022</v>
          </cell>
          <cell r="P16">
            <v>87.108651785900022</v>
          </cell>
          <cell r="Q16">
            <v>89.517588566911442</v>
          </cell>
          <cell r="R16">
            <v>94.597574421168702</v>
          </cell>
          <cell r="S16">
            <v>96.444842004534962</v>
          </cell>
          <cell r="T16">
            <v>99.140854153231686</v>
          </cell>
          <cell r="U16">
            <v>106.06810759085519</v>
          </cell>
          <cell r="V16">
            <v>113.99388404651454</v>
          </cell>
          <cell r="W16">
            <v>97.331031183041745</v>
          </cell>
          <cell r="X16">
            <v>99.390484907740642</v>
          </cell>
          <cell r="Y16">
            <v>114.13118096149447</v>
          </cell>
          <cell r="Z16">
            <v>98.466851116057498</v>
          </cell>
          <cell r="AA16">
            <v>103.80894926254915</v>
          </cell>
          <cell r="AB16">
            <v>0</v>
          </cell>
          <cell r="AD16">
            <v>2016</v>
          </cell>
          <cell r="AE16">
            <v>12</v>
          </cell>
        </row>
        <row r="17">
          <cell r="B17">
            <v>2023</v>
          </cell>
          <cell r="P17">
            <v>82.696591286441816</v>
          </cell>
          <cell r="Q17">
            <v>78.490497334064031</v>
          </cell>
          <cell r="R17">
            <v>83.753098298176525</v>
          </cell>
          <cell r="S17">
            <v>93.630442153167934</v>
          </cell>
          <cell r="T17">
            <v>103.4679178190373</v>
          </cell>
          <cell r="U17">
            <v>102.77939419289925</v>
          </cell>
          <cell r="V17">
            <v>119.62968432533971</v>
          </cell>
          <cell r="W17">
            <v>113.74513961092303</v>
          </cell>
          <cell r="X17">
            <v>105.41587753954136</v>
          </cell>
          <cell r="Y17">
            <v>105.08277881942651</v>
          </cell>
          <cell r="Z17">
            <v>105.46451673027029</v>
          </cell>
          <cell r="AA17">
            <v>105.84406189071234</v>
          </cell>
          <cell r="AB17">
            <v>0</v>
          </cell>
          <cell r="AD17">
            <v>2016</v>
          </cell>
          <cell r="AE17">
            <v>12</v>
          </cell>
        </row>
        <row r="18">
          <cell r="B18">
            <v>2024</v>
          </cell>
          <cell r="P18">
            <v>89.280731957582361</v>
          </cell>
          <cell r="Q18">
            <v>82.390912164698875</v>
          </cell>
          <cell r="R18">
            <v>86.92429657921123</v>
          </cell>
          <cell r="S18">
            <v>94.86882434489668</v>
          </cell>
          <cell r="T18">
            <v>95.392657220962178</v>
          </cell>
          <cell r="U18">
            <v>97.510198805801892</v>
          </cell>
          <cell r="V18">
            <v>110.7678112131113</v>
          </cell>
          <cell r="W18">
            <v>99.454212850517891</v>
          </cell>
          <cell r="X18">
            <v>107.56540650541689</v>
          </cell>
          <cell r="Y18">
            <v>111.9584882157917</v>
          </cell>
          <cell r="Z18">
            <v>107.55655858713793</v>
          </cell>
          <cell r="AA18">
            <v>116.32990155487117</v>
          </cell>
          <cell r="AB18">
            <v>0</v>
          </cell>
          <cell r="AD18">
            <v>2016</v>
          </cell>
          <cell r="AE18">
            <v>12</v>
          </cell>
        </row>
        <row r="19">
          <cell r="B19">
            <v>2025</v>
          </cell>
          <cell r="P19">
            <v>92.209005656978874</v>
          </cell>
          <cell r="Q19">
            <v>81.017239324296511</v>
          </cell>
          <cell r="R19">
            <v>99.767869660272865</v>
          </cell>
          <cell r="S19">
            <v>97.433396929544898</v>
          </cell>
          <cell r="T19">
            <v>112.81701211161928</v>
          </cell>
          <cell r="U19">
            <v>104.26528038594482</v>
          </cell>
          <cell r="V19">
            <v>102.28354575134797</v>
          </cell>
          <cell r="W19">
            <v>100.4019980712761</v>
          </cell>
          <cell r="X19">
            <v>99.349284896858279</v>
          </cell>
          <cell r="Y19">
            <v>110.4411976758627</v>
          </cell>
          <cell r="Z19">
            <v>103.7480089718168</v>
          </cell>
          <cell r="AA19">
            <v>96.266160564180907</v>
          </cell>
          <cell r="AB19">
            <v>0</v>
          </cell>
          <cell r="AD19">
            <v>2016</v>
          </cell>
          <cell r="AE19">
            <v>12</v>
          </cell>
        </row>
        <row r="20">
          <cell r="B20">
            <v>2020</v>
          </cell>
          <cell r="P20">
            <v>76.136137943486503</v>
          </cell>
          <cell r="Q20">
            <v>79.017784598718052</v>
          </cell>
          <cell r="R20">
            <v>91.346032319220001</v>
          </cell>
          <cell r="S20">
            <v>80.512774216845713</v>
          </cell>
          <cell r="T20">
            <v>111.36589329240769</v>
          </cell>
          <cell r="U20">
            <v>99.362643314976978</v>
          </cell>
          <cell r="V20">
            <v>91.346032319220001</v>
          </cell>
          <cell r="W20">
            <v>143.02067346754535</v>
          </cell>
          <cell r="X20">
            <v>108.98257650988535</v>
          </cell>
          <cell r="Y20">
            <v>111.08422858174596</v>
          </cell>
          <cell r="Z20">
            <v>104.77927236616411</v>
          </cell>
          <cell r="AA20">
            <v>103.04595106978422</v>
          </cell>
          <cell r="AB20">
            <v>0</v>
          </cell>
          <cell r="AD20">
            <v>2019</v>
          </cell>
          <cell r="AE20">
            <v>11</v>
          </cell>
        </row>
        <row r="21">
          <cell r="B21">
            <v>2021</v>
          </cell>
          <cell r="P21">
            <v>77.128076501018967</v>
          </cell>
          <cell r="Q21">
            <v>80.753252860949985</v>
          </cell>
          <cell r="R21">
            <v>101.52453362596019</v>
          </cell>
          <cell r="S21">
            <v>93.66671892146104</v>
          </cell>
          <cell r="T21">
            <v>109.0492240163035</v>
          </cell>
          <cell r="U21">
            <v>112.24133876783196</v>
          </cell>
          <cell r="V21">
            <v>111.4202853111773</v>
          </cell>
          <cell r="W21">
            <v>98.908527982442379</v>
          </cell>
          <cell r="X21">
            <v>98.222683806239218</v>
          </cell>
          <cell r="Y21">
            <v>114.82991064430162</v>
          </cell>
          <cell r="Z21">
            <v>100.72111616240791</v>
          </cell>
          <cell r="AA21">
            <v>101.53433139990594</v>
          </cell>
          <cell r="AB21">
            <v>0</v>
          </cell>
          <cell r="AD21">
            <v>2019</v>
          </cell>
          <cell r="AE21">
            <v>11</v>
          </cell>
        </row>
        <row r="22">
          <cell r="B22">
            <v>2022</v>
          </cell>
          <cell r="P22">
            <v>91.00614276636307</v>
          </cell>
          <cell r="Q22">
            <v>77.475111205253128</v>
          </cell>
          <cell r="R22">
            <v>99.17390383393348</v>
          </cell>
          <cell r="S22">
            <v>92.776954035162035</v>
          </cell>
          <cell r="T22">
            <v>88.667655157805541</v>
          </cell>
          <cell r="U22">
            <v>109.38360516839654</v>
          </cell>
          <cell r="V22">
            <v>106.7824613429358</v>
          </cell>
          <cell r="W22">
            <v>113.35733954670621</v>
          </cell>
          <cell r="X22">
            <v>97.716585469180259</v>
          </cell>
          <cell r="Y22">
            <v>112.31518746028384</v>
          </cell>
          <cell r="Z22">
            <v>109.55306079220503</v>
          </cell>
          <cell r="AA22">
            <v>101.79199322177506</v>
          </cell>
          <cell r="AB22">
            <v>0</v>
          </cell>
          <cell r="AD22">
            <v>2019</v>
          </cell>
          <cell r="AE22">
            <v>11</v>
          </cell>
        </row>
        <row r="23">
          <cell r="B23">
            <v>2023</v>
          </cell>
          <cell r="P23">
            <v>88.953563866487954</v>
          </cell>
          <cell r="Q23">
            <v>89.786871467965739</v>
          </cell>
          <cell r="R23">
            <v>105.00484815126394</v>
          </cell>
          <cell r="S23">
            <v>92.497143764034263</v>
          </cell>
          <cell r="T23">
            <v>112.15673086685969</v>
          </cell>
          <cell r="U23">
            <v>101.72015993573014</v>
          </cell>
          <cell r="V23">
            <v>106.10513779981714</v>
          </cell>
          <cell r="W23">
            <v>73.03172542271821</v>
          </cell>
          <cell r="X23">
            <v>103.58094390019509</v>
          </cell>
          <cell r="Y23">
            <v>115.40096725707905</v>
          </cell>
          <cell r="Z23">
            <v>103.2249678374279</v>
          </cell>
          <cell r="AA23">
            <v>108.53693973042095</v>
          </cell>
          <cell r="AB23">
            <v>0</v>
          </cell>
          <cell r="AD23">
            <v>2019</v>
          </cell>
          <cell r="AE23">
            <v>11</v>
          </cell>
        </row>
        <row r="24">
          <cell r="B24">
            <v>2024</v>
          </cell>
          <cell r="P24">
            <v>102.53906215227727</v>
          </cell>
          <cell r="Q24">
            <v>97.946923304715355</v>
          </cell>
          <cell r="R24">
            <v>109.60088922069158</v>
          </cell>
          <cell r="S24">
            <v>112.03126752522594</v>
          </cell>
          <cell r="T24">
            <v>106.12395560780526</v>
          </cell>
          <cell r="U24">
            <v>99.695360017471074</v>
          </cell>
          <cell r="V24">
            <v>103.2148793730353</v>
          </cell>
          <cell r="W24">
            <v>99.618164457165307</v>
          </cell>
          <cell r="X24">
            <v>95.644729509913816</v>
          </cell>
          <cell r="Y24">
            <v>90.732271815252886</v>
          </cell>
          <cell r="Z24">
            <v>91.778257414672723</v>
          </cell>
          <cell r="AA24">
            <v>91.074239601773456</v>
          </cell>
          <cell r="AB24">
            <v>0</v>
          </cell>
          <cell r="AD24">
            <v>2019</v>
          </cell>
          <cell r="AE24">
            <v>11</v>
          </cell>
        </row>
        <row r="25">
          <cell r="B25">
            <v>2025</v>
          </cell>
          <cell r="P25">
            <v>98.394127758446729</v>
          </cell>
          <cell r="Q25">
            <v>79.521045475083213</v>
          </cell>
          <cell r="R25">
            <v>100.16199433338025</v>
          </cell>
          <cell r="S25">
            <v>101.56966923033954</v>
          </cell>
          <cell r="T25">
            <v>104.43281831250128</v>
          </cell>
          <cell r="U25">
            <v>106.05983254693135</v>
          </cell>
          <cell r="V25">
            <v>101.1893961945827</v>
          </cell>
          <cell r="W25">
            <v>102.85204776817629</v>
          </cell>
          <cell r="X25">
            <v>93.338575227665316</v>
          </cell>
          <cell r="Y25">
            <v>108.90940549988792</v>
          </cell>
          <cell r="Z25">
            <v>105.44607837244837</v>
          </cell>
          <cell r="AA25">
            <v>98.12500928055708</v>
          </cell>
          <cell r="AB25">
            <v>0</v>
          </cell>
          <cell r="AD25">
            <v>2019</v>
          </cell>
          <cell r="AE25">
            <v>11</v>
          </cell>
        </row>
        <row r="26">
          <cell r="B26">
            <v>2023</v>
          </cell>
          <cell r="P26">
            <v>70.564777971615527</v>
          </cell>
          <cell r="Q26">
            <v>69.939394800151177</v>
          </cell>
          <cell r="R26">
            <v>91.684991829620571</v>
          </cell>
          <cell r="S26">
            <v>96.316583069206388</v>
          </cell>
          <cell r="T26">
            <v>97.776283885770923</v>
          </cell>
          <cell r="U26">
            <v>100.52209947584905</v>
          </cell>
          <cell r="V26">
            <v>124.01933748519586</v>
          </cell>
          <cell r="W26">
            <v>111.58426458300292</v>
          </cell>
          <cell r="X26">
            <v>109.99042909680814</v>
          </cell>
          <cell r="Y26">
            <v>112.95717237804199</v>
          </cell>
          <cell r="Z26">
            <v>110.08164067215671</v>
          </cell>
          <cell r="AA26">
            <v>104.5630247525807</v>
          </cell>
          <cell r="AB26">
            <v>0</v>
          </cell>
          <cell r="AD26">
            <v>2022</v>
          </cell>
          <cell r="AE26">
            <v>11</v>
          </cell>
        </row>
        <row r="27">
          <cell r="B27">
            <v>2024</v>
          </cell>
          <cell r="P27">
            <v>89.066646025124214</v>
          </cell>
          <cell r="Q27">
            <v>86.042139282831855</v>
          </cell>
          <cell r="R27">
            <v>94.452810344821472</v>
          </cell>
          <cell r="S27">
            <v>94.71456972148475</v>
          </cell>
          <cell r="T27">
            <v>98.415702437962636</v>
          </cell>
          <cell r="U27">
            <v>89.562895217778333</v>
          </cell>
          <cell r="V27">
            <v>121.48134786905072</v>
          </cell>
          <cell r="W27">
            <v>108.00294141979963</v>
          </cell>
          <cell r="X27">
            <v>104.72718544401982</v>
          </cell>
          <cell r="Y27">
            <v>110.51372940713206</v>
          </cell>
          <cell r="Z27">
            <v>100.34630211619601</v>
          </cell>
          <cell r="AA27">
            <v>102.67373071379851</v>
          </cell>
          <cell r="AB27">
            <v>0</v>
          </cell>
          <cell r="AD27">
            <v>2022</v>
          </cell>
          <cell r="AE27">
            <v>11</v>
          </cell>
        </row>
        <row r="28">
          <cell r="B28">
            <v>2025</v>
          </cell>
          <cell r="P28">
            <v>103.49181566751349</v>
          </cell>
          <cell r="Q28">
            <v>80.346199318514735</v>
          </cell>
          <cell r="R28">
            <v>84.647838493253701</v>
          </cell>
          <cell r="S28">
            <v>102.36211602976894</v>
          </cell>
          <cell r="T28">
            <v>103.36786308987693</v>
          </cell>
          <cell r="U28">
            <v>101.33365587163593</v>
          </cell>
          <cell r="V28">
            <v>103.06359067304172</v>
          </cell>
          <cell r="W28">
            <v>104.81720803397363</v>
          </cell>
          <cell r="X28">
            <v>95.830161424572907</v>
          </cell>
          <cell r="Y28">
            <v>111.82641468669543</v>
          </cell>
          <cell r="Z28">
            <v>109.519511797654</v>
          </cell>
          <cell r="AA28">
            <v>99.393624913498641</v>
          </cell>
          <cell r="AB28">
            <v>0</v>
          </cell>
          <cell r="AD28">
            <v>2022</v>
          </cell>
          <cell r="AE28">
            <v>11</v>
          </cell>
        </row>
        <row r="29">
          <cell r="B29">
            <v>2025</v>
          </cell>
          <cell r="P29">
            <v>97.164896614983363</v>
          </cell>
          <cell r="Q29">
            <v>83.338138979280799</v>
          </cell>
          <cell r="R29">
            <v>101.69070996637386</v>
          </cell>
          <cell r="S29">
            <v>86.949144879676339</v>
          </cell>
          <cell r="T29">
            <v>110.25141733066629</v>
          </cell>
          <cell r="U29">
            <v>93.600185662028807</v>
          </cell>
          <cell r="V29">
            <v>77.193931423599764</v>
          </cell>
          <cell r="W29">
            <v>79.768123396931955</v>
          </cell>
          <cell r="X29">
            <v>117.55082849671021</v>
          </cell>
          <cell r="Y29">
            <v>122.28376351399548</v>
          </cell>
          <cell r="Z29">
            <v>109.728670215812</v>
          </cell>
          <cell r="AA29">
            <v>120.48018951994108</v>
          </cell>
          <cell r="AB29">
            <v>0</v>
          </cell>
          <cell r="AD29">
            <v>2024</v>
          </cell>
          <cell r="AE29">
            <v>6</v>
          </cell>
        </row>
        <row r="30">
          <cell r="B30">
            <v>2020</v>
          </cell>
          <cell r="P30">
            <v>60.971178049309039</v>
          </cell>
          <cell r="Q30">
            <v>63.991731817499875</v>
          </cell>
          <cell r="R30">
            <v>73.913550817649906</v>
          </cell>
          <cell r="S30">
            <v>79.014485989098006</v>
          </cell>
          <cell r="T30">
            <v>108.01980363066563</v>
          </cell>
          <cell r="U30">
            <v>114.72103218923471</v>
          </cell>
          <cell r="V30">
            <v>113.34077914284286</v>
          </cell>
          <cell r="W30">
            <v>147.90711630465586</v>
          </cell>
          <cell r="X30">
            <v>115.64120088682925</v>
          </cell>
          <cell r="Y30">
            <v>111.10036840087349</v>
          </cell>
          <cell r="Z30">
            <v>106.51952858023972</v>
          </cell>
          <cell r="AA30">
            <v>104.85922419110172</v>
          </cell>
          <cell r="AB30">
            <v>1</v>
          </cell>
          <cell r="AD30">
            <v>2020</v>
          </cell>
          <cell r="AE30">
            <v>1</v>
          </cell>
        </row>
        <row r="31">
          <cell r="B31">
            <v>2021</v>
          </cell>
          <cell r="P31">
            <v>84.111054707329444</v>
          </cell>
          <cell r="Q31">
            <v>81.966376003628525</v>
          </cell>
          <cell r="R31">
            <v>87.859736811277273</v>
          </cell>
          <cell r="S31">
            <v>89.842212923942</v>
          </cell>
          <cell r="T31">
            <v>106.22467461859861</v>
          </cell>
          <cell r="U31">
            <v>110.89430698942979</v>
          </cell>
          <cell r="V31">
            <v>120.20653796591942</v>
          </cell>
          <cell r="W31">
            <v>110.56809955634589</v>
          </cell>
          <cell r="X31">
            <v>108.81991607517789</v>
          </cell>
          <cell r="Y31">
            <v>132.47446060129101</v>
          </cell>
          <cell r="Z31">
            <v>86.715307418966276</v>
          </cell>
          <cell r="AA31">
            <v>80.317316328093781</v>
          </cell>
          <cell r="AB31">
            <v>1</v>
          </cell>
          <cell r="AD31">
            <v>2020</v>
          </cell>
          <cell r="AE31">
            <v>1</v>
          </cell>
        </row>
        <row r="32">
          <cell r="B32">
            <v>2022</v>
          </cell>
          <cell r="P32">
            <v>88.896048838392389</v>
          </cell>
          <cell r="Q32">
            <v>75.841953535696121</v>
          </cell>
          <cell r="R32">
            <v>98.602679328472092</v>
          </cell>
          <cell r="S32">
            <v>107.67848058334746</v>
          </cell>
          <cell r="T32">
            <v>106.57961675428183</v>
          </cell>
          <cell r="U32">
            <v>98.521282007800565</v>
          </cell>
          <cell r="V32">
            <v>106.42699677802273</v>
          </cell>
          <cell r="W32">
            <v>109.65236560963201</v>
          </cell>
          <cell r="X32">
            <v>100.68848567068001</v>
          </cell>
          <cell r="Y32">
            <v>111.09716805155163</v>
          </cell>
          <cell r="Z32">
            <v>100.58673901984059</v>
          </cell>
          <cell r="AA32">
            <v>95.428183822282506</v>
          </cell>
          <cell r="AB32">
            <v>1</v>
          </cell>
          <cell r="AD32">
            <v>2020</v>
          </cell>
          <cell r="AE32">
            <v>1</v>
          </cell>
        </row>
        <row r="33">
          <cell r="B33">
            <v>2023</v>
          </cell>
          <cell r="P33">
            <v>98.117651450969518</v>
          </cell>
          <cell r="Q33">
            <v>83.999791719814681</v>
          </cell>
          <cell r="R33">
            <v>95.288184782512602</v>
          </cell>
          <cell r="S33">
            <v>96.034849597799834</v>
          </cell>
          <cell r="T33">
            <v>100.87834636012364</v>
          </cell>
          <cell r="U33">
            <v>96.359059320227189</v>
          </cell>
          <cell r="V33">
            <v>111.77375794109143</v>
          </cell>
          <cell r="W33">
            <v>96.368883857270433</v>
          </cell>
          <cell r="X33">
            <v>101.61518663836763</v>
          </cell>
          <cell r="Y33">
            <v>112.55972090455168</v>
          </cell>
          <cell r="Z33">
            <v>104.70009126994914</v>
          </cell>
          <cell r="AA33">
            <v>102.30447615732228</v>
          </cell>
          <cell r="AB33">
            <v>1</v>
          </cell>
          <cell r="AD33">
            <v>2020</v>
          </cell>
          <cell r="AE33">
            <v>1</v>
          </cell>
        </row>
        <row r="34">
          <cell r="B34">
            <v>2024</v>
          </cell>
          <cell r="P34">
            <v>101.68153001036198</v>
          </cell>
          <cell r="Q34">
            <v>95.690426079651687</v>
          </cell>
          <cell r="R34">
            <v>108.63269711942334</v>
          </cell>
          <cell r="S34">
            <v>103.19614581088561</v>
          </cell>
          <cell r="T34">
            <v>98.364666578058674</v>
          </cell>
          <cell r="U34">
            <v>98.922703300475263</v>
          </cell>
          <cell r="V34">
            <v>105.86128893643323</v>
          </cell>
          <cell r="W34">
            <v>102.20995188070441</v>
          </cell>
          <cell r="X34">
            <v>94.374210431912289</v>
          </cell>
          <cell r="Y34">
            <v>96.955154468229523</v>
          </cell>
          <cell r="Z34">
            <v>92.307751864961432</v>
          </cell>
          <cell r="AA34">
            <v>101.80347351890254</v>
          </cell>
          <cell r="AB34">
            <v>1</v>
          </cell>
          <cell r="AD34">
            <v>2020</v>
          </cell>
          <cell r="AE34">
            <v>1</v>
          </cell>
        </row>
        <row r="35">
          <cell r="B35">
            <v>2025</v>
          </cell>
          <cell r="P35">
            <v>99.536557293812677</v>
          </cell>
          <cell r="Q35">
            <v>85.582607404456951</v>
          </cell>
          <cell r="R35">
            <v>101.01460560571796</v>
          </cell>
          <cell r="S35">
            <v>103.99603658139662</v>
          </cell>
          <cell r="T35">
            <v>107.3980177980859</v>
          </cell>
          <cell r="U35">
            <v>99.94781827247165</v>
          </cell>
          <cell r="V35">
            <v>103.53727369298495</v>
          </cell>
          <cell r="W35">
            <v>102.79962181442517</v>
          </cell>
          <cell r="X35">
            <v>89.628714517392908</v>
          </cell>
          <cell r="Y35">
            <v>111.52350588020863</v>
          </cell>
          <cell r="Z35">
            <v>96.293760254694689</v>
          </cell>
          <cell r="AA35">
            <v>98.741480884351844</v>
          </cell>
          <cell r="AB35">
            <v>1</v>
          </cell>
          <cell r="AD35">
            <v>2020</v>
          </cell>
          <cell r="AE35">
            <v>1</v>
          </cell>
        </row>
        <row r="36">
          <cell r="B36">
            <v>2020</v>
          </cell>
          <cell r="P36">
            <v>12.293790059892823</v>
          </cell>
          <cell r="Q36">
            <v>61.059157297467678</v>
          </cell>
          <cell r="R36">
            <v>58.88410213302511</v>
          </cell>
          <cell r="S36">
            <v>60.917305873699689</v>
          </cell>
          <cell r="T36">
            <v>88.988126510454961</v>
          </cell>
          <cell r="U36">
            <v>98.791636019754108</v>
          </cell>
          <cell r="V36">
            <v>134.31753703898286</v>
          </cell>
          <cell r="W36">
            <v>166.06073342439845</v>
          </cell>
          <cell r="X36">
            <v>124.15151833560995</v>
          </cell>
          <cell r="Y36">
            <v>140.71661237785017</v>
          </cell>
          <cell r="Z36">
            <v>136.38226331827258</v>
          </cell>
          <cell r="AA36">
            <v>117.43721761059156</v>
          </cell>
          <cell r="AB36">
            <v>0</v>
          </cell>
          <cell r="AD36">
            <v>2020</v>
          </cell>
          <cell r="AE36">
            <v>1</v>
          </cell>
        </row>
        <row r="37">
          <cell r="B37">
            <v>2021</v>
          </cell>
          <cell r="P37">
            <v>92.152110469448033</v>
          </cell>
          <cell r="Q37">
            <v>89.725504978369642</v>
          </cell>
          <cell r="R37">
            <v>90.10245340416823</v>
          </cell>
          <cell r="S37">
            <v>98.984300687047394</v>
          </cell>
          <cell r="T37">
            <v>110.78749826986562</v>
          </cell>
          <cell r="U37">
            <v>97.461193454054992</v>
          </cell>
          <cell r="V37">
            <v>100.32128963480176</v>
          </cell>
          <cell r="W37">
            <v>96.816847238705535</v>
          </cell>
          <cell r="X37">
            <v>100.25061180496454</v>
          </cell>
          <cell r="Y37">
            <v>120.76485191522195</v>
          </cell>
          <cell r="Z37">
            <v>94.655283609516772</v>
          </cell>
          <cell r="AA37">
            <v>107.97805453383553</v>
          </cell>
          <cell r="AB37">
            <v>0</v>
          </cell>
          <cell r="AD37">
            <v>2020</v>
          </cell>
          <cell r="AE37">
            <v>1</v>
          </cell>
        </row>
        <row r="38">
          <cell r="B38">
            <v>2022</v>
          </cell>
          <cell r="P38">
            <v>106.77686636040278</v>
          </cell>
          <cell r="Q38">
            <v>98.993062396947039</v>
          </cell>
          <cell r="R38">
            <v>115.7926392964918</v>
          </cell>
          <cell r="S38">
            <v>119.65031991786874</v>
          </cell>
          <cell r="T38">
            <v>119.10277815225395</v>
          </cell>
          <cell r="U38">
            <v>98.202860076116593</v>
          </cell>
          <cell r="V38">
            <v>95.073161120386601</v>
          </cell>
          <cell r="W38">
            <v>90.979042009312352</v>
          </cell>
          <cell r="X38">
            <v>91.203036367972956</v>
          </cell>
          <cell r="Y38">
            <v>102.33431158030093</v>
          </cell>
          <cell r="Z38">
            <v>83.263680766558466</v>
          </cell>
          <cell r="AA38">
            <v>78.628241955387793</v>
          </cell>
          <cell r="AB38">
            <v>0</v>
          </cell>
          <cell r="AD38">
            <v>2020</v>
          </cell>
          <cell r="AE38">
            <v>1</v>
          </cell>
        </row>
        <row r="39">
          <cell r="B39">
            <v>2023</v>
          </cell>
          <cell r="P39">
            <v>78.30523925879794</v>
          </cell>
          <cell r="Q39">
            <v>90.025065922434351</v>
          </cell>
          <cell r="R39">
            <v>91.704780493118392</v>
          </cell>
          <cell r="S39">
            <v>98.881742749677485</v>
          </cell>
          <cell r="T39">
            <v>107.15815454341157</v>
          </cell>
          <cell r="U39">
            <v>101.24861328109591</v>
          </cell>
          <cell r="V39">
            <v>99.210050597583901</v>
          </cell>
          <cell r="W39">
            <v>99.4696428494169</v>
          </cell>
          <cell r="X39">
            <v>109.26543282299701</v>
          </cell>
          <cell r="Y39">
            <v>118.78636041228339</v>
          </cell>
          <cell r="Z39">
            <v>105.46316984026677</v>
          </cell>
          <cell r="AA39">
            <v>100.48174722891633</v>
          </cell>
          <cell r="AB39">
            <v>0</v>
          </cell>
          <cell r="AD39">
            <v>2020</v>
          </cell>
          <cell r="AE39">
            <v>1</v>
          </cell>
        </row>
        <row r="40">
          <cell r="B40">
            <v>2024</v>
          </cell>
          <cell r="P40">
            <v>82.817220955470262</v>
          </cell>
          <cell r="Q40">
            <v>84.987404827061496</v>
          </cell>
          <cell r="R40">
            <v>104.78011750181066</v>
          </cell>
          <cell r="S40">
            <v>101.93675325498863</v>
          </cell>
          <cell r="T40">
            <v>102.24127383843506</v>
          </cell>
          <cell r="U40">
            <v>104.17473339504232</v>
          </cell>
          <cell r="V40">
            <v>101.59214566633101</v>
          </cell>
          <cell r="W40">
            <v>107.7933943882647</v>
          </cell>
          <cell r="X40">
            <v>104.72385503835635</v>
          </cell>
          <cell r="Y40">
            <v>115.193455550251</v>
          </cell>
          <cell r="Z40">
            <v>93.807952535110417</v>
          </cell>
          <cell r="AA40">
            <v>95.951693048878141</v>
          </cell>
          <cell r="AB40">
            <v>0</v>
          </cell>
          <cell r="AD40">
            <v>2020</v>
          </cell>
          <cell r="AE40">
            <v>1</v>
          </cell>
        </row>
        <row r="41">
          <cell r="B41">
            <v>2025</v>
          </cell>
          <cell r="P41">
            <v>71.669013092149243</v>
          </cell>
          <cell r="Q41">
            <v>76.571814194128891</v>
          </cell>
          <cell r="R41">
            <v>103.74794606970499</v>
          </cell>
          <cell r="S41">
            <v>99.794962489512187</v>
          </cell>
          <cell r="T41">
            <v>107.93221092749093</v>
          </cell>
          <cell r="U41">
            <v>113.50209497658099</v>
          </cell>
          <cell r="V41">
            <v>95.788457137981453</v>
          </cell>
          <cell r="W41">
            <v>106.95589107931693</v>
          </cell>
          <cell r="X41">
            <v>105.80413875842419</v>
          </cell>
          <cell r="Y41">
            <v>114.97394368837402</v>
          </cell>
          <cell r="Z41">
            <v>106.66889027649036</v>
          </cell>
          <cell r="AA41">
            <v>96.590637309845803</v>
          </cell>
          <cell r="AB41">
            <v>0</v>
          </cell>
          <cell r="AD41">
            <v>2020</v>
          </cell>
          <cell r="AE41">
            <v>1</v>
          </cell>
        </row>
        <row r="42">
          <cell r="B42">
            <v>2021</v>
          </cell>
          <cell r="P42">
            <v>94.704008851693331</v>
          </cell>
          <cell r="Q42">
            <v>68.133745847210236</v>
          </cell>
          <cell r="R42">
            <v>89.276083695063221</v>
          </cell>
          <cell r="S42">
            <v>99.79031634112296</v>
          </cell>
          <cell r="T42">
            <v>109.39356854131471</v>
          </cell>
          <cell r="U42">
            <v>105.78039234789078</v>
          </cell>
          <cell r="V42">
            <v>106.01307193677289</v>
          </cell>
          <cell r="W42">
            <v>98.139164282987224</v>
          </cell>
          <cell r="X42">
            <v>110.49965063267275</v>
          </cell>
          <cell r="Y42">
            <v>128.0238778096867</v>
          </cell>
          <cell r="Z42">
            <v>101.89506074626379</v>
          </cell>
          <cell r="AA42">
            <v>88.351058967321421</v>
          </cell>
          <cell r="AB42">
            <v>0</v>
          </cell>
          <cell r="AD42">
            <v>2020</v>
          </cell>
          <cell r="AE42">
            <v>7</v>
          </cell>
        </row>
        <row r="43">
          <cell r="B43">
            <v>2022</v>
          </cell>
          <cell r="P43">
            <v>87.863181683941363</v>
          </cell>
          <cell r="Q43">
            <v>83.293619960026717</v>
          </cell>
          <cell r="R43">
            <v>85.428659076821376</v>
          </cell>
          <cell r="S43">
            <v>93.082647869973357</v>
          </cell>
          <cell r="T43">
            <v>92.76835277156195</v>
          </cell>
          <cell r="U43">
            <v>105.3365441206797</v>
          </cell>
          <cell r="V43">
            <v>111.86918580409721</v>
          </cell>
          <cell r="W43">
            <v>103.23437954866141</v>
          </cell>
          <cell r="X43">
            <v>109.79556067204963</v>
          </cell>
          <cell r="Y43">
            <v>106.24221976633183</v>
          </cell>
          <cell r="Z43">
            <v>103.93052512870595</v>
          </cell>
          <cell r="AA43">
            <v>117.15512359714954</v>
          </cell>
          <cell r="AB43">
            <v>0</v>
          </cell>
          <cell r="AD43">
            <v>2020</v>
          </cell>
          <cell r="AE43">
            <v>7</v>
          </cell>
        </row>
        <row r="44">
          <cell r="B44">
            <v>2023</v>
          </cell>
          <cell r="P44">
            <v>96.480739017732063</v>
          </cell>
          <cell r="Q44">
            <v>95.674701003989199</v>
          </cell>
          <cell r="R44">
            <v>100.85283772567324</v>
          </cell>
          <cell r="S44">
            <v>96.339643687879189</v>
          </cell>
          <cell r="T44">
            <v>111.96564204950251</v>
          </cell>
          <cell r="U44">
            <v>92.850628469850534</v>
          </cell>
          <cell r="V44">
            <v>113.96573023408365</v>
          </cell>
          <cell r="W44">
            <v>86.517737864370574</v>
          </cell>
          <cell r="X44">
            <v>95.032345949658975</v>
          </cell>
          <cell r="Y44">
            <v>93.022975177587497</v>
          </cell>
          <cell r="Z44">
            <v>99.147935823284286</v>
          </cell>
          <cell r="AA44">
            <v>118.14908299638832</v>
          </cell>
          <cell r="AB44">
            <v>0</v>
          </cell>
          <cell r="AD44">
            <v>2020</v>
          </cell>
          <cell r="AE44">
            <v>7</v>
          </cell>
        </row>
        <row r="45">
          <cell r="B45">
            <v>2024</v>
          </cell>
          <cell r="P45">
            <v>105.458708531795</v>
          </cell>
          <cell r="Q45">
            <v>83.466527627533466</v>
          </cell>
          <cell r="R45">
            <v>93.126933203695415</v>
          </cell>
          <cell r="S45">
            <v>116.30784303174582</v>
          </cell>
          <cell r="T45">
            <v>106.92604144825833</v>
          </cell>
          <cell r="U45">
            <v>98.558458595346025</v>
          </cell>
          <cell r="V45">
            <v>104.46508590057834</v>
          </cell>
          <cell r="W45">
            <v>94.464566359333276</v>
          </cell>
          <cell r="X45">
            <v>99.928655854023745</v>
          </cell>
          <cell r="Y45">
            <v>105.22574994850974</v>
          </cell>
          <cell r="Z45">
            <v>93.879804132950611</v>
          </cell>
          <cell r="AA45">
            <v>98.191625366230184</v>
          </cell>
          <cell r="AB45">
            <v>0</v>
          </cell>
          <cell r="AD45">
            <v>2020</v>
          </cell>
          <cell r="AE45">
            <v>7</v>
          </cell>
        </row>
        <row r="46">
          <cell r="B46">
            <v>2025</v>
          </cell>
          <cell r="P46">
            <v>101.4733296354547</v>
          </cell>
          <cell r="Q46">
            <v>85.125400213447165</v>
          </cell>
          <cell r="R46">
            <v>107.74351584002694</v>
          </cell>
          <cell r="S46">
            <v>110.33805749031063</v>
          </cell>
          <cell r="T46">
            <v>116.29518199179914</v>
          </cell>
          <cell r="U46">
            <v>103.61078540133686</v>
          </cell>
          <cell r="V46">
            <v>111.0960933550525</v>
          </cell>
          <cell r="W46">
            <v>97.626014576195018</v>
          </cell>
          <cell r="X46">
            <v>83.065354153794303</v>
          </cell>
          <cell r="Y46">
            <v>112.01079172049656</v>
          </cell>
          <cell r="Z46">
            <v>95.143111413806665</v>
          </cell>
          <cell r="AA46">
            <v>76.472364208279501</v>
          </cell>
          <cell r="AB46">
            <v>0</v>
          </cell>
          <cell r="AD46">
            <v>2020</v>
          </cell>
          <cell r="AE46">
            <v>7</v>
          </cell>
        </row>
        <row r="47">
          <cell r="B47">
            <v>2021</v>
          </cell>
          <cell r="P47">
            <v>109.86411312715509</v>
          </cell>
          <cell r="Q47">
            <v>98.117162031996628</v>
          </cell>
          <cell r="R47">
            <v>116.30234593892463</v>
          </cell>
          <cell r="S47">
            <v>105.04485113939776</v>
          </cell>
          <cell r="T47">
            <v>119.35203516555231</v>
          </cell>
          <cell r="U47">
            <v>93.151063155549835</v>
          </cell>
          <cell r="V47">
            <v>94.709793204715083</v>
          </cell>
          <cell r="W47">
            <v>80.654867423232218</v>
          </cell>
          <cell r="X47">
            <v>80.327308210001846</v>
          </cell>
          <cell r="Y47">
            <v>100.42513671832103</v>
          </cell>
          <cell r="Z47">
            <v>93.889012647425176</v>
          </cell>
          <cell r="AA47">
            <v>108.16231123772828</v>
          </cell>
          <cell r="AB47">
            <v>1</v>
          </cell>
          <cell r="AD47">
            <v>2020</v>
          </cell>
          <cell r="AE47">
            <v>7</v>
          </cell>
        </row>
        <row r="48">
          <cell r="B48">
            <v>2022</v>
          </cell>
          <cell r="P48">
            <v>94.3264112032996</v>
          </cell>
          <cell r="Q48">
            <v>81.596086518632205</v>
          </cell>
          <cell r="R48">
            <v>105.46064936933482</v>
          </cell>
          <cell r="S48">
            <v>115.70476236151744</v>
          </cell>
          <cell r="T48">
            <v>104.86211692484773</v>
          </cell>
          <cell r="U48">
            <v>107.61306412162486</v>
          </cell>
          <cell r="V48">
            <v>107.55167617860056</v>
          </cell>
          <cell r="W48">
            <v>95.945518200565914</v>
          </cell>
          <cell r="X48">
            <v>40.608124310584628</v>
          </cell>
          <cell r="Y48">
            <v>75.782648314229533</v>
          </cell>
          <cell r="Z48">
            <v>125.28742026761306</v>
          </cell>
          <cell r="AA48">
            <v>145.26152222914968</v>
          </cell>
          <cell r="AB48">
            <v>1</v>
          </cell>
          <cell r="AD48">
            <v>2020</v>
          </cell>
          <cell r="AE48">
            <v>7</v>
          </cell>
        </row>
        <row r="49">
          <cell r="B49">
            <v>2023</v>
          </cell>
          <cell r="P49">
            <v>98.616502596160885</v>
          </cell>
          <cell r="Q49">
            <v>71.595842183506903</v>
          </cell>
          <cell r="R49">
            <v>94.590127264341234</v>
          </cell>
          <cell r="S49">
            <v>89.756101423484012</v>
          </cell>
          <cell r="T49">
            <v>100.45747066823181</v>
          </cell>
          <cell r="U49">
            <v>91.347648014822752</v>
          </cell>
          <cell r="V49">
            <v>125.89846170291526</v>
          </cell>
          <cell r="W49">
            <v>102.57161464777134</v>
          </cell>
          <cell r="X49">
            <v>106.47921784590899</v>
          </cell>
          <cell r="Y49">
            <v>110.93317285898381</v>
          </cell>
          <cell r="Z49">
            <v>99.590434092353235</v>
          </cell>
          <cell r="AA49">
            <v>108.16340670151968</v>
          </cell>
          <cell r="AB49">
            <v>1</v>
          </cell>
          <cell r="AD49">
            <v>2020</v>
          </cell>
          <cell r="AE49">
            <v>7</v>
          </cell>
        </row>
        <row r="50">
          <cell r="B50">
            <v>2024</v>
          </cell>
          <cell r="P50">
            <v>95.858322541583277</v>
          </cell>
          <cell r="Q50">
            <v>85.819808607611961</v>
          </cell>
          <cell r="R50">
            <v>95.783649237289552</v>
          </cell>
          <cell r="S50">
            <v>97.642409054979055</v>
          </cell>
          <cell r="T50">
            <v>104.77370961502884</v>
          </cell>
          <cell r="U50">
            <v>101.09554482921004</v>
          </cell>
          <cell r="V50">
            <v>104.2913604332397</v>
          </cell>
          <cell r="W50">
            <v>103.15511528952723</v>
          </cell>
          <cell r="X50">
            <v>101.61220336702601</v>
          </cell>
          <cell r="Y50">
            <v>109.91204022940178</v>
          </cell>
          <cell r="Z50">
            <v>101.39020165155821</v>
          </cell>
          <cell r="AA50">
            <v>98.665635143544279</v>
          </cell>
          <cell r="AB50">
            <v>1</v>
          </cell>
          <cell r="AD50">
            <v>2020</v>
          </cell>
          <cell r="AE50">
            <v>7</v>
          </cell>
        </row>
        <row r="51">
          <cell r="B51">
            <v>2025</v>
          </cell>
          <cell r="P51">
            <v>79.86070689810235</v>
          </cell>
          <cell r="Q51">
            <v>73.002823994963578</v>
          </cell>
          <cell r="R51">
            <v>93.20866984441048</v>
          </cell>
          <cell r="S51">
            <v>88.111233024552575</v>
          </cell>
          <cell r="T51">
            <v>105.39192373414876</v>
          </cell>
          <cell r="U51">
            <v>108.58472884252181</v>
          </cell>
          <cell r="V51">
            <v>105.95139850705999</v>
          </cell>
          <cell r="W51">
            <v>109.90916449320981</v>
          </cell>
          <cell r="X51">
            <v>98.426117456605809</v>
          </cell>
          <cell r="Y51">
            <v>134.83946398057381</v>
          </cell>
          <cell r="Z51">
            <v>104.56220883172949</v>
          </cell>
          <cell r="AA51">
            <v>98.151560392121596</v>
          </cell>
          <cell r="AB51">
            <v>1</v>
          </cell>
          <cell r="AD51">
            <v>2020</v>
          </cell>
          <cell r="AE51">
            <v>7</v>
          </cell>
        </row>
        <row r="52">
          <cell r="B52">
            <v>2021</v>
          </cell>
          <cell r="P52">
            <v>82.082105151564747</v>
          </cell>
          <cell r="Q52">
            <v>87.585588616915615</v>
          </cell>
          <cell r="R52">
            <v>122.54238811542567</v>
          </cell>
          <cell r="S52">
            <v>111.48010979311236</v>
          </cell>
          <cell r="T52">
            <v>124.25704125538421</v>
          </cell>
          <cell r="U52">
            <v>111.25333308750494</v>
          </cell>
          <cell r="V52">
            <v>98.885705923158653</v>
          </cell>
          <cell r="W52">
            <v>96.955338355914975</v>
          </cell>
          <cell r="X52">
            <v>82.801153242515099</v>
          </cell>
          <cell r="Y52">
            <v>98.974204149737162</v>
          </cell>
          <cell r="Z52">
            <v>91.974547541293418</v>
          </cell>
          <cell r="AA52">
            <v>91.208484767473223</v>
          </cell>
          <cell r="AB52">
            <v>0</v>
          </cell>
          <cell r="AD52">
            <v>2020</v>
          </cell>
          <cell r="AE52">
            <v>8</v>
          </cell>
        </row>
        <row r="53">
          <cell r="B53">
            <v>2022</v>
          </cell>
          <cell r="P53">
            <v>64.385860979462876</v>
          </cell>
          <cell r="Q53">
            <v>54.966429699842024</v>
          </cell>
          <cell r="R53">
            <v>73.795418641390214</v>
          </cell>
          <cell r="S53">
            <v>78.228672985781984</v>
          </cell>
          <cell r="T53">
            <v>90.580568720379148</v>
          </cell>
          <cell r="U53">
            <v>101.21445497630333</v>
          </cell>
          <cell r="V53">
            <v>128.16943127962085</v>
          </cell>
          <cell r="W53">
            <v>131.1611374407583</v>
          </cell>
          <cell r="X53">
            <v>120.27053712480253</v>
          </cell>
          <cell r="Y53">
            <v>134.22195892575039</v>
          </cell>
          <cell r="Z53">
            <v>115.1263823064771</v>
          </cell>
          <cell r="AA53">
            <v>107.87914691943128</v>
          </cell>
          <cell r="AB53">
            <v>0</v>
          </cell>
          <cell r="AD53">
            <v>2020</v>
          </cell>
          <cell r="AE53">
            <v>8</v>
          </cell>
        </row>
        <row r="54">
          <cell r="B54">
            <v>2023</v>
          </cell>
          <cell r="P54">
            <v>73.93533001132235</v>
          </cell>
          <cell r="Q54">
            <v>66.516242374998342</v>
          </cell>
          <cell r="R54">
            <v>82.574445392286322</v>
          </cell>
          <cell r="S54">
            <v>106.99973057720639</v>
          </cell>
          <cell r="T54">
            <v>111.97876272425052</v>
          </cell>
          <cell r="U54">
            <v>109.52222037355656</v>
          </cell>
          <cell r="V54">
            <v>123.75862520459164</v>
          </cell>
          <cell r="W54">
            <v>108.59071270366255</v>
          </cell>
          <cell r="X54">
            <v>110.65157038041922</v>
          </cell>
          <cell r="Y54">
            <v>122.86009125752575</v>
          </cell>
          <cell r="Z54">
            <v>91.782357492035132</v>
          </cell>
          <cell r="AA54">
            <v>90.829911508145273</v>
          </cell>
          <cell r="AB54">
            <v>0</v>
          </cell>
          <cell r="AD54">
            <v>2020</v>
          </cell>
          <cell r="AE54">
            <v>8</v>
          </cell>
        </row>
        <row r="55">
          <cell r="B55">
            <v>2024</v>
          </cell>
          <cell r="P55">
            <v>83.131852688301962</v>
          </cell>
          <cell r="Q55">
            <v>67.231704728673705</v>
          </cell>
          <cell r="R55">
            <v>84.942321062438381</v>
          </cell>
          <cell r="S55">
            <v>93.324659852010882</v>
          </cell>
          <cell r="T55">
            <v>100.6528093341276</v>
          </cell>
          <cell r="U55">
            <v>109.39264041263026</v>
          </cell>
          <cell r="V55">
            <v>116.13352327159521</v>
          </cell>
          <cell r="W55">
            <v>120.15221443539804</v>
          </cell>
          <cell r="X55">
            <v>116.20977059559559</v>
          </cell>
          <cell r="Y55">
            <v>114.5433904913786</v>
          </cell>
          <cell r="Z55">
            <v>94.034187658134243</v>
          </cell>
          <cell r="AA55">
            <v>100.2509254697156</v>
          </cell>
          <cell r="AB55">
            <v>0</v>
          </cell>
          <cell r="AD55">
            <v>2020</v>
          </cell>
          <cell r="AE55">
            <v>8</v>
          </cell>
        </row>
        <row r="56">
          <cell r="B56">
            <v>2025</v>
          </cell>
          <cell r="P56">
            <v>78.669513105020698</v>
          </cell>
          <cell r="Q56">
            <v>68.11328353328679</v>
          </cell>
          <cell r="R56">
            <v>84.195071083106825</v>
          </cell>
          <cell r="S56">
            <v>97.462949800593606</v>
          </cell>
          <cell r="T56">
            <v>105.31169636195384</v>
          </cell>
          <cell r="U56">
            <v>113.64131594329511</v>
          </cell>
          <cell r="V56">
            <v>110.70709417107163</v>
          </cell>
          <cell r="W56">
            <v>103.44880261481806</v>
          </cell>
          <cell r="X56">
            <v>97.299713041644935</v>
          </cell>
          <cell r="Y56">
            <v>114.78624569341535</v>
          </cell>
          <cell r="Z56">
            <v>122.95982456782657</v>
          </cell>
          <cell r="AA56">
            <v>103.40449008396658</v>
          </cell>
          <cell r="AB56">
            <v>0</v>
          </cell>
          <cell r="AD56">
            <v>2020</v>
          </cell>
          <cell r="AE56">
            <v>8</v>
          </cell>
        </row>
        <row r="57">
          <cell r="B57">
            <v>2021</v>
          </cell>
          <cell r="P57">
            <v>90.585694320924915</v>
          </cell>
          <cell r="Q57">
            <v>84.893914369203401</v>
          </cell>
          <cell r="R57">
            <v>95.616821242535892</v>
          </cell>
          <cell r="S57">
            <v>85.427518739677296</v>
          </cell>
          <cell r="T57">
            <v>107.66103417608943</v>
          </cell>
          <cell r="U57">
            <v>101.35179773853386</v>
          </cell>
          <cell r="V57">
            <v>103.63359166560792</v>
          </cell>
          <cell r="W57">
            <v>88.413162241138352</v>
          </cell>
          <cell r="X57">
            <v>91.779951721509335</v>
          </cell>
          <cell r="Y57">
            <v>132.1560157540338</v>
          </cell>
          <cell r="Z57">
            <v>99.003938508448741</v>
          </cell>
          <cell r="AA57">
            <v>119.47655952229704</v>
          </cell>
          <cell r="AB57">
            <v>0</v>
          </cell>
          <cell r="AD57">
            <v>2020</v>
          </cell>
          <cell r="AE57">
            <v>9</v>
          </cell>
        </row>
        <row r="58">
          <cell r="B58">
            <v>2022</v>
          </cell>
          <cell r="P58">
            <v>98.605161094070809</v>
          </cell>
          <cell r="Q58">
            <v>84.348145707115506</v>
          </cell>
          <cell r="R58">
            <v>105.94184896955564</v>
          </cell>
          <cell r="S58">
            <v>102.05011533879184</v>
          </cell>
          <cell r="T58">
            <v>99.166011812720214</v>
          </cell>
          <cell r="U58">
            <v>97.44543587923647</v>
          </cell>
          <cell r="V58">
            <v>108.68526451874571</v>
          </cell>
          <cell r="W58">
            <v>102.43795786965448</v>
          </cell>
          <cell r="X58">
            <v>90.028898070927013</v>
          </cell>
          <cell r="Y58">
            <v>113.2557225785191</v>
          </cell>
          <cell r="Z58">
            <v>95.846536033866499</v>
          </cell>
          <cell r="AA58">
            <v>102.18890212679661</v>
          </cell>
          <cell r="AB58">
            <v>0</v>
          </cell>
          <cell r="AD58">
            <v>2020</v>
          </cell>
          <cell r="AE58">
            <v>9</v>
          </cell>
        </row>
        <row r="59">
          <cell r="B59">
            <v>2023</v>
          </cell>
          <cell r="P59">
            <v>109.08786831158434</v>
          </cell>
          <cell r="Q59">
            <v>89.002891124401472</v>
          </cell>
          <cell r="R59">
            <v>102.67524256400131</v>
          </cell>
          <cell r="S59">
            <v>97.677748732937403</v>
          </cell>
          <cell r="T59">
            <v>108.26056042192702</v>
          </cell>
          <cell r="U59">
            <v>67.690806541076185</v>
          </cell>
          <cell r="V59">
            <v>123.56575638058736</v>
          </cell>
          <cell r="W59">
            <v>87.845055919976772</v>
          </cell>
          <cell r="X59">
            <v>91.492731615284015</v>
          </cell>
          <cell r="Y59">
            <v>116.22884167494223</v>
          </cell>
          <cell r="Z59">
            <v>96.517934323035036</v>
          </cell>
          <cell r="AA59">
            <v>109.95456239024688</v>
          </cell>
          <cell r="AB59">
            <v>0</v>
          </cell>
          <cell r="AD59">
            <v>2020</v>
          </cell>
          <cell r="AE59">
            <v>9</v>
          </cell>
        </row>
        <row r="60">
          <cell r="B60">
            <v>2024</v>
          </cell>
          <cell r="P60">
            <v>95.890434137542414</v>
          </cell>
          <cell r="Q60">
            <v>99.187241657683273</v>
          </cell>
          <cell r="R60">
            <v>104.88443140088938</v>
          </cell>
          <cell r="S60">
            <v>110.35275038972594</v>
          </cell>
          <cell r="T60">
            <v>105.46863068052537</v>
          </cell>
          <cell r="U60">
            <v>95.988038163530376</v>
          </cell>
          <cell r="V60">
            <v>106.04962398850482</v>
          </cell>
          <cell r="W60">
            <v>84.077319130878891</v>
          </cell>
          <cell r="X60">
            <v>93.412752375647258</v>
          </cell>
          <cell r="Y60">
            <v>106.01916725776771</v>
          </cell>
          <cell r="Z60">
            <v>93.597095745898258</v>
          </cell>
          <cell r="AA60">
            <v>105.07251507140634</v>
          </cell>
          <cell r="AB60">
            <v>0</v>
          </cell>
          <cell r="AD60">
            <v>2020</v>
          </cell>
          <cell r="AE60">
            <v>9</v>
          </cell>
        </row>
        <row r="61">
          <cell r="B61">
            <v>2025</v>
          </cell>
          <cell r="P61">
            <v>102.43051131821703</v>
          </cell>
          <cell r="Q61">
            <v>88.86014792559692</v>
          </cell>
          <cell r="R61">
            <v>105.32302500751476</v>
          </cell>
          <cell r="S61">
            <v>99.131300971470253</v>
          </cell>
          <cell r="T61">
            <v>125.42493320822142</v>
          </cell>
          <cell r="U61">
            <v>117.43282608393568</v>
          </cell>
          <cell r="V61">
            <v>98.550305746543032</v>
          </cell>
          <cell r="W61">
            <v>85.932177730125375</v>
          </cell>
          <cell r="X61">
            <v>85.211813862118959</v>
          </cell>
          <cell r="Y61">
            <v>120.53737670124312</v>
          </cell>
          <cell r="Z61">
            <v>84.048770248714817</v>
          </cell>
          <cell r="AA61">
            <v>87.116811196298713</v>
          </cell>
          <cell r="AB61">
            <v>0</v>
          </cell>
          <cell r="AD61">
            <v>2020</v>
          </cell>
          <cell r="AE61">
            <v>9</v>
          </cell>
        </row>
        <row r="62">
          <cell r="B62">
            <v>2021</v>
          </cell>
          <cell r="P62">
            <v>77.057180244745624</v>
          </cell>
          <cell r="Q62">
            <v>67.876043359132936</v>
          </cell>
          <cell r="R62">
            <v>83.544957785685952</v>
          </cell>
          <cell r="S62">
            <v>96.740724637885748</v>
          </cell>
          <cell r="T62">
            <v>110.42773313156667</v>
          </cell>
          <cell r="U62">
            <v>102.08340097316663</v>
          </cell>
          <cell r="V62">
            <v>115.71281561922562</v>
          </cell>
          <cell r="W62">
            <v>103.93148590715251</v>
          </cell>
          <cell r="X62">
            <v>100.52667315067991</v>
          </cell>
          <cell r="Y62">
            <v>128.10396254141324</v>
          </cell>
          <cell r="Z62">
            <v>112.73148703644364</v>
          </cell>
          <cell r="AA62">
            <v>101.26353561290161</v>
          </cell>
          <cell r="AB62">
            <v>0</v>
          </cell>
          <cell r="AD62">
            <v>2020</v>
          </cell>
          <cell r="AE62">
            <v>11</v>
          </cell>
        </row>
        <row r="63">
          <cell r="B63">
            <v>2022</v>
          </cell>
          <cell r="P63">
            <v>78.546833043752969</v>
          </cell>
          <cell r="Q63">
            <v>73.643974095719472</v>
          </cell>
          <cell r="R63">
            <v>89.489812036013276</v>
          </cell>
          <cell r="S63">
            <v>93.583951982309273</v>
          </cell>
          <cell r="T63">
            <v>101.82277681250986</v>
          </cell>
          <cell r="U63">
            <v>104.47638603696099</v>
          </cell>
          <cell r="V63">
            <v>111.91912809982625</v>
          </cell>
          <cell r="W63">
            <v>119.66513978834308</v>
          </cell>
          <cell r="X63">
            <v>107.54067287948192</v>
          </cell>
          <cell r="Y63">
            <v>117.34007265834781</v>
          </cell>
          <cell r="Z63">
            <v>99.365029221292062</v>
          </cell>
          <cell r="AA63">
            <v>102.60622334544306</v>
          </cell>
          <cell r="AB63">
            <v>0</v>
          </cell>
          <cell r="AD63">
            <v>2020</v>
          </cell>
          <cell r="AE63">
            <v>11</v>
          </cell>
        </row>
        <row r="64">
          <cell r="B64">
            <v>2023</v>
          </cell>
          <cell r="P64">
            <v>89.235345984050227</v>
          </cell>
          <cell r="Q64">
            <v>84.142340982545392</v>
          </cell>
          <cell r="R64">
            <v>97.890051587943745</v>
          </cell>
          <cell r="S64">
            <v>98.009153041208336</v>
          </cell>
          <cell r="T64">
            <v>112.23894095743955</v>
          </cell>
          <cell r="U64">
            <v>102.03024496333187</v>
          </cell>
          <cell r="V64">
            <v>110.86643849600952</v>
          </cell>
          <cell r="W64">
            <v>97.839008107973214</v>
          </cell>
          <cell r="X64">
            <v>74.790041152387843</v>
          </cell>
          <cell r="Y64">
            <v>114.98394588029963</v>
          </cell>
          <cell r="Z64">
            <v>101.09444783053867</v>
          </cell>
          <cell r="AA64">
            <v>116.88004101627189</v>
          </cell>
          <cell r="AB64">
            <v>0</v>
          </cell>
          <cell r="AD64">
            <v>2020</v>
          </cell>
          <cell r="AE64">
            <v>11</v>
          </cell>
        </row>
        <row r="65">
          <cell r="B65">
            <v>2024</v>
          </cell>
          <cell r="P65">
            <v>101.9567147843848</v>
          </cell>
          <cell r="Q65">
            <v>90.884262138919823</v>
          </cell>
          <cell r="R65">
            <v>105.86033352218472</v>
          </cell>
          <cell r="S65">
            <v>103.99968810088673</v>
          </cell>
          <cell r="T65">
            <v>107.86686173442352</v>
          </cell>
          <cell r="U65">
            <v>106.45696854366062</v>
          </cell>
          <cell r="V65">
            <v>94.189198377476231</v>
          </cell>
          <cell r="W65">
            <v>96.515952112566225</v>
          </cell>
          <cell r="X65">
            <v>97.50211977932625</v>
          </cell>
          <cell r="Y65">
            <v>102.29925781490272</v>
          </cell>
          <cell r="Z65">
            <v>93.024797771047446</v>
          </cell>
          <cell r="AA65">
            <v>99.443845320220831</v>
          </cell>
          <cell r="AB65">
            <v>0</v>
          </cell>
          <cell r="AD65">
            <v>2020</v>
          </cell>
          <cell r="AE65">
            <v>11</v>
          </cell>
        </row>
        <row r="66">
          <cell r="B66">
            <v>2025</v>
          </cell>
          <cell r="P66">
            <v>95.290870112804171</v>
          </cell>
          <cell r="Q66">
            <v>87.14990911787956</v>
          </cell>
          <cell r="R66">
            <v>101.99513366202886</v>
          </cell>
          <cell r="S66">
            <v>98.350437453872701</v>
          </cell>
          <cell r="T66">
            <v>113.34332347030423</v>
          </cell>
          <cell r="U66">
            <v>110.19537559967189</v>
          </cell>
          <cell r="V66">
            <v>98.774490912734507</v>
          </cell>
          <cell r="W66">
            <v>99.197354425665836</v>
          </cell>
          <cell r="X66">
            <v>97.192836417321615</v>
          </cell>
          <cell r="Y66">
            <v>110.42535969496276</v>
          </cell>
          <cell r="Z66">
            <v>93.90988377203125</v>
          </cell>
          <cell r="AA66">
            <v>94.175025360722643</v>
          </cell>
          <cell r="AB66">
            <v>0</v>
          </cell>
          <cell r="AD66">
            <v>2020</v>
          </cell>
          <cell r="AE66">
            <v>11</v>
          </cell>
        </row>
        <row r="67">
          <cell r="B67">
            <v>2021</v>
          </cell>
          <cell r="P67">
            <v>21.377997716025885</v>
          </cell>
          <cell r="Q67">
            <v>67.386372287780745</v>
          </cell>
          <cell r="R67">
            <v>89.166349448039583</v>
          </cell>
          <cell r="S67">
            <v>94.720974495622386</v>
          </cell>
          <cell r="T67">
            <v>106.63418347925389</v>
          </cell>
          <cell r="U67">
            <v>117.08930338789494</v>
          </cell>
          <cell r="V67">
            <v>121.8618956985154</v>
          </cell>
          <cell r="W67">
            <v>100.95896459840121</v>
          </cell>
          <cell r="X67">
            <v>111.92204035020936</v>
          </cell>
          <cell r="Y67">
            <v>146.90521507422915</v>
          </cell>
          <cell r="Z67">
            <v>101.40479634564142</v>
          </cell>
          <cell r="AA67">
            <v>120.57190711838599</v>
          </cell>
          <cell r="AB67">
            <v>1</v>
          </cell>
          <cell r="AD67">
            <v>2021</v>
          </cell>
          <cell r="AE67">
            <v>1</v>
          </cell>
        </row>
        <row r="68">
          <cell r="B68">
            <v>2023</v>
          </cell>
          <cell r="P68">
            <v>82.300585834188155</v>
          </cell>
          <cell r="Q68">
            <v>74.062979777023742</v>
          </cell>
          <cell r="R68">
            <v>80.880140415590702</v>
          </cell>
          <cell r="S68">
            <v>96.784133653633404</v>
          </cell>
          <cell r="T68">
            <v>114.64829813064279</v>
          </cell>
          <cell r="U68">
            <v>104.07640504956763</v>
          </cell>
          <cell r="V68">
            <v>109.86461153360776</v>
          </cell>
          <cell r="W68">
            <v>99.281858778078487</v>
          </cell>
          <cell r="X68">
            <v>109.04470611232253</v>
          </cell>
          <cell r="Y68">
            <v>111.8899408192991</v>
          </cell>
          <cell r="Z68">
            <v>96.268299117063222</v>
          </cell>
          <cell r="AA68">
            <v>120.89804077898256</v>
          </cell>
          <cell r="AB68">
            <v>1</v>
          </cell>
          <cell r="AD68">
            <v>2021</v>
          </cell>
          <cell r="AE68">
            <v>1</v>
          </cell>
        </row>
        <row r="69">
          <cell r="B69">
            <v>2022</v>
          </cell>
          <cell r="P69">
            <v>95.802440305913947</v>
          </cell>
          <cell r="Q69">
            <v>82.047988790939343</v>
          </cell>
          <cell r="R69">
            <v>94.354603304337672</v>
          </cell>
          <cell r="S69">
            <v>97.495475509370081</v>
          </cell>
          <cell r="T69">
            <v>84.931986689240475</v>
          </cell>
          <cell r="U69">
            <v>90.770039114951246</v>
          </cell>
          <cell r="V69">
            <v>113.24654095393775</v>
          </cell>
          <cell r="W69">
            <v>110.3975713701909</v>
          </cell>
          <cell r="X69">
            <v>91.890945180687723</v>
          </cell>
          <cell r="Y69">
            <v>113.63185241403468</v>
          </cell>
          <cell r="Z69">
            <v>106.48607624496469</v>
          </cell>
          <cell r="AA69">
            <v>118.94448012143148</v>
          </cell>
          <cell r="AB69">
            <v>0</v>
          </cell>
          <cell r="AD69">
            <v>2021</v>
          </cell>
          <cell r="AE69">
            <v>3</v>
          </cell>
        </row>
        <row r="70">
          <cell r="B70">
            <v>2023</v>
          </cell>
          <cell r="P70">
            <v>105.88641381703241</v>
          </cell>
          <cell r="Q70">
            <v>87.743434391494262</v>
          </cell>
          <cell r="R70">
            <v>97.627363311591992</v>
          </cell>
          <cell r="S70">
            <v>93.264430109804977</v>
          </cell>
          <cell r="T70">
            <v>102.36734012340996</v>
          </cell>
          <cell r="U70">
            <v>92.352882296411039</v>
          </cell>
          <cell r="V70">
            <v>111.5645110395227</v>
          </cell>
          <cell r="W70">
            <v>92.76655299998788</v>
          </cell>
          <cell r="X70">
            <v>99.677044193550842</v>
          </cell>
          <cell r="Y70">
            <v>101.28827722041656</v>
          </cell>
          <cell r="Z70">
            <v>115.00117377266695</v>
          </cell>
          <cell r="AA70">
            <v>100.46057672411047</v>
          </cell>
          <cell r="AB70">
            <v>0</v>
          </cell>
          <cell r="AD70">
            <v>2021</v>
          </cell>
          <cell r="AE70">
            <v>3</v>
          </cell>
        </row>
        <row r="71">
          <cell r="B71">
            <v>2024</v>
          </cell>
          <cell r="P71">
            <v>101.26368661177685</v>
          </cell>
          <cell r="Q71">
            <v>104.29389161930969</v>
          </cell>
          <cell r="R71">
            <v>106.06460830945696</v>
          </cell>
          <cell r="S71">
            <v>97.14990870430313</v>
          </cell>
          <cell r="T71">
            <v>96.007697331880678</v>
          </cell>
          <cell r="U71">
            <v>96.177831491475061</v>
          </cell>
          <cell r="V71">
            <v>103.22683659894108</v>
          </cell>
          <cell r="W71">
            <v>87.601748417552727</v>
          </cell>
          <cell r="X71">
            <v>96.461939020118095</v>
          </cell>
          <cell r="Y71">
            <v>108.01949935683508</v>
          </cell>
          <cell r="Z71">
            <v>104.48136955245495</v>
          </cell>
          <cell r="AA71">
            <v>99.250982985895803</v>
          </cell>
          <cell r="AB71">
            <v>0</v>
          </cell>
          <cell r="AD71">
            <v>2021</v>
          </cell>
          <cell r="AE71">
            <v>3</v>
          </cell>
        </row>
        <row r="72">
          <cell r="B72">
            <v>2025</v>
          </cell>
          <cell r="P72">
            <v>102.14430251202928</v>
          </cell>
          <cell r="Q72">
            <v>89.523593309139954</v>
          </cell>
          <cell r="R72">
            <v>111.58475286517613</v>
          </cell>
          <cell r="S72">
            <v>94.599446302714583</v>
          </cell>
          <cell r="T72">
            <v>106.73973168859999</v>
          </cell>
          <cell r="U72">
            <v>101.56028985842178</v>
          </cell>
          <cell r="V72">
            <v>94.045613073944338</v>
          </cell>
          <cell r="W72">
            <v>91.471389701339248</v>
          </cell>
          <cell r="X72">
            <v>92.911845492220309</v>
          </cell>
          <cell r="Y72">
            <v>117.42814204177404</v>
          </cell>
          <cell r="Z72">
            <v>99.668774015243315</v>
          </cell>
          <cell r="AA72">
            <v>98.322119139396989</v>
          </cell>
          <cell r="AB72">
            <v>0</v>
          </cell>
          <cell r="AD72">
            <v>2021</v>
          </cell>
          <cell r="AE72">
            <v>3</v>
          </cell>
        </row>
        <row r="73">
          <cell r="B73">
            <v>2022</v>
          </cell>
          <cell r="P73">
            <v>128.60033878487161</v>
          </cell>
          <cell r="Q73">
            <v>125.92004077410846</v>
          </cell>
          <cell r="R73">
            <v>123.77940008094861</v>
          </cell>
          <cell r="S73">
            <v>91.310018138482079</v>
          </cell>
          <cell r="T73">
            <v>89.87093195820654</v>
          </cell>
          <cell r="U73">
            <v>89.70903476292554</v>
          </cell>
          <cell r="V73">
            <v>93.558590295162574</v>
          </cell>
          <cell r="W73">
            <v>111.31331604431188</v>
          </cell>
          <cell r="X73">
            <v>87.874199883074255</v>
          </cell>
          <cell r="Y73">
            <v>85.067981831536983</v>
          </cell>
          <cell r="Z73">
            <v>85.787524921674745</v>
          </cell>
          <cell r="AA73">
            <v>87.208622524696821</v>
          </cell>
          <cell r="AB73">
            <v>0</v>
          </cell>
          <cell r="AD73">
            <v>2021</v>
          </cell>
          <cell r="AE73">
            <v>3</v>
          </cell>
        </row>
        <row r="74">
          <cell r="B74">
            <v>2023</v>
          </cell>
          <cell r="P74">
            <v>96.906874783420974</v>
          </cell>
          <cell r="Q74">
            <v>91.356425052355632</v>
          </cell>
          <cell r="R74">
            <v>94.881955011827102</v>
          </cell>
          <cell r="S74">
            <v>99.275307730553095</v>
          </cell>
          <cell r="T74">
            <v>104.5726424901692</v>
          </cell>
          <cell r="U74">
            <v>98.136290359031548</v>
          </cell>
          <cell r="V74">
            <v>118.6747623280551</v>
          </cell>
          <cell r="W74">
            <v>93.363265183131702</v>
          </cell>
          <cell r="X74">
            <v>109.45414551097585</v>
          </cell>
          <cell r="Y74">
            <v>104.40992572280898</v>
          </cell>
          <cell r="Z74">
            <v>93.761017281123344</v>
          </cell>
          <cell r="AA74">
            <v>95.207388546547548</v>
          </cell>
          <cell r="AB74">
            <v>0</v>
          </cell>
          <cell r="AD74">
            <v>2021</v>
          </cell>
          <cell r="AE74">
            <v>3</v>
          </cell>
        </row>
        <row r="75">
          <cell r="B75">
            <v>2024</v>
          </cell>
          <cell r="P75">
            <v>98.647593465971198</v>
          </cell>
          <cell r="Q75">
            <v>101.25245963082112</v>
          </cell>
          <cell r="R75">
            <v>105.37526938813755</v>
          </cell>
          <cell r="S75">
            <v>107.68029484336445</v>
          </cell>
          <cell r="T75">
            <v>107.49289439985009</v>
          </cell>
          <cell r="U75">
            <v>98.403972889402496</v>
          </cell>
          <cell r="V75">
            <v>109.08579816972232</v>
          </cell>
          <cell r="W75">
            <v>93.625261579785729</v>
          </cell>
          <cell r="X75">
            <v>94.449823531249024</v>
          </cell>
          <cell r="Y75">
            <v>96.15516756722991</v>
          </cell>
          <cell r="Z75">
            <v>89.015210669331907</v>
          </cell>
          <cell r="AA75">
            <v>98.816253865134144</v>
          </cell>
          <cell r="AB75">
            <v>0</v>
          </cell>
          <cell r="AD75">
            <v>2021</v>
          </cell>
          <cell r="AE75">
            <v>3</v>
          </cell>
        </row>
        <row r="76">
          <cell r="B76">
            <v>2025</v>
          </cell>
          <cell r="P76">
            <v>126.02817953195181</v>
          </cell>
          <cell r="Q76">
            <v>97.694901108072784</v>
          </cell>
          <cell r="R76">
            <v>114.8046870710199</v>
          </cell>
          <cell r="S76">
            <v>90.051505068142632</v>
          </cell>
          <cell r="T76">
            <v>91.676824915713979</v>
          </cell>
          <cell r="U76">
            <v>94.312478722586462</v>
          </cell>
          <cell r="V76">
            <v>79.377107150309143</v>
          </cell>
          <cell r="W76">
            <v>106.98558077729822</v>
          </cell>
          <cell r="X76">
            <v>101.05316333366278</v>
          </cell>
          <cell r="Y76">
            <v>97.971644757794394</v>
          </cell>
          <cell r="Z76">
            <v>99.465621190656606</v>
          </cell>
          <cell r="AA76">
            <v>100.57830637279126</v>
          </cell>
          <cell r="AB76">
            <v>0</v>
          </cell>
          <cell r="AD76">
            <v>2021</v>
          </cell>
          <cell r="AE76">
            <v>3</v>
          </cell>
        </row>
        <row r="77">
          <cell r="B77">
            <v>2022</v>
          </cell>
          <cell r="P77">
            <v>93.818348777026458</v>
          </cell>
          <cell r="Q77">
            <v>75.786793555388599</v>
          </cell>
          <cell r="R77">
            <v>95.195759245346025</v>
          </cell>
          <cell r="S77">
            <v>100.2754820936639</v>
          </cell>
          <cell r="T77">
            <v>84.389348025711669</v>
          </cell>
          <cell r="U77">
            <v>98.01318974872693</v>
          </cell>
          <cell r="V77">
            <v>95.909508306202511</v>
          </cell>
          <cell r="W77">
            <v>99.085900325569739</v>
          </cell>
          <cell r="X77">
            <v>102.50020869855581</v>
          </cell>
          <cell r="Y77">
            <v>108.25611486768511</v>
          </cell>
          <cell r="Z77">
            <v>98.59754570498373</v>
          </cell>
          <cell r="AA77">
            <v>148.17180065113948</v>
          </cell>
          <cell r="AB77">
            <v>0</v>
          </cell>
          <cell r="AD77">
            <v>2021</v>
          </cell>
          <cell r="AE77">
            <v>4</v>
          </cell>
        </row>
        <row r="78">
          <cell r="B78">
            <v>2023</v>
          </cell>
          <cell r="P78">
            <v>123.26344705424475</v>
          </cell>
          <cell r="Q78">
            <v>83.443943066632258</v>
          </cell>
          <cell r="R78">
            <v>91.72611381071043</v>
          </cell>
          <cell r="S78">
            <v>94.175719579144612</v>
          </cell>
          <cell r="T78">
            <v>103.24820108938914</v>
          </cell>
          <cell r="U78">
            <v>88.725793752730482</v>
          </cell>
          <cell r="V78">
            <v>109.56711115190475</v>
          </cell>
          <cell r="W78">
            <v>86.26903585066583</v>
          </cell>
          <cell r="X78">
            <v>87.009281681418926</v>
          </cell>
          <cell r="Y78">
            <v>96.135404193891944</v>
          </cell>
          <cell r="Z78">
            <v>87.731647178095869</v>
          </cell>
          <cell r="AA78">
            <v>148.70430159117092</v>
          </cell>
          <cell r="AB78">
            <v>0</v>
          </cell>
          <cell r="AD78">
            <v>2021</v>
          </cell>
          <cell r="AE78">
            <v>4</v>
          </cell>
        </row>
        <row r="79">
          <cell r="B79">
            <v>2024</v>
          </cell>
          <cell r="P79">
            <v>90.149726785847989</v>
          </cell>
          <cell r="Q79">
            <v>96.309284508868672</v>
          </cell>
          <cell r="R79">
            <v>86.971046129212482</v>
          </cell>
          <cell r="S79">
            <v>91.746636968701125</v>
          </cell>
          <cell r="T79">
            <v>92.028367207061024</v>
          </cell>
          <cell r="U79">
            <v>102.49550128481823</v>
          </cell>
          <cell r="V79">
            <v>113.35396392964314</v>
          </cell>
          <cell r="W79">
            <v>103.93640663942068</v>
          </cell>
          <cell r="X79">
            <v>107.46132586002186</v>
          </cell>
          <cell r="Y79">
            <v>104.12170351348216</v>
          </cell>
          <cell r="Z79">
            <v>104.78192647861064</v>
          </cell>
          <cell r="AA79">
            <v>106.64411069431199</v>
          </cell>
          <cell r="AB79">
            <v>0</v>
          </cell>
          <cell r="AD79">
            <v>2021</v>
          </cell>
          <cell r="AE79">
            <v>4</v>
          </cell>
        </row>
        <row r="80">
          <cell r="B80">
            <v>2025</v>
          </cell>
          <cell r="P80">
            <v>103.97341931799254</v>
          </cell>
          <cell r="Q80">
            <v>111.73851224329535</v>
          </cell>
          <cell r="R80">
            <v>102.0518525569331</v>
          </cell>
          <cell r="S80">
            <v>83.352866287509215</v>
          </cell>
          <cell r="T80">
            <v>111.89229707541108</v>
          </cell>
          <cell r="U80">
            <v>92.199212336101652</v>
          </cell>
          <cell r="V80">
            <v>94.404849725150513</v>
          </cell>
          <cell r="W80">
            <v>88.063381957499459</v>
          </cell>
          <cell r="X80">
            <v>90.933536396735121</v>
          </cell>
          <cell r="Y80">
            <v>125.46522142636177</v>
          </cell>
          <cell r="Z80">
            <v>94.361123670370986</v>
          </cell>
          <cell r="AA80">
            <v>101.56372700663923</v>
          </cell>
          <cell r="AB80">
            <v>0</v>
          </cell>
          <cell r="AD80">
            <v>2021</v>
          </cell>
          <cell r="AE80">
            <v>4</v>
          </cell>
        </row>
        <row r="81">
          <cell r="B81">
            <v>2022</v>
          </cell>
          <cell r="P81">
            <v>75.994025179600257</v>
          </cell>
          <cell r="Q81">
            <v>78.213244185219438</v>
          </cell>
          <cell r="R81">
            <v>91.649477203215028</v>
          </cell>
          <cell r="S81">
            <v>92.204281954619816</v>
          </cell>
          <cell r="T81">
            <v>92.168717547478479</v>
          </cell>
          <cell r="U81">
            <v>108.5354577139199</v>
          </cell>
          <cell r="V81">
            <v>117.1207055978377</v>
          </cell>
          <cell r="W81">
            <v>114.63830997937265</v>
          </cell>
          <cell r="X81">
            <v>97.78789387580909</v>
          </cell>
          <cell r="Y81">
            <v>108.57813500248952</v>
          </cell>
          <cell r="Z81">
            <v>106.81414040827939</v>
          </cell>
          <cell r="AA81">
            <v>116.29561135215876</v>
          </cell>
          <cell r="AB81">
            <v>0</v>
          </cell>
          <cell r="AD81">
            <v>2021</v>
          </cell>
          <cell r="AE81">
            <v>8</v>
          </cell>
        </row>
        <row r="82">
          <cell r="B82">
            <v>2023</v>
          </cell>
          <cell r="P82">
            <v>94.850052907242144</v>
          </cell>
          <cell r="Q82">
            <v>79.34542035776785</v>
          </cell>
          <cell r="R82">
            <v>101.50283747129944</v>
          </cell>
          <cell r="S82">
            <v>96.795853406478955</v>
          </cell>
          <cell r="T82">
            <v>104.13430100360065</v>
          </cell>
          <cell r="U82">
            <v>93.960544107591033</v>
          </cell>
          <cell r="V82">
            <v>112.02251445606228</v>
          </cell>
          <cell r="W82">
            <v>88.852045654039145</v>
          </cell>
          <cell r="X82">
            <v>97.839790817180614</v>
          </cell>
          <cell r="Y82">
            <v>111.49128003404843</v>
          </cell>
          <cell r="Z82">
            <v>106.22217582500397</v>
          </cell>
          <cell r="AA82">
            <v>112.98318395968548</v>
          </cell>
          <cell r="AB82">
            <v>0</v>
          </cell>
          <cell r="AD82">
            <v>2021</v>
          </cell>
          <cell r="AE82">
            <v>8</v>
          </cell>
        </row>
        <row r="83">
          <cell r="B83">
            <v>2024</v>
          </cell>
          <cell r="P83">
            <v>83.670597444517981</v>
          </cell>
          <cell r="Q83">
            <v>81.470666487828368</v>
          </cell>
          <cell r="R83">
            <v>96.897118871031935</v>
          </cell>
          <cell r="S83">
            <v>108.212525863756</v>
          </cell>
          <cell r="T83">
            <v>103.16587765261541</v>
          </cell>
          <cell r="U83">
            <v>97.500478245860151</v>
          </cell>
          <cell r="V83">
            <v>111.7785908568187</v>
          </cell>
          <cell r="W83">
            <v>109.1397731245616</v>
          </cell>
          <cell r="X83">
            <v>106.78075670588649</v>
          </cell>
          <cell r="Y83">
            <v>116.59458163931686</v>
          </cell>
          <cell r="Z83">
            <v>94.479833416522467</v>
          </cell>
          <cell r="AA83">
            <v>90.30919969128405</v>
          </cell>
          <cell r="AB83">
            <v>0</v>
          </cell>
          <cell r="AD83">
            <v>2021</v>
          </cell>
          <cell r="AE83">
            <v>8</v>
          </cell>
        </row>
        <row r="84">
          <cell r="B84">
            <v>2025</v>
          </cell>
          <cell r="P84">
            <v>84.923495521821678</v>
          </cell>
          <cell r="Q84">
            <v>75.266959892623333</v>
          </cell>
          <cell r="R84">
            <v>92.551462137411704</v>
          </cell>
          <cell r="S84">
            <v>96.399325072923631</v>
          </cell>
          <cell r="T84">
            <v>118.91696720515168</v>
          </cell>
          <cell r="U84">
            <v>107.15852684644848</v>
          </cell>
          <cell r="V84">
            <v>96.252653641130578</v>
          </cell>
          <cell r="W84">
            <v>99.851890612993301</v>
          </cell>
          <cell r="X84">
            <v>97.16856096807355</v>
          </cell>
          <cell r="Y84">
            <v>125.6024067863069</v>
          </cell>
          <cell r="Z84">
            <v>103.07203348962621</v>
          </cell>
          <cell r="AA84">
            <v>102.83571782548906</v>
          </cell>
          <cell r="AB84">
            <v>0</v>
          </cell>
          <cell r="AD84">
            <v>2021</v>
          </cell>
          <cell r="AE84">
            <v>8</v>
          </cell>
        </row>
        <row r="85">
          <cell r="B85">
            <v>2022</v>
          </cell>
          <cell r="P85">
            <v>66.429553403926747</v>
          </cell>
          <cell r="Q85">
            <v>70.890722728596216</v>
          </cell>
          <cell r="R85">
            <v>75.885581179349771</v>
          </cell>
          <cell r="S85">
            <v>84.482104091493781</v>
          </cell>
          <cell r="T85">
            <v>94.968653135239336</v>
          </cell>
          <cell r="U85">
            <v>105.23848311397286</v>
          </cell>
          <cell r="V85">
            <v>112.26932135235646</v>
          </cell>
          <cell r="W85">
            <v>119.35618220618534</v>
          </cell>
          <cell r="X85">
            <v>117.11675186772766</v>
          </cell>
          <cell r="Y85">
            <v>124.44834309429123</v>
          </cell>
          <cell r="Z85">
            <v>116.77471905764062</v>
          </cell>
          <cell r="AA85">
            <v>112.13958476921999</v>
          </cell>
          <cell r="AB85">
            <v>0</v>
          </cell>
          <cell r="AD85">
            <v>2021</v>
          </cell>
          <cell r="AE85">
            <v>7</v>
          </cell>
        </row>
        <row r="86">
          <cell r="B86">
            <v>2023</v>
          </cell>
          <cell r="P86">
            <v>88.43935242228639</v>
          </cell>
          <cell r="Q86">
            <v>77.287578694423502</v>
          </cell>
          <cell r="R86">
            <v>90.144730308770249</v>
          </cell>
          <cell r="S86">
            <v>83.562290429164293</v>
          </cell>
          <cell r="T86">
            <v>102.36558348811691</v>
          </cell>
          <cell r="U86">
            <v>100.73928315280358</v>
          </cell>
          <cell r="V86">
            <v>123.06514396405343</v>
          </cell>
          <cell r="W86">
            <v>108.11813818342313</v>
          </cell>
          <cell r="X86">
            <v>106.31823503809821</v>
          </cell>
          <cell r="Y86">
            <v>115.33785730486541</v>
          </cell>
          <cell r="Z86">
            <v>105.26190607548536</v>
          </cell>
          <cell r="AA86">
            <v>99.35990093850954</v>
          </cell>
          <cell r="AB86">
            <v>0</v>
          </cell>
          <cell r="AD86">
            <v>2021</v>
          </cell>
          <cell r="AE86">
            <v>7</v>
          </cell>
        </row>
        <row r="87">
          <cell r="B87">
            <v>2024</v>
          </cell>
          <cell r="P87">
            <v>82.542067274284008</v>
          </cell>
          <cell r="Q87">
            <v>89.214490514439774</v>
          </cell>
          <cell r="R87">
            <v>98.048549888276455</v>
          </cell>
          <cell r="S87">
            <v>100.4008544094642</v>
          </cell>
          <cell r="T87">
            <v>102.74005957578507</v>
          </cell>
          <cell r="U87">
            <v>102.82350731790002</v>
          </cell>
          <cell r="V87">
            <v>109.53595636459346</v>
          </cell>
          <cell r="W87">
            <v>108.93629700846516</v>
          </cell>
          <cell r="X87">
            <v>97.414080209492653</v>
          </cell>
          <cell r="Y87">
            <v>113.66213185733791</v>
          </cell>
          <cell r="Z87">
            <v>104.30797957915694</v>
          </cell>
          <cell r="AA87">
            <v>90.374026000804363</v>
          </cell>
          <cell r="AB87">
            <v>0</v>
          </cell>
          <cell r="AD87">
            <v>2021</v>
          </cell>
          <cell r="AE87">
            <v>7</v>
          </cell>
        </row>
        <row r="88">
          <cell r="B88">
            <v>2025</v>
          </cell>
          <cell r="P88">
            <v>84.369791013530275</v>
          </cell>
          <cell r="Q88">
            <v>79.165542914175091</v>
          </cell>
          <cell r="R88">
            <v>96.156451541788428</v>
          </cell>
          <cell r="S88">
            <v>96.635041265336724</v>
          </cell>
          <cell r="T88">
            <v>104.3592434869596</v>
          </cell>
          <cell r="U88">
            <v>97.362946573514037</v>
          </cell>
          <cell r="V88">
            <v>103.67176463784249</v>
          </cell>
          <cell r="W88">
            <v>102.50764294847458</v>
          </cell>
          <cell r="X88">
            <v>108.82860040277581</v>
          </cell>
          <cell r="Y88">
            <v>115.86005573812359</v>
          </cell>
          <cell r="Z88">
            <v>105.85330463398309</v>
          </cell>
          <cell r="AA88">
            <v>105.22961484349635</v>
          </cell>
          <cell r="AB88">
            <v>0</v>
          </cell>
          <cell r="AD88">
            <v>2021</v>
          </cell>
          <cell r="AE88">
            <v>7</v>
          </cell>
        </row>
        <row r="89">
          <cell r="B89">
            <v>2022</v>
          </cell>
          <cell r="P89">
            <v>80.779099535822283</v>
          </cell>
          <cell r="Q89">
            <v>63.132808173702784</v>
          </cell>
          <cell r="R89">
            <v>94.775753745169027</v>
          </cell>
          <cell r="S89">
            <v>85.493359156420055</v>
          </cell>
          <cell r="T89">
            <v>81.067869682323845</v>
          </cell>
          <cell r="U89">
            <v>108.45580454088154</v>
          </cell>
          <cell r="V89">
            <v>115.64374577789631</v>
          </cell>
          <cell r="W89">
            <v>134.88697084175337</v>
          </cell>
          <cell r="X89">
            <v>102.54123527518692</v>
          </cell>
          <cell r="Y89">
            <v>118.91415466598629</v>
          </cell>
          <cell r="Z89">
            <v>105.07754174265244</v>
          </cell>
          <cell r="AA89">
            <v>109.23165686220501</v>
          </cell>
          <cell r="AB89">
            <v>0</v>
          </cell>
          <cell r="AD89">
            <v>2021</v>
          </cell>
          <cell r="AE89">
            <v>9</v>
          </cell>
        </row>
        <row r="90">
          <cell r="B90">
            <v>2023</v>
          </cell>
          <cell r="P90">
            <v>91.501750379338247</v>
          </cell>
          <cell r="Q90">
            <v>80.837130689030829</v>
          </cell>
          <cell r="R90">
            <v>87.957366313809587</v>
          </cell>
          <cell r="S90">
            <v>88.189081494848992</v>
          </cell>
          <cell r="T90">
            <v>115.74030258855895</v>
          </cell>
          <cell r="U90">
            <v>101.97470442606986</v>
          </cell>
          <cell r="V90">
            <v>111.54368319862304</v>
          </cell>
          <cell r="W90">
            <v>86.372548902749941</v>
          </cell>
          <cell r="X90">
            <v>98.521862160457999</v>
          </cell>
          <cell r="Y90">
            <v>123.04076113192389</v>
          </cell>
          <cell r="Z90">
            <v>97.889651604782586</v>
          </cell>
          <cell r="AA90">
            <v>116.43115710980605</v>
          </cell>
          <cell r="AB90">
            <v>0</v>
          </cell>
          <cell r="AD90">
            <v>2021</v>
          </cell>
          <cell r="AE90">
            <v>9</v>
          </cell>
        </row>
        <row r="91">
          <cell r="B91">
            <v>2024</v>
          </cell>
          <cell r="P91">
            <v>95.32905299842686</v>
          </cell>
          <cell r="Q91">
            <v>88.593201799830979</v>
          </cell>
          <cell r="R91">
            <v>105.63501345188047</v>
          </cell>
          <cell r="S91">
            <v>104.43921065482638</v>
          </cell>
          <cell r="T91">
            <v>95.974527021791516</v>
          </cell>
          <cell r="U91">
            <v>107.37790143456694</v>
          </cell>
          <cell r="V91">
            <v>110.40200669981132</v>
          </cell>
          <cell r="W91">
            <v>98.895918665227484</v>
          </cell>
          <cell r="X91">
            <v>96.689197590374476</v>
          </cell>
          <cell r="Y91">
            <v>107.59414063837418</v>
          </cell>
          <cell r="Z91">
            <v>93.339652323400145</v>
          </cell>
          <cell r="AA91">
            <v>95.730176721489315</v>
          </cell>
          <cell r="AB91">
            <v>0</v>
          </cell>
          <cell r="AD91">
            <v>2021</v>
          </cell>
          <cell r="AE91">
            <v>9</v>
          </cell>
        </row>
        <row r="92">
          <cell r="B92">
            <v>2025</v>
          </cell>
          <cell r="P92">
            <v>81.858668164503399</v>
          </cell>
          <cell r="Q92">
            <v>78.040805245940163</v>
          </cell>
          <cell r="R92">
            <v>95.575219446080666</v>
          </cell>
          <cell r="S92">
            <v>93.323602121755286</v>
          </cell>
          <cell r="T92">
            <v>121.91898006637956</v>
          </cell>
          <cell r="U92">
            <v>119.39710383341193</v>
          </cell>
          <cell r="V92">
            <v>101.01787730265808</v>
          </cell>
          <cell r="W92">
            <v>100.05049627659601</v>
          </cell>
          <cell r="X92">
            <v>93.900789251231885</v>
          </cell>
          <cell r="Y92">
            <v>128.29761705183796</v>
          </cell>
          <cell r="Z92">
            <v>100.11856748596917</v>
          </cell>
          <cell r="AA92">
            <v>86.500273753635909</v>
          </cell>
          <cell r="AB92">
            <v>0</v>
          </cell>
          <cell r="AD92">
            <v>2021</v>
          </cell>
          <cell r="AE92">
            <v>9</v>
          </cell>
        </row>
        <row r="93">
          <cell r="B93">
            <v>2022</v>
          </cell>
          <cell r="P93">
            <v>82.11482191504389</v>
          </cell>
          <cell r="Q93">
            <v>74.886489758853799</v>
          </cell>
          <cell r="R93">
            <v>93.217636969024312</v>
          </cell>
          <cell r="S93">
            <v>91.256180002017956</v>
          </cell>
          <cell r="T93">
            <v>100.04641307637978</v>
          </cell>
          <cell r="U93">
            <v>107.6743012814045</v>
          </cell>
          <cell r="V93">
            <v>121.74351730400565</v>
          </cell>
          <cell r="W93">
            <v>118.13540510543841</v>
          </cell>
          <cell r="X93">
            <v>102.74644334577741</v>
          </cell>
          <cell r="Y93">
            <v>111.66986176975078</v>
          </cell>
          <cell r="Z93">
            <v>94.961154273029962</v>
          </cell>
          <cell r="AA93">
            <v>101.54777519927353</v>
          </cell>
          <cell r="AB93">
            <v>0</v>
          </cell>
          <cell r="AD93">
            <v>2021</v>
          </cell>
          <cell r="AE93">
            <v>6</v>
          </cell>
        </row>
        <row r="94">
          <cell r="B94">
            <v>2023</v>
          </cell>
          <cell r="P94">
            <v>100.11320708398756</v>
          </cell>
          <cell r="Q94">
            <v>88.035266980826549</v>
          </cell>
          <cell r="R94">
            <v>95.388534454514627</v>
          </cell>
          <cell r="S94">
            <v>101.15558090152118</v>
          </cell>
          <cell r="T94">
            <v>102.32258637115117</v>
          </cell>
          <cell r="U94">
            <v>97.756535844346388</v>
          </cell>
          <cell r="V94">
            <v>111.04680201789974</v>
          </cell>
          <cell r="W94">
            <v>92.216092401151514</v>
          </cell>
          <cell r="X94">
            <v>98.912211163785813</v>
          </cell>
          <cell r="Y94">
            <v>112.19114718714857</v>
          </cell>
          <cell r="Z94">
            <v>94.640744541936186</v>
          </cell>
          <cell r="AA94">
            <v>106.22129105173062</v>
          </cell>
          <cell r="AB94">
            <v>0</v>
          </cell>
          <cell r="AD94">
            <v>2021</v>
          </cell>
          <cell r="AE94">
            <v>6</v>
          </cell>
        </row>
        <row r="95">
          <cell r="B95">
            <v>2024</v>
          </cell>
          <cell r="P95">
            <v>90.457491682084239</v>
          </cell>
          <cell r="Q95">
            <v>93.137414241888607</v>
          </cell>
          <cell r="R95">
            <v>96.972371298622221</v>
          </cell>
          <cell r="S95">
            <v>91.315430691614381</v>
          </cell>
          <cell r="T95">
            <v>97.544330638308978</v>
          </cell>
          <cell r="U95">
            <v>104.21078958515263</v>
          </cell>
          <cell r="V95">
            <v>109.95564620373777</v>
          </cell>
          <cell r="W95">
            <v>101.08825538085568</v>
          </cell>
          <cell r="X95">
            <v>96.542896529422805</v>
          </cell>
          <cell r="Y95">
            <v>113.20853863209759</v>
          </cell>
          <cell r="Z95">
            <v>100.43848531827871</v>
          </cell>
          <cell r="AA95">
            <v>105.12834979793632</v>
          </cell>
          <cell r="AB95">
            <v>0</v>
          </cell>
          <cell r="AD95">
            <v>2021</v>
          </cell>
          <cell r="AE95">
            <v>6</v>
          </cell>
        </row>
        <row r="96">
          <cell r="B96">
            <v>2025</v>
          </cell>
          <cell r="P96">
            <v>94.793422198922201</v>
          </cell>
          <cell r="Q96">
            <v>85.842616934831042</v>
          </cell>
          <cell r="R96">
            <v>106.34019227655752</v>
          </cell>
          <cell r="S96">
            <v>94.401159518614747</v>
          </cell>
          <cell r="T96">
            <v>110.09814276572942</v>
          </cell>
          <cell r="U96">
            <v>103.91908040305606</v>
          </cell>
          <cell r="V96">
            <v>99.34699982267999</v>
          </cell>
          <cell r="W96">
            <v>95.342960010485001</v>
          </cell>
          <cell r="X96">
            <v>86.727983409015565</v>
          </cell>
          <cell r="Y96">
            <v>115.39831468903468</v>
          </cell>
          <cell r="Z96">
            <v>107.49570191736888</v>
          </cell>
          <cell r="AA96">
            <v>100.29342605370482</v>
          </cell>
          <cell r="AB96">
            <v>0</v>
          </cell>
          <cell r="AD96">
            <v>2021</v>
          </cell>
          <cell r="AE96">
            <v>6</v>
          </cell>
        </row>
        <row r="97">
          <cell r="B97">
            <v>2022</v>
          </cell>
          <cell r="P97">
            <v>76.41138837966254</v>
          </cell>
          <cell r="Q97">
            <v>64.738673351041939</v>
          </cell>
          <cell r="R97">
            <v>94.414306558419696</v>
          </cell>
          <cell r="S97">
            <v>88.218788581690305</v>
          </cell>
          <cell r="T97">
            <v>85.420329978674843</v>
          </cell>
          <cell r="U97">
            <v>97.467170488982006</v>
          </cell>
          <cell r="V97">
            <v>111.75876388940851</v>
          </cell>
          <cell r="W97">
            <v>108.54128474690413</v>
          </cell>
          <cell r="X97">
            <v>107.37401324404206</v>
          </cell>
          <cell r="Y97">
            <v>125.13749111451982</v>
          </cell>
          <cell r="Z97">
            <v>121.74043174080586</v>
          </cell>
          <cell r="AA97">
            <v>118.77735792584834</v>
          </cell>
          <cell r="AB97">
            <v>0</v>
          </cell>
          <cell r="AD97">
            <v>2021</v>
          </cell>
          <cell r="AE97">
            <v>11</v>
          </cell>
        </row>
        <row r="98">
          <cell r="B98">
            <v>2023</v>
          </cell>
          <cell r="P98">
            <v>91.896751208408318</v>
          </cell>
          <cell r="Q98">
            <v>83.736953471799652</v>
          </cell>
          <cell r="R98">
            <v>96.51422343661406</v>
          </cell>
          <cell r="S98">
            <v>99.999962275553685</v>
          </cell>
          <cell r="T98">
            <v>93.537764622844179</v>
          </cell>
          <cell r="U98">
            <v>94.205487322511189</v>
          </cell>
          <cell r="V98">
            <v>99.875471602734407</v>
          </cell>
          <cell r="W98">
            <v>98.257092856083872</v>
          </cell>
          <cell r="X98">
            <v>93.401956616132253</v>
          </cell>
          <cell r="Y98">
            <v>118.10769650381148</v>
          </cell>
          <cell r="Z98">
            <v>112.61878956587084</v>
          </cell>
          <cell r="AA98">
            <v>117.84785051763598</v>
          </cell>
          <cell r="AB98">
            <v>0</v>
          </cell>
          <cell r="AD98">
            <v>2021</v>
          </cell>
          <cell r="AE98">
            <v>11</v>
          </cell>
        </row>
        <row r="99">
          <cell r="B99">
            <v>2024</v>
          </cell>
          <cell r="P99">
            <v>96.889760119602727</v>
          </cell>
          <cell r="Q99">
            <v>85.724970593840993</v>
          </cell>
          <cell r="R99">
            <v>99.61936480998591</v>
          </cell>
          <cell r="S99">
            <v>104.0530198034722</v>
          </cell>
          <cell r="T99">
            <v>101.27706141313415</v>
          </cell>
          <cell r="U99">
            <v>95.064986444089669</v>
          </cell>
          <cell r="V99">
            <v>112.13622214798463</v>
          </cell>
          <cell r="W99">
            <v>105.57861685143766</v>
          </cell>
          <cell r="X99">
            <v>98.395661089931693</v>
          </cell>
          <cell r="Y99">
            <v>101.28419275158873</v>
          </cell>
          <cell r="Z99">
            <v>101.74229635041021</v>
          </cell>
          <cell r="AA99">
            <v>98.233847624521445</v>
          </cell>
          <cell r="AB99">
            <v>0</v>
          </cell>
          <cell r="AD99">
            <v>2021</v>
          </cell>
          <cell r="AE99">
            <v>11</v>
          </cell>
        </row>
        <row r="100">
          <cell r="B100">
            <v>2025</v>
          </cell>
          <cell r="P100">
            <v>93.905913804925206</v>
          </cell>
          <cell r="Q100">
            <v>87.523956851740849</v>
          </cell>
          <cell r="R100">
            <v>105.57169437125424</v>
          </cell>
          <cell r="S100">
            <v>102.97293138898948</v>
          </cell>
          <cell r="T100">
            <v>107.37377238133332</v>
          </cell>
          <cell r="U100">
            <v>108.69824631253455</v>
          </cell>
          <cell r="V100">
            <v>110.81720115023973</v>
          </cell>
          <cell r="W100">
            <v>108.8304902534379</v>
          </cell>
          <cell r="X100">
            <v>86.428366664410802</v>
          </cell>
          <cell r="Y100">
            <v>101.51485716877309</v>
          </cell>
          <cell r="Z100">
            <v>91.328682848935756</v>
          </cell>
          <cell r="AA100">
            <v>95.033886803425176</v>
          </cell>
          <cell r="AB100">
            <v>0</v>
          </cell>
          <cell r="AD100">
            <v>2021</v>
          </cell>
          <cell r="AE100">
            <v>11</v>
          </cell>
        </row>
        <row r="101">
          <cell r="B101">
            <v>2022</v>
          </cell>
          <cell r="P101">
            <v>76.841834106130861</v>
          </cell>
          <cell r="Q101">
            <v>71.767130345182892</v>
          </cell>
          <cell r="R101">
            <v>92.658423493044822</v>
          </cell>
          <cell r="S101">
            <v>97.046196118839092</v>
          </cell>
          <cell r="T101">
            <v>105.46110252447191</v>
          </cell>
          <cell r="U101">
            <v>110.14082088270652</v>
          </cell>
          <cell r="V101">
            <v>107.04963077451485</v>
          </cell>
          <cell r="W101">
            <v>103.26292289198007</v>
          </cell>
          <cell r="X101">
            <v>111.36871028679376</v>
          </cell>
          <cell r="Y101">
            <v>121.68985059247809</v>
          </cell>
          <cell r="Z101">
            <v>102.79065773656191</v>
          </cell>
          <cell r="AA101">
            <v>99.922720247295203</v>
          </cell>
          <cell r="AB101">
            <v>0</v>
          </cell>
          <cell r="AD101">
            <v>2021</v>
          </cell>
          <cell r="AE101">
            <v>11</v>
          </cell>
        </row>
        <row r="102">
          <cell r="B102">
            <v>2023</v>
          </cell>
          <cell r="P102">
            <v>81.48483131845154</v>
          </cell>
          <cell r="Q102">
            <v>85.164103406589533</v>
          </cell>
          <cell r="R102">
            <v>96.125744265451999</v>
          </cell>
          <cell r="S102">
            <v>99.919279461917256</v>
          </cell>
          <cell r="T102">
            <v>109.43358761530099</v>
          </cell>
          <cell r="U102">
            <v>96.01909869767988</v>
          </cell>
          <cell r="V102">
            <v>112.18351975571055</v>
          </cell>
          <cell r="W102">
            <v>101.25234905906871</v>
          </cell>
          <cell r="X102">
            <v>95.234492020499317</v>
          </cell>
          <cell r="Y102">
            <v>116.75404408880124</v>
          </cell>
          <cell r="Z102">
            <v>97.17696486206286</v>
          </cell>
          <cell r="AA102">
            <v>109.2519854484662</v>
          </cell>
          <cell r="AB102">
            <v>0</v>
          </cell>
          <cell r="AD102">
            <v>2021</v>
          </cell>
          <cell r="AE102">
            <v>11</v>
          </cell>
        </row>
        <row r="103">
          <cell r="B103">
            <v>2024</v>
          </cell>
          <cell r="P103">
            <v>85.875486632762701</v>
          </cell>
          <cell r="Q103">
            <v>96.720369814464192</v>
          </cell>
          <cell r="R103">
            <v>103.09773072135322</v>
          </cell>
          <cell r="S103">
            <v>105.38133151300713</v>
          </cell>
          <cell r="T103">
            <v>100.10255783638095</v>
          </cell>
          <cell r="U103">
            <v>103.84483207314517</v>
          </cell>
          <cell r="V103">
            <v>107.2641002338657</v>
          </cell>
          <cell r="W103">
            <v>103.37519731133746</v>
          </cell>
          <cell r="X103">
            <v>96.027831252470989</v>
          </cell>
          <cell r="Y103">
            <v>110.46624514835874</v>
          </cell>
          <cell r="Z103">
            <v>97.088069441841697</v>
          </cell>
          <cell r="AA103">
            <v>90.756248021012084</v>
          </cell>
          <cell r="AB103">
            <v>0</v>
          </cell>
          <cell r="AD103">
            <v>2021</v>
          </cell>
          <cell r="AE103">
            <v>11</v>
          </cell>
        </row>
        <row r="104">
          <cell r="B104">
            <v>2025</v>
          </cell>
          <cell r="P104">
            <v>77.848650744228237</v>
          </cell>
          <cell r="Q104">
            <v>79.854035122168668</v>
          </cell>
          <cell r="R104">
            <v>86.86387324347244</v>
          </cell>
          <cell r="S104">
            <v>91.367342495330121</v>
          </cell>
          <cell r="T104">
            <v>111.87641155284265</v>
          </cell>
          <cell r="U104">
            <v>110.27812638374776</v>
          </cell>
          <cell r="V104">
            <v>106.81002508100181</v>
          </cell>
          <cell r="W104">
            <v>111.28574952243753</v>
          </cell>
          <cell r="X104">
            <v>103.20609254998148</v>
          </cell>
          <cell r="Y104">
            <v>121.49965302550474</v>
          </cell>
          <cell r="Z104">
            <v>102.94823675264746</v>
          </cell>
          <cell r="AA104">
            <v>96.161803526637158</v>
          </cell>
          <cell r="AB104">
            <v>0</v>
          </cell>
          <cell r="AD104">
            <v>2021</v>
          </cell>
          <cell r="AE104">
            <v>11</v>
          </cell>
        </row>
        <row r="105">
          <cell r="B105">
            <v>2023</v>
          </cell>
          <cell r="P105">
            <v>69.879140345137685</v>
          </cell>
          <cell r="Q105">
            <v>76.594084608671395</v>
          </cell>
          <cell r="R105">
            <v>86.627265102599083</v>
          </cell>
          <cell r="S105">
            <v>86.531977913550605</v>
          </cell>
          <cell r="T105">
            <v>101.5761435256746</v>
          </cell>
          <cell r="U105">
            <v>104.88316949853342</v>
          </cell>
          <cell r="V105">
            <v>107.06468561486675</v>
          </cell>
          <cell r="W105">
            <v>106.40215939454147</v>
          </cell>
          <cell r="X105">
            <v>112.66196720214954</v>
          </cell>
          <cell r="Y105">
            <v>122.53540152620184</v>
          </cell>
          <cell r="Z105">
            <v>113.53468575125822</v>
          </cell>
          <cell r="AA105">
            <v>111.70931951681548</v>
          </cell>
          <cell r="AB105">
            <v>0</v>
          </cell>
          <cell r="AD105">
            <v>2022</v>
          </cell>
          <cell r="AE105">
            <v>3</v>
          </cell>
        </row>
        <row r="106">
          <cell r="B106">
            <v>2024</v>
          </cell>
          <cell r="P106">
            <v>80.205423711221172</v>
          </cell>
          <cell r="Q106">
            <v>83.598896080046202</v>
          </cell>
          <cell r="R106">
            <v>93.247345954421064</v>
          </cell>
          <cell r="S106">
            <v>100.07681881296386</v>
          </cell>
          <cell r="T106">
            <v>107.32791567102042</v>
          </cell>
          <cell r="U106">
            <v>108.06249230462186</v>
          </cell>
          <cell r="V106">
            <v>106.67034941849498</v>
          </cell>
          <cell r="W106">
            <v>112.40892895487578</v>
          </cell>
          <cell r="X106">
            <v>103.53371764218664</v>
          </cell>
          <cell r="Y106">
            <v>108.57794984851314</v>
          </cell>
          <cell r="Z106">
            <v>103.69108213865943</v>
          </cell>
          <cell r="AA106">
            <v>92.599079462975368</v>
          </cell>
          <cell r="AB106">
            <v>0</v>
          </cell>
          <cell r="AD106">
            <v>2022</v>
          </cell>
          <cell r="AE106">
            <v>3</v>
          </cell>
        </row>
        <row r="107">
          <cell r="B107">
            <v>2025</v>
          </cell>
          <cell r="P107">
            <v>70.65253012937977</v>
          </cell>
          <cell r="Q107">
            <v>79.350562430475108</v>
          </cell>
          <cell r="R107">
            <v>91.547895443782338</v>
          </cell>
          <cell r="S107">
            <v>98.658844490396916</v>
          </cell>
          <cell r="T107">
            <v>117.20127948894294</v>
          </cell>
          <cell r="U107">
            <v>108.01259179594645</v>
          </cell>
          <cell r="V107">
            <v>100.14419637293503</v>
          </cell>
          <cell r="W107">
            <v>105.00837760617405</v>
          </cell>
          <cell r="X107">
            <v>108.48062995905821</v>
          </cell>
          <cell r="Y107">
            <v>119.66120314425636</v>
          </cell>
          <cell r="Z107">
            <v>101.75869724762173</v>
          </cell>
          <cell r="AA107">
            <v>99.523191891031118</v>
          </cell>
          <cell r="AB107">
            <v>0</v>
          </cell>
          <cell r="AD107">
            <v>2022</v>
          </cell>
          <cell r="AE107">
            <v>3</v>
          </cell>
        </row>
        <row r="108">
          <cell r="B108">
            <v>2023</v>
          </cell>
          <cell r="P108">
            <v>90.714557017971245</v>
          </cell>
          <cell r="Q108">
            <v>77.826446752223362</v>
          </cell>
          <cell r="R108">
            <v>88.569555520090447</v>
          </cell>
          <cell r="S108">
            <v>98.389499086337963</v>
          </cell>
          <cell r="T108">
            <v>105.56665599696863</v>
          </cell>
          <cell r="U108">
            <v>96.868991695435128</v>
          </cell>
          <cell r="V108">
            <v>100.4711461095978</v>
          </cell>
          <cell r="W108">
            <v>92.642343174294496</v>
          </cell>
          <cell r="X108">
            <v>102.99573141685042</v>
          </cell>
          <cell r="Y108">
            <v>120.11610160006249</v>
          </cell>
          <cell r="Z108">
            <v>112.77549014490977</v>
          </cell>
          <cell r="AA108">
            <v>113.06348148525815</v>
          </cell>
          <cell r="AB108">
            <v>0</v>
          </cell>
          <cell r="AD108">
            <v>2022</v>
          </cell>
          <cell r="AE108">
            <v>3</v>
          </cell>
        </row>
        <row r="109">
          <cell r="B109">
            <v>2024</v>
          </cell>
          <cell r="P109">
            <v>99.071419215113892</v>
          </cell>
          <cell r="Q109">
            <v>91.864106136274387</v>
          </cell>
          <cell r="R109">
            <v>101.12392157476546</v>
          </cell>
          <cell r="S109">
            <v>100.79877268610777</v>
          </cell>
          <cell r="T109">
            <v>98.553828986104847</v>
          </cell>
          <cell r="U109">
            <v>107.80656258327097</v>
          </cell>
          <cell r="V109">
            <v>107.62258866189507</v>
          </cell>
          <cell r="W109">
            <v>99.57638529219588</v>
          </cell>
          <cell r="X109">
            <v>96.402026894831977</v>
          </cell>
          <cell r="Y109">
            <v>108.22454517451415</v>
          </cell>
          <cell r="Z109">
            <v>93.006745838744692</v>
          </cell>
          <cell r="AA109">
            <v>95.949096956180981</v>
          </cell>
          <cell r="AB109">
            <v>0</v>
          </cell>
          <cell r="AD109">
            <v>2022</v>
          </cell>
          <cell r="AE109">
            <v>3</v>
          </cell>
        </row>
        <row r="110">
          <cell r="B110">
            <v>2025</v>
          </cell>
          <cell r="P110">
            <v>98.117495130800364</v>
          </cell>
          <cell r="Q110">
            <v>76.087290575212762</v>
          </cell>
          <cell r="R110">
            <v>105.30990667335827</v>
          </cell>
          <cell r="S110">
            <v>102.71244509140016</v>
          </cell>
          <cell r="T110">
            <v>109.87790855669579</v>
          </cell>
          <cell r="U110">
            <v>102.48429479682588</v>
          </cell>
          <cell r="V110">
            <v>99.089139849166457</v>
          </cell>
          <cell r="W110">
            <v>104.57928071342764</v>
          </cell>
          <cell r="X110">
            <v>86.520435499095811</v>
          </cell>
          <cell r="Y110">
            <v>110.94084367163011</v>
          </cell>
          <cell r="Z110">
            <v>108.87689346198771</v>
          </cell>
          <cell r="AA110">
            <v>95.404065980399054</v>
          </cell>
          <cell r="AB110">
            <v>0</v>
          </cell>
          <cell r="AD110">
            <v>2022</v>
          </cell>
          <cell r="AE110">
            <v>3</v>
          </cell>
        </row>
        <row r="111">
          <cell r="B111">
            <v>2023</v>
          </cell>
          <cell r="P111">
            <v>80.48471834842681</v>
          </cell>
          <cell r="Q111">
            <v>73.771459724632422</v>
          </cell>
          <cell r="R111">
            <v>87.170082545806522</v>
          </cell>
          <cell r="S111">
            <v>88.47182244515723</v>
          </cell>
          <cell r="T111">
            <v>108.51861689515817</v>
          </cell>
          <cell r="U111">
            <v>96.012615719253148</v>
          </cell>
          <cell r="V111">
            <v>112.94453255295061</v>
          </cell>
          <cell r="W111">
            <v>96.440330257611222</v>
          </cell>
          <cell r="X111">
            <v>107.0840995260737</v>
          </cell>
          <cell r="Y111">
            <v>135.77574864766271</v>
          </cell>
          <cell r="Z111">
            <v>109.42518575363458</v>
          </cell>
          <cell r="AA111">
            <v>103.90078758363292</v>
          </cell>
          <cell r="AB111">
            <v>0</v>
          </cell>
          <cell r="AD111">
            <v>2022</v>
          </cell>
          <cell r="AE111">
            <v>8</v>
          </cell>
        </row>
        <row r="112">
          <cell r="B112">
            <v>2024</v>
          </cell>
          <cell r="P112">
            <v>88.981696088579326</v>
          </cell>
          <cell r="Q112">
            <v>88.352152825753265</v>
          </cell>
          <cell r="R112">
            <v>103.19133635294035</v>
          </cell>
          <cell r="S112">
            <v>88.671168569050536</v>
          </cell>
          <cell r="T112">
            <v>106.76983002331903</v>
          </cell>
          <cell r="U112">
            <v>111.93915829829977</v>
          </cell>
          <cell r="V112">
            <v>108.6952421147938</v>
          </cell>
          <cell r="W112">
            <v>111.24347762527793</v>
          </cell>
          <cell r="X112">
            <v>97.875586217954009</v>
          </cell>
          <cell r="Y112">
            <v>113.90418210069393</v>
          </cell>
          <cell r="Z112">
            <v>94.020517923120266</v>
          </cell>
          <cell r="AA112">
            <v>86.355651860217819</v>
          </cell>
          <cell r="AB112">
            <v>0</v>
          </cell>
          <cell r="AD112">
            <v>2022</v>
          </cell>
          <cell r="AE112">
            <v>8</v>
          </cell>
        </row>
        <row r="113">
          <cell r="B113">
            <v>2025</v>
          </cell>
          <cell r="P113">
            <v>99.512157892696536</v>
          </cell>
          <cell r="Q113">
            <v>86.205952473251656</v>
          </cell>
          <cell r="R113">
            <v>95.300385718716072</v>
          </cell>
          <cell r="S113">
            <v>89.048326290897805</v>
          </cell>
          <cell r="T113">
            <v>115.01129051015661</v>
          </cell>
          <cell r="U113">
            <v>117.43027019692975</v>
          </cell>
          <cell r="V113">
            <v>106.59283416033493</v>
          </cell>
          <cell r="W113">
            <v>100.3952889982943</v>
          </cell>
          <cell r="X113">
            <v>89.291823344704596</v>
          </cell>
          <cell r="Y113">
            <v>111.7815019770507</v>
          </cell>
          <cell r="Z113">
            <v>96.393578461777025</v>
          </cell>
          <cell r="AA113">
            <v>93.036589975189941</v>
          </cell>
          <cell r="AB113">
            <v>0</v>
          </cell>
          <cell r="AD113">
            <v>2022</v>
          </cell>
          <cell r="AE113">
            <v>8</v>
          </cell>
        </row>
        <row r="114">
          <cell r="B114">
            <v>2023</v>
          </cell>
          <cell r="P114">
            <v>86.957196271229307</v>
          </cell>
          <cell r="Q114">
            <v>78.008212167041364</v>
          </cell>
          <cell r="R114">
            <v>88.758923759810088</v>
          </cell>
          <cell r="S114">
            <v>88.185333964464192</v>
          </cell>
          <cell r="T114">
            <v>110.24395866548051</v>
          </cell>
          <cell r="U114">
            <v>100.88625086140897</v>
          </cell>
          <cell r="V114">
            <v>94.838975590476551</v>
          </cell>
          <cell r="W114">
            <v>90.692740784119096</v>
          </cell>
          <cell r="X114">
            <v>116.32401049614698</v>
          </cell>
          <cell r="Y114">
            <v>122.84654588322313</v>
          </cell>
          <cell r="Z114">
            <v>108.40847132037365</v>
          </cell>
          <cell r="AA114">
            <v>113.84938023622612</v>
          </cell>
          <cell r="AB114">
            <v>0</v>
          </cell>
          <cell r="AD114">
            <v>2022</v>
          </cell>
          <cell r="AE114">
            <v>8</v>
          </cell>
        </row>
        <row r="115">
          <cell r="B115">
            <v>2024</v>
          </cell>
          <cell r="P115">
            <v>95.14495478019785</v>
          </cell>
          <cell r="Q115">
            <v>85.789610862901313</v>
          </cell>
          <cell r="R115">
            <v>98.466378656161126</v>
          </cell>
          <cell r="S115">
            <v>106.05029650627726</v>
          </cell>
          <cell r="T115">
            <v>98.217271865463871</v>
          </cell>
          <cell r="U115">
            <v>110.29895121428028</v>
          </cell>
          <cell r="V115">
            <v>110.25743341583075</v>
          </cell>
          <cell r="W115">
            <v>103.01949721946077</v>
          </cell>
          <cell r="X115">
            <v>100.07173352954337</v>
          </cell>
          <cell r="Y115">
            <v>106.85297394296838</v>
          </cell>
          <cell r="Z115">
            <v>99.545841415849196</v>
          </cell>
          <cell r="AA115">
            <v>86.285056591065825</v>
          </cell>
          <cell r="AB115">
            <v>0</v>
          </cell>
          <cell r="AD115">
            <v>2022</v>
          </cell>
          <cell r="AE115">
            <v>8</v>
          </cell>
        </row>
        <row r="116">
          <cell r="B116">
            <v>2025</v>
          </cell>
          <cell r="P116">
            <v>82.731146226673175</v>
          </cell>
          <cell r="Q116">
            <v>90.873996176199967</v>
          </cell>
          <cell r="R116">
            <v>97.96792777373183</v>
          </cell>
          <cell r="S116">
            <v>101.10657398460148</v>
          </cell>
          <cell r="T116">
            <v>115.15789469095164</v>
          </cell>
          <cell r="U116">
            <v>116.67346400054232</v>
          </cell>
          <cell r="V116">
            <v>92.172980848520879</v>
          </cell>
          <cell r="W116">
            <v>103.37731219249875</v>
          </cell>
          <cell r="X116">
            <v>95.019970210893177</v>
          </cell>
          <cell r="Y116">
            <v>116.55026186992148</v>
          </cell>
          <cell r="Z116">
            <v>95.679140846062069</v>
          </cell>
          <cell r="AA116">
            <v>92.689331179403183</v>
          </cell>
          <cell r="AB116">
            <v>0</v>
          </cell>
          <cell r="AD116">
            <v>2022</v>
          </cell>
          <cell r="AE116">
            <v>8</v>
          </cell>
        </row>
        <row r="117">
          <cell r="B117">
            <v>2023</v>
          </cell>
          <cell r="P117">
            <v>71.341941499318366</v>
          </cell>
          <cell r="Q117">
            <v>70.724230244894798</v>
          </cell>
          <cell r="R117">
            <v>90.696540958247098</v>
          </cell>
          <cell r="S117">
            <v>88.065352367363374</v>
          </cell>
          <cell r="T117">
            <v>105.26520261918049</v>
          </cell>
          <cell r="U117">
            <v>115.86059291804112</v>
          </cell>
          <cell r="V117">
            <v>119.14516391068793</v>
          </cell>
          <cell r="W117">
            <v>104.41757139527164</v>
          </cell>
          <cell r="X117">
            <v>104.24098155695729</v>
          </cell>
          <cell r="Y117">
            <v>119.03921000769932</v>
          </cell>
          <cell r="Z117">
            <v>107.26066779213257</v>
          </cell>
          <cell r="AA117">
            <v>103.94254473020605</v>
          </cell>
          <cell r="AB117">
            <v>0</v>
          </cell>
          <cell r="AD117">
            <v>2022</v>
          </cell>
          <cell r="AE117">
            <v>8</v>
          </cell>
        </row>
        <row r="118">
          <cell r="B118">
            <v>2024</v>
          </cell>
          <cell r="P118">
            <v>87.422823517075571</v>
          </cell>
          <cell r="Q118">
            <v>85.842468848538104</v>
          </cell>
          <cell r="R118">
            <v>95.556781668884483</v>
          </cell>
          <cell r="S118">
            <v>104.11466434315417</v>
          </cell>
          <cell r="T118">
            <v>94.43180881952749</v>
          </cell>
          <cell r="U118">
            <v>96.857016599965533</v>
          </cell>
          <cell r="V118">
            <v>94.674479394222345</v>
          </cell>
          <cell r="W118">
            <v>106.55634975520729</v>
          </cell>
          <cell r="X118">
            <v>101.75986098870781</v>
          </cell>
          <cell r="Y118">
            <v>121.98390684645592</v>
          </cell>
          <cell r="Z118">
            <v>103.72519305043404</v>
          </cell>
          <cell r="AA118">
            <v>107.07464616782715</v>
          </cell>
          <cell r="AB118">
            <v>0</v>
          </cell>
          <cell r="AD118">
            <v>2022</v>
          </cell>
          <cell r="AE118">
            <v>8</v>
          </cell>
        </row>
        <row r="119">
          <cell r="B119">
            <v>2025</v>
          </cell>
          <cell r="P119">
            <v>96.783262103271909</v>
          </cell>
          <cell r="Q119">
            <v>84.195684158901415</v>
          </cell>
          <cell r="R119">
            <v>93.880053247390165</v>
          </cell>
          <cell r="S119">
            <v>102.30461360610943</v>
          </cell>
          <cell r="T119">
            <v>116.64331254816787</v>
          </cell>
          <cell r="U119">
            <v>107.95733202550268</v>
          </cell>
          <cell r="V119">
            <v>99.071673789672815</v>
          </cell>
          <cell r="W119">
            <v>99.217491067049664</v>
          </cell>
          <cell r="X119">
            <v>90.715424227562522</v>
          </cell>
          <cell r="Y119">
            <v>117.72446227142157</v>
          </cell>
          <cell r="Z119">
            <v>90.542019897708954</v>
          </cell>
          <cell r="AA119">
            <v>100.96467105724093</v>
          </cell>
          <cell r="AB119">
            <v>0</v>
          </cell>
          <cell r="AD119">
            <v>2022</v>
          </cell>
          <cell r="AE119">
            <v>8</v>
          </cell>
        </row>
        <row r="120">
          <cell r="B120">
            <v>2023</v>
          </cell>
          <cell r="P120">
            <v>83.668046102653676</v>
          </cell>
          <cell r="Q120">
            <v>69.111591816819555</v>
          </cell>
          <cell r="R120">
            <v>85.940801046910295</v>
          </cell>
          <cell r="S120">
            <v>93.173933845695274</v>
          </cell>
          <cell r="T120">
            <v>88.357857892389561</v>
          </cell>
          <cell r="U120">
            <v>83.361404562555549</v>
          </cell>
          <cell r="V120">
            <v>101.18268936355194</v>
          </cell>
          <cell r="W120">
            <v>91.090575146793356</v>
          </cell>
          <cell r="X120">
            <v>115.84737007530303</v>
          </cell>
          <cell r="Y120">
            <v>149.83948668206187</v>
          </cell>
          <cell r="Z120">
            <v>123.69378595428427</v>
          </cell>
          <cell r="AA120">
            <v>114.7324575109816</v>
          </cell>
          <cell r="AB120">
            <v>0</v>
          </cell>
          <cell r="AD120">
            <v>2022</v>
          </cell>
          <cell r="AE120">
            <v>8</v>
          </cell>
        </row>
        <row r="121">
          <cell r="B121">
            <v>2024</v>
          </cell>
          <cell r="P121">
            <v>94.317686023753836</v>
          </cell>
          <cell r="Q121">
            <v>82.28754136318021</v>
          </cell>
          <cell r="R121">
            <v>97.95873292417734</v>
          </cell>
          <cell r="S121">
            <v>109.91609518731956</v>
          </cell>
          <cell r="T121">
            <v>101.91581255642117</v>
          </cell>
          <cell r="U121">
            <v>110.07603858208228</v>
          </cell>
          <cell r="V121">
            <v>105.43960716281563</v>
          </cell>
          <cell r="W121">
            <v>94.23363791918436</v>
          </cell>
          <cell r="X121">
            <v>99.510584082445206</v>
          </cell>
          <cell r="Y121">
            <v>110.42883309508997</v>
          </cell>
          <cell r="Z121">
            <v>96.553039492726938</v>
          </cell>
          <cell r="AA121">
            <v>97.362391610803414</v>
          </cell>
          <cell r="AB121">
            <v>0</v>
          </cell>
          <cell r="AD121">
            <v>2022</v>
          </cell>
          <cell r="AE121">
            <v>8</v>
          </cell>
        </row>
        <row r="122">
          <cell r="B122">
            <v>2025</v>
          </cell>
          <cell r="P122">
            <v>93.667087637490155</v>
          </cell>
          <cell r="Q122">
            <v>83.194141367504045</v>
          </cell>
          <cell r="R122">
            <v>101.94360383755469</v>
          </cell>
          <cell r="S122">
            <v>98.189895098527714</v>
          </cell>
          <cell r="T122">
            <v>101.51782788804613</v>
          </cell>
          <cell r="U122">
            <v>106.49008873117862</v>
          </cell>
          <cell r="V122">
            <v>105.74828869614994</v>
          </cell>
          <cell r="W122">
            <v>98.728487050359462</v>
          </cell>
          <cell r="X122">
            <v>93.439087889585167</v>
          </cell>
          <cell r="Y122">
            <v>121.94072772589055</v>
          </cell>
          <cell r="Z122">
            <v>100.15721118842258</v>
          </cell>
          <cell r="AA122">
            <v>94.983552889290948</v>
          </cell>
          <cell r="AB122">
            <v>0</v>
          </cell>
          <cell r="AD122">
            <v>2022</v>
          </cell>
          <cell r="AE122">
            <v>8</v>
          </cell>
        </row>
        <row r="123">
          <cell r="B123">
            <v>2023</v>
          </cell>
          <cell r="P123">
            <v>79.140662031749812</v>
          </cell>
          <cell r="Q123">
            <v>62.666111210648133</v>
          </cell>
          <cell r="R123">
            <v>86.476193885672075</v>
          </cell>
          <cell r="S123">
            <v>92.190613727677828</v>
          </cell>
          <cell r="T123">
            <v>101.197917343889</v>
          </cell>
          <cell r="U123">
            <v>101.70451484761294</v>
          </cell>
          <cell r="V123">
            <v>112.11002757410211</v>
          </cell>
          <cell r="W123">
            <v>98.10767257117314</v>
          </cell>
          <cell r="X123">
            <v>107.18893942292802</v>
          </cell>
          <cell r="Y123">
            <v>123.60918299163049</v>
          </cell>
          <cell r="Z123">
            <v>116.93121469754186</v>
          </cell>
          <cell r="AA123">
            <v>118.67694969537447</v>
          </cell>
          <cell r="AB123">
            <v>0</v>
          </cell>
          <cell r="AD123">
            <v>2022</v>
          </cell>
          <cell r="AE123">
            <v>9</v>
          </cell>
        </row>
        <row r="124">
          <cell r="B124">
            <v>2024</v>
          </cell>
          <cell r="P124">
            <v>90.795984997497769</v>
          </cell>
          <cell r="Q124">
            <v>88.664138404193523</v>
          </cell>
          <cell r="R124">
            <v>101.15207398222996</v>
          </cell>
          <cell r="S124">
            <v>107.77260488640997</v>
          </cell>
          <cell r="T124">
            <v>103.54919476412981</v>
          </cell>
          <cell r="U124">
            <v>105.8202685382925</v>
          </cell>
          <cell r="V124">
            <v>98.596234214151508</v>
          </cell>
          <cell r="W124">
            <v>94.417933698469497</v>
          </cell>
          <cell r="X124">
            <v>97.996072246531114</v>
          </cell>
          <cell r="Y124">
            <v>97.224568028334275</v>
          </cell>
          <cell r="Z124">
            <v>109.33529076436494</v>
          </cell>
          <cell r="AA124">
            <v>104.67563547539507</v>
          </cell>
          <cell r="AB124">
            <v>0</v>
          </cell>
          <cell r="AD124">
            <v>2022</v>
          </cell>
          <cell r="AE124">
            <v>9</v>
          </cell>
        </row>
        <row r="125">
          <cell r="B125">
            <v>2025</v>
          </cell>
          <cell r="P125">
            <v>92.84172493589206</v>
          </cell>
          <cell r="Q125">
            <v>87.305867467113742</v>
          </cell>
          <cell r="R125">
            <v>97.551985360435083</v>
          </cell>
          <cell r="S125">
            <v>94.011660735481456</v>
          </cell>
          <cell r="T125">
            <v>114.71376364979497</v>
          </cell>
          <cell r="U125">
            <v>113.42681795087432</v>
          </cell>
          <cell r="V125">
            <v>97.207320217635143</v>
          </cell>
          <cell r="W125">
            <v>93.300462491010734</v>
          </cell>
          <cell r="X125">
            <v>87.785004237596993</v>
          </cell>
          <cell r="Y125">
            <v>123.41198908125197</v>
          </cell>
          <cell r="Z125">
            <v>100.90006777979292</v>
          </cell>
          <cell r="AA125">
            <v>97.543336093120516</v>
          </cell>
          <cell r="AB125">
            <v>0</v>
          </cell>
          <cell r="AD125">
            <v>2022</v>
          </cell>
          <cell r="AE125">
            <v>9</v>
          </cell>
        </row>
        <row r="126">
          <cell r="B126">
            <v>2023</v>
          </cell>
          <cell r="P126">
            <v>91.075682774671506</v>
          </cell>
          <cell r="Q126">
            <v>83.504070192454165</v>
          </cell>
          <cell r="R126">
            <v>87.192527178934327</v>
          </cell>
          <cell r="S126">
            <v>100.64836439647486</v>
          </cell>
          <cell r="T126">
            <v>100.52938191304001</v>
          </cell>
          <cell r="U126">
            <v>98.582395820469841</v>
          </cell>
          <cell r="V126">
            <v>104.41253750877722</v>
          </cell>
          <cell r="W126">
            <v>82.108730159445528</v>
          </cell>
          <cell r="X126">
            <v>112.32595431613466</v>
          </cell>
          <cell r="Y126">
            <v>116.18747673306548</v>
          </cell>
          <cell r="Z126">
            <v>114.25779718354039</v>
          </cell>
          <cell r="AA126">
            <v>109.17508182299191</v>
          </cell>
          <cell r="AB126">
            <v>0</v>
          </cell>
          <cell r="AD126">
            <v>2022</v>
          </cell>
          <cell r="AE126">
            <v>10</v>
          </cell>
        </row>
        <row r="127">
          <cell r="B127">
            <v>2024</v>
          </cell>
          <cell r="P127">
            <v>89.846057359215806</v>
          </cell>
          <cell r="Q127">
            <v>94.706276385759324</v>
          </cell>
          <cell r="R127">
            <v>102.9475983380125</v>
          </cell>
          <cell r="S127">
            <v>94.9866378129325</v>
          </cell>
          <cell r="T127">
            <v>107.31229484211042</v>
          </cell>
          <cell r="U127">
            <v>107.75472566572257</v>
          </cell>
          <cell r="V127">
            <v>109.35306523060349</v>
          </cell>
          <cell r="W127">
            <v>98.390095138150969</v>
          </cell>
          <cell r="X127">
            <v>93.739448607002672</v>
          </cell>
          <cell r="Y127">
            <v>95.022963712134327</v>
          </cell>
          <cell r="Z127">
            <v>102.803226174518</v>
          </cell>
          <cell r="AA127">
            <v>103.13761073383749</v>
          </cell>
          <cell r="AB127">
            <v>0</v>
          </cell>
          <cell r="AD127">
            <v>2022</v>
          </cell>
          <cell r="AE127">
            <v>10</v>
          </cell>
        </row>
        <row r="128">
          <cell r="B128">
            <v>2025</v>
          </cell>
          <cell r="P128">
            <v>94.70243382483568</v>
          </cell>
          <cell r="Q128">
            <v>83.305205187422288</v>
          </cell>
          <cell r="R128">
            <v>94.423521051696568</v>
          </cell>
          <cell r="S128">
            <v>90.861609522117604</v>
          </cell>
          <cell r="T128">
            <v>98.027180671522473</v>
          </cell>
          <cell r="U128">
            <v>96.907088292769586</v>
          </cell>
          <cell r="V128">
            <v>104.09308935867827</v>
          </cell>
          <cell r="W128">
            <v>98.376265766565993</v>
          </cell>
          <cell r="X128">
            <v>100.32599040682182</v>
          </cell>
          <cell r="Y128">
            <v>126.74098418902113</v>
          </cell>
          <cell r="Z128">
            <v>105.75146562444485</v>
          </cell>
          <cell r="AA128">
            <v>106.48516610410374</v>
          </cell>
          <cell r="AB128">
            <v>0</v>
          </cell>
          <cell r="AD128">
            <v>2022</v>
          </cell>
          <cell r="AE128">
            <v>10</v>
          </cell>
        </row>
        <row r="129">
          <cell r="B129">
            <v>2023</v>
          </cell>
          <cell r="P129">
            <v>66.916942027230419</v>
          </cell>
          <cell r="Q129">
            <v>72.046433576111966</v>
          </cell>
          <cell r="R129">
            <v>86.389979758836049</v>
          </cell>
          <cell r="S129">
            <v>99.373734927252912</v>
          </cell>
          <cell r="T129">
            <v>105.5066346037403</v>
          </cell>
          <cell r="U129">
            <v>106.19864020898568</v>
          </cell>
          <cell r="V129">
            <v>111.83675587772261</v>
          </cell>
          <cell r="W129">
            <v>97.830562427555662</v>
          </cell>
          <cell r="X129">
            <v>99.160943203639945</v>
          </cell>
          <cell r="Y129">
            <v>118.28797813262288</v>
          </cell>
          <cell r="Z129">
            <v>116.36939259207999</v>
          </cell>
          <cell r="AA129">
            <v>120.08200266422158</v>
          </cell>
          <cell r="AB129">
            <v>0</v>
          </cell>
          <cell r="AD129">
            <v>2022</v>
          </cell>
          <cell r="AE129">
            <v>10</v>
          </cell>
        </row>
        <row r="130">
          <cell r="B130">
            <v>2024</v>
          </cell>
          <cell r="P130">
            <v>92.536690057390729</v>
          </cell>
          <cell r="Q130">
            <v>87.988204835313027</v>
          </cell>
          <cell r="R130">
            <v>99.231854995961768</v>
          </cell>
          <cell r="S130">
            <v>92.752565725083088</v>
          </cell>
          <cell r="T130">
            <v>107.90915106516275</v>
          </cell>
          <cell r="U130">
            <v>93.905915446180785</v>
          </cell>
          <cell r="V130">
            <v>100.93621603669382</v>
          </cell>
          <cell r="W130">
            <v>100.95433147733934</v>
          </cell>
          <cell r="X130">
            <v>101.35740003170201</v>
          </cell>
          <cell r="Y130">
            <v>107.32794734445253</v>
          </cell>
          <cell r="Z130">
            <v>110.01054218004231</v>
          </cell>
          <cell r="AA130">
            <v>105.08918080467782</v>
          </cell>
          <cell r="AB130">
            <v>0</v>
          </cell>
          <cell r="AD130">
            <v>2022</v>
          </cell>
          <cell r="AE130">
            <v>10</v>
          </cell>
        </row>
        <row r="131">
          <cell r="B131">
            <v>2025</v>
          </cell>
          <cell r="P131">
            <v>88.153865115651215</v>
          </cell>
          <cell r="Q131">
            <v>77.547173133469883</v>
          </cell>
          <cell r="R131">
            <v>97.246321522687111</v>
          </cell>
          <cell r="S131">
            <v>91.395033542078735</v>
          </cell>
          <cell r="T131">
            <v>109.93772852925467</v>
          </cell>
          <cell r="U131">
            <v>102.31724996038336</v>
          </cell>
          <cell r="V131">
            <v>96.434972972655714</v>
          </cell>
          <cell r="W131">
            <v>97.242095748989044</v>
          </cell>
          <cell r="X131">
            <v>96.447650293749959</v>
          </cell>
          <cell r="Y131">
            <v>125.39701730806476</v>
          </cell>
          <cell r="Z131">
            <v>109.63629000545829</v>
          </cell>
          <cell r="AA131">
            <v>108.24460186755719</v>
          </cell>
          <cell r="AB131">
            <v>0</v>
          </cell>
          <cell r="AD131">
            <v>2022</v>
          </cell>
          <cell r="AE131">
            <v>10</v>
          </cell>
        </row>
        <row r="132">
          <cell r="B132">
            <v>2023</v>
          </cell>
          <cell r="P132">
            <v>60.144659694260085</v>
          </cell>
          <cell r="Q132">
            <v>65.408002748634715</v>
          </cell>
          <cell r="R132">
            <v>82.705760390876321</v>
          </cell>
          <cell r="S132">
            <v>90.609912720796558</v>
          </cell>
          <cell r="T132">
            <v>107.0213087722841</v>
          </cell>
          <cell r="U132">
            <v>102.14175114895762</v>
          </cell>
          <cell r="V132">
            <v>103.67689287315022</v>
          </cell>
          <cell r="W132">
            <v>105.01100413346047</v>
          </cell>
          <cell r="X132">
            <v>124.39052360668754</v>
          </cell>
          <cell r="Y132">
            <v>128.6404903681279</v>
          </cell>
          <cell r="Z132">
            <v>116.5932829325593</v>
          </cell>
          <cell r="AA132">
            <v>113.65641061020513</v>
          </cell>
          <cell r="AB132">
            <v>0</v>
          </cell>
          <cell r="AD132">
            <v>2022</v>
          </cell>
          <cell r="AE132">
            <v>10</v>
          </cell>
        </row>
        <row r="133">
          <cell r="B133">
            <v>2024</v>
          </cell>
          <cell r="P133">
            <v>75.925038394506501</v>
          </cell>
          <cell r="Q133">
            <v>78.64063804899061</v>
          </cell>
          <cell r="R133">
            <v>98.326170518287711</v>
          </cell>
          <cell r="S133">
            <v>98.919315383083131</v>
          </cell>
          <cell r="T133">
            <v>104.70462689043552</v>
          </cell>
          <cell r="U133">
            <v>104.94892825831057</v>
          </cell>
          <cell r="V133">
            <v>112.53308536544222</v>
          </cell>
          <cell r="W133">
            <v>108.13011474215021</v>
          </cell>
          <cell r="X133">
            <v>103.73906802217108</v>
          </cell>
          <cell r="Y133">
            <v>112.53391726567334</v>
          </cell>
          <cell r="Z133">
            <v>105.88647981879365</v>
          </cell>
          <cell r="AA133">
            <v>95.712617292155514</v>
          </cell>
          <cell r="AB133">
            <v>0</v>
          </cell>
          <cell r="AD133">
            <v>2022</v>
          </cell>
          <cell r="AE133">
            <v>10</v>
          </cell>
        </row>
        <row r="134">
          <cell r="B134">
            <v>2025</v>
          </cell>
          <cell r="P134">
            <v>74.568740549623598</v>
          </cell>
          <cell r="Q134">
            <v>80.524592688217481</v>
          </cell>
          <cell r="R134">
            <v>91.862627224783111</v>
          </cell>
          <cell r="S134">
            <v>94.066260287425735</v>
          </cell>
          <cell r="T134">
            <v>118.88902516429891</v>
          </cell>
          <cell r="U134">
            <v>103.138890206881</v>
          </cell>
          <cell r="V134">
            <v>97.832176534150278</v>
          </cell>
          <cell r="W134">
            <v>103.17353599177812</v>
          </cell>
          <cell r="X134">
            <v>110.91861463412889</v>
          </cell>
          <cell r="Y134">
            <v>113.4547398029935</v>
          </cell>
          <cell r="Z134">
            <v>109.24084550038988</v>
          </cell>
          <cell r="AA134">
            <v>102.32995141532955</v>
          </cell>
          <cell r="AB134">
            <v>0</v>
          </cell>
          <cell r="AD134">
            <v>2022</v>
          </cell>
          <cell r="AE134">
            <v>10</v>
          </cell>
        </row>
        <row r="135">
          <cell r="B135">
            <v>2023</v>
          </cell>
          <cell r="P135">
            <v>66.229961354643152</v>
          </cell>
          <cell r="Q135">
            <v>83.37363426838823</v>
          </cell>
          <cell r="R135">
            <v>95.111619558145563</v>
          </cell>
          <cell r="S135">
            <v>87.771332924768998</v>
          </cell>
          <cell r="T135">
            <v>94.175299530895956</v>
          </cell>
          <cell r="U135">
            <v>98.845340160634748</v>
          </cell>
          <cell r="V135">
            <v>107.19130386031645</v>
          </cell>
          <cell r="W135">
            <v>103.12235756905889</v>
          </cell>
          <cell r="X135">
            <v>103.67721388150311</v>
          </cell>
          <cell r="Y135">
            <v>126.61127479586392</v>
          </cell>
          <cell r="Z135">
            <v>109.94246640951901</v>
          </cell>
          <cell r="AA135">
            <v>123.94819568626187</v>
          </cell>
          <cell r="AB135">
            <v>0</v>
          </cell>
          <cell r="AD135">
            <v>2022</v>
          </cell>
          <cell r="AE135">
            <v>10</v>
          </cell>
        </row>
        <row r="136">
          <cell r="B136">
            <v>2024</v>
          </cell>
          <cell r="P136">
            <v>95.073199739267906</v>
          </cell>
          <cell r="Q136">
            <v>102.35388193085338</v>
          </cell>
          <cell r="R136">
            <v>99.12198646278712</v>
          </cell>
          <cell r="S136">
            <v>108.85158818038335</v>
          </cell>
          <cell r="T136">
            <v>97.612949932193743</v>
          </cell>
          <cell r="U136">
            <v>99.70127560886354</v>
          </cell>
          <cell r="V136">
            <v>99.13407122962991</v>
          </cell>
          <cell r="W136">
            <v>105.80661676719167</v>
          </cell>
          <cell r="X136">
            <v>96.355744349356314</v>
          </cell>
          <cell r="Y136">
            <v>106.05688839019373</v>
          </cell>
          <cell r="Z136">
            <v>97.083364262648118</v>
          </cell>
          <cell r="AA136">
            <v>92.848433146631265</v>
          </cell>
          <cell r="AB136">
            <v>0</v>
          </cell>
          <cell r="AD136">
            <v>2022</v>
          </cell>
          <cell r="AE136">
            <v>10</v>
          </cell>
        </row>
        <row r="137">
          <cell r="B137">
            <v>2025</v>
          </cell>
          <cell r="P137">
            <v>80.264409423211674</v>
          </cell>
          <cell r="Q137">
            <v>68.976230267900277</v>
          </cell>
          <cell r="R137">
            <v>88.244978399547051</v>
          </cell>
          <cell r="S137">
            <v>87.895083042341938</v>
          </cell>
          <cell r="T137">
            <v>107.05212410835165</v>
          </cell>
          <cell r="U137">
            <v>111.3899617087998</v>
          </cell>
          <cell r="V137">
            <v>95.372069359877969</v>
          </cell>
          <cell r="W137">
            <v>113.51257612859045</v>
          </cell>
          <cell r="X137">
            <v>107.83623564004921</v>
          </cell>
          <cell r="Y137">
            <v>127.5782974191614</v>
          </cell>
          <cell r="Z137">
            <v>112.70684387451153</v>
          </cell>
          <cell r="AA137">
            <v>99.171190627657083</v>
          </cell>
          <cell r="AB137">
            <v>0</v>
          </cell>
          <cell r="AD137">
            <v>2022</v>
          </cell>
          <cell r="AE137">
            <v>10</v>
          </cell>
        </row>
        <row r="138">
          <cell r="B138">
            <v>2023</v>
          </cell>
          <cell r="P138">
            <v>89.188915194198785</v>
          </cell>
          <cell r="Q138">
            <v>76.188658767122476</v>
          </cell>
          <cell r="R138">
            <v>83.16586061101205</v>
          </cell>
          <cell r="S138">
            <v>88.032011640596579</v>
          </cell>
          <cell r="T138">
            <v>104.1809540279923</v>
          </cell>
          <cell r="U138">
            <v>99.314802998407771</v>
          </cell>
          <cell r="V138">
            <v>107.67551837031648</v>
          </cell>
          <cell r="W138">
            <v>94.019285701506959</v>
          </cell>
          <cell r="X138">
            <v>110.16822808890268</v>
          </cell>
          <cell r="Y138">
            <v>117.16928361430983</v>
          </cell>
          <cell r="Z138">
            <v>99.756096106482843</v>
          </cell>
          <cell r="AA138">
            <v>131.1403848791513</v>
          </cell>
          <cell r="AB138">
            <v>0</v>
          </cell>
          <cell r="AD138">
            <v>2022</v>
          </cell>
          <cell r="AE138">
            <v>10</v>
          </cell>
        </row>
        <row r="139">
          <cell r="B139">
            <v>2024</v>
          </cell>
          <cell r="P139">
            <v>89.897153667237518</v>
          </cell>
          <cell r="Q139">
            <v>86.348613412698853</v>
          </cell>
          <cell r="R139">
            <v>104.17149307306764</v>
          </cell>
          <cell r="S139">
            <v>91.574433809415595</v>
          </cell>
          <cell r="T139">
            <v>96.469749285507106</v>
          </cell>
          <cell r="U139">
            <v>101.8533400579723</v>
          </cell>
          <cell r="V139">
            <v>109.61420155073129</v>
          </cell>
          <cell r="W139">
            <v>95.536428514686136</v>
          </cell>
          <cell r="X139">
            <v>97.992030194367928</v>
          </cell>
          <cell r="Y139">
            <v>116.3787449680672</v>
          </cell>
          <cell r="Z139">
            <v>104.69764064933409</v>
          </cell>
          <cell r="AA139">
            <v>105.46617081691431</v>
          </cell>
          <cell r="AB139">
            <v>0</v>
          </cell>
          <cell r="AD139">
            <v>2022</v>
          </cell>
          <cell r="AE139">
            <v>10</v>
          </cell>
        </row>
        <row r="140">
          <cell r="B140">
            <v>2025</v>
          </cell>
          <cell r="P140">
            <v>96.942700195302137</v>
          </cell>
          <cell r="Q140">
            <v>94.660199326184284</v>
          </cell>
          <cell r="R140">
            <v>101.96936375479288</v>
          </cell>
          <cell r="S140">
            <v>103.44264055620147</v>
          </cell>
          <cell r="T140">
            <v>108.07742640938231</v>
          </cell>
          <cell r="U140">
            <v>103.11800009932774</v>
          </cell>
          <cell r="V140">
            <v>88.477598407699688</v>
          </cell>
          <cell r="W140">
            <v>95.093845626840917</v>
          </cell>
          <cell r="X140">
            <v>90.592006153227061</v>
          </cell>
          <cell r="Y140">
            <v>112.22627032345616</v>
          </cell>
          <cell r="Z140">
            <v>107.03270217761245</v>
          </cell>
          <cell r="AA140">
            <v>98.367246969972882</v>
          </cell>
          <cell r="AB140">
            <v>0</v>
          </cell>
          <cell r="AD140">
            <v>2022</v>
          </cell>
          <cell r="AE140">
            <v>10</v>
          </cell>
        </row>
        <row r="141">
          <cell r="B141">
            <v>2023</v>
          </cell>
          <cell r="P141">
            <v>66.810557347273544</v>
          </cell>
          <cell r="Q141">
            <v>67.494759698414072</v>
          </cell>
          <cell r="R141">
            <v>89.284022992922544</v>
          </cell>
          <cell r="S141">
            <v>97.954266360484027</v>
          </cell>
          <cell r="T141">
            <v>110.99210423342763</v>
          </cell>
          <cell r="U141">
            <v>87.562963448050795</v>
          </cell>
          <cell r="V141">
            <v>89.673696852138789</v>
          </cell>
          <cell r="W141">
            <v>82.984295602259877</v>
          </cell>
          <cell r="X141">
            <v>135.94746763406809</v>
          </cell>
          <cell r="Y141">
            <v>110.63490319581273</v>
          </cell>
          <cell r="Z141">
            <v>115.70066336562394</v>
          </cell>
          <cell r="AA141">
            <v>144.96029926952389</v>
          </cell>
          <cell r="AB141">
            <v>1</v>
          </cell>
          <cell r="AD141">
            <v>2022</v>
          </cell>
          <cell r="AE141">
            <v>11</v>
          </cell>
        </row>
        <row r="142">
          <cell r="B142">
            <v>2024</v>
          </cell>
          <cell r="P142">
            <v>61.867336601424007</v>
          </cell>
          <cell r="Q142">
            <v>67.927027687375173</v>
          </cell>
          <cell r="R142">
            <v>107.32334627028486</v>
          </cell>
          <cell r="S142">
            <v>103.91678858576509</v>
          </cell>
          <cell r="T142">
            <v>110.68751437692157</v>
          </cell>
          <cell r="U142">
            <v>109.13651000044997</v>
          </cell>
          <cell r="V142">
            <v>93.352952530821796</v>
          </cell>
          <cell r="W142">
            <v>99.865051433108349</v>
          </cell>
          <cell r="X142">
            <v>116.06518743300407</v>
          </cell>
          <cell r="Y142">
            <v>118.39257711391735</v>
          </cell>
          <cell r="Z142">
            <v>101.84323173431827</v>
          </cell>
          <cell r="AA142">
            <v>109.62247623260943</v>
          </cell>
          <cell r="AB142">
            <v>1</v>
          </cell>
          <cell r="AD142">
            <v>2022</v>
          </cell>
          <cell r="AE142">
            <v>11</v>
          </cell>
        </row>
        <row r="143">
          <cell r="B143">
            <v>2025</v>
          </cell>
          <cell r="P143">
            <v>56.817485498854971</v>
          </cell>
          <cell r="Q143">
            <v>66.086793961707642</v>
          </cell>
          <cell r="R143">
            <v>106.34778860783815</v>
          </cell>
          <cell r="S143">
            <v>95.455442408254626</v>
          </cell>
          <cell r="T143">
            <v>123.47264125958736</v>
          </cell>
          <cell r="U143">
            <v>120.63420764289535</v>
          </cell>
          <cell r="V143">
            <v>73.845750398554301</v>
          </cell>
          <cell r="W143">
            <v>117.54158206583544</v>
          </cell>
          <cell r="X143">
            <v>114.58682771549195</v>
          </cell>
          <cell r="Y143">
            <v>116.41913891499757</v>
          </cell>
          <cell r="Z143">
            <v>98.174179912863309</v>
          </cell>
          <cell r="AA143">
            <v>110.61816161311933</v>
          </cell>
          <cell r="AB143">
            <v>1</v>
          </cell>
          <cell r="AD143">
            <v>2022</v>
          </cell>
          <cell r="AE143">
            <v>11</v>
          </cell>
        </row>
        <row r="144">
          <cell r="B144">
            <v>2023</v>
          </cell>
          <cell r="P144">
            <v>98.361151040144108</v>
          </cell>
          <cell r="Q144">
            <v>92.935184656642036</v>
          </cell>
          <cell r="R144">
            <v>102.65653478265632</v>
          </cell>
          <cell r="S144">
            <v>85.739309830268454</v>
          </cell>
          <cell r="T144">
            <v>94.457388946836446</v>
          </cell>
          <cell r="U144">
            <v>79.71968377359056</v>
          </cell>
          <cell r="V144">
            <v>98.332090776422206</v>
          </cell>
          <cell r="W144">
            <v>86.096797201450485</v>
          </cell>
          <cell r="X144">
            <v>115.57220754794221</v>
          </cell>
          <cell r="Y144">
            <v>109.35654002964839</v>
          </cell>
          <cell r="Z144">
            <v>114.44208618097971</v>
          </cell>
          <cell r="AA144">
            <v>122.33102523341908</v>
          </cell>
          <cell r="AB144">
            <v>0</v>
          </cell>
          <cell r="AD144">
            <v>2022</v>
          </cell>
          <cell r="AE144">
            <v>11</v>
          </cell>
        </row>
        <row r="145">
          <cell r="B145">
            <v>2024</v>
          </cell>
          <cell r="P145">
            <v>128.80147920730508</v>
          </cell>
          <cell r="Q145">
            <v>107.5109220276764</v>
          </cell>
          <cell r="R145">
            <v>116.82861808400192</v>
          </cell>
          <cell r="S145">
            <v>94.773311932207008</v>
          </cell>
          <cell r="T145">
            <v>100.26297186058048</v>
          </cell>
          <cell r="U145">
            <v>87.159474779018552</v>
          </cell>
          <cell r="V145">
            <v>90.32733333885426</v>
          </cell>
          <cell r="W145">
            <v>76.067226840144272</v>
          </cell>
          <cell r="X145">
            <v>89.680707140593199</v>
          </cell>
          <cell r="Y145">
            <v>105.88724206284974</v>
          </cell>
          <cell r="Z145">
            <v>87.832074436168909</v>
          </cell>
          <cell r="AA145">
            <v>114.86863829060007</v>
          </cell>
          <cell r="AB145">
            <v>0</v>
          </cell>
          <cell r="AD145">
            <v>2022</v>
          </cell>
          <cell r="AE145">
            <v>11</v>
          </cell>
        </row>
        <row r="146">
          <cell r="B146">
            <v>2025</v>
          </cell>
          <cell r="P146">
            <v>90.671520660390485</v>
          </cell>
          <cell r="Q146">
            <v>79.637766853715476</v>
          </cell>
          <cell r="R146">
            <v>99.069973256658784</v>
          </cell>
          <cell r="S146">
            <v>102.78621558533909</v>
          </cell>
          <cell r="T146">
            <v>103.94000525591677</v>
          </cell>
          <cell r="U146">
            <v>109.93213683933899</v>
          </cell>
          <cell r="V146">
            <v>96.740751905269832</v>
          </cell>
          <cell r="W146">
            <v>96.851667207716915</v>
          </cell>
          <cell r="X146">
            <v>96.889540725625693</v>
          </cell>
          <cell r="Y146">
            <v>115.60466230734747</v>
          </cell>
          <cell r="Z146">
            <v>92.075159609825477</v>
          </cell>
          <cell r="AA146">
            <v>115.80059979285504</v>
          </cell>
          <cell r="AB146">
            <v>0</v>
          </cell>
          <cell r="AD146">
            <v>2022</v>
          </cell>
          <cell r="AE146">
            <v>11</v>
          </cell>
        </row>
        <row r="147">
          <cell r="B147">
            <v>2023</v>
          </cell>
          <cell r="P147">
            <v>89.359118357614292</v>
          </cell>
          <cell r="Q147">
            <v>77.75926556508206</v>
          </cell>
          <cell r="R147">
            <v>87.92985462515162</v>
          </cell>
          <cell r="S147">
            <v>91.571176634312323</v>
          </cell>
          <cell r="T147">
            <v>106.54902824834774</v>
          </cell>
          <cell r="U147">
            <v>110.42353836646947</v>
          </cell>
          <cell r="V147">
            <v>112.21729305078509</v>
          </cell>
          <cell r="W147">
            <v>108.27103274529073</v>
          </cell>
          <cell r="X147">
            <v>96.199063719846606</v>
          </cell>
          <cell r="Y147">
            <v>107.41003049681923</v>
          </cell>
          <cell r="Z147">
            <v>100.57582514957673</v>
          </cell>
          <cell r="AA147">
            <v>111.73477304070418</v>
          </cell>
          <cell r="AB147">
            <v>0</v>
          </cell>
          <cell r="AD147">
            <v>2022</v>
          </cell>
          <cell r="AE147">
            <v>11</v>
          </cell>
        </row>
        <row r="148">
          <cell r="B148">
            <v>2024</v>
          </cell>
          <cell r="P148">
            <v>87.085952201913315</v>
          </cell>
          <cell r="Q148">
            <v>84.295301320902922</v>
          </cell>
          <cell r="R148">
            <v>99.743713103135164</v>
          </cell>
          <cell r="S148">
            <v>85.956071368226361</v>
          </cell>
          <cell r="T148">
            <v>94.50601893711233</v>
          </cell>
          <cell r="U148">
            <v>97.818272339975479</v>
          </cell>
          <cell r="V148">
            <v>107.44857171970186</v>
          </cell>
          <cell r="W148">
            <v>105.81411396576566</v>
          </cell>
          <cell r="X148">
            <v>102.47709605147924</v>
          </cell>
          <cell r="Y148">
            <v>105.65314464151436</v>
          </cell>
          <cell r="Z148">
            <v>117.86359655515328</v>
          </cell>
          <cell r="AA148">
            <v>111.33814779512011</v>
          </cell>
          <cell r="AB148">
            <v>0</v>
          </cell>
          <cell r="AD148">
            <v>2022</v>
          </cell>
          <cell r="AE148">
            <v>11</v>
          </cell>
        </row>
        <row r="149">
          <cell r="B149">
            <v>2025</v>
          </cell>
          <cell r="P149">
            <v>91.268543174479618</v>
          </cell>
          <cell r="Q149">
            <v>82.213732877845885</v>
          </cell>
          <cell r="R149">
            <v>96.8992079951514</v>
          </cell>
          <cell r="S149">
            <v>94.500936503787671</v>
          </cell>
          <cell r="T149">
            <v>110.13832406341059</v>
          </cell>
          <cell r="U149">
            <v>100.18638765207486</v>
          </cell>
          <cell r="V149">
            <v>101.83408645510774</v>
          </cell>
          <cell r="W149">
            <v>100.95065692230956</v>
          </cell>
          <cell r="X149">
            <v>97.447071271305319</v>
          </cell>
          <cell r="Y149">
            <v>116.66337568240365</v>
          </cell>
          <cell r="Z149">
            <v>103.55300748404062</v>
          </cell>
          <cell r="AA149">
            <v>104.34466991808303</v>
          </cell>
          <cell r="AB149">
            <v>0</v>
          </cell>
          <cell r="AD149">
            <v>2022</v>
          </cell>
          <cell r="AE149">
            <v>11</v>
          </cell>
        </row>
        <row r="150">
          <cell r="B150">
            <v>2023</v>
          </cell>
          <cell r="P150">
            <v>79.724758359551672</v>
          </cell>
          <cell r="Q150">
            <v>80.2106586648583</v>
          </cell>
          <cell r="R150">
            <v>76.159306613424761</v>
          </cell>
          <cell r="S150">
            <v>97.485658737619644</v>
          </cell>
          <cell r="T150">
            <v>97.223717872225237</v>
          </cell>
          <cell r="U150">
            <v>106.23884932288286</v>
          </cell>
          <cell r="V150">
            <v>112.65640052504591</v>
          </cell>
          <cell r="W150">
            <v>92.792551565969802</v>
          </cell>
          <cell r="X150">
            <v>112.94016979588986</v>
          </cell>
          <cell r="Y150">
            <v>124.40008265689528</v>
          </cell>
          <cell r="Z150">
            <v>109.51311014031297</v>
          </cell>
          <cell r="AA150">
            <v>110.65473574532363</v>
          </cell>
          <cell r="AB150">
            <v>0</v>
          </cell>
          <cell r="AD150">
            <v>2022</v>
          </cell>
          <cell r="AE150">
            <v>12</v>
          </cell>
        </row>
        <row r="151">
          <cell r="B151">
            <v>2024</v>
          </cell>
          <cell r="P151">
            <v>80.631899031618246</v>
          </cell>
          <cell r="Q151">
            <v>75.562217904664422</v>
          </cell>
          <cell r="R151">
            <v>90.933356933465987</v>
          </cell>
          <cell r="S151">
            <v>110.72645208629648</v>
          </cell>
          <cell r="T151">
            <v>108.65669122669637</v>
          </cell>
          <cell r="U151">
            <v>105.15996259415508</v>
          </cell>
          <cell r="V151">
            <v>109.2945523970894</v>
          </cell>
          <cell r="W151">
            <v>84.159863133843714</v>
          </cell>
          <cell r="X151">
            <v>94.553054678237686</v>
          </cell>
          <cell r="Y151">
            <v>116.0973088998895</v>
          </cell>
          <cell r="Z151">
            <v>107.20177592824828</v>
          </cell>
          <cell r="AA151">
            <v>117.02286518579487</v>
          </cell>
          <cell r="AB151">
            <v>0</v>
          </cell>
          <cell r="AD151">
            <v>2022</v>
          </cell>
          <cell r="AE151">
            <v>12</v>
          </cell>
        </row>
        <row r="152">
          <cell r="B152">
            <v>2025</v>
          </cell>
          <cell r="P152">
            <v>97.873213598949192</v>
          </cell>
          <cell r="Q152">
            <v>75.922920119873638</v>
          </cell>
          <cell r="R152">
            <v>94.546830708588843</v>
          </cell>
          <cell r="S152">
            <v>105.46963410033949</v>
          </cell>
          <cell r="T152">
            <v>108.02929753015577</v>
          </cell>
          <cell r="U152">
            <v>104.53335168217512</v>
          </cell>
          <cell r="V152">
            <v>97.553255670222157</v>
          </cell>
          <cell r="W152">
            <v>101.30133426388173</v>
          </cell>
          <cell r="X152">
            <v>96.805704196191712</v>
          </cell>
          <cell r="Y152">
            <v>125.82456131728301</v>
          </cell>
          <cell r="Z152">
            <v>92.364629167040405</v>
          </cell>
          <cell r="AA152">
            <v>99.775267645298854</v>
          </cell>
          <cell r="AB152">
            <v>0</v>
          </cell>
          <cell r="AD152">
            <v>2022</v>
          </cell>
          <cell r="AE152">
            <v>12</v>
          </cell>
        </row>
        <row r="153">
          <cell r="B153">
            <v>2023</v>
          </cell>
          <cell r="P153">
            <v>51.50534565929096</v>
          </cell>
          <cell r="Q153">
            <v>55.332549183961653</v>
          </cell>
          <cell r="R153">
            <v>91.675977124179582</v>
          </cell>
          <cell r="S153">
            <v>90.222808637717733</v>
          </cell>
          <cell r="T153">
            <v>119.27038305731908</v>
          </cell>
          <cell r="U153">
            <v>93.792548615330503</v>
          </cell>
          <cell r="V153">
            <v>104.39120138072067</v>
          </cell>
          <cell r="W153">
            <v>129.00029379275924</v>
          </cell>
          <cell r="X153">
            <v>127.51553468702647</v>
          </cell>
          <cell r="Y153">
            <v>124.30908683102915</v>
          </cell>
          <cell r="Z153">
            <v>105.30732933957705</v>
          </cell>
          <cell r="AA153">
            <v>107.67694169108796</v>
          </cell>
          <cell r="AB153">
            <v>0</v>
          </cell>
          <cell r="AD153">
            <v>2022</v>
          </cell>
          <cell r="AE153">
            <v>12</v>
          </cell>
        </row>
        <row r="154">
          <cell r="B154">
            <v>2024</v>
          </cell>
          <cell r="P154">
            <v>65.142542701281997</v>
          </cell>
          <cell r="Q154">
            <v>70.611139424488996</v>
          </cell>
          <cell r="R154">
            <v>100.72568670905547</v>
          </cell>
          <cell r="S154">
            <v>101.1162178383568</v>
          </cell>
          <cell r="T154">
            <v>101.20700123405051</v>
          </cell>
          <cell r="U154">
            <v>101.54413036588494</v>
          </cell>
          <cell r="V154">
            <v>102.76192809072766</v>
          </cell>
          <cell r="W154">
            <v>118.34579186455396</v>
          </cell>
          <cell r="X154">
            <v>114.79061192884532</v>
          </cell>
          <cell r="Y154">
            <v>113.62134036691816</v>
          </cell>
          <cell r="Z154">
            <v>113.78827965465162</v>
          </cell>
          <cell r="AA154">
            <v>96.345329821184578</v>
          </cell>
          <cell r="AB154">
            <v>0</v>
          </cell>
          <cell r="AD154">
            <v>2022</v>
          </cell>
          <cell r="AE154">
            <v>12</v>
          </cell>
        </row>
        <row r="155">
          <cell r="B155">
            <v>2025</v>
          </cell>
          <cell r="P155">
            <v>86.917486201254917</v>
          </cell>
          <cell r="Q155">
            <v>90.643372107657186</v>
          </cell>
          <cell r="R155">
            <v>88.158699052516127</v>
          </cell>
          <cell r="S155">
            <v>93.016127002391187</v>
          </cell>
          <cell r="T155">
            <v>109.32089498570683</v>
          </cell>
          <cell r="U155">
            <v>105.54017367541037</v>
          </cell>
          <cell r="V155">
            <v>90.80608043724493</v>
          </cell>
          <cell r="W155">
            <v>103.88859423599</v>
          </cell>
          <cell r="X155">
            <v>109.12222901422123</v>
          </cell>
          <cell r="Y155">
            <v>119.10294672875352</v>
          </cell>
          <cell r="Z155">
            <v>98.711143273224138</v>
          </cell>
          <cell r="AA155">
            <v>104.77225328562953</v>
          </cell>
          <cell r="AB155">
            <v>0</v>
          </cell>
          <cell r="AD155">
            <v>2022</v>
          </cell>
          <cell r="AE155">
            <v>12</v>
          </cell>
        </row>
        <row r="156">
          <cell r="B156">
            <v>2023</v>
          </cell>
          <cell r="P156">
            <v>59.854280202478847</v>
          </cell>
          <cell r="Q156">
            <v>65.552076240756421</v>
          </cell>
          <cell r="R156">
            <v>86.125413110007699</v>
          </cell>
          <cell r="S156">
            <v>87.959355185966089</v>
          </cell>
          <cell r="T156">
            <v>113.35508640923749</v>
          </cell>
          <cell r="U156">
            <v>97.775311821095741</v>
          </cell>
          <cell r="V156">
            <v>120.07954068775155</v>
          </cell>
          <cell r="W156">
            <v>105.86212307032177</v>
          </cell>
          <cell r="X156">
            <v>103.15487524390701</v>
          </cell>
          <cell r="Y156">
            <v>112.86603518898191</v>
          </cell>
          <cell r="Z156">
            <v>115.66061359044231</v>
          </cell>
          <cell r="AA156">
            <v>131.75528924905311</v>
          </cell>
          <cell r="AB156">
            <v>0</v>
          </cell>
          <cell r="AD156">
            <v>2022</v>
          </cell>
          <cell r="AE156">
            <v>12</v>
          </cell>
        </row>
        <row r="157">
          <cell r="B157">
            <v>2024</v>
          </cell>
          <cell r="P157">
            <v>91.211619163654888</v>
          </cell>
          <cell r="Q157">
            <v>79.410664675951196</v>
          </cell>
          <cell r="R157">
            <v>98.390297107418604</v>
          </cell>
          <cell r="S157">
            <v>102.59903813079885</v>
          </cell>
          <cell r="T157">
            <v>106.48616902642125</v>
          </cell>
          <cell r="U157">
            <v>108.7433622849683</v>
          </cell>
          <cell r="V157">
            <v>118.04533655658722</v>
          </cell>
          <cell r="W157">
            <v>97.829217469000398</v>
          </cell>
          <cell r="X157">
            <v>87.318050915595364</v>
          </cell>
          <cell r="Y157">
            <v>99.922901975644933</v>
          </cell>
          <cell r="Z157">
            <v>100.54912762072665</v>
          </cell>
          <cell r="AA157">
            <v>109.4942150732324</v>
          </cell>
          <cell r="AB157">
            <v>0</v>
          </cell>
          <cell r="AD157">
            <v>2022</v>
          </cell>
          <cell r="AE157">
            <v>12</v>
          </cell>
        </row>
        <row r="158">
          <cell r="B158">
            <v>2025</v>
          </cell>
          <cell r="P158">
            <v>85.700772740896568</v>
          </cell>
          <cell r="Q158">
            <v>92.131203316037386</v>
          </cell>
          <cell r="R158">
            <v>104.91554436140919</v>
          </cell>
          <cell r="S158">
            <v>97.359246314354309</v>
          </cell>
          <cell r="T158">
            <v>103.24705712275681</v>
          </cell>
          <cell r="U158">
            <v>107.53666951851531</v>
          </cell>
          <cell r="V158">
            <v>101.73136084276801</v>
          </cell>
          <cell r="W158">
            <v>97.065379201361907</v>
          </cell>
          <cell r="X158">
            <v>96.103020487821894</v>
          </cell>
          <cell r="Y158">
            <v>110.66178051317075</v>
          </cell>
          <cell r="Z158">
            <v>99.13815181514039</v>
          </cell>
          <cell r="AA158">
            <v>104.40981376576748</v>
          </cell>
          <cell r="AB158">
            <v>0</v>
          </cell>
          <cell r="AD158">
            <v>2022</v>
          </cell>
          <cell r="AE158">
            <v>12</v>
          </cell>
        </row>
        <row r="159">
          <cell r="B159">
            <v>2024</v>
          </cell>
          <cell r="P159">
            <v>96.363723992938446</v>
          </cell>
          <cell r="Q159">
            <v>75.86723700598283</v>
          </cell>
          <cell r="R159">
            <v>101.61535144924234</v>
          </cell>
          <cell r="S159">
            <v>103.86155098079098</v>
          </cell>
          <cell r="T159">
            <v>102.45094928670679</v>
          </cell>
          <cell r="U159">
            <v>90.553617062690492</v>
          </cell>
          <cell r="V159">
            <v>108.47118383989809</v>
          </cell>
          <cell r="W159">
            <v>104.26907798596805</v>
          </cell>
          <cell r="X159">
            <v>98.352455778202597</v>
          </cell>
          <cell r="Y159">
            <v>107.9319083782528</v>
          </cell>
          <cell r="Z159">
            <v>97.146175842878435</v>
          </cell>
          <cell r="AA159">
            <v>113.11676839644824</v>
          </cell>
          <cell r="AB159">
            <v>0</v>
          </cell>
          <cell r="AD159">
            <v>2023</v>
          </cell>
          <cell r="AE159">
            <v>2</v>
          </cell>
        </row>
        <row r="160">
          <cell r="B160">
            <v>2025</v>
          </cell>
          <cell r="P160">
            <v>88.192794631343929</v>
          </cell>
          <cell r="Q160">
            <v>85.126083683792004</v>
          </cell>
          <cell r="R160">
            <v>96.24769065505734</v>
          </cell>
          <cell r="S160">
            <v>95.896535681636493</v>
          </cell>
          <cell r="T160">
            <v>113.25820689323092</v>
          </cell>
          <cell r="U160">
            <v>102.20181745181445</v>
          </cell>
          <cell r="V160">
            <v>100.87324927046298</v>
          </cell>
          <cell r="W160">
            <v>106.39634555235567</v>
          </cell>
          <cell r="X160">
            <v>93.265103947961933</v>
          </cell>
          <cell r="Y160">
            <v>118.22536090927824</v>
          </cell>
          <cell r="Z160">
            <v>101.68708756639478</v>
          </cell>
          <cell r="AA160">
            <v>98.629723756671353</v>
          </cell>
          <cell r="AB160">
            <v>0</v>
          </cell>
          <cell r="AD160">
            <v>2023</v>
          </cell>
          <cell r="AE160">
            <v>2</v>
          </cell>
        </row>
        <row r="161">
          <cell r="B161">
            <v>2024</v>
          </cell>
          <cell r="P161">
            <v>80.795182361519338</v>
          </cell>
          <cell r="Q161">
            <v>78.883540994506859</v>
          </cell>
          <cell r="R161">
            <v>106.13009739548309</v>
          </cell>
          <cell r="S161">
            <v>97.811057296349745</v>
          </cell>
          <cell r="T161">
            <v>112.04636297007112</v>
          </cell>
          <cell r="U161">
            <v>111.88768918071435</v>
          </cell>
          <cell r="V161">
            <v>114.37357854730368</v>
          </cell>
          <cell r="W161">
            <v>99.375127505723597</v>
          </cell>
          <cell r="X161">
            <v>99.239121400560649</v>
          </cell>
          <cell r="Y161">
            <v>99.934263715837915</v>
          </cell>
          <cell r="Z161">
            <v>102.09524960898244</v>
          </cell>
          <cell r="AA161">
            <v>97.428729022947252</v>
          </cell>
          <cell r="AB161">
            <v>0</v>
          </cell>
          <cell r="AD161">
            <v>2023</v>
          </cell>
          <cell r="AE161">
            <v>3</v>
          </cell>
        </row>
        <row r="162">
          <cell r="B162">
            <v>2025</v>
          </cell>
          <cell r="P162">
            <v>81.326925594180679</v>
          </cell>
          <cell r="Q162">
            <v>80.022439553452884</v>
          </cell>
          <cell r="R162">
            <v>95.272360080034417</v>
          </cell>
          <cell r="S162">
            <v>90.612412812985028</v>
          </cell>
          <cell r="T162">
            <v>116.35357256390597</v>
          </cell>
          <cell r="U162">
            <v>107.45254969426108</v>
          </cell>
          <cell r="V162">
            <v>100.00261794790283</v>
          </cell>
          <cell r="W162">
            <v>105.37464704452381</v>
          </cell>
          <cell r="X162">
            <v>100.29732408325074</v>
          </cell>
          <cell r="Y162">
            <v>113.48130972193653</v>
          </cell>
          <cell r="Z162">
            <v>108.93056828169119</v>
          </cell>
          <cell r="AA162">
            <v>100.87327262187482</v>
          </cell>
          <cell r="AB162">
            <v>0</v>
          </cell>
          <cell r="AD162">
            <v>2023</v>
          </cell>
          <cell r="AE162">
            <v>3</v>
          </cell>
        </row>
        <row r="163">
          <cell r="B163">
            <v>2024</v>
          </cell>
          <cell r="P163">
            <v>92.751047823992579</v>
          </cell>
          <cell r="Q163">
            <v>77.870047315274604</v>
          </cell>
          <cell r="R163">
            <v>96.227113318056794</v>
          </cell>
          <cell r="S163">
            <v>88.193006703372404</v>
          </cell>
          <cell r="T163">
            <v>101.35671935424331</v>
          </cell>
          <cell r="U163">
            <v>100.30456450589078</v>
          </cell>
          <cell r="V163">
            <v>107.68952896316073</v>
          </cell>
          <cell r="W163">
            <v>115.41894501794019</v>
          </cell>
          <cell r="X163">
            <v>110.84599350821829</v>
          </cell>
          <cell r="Y163">
            <v>108.13403143246883</v>
          </cell>
          <cell r="Z163">
            <v>107.42114195932957</v>
          </cell>
          <cell r="AA163">
            <v>93.787860098052022</v>
          </cell>
          <cell r="AB163">
            <v>0</v>
          </cell>
          <cell r="AD163">
            <v>2023</v>
          </cell>
          <cell r="AE163">
            <v>3</v>
          </cell>
        </row>
        <row r="164">
          <cell r="B164">
            <v>2025</v>
          </cell>
          <cell r="P164">
            <v>70.259600418866356</v>
          </cell>
          <cell r="Q164">
            <v>79.978405287743612</v>
          </cell>
          <cell r="R164">
            <v>99.143613719156235</v>
          </cell>
          <cell r="S164">
            <v>102.48822801963264</v>
          </cell>
          <cell r="T164">
            <v>113.9423081668083</v>
          </cell>
          <cell r="U164">
            <v>104.89917697300956</v>
          </cell>
          <cell r="V164">
            <v>96.466185226966545</v>
          </cell>
          <cell r="W164">
            <v>100.98330949821903</v>
          </cell>
          <cell r="X164">
            <v>110.34108394006776</v>
          </cell>
          <cell r="Y164">
            <v>123.94141003206639</v>
          </cell>
          <cell r="Z164">
            <v>102.98348517732239</v>
          </cell>
          <cell r="AA164">
            <v>94.573193540141204</v>
          </cell>
          <cell r="AB164">
            <v>0</v>
          </cell>
          <cell r="AD164">
            <v>2023</v>
          </cell>
          <cell r="AE164">
            <v>3</v>
          </cell>
        </row>
        <row r="165">
          <cell r="B165">
            <v>2024</v>
          </cell>
          <cell r="P165">
            <v>92.160592791188989</v>
          </cell>
          <cell r="Q165">
            <v>91.614840732740205</v>
          </cell>
          <cell r="R165">
            <v>99.230015623238302</v>
          </cell>
          <cell r="S165">
            <v>101.06028879720539</v>
          </cell>
          <cell r="T165">
            <v>107.61387019528952</v>
          </cell>
          <cell r="U165">
            <v>100.85663950628776</v>
          </cell>
          <cell r="V165">
            <v>103.63680868436289</v>
          </cell>
          <cell r="W165">
            <v>94.273497998850715</v>
          </cell>
          <cell r="X165">
            <v>94.783614352348337</v>
          </cell>
          <cell r="Y165">
            <v>110.89270556592714</v>
          </cell>
          <cell r="Z165">
            <v>101.33567685153291</v>
          </cell>
          <cell r="AA165">
            <v>102.54144890102796</v>
          </cell>
          <cell r="AB165">
            <v>0</v>
          </cell>
          <cell r="AD165">
            <v>2023</v>
          </cell>
          <cell r="AE165">
            <v>3</v>
          </cell>
        </row>
        <row r="166">
          <cell r="B166">
            <v>2025</v>
          </cell>
          <cell r="P166">
            <v>92.181649686689966</v>
          </cell>
          <cell r="Q166">
            <v>88.76374229036432</v>
          </cell>
          <cell r="R166">
            <v>95.589484004697795</v>
          </cell>
          <cell r="S166">
            <v>98.512019793971987</v>
          </cell>
          <cell r="T166">
            <v>106.51105128614557</v>
          </cell>
          <cell r="U166">
            <v>103.98270862837504</v>
          </cell>
          <cell r="V166">
            <v>101.67675715524331</v>
          </cell>
          <cell r="W166">
            <v>101.09688361341466</v>
          </cell>
          <cell r="X166">
            <v>97.54243004433647</v>
          </cell>
          <cell r="Y166">
            <v>115.766419490735</v>
          </cell>
          <cell r="Z166">
            <v>101.69757485043345</v>
          </cell>
          <cell r="AA166">
            <v>96.679279155592496</v>
          </cell>
          <cell r="AB166">
            <v>0</v>
          </cell>
          <cell r="AD166">
            <v>2023</v>
          </cell>
          <cell r="AE166">
            <v>3</v>
          </cell>
        </row>
        <row r="167">
          <cell r="B167">
            <v>2024</v>
          </cell>
          <cell r="P167">
            <v>72.615092994013096</v>
          </cell>
          <cell r="Q167">
            <v>78.942627104329716</v>
          </cell>
          <cell r="R167">
            <v>93.264268153069466</v>
          </cell>
          <cell r="S167">
            <v>101.13263142090348</v>
          </cell>
          <cell r="T167">
            <v>103.91775988589231</v>
          </cell>
          <cell r="U167">
            <v>112.09672878779348</v>
          </cell>
          <cell r="V167">
            <v>103.53396017491508</v>
          </cell>
          <cell r="W167">
            <v>102.04380383987387</v>
          </cell>
          <cell r="X167">
            <v>108.46799166713585</v>
          </cell>
          <cell r="Y167">
            <v>119.9059737627386</v>
          </cell>
          <cell r="Z167">
            <v>103.74791209203687</v>
          </cell>
          <cell r="AA167">
            <v>100.3312501172982</v>
          </cell>
          <cell r="AB167">
            <v>1</v>
          </cell>
          <cell r="AD167">
            <v>2023</v>
          </cell>
          <cell r="AE167">
            <v>4</v>
          </cell>
        </row>
        <row r="168">
          <cell r="B168">
            <v>2025</v>
          </cell>
          <cell r="P168">
            <v>100.36375696919353</v>
          </cell>
          <cell r="Q168">
            <v>84.735873131887629</v>
          </cell>
          <cell r="R168">
            <v>101.39652580616929</v>
          </cell>
          <cell r="S168">
            <v>102.53892844475088</v>
          </cell>
          <cell r="T168">
            <v>116.94425720028438</v>
          </cell>
          <cell r="U168">
            <v>110.28976183054668</v>
          </cell>
          <cell r="V168">
            <v>98.073423937327547</v>
          </cell>
          <cell r="W168">
            <v>107.7202771861886</v>
          </cell>
          <cell r="X168">
            <v>97.451551533260968</v>
          </cell>
          <cell r="Y168">
            <v>118.03967392389202</v>
          </cell>
          <cell r="Z168">
            <v>89.716380119123116</v>
          </cell>
          <cell r="AA168">
            <v>72.729589917375421</v>
          </cell>
          <cell r="AB168">
            <v>1</v>
          </cell>
          <cell r="AD168">
            <v>2023</v>
          </cell>
          <cell r="AE168">
            <v>4</v>
          </cell>
        </row>
        <row r="169">
          <cell r="B169">
            <v>2024</v>
          </cell>
          <cell r="P169">
            <v>79.247963416206829</v>
          </cell>
          <cell r="Q169">
            <v>84.294201493346961</v>
          </cell>
          <cell r="R169">
            <v>93.119795956104369</v>
          </cell>
          <cell r="S169">
            <v>104.07037003425978</v>
          </cell>
          <cell r="T169">
            <v>100.06297903814702</v>
          </cell>
          <cell r="U169">
            <v>103.76557332418102</v>
          </cell>
          <cell r="V169">
            <v>111.49316271449889</v>
          </cell>
          <cell r="W169">
            <v>97.738622662764655</v>
          </cell>
          <cell r="X169">
            <v>101.72554376565522</v>
          </cell>
          <cell r="Y169">
            <v>118.78781386316697</v>
          </cell>
          <cell r="Z169">
            <v>108.78499584120003</v>
          </cell>
          <cell r="AA169">
            <v>96.908977890468336</v>
          </cell>
          <cell r="AB169">
            <v>0</v>
          </cell>
          <cell r="AD169">
            <v>2023</v>
          </cell>
          <cell r="AE169">
            <v>4</v>
          </cell>
        </row>
        <row r="170">
          <cell r="B170">
            <v>2025</v>
          </cell>
          <cell r="P170">
            <v>71.074474203343087</v>
          </cell>
          <cell r="Q170">
            <v>61.211301922613117</v>
          </cell>
          <cell r="R170">
            <v>70.353466454760778</v>
          </cell>
          <cell r="S170">
            <v>84.238431236742997</v>
          </cell>
          <cell r="T170">
            <v>94.407341673520619</v>
          </cell>
          <cell r="U170">
            <v>106.38233347968857</v>
          </cell>
          <cell r="V170">
            <v>115.61621945865053</v>
          </cell>
          <cell r="W170">
            <v>120.50194487560834</v>
          </cell>
          <cell r="X170">
            <v>113.80004576177902</v>
          </cell>
          <cell r="Y170">
            <v>135.2971485464451</v>
          </cell>
          <cell r="Z170">
            <v>115.91943453282789</v>
          </cell>
          <cell r="AA170">
            <v>111.19785785401992</v>
          </cell>
          <cell r="AB170">
            <v>0</v>
          </cell>
          <cell r="AD170">
            <v>2023</v>
          </cell>
          <cell r="AE170">
            <v>4</v>
          </cell>
        </row>
        <row r="171">
          <cell r="B171">
            <v>2024</v>
          </cell>
          <cell r="P171">
            <v>79.122577841901347</v>
          </cell>
          <cell r="Q171">
            <v>75.438892122920436</v>
          </cell>
          <cell r="R171">
            <v>100.10625882588873</v>
          </cell>
          <cell r="S171">
            <v>98.85559383782369</v>
          </cell>
          <cell r="T171">
            <v>109.51820744285281</v>
          </cell>
          <cell r="U171">
            <v>103.18926187021104</v>
          </cell>
          <cell r="V171">
            <v>105.62666943338839</v>
          </cell>
          <cell r="W171">
            <v>108.32561575805855</v>
          </cell>
          <cell r="X171">
            <v>112.04387389319525</v>
          </cell>
          <cell r="Y171">
            <v>113.34195844903894</v>
          </cell>
          <cell r="Z171">
            <v>100.01925331936977</v>
          </cell>
          <cell r="AA171">
            <v>94.411837205351105</v>
          </cell>
          <cell r="AB171">
            <v>0</v>
          </cell>
          <cell r="AD171">
            <v>2023</v>
          </cell>
          <cell r="AE171">
            <v>4</v>
          </cell>
        </row>
        <row r="172">
          <cell r="B172">
            <v>2025</v>
          </cell>
          <cell r="P172">
            <v>66.186816592076454</v>
          </cell>
          <cell r="Q172">
            <v>75.692698348289682</v>
          </cell>
          <cell r="R172">
            <v>91.633569322141767</v>
          </cell>
          <cell r="S172">
            <v>89.511144150777113</v>
          </cell>
          <cell r="T172">
            <v>115.39375629565463</v>
          </cell>
          <cell r="U172">
            <v>114.67800723262241</v>
          </cell>
          <cell r="V172">
            <v>98.179924757268083</v>
          </cell>
          <cell r="W172">
            <v>107.78281210002037</v>
          </cell>
          <cell r="X172">
            <v>114.26573348983145</v>
          </cell>
          <cell r="Y172">
            <v>118.41947466402701</v>
          </cell>
          <cell r="Z172">
            <v>105.25011035970526</v>
          </cell>
          <cell r="AA172">
            <v>103.00595268758575</v>
          </cell>
          <cell r="AB172">
            <v>0</v>
          </cell>
          <cell r="AD172">
            <v>2023</v>
          </cell>
          <cell r="AE172">
            <v>4</v>
          </cell>
        </row>
        <row r="173">
          <cell r="B173">
            <v>2024</v>
          </cell>
          <cell r="P173">
            <v>93.100250411102223</v>
          </cell>
          <cell r="Q173">
            <v>98.067499419243788</v>
          </cell>
          <cell r="R173">
            <v>111.65664595455284</v>
          </cell>
          <cell r="S173">
            <v>109.25313836996821</v>
          </cell>
          <cell r="T173">
            <v>101.76385263608442</v>
          </cell>
          <cell r="U173">
            <v>92.310056136718231</v>
          </cell>
          <cell r="V173">
            <v>99.748857236405257</v>
          </cell>
          <cell r="W173">
            <v>90.053612486532856</v>
          </cell>
          <cell r="X173">
            <v>93.940929319682965</v>
          </cell>
          <cell r="Y173">
            <v>98.85549870953227</v>
          </cell>
          <cell r="Z173">
            <v>108.48928390473036</v>
          </cell>
          <cell r="AA173">
            <v>102.76037541544648</v>
          </cell>
          <cell r="AB173">
            <v>0</v>
          </cell>
          <cell r="AD173">
            <v>2023</v>
          </cell>
          <cell r="AE173">
            <v>5</v>
          </cell>
        </row>
        <row r="174">
          <cell r="B174">
            <v>2025</v>
          </cell>
          <cell r="P174">
            <v>101.5768751642876</v>
          </cell>
          <cell r="Q174">
            <v>79.288763300152013</v>
          </cell>
          <cell r="R174">
            <v>94.539651881735793</v>
          </cell>
          <cell r="S174">
            <v>90.088886730134064</v>
          </cell>
          <cell r="T174">
            <v>92.079623767128766</v>
          </cell>
          <cell r="U174">
            <v>118.12763574440852</v>
          </cell>
          <cell r="V174">
            <v>82.841661047554837</v>
          </cell>
          <cell r="W174">
            <v>97.670401947450841</v>
          </cell>
          <cell r="X174">
            <v>84.487394141647343</v>
          </cell>
          <cell r="Y174">
            <v>135.04654338906732</v>
          </cell>
          <cell r="Z174">
            <v>106.58693242208483</v>
          </cell>
          <cell r="AA174">
            <v>117.66563046434817</v>
          </cell>
          <cell r="AB174">
            <v>0</v>
          </cell>
          <cell r="AD174">
            <v>2023</v>
          </cell>
          <cell r="AE174">
            <v>5</v>
          </cell>
        </row>
        <row r="175">
          <cell r="B175">
            <v>2024</v>
          </cell>
          <cell r="P175">
            <v>103.11914995657492</v>
          </cell>
          <cell r="Q175">
            <v>97.909215050534968</v>
          </cell>
          <cell r="R175">
            <v>108.585941021151</v>
          </cell>
          <cell r="S175">
            <v>98.342055292586977</v>
          </cell>
          <cell r="T175">
            <v>99.076889595512014</v>
          </cell>
          <cell r="U175">
            <v>96.806291901172173</v>
          </cell>
          <cell r="V175">
            <v>102.84993461049416</v>
          </cell>
          <cell r="W175">
            <v>98.935833650709199</v>
          </cell>
          <cell r="X175">
            <v>95.042689574152107</v>
          </cell>
          <cell r="Y175">
            <v>101.95174408958798</v>
          </cell>
          <cell r="Z175">
            <v>95.273483967648488</v>
          </cell>
          <cell r="AA175">
            <v>102.10677128987602</v>
          </cell>
          <cell r="AB175">
            <v>0</v>
          </cell>
          <cell r="AD175">
            <v>2023</v>
          </cell>
          <cell r="AE175">
            <v>7</v>
          </cell>
        </row>
        <row r="176">
          <cell r="B176">
            <v>2025</v>
          </cell>
          <cell r="P176">
            <v>99.108402801648012</v>
          </cell>
          <cell r="Q176">
            <v>83.779384722664858</v>
          </cell>
          <cell r="R176">
            <v>110.48191220079677</v>
          </cell>
          <cell r="S176">
            <v>89.850519493249266</v>
          </cell>
          <cell r="T176">
            <v>111.80511699096797</v>
          </cell>
          <cell r="U176">
            <v>99.742021326515072</v>
          </cell>
          <cell r="V176">
            <v>98.405848401364523</v>
          </cell>
          <cell r="W176">
            <v>87.447774343834155</v>
          </cell>
          <cell r="X176">
            <v>94.467403057029259</v>
          </cell>
          <cell r="Y176">
            <v>108.98193125485476</v>
          </cell>
          <cell r="Z176">
            <v>115.99951236778996</v>
          </cell>
          <cell r="AA176">
            <v>99.930173039285279</v>
          </cell>
          <cell r="AB176">
            <v>0</v>
          </cell>
          <cell r="AD176">
            <v>2023</v>
          </cell>
          <cell r="AE176">
            <v>7</v>
          </cell>
        </row>
        <row r="177">
          <cell r="B177">
            <v>2024</v>
          </cell>
          <cell r="P177">
            <v>101.60700012620421</v>
          </cell>
          <cell r="Q177">
            <v>88.870367254217314</v>
          </cell>
          <cell r="R177">
            <v>105.0342328888141</v>
          </cell>
          <cell r="S177">
            <v>92.03388582726852</v>
          </cell>
          <cell r="T177">
            <v>100.27107610113164</v>
          </cell>
          <cell r="U177">
            <v>94.745435614824785</v>
          </cell>
          <cell r="V177">
            <v>86.183269530099707</v>
          </cell>
          <cell r="W177">
            <v>98.217628623112191</v>
          </cell>
          <cell r="X177">
            <v>87.727693407934041</v>
          </cell>
          <cell r="Y177">
            <v>104.0430040806024</v>
          </cell>
          <cell r="Z177">
            <v>115.93880148079595</v>
          </cell>
          <cell r="AA177">
            <v>125.32760506499517</v>
          </cell>
          <cell r="AB177">
            <v>0</v>
          </cell>
          <cell r="AD177">
            <v>2023</v>
          </cell>
          <cell r="AE177">
            <v>7</v>
          </cell>
        </row>
        <row r="178">
          <cell r="B178">
            <v>2025</v>
          </cell>
          <cell r="P178">
            <v>106.59548524073583</v>
          </cell>
          <cell r="Q178">
            <v>86.331775184302344</v>
          </cell>
          <cell r="R178">
            <v>114.1936830035785</v>
          </cell>
          <cell r="S178">
            <v>100.35656378487492</v>
          </cell>
          <cell r="T178">
            <v>103.72424018625421</v>
          </cell>
          <cell r="U178">
            <v>100.54568048845501</v>
          </cell>
          <cell r="V178">
            <v>84.704503140487091</v>
          </cell>
          <cell r="W178">
            <v>86.963772331470437</v>
          </cell>
          <cell r="X178">
            <v>86.480125659687218</v>
          </cell>
          <cell r="Y178">
            <v>121.14058599643877</v>
          </cell>
          <cell r="Z178">
            <v>107.16500633404264</v>
          </cell>
          <cell r="AA178">
            <v>101.79857864967296</v>
          </cell>
          <cell r="AB178">
            <v>0</v>
          </cell>
          <cell r="AD178">
            <v>2023</v>
          </cell>
          <cell r="AE178">
            <v>7</v>
          </cell>
        </row>
        <row r="179">
          <cell r="B179">
            <v>2024</v>
          </cell>
          <cell r="P179">
            <v>80.504587302374262</v>
          </cell>
          <cell r="Q179">
            <v>77.87917404938247</v>
          </cell>
          <cell r="R179">
            <v>88.892785199090213</v>
          </cell>
          <cell r="S179">
            <v>97.943081575188373</v>
          </cell>
          <cell r="T179">
            <v>101.4430367841709</v>
          </cell>
          <cell r="U179">
            <v>94.328223043520907</v>
          </cell>
          <cell r="V179">
            <v>96.704423756644971</v>
          </cell>
          <cell r="W179">
            <v>104.03934119541587</v>
          </cell>
          <cell r="X179">
            <v>95.945806486207459</v>
          </cell>
          <cell r="Y179">
            <v>123.05967121052565</v>
          </cell>
          <cell r="Z179">
            <v>106.93286220133913</v>
          </cell>
          <cell r="AA179">
            <v>132.32700719613973</v>
          </cell>
          <cell r="AB179">
            <v>1</v>
          </cell>
          <cell r="AD179">
            <v>2023</v>
          </cell>
          <cell r="AE179">
            <v>7</v>
          </cell>
        </row>
        <row r="180">
          <cell r="B180">
            <v>2025</v>
          </cell>
          <cell r="P180">
            <v>83.256295461180343</v>
          </cell>
          <cell r="Q180">
            <v>70.574011577501096</v>
          </cell>
          <cell r="R180">
            <v>101.0221178700713</v>
          </cell>
          <cell r="S180">
            <v>87.483786441218967</v>
          </cell>
          <cell r="T180">
            <v>105.08172673436043</v>
          </cell>
          <cell r="U180">
            <v>99.861311349010634</v>
          </cell>
          <cell r="V180">
            <v>100.9211617328976</v>
          </cell>
          <cell r="W180">
            <v>107.39407601108564</v>
          </cell>
          <cell r="X180">
            <v>107.22902974188597</v>
          </cell>
          <cell r="Y180">
            <v>107.91965290498607</v>
          </cell>
          <cell r="Z180">
            <v>114.51658820561967</v>
          </cell>
          <cell r="AA180">
            <v>114.74024197018234</v>
          </cell>
          <cell r="AB180">
            <v>1</v>
          </cell>
          <cell r="AD180">
            <v>2023</v>
          </cell>
          <cell r="AE180">
            <v>7</v>
          </cell>
        </row>
        <row r="181">
          <cell r="B181">
            <v>2024</v>
          </cell>
          <cell r="P181">
            <v>90.695716281538807</v>
          </cell>
          <cell r="Q181">
            <v>100.59799906027602</v>
          </cell>
          <cell r="R181">
            <v>98.438979312781882</v>
          </cell>
          <cell r="S181">
            <v>103.90313806828088</v>
          </cell>
          <cell r="T181">
            <v>94.693530367860504</v>
          </cell>
          <cell r="U181">
            <v>88.171752147410004</v>
          </cell>
          <cell r="V181">
            <v>96.844106671962066</v>
          </cell>
          <cell r="W181">
            <v>90.418958970337712</v>
          </cell>
          <cell r="X181">
            <v>92.113276611114543</v>
          </cell>
          <cell r="Y181">
            <v>116.24682686797503</v>
          </cell>
          <cell r="Z181">
            <v>116.67838064137335</v>
          </cell>
          <cell r="AA181">
            <v>111.19733499908919</v>
          </cell>
          <cell r="AB181">
            <v>0</v>
          </cell>
          <cell r="AD181">
            <v>2023</v>
          </cell>
          <cell r="AE181">
            <v>7</v>
          </cell>
        </row>
        <row r="182">
          <cell r="B182">
            <v>2025</v>
          </cell>
          <cell r="P182">
            <v>114.0323925337064</v>
          </cell>
          <cell r="Q182">
            <v>88.749753128670093</v>
          </cell>
          <cell r="R182">
            <v>98.285695332888096</v>
          </cell>
          <cell r="S182">
            <v>99.911201701791498</v>
          </cell>
          <cell r="T182">
            <v>107.86385065000657</v>
          </cell>
          <cell r="U182">
            <v>100.52148270543842</v>
          </cell>
          <cell r="V182">
            <v>93.352188523762209</v>
          </cell>
          <cell r="W182">
            <v>82.197976484280886</v>
          </cell>
          <cell r="X182">
            <v>85.178523777289655</v>
          </cell>
          <cell r="Y182">
            <v>122.16444721174851</v>
          </cell>
          <cell r="Z182">
            <v>112.02817423763871</v>
          </cell>
          <cell r="AA182">
            <v>95.71431371277896</v>
          </cell>
          <cell r="AB182">
            <v>0</v>
          </cell>
          <cell r="AD182">
            <v>2023</v>
          </cell>
          <cell r="AE182">
            <v>7</v>
          </cell>
        </row>
        <row r="183">
          <cell r="B183">
            <v>2024</v>
          </cell>
          <cell r="P183">
            <v>84.112236954170683</v>
          </cell>
          <cell r="Q183">
            <v>107.24674716386173</v>
          </cell>
          <cell r="R183">
            <v>122.50775186836209</v>
          </cell>
          <cell r="S183">
            <v>101.64954064947931</v>
          </cell>
          <cell r="T183">
            <v>103.64318325318523</v>
          </cell>
          <cell r="U183">
            <v>101.9191826417798</v>
          </cell>
          <cell r="V183">
            <v>97.581728874231118</v>
          </cell>
          <cell r="W183">
            <v>98.726182217117369</v>
          </cell>
          <cell r="X183">
            <v>88.826498121216204</v>
          </cell>
          <cell r="Y183">
            <v>106.37437601230131</v>
          </cell>
          <cell r="Z183">
            <v>95.828039174684008</v>
          </cell>
          <cell r="AA183">
            <v>91.584533069611069</v>
          </cell>
          <cell r="AB183">
            <v>0</v>
          </cell>
          <cell r="AD183">
            <v>2023</v>
          </cell>
          <cell r="AE183">
            <v>7</v>
          </cell>
        </row>
        <row r="184">
          <cell r="B184">
            <v>2025</v>
          </cell>
          <cell r="P184">
            <v>79.644689614270959</v>
          </cell>
          <cell r="Q184">
            <v>85.147134369085038</v>
          </cell>
          <cell r="R184">
            <v>101.96012832764893</v>
          </cell>
          <cell r="S184">
            <v>98.987169611191547</v>
          </cell>
          <cell r="T184">
            <v>116.93346151524902</v>
          </cell>
          <cell r="U184">
            <v>102.74480694539423</v>
          </cell>
          <cell r="V184">
            <v>93.885998248349452</v>
          </cell>
          <cell r="W184">
            <v>97.681652957442878</v>
          </cell>
          <cell r="X184">
            <v>95.211854197664692</v>
          </cell>
          <cell r="Y184">
            <v>117.27371702052129</v>
          </cell>
          <cell r="Z184">
            <v>107.13828487464482</v>
          </cell>
          <cell r="AA184">
            <v>103.39110231853712</v>
          </cell>
          <cell r="AB184">
            <v>0</v>
          </cell>
          <cell r="AD184">
            <v>2023</v>
          </cell>
          <cell r="AE184">
            <v>7</v>
          </cell>
        </row>
        <row r="185">
          <cell r="B185">
            <v>2024</v>
          </cell>
          <cell r="P185">
            <v>75.595431351952797</v>
          </cell>
          <cell r="Q185">
            <v>82.711561536002392</v>
          </cell>
          <cell r="R185">
            <v>91.694609709415047</v>
          </cell>
          <cell r="S185">
            <v>100.61209255207405</v>
          </cell>
          <cell r="T185">
            <v>105.83001673178086</v>
          </cell>
          <cell r="U185">
            <v>106.54724963567897</v>
          </cell>
          <cell r="V185">
            <v>104.33516704794093</v>
          </cell>
          <cell r="W185">
            <v>103.74069476332626</v>
          </cell>
          <cell r="X185">
            <v>96.940234743148494</v>
          </cell>
          <cell r="Y185">
            <v>113.68769279952171</v>
          </cell>
          <cell r="Z185">
            <v>108.73741068425926</v>
          </cell>
          <cell r="AA185">
            <v>109.56783844489931</v>
          </cell>
          <cell r="AB185">
            <v>0</v>
          </cell>
          <cell r="AD185">
            <v>2023</v>
          </cell>
          <cell r="AE185">
            <v>7</v>
          </cell>
        </row>
        <row r="186">
          <cell r="B186">
            <v>2025</v>
          </cell>
          <cell r="P186">
            <v>93.464381895984232</v>
          </cell>
          <cell r="Q186">
            <v>82.359149100920121</v>
          </cell>
          <cell r="R186">
            <v>97.448248668167281</v>
          </cell>
          <cell r="S186">
            <v>88.770754289994443</v>
          </cell>
          <cell r="T186">
            <v>113.98772189650117</v>
          </cell>
          <cell r="U186">
            <v>107.1555726894414</v>
          </cell>
          <cell r="V186">
            <v>107.31659699762257</v>
          </cell>
          <cell r="W186">
            <v>102.25192055034236</v>
          </cell>
          <cell r="X186">
            <v>92.282272092584577</v>
          </cell>
          <cell r="Y186">
            <v>112.75133238265931</v>
          </cell>
          <cell r="Z186">
            <v>100.68457328833304</v>
          </cell>
          <cell r="AA186">
            <v>101.52747614744943</v>
          </cell>
          <cell r="AB186">
            <v>0</v>
          </cell>
          <cell r="AD186">
            <v>2023</v>
          </cell>
          <cell r="AE186">
            <v>7</v>
          </cell>
        </row>
        <row r="187">
          <cell r="B187">
            <v>2024</v>
          </cell>
          <cell r="P187">
            <v>91.244744679665388</v>
          </cell>
          <cell r="Q187">
            <v>91.207361473161484</v>
          </cell>
          <cell r="R187">
            <v>102.53795595128264</v>
          </cell>
          <cell r="S187">
            <v>93.514903747917984</v>
          </cell>
          <cell r="T187">
            <v>88.671340470455647</v>
          </cell>
          <cell r="U187">
            <v>90.913868473031457</v>
          </cell>
          <cell r="V187">
            <v>101.5643672253766</v>
          </cell>
          <cell r="W187">
            <v>99.760685560020548</v>
          </cell>
          <cell r="X187">
            <v>113.74246918013907</v>
          </cell>
          <cell r="Y187">
            <v>112.45356123415664</v>
          </cell>
          <cell r="Z187">
            <v>109.84068407398004</v>
          </cell>
          <cell r="AA187">
            <v>104.54805793081243</v>
          </cell>
          <cell r="AB187">
            <v>0</v>
          </cell>
          <cell r="AD187">
            <v>2023</v>
          </cell>
          <cell r="AE187">
            <v>8</v>
          </cell>
        </row>
        <row r="188">
          <cell r="B188">
            <v>2025</v>
          </cell>
          <cell r="P188">
            <v>94.198723645941513</v>
          </cell>
          <cell r="Q188">
            <v>80.458194989668328</v>
          </cell>
          <cell r="R188">
            <v>86.945691909830842</v>
          </cell>
          <cell r="S188">
            <v>109.44603025817426</v>
          </cell>
          <cell r="T188">
            <v>123.45561814410826</v>
          </cell>
          <cell r="U188">
            <v>116.813811244424</v>
          </cell>
          <cell r="V188">
            <v>99.254399781606267</v>
          </cell>
          <cell r="W188">
            <v>94.022435483429419</v>
          </cell>
          <cell r="X188">
            <v>88.869592644017843</v>
          </cell>
          <cell r="Y188">
            <v>112.13037612382742</v>
          </cell>
          <cell r="Z188">
            <v>100.44816214192431</v>
          </cell>
          <cell r="AA188">
            <v>93.956963633047636</v>
          </cell>
          <cell r="AB188">
            <v>0</v>
          </cell>
          <cell r="AD188">
            <v>2023</v>
          </cell>
          <cell r="AE188">
            <v>8</v>
          </cell>
        </row>
        <row r="189">
          <cell r="B189">
            <v>2024</v>
          </cell>
          <cell r="P189">
            <v>71.047427823917744</v>
          </cell>
          <cell r="Q189">
            <v>74.393842596817862</v>
          </cell>
          <cell r="R189">
            <v>100.1368987861641</v>
          </cell>
          <cell r="S189">
            <v>99.741413403912262</v>
          </cell>
          <cell r="T189">
            <v>98.749657753034597</v>
          </cell>
          <cell r="U189">
            <v>107.15828541875818</v>
          </cell>
          <cell r="V189">
            <v>104.95573605914028</v>
          </cell>
          <cell r="W189">
            <v>106.94533175139181</v>
          </cell>
          <cell r="X189">
            <v>104.93748288765173</v>
          </cell>
          <cell r="Y189">
            <v>120.1971342520763</v>
          </cell>
          <cell r="Z189">
            <v>104.23777798059079</v>
          </cell>
          <cell r="AA189">
            <v>107.49901128654437</v>
          </cell>
          <cell r="AB189">
            <v>0</v>
          </cell>
          <cell r="AD189">
            <v>2023</v>
          </cell>
          <cell r="AE189">
            <v>8</v>
          </cell>
        </row>
        <row r="190">
          <cell r="B190">
            <v>2025</v>
          </cell>
          <cell r="P190">
            <v>96.028536022070483</v>
          </cell>
          <cell r="Q190">
            <v>81.706828171102885</v>
          </cell>
          <cell r="R190">
            <v>105.09781861252176</v>
          </cell>
          <cell r="S190">
            <v>90.396945491339551</v>
          </cell>
          <cell r="T190">
            <v>113.74519765085563</v>
          </cell>
          <cell r="U190">
            <v>107.19747369266975</v>
          </cell>
          <cell r="V190">
            <v>95.802790225353107</v>
          </cell>
          <cell r="W190">
            <v>95.981414326639182</v>
          </cell>
          <cell r="X190">
            <v>91.988124602182381</v>
          </cell>
          <cell r="Y190">
            <v>121.81287025004634</v>
          </cell>
          <cell r="Z190">
            <v>100.18949131399214</v>
          </cell>
          <cell r="AA190">
            <v>100.05250964122673</v>
          </cell>
          <cell r="AB190">
            <v>0</v>
          </cell>
          <cell r="AD190">
            <v>2023</v>
          </cell>
          <cell r="AE190">
            <v>8</v>
          </cell>
        </row>
        <row r="191">
          <cell r="B191">
            <v>2024</v>
          </cell>
          <cell r="P191">
            <v>78.300079735964118</v>
          </cell>
          <cell r="Q191">
            <v>83.761338544936024</v>
          </cell>
          <cell r="R191">
            <v>88.536860984198256</v>
          </cell>
          <cell r="S191">
            <v>96.866632604777763</v>
          </cell>
          <cell r="T191">
            <v>103.25258793871738</v>
          </cell>
          <cell r="U191">
            <v>99.713486113213264</v>
          </cell>
          <cell r="V191">
            <v>105.16625107780398</v>
          </cell>
          <cell r="W191">
            <v>106.31773324774998</v>
          </cell>
          <cell r="X191">
            <v>106.49468833902517</v>
          </cell>
          <cell r="Y191">
            <v>111.03592223743905</v>
          </cell>
          <cell r="Z191">
            <v>110.0717293360987</v>
          </cell>
          <cell r="AA191">
            <v>110.48268984007623</v>
          </cell>
          <cell r="AB191">
            <v>0</v>
          </cell>
          <cell r="AD191">
            <v>2023</v>
          </cell>
          <cell r="AE191">
            <v>9</v>
          </cell>
        </row>
        <row r="192">
          <cell r="B192">
            <v>2025</v>
          </cell>
          <cell r="P192">
            <v>84.834808754668799</v>
          </cell>
          <cell r="Q192">
            <v>79.917095819860592</v>
          </cell>
          <cell r="R192">
            <v>94.112159824543227</v>
          </cell>
          <cell r="S192">
            <v>86.883021719402848</v>
          </cell>
          <cell r="T192">
            <v>115.56165519358868</v>
          </cell>
          <cell r="U192">
            <v>102.93964255124224</v>
          </cell>
          <cell r="V192">
            <v>101.33534657457244</v>
          </cell>
          <cell r="W192">
            <v>111.57059530120226</v>
          </cell>
          <cell r="X192">
            <v>104.01102172932177</v>
          </cell>
          <cell r="Y192">
            <v>121.99574635910635</v>
          </cell>
          <cell r="Z192">
            <v>111.38339813134212</v>
          </cell>
          <cell r="AA192">
            <v>85.455508041148647</v>
          </cell>
          <cell r="AB192">
            <v>0</v>
          </cell>
          <cell r="AD192">
            <v>2023</v>
          </cell>
          <cell r="AE192">
            <v>9</v>
          </cell>
        </row>
        <row r="193">
          <cell r="B193">
            <v>2024</v>
          </cell>
          <cell r="P193">
            <v>97.743583339238469</v>
          </cell>
          <cell r="Q193">
            <v>99.359017984119987</v>
          </cell>
          <cell r="R193">
            <v>91.303103248198823</v>
          </cell>
          <cell r="S193">
            <v>103.99547327499295</v>
          </cell>
          <cell r="T193">
            <v>88.556969591942263</v>
          </cell>
          <cell r="U193">
            <v>100.51392220515775</v>
          </cell>
          <cell r="V193">
            <v>105.86432594103891</v>
          </cell>
          <cell r="W193">
            <v>99.433527933864369</v>
          </cell>
          <cell r="X193">
            <v>89.230505860817942</v>
          </cell>
          <cell r="Y193">
            <v>125.35625508221703</v>
          </cell>
          <cell r="Z193">
            <v>102.28932171389724</v>
          </cell>
          <cell r="AA193">
            <v>96.353993824514333</v>
          </cell>
          <cell r="AB193">
            <v>0</v>
          </cell>
          <cell r="AD193">
            <v>2023</v>
          </cell>
          <cell r="AE193">
            <v>9</v>
          </cell>
        </row>
        <row r="194">
          <cell r="B194">
            <v>2025</v>
          </cell>
          <cell r="P194">
            <v>102.69662969893669</v>
          </cell>
          <cell r="Q194">
            <v>82.997575015732565</v>
          </cell>
          <cell r="R194">
            <v>110.72564908169487</v>
          </cell>
          <cell r="S194">
            <v>90.435744397718025</v>
          </cell>
          <cell r="T194">
            <v>103.7297697104127</v>
          </cell>
          <cell r="U194">
            <v>103.41390524830538</v>
          </cell>
          <cell r="V194">
            <v>94.930232473120029</v>
          </cell>
          <cell r="W194">
            <v>101.28899886685619</v>
          </cell>
          <cell r="X194">
            <v>87.379596199323629</v>
          </cell>
          <cell r="Y194">
            <v>118.60471260870511</v>
          </cell>
          <cell r="Z194">
            <v>107.09201131116488</v>
          </cell>
          <cell r="AA194">
            <v>96.705175388029886</v>
          </cell>
          <cell r="AB194">
            <v>0</v>
          </cell>
          <cell r="AD194">
            <v>2023</v>
          </cell>
          <cell r="AE194">
            <v>9</v>
          </cell>
        </row>
        <row r="195">
          <cell r="B195">
            <v>2024</v>
          </cell>
          <cell r="P195">
            <v>63.085859206568159</v>
          </cell>
          <cell r="Q195">
            <v>77.137865643338159</v>
          </cell>
          <cell r="R195">
            <v>91.932788359599954</v>
          </cell>
          <cell r="S195">
            <v>104.39834463367038</v>
          </cell>
          <cell r="T195">
            <v>99.426732351431099</v>
          </cell>
          <cell r="U195">
            <v>101.8980660974957</v>
          </cell>
          <cell r="V195">
            <v>111.22242348295414</v>
          </cell>
          <cell r="W195">
            <v>107.89377262029605</v>
          </cell>
          <cell r="X195">
            <v>108.46026351245028</v>
          </cell>
          <cell r="Y195">
            <v>122.50813497920454</v>
          </cell>
          <cell r="Z195">
            <v>113.9914750701509</v>
          </cell>
          <cell r="AA195">
            <v>98.044274042840584</v>
          </cell>
          <cell r="AB195">
            <v>0</v>
          </cell>
          <cell r="AD195">
            <v>2023</v>
          </cell>
          <cell r="AE195">
            <v>9</v>
          </cell>
        </row>
        <row r="196">
          <cell r="B196">
            <v>2025</v>
          </cell>
          <cell r="P196">
            <v>94.963396503181158</v>
          </cell>
          <cell r="Q196">
            <v>85.688906373099343</v>
          </cell>
          <cell r="R196">
            <v>92.621860819872296</v>
          </cell>
          <cell r="S196">
            <v>86.651886463768463</v>
          </cell>
          <cell r="T196">
            <v>110.66235745979998</v>
          </cell>
          <cell r="U196">
            <v>105.91274379226248</v>
          </cell>
          <cell r="V196">
            <v>103.3703256910826</v>
          </cell>
          <cell r="W196">
            <v>98.626989599103567</v>
          </cell>
          <cell r="X196">
            <v>98.630756144438649</v>
          </cell>
          <cell r="Y196">
            <v>112.15516492760386</v>
          </cell>
          <cell r="Z196">
            <v>104.27429657150211</v>
          </cell>
          <cell r="AA196">
            <v>106.44131565428555</v>
          </cell>
          <cell r="AB196">
            <v>0</v>
          </cell>
          <cell r="AD196">
            <v>2023</v>
          </cell>
          <cell r="AE196">
            <v>9</v>
          </cell>
        </row>
        <row r="197">
          <cell r="B197">
            <v>2024</v>
          </cell>
          <cell r="P197">
            <v>68.401157631951506</v>
          </cell>
          <cell r="Q197">
            <v>72.291953817476823</v>
          </cell>
          <cell r="R197">
            <v>93.010843793072624</v>
          </cell>
          <cell r="S197">
            <v>99.351400539854652</v>
          </cell>
          <cell r="T197">
            <v>100.48021177886508</v>
          </cell>
          <cell r="U197">
            <v>98.494784918761624</v>
          </cell>
          <cell r="V197">
            <v>111.75231266203312</v>
          </cell>
          <cell r="W197">
            <v>100.50422903926956</v>
          </cell>
          <cell r="X197">
            <v>111.47211129064756</v>
          </cell>
          <cell r="Y197">
            <v>117.06012721142261</v>
          </cell>
          <cell r="Z197">
            <v>114.05796966086295</v>
          </cell>
          <cell r="AA197">
            <v>113.12289765578197</v>
          </cell>
          <cell r="AB197">
            <v>0</v>
          </cell>
          <cell r="AD197">
            <v>2023</v>
          </cell>
          <cell r="AE197">
            <v>9</v>
          </cell>
        </row>
        <row r="198">
          <cell r="B198">
            <v>2025</v>
          </cell>
          <cell r="P198">
            <v>84.289004063500201</v>
          </cell>
          <cell r="Q198">
            <v>80.73364543191451</v>
          </cell>
          <cell r="R198">
            <v>91.899234522844807</v>
          </cell>
          <cell r="S198">
            <v>91.546636972604901</v>
          </cell>
          <cell r="T198">
            <v>107.72554758143033</v>
          </cell>
          <cell r="U198">
            <v>106.76849708792201</v>
          </cell>
          <cell r="V198">
            <v>98.739906836824531</v>
          </cell>
          <cell r="W198">
            <v>106.88043281815692</v>
          </cell>
          <cell r="X198">
            <v>101.14092825036292</v>
          </cell>
          <cell r="Y198">
            <v>125.44077608772963</v>
          </cell>
          <cell r="Z198">
            <v>102.0657972214287</v>
          </cell>
          <cell r="AA198">
            <v>102.76959312528058</v>
          </cell>
          <cell r="AB198">
            <v>0</v>
          </cell>
          <cell r="AD198">
            <v>2023</v>
          </cell>
          <cell r="AE198">
            <v>9</v>
          </cell>
        </row>
        <row r="199">
          <cell r="B199">
            <v>2024</v>
          </cell>
          <cell r="P199">
            <v>82.305986407618491</v>
          </cell>
          <cell r="Q199">
            <v>78.937991471000259</v>
          </cell>
          <cell r="R199">
            <v>101.43034026511164</v>
          </cell>
          <cell r="S199">
            <v>98.364976757580834</v>
          </cell>
          <cell r="T199">
            <v>105.29621271409952</v>
          </cell>
          <cell r="U199">
            <v>97.22278717037986</v>
          </cell>
          <cell r="V199">
            <v>120.88661246418452</v>
          </cell>
          <cell r="W199">
            <v>97.954959982688166</v>
          </cell>
          <cell r="X199">
            <v>97.427795557826187</v>
          </cell>
          <cell r="Y199">
            <v>111.87600572071024</v>
          </cell>
          <cell r="Z199">
            <v>105.02286819750441</v>
          </cell>
          <cell r="AA199">
            <v>103.27346329129577</v>
          </cell>
          <cell r="AB199">
            <v>0</v>
          </cell>
          <cell r="AD199">
            <v>2023</v>
          </cell>
          <cell r="AE199">
            <v>9</v>
          </cell>
        </row>
        <row r="200">
          <cell r="B200">
            <v>2025</v>
          </cell>
          <cell r="P200">
            <v>83.991947858744226</v>
          </cell>
          <cell r="Q200">
            <v>80.880325830832206</v>
          </cell>
          <cell r="R200">
            <v>101.60990808699226</v>
          </cell>
          <cell r="S200">
            <v>88.738966017675182</v>
          </cell>
          <cell r="T200">
            <v>116.65617668936316</v>
          </cell>
          <cell r="U200">
            <v>102.35270251291308</v>
          </cell>
          <cell r="V200">
            <v>98.799461109926298</v>
          </cell>
          <cell r="W200">
            <v>112.29460017581549</v>
          </cell>
          <cell r="X200">
            <v>99.328468064521175</v>
          </cell>
          <cell r="Y200">
            <v>118.10587421390191</v>
          </cell>
          <cell r="Z200">
            <v>102.15295947401</v>
          </cell>
          <cell r="AA200">
            <v>95.088609965305054</v>
          </cell>
          <cell r="AB200">
            <v>0</v>
          </cell>
          <cell r="AD200">
            <v>2023</v>
          </cell>
          <cell r="AE200">
            <v>9</v>
          </cell>
        </row>
        <row r="201">
          <cell r="B201">
            <v>2024</v>
          </cell>
          <cell r="P201">
            <v>94.6759611010105</v>
          </cell>
          <cell r="Q201">
            <v>74.283386201165996</v>
          </cell>
          <cell r="R201">
            <v>84.876109561306109</v>
          </cell>
          <cell r="S201">
            <v>99.233916047404861</v>
          </cell>
          <cell r="T201">
            <v>100.44558022414407</v>
          </cell>
          <cell r="U201">
            <v>99.764214628629219</v>
          </cell>
          <cell r="V201">
            <v>104.68539282253811</v>
          </cell>
          <cell r="W201">
            <v>102.17337469940315</v>
          </cell>
          <cell r="X201">
            <v>101.76875062580415</v>
          </cell>
          <cell r="Y201">
            <v>112.65054375384969</v>
          </cell>
          <cell r="Z201">
            <v>119.18285809529519</v>
          </cell>
          <cell r="AA201">
            <v>106.25991223944888</v>
          </cell>
          <cell r="AB201">
            <v>0</v>
          </cell>
          <cell r="AD201">
            <v>2023</v>
          </cell>
          <cell r="AE201">
            <v>9</v>
          </cell>
        </row>
        <row r="202">
          <cell r="B202">
            <v>2025</v>
          </cell>
          <cell r="P202">
            <v>89.688497570224087</v>
          </cell>
          <cell r="Q202">
            <v>78.540627216447106</v>
          </cell>
          <cell r="R202">
            <v>98.872643106536216</v>
          </cell>
          <cell r="S202">
            <v>81.490901997294912</v>
          </cell>
          <cell r="T202">
            <v>93.59373540773251</v>
          </cell>
          <cell r="U202">
            <v>104.18861854519217</v>
          </cell>
          <cell r="V202">
            <v>93.945806820103556</v>
          </cell>
          <cell r="W202">
            <v>99.555295296111026</v>
          </cell>
          <cell r="X202">
            <v>110.07272560749809</v>
          </cell>
          <cell r="Y202">
            <v>130.66522530370847</v>
          </cell>
          <cell r="Z202">
            <v>112.16625963067118</v>
          </cell>
          <cell r="AA202">
            <v>107.21966349848068</v>
          </cell>
          <cell r="AB202">
            <v>0</v>
          </cell>
          <cell r="AD202">
            <v>2023</v>
          </cell>
          <cell r="AE202">
            <v>9</v>
          </cell>
        </row>
        <row r="203">
          <cell r="B203">
            <v>2024</v>
          </cell>
          <cell r="P203">
            <v>90.250727276396276</v>
          </cell>
          <cell r="Q203">
            <v>96.169445473310631</v>
          </cell>
          <cell r="R203">
            <v>102.23251884018536</v>
          </cell>
          <cell r="S203">
            <v>108.50900039122229</v>
          </cell>
          <cell r="T203">
            <v>98.359613360404268</v>
          </cell>
          <cell r="U203">
            <v>104.27895647147429</v>
          </cell>
          <cell r="V203">
            <v>113.05603201643524</v>
          </cell>
          <cell r="W203">
            <v>94.677150469564396</v>
          </cell>
          <cell r="X203">
            <v>96.311925900803985</v>
          </cell>
          <cell r="Y203">
            <v>97.258827075186943</v>
          </cell>
          <cell r="Z203">
            <v>96.699685134398848</v>
          </cell>
          <cell r="AA203">
            <v>102.19611759061742</v>
          </cell>
          <cell r="AB203">
            <v>0</v>
          </cell>
          <cell r="AD203">
            <v>2023</v>
          </cell>
          <cell r="AE203">
            <v>10</v>
          </cell>
        </row>
        <row r="204">
          <cell r="B204">
            <v>2025</v>
          </cell>
          <cell r="P204">
            <v>86.596474006699026</v>
          </cell>
          <cell r="Q204">
            <v>74.505265568363257</v>
          </cell>
          <cell r="R204">
            <v>69.388618226993231</v>
          </cell>
          <cell r="S204">
            <v>103.08169173982493</v>
          </cell>
          <cell r="T204">
            <v>113.6576576845373</v>
          </cell>
          <cell r="U204">
            <v>110.55959321027551</v>
          </cell>
          <cell r="V204">
            <v>106.63192713051606</v>
          </cell>
          <cell r="W204">
            <v>102.57372672153335</v>
          </cell>
          <cell r="X204">
            <v>101.54929330578935</v>
          </cell>
          <cell r="Y204">
            <v>128.47710819468412</v>
          </cell>
          <cell r="Z204">
            <v>103.26085943056451</v>
          </cell>
          <cell r="AA204">
            <v>99.717784780219347</v>
          </cell>
          <cell r="AB204">
            <v>0</v>
          </cell>
          <cell r="AD204">
            <v>2023</v>
          </cell>
          <cell r="AE204">
            <v>10</v>
          </cell>
        </row>
        <row r="205">
          <cell r="B205">
            <v>2024</v>
          </cell>
          <cell r="P205">
            <v>75.976651844331954</v>
          </cell>
          <cell r="Q205">
            <v>78.562714712125398</v>
          </cell>
          <cell r="R205">
            <v>96.175737900411534</v>
          </cell>
          <cell r="S205">
            <v>103.19182155124426</v>
          </cell>
          <cell r="T205">
            <v>100.4637878883174</v>
          </cell>
          <cell r="U205">
            <v>102.33700442176408</v>
          </cell>
          <cell r="V205">
            <v>108.69809400605619</v>
          </cell>
          <cell r="W205">
            <v>104.12178013201287</v>
          </cell>
          <cell r="X205">
            <v>106.99876676032565</v>
          </cell>
          <cell r="Y205">
            <v>109.61907551078592</v>
          </cell>
          <cell r="Z205">
            <v>108.3167345165526</v>
          </cell>
          <cell r="AA205">
            <v>105.53783075607205</v>
          </cell>
          <cell r="AB205">
            <v>0</v>
          </cell>
          <cell r="AD205">
            <v>2023</v>
          </cell>
          <cell r="AE205">
            <v>10</v>
          </cell>
        </row>
        <row r="206">
          <cell r="B206">
            <v>2025</v>
          </cell>
          <cell r="P206">
            <v>86.576184439191863</v>
          </cell>
          <cell r="Q206">
            <v>83.326484554590564</v>
          </cell>
          <cell r="R206">
            <v>104.25882747928574</v>
          </cell>
          <cell r="S206">
            <v>100.20175073214268</v>
          </cell>
          <cell r="T206">
            <v>119.23103684010839</v>
          </cell>
          <cell r="U206">
            <v>100.87979985985488</v>
          </cell>
          <cell r="V206">
            <v>106.33560333511709</v>
          </cell>
          <cell r="W206">
            <v>100.31857838851286</v>
          </cell>
          <cell r="X206">
            <v>95.5142213098827</v>
          </cell>
          <cell r="Y206">
            <v>103.38478353162741</v>
          </cell>
          <cell r="Z206">
            <v>107.89683108320793</v>
          </cell>
          <cell r="AA206">
            <v>92.075898446477964</v>
          </cell>
          <cell r="AB206">
            <v>0</v>
          </cell>
          <cell r="AD206">
            <v>2023</v>
          </cell>
          <cell r="AE206">
            <v>10</v>
          </cell>
        </row>
        <row r="207">
          <cell r="B207">
            <v>2024</v>
          </cell>
          <cell r="P207">
            <v>69.279779133385574</v>
          </cell>
          <cell r="Q207">
            <v>72.326484162067388</v>
          </cell>
          <cell r="R207">
            <v>91.814866259126319</v>
          </cell>
          <cell r="S207">
            <v>100.626208644304</v>
          </cell>
          <cell r="T207">
            <v>96.852927646800609</v>
          </cell>
          <cell r="U207">
            <v>106.73997686890996</v>
          </cell>
          <cell r="V207">
            <v>109.75953767460199</v>
          </cell>
          <cell r="W207">
            <v>104.13225944651134</v>
          </cell>
          <cell r="X207">
            <v>104.43154790516603</v>
          </cell>
          <cell r="Y207">
            <v>120.74662993356489</v>
          </cell>
          <cell r="Z207">
            <v>107.15462827527126</v>
          </cell>
          <cell r="AA207">
            <v>116.13515405029051</v>
          </cell>
          <cell r="AB207">
            <v>0</v>
          </cell>
          <cell r="AD207">
            <v>2023</v>
          </cell>
          <cell r="AE207">
            <v>11</v>
          </cell>
        </row>
        <row r="208">
          <cell r="B208">
            <v>2025</v>
          </cell>
          <cell r="P208">
            <v>88.501148355386789</v>
          </cell>
          <cell r="Q208">
            <v>88.015844272038763</v>
          </cell>
          <cell r="R208">
            <v>96.225128761966943</v>
          </cell>
          <cell r="S208">
            <v>98.355642307313602</v>
          </cell>
          <cell r="T208">
            <v>111.25810756619867</v>
          </cell>
          <cell r="U208">
            <v>104.26106116146583</v>
          </cell>
          <cell r="V208">
            <v>102.00135124683696</v>
          </cell>
          <cell r="W208">
            <v>95.401910757062794</v>
          </cell>
          <cell r="X208">
            <v>98.51059618059827</v>
          </cell>
          <cell r="Y208">
            <v>123.37680877472303</v>
          </cell>
          <cell r="Z208">
            <v>99.424169874145989</v>
          </cell>
          <cell r="AA208">
            <v>94.668230742262452</v>
          </cell>
          <cell r="AB208">
            <v>0</v>
          </cell>
          <cell r="AD208">
            <v>2023</v>
          </cell>
          <cell r="AE208">
            <v>11</v>
          </cell>
        </row>
        <row r="209">
          <cell r="B209">
            <v>2024</v>
          </cell>
          <cell r="P209">
            <v>60.586844225041936</v>
          </cell>
          <cell r="Q209">
            <v>78.228751745900354</v>
          </cell>
          <cell r="R209">
            <v>95.414619005742068</v>
          </cell>
          <cell r="S209">
            <v>96.238462277466979</v>
          </cell>
          <cell r="T209">
            <v>100.52750208769039</v>
          </cell>
          <cell r="U209">
            <v>105.62198393402159</v>
          </cell>
          <cell r="V209">
            <v>99.402144593805659</v>
          </cell>
          <cell r="W209">
            <v>103.17971873452707</v>
          </cell>
          <cell r="X209">
            <v>110.51538239836827</v>
          </cell>
          <cell r="Y209">
            <v>120.10796869572928</v>
          </cell>
          <cell r="Z209">
            <v>116.84097341797408</v>
          </cell>
          <cell r="AA209">
            <v>113.33564888373226</v>
          </cell>
          <cell r="AB209">
            <v>0</v>
          </cell>
          <cell r="AD209">
            <v>2023</v>
          </cell>
          <cell r="AE209">
            <v>11</v>
          </cell>
        </row>
        <row r="210">
          <cell r="B210">
            <v>2025</v>
          </cell>
          <cell r="P210">
            <v>77.908789196442257</v>
          </cell>
          <cell r="Q210">
            <v>75.552249774256467</v>
          </cell>
          <cell r="R210">
            <v>106.17351682403013</v>
          </cell>
          <cell r="S210">
            <v>93.799765851510585</v>
          </cell>
          <cell r="T210">
            <v>114.38454203441417</v>
          </cell>
          <cell r="U210">
            <v>96.728972379701389</v>
          </cell>
          <cell r="V210">
            <v>97.088852955046164</v>
          </cell>
          <cell r="W210">
            <v>102.99599983933902</v>
          </cell>
          <cell r="X210">
            <v>103.00331883913523</v>
          </cell>
          <cell r="Y210">
            <v>120.17422789758756</v>
          </cell>
          <cell r="Z210">
            <v>110.8548204985548</v>
          </cell>
          <cell r="AA210">
            <v>101.33494390998226</v>
          </cell>
          <cell r="AB210">
            <v>0</v>
          </cell>
          <cell r="AD210">
            <v>2023</v>
          </cell>
          <cell r="AE210">
            <v>11</v>
          </cell>
        </row>
        <row r="211">
          <cell r="B211">
            <v>2024</v>
          </cell>
          <cell r="P211">
            <v>50.802128375921349</v>
          </cell>
          <cell r="Q211">
            <v>93.132087297221474</v>
          </cell>
          <cell r="R211">
            <v>99.272916278807244</v>
          </cell>
          <cell r="S211">
            <v>106.40217251818412</v>
          </cell>
          <cell r="T211">
            <v>121.88487461996797</v>
          </cell>
          <cell r="U211">
            <v>106.71992941730809</v>
          </cell>
          <cell r="V211">
            <v>121.732679286524</v>
          </cell>
          <cell r="W211">
            <v>115.88646902052756</v>
          </cell>
          <cell r="X211">
            <v>106.38274093686617</v>
          </cell>
          <cell r="Y211">
            <v>105.32939197964288</v>
          </cell>
          <cell r="Z211">
            <v>107.56222669073712</v>
          </cell>
          <cell r="AA211">
            <v>64.892383578291998</v>
          </cell>
          <cell r="AB211">
            <v>1</v>
          </cell>
          <cell r="AD211">
            <v>2023</v>
          </cell>
          <cell r="AE211">
            <v>12</v>
          </cell>
        </row>
        <row r="212">
          <cell r="B212">
            <v>2025</v>
          </cell>
          <cell r="P212">
            <v>99.660165611092083</v>
          </cell>
          <cell r="Q212">
            <v>75.675924340979122</v>
          </cell>
          <cell r="R212">
            <v>101.56324888736734</v>
          </cell>
          <cell r="S212">
            <v>111.37538514207463</v>
          </cell>
          <cell r="T212">
            <v>131.45910005135227</v>
          </cell>
          <cell r="U212">
            <v>97.273729031153707</v>
          </cell>
          <cell r="V212">
            <v>102.23082848339608</v>
          </cell>
          <cell r="W212">
            <v>90.294152259500166</v>
          </cell>
          <cell r="X212">
            <v>77.709314019171515</v>
          </cell>
          <cell r="Y212">
            <v>98.302860749743232</v>
          </cell>
          <cell r="Z212">
            <v>113.10483353303663</v>
          </cell>
          <cell r="AA212">
            <v>101.35045789113317</v>
          </cell>
          <cell r="AB212">
            <v>1</v>
          </cell>
          <cell r="AD212">
            <v>2023</v>
          </cell>
          <cell r="AE212">
            <v>12</v>
          </cell>
        </row>
        <row r="213">
          <cell r="B213">
            <v>2024</v>
          </cell>
          <cell r="P213">
            <v>78.691791882908248</v>
          </cell>
          <cell r="Q213">
            <v>74.217161691024586</v>
          </cell>
          <cell r="R213">
            <v>90.630814042270899</v>
          </cell>
          <cell r="S213">
            <v>94.818105193292652</v>
          </cell>
          <cell r="T213">
            <v>101.60958350952241</v>
          </cell>
          <cell r="U213">
            <v>96.823433213509034</v>
          </cell>
          <cell r="V213">
            <v>105.4794982051543</v>
          </cell>
          <cell r="W213">
            <v>108.47190478454453</v>
          </cell>
          <cell r="X213">
            <v>104.85041273107794</v>
          </cell>
          <cell r="Y213">
            <v>118.1462192372323</v>
          </cell>
          <cell r="Z213">
            <v>117.23565107355421</v>
          </cell>
          <cell r="AA213">
            <v>109.02542443590902</v>
          </cell>
          <cell r="AB213">
            <v>0</v>
          </cell>
          <cell r="AD213">
            <v>2023</v>
          </cell>
          <cell r="AE213">
            <v>12</v>
          </cell>
        </row>
        <row r="214">
          <cell r="B214">
            <v>2025</v>
          </cell>
          <cell r="P214">
            <v>95.389147159719727</v>
          </cell>
          <cell r="Q214">
            <v>95.684277926112699</v>
          </cell>
          <cell r="R214">
            <v>101.64710671493167</v>
          </cell>
          <cell r="S214">
            <v>98.122499056514428</v>
          </cell>
          <cell r="T214">
            <v>108.09673165291605</v>
          </cell>
          <cell r="U214">
            <v>95.042283701516496</v>
          </cell>
          <cell r="V214">
            <v>91.979029884817024</v>
          </cell>
          <cell r="W214">
            <v>104.53311245641237</v>
          </cell>
          <cell r="X214">
            <v>91.388768352031065</v>
          </cell>
          <cell r="Y214">
            <v>124.4060988037875</v>
          </cell>
          <cell r="Z214">
            <v>105.34472206399306</v>
          </cell>
          <cell r="AA214">
            <v>88.36622222724786</v>
          </cell>
          <cell r="AB214">
            <v>0</v>
          </cell>
          <cell r="AD214">
            <v>2023</v>
          </cell>
          <cell r="AE214">
            <v>12</v>
          </cell>
        </row>
        <row r="215">
          <cell r="B215">
            <v>2024</v>
          </cell>
          <cell r="P215">
            <v>59.964964023792788</v>
          </cell>
          <cell r="Q215">
            <v>77.663683028981055</v>
          </cell>
          <cell r="R215">
            <v>94.632077067098933</v>
          </cell>
          <cell r="S215">
            <v>99.623864568868584</v>
          </cell>
          <cell r="T215">
            <v>96.324406804604507</v>
          </cell>
          <cell r="U215">
            <v>110.15014865116655</v>
          </cell>
          <cell r="V215">
            <v>119.80221154379906</v>
          </cell>
          <cell r="W215">
            <v>100.86058030971252</v>
          </cell>
          <cell r="X215">
            <v>109.71794360937683</v>
          </cell>
          <cell r="Y215">
            <v>110.0305220067843</v>
          </cell>
          <cell r="Z215">
            <v>109.92483746052429</v>
          </cell>
          <cell r="AA215">
            <v>111.30476092529058</v>
          </cell>
          <cell r="AB215">
            <v>0</v>
          </cell>
          <cell r="AD215">
            <v>2024</v>
          </cell>
          <cell r="AE215">
            <v>1</v>
          </cell>
        </row>
        <row r="216">
          <cell r="B216">
            <v>2025</v>
          </cell>
          <cell r="P216">
            <v>80.353526839622802</v>
          </cell>
          <cell r="Q216">
            <v>84.748736544065281</v>
          </cell>
          <cell r="R216">
            <v>92.24463396761287</v>
          </cell>
          <cell r="S216">
            <v>89.122341066016219</v>
          </cell>
          <cell r="T216">
            <v>111.85402052492337</v>
          </cell>
          <cell r="U216">
            <v>109.33529660681664</v>
          </cell>
          <cell r="V216">
            <v>104.48541478166035</v>
          </cell>
          <cell r="W216">
            <v>113.65647071775307</v>
          </cell>
          <cell r="X216">
            <v>101.86361900567995</v>
          </cell>
          <cell r="Y216">
            <v>117.88393062947455</v>
          </cell>
          <cell r="Z216">
            <v>100.48804318284246</v>
          </cell>
          <cell r="AA216">
            <v>93.963966133532423</v>
          </cell>
          <cell r="AB216">
            <v>0</v>
          </cell>
          <cell r="AD216">
            <v>2024</v>
          </cell>
          <cell r="AE216">
            <v>1</v>
          </cell>
        </row>
        <row r="217">
          <cell r="B217">
            <v>2024</v>
          </cell>
          <cell r="P217">
            <v>56.203423323937109</v>
          </cell>
          <cell r="Q217">
            <v>72.983755194559876</v>
          </cell>
          <cell r="R217">
            <v>90.14733660748017</v>
          </cell>
          <cell r="S217">
            <v>101.72154253000494</v>
          </cell>
          <cell r="T217">
            <v>106.42236494144315</v>
          </cell>
          <cell r="U217">
            <v>99.12876696405219</v>
          </cell>
          <cell r="V217">
            <v>112.59829705617391</v>
          </cell>
          <cell r="W217">
            <v>122.41143820290023</v>
          </cell>
          <cell r="X217">
            <v>108.17122431780535</v>
          </cell>
          <cell r="Y217">
            <v>113.96181453604952</v>
          </cell>
          <cell r="Z217">
            <v>110.70471651506786</v>
          </cell>
          <cell r="AA217">
            <v>105.54531981052571</v>
          </cell>
          <cell r="AB217">
            <v>1</v>
          </cell>
          <cell r="AD217">
            <v>2024</v>
          </cell>
          <cell r="AE217">
            <v>1</v>
          </cell>
        </row>
        <row r="218">
          <cell r="B218">
            <v>2024</v>
          </cell>
          <cell r="P218">
            <v>37.374643502898579</v>
          </cell>
          <cell r="Q218">
            <v>70.440565176058314</v>
          </cell>
          <cell r="R218">
            <v>100.04124182153708</v>
          </cell>
          <cell r="S218">
            <v>103.12272820474584</v>
          </cell>
          <cell r="T218">
            <v>104.76401289913694</v>
          </cell>
          <cell r="U218">
            <v>110.73009674352714</v>
          </cell>
          <cell r="V218">
            <v>112.28237366488341</v>
          </cell>
          <cell r="W218">
            <v>110.70912632579642</v>
          </cell>
          <cell r="X218">
            <v>91.702937722519422</v>
          </cell>
          <cell r="Y218">
            <v>116.91636997408987</v>
          </cell>
          <cell r="Z218">
            <v>118.86358976270807</v>
          </cell>
          <cell r="AA218">
            <v>123.0523142020989</v>
          </cell>
          <cell r="AB218">
            <v>0</v>
          </cell>
          <cell r="AD218">
            <v>2024</v>
          </cell>
          <cell r="AE218">
            <v>1</v>
          </cell>
        </row>
        <row r="219">
          <cell r="B219">
            <v>2025</v>
          </cell>
          <cell r="P219">
            <v>97.564849416851573</v>
          </cell>
          <cell r="Q219">
            <v>75.173990253255212</v>
          </cell>
          <cell r="R219">
            <v>103.28127245146096</v>
          </cell>
          <cell r="S219">
            <v>99.828943861338672</v>
          </cell>
          <cell r="T219">
            <v>112.78813279528434</v>
          </cell>
          <cell r="U219">
            <v>110.77214927458814</v>
          </cell>
          <cell r="V219">
            <v>94.241512182334091</v>
          </cell>
          <cell r="W219">
            <v>100.20637520031501</v>
          </cell>
          <cell r="X219">
            <v>88.773364601305929</v>
          </cell>
          <cell r="Y219">
            <v>119.69854851818987</v>
          </cell>
          <cell r="Z219">
            <v>103.47410136570694</v>
          </cell>
          <cell r="AA219">
            <v>94.19676007936917</v>
          </cell>
          <cell r="AB219">
            <v>0</v>
          </cell>
          <cell r="AD219">
            <v>2024</v>
          </cell>
          <cell r="AE219">
            <v>1</v>
          </cell>
        </row>
        <row r="220">
          <cell r="B220">
            <v>2024</v>
          </cell>
          <cell r="P220">
            <v>13.036572811352871</v>
          </cell>
          <cell r="Q220">
            <v>79.316990341037254</v>
          </cell>
          <cell r="R220">
            <v>86.552574698029233</v>
          </cell>
          <cell r="S220">
            <v>91.003424727764909</v>
          </cell>
          <cell r="T220">
            <v>98.568176691343851</v>
          </cell>
          <cell r="U220">
            <v>107.13893730902528</v>
          </cell>
          <cell r="V220">
            <v>108.73752640321554</v>
          </cell>
          <cell r="W220">
            <v>124.50882841498677</v>
          </cell>
          <cell r="X220">
            <v>115.49314029079424</v>
          </cell>
          <cell r="Y220">
            <v>134.99907716916513</v>
          </cell>
          <cell r="Z220">
            <v>117.76305805631317</v>
          </cell>
          <cell r="AA220">
            <v>122.88169308697168</v>
          </cell>
          <cell r="AB220">
            <v>0</v>
          </cell>
          <cell r="AD220">
            <v>2024</v>
          </cell>
          <cell r="AE220">
            <v>1</v>
          </cell>
        </row>
        <row r="221">
          <cell r="B221">
            <v>2025</v>
          </cell>
          <cell r="P221">
            <v>87.11550157577544</v>
          </cell>
          <cell r="Q221">
            <v>79.674155439650562</v>
          </cell>
          <cell r="R221">
            <v>92.651173077277505</v>
          </cell>
          <cell r="S221">
            <v>94.240586815090595</v>
          </cell>
          <cell r="T221">
            <v>109.39899371532833</v>
          </cell>
          <cell r="U221">
            <v>105.1880793969664</v>
          </cell>
          <cell r="V221">
            <v>102.70885935973754</v>
          </cell>
          <cell r="W221">
            <v>103.39077388083082</v>
          </cell>
          <cell r="X221">
            <v>101.80946939678211</v>
          </cell>
          <cell r="Y221">
            <v>113.64529386829834</v>
          </cell>
          <cell r="Z221">
            <v>110.68394183453437</v>
          </cell>
          <cell r="AA221">
            <v>99.493171639727976</v>
          </cell>
          <cell r="AB221">
            <v>0</v>
          </cell>
          <cell r="AD221">
            <v>2024</v>
          </cell>
          <cell r="AE221">
            <v>1</v>
          </cell>
        </row>
        <row r="222">
          <cell r="B222">
            <v>2025</v>
          </cell>
          <cell r="P222">
            <v>87.091297325077704</v>
          </cell>
          <cell r="Q222">
            <v>79.069283669024259</v>
          </cell>
          <cell r="R222">
            <v>92.566567142262798</v>
          </cell>
          <cell r="S222">
            <v>98.771444653826393</v>
          </cell>
          <cell r="T222">
            <v>97.359034286972914</v>
          </cell>
          <cell r="U222">
            <v>108.83268887202956</v>
          </cell>
          <cell r="V222">
            <v>98.35111720222217</v>
          </cell>
          <cell r="W222">
            <v>108.49312302684713</v>
          </cell>
          <cell r="X222">
            <v>101.16676048065393</v>
          </cell>
          <cell r="Y222">
            <v>123.66437434228237</v>
          </cell>
          <cell r="Z222">
            <v>108.11409412398132</v>
          </cell>
          <cell r="AA222">
            <v>96.520214874819516</v>
          </cell>
          <cell r="AB222">
            <v>0</v>
          </cell>
          <cell r="AD222">
            <v>2024</v>
          </cell>
          <cell r="AE222">
            <v>2</v>
          </cell>
        </row>
        <row r="223">
          <cell r="B223">
            <v>2025</v>
          </cell>
          <cell r="P223">
            <v>99.60310626554238</v>
          </cell>
          <cell r="Q223">
            <v>87.621276361990553</v>
          </cell>
          <cell r="R223">
            <v>99.646378028728549</v>
          </cell>
          <cell r="S223">
            <v>94.257628080543455</v>
          </cell>
          <cell r="T223">
            <v>110.85052942193441</v>
          </cell>
          <cell r="U223">
            <v>111.60677425518814</v>
          </cell>
          <cell r="V223">
            <v>97.780030485698589</v>
          </cell>
          <cell r="W223">
            <v>95.009828823779799</v>
          </cell>
          <cell r="X223">
            <v>94.152481740091048</v>
          </cell>
          <cell r="Y223">
            <v>103.91491504209394</v>
          </cell>
          <cell r="Z223">
            <v>111.92423532155402</v>
          </cell>
          <cell r="AA223">
            <v>93.6328161728552</v>
          </cell>
          <cell r="AB223">
            <v>0</v>
          </cell>
          <cell r="AD223">
            <v>2024</v>
          </cell>
          <cell r="AE223">
            <v>2</v>
          </cell>
        </row>
        <row r="224">
          <cell r="B224">
            <v>2025</v>
          </cell>
          <cell r="P224">
            <v>86.962148111874299</v>
          </cell>
          <cell r="Q224">
            <v>83.598508193577331</v>
          </cell>
          <cell r="R224">
            <v>94.911808023952318</v>
          </cell>
          <cell r="S224">
            <v>84.893504907208978</v>
          </cell>
          <cell r="T224">
            <v>111.66670080269314</v>
          </cell>
          <cell r="U224">
            <v>111.04108053557565</v>
          </cell>
          <cell r="V224">
            <v>103.58204842226388</v>
          </cell>
          <cell r="W224">
            <v>98.87406971569655</v>
          </cell>
          <cell r="X224">
            <v>93.634499978587399</v>
          </cell>
          <cell r="Y224">
            <v>123.3784611603394</v>
          </cell>
          <cell r="Z224">
            <v>102.26079800099428</v>
          </cell>
          <cell r="AA224">
            <v>105.19637214723676</v>
          </cell>
          <cell r="AB224">
            <v>0</v>
          </cell>
          <cell r="AD224">
            <v>2024</v>
          </cell>
          <cell r="AE224">
            <v>3</v>
          </cell>
        </row>
        <row r="225">
          <cell r="B225">
            <v>2025</v>
          </cell>
          <cell r="P225">
            <v>97.097106470643325</v>
          </cell>
          <cell r="Q225">
            <v>86.996285544838784</v>
          </cell>
          <cell r="R225">
            <v>103.96104504167056</v>
          </cell>
          <cell r="S225">
            <v>101.75110029028936</v>
          </cell>
          <cell r="T225">
            <v>112.50117052158441</v>
          </cell>
          <cell r="U225">
            <v>104.84439866404469</v>
          </cell>
          <cell r="V225">
            <v>97.858725848237967</v>
          </cell>
          <cell r="W225">
            <v>88.444610918625344</v>
          </cell>
          <cell r="X225">
            <v>70.724474825982455</v>
          </cell>
          <cell r="Y225">
            <v>122.74557542841089</v>
          </cell>
          <cell r="Z225">
            <v>108.88972125979338</v>
          </cell>
          <cell r="AA225">
            <v>104.18578518587881</v>
          </cell>
          <cell r="AB225">
            <v>0</v>
          </cell>
          <cell r="AD225">
            <v>2024</v>
          </cell>
          <cell r="AE225">
            <v>3</v>
          </cell>
        </row>
        <row r="226">
          <cell r="B226">
            <v>2025</v>
          </cell>
          <cell r="P226">
            <v>91.064931651909774</v>
          </cell>
          <cell r="Q226">
            <v>89.914086624489372</v>
          </cell>
          <cell r="R226">
            <v>98.079683399742606</v>
          </cell>
          <cell r="S226">
            <v>96.897765788466828</v>
          </cell>
          <cell r="T226">
            <v>113.88867203351512</v>
          </cell>
          <cell r="U226">
            <v>119.32799740288853</v>
          </cell>
          <cell r="V226">
            <v>99.986705262629044</v>
          </cell>
          <cell r="W226">
            <v>93.846159791921906</v>
          </cell>
          <cell r="X226">
            <v>94.669815149044055</v>
          </cell>
          <cell r="Y226">
            <v>99.930589103726007</v>
          </cell>
          <cell r="Z226">
            <v>107.41212526425224</v>
          </cell>
          <cell r="AA226">
            <v>94.981468527414606</v>
          </cell>
          <cell r="AB226">
            <v>0</v>
          </cell>
          <cell r="AD226">
            <v>2024</v>
          </cell>
          <cell r="AE226">
            <v>3</v>
          </cell>
        </row>
        <row r="227">
          <cell r="B227">
            <v>2025</v>
          </cell>
          <cell r="P227">
            <v>88.214766593579114</v>
          </cell>
          <cell r="Q227">
            <v>73.966793938100352</v>
          </cell>
          <cell r="R227">
            <v>92.18033829383198</v>
          </cell>
          <cell r="S227">
            <v>90.107774973009754</v>
          </cell>
          <cell r="T227">
            <v>100.74664529717484</v>
          </cell>
          <cell r="U227">
            <v>103.06885719961103</v>
          </cell>
          <cell r="V227">
            <v>100.40673915143887</v>
          </cell>
          <cell r="W227">
            <v>105.95181822382635</v>
          </cell>
          <cell r="X227">
            <v>97.523778127223565</v>
          </cell>
          <cell r="Y227">
            <v>120.48184576718629</v>
          </cell>
          <cell r="Z227">
            <v>116.34224019994291</v>
          </cell>
          <cell r="AA227">
            <v>111.00840223507493</v>
          </cell>
          <cell r="AB227">
            <v>0</v>
          </cell>
          <cell r="AD227">
            <v>2024</v>
          </cell>
          <cell r="AE227">
            <v>4</v>
          </cell>
        </row>
        <row r="228">
          <cell r="B228">
            <v>2025</v>
          </cell>
          <cell r="P228">
            <v>87.710166823413459</v>
          </cell>
          <cell r="Q228">
            <v>76.299517434357725</v>
          </cell>
          <cell r="R228">
            <v>85.548592117984697</v>
          </cell>
          <cell r="S228">
            <v>88.007368810883918</v>
          </cell>
          <cell r="T228">
            <v>102.13748615101916</v>
          </cell>
          <cell r="U228">
            <v>100.33613513775921</v>
          </cell>
          <cell r="V228">
            <v>98.460832456255446</v>
          </cell>
          <cell r="W228">
            <v>104.34719920653117</v>
          </cell>
          <cell r="X228">
            <v>96.014846146228578</v>
          </cell>
          <cell r="Y228">
            <v>138.11055425573829</v>
          </cell>
          <cell r="Z228">
            <v>116.03970212361052</v>
          </cell>
          <cell r="AA228">
            <v>106.98759933621788</v>
          </cell>
          <cell r="AB228">
            <v>0</v>
          </cell>
          <cell r="AD228">
            <v>2024</v>
          </cell>
          <cell r="AE228">
            <v>5</v>
          </cell>
        </row>
        <row r="229">
          <cell r="B229">
            <v>2025</v>
          </cell>
          <cell r="P229">
            <v>96.52971133020921</v>
          </cell>
          <cell r="Q229">
            <v>92.93141704098278</v>
          </cell>
          <cell r="R229">
            <v>113.44765851325724</v>
          </cell>
          <cell r="S229">
            <v>107.59761394874694</v>
          </cell>
          <cell r="T229">
            <v>125.48703432295629</v>
          </cell>
          <cell r="U229">
            <v>108.81294944164588</v>
          </cell>
          <cell r="V229">
            <v>94.097715005814919</v>
          </cell>
          <cell r="W229">
            <v>98.045898684490993</v>
          </cell>
          <cell r="X229">
            <v>80.789990159360912</v>
          </cell>
          <cell r="Y229">
            <v>98.459404326567849</v>
          </cell>
          <cell r="Z229">
            <v>93.872407444426898</v>
          </cell>
          <cell r="AA229">
            <v>89.928199781540016</v>
          </cell>
          <cell r="AB229">
            <v>0</v>
          </cell>
          <cell r="AD229">
            <v>2024</v>
          </cell>
          <cell r="AE229">
            <v>5</v>
          </cell>
        </row>
        <row r="230">
          <cell r="B230">
            <v>2025</v>
          </cell>
          <cell r="P230">
            <v>77.981566876086177</v>
          </cell>
          <cell r="Q230">
            <v>94.417062575034564</v>
          </cell>
          <cell r="R230">
            <v>109.06540128966216</v>
          </cell>
          <cell r="S230">
            <v>96.171201964738103</v>
          </cell>
          <cell r="T230">
            <v>111.20389607616484</v>
          </cell>
          <cell r="U230">
            <v>104.11339950237767</v>
          </cell>
          <cell r="V230">
            <v>89.986330843309531</v>
          </cell>
          <cell r="W230">
            <v>93.303770475450179</v>
          </cell>
          <cell r="X230">
            <v>102.20526299183388</v>
          </cell>
          <cell r="Y230">
            <v>118.19177039641191</v>
          </cell>
          <cell r="Z230">
            <v>104.51623965292008</v>
          </cell>
          <cell r="AA230">
            <v>98.844097356010934</v>
          </cell>
          <cell r="AB230">
            <v>0</v>
          </cell>
          <cell r="AD230">
            <v>2024</v>
          </cell>
          <cell r="AE230">
            <v>6</v>
          </cell>
        </row>
        <row r="231">
          <cell r="B231">
            <v>2025</v>
          </cell>
          <cell r="P231">
            <v>74.409563611624066</v>
          </cell>
          <cell r="Q231">
            <v>70.193358832398545</v>
          </cell>
          <cell r="R231">
            <v>89.396958862329996</v>
          </cell>
          <cell r="S231">
            <v>89.981138031250822</v>
          </cell>
          <cell r="T231">
            <v>97.87684587973925</v>
          </cell>
          <cell r="U231">
            <v>116.41369724690944</v>
          </cell>
          <cell r="V231">
            <v>99.776976356741486</v>
          </cell>
          <cell r="W231">
            <v>105.43814727817404</v>
          </cell>
          <cell r="X231">
            <v>104.37403292630587</v>
          </cell>
          <cell r="Y231">
            <v>135.12394455114449</v>
          </cell>
          <cell r="Z231">
            <v>116.17218147742628</v>
          </cell>
          <cell r="AA231">
            <v>100.84315494595569</v>
          </cell>
          <cell r="AB231">
            <v>0</v>
          </cell>
          <cell r="AD231">
            <v>2024</v>
          </cell>
          <cell r="AE231">
            <v>7</v>
          </cell>
        </row>
        <row r="232">
          <cell r="B232">
            <v>2025</v>
          </cell>
          <cell r="P232">
            <v>99.206065959130939</v>
          </cell>
          <cell r="Q232">
            <v>88.360552125099446</v>
          </cell>
          <cell r="R232">
            <v>85.486478996237693</v>
          </cell>
          <cell r="S232">
            <v>101.86062091144905</v>
          </cell>
          <cell r="T232">
            <v>122.85840180399678</v>
          </cell>
          <cell r="U232">
            <v>124.26702661533278</v>
          </cell>
          <cell r="V232">
            <v>95.062735144640754</v>
          </cell>
          <cell r="W232">
            <v>95.526295326715228</v>
          </cell>
          <cell r="X232">
            <v>83.808690208213292</v>
          </cell>
          <cell r="Y232">
            <v>131.09481949066202</v>
          </cell>
          <cell r="Z232">
            <v>86.871178120756937</v>
          </cell>
          <cell r="AA232">
            <v>85.597135297765149</v>
          </cell>
          <cell r="AB232">
            <v>0</v>
          </cell>
          <cell r="AD232">
            <v>2024</v>
          </cell>
          <cell r="AE232">
            <v>7</v>
          </cell>
        </row>
        <row r="233">
          <cell r="B233">
            <v>2025</v>
          </cell>
          <cell r="P233">
            <v>80.502714825519178</v>
          </cell>
          <cell r="Q233">
            <v>70.959190390291013</v>
          </cell>
          <cell r="R233">
            <v>102.4774244138261</v>
          </cell>
          <cell r="S233">
            <v>88.908872146915314</v>
          </cell>
          <cell r="T233">
            <v>122.80759179959031</v>
          </cell>
          <cell r="U233">
            <v>115.15464343972621</v>
          </cell>
          <cell r="V233">
            <v>106.50461043737558</v>
          </cell>
          <cell r="W233">
            <v>99.358837166222145</v>
          </cell>
          <cell r="X233">
            <v>98.348803372534505</v>
          </cell>
          <cell r="Y233">
            <v>108.86783053158065</v>
          </cell>
          <cell r="Z233">
            <v>102.20980862233621</v>
          </cell>
          <cell r="AA233">
            <v>103.89967285408287</v>
          </cell>
          <cell r="AB233">
            <v>0</v>
          </cell>
          <cell r="AD233">
            <v>2024</v>
          </cell>
          <cell r="AE233">
            <v>8</v>
          </cell>
        </row>
        <row r="234">
          <cell r="B234">
            <v>2025</v>
          </cell>
          <cell r="P234">
            <v>92.294200305796878</v>
          </cell>
          <cell r="Q234">
            <v>87.718315818291543</v>
          </cell>
          <cell r="R234">
            <v>94.118764329111855</v>
          </cell>
          <cell r="S234">
            <v>95.875999333259315</v>
          </cell>
          <cell r="T234">
            <v>109.77996575258354</v>
          </cell>
          <cell r="U234">
            <v>102.68212483311017</v>
          </cell>
          <cell r="V234">
            <v>97.369157873123442</v>
          </cell>
          <cell r="W234">
            <v>105.42165616943073</v>
          </cell>
          <cell r="X234">
            <v>96.295168324185298</v>
          </cell>
          <cell r="Y234">
            <v>115.82883627226468</v>
          </cell>
          <cell r="Z234">
            <v>105.65246109505935</v>
          </cell>
          <cell r="AA234">
            <v>96.963349893783231</v>
          </cell>
          <cell r="AB234">
            <v>0</v>
          </cell>
          <cell r="AD234">
            <v>2024</v>
          </cell>
          <cell r="AE234">
            <v>8</v>
          </cell>
        </row>
        <row r="235">
          <cell r="B235">
            <v>2025</v>
          </cell>
          <cell r="P235">
            <v>78.452658683731514</v>
          </cell>
          <cell r="Q235">
            <v>64.27492466575427</v>
          </cell>
          <cell r="R235">
            <v>94.799224534487138</v>
          </cell>
          <cell r="S235">
            <v>98.37201527244828</v>
          </cell>
          <cell r="T235">
            <v>87.30055688310236</v>
          </cell>
          <cell r="U235">
            <v>88.481188782305082</v>
          </cell>
          <cell r="V235">
            <v>97.279654917111174</v>
          </cell>
          <cell r="W235">
            <v>108.00023391959124</v>
          </cell>
          <cell r="X235">
            <v>102.67304624730083</v>
          </cell>
          <cell r="Y235">
            <v>133.69166676168115</v>
          </cell>
          <cell r="Z235">
            <v>119.46891425633245</v>
          </cell>
          <cell r="AA235">
            <v>127.20591507615441</v>
          </cell>
          <cell r="AB235">
            <v>0</v>
          </cell>
          <cell r="AD235">
            <v>2024</v>
          </cell>
          <cell r="AE235">
            <v>8</v>
          </cell>
        </row>
        <row r="236">
          <cell r="B236">
            <v>2025</v>
          </cell>
          <cell r="P236">
            <v>80.467771849527509</v>
          </cell>
          <cell r="Q236">
            <v>69.394742056791969</v>
          </cell>
          <cell r="R236">
            <v>96.52726083913646</v>
          </cell>
          <cell r="S236">
            <v>87.468541474786051</v>
          </cell>
          <cell r="T236">
            <v>112.8964553450363</v>
          </cell>
          <cell r="U236">
            <v>113.7040052426546</v>
          </cell>
          <cell r="V236">
            <v>105.28206357535093</v>
          </cell>
          <cell r="W236">
            <v>107.18415863334742</v>
          </cell>
          <cell r="X236">
            <v>97.229497502243206</v>
          </cell>
          <cell r="Y236">
            <v>123.19533267181681</v>
          </cell>
          <cell r="Z236">
            <v>96.033646799153047</v>
          </cell>
          <cell r="AA236">
            <v>110.6165240101558</v>
          </cell>
          <cell r="AB236">
            <v>0</v>
          </cell>
          <cell r="AD236">
            <v>2024</v>
          </cell>
          <cell r="AE236">
            <v>9</v>
          </cell>
        </row>
        <row r="237">
          <cell r="B237">
            <v>2025</v>
          </cell>
          <cell r="P237">
            <v>106.71850196954553</v>
          </cell>
          <cell r="Q237">
            <v>77.850801676423416</v>
          </cell>
          <cell r="R237">
            <v>97.117912365722347</v>
          </cell>
          <cell r="S237">
            <v>97.736072499433064</v>
          </cell>
          <cell r="T237">
            <v>118.61304519456087</v>
          </cell>
          <cell r="U237">
            <v>109.72006416770954</v>
          </cell>
          <cell r="V237">
            <v>95.551724717166536</v>
          </cell>
          <cell r="W237">
            <v>99.904462343465227</v>
          </cell>
          <cell r="X237">
            <v>80.026750543829735</v>
          </cell>
          <cell r="Y237">
            <v>120.28547911609819</v>
          </cell>
          <cell r="Z237">
            <v>98.68619974299321</v>
          </cell>
          <cell r="AA237">
            <v>97.78898566305233</v>
          </cell>
          <cell r="AB237">
            <v>0</v>
          </cell>
          <cell r="AD237">
            <v>2024</v>
          </cell>
          <cell r="AE237">
            <v>9</v>
          </cell>
        </row>
        <row r="238">
          <cell r="B238">
            <v>2025</v>
          </cell>
          <cell r="P238">
            <v>82.721497993300019</v>
          </cell>
          <cell r="Q238">
            <v>79.068717727951395</v>
          </cell>
          <cell r="R238">
            <v>97.141787790172344</v>
          </cell>
          <cell r="S238">
            <v>91.016875234422869</v>
          </cell>
          <cell r="T238">
            <v>120.88967848626473</v>
          </cell>
          <cell r="U238">
            <v>108.05097507868977</v>
          </cell>
          <cell r="V238">
            <v>97.118656727806012</v>
          </cell>
          <cell r="W238">
            <v>94.049935787207076</v>
          </cell>
          <cell r="X238">
            <v>96.779401146433273</v>
          </cell>
          <cell r="Y238">
            <v>126.87484087355099</v>
          </cell>
          <cell r="Z238">
            <v>108.35842544930883</v>
          </cell>
          <cell r="AA238">
            <v>97.929207704892619</v>
          </cell>
          <cell r="AB238">
            <v>0</v>
          </cell>
          <cell r="AD238">
            <v>2024</v>
          </cell>
          <cell r="AE238">
            <v>10</v>
          </cell>
        </row>
        <row r="239">
          <cell r="B239">
            <v>2025</v>
          </cell>
          <cell r="P239">
            <v>88.610399600699154</v>
          </cell>
          <cell r="Q239">
            <v>78.78963654016745</v>
          </cell>
          <cell r="R239">
            <v>89.047911060564616</v>
          </cell>
          <cell r="S239">
            <v>93.050790654428312</v>
          </cell>
          <cell r="T239">
            <v>106.36559538097437</v>
          </cell>
          <cell r="U239">
            <v>96.88618041722269</v>
          </cell>
          <cell r="V239">
            <v>98.997316500852975</v>
          </cell>
          <cell r="W239">
            <v>97.414760492460445</v>
          </cell>
          <cell r="X239">
            <v>98.780789723044734</v>
          </cell>
          <cell r="Y239">
            <v>130.33638337127417</v>
          </cell>
          <cell r="Z239">
            <v>111.26610583754601</v>
          </cell>
          <cell r="AA239">
            <v>110.45413042076513</v>
          </cell>
          <cell r="AB239">
            <v>0</v>
          </cell>
          <cell r="AD239">
            <v>2024</v>
          </cell>
          <cell r="AE239">
            <v>10</v>
          </cell>
        </row>
        <row r="240">
          <cell r="B240">
            <v>2025</v>
          </cell>
          <cell r="P240">
            <v>72.02410407769132</v>
          </cell>
          <cell r="Q240">
            <v>68.309734428806109</v>
          </cell>
          <cell r="R240">
            <v>93.397319577351411</v>
          </cell>
          <cell r="S240">
            <v>79.553892148887854</v>
          </cell>
          <cell r="T240">
            <v>106.3104365099145</v>
          </cell>
          <cell r="U240">
            <v>109.12631202732813</v>
          </cell>
          <cell r="V240">
            <v>107.36801246353049</v>
          </cell>
          <cell r="W240">
            <v>110.10396527349877</v>
          </cell>
          <cell r="X240">
            <v>104.89269931096359</v>
          </cell>
          <cell r="Y240">
            <v>124.75425570387873</v>
          </cell>
          <cell r="Z240">
            <v>107.82438639489835</v>
          </cell>
          <cell r="AA240">
            <v>116.33488208325069</v>
          </cell>
          <cell r="AB240">
            <v>0</v>
          </cell>
          <cell r="AD240">
            <v>2024</v>
          </cell>
          <cell r="AE240">
            <v>11</v>
          </cell>
        </row>
        <row r="241">
          <cell r="B241">
            <v>2025</v>
          </cell>
          <cell r="P241">
            <v>77.461745228980973</v>
          </cell>
          <cell r="Q241">
            <v>67.215557852971585</v>
          </cell>
          <cell r="R241">
            <v>85.994691106205806</v>
          </cell>
          <cell r="S241">
            <v>90.227500069853861</v>
          </cell>
          <cell r="T241">
            <v>116.73754505574338</v>
          </cell>
          <cell r="U241">
            <v>87.653748358434143</v>
          </cell>
          <cell r="V241">
            <v>100.06918326860207</v>
          </cell>
          <cell r="W241">
            <v>104.8988236609014</v>
          </cell>
          <cell r="X241">
            <v>96.561960378887363</v>
          </cell>
          <cell r="Y241">
            <v>137.14917991561651</v>
          </cell>
          <cell r="Z241">
            <v>117.32498812484282</v>
          </cell>
          <cell r="AA241">
            <v>118.70507697895999</v>
          </cell>
          <cell r="AB241">
            <v>0</v>
          </cell>
          <cell r="AD241">
            <v>2024</v>
          </cell>
          <cell r="AE241">
            <v>12</v>
          </cell>
        </row>
        <row r="242">
          <cell r="B242">
            <v>2025</v>
          </cell>
          <cell r="P242">
            <v>73.045839423830941</v>
          </cell>
          <cell r="Q242">
            <v>68.05106128158144</v>
          </cell>
          <cell r="R242">
            <v>97.529217571490506</v>
          </cell>
          <cell r="S242">
            <v>94.143547345296824</v>
          </cell>
          <cell r="T242">
            <v>106.56041947755088</v>
          </cell>
          <cell r="U242">
            <v>105.93147794818847</v>
          </cell>
          <cell r="V242">
            <v>99.360395776313567</v>
          </cell>
          <cell r="W242">
            <v>108.89602184177794</v>
          </cell>
          <cell r="X242">
            <v>98.939097695612858</v>
          </cell>
          <cell r="Y242">
            <v>126.6614731950599</v>
          </cell>
          <cell r="Z242">
            <v>113.5193088513101</v>
          </cell>
          <cell r="AA242">
            <v>107.36213959198663</v>
          </cell>
          <cell r="AB242">
            <v>0</v>
          </cell>
          <cell r="AD242">
            <v>2025</v>
          </cell>
          <cell r="AE242">
            <v>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6574CA-483B-48D0-AFCA-C0265F55412E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140b6312-f3fc-4b55-9b4f-26cd2ee7b834&quot;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3E72-F20B-4B91-A93B-CC78B4EAE664}">
  <dimension ref="A1:F4"/>
  <sheetViews>
    <sheetView workbookViewId="0">
      <selection activeCell="E17" sqref="E17"/>
    </sheetView>
  </sheetViews>
  <sheetFormatPr defaultRowHeight="14.5" x14ac:dyDescent="0.4"/>
  <sheetData>
    <row r="1" spans="1:6" x14ac:dyDescent="0.4">
      <c r="A1" s="23" t="s">
        <v>408</v>
      </c>
      <c r="B1" s="23" t="s">
        <v>409</v>
      </c>
      <c r="C1" s="23" t="s">
        <v>410</v>
      </c>
      <c r="D1" s="23" t="s">
        <v>411</v>
      </c>
      <c r="E1" s="23" t="s">
        <v>412</v>
      </c>
      <c r="F1" s="23" t="s">
        <v>413</v>
      </c>
    </row>
    <row r="2" spans="1:6" x14ac:dyDescent="0.4">
      <c r="A2">
        <v>1</v>
      </c>
      <c r="B2" s="1">
        <v>46231</v>
      </c>
      <c r="C2" t="s">
        <v>414</v>
      </c>
      <c r="D2" t="s">
        <v>415</v>
      </c>
      <c r="E2" t="s">
        <v>416</v>
      </c>
      <c r="F2" t="s">
        <v>417</v>
      </c>
    </row>
    <row r="3" spans="1:6" x14ac:dyDescent="0.4">
      <c r="A3">
        <v>2</v>
      </c>
      <c r="B3" s="1">
        <v>46231</v>
      </c>
      <c r="C3" t="s">
        <v>418</v>
      </c>
      <c r="D3" t="s">
        <v>419</v>
      </c>
      <c r="E3" t="s">
        <v>420</v>
      </c>
      <c r="F3" t="s">
        <v>421</v>
      </c>
    </row>
    <row r="4" spans="1:6" x14ac:dyDescent="0.4">
      <c r="A4">
        <v>3</v>
      </c>
      <c r="B4" s="1">
        <v>46231</v>
      </c>
      <c r="C4" t="s">
        <v>431</v>
      </c>
      <c r="D4" t="s">
        <v>432</v>
      </c>
      <c r="E4" t="s">
        <v>433</v>
      </c>
      <c r="F4" t="s">
        <v>434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D1CE-0436-407A-892B-020F1E7B61B0}">
  <dimension ref="A1:S153"/>
  <sheetViews>
    <sheetView workbookViewId="0">
      <selection activeCell="N24" sqref="N24"/>
    </sheetView>
  </sheetViews>
  <sheetFormatPr defaultRowHeight="14.5" x14ac:dyDescent="0.4"/>
  <cols>
    <col min="1" max="1" width="27" bestFit="1" customWidth="1"/>
    <col min="3" max="3" width="14.09765625" style="2" customWidth="1"/>
    <col min="4" max="4" width="12.69921875" customWidth="1"/>
    <col min="5" max="5" width="11.09765625" bestFit="1" customWidth="1"/>
    <col min="11" max="12" width="9" style="4"/>
    <col min="18" max="18" width="27" bestFit="1" customWidth="1"/>
    <col min="19" max="19" width="11.09765625" bestFit="1" customWidth="1"/>
  </cols>
  <sheetData>
    <row r="1" spans="1:19" x14ac:dyDescent="0.4">
      <c r="E1" s="1">
        <v>46174</v>
      </c>
    </row>
    <row r="2" spans="1:19" x14ac:dyDescent="0.4">
      <c r="A2" t="s">
        <v>0</v>
      </c>
      <c r="B2" t="s">
        <v>161</v>
      </c>
      <c r="C2" s="2" t="s">
        <v>162</v>
      </c>
      <c r="D2" t="s">
        <v>166</v>
      </c>
      <c r="E2" t="s">
        <v>169</v>
      </c>
      <c r="F2" t="s">
        <v>170</v>
      </c>
      <c r="G2" t="s">
        <v>171</v>
      </c>
      <c r="K2" s="4" t="s">
        <v>167</v>
      </c>
      <c r="L2" s="4" t="s">
        <v>168</v>
      </c>
      <c r="N2" s="4" t="s">
        <v>173</v>
      </c>
      <c r="O2" s="4" t="s">
        <v>174</v>
      </c>
    </row>
    <row r="3" spans="1:19" x14ac:dyDescent="0.4">
      <c r="A3" t="s">
        <v>1</v>
      </c>
      <c r="B3" t="s">
        <v>2</v>
      </c>
      <c r="C3" s="2">
        <v>42292</v>
      </c>
      <c r="D3" s="1">
        <f>EOMONTH(C3,0)+1</f>
        <v>42309</v>
      </c>
      <c r="E3" s="3">
        <f t="shared" ref="E3:E34" si="0">DATEDIF(C3,$E$1,"m")</f>
        <v>127</v>
      </c>
      <c r="F3" t="s">
        <v>167</v>
      </c>
      <c r="G3" t="s">
        <v>168</v>
      </c>
      <c r="J3" t="s">
        <v>14</v>
      </c>
      <c r="K3" s="4">
        <f t="shared" ref="K3:K8" si="1">COUNTIF($B$3:$B$85,J3)</f>
        <v>17</v>
      </c>
      <c r="L3" s="4">
        <f t="shared" ref="L3:L8" si="2">COUNTIF($B$3:$B$56,J3)</f>
        <v>9</v>
      </c>
      <c r="N3">
        <v>1</v>
      </c>
      <c r="O3" s="13">
        <v>91.030316684681807</v>
      </c>
    </row>
    <row r="4" spans="1:19" x14ac:dyDescent="0.4">
      <c r="A4" t="s">
        <v>3</v>
      </c>
      <c r="B4" t="s">
        <v>2</v>
      </c>
      <c r="C4" s="2">
        <v>42444</v>
      </c>
      <c r="D4" s="1">
        <f t="shared" ref="D4:D64" si="3">EOMONTH(C4,0)+1</f>
        <v>42461</v>
      </c>
      <c r="E4" s="3">
        <f t="shared" si="0"/>
        <v>122</v>
      </c>
      <c r="F4" t="s">
        <v>167</v>
      </c>
      <c r="G4" t="s">
        <v>168</v>
      </c>
      <c r="J4" t="s">
        <v>163</v>
      </c>
      <c r="K4" s="4">
        <f t="shared" si="1"/>
        <v>31</v>
      </c>
      <c r="L4" s="4">
        <f t="shared" si="2"/>
        <v>21</v>
      </c>
      <c r="N4">
        <v>2</v>
      </c>
      <c r="O4" s="13">
        <v>84.287776489062807</v>
      </c>
      <c r="S4" s="1"/>
    </row>
    <row r="5" spans="1:19" x14ac:dyDescent="0.4">
      <c r="A5" t="s">
        <v>4</v>
      </c>
      <c r="B5" t="s">
        <v>5</v>
      </c>
      <c r="C5" s="2">
        <v>42503</v>
      </c>
      <c r="D5" s="1">
        <f t="shared" si="3"/>
        <v>42522</v>
      </c>
      <c r="E5" s="3">
        <f t="shared" si="0"/>
        <v>120</v>
      </c>
      <c r="F5" t="s">
        <v>167</v>
      </c>
      <c r="G5" t="s">
        <v>168</v>
      </c>
      <c r="J5" t="s">
        <v>9</v>
      </c>
      <c r="K5" s="4">
        <f t="shared" si="1"/>
        <v>23</v>
      </c>
      <c r="L5" s="4">
        <f t="shared" si="2"/>
        <v>14</v>
      </c>
      <c r="N5">
        <v>3</v>
      </c>
      <c r="O5" s="13">
        <v>97.17160058404427</v>
      </c>
      <c r="S5" s="1"/>
    </row>
    <row r="6" spans="1:19" x14ac:dyDescent="0.4">
      <c r="A6" t="s">
        <v>6</v>
      </c>
      <c r="B6" t="s">
        <v>7</v>
      </c>
      <c r="C6" s="2">
        <v>42638</v>
      </c>
      <c r="D6" s="1">
        <f t="shared" si="3"/>
        <v>42644</v>
      </c>
      <c r="E6" s="3">
        <f t="shared" si="0"/>
        <v>116</v>
      </c>
      <c r="F6" t="s">
        <v>167</v>
      </c>
      <c r="G6" t="s">
        <v>168</v>
      </c>
      <c r="J6" t="s">
        <v>5</v>
      </c>
      <c r="K6" s="4">
        <f t="shared" si="1"/>
        <v>8</v>
      </c>
      <c r="L6" s="4">
        <f t="shared" si="2"/>
        <v>6</v>
      </c>
      <c r="N6">
        <v>4</v>
      </c>
      <c r="O6" s="13">
        <v>96.499914908438853</v>
      </c>
      <c r="S6" s="1"/>
    </row>
    <row r="7" spans="1:19" x14ac:dyDescent="0.4">
      <c r="A7" t="s">
        <v>8</v>
      </c>
      <c r="B7" t="s">
        <v>9</v>
      </c>
      <c r="C7" s="2">
        <v>42708</v>
      </c>
      <c r="D7" s="1">
        <f t="shared" si="3"/>
        <v>42736</v>
      </c>
      <c r="E7" s="3">
        <f t="shared" si="0"/>
        <v>113</v>
      </c>
      <c r="F7" t="s">
        <v>167</v>
      </c>
      <c r="G7" t="s">
        <v>168</v>
      </c>
      <c r="J7" t="s">
        <v>7</v>
      </c>
      <c r="K7" s="4">
        <f t="shared" si="1"/>
        <v>3</v>
      </c>
      <c r="L7" s="4">
        <f t="shared" si="2"/>
        <v>3</v>
      </c>
      <c r="N7">
        <v>5</v>
      </c>
      <c r="O7" s="13">
        <v>105.36696241365125</v>
      </c>
      <c r="S7" s="1"/>
    </row>
    <row r="8" spans="1:19" x14ac:dyDescent="0.4">
      <c r="A8" t="s">
        <v>10</v>
      </c>
      <c r="B8" t="s">
        <v>9</v>
      </c>
      <c r="C8" s="2">
        <v>43039</v>
      </c>
      <c r="D8" s="1">
        <f t="shared" si="3"/>
        <v>43040</v>
      </c>
      <c r="E8" s="3">
        <f t="shared" si="0"/>
        <v>103</v>
      </c>
      <c r="F8" t="s">
        <v>167</v>
      </c>
      <c r="G8" t="s">
        <v>168</v>
      </c>
      <c r="J8" t="s">
        <v>164</v>
      </c>
      <c r="K8" s="4">
        <f t="shared" si="1"/>
        <v>0</v>
      </c>
      <c r="L8" s="4">
        <f t="shared" si="2"/>
        <v>0</v>
      </c>
      <c r="N8">
        <v>6</v>
      </c>
      <c r="O8" s="13">
        <v>102.78468761332418</v>
      </c>
      <c r="S8" s="1"/>
    </row>
    <row r="9" spans="1:19" x14ac:dyDescent="0.4">
      <c r="A9" t="s">
        <v>11</v>
      </c>
      <c r="B9" t="s">
        <v>2</v>
      </c>
      <c r="C9" s="2">
        <v>43146</v>
      </c>
      <c r="D9" s="1">
        <f t="shared" si="3"/>
        <v>43160</v>
      </c>
      <c r="E9" s="3">
        <f t="shared" si="0"/>
        <v>99</v>
      </c>
      <c r="F9" t="s">
        <v>167</v>
      </c>
      <c r="G9" t="s">
        <v>168</v>
      </c>
      <c r="N9">
        <v>7</v>
      </c>
      <c r="O9" s="13">
        <v>104.67864933203967</v>
      </c>
      <c r="S9" s="1"/>
    </row>
    <row r="10" spans="1:19" x14ac:dyDescent="0.4">
      <c r="A10" t="s">
        <v>12</v>
      </c>
      <c r="C10" s="2">
        <v>43252</v>
      </c>
      <c r="D10" s="1">
        <f t="shared" si="3"/>
        <v>43282</v>
      </c>
      <c r="E10" s="3">
        <f t="shared" si="0"/>
        <v>96</v>
      </c>
      <c r="F10" t="s">
        <v>167</v>
      </c>
      <c r="G10" t="s">
        <v>168</v>
      </c>
      <c r="N10">
        <v>8</v>
      </c>
      <c r="O10" s="13">
        <v>102.0452176382724</v>
      </c>
      <c r="S10" s="1"/>
    </row>
    <row r="11" spans="1:19" x14ac:dyDescent="0.4">
      <c r="A11" t="s">
        <v>13</v>
      </c>
      <c r="B11" t="s">
        <v>14</v>
      </c>
      <c r="C11" s="2">
        <v>43779</v>
      </c>
      <c r="D11" s="1">
        <f t="shared" si="3"/>
        <v>43800</v>
      </c>
      <c r="E11" s="3">
        <f t="shared" si="0"/>
        <v>78</v>
      </c>
      <c r="F11" t="s">
        <v>167</v>
      </c>
      <c r="G11" t="s">
        <v>168</v>
      </c>
      <c r="N11">
        <v>9</v>
      </c>
      <c r="O11" s="13">
        <v>100.12358076140046</v>
      </c>
      <c r="S11" s="1"/>
    </row>
    <row r="12" spans="1:19" x14ac:dyDescent="0.4">
      <c r="A12" t="s">
        <v>15</v>
      </c>
      <c r="B12" t="s">
        <v>5</v>
      </c>
      <c r="C12" s="2">
        <v>44583</v>
      </c>
      <c r="D12" s="1">
        <f t="shared" si="3"/>
        <v>44593</v>
      </c>
      <c r="E12" s="3">
        <f t="shared" si="0"/>
        <v>52</v>
      </c>
      <c r="F12" t="s">
        <v>167</v>
      </c>
      <c r="G12" t="s">
        <v>168</v>
      </c>
      <c r="N12">
        <v>10</v>
      </c>
      <c r="O12" s="13">
        <v>115.59456344220527</v>
      </c>
      <c r="S12" s="1"/>
    </row>
    <row r="13" spans="1:19" x14ac:dyDescent="0.4">
      <c r="A13" t="s">
        <v>16</v>
      </c>
      <c r="B13" t="s">
        <v>9</v>
      </c>
      <c r="C13" s="2">
        <v>44889</v>
      </c>
      <c r="D13" s="1">
        <f t="shared" si="3"/>
        <v>44896</v>
      </c>
      <c r="E13" s="3">
        <f t="shared" si="0"/>
        <v>42</v>
      </c>
      <c r="F13" t="s">
        <v>167</v>
      </c>
      <c r="G13" t="s">
        <v>168</v>
      </c>
      <c r="N13">
        <v>11</v>
      </c>
      <c r="O13" s="13">
        <v>104.11251530615402</v>
      </c>
      <c r="S13" s="1"/>
    </row>
    <row r="14" spans="1:19" x14ac:dyDescent="0.4">
      <c r="A14" t="s">
        <v>17</v>
      </c>
      <c r="B14" t="s">
        <v>2</v>
      </c>
      <c r="C14" s="2">
        <v>45470</v>
      </c>
      <c r="D14" s="1">
        <f t="shared" si="3"/>
        <v>45474</v>
      </c>
      <c r="E14" s="3">
        <f t="shared" si="0"/>
        <v>23</v>
      </c>
      <c r="F14" t="s">
        <v>167</v>
      </c>
      <c r="G14" t="s">
        <v>168</v>
      </c>
      <c r="N14">
        <v>12</v>
      </c>
      <c r="O14" s="13">
        <v>103.33184157392137</v>
      </c>
      <c r="S14" s="1"/>
    </row>
    <row r="15" spans="1:19" x14ac:dyDescent="0.4">
      <c r="A15" t="s">
        <v>18</v>
      </c>
      <c r="B15" t="s">
        <v>2</v>
      </c>
      <c r="C15" s="2">
        <v>45810</v>
      </c>
      <c r="D15" s="1">
        <f t="shared" si="3"/>
        <v>45839</v>
      </c>
      <c r="E15" s="3">
        <f t="shared" si="0"/>
        <v>11</v>
      </c>
      <c r="F15" t="s">
        <v>167</v>
      </c>
      <c r="G15" t="s">
        <v>168</v>
      </c>
      <c r="S15" s="1"/>
    </row>
    <row r="16" spans="1:19" x14ac:dyDescent="0.4">
      <c r="A16" t="s">
        <v>19</v>
      </c>
      <c r="B16" t="s">
        <v>2</v>
      </c>
      <c r="C16" s="2">
        <v>45859</v>
      </c>
      <c r="D16" s="1">
        <f t="shared" si="3"/>
        <v>45870</v>
      </c>
      <c r="E16" s="3">
        <f t="shared" si="0"/>
        <v>10</v>
      </c>
      <c r="F16" t="s">
        <v>167</v>
      </c>
      <c r="G16" t="s">
        <v>168</v>
      </c>
      <c r="S16" s="1"/>
    </row>
    <row r="17" spans="1:19" x14ac:dyDescent="0.4">
      <c r="A17" t="s">
        <v>20</v>
      </c>
      <c r="B17" t="s">
        <v>2</v>
      </c>
      <c r="C17" s="2">
        <v>43629</v>
      </c>
      <c r="D17" s="1">
        <f t="shared" si="3"/>
        <v>43647</v>
      </c>
      <c r="E17" s="3">
        <f t="shared" si="0"/>
        <v>83</v>
      </c>
      <c r="F17" t="s">
        <v>167</v>
      </c>
      <c r="G17" t="s">
        <v>168</v>
      </c>
      <c r="K17" s="4" t="s">
        <v>405</v>
      </c>
      <c r="L17" s="4" t="s">
        <v>406</v>
      </c>
      <c r="M17" t="s">
        <v>407</v>
      </c>
      <c r="S17" s="1"/>
    </row>
    <row r="18" spans="1:19" x14ac:dyDescent="0.4">
      <c r="A18" t="s">
        <v>21</v>
      </c>
      <c r="B18" t="s">
        <v>7</v>
      </c>
      <c r="C18" s="2">
        <v>43631</v>
      </c>
      <c r="D18" s="1">
        <f t="shared" si="3"/>
        <v>43647</v>
      </c>
      <c r="E18" s="3">
        <f t="shared" si="0"/>
        <v>83</v>
      </c>
      <c r="F18" t="s">
        <v>167</v>
      </c>
      <c r="G18" t="s">
        <v>168</v>
      </c>
      <c r="J18" t="s">
        <v>402</v>
      </c>
      <c r="K18">
        <v>4950</v>
      </c>
      <c r="L18">
        <v>1990</v>
      </c>
      <c r="M18" s="87">
        <f>L18/K18-1</f>
        <v>-0.59797979797979806</v>
      </c>
      <c r="S18" s="1"/>
    </row>
    <row r="19" spans="1:19" x14ac:dyDescent="0.4">
      <c r="A19" t="s">
        <v>22</v>
      </c>
      <c r="B19" t="s">
        <v>9</v>
      </c>
      <c r="C19" s="2">
        <v>43743</v>
      </c>
      <c r="D19" s="1">
        <f t="shared" si="3"/>
        <v>43770</v>
      </c>
      <c r="E19" s="3">
        <f t="shared" si="0"/>
        <v>79</v>
      </c>
      <c r="F19" t="s">
        <v>167</v>
      </c>
      <c r="G19" t="s">
        <v>168</v>
      </c>
      <c r="J19" t="s">
        <v>403</v>
      </c>
      <c r="K19">
        <v>5950</v>
      </c>
      <c r="L19">
        <v>2990</v>
      </c>
      <c r="M19" s="87">
        <f>L19/K19-1</f>
        <v>-0.49747899159663866</v>
      </c>
      <c r="S19" s="1"/>
    </row>
    <row r="20" spans="1:19" x14ac:dyDescent="0.4">
      <c r="A20" t="s">
        <v>23</v>
      </c>
      <c r="B20" t="s">
        <v>2</v>
      </c>
      <c r="C20" s="2">
        <v>43834</v>
      </c>
      <c r="D20" s="1">
        <f t="shared" si="3"/>
        <v>43862</v>
      </c>
      <c r="E20" s="3">
        <f t="shared" si="0"/>
        <v>76</v>
      </c>
      <c r="F20" t="s">
        <v>167</v>
      </c>
      <c r="G20" t="s">
        <v>168</v>
      </c>
      <c r="J20" t="s">
        <v>404</v>
      </c>
      <c r="K20">
        <v>6950</v>
      </c>
      <c r="L20">
        <v>3990</v>
      </c>
      <c r="M20" s="87">
        <f>L20/K20-1</f>
        <v>-0.42589928057553961</v>
      </c>
      <c r="S20" s="1"/>
    </row>
    <row r="21" spans="1:19" x14ac:dyDescent="0.4">
      <c r="A21" t="s">
        <v>24</v>
      </c>
      <c r="B21" t="s">
        <v>2</v>
      </c>
      <c r="C21" s="2">
        <v>43833</v>
      </c>
      <c r="D21" s="1">
        <f t="shared" si="3"/>
        <v>43862</v>
      </c>
      <c r="E21" s="3">
        <f t="shared" si="0"/>
        <v>76</v>
      </c>
      <c r="F21" t="s">
        <v>167</v>
      </c>
      <c r="G21" t="s">
        <v>168</v>
      </c>
      <c r="S21" s="1"/>
    </row>
    <row r="22" spans="1:19" x14ac:dyDescent="0.4">
      <c r="A22" t="s">
        <v>25</v>
      </c>
      <c r="B22" t="s">
        <v>2</v>
      </c>
      <c r="C22" s="2">
        <v>43853</v>
      </c>
      <c r="D22" s="1">
        <f t="shared" si="3"/>
        <v>43862</v>
      </c>
      <c r="E22" s="3">
        <f t="shared" si="0"/>
        <v>76</v>
      </c>
      <c r="F22" t="s">
        <v>167</v>
      </c>
      <c r="G22" t="s">
        <v>168</v>
      </c>
      <c r="S22" s="1"/>
    </row>
    <row r="23" spans="1:19" x14ac:dyDescent="0.4">
      <c r="A23" t="s">
        <v>26</v>
      </c>
      <c r="B23" t="s">
        <v>9</v>
      </c>
      <c r="C23" s="2">
        <v>43945</v>
      </c>
      <c r="D23" s="1">
        <f t="shared" si="3"/>
        <v>43952</v>
      </c>
      <c r="E23" s="3">
        <f t="shared" si="0"/>
        <v>73</v>
      </c>
      <c r="F23" t="s">
        <v>167</v>
      </c>
      <c r="G23" t="s">
        <v>168</v>
      </c>
      <c r="S23" s="1"/>
    </row>
    <row r="24" spans="1:19" x14ac:dyDescent="0.4">
      <c r="A24" t="s">
        <v>27</v>
      </c>
      <c r="B24" t="s">
        <v>14</v>
      </c>
      <c r="C24" s="2">
        <v>44015</v>
      </c>
      <c r="D24" s="1">
        <f t="shared" si="3"/>
        <v>44044</v>
      </c>
      <c r="E24" s="3">
        <f t="shared" si="0"/>
        <v>70</v>
      </c>
      <c r="F24" t="s">
        <v>167</v>
      </c>
      <c r="G24" t="s">
        <v>168</v>
      </c>
      <c r="S24" s="1"/>
    </row>
    <row r="25" spans="1:19" x14ac:dyDescent="0.4">
      <c r="A25" t="s">
        <v>28</v>
      </c>
      <c r="B25" t="s">
        <v>5</v>
      </c>
      <c r="C25" s="2">
        <v>44042</v>
      </c>
      <c r="D25" s="1">
        <f t="shared" si="3"/>
        <v>44044</v>
      </c>
      <c r="E25" s="3">
        <f t="shared" si="0"/>
        <v>70</v>
      </c>
      <c r="F25" t="s">
        <v>167</v>
      </c>
      <c r="G25" t="s">
        <v>168</v>
      </c>
      <c r="S25" s="1"/>
    </row>
    <row r="26" spans="1:19" x14ac:dyDescent="0.4">
      <c r="A26" t="s">
        <v>29</v>
      </c>
      <c r="B26" t="s">
        <v>14</v>
      </c>
      <c r="C26" s="2">
        <v>44043</v>
      </c>
      <c r="D26" s="1">
        <f t="shared" si="3"/>
        <v>44044</v>
      </c>
      <c r="E26" s="3">
        <f t="shared" si="0"/>
        <v>70</v>
      </c>
      <c r="F26" t="s">
        <v>167</v>
      </c>
      <c r="G26" t="s">
        <v>168</v>
      </c>
      <c r="S26" s="1"/>
    </row>
    <row r="27" spans="1:19" x14ac:dyDescent="0.4">
      <c r="A27" t="s">
        <v>30</v>
      </c>
      <c r="B27" t="s">
        <v>2</v>
      </c>
      <c r="C27" s="2">
        <v>44072</v>
      </c>
      <c r="D27" s="1">
        <f t="shared" si="3"/>
        <v>44075</v>
      </c>
      <c r="E27" s="3">
        <f t="shared" si="0"/>
        <v>69</v>
      </c>
      <c r="F27" t="s">
        <v>167</v>
      </c>
      <c r="G27" t="s">
        <v>168</v>
      </c>
      <c r="S27" s="1"/>
    </row>
    <row r="28" spans="1:19" x14ac:dyDescent="0.4">
      <c r="A28" t="s">
        <v>31</v>
      </c>
      <c r="B28" t="s">
        <v>14</v>
      </c>
      <c r="C28" s="2">
        <v>44085</v>
      </c>
      <c r="D28" s="1">
        <f t="shared" si="3"/>
        <v>44105</v>
      </c>
      <c r="E28" s="3">
        <f t="shared" si="0"/>
        <v>68</v>
      </c>
      <c r="F28" t="s">
        <v>167</v>
      </c>
      <c r="G28" t="s">
        <v>168</v>
      </c>
      <c r="S28" s="1"/>
    </row>
    <row r="29" spans="1:19" x14ac:dyDescent="0.4">
      <c r="A29" t="s">
        <v>33</v>
      </c>
      <c r="B29" t="s">
        <v>9</v>
      </c>
      <c r="C29" s="2">
        <v>44147</v>
      </c>
      <c r="D29" s="1">
        <f t="shared" si="3"/>
        <v>44166</v>
      </c>
      <c r="E29" s="3">
        <f t="shared" si="0"/>
        <v>66</v>
      </c>
      <c r="F29" t="s">
        <v>167</v>
      </c>
      <c r="G29" t="s">
        <v>168</v>
      </c>
      <c r="S29" s="1"/>
    </row>
    <row r="30" spans="1:19" x14ac:dyDescent="0.4">
      <c r="A30" t="s">
        <v>34</v>
      </c>
      <c r="B30" t="s">
        <v>2</v>
      </c>
      <c r="C30" s="2">
        <v>44154</v>
      </c>
      <c r="D30" s="1">
        <f t="shared" si="3"/>
        <v>44166</v>
      </c>
      <c r="E30" s="3">
        <f t="shared" si="0"/>
        <v>66</v>
      </c>
      <c r="F30" t="s">
        <v>167</v>
      </c>
      <c r="G30" t="s">
        <v>168</v>
      </c>
      <c r="S30" s="1"/>
    </row>
    <row r="31" spans="1:19" x14ac:dyDescent="0.4">
      <c r="A31" t="s">
        <v>35</v>
      </c>
      <c r="B31" t="s">
        <v>9</v>
      </c>
      <c r="C31" s="2">
        <v>44169</v>
      </c>
      <c r="D31" s="1">
        <f t="shared" si="3"/>
        <v>44197</v>
      </c>
      <c r="E31" s="3">
        <f t="shared" si="0"/>
        <v>65</v>
      </c>
      <c r="F31" t="s">
        <v>167</v>
      </c>
      <c r="G31" t="s">
        <v>168</v>
      </c>
      <c r="S31" s="1"/>
    </row>
    <row r="32" spans="1:19" x14ac:dyDescent="0.4">
      <c r="A32" t="s">
        <v>38</v>
      </c>
      <c r="B32" t="s">
        <v>5</v>
      </c>
      <c r="C32" s="2">
        <v>44252</v>
      </c>
      <c r="D32" s="1">
        <f t="shared" si="3"/>
        <v>44256</v>
      </c>
      <c r="E32" s="3">
        <f t="shared" si="0"/>
        <v>63</v>
      </c>
      <c r="F32" t="s">
        <v>167</v>
      </c>
      <c r="G32" t="s">
        <v>168</v>
      </c>
      <c r="S32" s="1"/>
    </row>
    <row r="33" spans="1:19" x14ac:dyDescent="0.4">
      <c r="A33" t="s">
        <v>39</v>
      </c>
      <c r="B33" t="s">
        <v>2</v>
      </c>
      <c r="C33" s="2">
        <v>44258</v>
      </c>
      <c r="D33" s="1">
        <f t="shared" si="3"/>
        <v>44287</v>
      </c>
      <c r="E33" s="3">
        <f t="shared" si="0"/>
        <v>62</v>
      </c>
      <c r="F33" t="s">
        <v>167</v>
      </c>
      <c r="G33" t="s">
        <v>168</v>
      </c>
      <c r="S33" s="1"/>
    </row>
    <row r="34" spans="1:19" x14ac:dyDescent="0.4">
      <c r="A34" t="s">
        <v>40</v>
      </c>
      <c r="B34" t="s">
        <v>2</v>
      </c>
      <c r="C34" s="2">
        <v>44280</v>
      </c>
      <c r="D34" s="1">
        <f t="shared" si="3"/>
        <v>44287</v>
      </c>
      <c r="E34" s="3">
        <f t="shared" si="0"/>
        <v>62</v>
      </c>
      <c r="F34" t="s">
        <v>167</v>
      </c>
      <c r="G34" t="s">
        <v>168</v>
      </c>
      <c r="S34" s="1"/>
    </row>
    <row r="35" spans="1:19" x14ac:dyDescent="0.4">
      <c r="A35" t="s">
        <v>41</v>
      </c>
      <c r="B35" t="s">
        <v>5</v>
      </c>
      <c r="C35" s="2">
        <v>44287</v>
      </c>
      <c r="D35" s="1">
        <f t="shared" si="3"/>
        <v>44317</v>
      </c>
      <c r="E35" s="3">
        <f t="shared" ref="E35:E66" si="4">DATEDIF(C35,$E$1,"m")</f>
        <v>62</v>
      </c>
      <c r="F35" t="s">
        <v>167</v>
      </c>
      <c r="G35" t="s">
        <v>168</v>
      </c>
      <c r="S35" s="1"/>
    </row>
    <row r="36" spans="1:19" x14ac:dyDescent="0.4">
      <c r="A36" t="s">
        <v>42</v>
      </c>
      <c r="B36" t="s">
        <v>2</v>
      </c>
      <c r="C36" s="2">
        <v>44298</v>
      </c>
      <c r="D36" s="1">
        <f t="shared" si="3"/>
        <v>44317</v>
      </c>
      <c r="E36" s="3">
        <f t="shared" si="4"/>
        <v>61</v>
      </c>
      <c r="F36" t="s">
        <v>167</v>
      </c>
      <c r="G36" t="s">
        <v>168</v>
      </c>
      <c r="S36" s="1"/>
    </row>
    <row r="37" spans="1:19" x14ac:dyDescent="0.4">
      <c r="A37" t="s">
        <v>43</v>
      </c>
      <c r="B37" t="s">
        <v>2</v>
      </c>
      <c r="C37" s="2">
        <v>44299</v>
      </c>
      <c r="D37" s="1">
        <f t="shared" si="3"/>
        <v>44317</v>
      </c>
      <c r="E37" s="3">
        <f t="shared" si="4"/>
        <v>61</v>
      </c>
      <c r="F37" t="s">
        <v>167</v>
      </c>
      <c r="G37" t="s">
        <v>168</v>
      </c>
      <c r="S37" s="1"/>
    </row>
    <row r="38" spans="1:19" x14ac:dyDescent="0.4">
      <c r="A38" t="s">
        <v>44</v>
      </c>
      <c r="B38" t="s">
        <v>14</v>
      </c>
      <c r="C38" s="2">
        <v>44421</v>
      </c>
      <c r="D38" s="1">
        <f t="shared" si="3"/>
        <v>44440</v>
      </c>
      <c r="E38" s="3">
        <f t="shared" si="4"/>
        <v>57</v>
      </c>
      <c r="F38" t="s">
        <v>167</v>
      </c>
      <c r="G38" t="s">
        <v>168</v>
      </c>
      <c r="S38" s="1"/>
    </row>
    <row r="39" spans="1:19" x14ac:dyDescent="0.4">
      <c r="A39" t="s">
        <v>45</v>
      </c>
      <c r="B39" t="s">
        <v>2</v>
      </c>
      <c r="C39" s="2">
        <v>44391</v>
      </c>
      <c r="D39" s="1">
        <f t="shared" si="3"/>
        <v>44409</v>
      </c>
      <c r="E39" s="3">
        <f t="shared" si="4"/>
        <v>58</v>
      </c>
      <c r="F39" t="s">
        <v>167</v>
      </c>
      <c r="G39" t="s">
        <v>168</v>
      </c>
      <c r="S39" s="1"/>
    </row>
    <row r="40" spans="1:19" x14ac:dyDescent="0.4">
      <c r="A40" t="s">
        <v>46</v>
      </c>
      <c r="B40" t="s">
        <v>14</v>
      </c>
      <c r="C40" s="2">
        <v>44404</v>
      </c>
      <c r="D40" s="1">
        <f t="shared" si="3"/>
        <v>44409</v>
      </c>
      <c r="E40" s="3">
        <f t="shared" si="4"/>
        <v>58</v>
      </c>
      <c r="F40" t="s">
        <v>167</v>
      </c>
      <c r="G40" t="s">
        <v>168</v>
      </c>
      <c r="S40" s="1"/>
    </row>
    <row r="41" spans="1:19" x14ac:dyDescent="0.4">
      <c r="A41" t="s">
        <v>47</v>
      </c>
      <c r="B41" t="s">
        <v>14</v>
      </c>
      <c r="C41" s="2">
        <v>44405</v>
      </c>
      <c r="D41" s="1">
        <f t="shared" si="3"/>
        <v>44409</v>
      </c>
      <c r="E41" s="3">
        <f t="shared" si="4"/>
        <v>58</v>
      </c>
      <c r="F41" t="s">
        <v>167</v>
      </c>
      <c r="G41" t="s">
        <v>168</v>
      </c>
      <c r="S41" s="1"/>
    </row>
    <row r="42" spans="1:19" x14ac:dyDescent="0.4">
      <c r="A42" t="s">
        <v>48</v>
      </c>
      <c r="B42" t="s">
        <v>9</v>
      </c>
      <c r="C42" s="2">
        <v>44446</v>
      </c>
      <c r="D42" s="1">
        <f t="shared" si="3"/>
        <v>44470</v>
      </c>
      <c r="E42" s="3">
        <f t="shared" si="4"/>
        <v>56</v>
      </c>
      <c r="F42" t="s">
        <v>167</v>
      </c>
      <c r="G42" t="s">
        <v>168</v>
      </c>
      <c r="S42" s="1"/>
    </row>
    <row r="43" spans="1:19" x14ac:dyDescent="0.4">
      <c r="A43" t="s">
        <v>49</v>
      </c>
      <c r="B43" t="s">
        <v>9</v>
      </c>
      <c r="C43" s="2">
        <v>44453</v>
      </c>
      <c r="D43" s="1">
        <f t="shared" si="3"/>
        <v>44470</v>
      </c>
      <c r="E43" s="3">
        <f t="shared" si="4"/>
        <v>56</v>
      </c>
      <c r="F43" t="s">
        <v>167</v>
      </c>
      <c r="G43" t="s">
        <v>168</v>
      </c>
      <c r="S43" s="1"/>
    </row>
    <row r="44" spans="1:19" x14ac:dyDescent="0.4">
      <c r="A44" t="s">
        <v>50</v>
      </c>
      <c r="B44" t="s">
        <v>7</v>
      </c>
      <c r="C44" s="2">
        <v>44463</v>
      </c>
      <c r="D44" s="1">
        <f t="shared" si="3"/>
        <v>44470</v>
      </c>
      <c r="E44" s="3">
        <f t="shared" si="4"/>
        <v>56</v>
      </c>
      <c r="F44" t="s">
        <v>167</v>
      </c>
      <c r="G44" t="s">
        <v>168</v>
      </c>
      <c r="S44" s="1"/>
    </row>
    <row r="45" spans="1:19" x14ac:dyDescent="0.4">
      <c r="A45" t="s">
        <v>51</v>
      </c>
      <c r="B45" t="s">
        <v>9</v>
      </c>
      <c r="C45" s="2">
        <v>44377</v>
      </c>
      <c r="D45" s="1">
        <f t="shared" si="3"/>
        <v>44378</v>
      </c>
      <c r="E45" s="3">
        <f t="shared" si="4"/>
        <v>59</v>
      </c>
      <c r="F45" t="s">
        <v>167</v>
      </c>
      <c r="G45" t="s">
        <v>168</v>
      </c>
      <c r="S45" s="1"/>
    </row>
    <row r="46" spans="1:19" x14ac:dyDescent="0.4">
      <c r="A46" t="s">
        <v>52</v>
      </c>
      <c r="B46" t="s">
        <v>14</v>
      </c>
      <c r="C46" s="2">
        <v>44501</v>
      </c>
      <c r="D46" s="1">
        <f t="shared" si="3"/>
        <v>44531</v>
      </c>
      <c r="E46" s="3">
        <f t="shared" si="4"/>
        <v>55</v>
      </c>
      <c r="F46" t="s">
        <v>167</v>
      </c>
      <c r="G46" t="s">
        <v>168</v>
      </c>
      <c r="S46" s="1"/>
    </row>
    <row r="47" spans="1:19" x14ac:dyDescent="0.4">
      <c r="A47" t="s">
        <v>53</v>
      </c>
      <c r="B47" t="s">
        <v>2</v>
      </c>
      <c r="C47" s="2">
        <v>44476</v>
      </c>
      <c r="D47" s="1">
        <f t="shared" si="3"/>
        <v>44501</v>
      </c>
      <c r="E47" s="3">
        <f t="shared" si="4"/>
        <v>55</v>
      </c>
      <c r="F47" t="s">
        <v>167</v>
      </c>
      <c r="G47" t="s">
        <v>168</v>
      </c>
      <c r="S47" s="1"/>
    </row>
    <row r="48" spans="1:19" x14ac:dyDescent="0.4">
      <c r="A48" t="s">
        <v>54</v>
      </c>
      <c r="B48" t="s">
        <v>2</v>
      </c>
      <c r="C48" s="2">
        <v>44508</v>
      </c>
      <c r="D48" s="1">
        <f t="shared" si="3"/>
        <v>44531</v>
      </c>
      <c r="E48" s="3">
        <f t="shared" si="4"/>
        <v>54</v>
      </c>
      <c r="F48" t="s">
        <v>167</v>
      </c>
      <c r="G48" t="s">
        <v>168</v>
      </c>
      <c r="S48" s="1"/>
    </row>
    <row r="49" spans="1:19" x14ac:dyDescent="0.4">
      <c r="A49" t="s">
        <v>55</v>
      </c>
      <c r="B49" t="s">
        <v>9</v>
      </c>
      <c r="C49" s="2" t="e">
        <v>#N/A</v>
      </c>
      <c r="D49" s="1" t="e">
        <f t="shared" si="3"/>
        <v>#N/A</v>
      </c>
      <c r="E49" s="3" t="e">
        <f t="shared" si="4"/>
        <v>#N/A</v>
      </c>
      <c r="F49" t="s">
        <v>167</v>
      </c>
      <c r="G49" t="s">
        <v>168</v>
      </c>
      <c r="S49" s="1"/>
    </row>
    <row r="50" spans="1:19" x14ac:dyDescent="0.4">
      <c r="A50" t="s">
        <v>56</v>
      </c>
      <c r="B50" t="s">
        <v>9</v>
      </c>
      <c r="C50" s="2">
        <v>44616</v>
      </c>
      <c r="D50" s="1">
        <f t="shared" si="3"/>
        <v>44621</v>
      </c>
      <c r="E50" s="3">
        <f t="shared" si="4"/>
        <v>51</v>
      </c>
      <c r="F50" t="s">
        <v>167</v>
      </c>
      <c r="G50" t="s">
        <v>168</v>
      </c>
      <c r="S50" s="1"/>
    </row>
    <row r="51" spans="1:19" x14ac:dyDescent="0.4">
      <c r="A51" t="s">
        <v>57</v>
      </c>
      <c r="B51" t="s">
        <v>9</v>
      </c>
      <c r="C51" s="2">
        <v>44643</v>
      </c>
      <c r="D51" s="1">
        <f t="shared" si="3"/>
        <v>44652</v>
      </c>
      <c r="E51" s="3">
        <f t="shared" si="4"/>
        <v>50</v>
      </c>
      <c r="F51" t="s">
        <v>167</v>
      </c>
      <c r="G51" t="s">
        <v>168</v>
      </c>
      <c r="S51" s="1"/>
    </row>
    <row r="52" spans="1:19" x14ac:dyDescent="0.4">
      <c r="A52" t="s">
        <v>58</v>
      </c>
      <c r="B52" t="s">
        <v>2</v>
      </c>
      <c r="C52" s="2">
        <v>44651</v>
      </c>
      <c r="D52" s="1">
        <f t="shared" si="3"/>
        <v>44652</v>
      </c>
      <c r="E52" s="3">
        <f t="shared" si="4"/>
        <v>50</v>
      </c>
      <c r="F52" t="s">
        <v>167</v>
      </c>
      <c r="G52" t="s">
        <v>168</v>
      </c>
      <c r="S52" s="1"/>
    </row>
    <row r="53" spans="1:19" x14ac:dyDescent="0.4">
      <c r="A53" t="s">
        <v>59</v>
      </c>
      <c r="B53" t="s">
        <v>5</v>
      </c>
      <c r="C53" s="2">
        <v>44657</v>
      </c>
      <c r="D53" s="1">
        <f t="shared" si="3"/>
        <v>44682</v>
      </c>
      <c r="E53" s="3">
        <f t="shared" si="4"/>
        <v>49</v>
      </c>
      <c r="F53" t="s">
        <v>167</v>
      </c>
      <c r="G53" t="s">
        <v>168</v>
      </c>
      <c r="S53" s="1"/>
    </row>
    <row r="54" spans="1:19" x14ac:dyDescent="0.4">
      <c r="A54" t="s">
        <v>60</v>
      </c>
      <c r="B54" t="s">
        <v>2</v>
      </c>
      <c r="C54" s="2">
        <v>44659</v>
      </c>
      <c r="D54" s="1">
        <f t="shared" si="3"/>
        <v>44682</v>
      </c>
      <c r="E54" s="3">
        <f t="shared" si="4"/>
        <v>49</v>
      </c>
      <c r="F54" t="s">
        <v>167</v>
      </c>
      <c r="G54" t="s">
        <v>168</v>
      </c>
      <c r="S54" s="1"/>
    </row>
    <row r="55" spans="1:19" x14ac:dyDescent="0.4">
      <c r="A55" t="s">
        <v>61</v>
      </c>
      <c r="B55" t="s">
        <v>14</v>
      </c>
      <c r="C55" s="2">
        <v>44694</v>
      </c>
      <c r="D55" s="1">
        <f t="shared" si="3"/>
        <v>44713</v>
      </c>
      <c r="E55" s="3">
        <f t="shared" si="4"/>
        <v>48</v>
      </c>
      <c r="F55" t="s">
        <v>167</v>
      </c>
      <c r="G55" t="s">
        <v>168</v>
      </c>
      <c r="S55" s="1"/>
    </row>
    <row r="56" spans="1:19" x14ac:dyDescent="0.4">
      <c r="A56" t="s">
        <v>62</v>
      </c>
      <c r="B56" t="s">
        <v>9</v>
      </c>
      <c r="C56" s="2">
        <v>44712</v>
      </c>
      <c r="D56" s="1">
        <f t="shared" si="3"/>
        <v>44713</v>
      </c>
      <c r="E56" s="3">
        <f t="shared" si="4"/>
        <v>48</v>
      </c>
      <c r="F56" t="s">
        <v>167</v>
      </c>
      <c r="G56" t="s">
        <v>168</v>
      </c>
      <c r="S56" s="1"/>
    </row>
    <row r="57" spans="1:19" x14ac:dyDescent="0.4">
      <c r="A57" t="s">
        <v>63</v>
      </c>
      <c r="B57" t="s">
        <v>9</v>
      </c>
      <c r="C57" s="2">
        <v>44762</v>
      </c>
      <c r="D57" s="1">
        <f t="shared" si="3"/>
        <v>44774</v>
      </c>
      <c r="E57" s="3">
        <f t="shared" si="4"/>
        <v>46</v>
      </c>
      <c r="F57" t="s">
        <v>167</v>
      </c>
      <c r="S57" s="1"/>
    </row>
    <row r="58" spans="1:19" x14ac:dyDescent="0.4">
      <c r="A58" t="s">
        <v>64</v>
      </c>
      <c r="B58" t="s">
        <v>5</v>
      </c>
      <c r="C58" s="2">
        <v>44775</v>
      </c>
      <c r="D58" s="1">
        <f t="shared" si="3"/>
        <v>44805</v>
      </c>
      <c r="E58" s="3">
        <f t="shared" si="4"/>
        <v>45</v>
      </c>
      <c r="F58" t="s">
        <v>167</v>
      </c>
      <c r="S58" s="1"/>
    </row>
    <row r="59" spans="1:19" x14ac:dyDescent="0.4">
      <c r="A59" t="s">
        <v>65</v>
      </c>
      <c r="B59" t="s">
        <v>9</v>
      </c>
      <c r="C59" s="2">
        <v>44783</v>
      </c>
      <c r="D59" s="1">
        <f t="shared" si="3"/>
        <v>44805</v>
      </c>
      <c r="E59" s="3">
        <f t="shared" si="4"/>
        <v>45</v>
      </c>
      <c r="F59" t="s">
        <v>167</v>
      </c>
      <c r="S59" s="1"/>
    </row>
    <row r="60" spans="1:19" x14ac:dyDescent="0.4">
      <c r="A60" t="s">
        <v>66</v>
      </c>
      <c r="B60" t="s">
        <v>9</v>
      </c>
      <c r="C60" s="2">
        <v>44798</v>
      </c>
      <c r="D60" s="1">
        <f t="shared" si="3"/>
        <v>44805</v>
      </c>
      <c r="E60" s="3">
        <f t="shared" si="4"/>
        <v>45</v>
      </c>
      <c r="F60" t="s">
        <v>167</v>
      </c>
      <c r="S60" s="1"/>
    </row>
    <row r="61" spans="1:19" x14ac:dyDescent="0.4">
      <c r="A61" t="s">
        <v>67</v>
      </c>
      <c r="B61" t="s">
        <v>2</v>
      </c>
      <c r="C61" s="2">
        <v>44802</v>
      </c>
      <c r="D61" s="1">
        <f t="shared" si="3"/>
        <v>44805</v>
      </c>
      <c r="E61" s="3">
        <f t="shared" si="4"/>
        <v>45</v>
      </c>
      <c r="F61" t="s">
        <v>167</v>
      </c>
      <c r="S61" s="1"/>
    </row>
    <row r="62" spans="1:19" x14ac:dyDescent="0.4">
      <c r="A62" t="s">
        <v>68</v>
      </c>
      <c r="B62" t="s">
        <v>9</v>
      </c>
      <c r="C62" s="2">
        <v>44811</v>
      </c>
      <c r="D62" s="1">
        <f t="shared" si="3"/>
        <v>44835</v>
      </c>
      <c r="E62" s="3">
        <f t="shared" si="4"/>
        <v>44</v>
      </c>
      <c r="F62" t="s">
        <v>167</v>
      </c>
      <c r="S62" s="1"/>
    </row>
    <row r="63" spans="1:19" x14ac:dyDescent="0.4">
      <c r="A63" t="s">
        <v>69</v>
      </c>
      <c r="B63" t="s">
        <v>9</v>
      </c>
      <c r="C63" s="2">
        <v>44820</v>
      </c>
      <c r="D63" s="1">
        <f t="shared" si="3"/>
        <v>44835</v>
      </c>
      <c r="E63" s="3">
        <f t="shared" si="4"/>
        <v>44</v>
      </c>
      <c r="F63" t="s">
        <v>167</v>
      </c>
      <c r="S63" s="1"/>
    </row>
    <row r="64" spans="1:19" x14ac:dyDescent="0.4">
      <c r="A64" t="s">
        <v>70</v>
      </c>
      <c r="B64" t="s">
        <v>14</v>
      </c>
      <c r="C64" s="2">
        <v>44845</v>
      </c>
      <c r="D64" s="1">
        <f t="shared" si="3"/>
        <v>44866</v>
      </c>
      <c r="E64" s="3">
        <f t="shared" si="4"/>
        <v>43</v>
      </c>
      <c r="F64" t="s">
        <v>167</v>
      </c>
      <c r="S64" s="1"/>
    </row>
    <row r="65" spans="1:19" x14ac:dyDescent="0.4">
      <c r="A65" t="s">
        <v>71</v>
      </c>
      <c r="B65" t="s">
        <v>9</v>
      </c>
      <c r="C65" s="2">
        <v>44848</v>
      </c>
      <c r="D65" s="1">
        <f t="shared" ref="D65:D126" si="5">EOMONTH(C65,0)+1</f>
        <v>44866</v>
      </c>
      <c r="E65" s="3">
        <f t="shared" si="4"/>
        <v>43</v>
      </c>
      <c r="F65" t="s">
        <v>167</v>
      </c>
      <c r="S65" s="1"/>
    </row>
    <row r="66" spans="1:19" x14ac:dyDescent="0.4">
      <c r="A66" t="s">
        <v>72</v>
      </c>
      <c r="B66" t="s">
        <v>2</v>
      </c>
      <c r="C66" s="2">
        <v>44854</v>
      </c>
      <c r="D66" s="1">
        <f t="shared" si="5"/>
        <v>44866</v>
      </c>
      <c r="E66" s="3">
        <f t="shared" si="4"/>
        <v>43</v>
      </c>
      <c r="F66" t="s">
        <v>167</v>
      </c>
      <c r="S66" s="1"/>
    </row>
    <row r="67" spans="1:19" x14ac:dyDescent="0.4">
      <c r="A67" t="s">
        <v>73</v>
      </c>
      <c r="B67" t="s">
        <v>2</v>
      </c>
      <c r="C67" s="2">
        <v>44855</v>
      </c>
      <c r="D67" s="1">
        <f t="shared" si="5"/>
        <v>44866</v>
      </c>
      <c r="E67" s="3">
        <f t="shared" ref="E67:E98" si="6">DATEDIF(C67,$E$1,"m")</f>
        <v>43</v>
      </c>
      <c r="F67" t="s">
        <v>167</v>
      </c>
      <c r="S67" s="1"/>
    </row>
    <row r="68" spans="1:19" x14ac:dyDescent="0.4">
      <c r="A68" t="s">
        <v>74</v>
      </c>
      <c r="B68" t="s">
        <v>14</v>
      </c>
      <c r="C68" s="2">
        <v>44859</v>
      </c>
      <c r="D68" s="1">
        <f t="shared" si="5"/>
        <v>44866</v>
      </c>
      <c r="E68" s="3">
        <f t="shared" si="6"/>
        <v>43</v>
      </c>
      <c r="F68" t="s">
        <v>167</v>
      </c>
      <c r="S68" s="1"/>
    </row>
    <row r="69" spans="1:19" x14ac:dyDescent="0.4">
      <c r="A69" t="s">
        <v>75</v>
      </c>
      <c r="B69" t="s">
        <v>9</v>
      </c>
      <c r="C69" s="2">
        <v>44861</v>
      </c>
      <c r="D69" s="1">
        <f t="shared" si="5"/>
        <v>44866</v>
      </c>
      <c r="E69" s="3">
        <f t="shared" si="6"/>
        <v>43</v>
      </c>
      <c r="F69" t="s">
        <v>167</v>
      </c>
      <c r="S69" s="1"/>
    </row>
    <row r="70" spans="1:19" x14ac:dyDescent="0.4">
      <c r="A70" t="s">
        <v>76</v>
      </c>
      <c r="B70" t="s">
        <v>14</v>
      </c>
      <c r="C70" s="2">
        <v>44889</v>
      </c>
      <c r="D70" s="1">
        <f t="shared" si="5"/>
        <v>44896</v>
      </c>
      <c r="E70" s="3">
        <f t="shared" si="6"/>
        <v>42</v>
      </c>
      <c r="F70" t="s">
        <v>167</v>
      </c>
      <c r="S70" s="1"/>
    </row>
    <row r="71" spans="1:19" x14ac:dyDescent="0.4">
      <c r="A71" t="s">
        <v>77</v>
      </c>
      <c r="B71" t="s">
        <v>9</v>
      </c>
      <c r="C71" s="2">
        <v>44893</v>
      </c>
      <c r="D71" s="1">
        <f t="shared" si="5"/>
        <v>44896</v>
      </c>
      <c r="E71" s="3">
        <f t="shared" si="6"/>
        <v>42</v>
      </c>
      <c r="F71" t="s">
        <v>167</v>
      </c>
      <c r="S71" s="1"/>
    </row>
    <row r="72" spans="1:19" x14ac:dyDescent="0.4">
      <c r="A72" t="s">
        <v>78</v>
      </c>
      <c r="B72" t="s">
        <v>2</v>
      </c>
      <c r="C72" s="2">
        <v>44895</v>
      </c>
      <c r="D72" s="1">
        <f t="shared" si="5"/>
        <v>44896</v>
      </c>
      <c r="E72" s="3">
        <f t="shared" si="6"/>
        <v>42</v>
      </c>
      <c r="F72" t="s">
        <v>167</v>
      </c>
      <c r="S72" s="1"/>
    </row>
    <row r="73" spans="1:19" x14ac:dyDescent="0.4">
      <c r="A73" t="s">
        <v>79</v>
      </c>
      <c r="B73" t="s">
        <v>2</v>
      </c>
      <c r="C73" s="2">
        <v>44897</v>
      </c>
      <c r="D73" s="1">
        <f t="shared" si="5"/>
        <v>44927</v>
      </c>
      <c r="E73" s="3">
        <f t="shared" si="6"/>
        <v>41</v>
      </c>
      <c r="F73" t="s">
        <v>167</v>
      </c>
      <c r="S73" s="1"/>
    </row>
    <row r="74" spans="1:19" x14ac:dyDescent="0.4">
      <c r="A74" t="s">
        <v>80</v>
      </c>
      <c r="B74" t="s">
        <v>5</v>
      </c>
      <c r="C74" s="2">
        <v>44901</v>
      </c>
      <c r="D74" s="1">
        <f t="shared" si="5"/>
        <v>44927</v>
      </c>
      <c r="E74" s="3">
        <f t="shared" si="6"/>
        <v>41</v>
      </c>
      <c r="F74" t="s">
        <v>167</v>
      </c>
      <c r="S74" s="1"/>
    </row>
    <row r="75" spans="1:19" x14ac:dyDescent="0.4">
      <c r="A75" t="s">
        <v>81</v>
      </c>
      <c r="B75" t="s">
        <v>2</v>
      </c>
      <c r="C75" s="2">
        <v>44916</v>
      </c>
      <c r="D75" s="1">
        <f t="shared" si="5"/>
        <v>44927</v>
      </c>
      <c r="E75" s="3">
        <f t="shared" si="6"/>
        <v>41</v>
      </c>
      <c r="F75" t="s">
        <v>167</v>
      </c>
      <c r="S75" s="1"/>
    </row>
    <row r="76" spans="1:19" x14ac:dyDescent="0.4">
      <c r="A76" t="s">
        <v>82</v>
      </c>
      <c r="B76" t="s">
        <v>9</v>
      </c>
      <c r="C76" s="2">
        <v>44922</v>
      </c>
      <c r="D76" s="1">
        <f t="shared" si="5"/>
        <v>44927</v>
      </c>
      <c r="E76" s="3">
        <f t="shared" si="6"/>
        <v>41</v>
      </c>
      <c r="F76" t="s">
        <v>167</v>
      </c>
      <c r="S76" s="1"/>
    </row>
    <row r="77" spans="1:19" x14ac:dyDescent="0.4">
      <c r="A77" t="s">
        <v>83</v>
      </c>
      <c r="B77" t="s">
        <v>2</v>
      </c>
      <c r="C77" s="2">
        <v>44945</v>
      </c>
      <c r="D77" s="1">
        <f t="shared" si="5"/>
        <v>44958</v>
      </c>
      <c r="E77" s="3">
        <f t="shared" si="6"/>
        <v>40</v>
      </c>
      <c r="F77" t="s">
        <v>167</v>
      </c>
      <c r="S77" s="1"/>
    </row>
    <row r="78" spans="1:19" x14ac:dyDescent="0.4">
      <c r="A78" t="s">
        <v>84</v>
      </c>
      <c r="B78" t="s">
        <v>2</v>
      </c>
      <c r="C78" s="2">
        <v>44978</v>
      </c>
      <c r="D78" s="1">
        <f t="shared" si="5"/>
        <v>44986</v>
      </c>
      <c r="E78" s="3">
        <f t="shared" si="6"/>
        <v>39</v>
      </c>
      <c r="F78" t="s">
        <v>167</v>
      </c>
      <c r="S78" s="1"/>
    </row>
    <row r="79" spans="1:19" x14ac:dyDescent="0.4">
      <c r="A79" t="s">
        <v>85</v>
      </c>
      <c r="B79" t="s">
        <v>14</v>
      </c>
      <c r="C79" s="2">
        <v>44985</v>
      </c>
      <c r="D79" s="1">
        <f t="shared" si="5"/>
        <v>44986</v>
      </c>
      <c r="E79" s="3">
        <f t="shared" si="6"/>
        <v>39</v>
      </c>
      <c r="F79" t="s">
        <v>167</v>
      </c>
      <c r="S79" s="1"/>
    </row>
    <row r="80" spans="1:19" x14ac:dyDescent="0.4">
      <c r="A80" t="s">
        <v>86</v>
      </c>
      <c r="B80" t="s">
        <v>14</v>
      </c>
      <c r="C80" s="2">
        <v>45007</v>
      </c>
      <c r="D80" s="1">
        <f t="shared" si="5"/>
        <v>45017</v>
      </c>
      <c r="E80" s="3">
        <f t="shared" si="6"/>
        <v>38</v>
      </c>
      <c r="F80" t="s">
        <v>167</v>
      </c>
      <c r="S80" s="1"/>
    </row>
    <row r="81" spans="1:19" x14ac:dyDescent="0.4">
      <c r="A81" t="s">
        <v>87</v>
      </c>
      <c r="B81" t="s">
        <v>2</v>
      </c>
      <c r="C81" s="2">
        <v>45012</v>
      </c>
      <c r="D81" s="1">
        <f t="shared" si="5"/>
        <v>45017</v>
      </c>
      <c r="E81" s="3">
        <f t="shared" si="6"/>
        <v>38</v>
      </c>
      <c r="F81" t="s">
        <v>167</v>
      </c>
      <c r="S81" s="1"/>
    </row>
    <row r="82" spans="1:19" x14ac:dyDescent="0.4">
      <c r="A82" t="s">
        <v>88</v>
      </c>
      <c r="B82" t="s">
        <v>14</v>
      </c>
      <c r="C82" s="2">
        <v>45014</v>
      </c>
      <c r="D82" s="1">
        <f t="shared" si="5"/>
        <v>45017</v>
      </c>
      <c r="E82" s="3">
        <f t="shared" si="6"/>
        <v>38</v>
      </c>
      <c r="F82" t="s">
        <v>167</v>
      </c>
      <c r="S82" s="1"/>
    </row>
    <row r="83" spans="1:19" x14ac:dyDescent="0.4">
      <c r="A83" t="s">
        <v>89</v>
      </c>
      <c r="B83" t="s">
        <v>14</v>
      </c>
      <c r="C83" s="2">
        <v>45026</v>
      </c>
      <c r="D83" s="1">
        <f t="shared" si="5"/>
        <v>45047</v>
      </c>
      <c r="E83" s="3">
        <f t="shared" si="6"/>
        <v>37</v>
      </c>
      <c r="F83" t="s">
        <v>167</v>
      </c>
      <c r="S83" s="1"/>
    </row>
    <row r="84" spans="1:19" x14ac:dyDescent="0.4">
      <c r="A84" t="s">
        <v>90</v>
      </c>
      <c r="B84" t="s">
        <v>2</v>
      </c>
      <c r="C84" s="2">
        <v>45036</v>
      </c>
      <c r="D84" s="1">
        <f t="shared" si="5"/>
        <v>45047</v>
      </c>
      <c r="E84" s="3">
        <f t="shared" si="6"/>
        <v>37</v>
      </c>
      <c r="F84" t="s">
        <v>167</v>
      </c>
      <c r="S84" s="1"/>
    </row>
    <row r="85" spans="1:19" x14ac:dyDescent="0.4">
      <c r="A85" t="s">
        <v>91</v>
      </c>
      <c r="B85" t="s">
        <v>14</v>
      </c>
      <c r="C85" s="2">
        <v>45042</v>
      </c>
      <c r="D85" s="1">
        <f t="shared" si="5"/>
        <v>45047</v>
      </c>
      <c r="E85" s="3">
        <f t="shared" si="6"/>
        <v>37</v>
      </c>
      <c r="F85" t="s">
        <v>167</v>
      </c>
      <c r="S85" s="1"/>
    </row>
    <row r="86" spans="1:19" x14ac:dyDescent="0.4">
      <c r="A86" t="s">
        <v>92</v>
      </c>
      <c r="B86" t="s">
        <v>2</v>
      </c>
      <c r="C86" s="2">
        <v>45049</v>
      </c>
      <c r="D86" s="1">
        <f t="shared" si="5"/>
        <v>45078</v>
      </c>
      <c r="E86" s="3">
        <f t="shared" si="6"/>
        <v>36</v>
      </c>
      <c r="S86" s="1"/>
    </row>
    <row r="87" spans="1:19" x14ac:dyDescent="0.4">
      <c r="A87" t="s">
        <v>93</v>
      </c>
      <c r="B87" t="s">
        <v>2</v>
      </c>
      <c r="C87" s="2">
        <v>45077</v>
      </c>
      <c r="D87" s="1">
        <f t="shared" si="5"/>
        <v>45078</v>
      </c>
      <c r="E87" s="3">
        <f t="shared" si="6"/>
        <v>36</v>
      </c>
      <c r="S87" s="1"/>
    </row>
    <row r="88" spans="1:19" x14ac:dyDescent="0.4">
      <c r="A88" t="s">
        <v>94</v>
      </c>
      <c r="B88" t="s">
        <v>14</v>
      </c>
      <c r="C88" s="2">
        <v>45097</v>
      </c>
      <c r="D88" s="1">
        <f t="shared" si="5"/>
        <v>45108</v>
      </c>
      <c r="E88" s="3">
        <f t="shared" si="6"/>
        <v>35</v>
      </c>
      <c r="S88" s="1"/>
    </row>
    <row r="89" spans="1:19" x14ac:dyDescent="0.4">
      <c r="A89" t="s">
        <v>95</v>
      </c>
      <c r="B89" t="s">
        <v>14</v>
      </c>
      <c r="C89" s="2">
        <v>45120</v>
      </c>
      <c r="D89" s="1">
        <f t="shared" si="5"/>
        <v>45139</v>
      </c>
      <c r="E89" s="3">
        <f t="shared" si="6"/>
        <v>34</v>
      </c>
      <c r="S89" s="1"/>
    </row>
    <row r="90" spans="1:19" x14ac:dyDescent="0.4">
      <c r="A90" t="s">
        <v>96</v>
      </c>
      <c r="B90" t="s">
        <v>14</v>
      </c>
      <c r="C90" s="2">
        <v>45120</v>
      </c>
      <c r="D90" s="1">
        <f t="shared" si="5"/>
        <v>45139</v>
      </c>
      <c r="E90" s="3">
        <f t="shared" si="6"/>
        <v>34</v>
      </c>
      <c r="S90" s="1"/>
    </row>
    <row r="91" spans="1:19" x14ac:dyDescent="0.4">
      <c r="A91" t="s">
        <v>97</v>
      </c>
      <c r="B91" t="s">
        <v>14</v>
      </c>
      <c r="C91" s="2">
        <v>45121</v>
      </c>
      <c r="D91" s="1">
        <f t="shared" si="5"/>
        <v>45139</v>
      </c>
      <c r="E91" s="3">
        <f t="shared" si="6"/>
        <v>34</v>
      </c>
      <c r="S91" s="1"/>
    </row>
    <row r="92" spans="1:19" x14ac:dyDescent="0.4">
      <c r="A92" t="s">
        <v>98</v>
      </c>
      <c r="B92" t="s">
        <v>2</v>
      </c>
      <c r="C92" s="2">
        <v>45121</v>
      </c>
      <c r="D92" s="1">
        <f t="shared" si="5"/>
        <v>45139</v>
      </c>
      <c r="E92" s="3">
        <f t="shared" si="6"/>
        <v>34</v>
      </c>
      <c r="S92" s="1"/>
    </row>
    <row r="93" spans="1:19" x14ac:dyDescent="0.4">
      <c r="A93" t="s">
        <v>99</v>
      </c>
      <c r="B93" t="s">
        <v>9</v>
      </c>
      <c r="C93" s="2">
        <v>45126</v>
      </c>
      <c r="D93" s="1">
        <f t="shared" si="5"/>
        <v>45139</v>
      </c>
      <c r="E93" s="3">
        <f t="shared" si="6"/>
        <v>34</v>
      </c>
      <c r="S93" s="1"/>
    </row>
    <row r="94" spans="1:19" x14ac:dyDescent="0.4">
      <c r="A94" t="s">
        <v>100</v>
      </c>
      <c r="B94" t="s">
        <v>14</v>
      </c>
      <c r="C94" s="2">
        <v>45133</v>
      </c>
      <c r="D94" s="1">
        <f t="shared" si="5"/>
        <v>45139</v>
      </c>
      <c r="E94" s="3">
        <f t="shared" si="6"/>
        <v>34</v>
      </c>
      <c r="S94" s="1"/>
    </row>
    <row r="95" spans="1:19" x14ac:dyDescent="0.4">
      <c r="A95" t="s">
        <v>101</v>
      </c>
      <c r="B95" t="s">
        <v>14</v>
      </c>
      <c r="C95" s="2">
        <v>45140</v>
      </c>
      <c r="D95" s="1">
        <f t="shared" si="5"/>
        <v>45170</v>
      </c>
      <c r="E95" s="3">
        <f t="shared" si="6"/>
        <v>33</v>
      </c>
      <c r="S95" s="1"/>
    </row>
    <row r="96" spans="1:19" x14ac:dyDescent="0.4">
      <c r="A96" t="s">
        <v>102</v>
      </c>
      <c r="B96" t="s">
        <v>9</v>
      </c>
      <c r="C96" s="2">
        <v>45154</v>
      </c>
      <c r="D96" s="1">
        <f t="shared" si="5"/>
        <v>45170</v>
      </c>
      <c r="E96" s="3">
        <f t="shared" si="6"/>
        <v>33</v>
      </c>
      <c r="S96" s="1"/>
    </row>
    <row r="97" spans="1:19" x14ac:dyDescent="0.4">
      <c r="A97" t="s">
        <v>103</v>
      </c>
      <c r="B97" t="s">
        <v>5</v>
      </c>
      <c r="C97" s="2">
        <v>45159</v>
      </c>
      <c r="D97" s="1">
        <f t="shared" si="5"/>
        <v>45170</v>
      </c>
      <c r="E97" s="3">
        <f t="shared" si="6"/>
        <v>33</v>
      </c>
      <c r="S97" s="1"/>
    </row>
    <row r="98" spans="1:19" x14ac:dyDescent="0.4">
      <c r="A98" t="s">
        <v>104</v>
      </c>
      <c r="B98" t="s">
        <v>9</v>
      </c>
      <c r="C98" s="2">
        <v>45187</v>
      </c>
      <c r="D98" s="1">
        <f t="shared" si="5"/>
        <v>45200</v>
      </c>
      <c r="E98" s="3">
        <f t="shared" si="6"/>
        <v>32</v>
      </c>
      <c r="S98" s="1"/>
    </row>
    <row r="99" spans="1:19" x14ac:dyDescent="0.4">
      <c r="A99" t="s">
        <v>105</v>
      </c>
      <c r="B99" t="s">
        <v>14</v>
      </c>
      <c r="C99" s="2">
        <v>45187</v>
      </c>
      <c r="D99" s="1">
        <f t="shared" si="5"/>
        <v>45200</v>
      </c>
      <c r="E99" s="3">
        <f t="shared" ref="E99:E130" si="7">DATEDIF(C99,$E$1,"m")</f>
        <v>32</v>
      </c>
      <c r="S99" s="1"/>
    </row>
    <row r="100" spans="1:19" x14ac:dyDescent="0.4">
      <c r="A100" t="s">
        <v>106</v>
      </c>
      <c r="B100" t="s">
        <v>2</v>
      </c>
      <c r="C100" s="2">
        <v>45188</v>
      </c>
      <c r="D100" s="1">
        <f t="shared" si="5"/>
        <v>45200</v>
      </c>
      <c r="E100" s="3">
        <f t="shared" si="7"/>
        <v>32</v>
      </c>
      <c r="S100" s="1"/>
    </row>
    <row r="101" spans="1:19" x14ac:dyDescent="0.4">
      <c r="A101" t="s">
        <v>107</v>
      </c>
      <c r="B101" t="s">
        <v>2</v>
      </c>
      <c r="C101" s="2">
        <v>45189</v>
      </c>
      <c r="D101" s="1">
        <f t="shared" si="5"/>
        <v>45200</v>
      </c>
      <c r="E101" s="3">
        <f t="shared" si="7"/>
        <v>32</v>
      </c>
      <c r="S101" s="1"/>
    </row>
    <row r="102" spans="1:19" x14ac:dyDescent="0.4">
      <c r="A102" t="s">
        <v>108</v>
      </c>
      <c r="B102" t="s">
        <v>2</v>
      </c>
      <c r="C102" s="2">
        <v>45194</v>
      </c>
      <c r="D102" s="1">
        <f t="shared" si="5"/>
        <v>45200</v>
      </c>
      <c r="E102" s="3">
        <f t="shared" si="7"/>
        <v>32</v>
      </c>
      <c r="S102" s="1"/>
    </row>
    <row r="103" spans="1:19" x14ac:dyDescent="0.4">
      <c r="A103" t="s">
        <v>109</v>
      </c>
      <c r="B103" t="s">
        <v>9</v>
      </c>
      <c r="C103" s="2">
        <v>45195</v>
      </c>
      <c r="D103" s="1">
        <f t="shared" si="5"/>
        <v>45200</v>
      </c>
      <c r="E103" s="3">
        <f t="shared" si="7"/>
        <v>32</v>
      </c>
      <c r="S103" s="1"/>
    </row>
    <row r="104" spans="1:19" x14ac:dyDescent="0.4">
      <c r="A104" t="s">
        <v>110</v>
      </c>
      <c r="B104" t="s">
        <v>2</v>
      </c>
      <c r="C104" s="2">
        <v>45225</v>
      </c>
      <c r="D104" s="1">
        <f t="shared" si="5"/>
        <v>45231</v>
      </c>
      <c r="E104" s="3">
        <f t="shared" si="7"/>
        <v>31</v>
      </c>
      <c r="S104" s="1"/>
    </row>
    <row r="105" spans="1:19" x14ac:dyDescent="0.4">
      <c r="A105" t="s">
        <v>111</v>
      </c>
      <c r="B105" t="s">
        <v>9</v>
      </c>
      <c r="C105" s="2">
        <v>45229</v>
      </c>
      <c r="D105" s="1">
        <f t="shared" si="5"/>
        <v>45231</v>
      </c>
      <c r="E105" s="3">
        <f t="shared" si="7"/>
        <v>31</v>
      </c>
      <c r="S105" s="1"/>
    </row>
    <row r="106" spans="1:19" x14ac:dyDescent="0.4">
      <c r="A106" t="s">
        <v>112</v>
      </c>
      <c r="B106" t="s">
        <v>2</v>
      </c>
      <c r="C106" s="2">
        <v>45236</v>
      </c>
      <c r="D106" s="1">
        <f t="shared" si="5"/>
        <v>45261</v>
      </c>
      <c r="E106" s="3">
        <f t="shared" si="7"/>
        <v>30</v>
      </c>
      <c r="S106" s="1"/>
    </row>
    <row r="107" spans="1:19" x14ac:dyDescent="0.4">
      <c r="A107" t="s">
        <v>113</v>
      </c>
      <c r="B107" t="s">
        <v>9</v>
      </c>
      <c r="C107" s="2">
        <v>45251</v>
      </c>
      <c r="D107" s="1">
        <f t="shared" si="5"/>
        <v>45261</v>
      </c>
      <c r="E107" s="3">
        <f t="shared" si="7"/>
        <v>30</v>
      </c>
      <c r="S107" s="1"/>
    </row>
    <row r="108" spans="1:19" x14ac:dyDescent="0.4">
      <c r="A108" t="s">
        <v>114</v>
      </c>
      <c r="B108" t="s">
        <v>9</v>
      </c>
      <c r="C108" s="2">
        <v>45272</v>
      </c>
      <c r="D108" s="1">
        <f t="shared" si="5"/>
        <v>45292</v>
      </c>
      <c r="E108" s="3">
        <f t="shared" si="7"/>
        <v>29</v>
      </c>
      <c r="S108" s="1"/>
    </row>
    <row r="109" spans="1:19" x14ac:dyDescent="0.4">
      <c r="A109" t="s">
        <v>115</v>
      </c>
      <c r="B109" t="s">
        <v>2</v>
      </c>
      <c r="C109" s="2">
        <v>45278</v>
      </c>
      <c r="D109" s="1">
        <f t="shared" si="5"/>
        <v>45292</v>
      </c>
      <c r="E109" s="3">
        <f t="shared" si="7"/>
        <v>29</v>
      </c>
      <c r="S109" s="1"/>
    </row>
    <row r="110" spans="1:19" x14ac:dyDescent="0.4">
      <c r="A110" t="s">
        <v>116</v>
      </c>
      <c r="B110" t="s">
        <v>14</v>
      </c>
      <c r="C110" s="2">
        <v>45295</v>
      </c>
      <c r="D110" s="1">
        <f t="shared" si="5"/>
        <v>45323</v>
      </c>
      <c r="E110" s="3">
        <f t="shared" si="7"/>
        <v>28</v>
      </c>
      <c r="S110" s="1"/>
    </row>
    <row r="111" spans="1:19" x14ac:dyDescent="0.4">
      <c r="A111" t="s">
        <v>118</v>
      </c>
      <c r="B111" t="s">
        <v>9</v>
      </c>
      <c r="C111" s="2">
        <v>45307</v>
      </c>
      <c r="D111" s="1">
        <f t="shared" si="5"/>
        <v>45323</v>
      </c>
      <c r="E111" s="3">
        <f t="shared" si="7"/>
        <v>28</v>
      </c>
      <c r="S111" s="1"/>
    </row>
    <row r="112" spans="1:19" x14ac:dyDescent="0.4">
      <c r="A112" t="s">
        <v>119</v>
      </c>
      <c r="B112" t="s">
        <v>14</v>
      </c>
      <c r="C112" s="2">
        <v>45308</v>
      </c>
      <c r="D112" s="1">
        <f t="shared" si="5"/>
        <v>45323</v>
      </c>
      <c r="E112" s="3">
        <f t="shared" si="7"/>
        <v>28</v>
      </c>
      <c r="S112" s="1"/>
    </row>
    <row r="113" spans="1:19" x14ac:dyDescent="0.4">
      <c r="A113" t="s">
        <v>120</v>
      </c>
      <c r="B113" t="s">
        <v>5</v>
      </c>
      <c r="C113" s="2">
        <v>45316</v>
      </c>
      <c r="D113" s="1">
        <f t="shared" si="5"/>
        <v>45323</v>
      </c>
      <c r="E113" s="3">
        <f t="shared" si="7"/>
        <v>28</v>
      </c>
      <c r="S113" s="1"/>
    </row>
    <row r="114" spans="1:19" x14ac:dyDescent="0.4">
      <c r="A114" t="s">
        <v>121</v>
      </c>
      <c r="B114" t="s">
        <v>2</v>
      </c>
      <c r="C114" s="2">
        <v>45323</v>
      </c>
      <c r="D114" s="1">
        <f t="shared" si="5"/>
        <v>45352</v>
      </c>
      <c r="E114" s="3">
        <f t="shared" si="7"/>
        <v>28</v>
      </c>
      <c r="S114" s="1"/>
    </row>
    <row r="115" spans="1:19" x14ac:dyDescent="0.4">
      <c r="A115" t="s">
        <v>122</v>
      </c>
      <c r="B115" t="s">
        <v>2</v>
      </c>
      <c r="C115" s="2">
        <v>45345</v>
      </c>
      <c r="D115" s="1">
        <f t="shared" si="5"/>
        <v>45352</v>
      </c>
      <c r="E115" s="3">
        <f t="shared" si="7"/>
        <v>27</v>
      </c>
      <c r="S115" s="1"/>
    </row>
    <row r="116" spans="1:19" x14ac:dyDescent="0.4">
      <c r="A116" t="s">
        <v>123</v>
      </c>
      <c r="B116" t="s">
        <v>2</v>
      </c>
      <c r="C116" s="2">
        <v>45351</v>
      </c>
      <c r="D116" s="1">
        <f t="shared" si="5"/>
        <v>45352</v>
      </c>
      <c r="E116" s="3">
        <f t="shared" si="7"/>
        <v>27</v>
      </c>
      <c r="S116" s="1"/>
    </row>
    <row r="117" spans="1:19" x14ac:dyDescent="0.4">
      <c r="A117" t="s">
        <v>124</v>
      </c>
      <c r="B117" t="s">
        <v>14</v>
      </c>
      <c r="C117" s="2">
        <v>45359</v>
      </c>
      <c r="D117" s="1">
        <f t="shared" si="5"/>
        <v>45383</v>
      </c>
      <c r="E117" s="3">
        <f t="shared" si="7"/>
        <v>26</v>
      </c>
      <c r="S117" s="1"/>
    </row>
    <row r="118" spans="1:19" x14ac:dyDescent="0.4">
      <c r="A118" t="s">
        <v>125</v>
      </c>
      <c r="B118" t="s">
        <v>2</v>
      </c>
      <c r="C118" s="2">
        <v>45363</v>
      </c>
      <c r="D118" s="1">
        <f t="shared" si="5"/>
        <v>45383</v>
      </c>
      <c r="E118" s="3">
        <f t="shared" si="7"/>
        <v>26</v>
      </c>
      <c r="S118" s="1"/>
    </row>
    <row r="119" spans="1:19" x14ac:dyDescent="0.4">
      <c r="A119" t="s">
        <v>126</v>
      </c>
      <c r="B119" t="s">
        <v>9</v>
      </c>
      <c r="C119" s="2">
        <v>45364</v>
      </c>
      <c r="D119" s="1">
        <f t="shared" si="5"/>
        <v>45383</v>
      </c>
      <c r="E119" s="3">
        <f t="shared" si="7"/>
        <v>26</v>
      </c>
      <c r="S119" s="1"/>
    </row>
    <row r="120" spans="1:19" x14ac:dyDescent="0.4">
      <c r="A120" t="s">
        <v>127</v>
      </c>
      <c r="B120" t="s">
        <v>2</v>
      </c>
      <c r="C120" s="2">
        <v>45386</v>
      </c>
      <c r="D120" s="1">
        <f t="shared" si="5"/>
        <v>45413</v>
      </c>
      <c r="E120" s="3">
        <f t="shared" si="7"/>
        <v>25</v>
      </c>
      <c r="S120" s="1"/>
    </row>
    <row r="121" spans="1:19" x14ac:dyDescent="0.4">
      <c r="A121" t="s">
        <v>128</v>
      </c>
      <c r="B121" t="s">
        <v>9</v>
      </c>
      <c r="C121" s="2">
        <v>45387</v>
      </c>
      <c r="D121" s="1">
        <f t="shared" si="5"/>
        <v>45413</v>
      </c>
      <c r="E121" s="3">
        <f t="shared" si="7"/>
        <v>25</v>
      </c>
      <c r="S121" s="1"/>
    </row>
    <row r="122" spans="1:19" x14ac:dyDescent="0.4">
      <c r="A122" t="s">
        <v>129</v>
      </c>
      <c r="B122" t="s">
        <v>5</v>
      </c>
      <c r="C122" s="2">
        <v>45434</v>
      </c>
      <c r="D122" s="1">
        <f t="shared" si="5"/>
        <v>45444</v>
      </c>
      <c r="E122" s="3">
        <f t="shared" si="7"/>
        <v>24</v>
      </c>
      <c r="S122" s="1"/>
    </row>
    <row r="123" spans="1:19" x14ac:dyDescent="0.4">
      <c r="A123" t="s">
        <v>130</v>
      </c>
      <c r="B123" t="s">
        <v>2</v>
      </c>
      <c r="C123" s="2">
        <v>45436</v>
      </c>
      <c r="D123" s="1">
        <f t="shared" si="5"/>
        <v>45444</v>
      </c>
      <c r="E123" s="3">
        <f t="shared" si="7"/>
        <v>24</v>
      </c>
      <c r="S123" s="1"/>
    </row>
    <row r="124" spans="1:19" x14ac:dyDescent="0.4">
      <c r="A124" t="s">
        <v>131</v>
      </c>
      <c r="B124" t="s">
        <v>14</v>
      </c>
      <c r="C124" s="2">
        <v>45469</v>
      </c>
      <c r="D124" s="1">
        <f t="shared" si="5"/>
        <v>45474</v>
      </c>
      <c r="E124" s="3">
        <f t="shared" si="7"/>
        <v>23</v>
      </c>
      <c r="S124" s="1"/>
    </row>
    <row r="125" spans="1:19" x14ac:dyDescent="0.4">
      <c r="A125" t="s">
        <v>132</v>
      </c>
      <c r="B125" t="s">
        <v>2</v>
      </c>
      <c r="C125" s="2">
        <v>45475</v>
      </c>
      <c r="D125" s="1">
        <f t="shared" si="5"/>
        <v>45505</v>
      </c>
      <c r="E125" s="3">
        <f t="shared" si="7"/>
        <v>22</v>
      </c>
      <c r="S125" s="1"/>
    </row>
    <row r="126" spans="1:19" x14ac:dyDescent="0.4">
      <c r="A126" t="s">
        <v>134</v>
      </c>
      <c r="B126" t="s">
        <v>5</v>
      </c>
      <c r="C126" s="2">
        <v>45505</v>
      </c>
      <c r="D126" s="1">
        <f t="shared" si="5"/>
        <v>45536</v>
      </c>
      <c r="E126" s="3">
        <f t="shared" si="7"/>
        <v>22</v>
      </c>
      <c r="S126" s="1"/>
    </row>
    <row r="127" spans="1:19" x14ac:dyDescent="0.4">
      <c r="A127" t="s">
        <v>135</v>
      </c>
      <c r="B127" t="s">
        <v>14</v>
      </c>
      <c r="C127" s="2">
        <v>45531</v>
      </c>
      <c r="D127" s="1">
        <f t="shared" ref="D127:D151" si="8">EOMONTH(C127,0)+1</f>
        <v>45536</v>
      </c>
      <c r="E127" s="3">
        <f t="shared" si="7"/>
        <v>21</v>
      </c>
      <c r="S127" s="1"/>
    </row>
    <row r="128" spans="1:19" x14ac:dyDescent="0.4">
      <c r="A128" t="s">
        <v>136</v>
      </c>
      <c r="B128" t="s">
        <v>2</v>
      </c>
      <c r="C128" s="2">
        <v>45532</v>
      </c>
      <c r="D128" s="1">
        <f t="shared" si="8"/>
        <v>45536</v>
      </c>
      <c r="E128" s="3">
        <f t="shared" si="7"/>
        <v>21</v>
      </c>
      <c r="S128" s="1"/>
    </row>
    <row r="129" spans="1:19" x14ac:dyDescent="0.4">
      <c r="A129" t="s">
        <v>137</v>
      </c>
      <c r="B129" t="s">
        <v>14</v>
      </c>
      <c r="C129" s="2">
        <v>45541</v>
      </c>
      <c r="D129" s="1">
        <f t="shared" si="8"/>
        <v>45566</v>
      </c>
      <c r="E129" s="3">
        <f t="shared" si="7"/>
        <v>20</v>
      </c>
      <c r="S129" s="1"/>
    </row>
    <row r="130" spans="1:19" x14ac:dyDescent="0.4">
      <c r="A130" t="s">
        <v>138</v>
      </c>
      <c r="B130" t="s">
        <v>14</v>
      </c>
      <c r="C130" s="2">
        <v>45540</v>
      </c>
      <c r="D130" s="1">
        <f t="shared" si="8"/>
        <v>45566</v>
      </c>
      <c r="E130" s="3">
        <f t="shared" si="7"/>
        <v>20</v>
      </c>
      <c r="S130" s="1"/>
    </row>
    <row r="131" spans="1:19" x14ac:dyDescent="0.4">
      <c r="A131" t="s">
        <v>139</v>
      </c>
      <c r="B131" t="s">
        <v>2</v>
      </c>
      <c r="C131" s="2">
        <v>45567</v>
      </c>
      <c r="D131" s="1">
        <f t="shared" si="8"/>
        <v>45597</v>
      </c>
      <c r="E131" s="3">
        <f t="shared" ref="E131:E151" si="9">DATEDIF(C131,$E$1,"m")</f>
        <v>19</v>
      </c>
      <c r="S131" s="1"/>
    </row>
    <row r="132" spans="1:19" x14ac:dyDescent="0.4">
      <c r="A132" t="s">
        <v>140</v>
      </c>
      <c r="B132" t="s">
        <v>2</v>
      </c>
      <c r="C132" s="2">
        <v>45589</v>
      </c>
      <c r="D132" s="1">
        <f t="shared" si="8"/>
        <v>45597</v>
      </c>
      <c r="E132" s="3">
        <f t="shared" si="9"/>
        <v>19</v>
      </c>
      <c r="S132" s="1"/>
    </row>
    <row r="133" spans="1:19" x14ac:dyDescent="0.4">
      <c r="A133" t="s">
        <v>141</v>
      </c>
      <c r="B133" t="s">
        <v>2</v>
      </c>
      <c r="C133" s="2">
        <v>45611</v>
      </c>
      <c r="D133" s="1">
        <f t="shared" si="8"/>
        <v>45627</v>
      </c>
      <c r="E133" s="3">
        <f t="shared" si="9"/>
        <v>18</v>
      </c>
      <c r="S133" s="1"/>
    </row>
    <row r="134" spans="1:19" x14ac:dyDescent="0.4">
      <c r="A134" t="s">
        <v>142</v>
      </c>
      <c r="B134" t="s">
        <v>2</v>
      </c>
      <c r="C134" s="2">
        <v>45652</v>
      </c>
      <c r="D134" s="1">
        <f t="shared" si="8"/>
        <v>45658</v>
      </c>
      <c r="E134" s="3">
        <f t="shared" si="9"/>
        <v>17</v>
      </c>
      <c r="S134" s="1"/>
    </row>
    <row r="135" spans="1:19" x14ac:dyDescent="0.4">
      <c r="A135" t="s">
        <v>143</v>
      </c>
      <c r="B135" t="s">
        <v>2</v>
      </c>
      <c r="C135" s="2">
        <v>45659</v>
      </c>
      <c r="D135" s="1">
        <f t="shared" si="8"/>
        <v>45689</v>
      </c>
      <c r="E135" s="3">
        <f t="shared" si="9"/>
        <v>16</v>
      </c>
      <c r="S135" s="1"/>
    </row>
    <row r="136" spans="1:19" x14ac:dyDescent="0.4">
      <c r="A136" t="s">
        <v>144</v>
      </c>
      <c r="B136" t="s">
        <v>9</v>
      </c>
      <c r="C136" s="2">
        <v>45755</v>
      </c>
      <c r="D136" s="1">
        <f t="shared" si="8"/>
        <v>45778</v>
      </c>
      <c r="E136" s="3">
        <f t="shared" si="9"/>
        <v>13</v>
      </c>
      <c r="S136" s="1"/>
    </row>
    <row r="137" spans="1:19" x14ac:dyDescent="0.4">
      <c r="A137" t="s">
        <v>145</v>
      </c>
      <c r="B137" t="s">
        <v>14</v>
      </c>
      <c r="C137" s="2">
        <v>45860</v>
      </c>
      <c r="D137" s="1">
        <f t="shared" si="8"/>
        <v>45870</v>
      </c>
      <c r="E137" s="3">
        <f t="shared" si="9"/>
        <v>10</v>
      </c>
      <c r="S137" s="1"/>
    </row>
    <row r="138" spans="1:19" x14ac:dyDescent="0.4">
      <c r="A138" t="s">
        <v>146</v>
      </c>
      <c r="B138" t="s">
        <v>14</v>
      </c>
      <c r="C138" s="2">
        <v>45867</v>
      </c>
      <c r="D138" s="1">
        <f t="shared" si="8"/>
        <v>45870</v>
      </c>
      <c r="E138" s="3">
        <f t="shared" si="9"/>
        <v>10</v>
      </c>
      <c r="S138" s="1"/>
    </row>
    <row r="139" spans="1:19" x14ac:dyDescent="0.4">
      <c r="A139" t="s">
        <v>147</v>
      </c>
      <c r="B139" t="s">
        <v>2</v>
      </c>
      <c r="C139" s="2">
        <v>45880</v>
      </c>
      <c r="D139" s="1">
        <f t="shared" si="8"/>
        <v>45901</v>
      </c>
      <c r="E139" s="3">
        <f t="shared" si="9"/>
        <v>9</v>
      </c>
      <c r="S139" s="1"/>
    </row>
    <row r="140" spans="1:19" x14ac:dyDescent="0.4">
      <c r="A140" t="s">
        <v>148</v>
      </c>
      <c r="B140" t="s">
        <v>2</v>
      </c>
      <c r="C140" s="2">
        <v>45911</v>
      </c>
      <c r="D140" s="1">
        <f t="shared" si="8"/>
        <v>45931</v>
      </c>
      <c r="E140" s="3">
        <f t="shared" si="9"/>
        <v>8</v>
      </c>
      <c r="S140" s="1"/>
    </row>
    <row r="141" spans="1:19" x14ac:dyDescent="0.4">
      <c r="A141" t="s">
        <v>149</v>
      </c>
      <c r="B141" t="s">
        <v>14</v>
      </c>
      <c r="C141" s="2">
        <v>45912</v>
      </c>
      <c r="D141" s="1">
        <f t="shared" si="8"/>
        <v>45931</v>
      </c>
      <c r="E141" s="3">
        <f t="shared" si="9"/>
        <v>8</v>
      </c>
      <c r="S141" s="1"/>
    </row>
    <row r="142" spans="1:19" x14ac:dyDescent="0.4">
      <c r="A142" t="s">
        <v>150</v>
      </c>
      <c r="B142" t="s">
        <v>9</v>
      </c>
      <c r="C142" s="2">
        <v>45912</v>
      </c>
      <c r="D142" s="1">
        <f t="shared" si="8"/>
        <v>45931</v>
      </c>
      <c r="E142" s="3">
        <f t="shared" si="9"/>
        <v>8</v>
      </c>
      <c r="S142" s="1"/>
    </row>
    <row r="143" spans="1:19" x14ac:dyDescent="0.4">
      <c r="A143" t="s">
        <v>151</v>
      </c>
      <c r="B143" t="s">
        <v>2</v>
      </c>
      <c r="C143" s="2">
        <v>45952</v>
      </c>
      <c r="D143" s="1">
        <f t="shared" si="8"/>
        <v>45962</v>
      </c>
      <c r="E143" s="3">
        <f t="shared" si="9"/>
        <v>7</v>
      </c>
      <c r="S143" s="1"/>
    </row>
    <row r="144" spans="1:19" x14ac:dyDescent="0.4">
      <c r="A144" t="s">
        <v>152</v>
      </c>
      <c r="B144" t="s">
        <v>2</v>
      </c>
      <c r="C144" s="2">
        <v>45959</v>
      </c>
      <c r="D144" s="1">
        <f t="shared" si="8"/>
        <v>45962</v>
      </c>
      <c r="E144" s="3">
        <f t="shared" si="9"/>
        <v>7</v>
      </c>
      <c r="S144" s="1"/>
    </row>
    <row r="145" spans="1:19" x14ac:dyDescent="0.4">
      <c r="A145" t="s">
        <v>153</v>
      </c>
      <c r="B145" t="s">
        <v>9</v>
      </c>
      <c r="C145" s="2">
        <v>45975</v>
      </c>
      <c r="D145" s="1">
        <f t="shared" si="8"/>
        <v>45992</v>
      </c>
      <c r="E145" s="3">
        <f t="shared" si="9"/>
        <v>6</v>
      </c>
      <c r="S145" s="1"/>
    </row>
    <row r="146" spans="1:19" x14ac:dyDescent="0.4">
      <c r="A146" t="s">
        <v>154</v>
      </c>
      <c r="B146" t="s">
        <v>14</v>
      </c>
      <c r="C146" s="2">
        <v>45980</v>
      </c>
      <c r="D146" s="1">
        <f t="shared" si="8"/>
        <v>45992</v>
      </c>
      <c r="E146" s="3">
        <f t="shared" si="9"/>
        <v>6</v>
      </c>
      <c r="S146" s="1"/>
    </row>
    <row r="147" spans="1:19" x14ac:dyDescent="0.4">
      <c r="A147" t="s">
        <v>155</v>
      </c>
      <c r="B147" t="s">
        <v>14</v>
      </c>
      <c r="C147" s="2">
        <v>46044</v>
      </c>
      <c r="D147" s="1">
        <f t="shared" si="8"/>
        <v>46054</v>
      </c>
      <c r="E147" s="3">
        <f t="shared" si="9"/>
        <v>4</v>
      </c>
    </row>
    <row r="148" spans="1:19" x14ac:dyDescent="0.4">
      <c r="A148" t="s">
        <v>156</v>
      </c>
      <c r="B148" t="s">
        <v>14</v>
      </c>
      <c r="C148" s="2">
        <v>46098</v>
      </c>
      <c r="D148" s="1">
        <f t="shared" si="8"/>
        <v>46113</v>
      </c>
      <c r="E148" s="3">
        <f t="shared" si="9"/>
        <v>2</v>
      </c>
    </row>
    <row r="149" spans="1:19" x14ac:dyDescent="0.4">
      <c r="A149" t="s">
        <v>157</v>
      </c>
      <c r="B149" t="s">
        <v>2</v>
      </c>
      <c r="C149" s="2">
        <v>46135</v>
      </c>
      <c r="D149" s="1">
        <f t="shared" si="8"/>
        <v>46143</v>
      </c>
      <c r="E149" s="3">
        <f t="shared" si="9"/>
        <v>1</v>
      </c>
    </row>
    <row r="150" spans="1:19" x14ac:dyDescent="0.4">
      <c r="A150" t="s">
        <v>158</v>
      </c>
      <c r="B150" t="s">
        <v>14</v>
      </c>
      <c r="C150" s="2">
        <v>46127</v>
      </c>
      <c r="D150" s="1">
        <f t="shared" si="8"/>
        <v>46143</v>
      </c>
      <c r="E150" s="3">
        <f t="shared" si="9"/>
        <v>1</v>
      </c>
    </row>
    <row r="151" spans="1:19" x14ac:dyDescent="0.4">
      <c r="A151" t="s">
        <v>159</v>
      </c>
      <c r="B151" t="s">
        <v>2</v>
      </c>
      <c r="C151" s="2">
        <v>46129</v>
      </c>
      <c r="D151" s="1">
        <f t="shared" si="8"/>
        <v>46143</v>
      </c>
      <c r="E151" s="3">
        <f t="shared" si="9"/>
        <v>1</v>
      </c>
    </row>
    <row r="152" spans="1:19" x14ac:dyDescent="0.4">
      <c r="D152" s="1"/>
      <c r="E152" s="3"/>
    </row>
    <row r="153" spans="1:19" x14ac:dyDescent="0.4">
      <c r="D153" s="1"/>
      <c r="E153" s="3"/>
    </row>
  </sheetData>
  <autoFilter ref="A2:G151" xr:uid="{98E7D1CE-0436-407A-892B-020F1E7B61B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7859-CADF-42D1-B87C-CCD027A8A211}">
  <dimension ref="A1:H20"/>
  <sheetViews>
    <sheetView zoomScale="85" zoomScaleNormal="85" workbookViewId="0">
      <selection activeCell="B7" sqref="B7"/>
    </sheetView>
  </sheetViews>
  <sheetFormatPr defaultRowHeight="14.5" x14ac:dyDescent="0.4"/>
  <cols>
    <col min="1" max="1" width="10.3984375" customWidth="1"/>
    <col min="2" max="2" width="16.69921875" customWidth="1"/>
    <col min="3" max="4" width="27" customWidth="1"/>
    <col min="5" max="8" width="18.69921875" customWidth="1"/>
  </cols>
  <sheetData>
    <row r="1" spans="1:8" ht="21" x14ac:dyDescent="0.4">
      <c r="A1" s="16" t="s">
        <v>180</v>
      </c>
    </row>
    <row r="3" spans="1:8" x14ac:dyDescent="0.4">
      <c r="A3" t="s">
        <v>175</v>
      </c>
    </row>
    <row r="4" spans="1:8" x14ac:dyDescent="0.4">
      <c r="A4" t="s">
        <v>176</v>
      </c>
    </row>
    <row r="6" spans="1:8" ht="34" x14ac:dyDescent="0.4">
      <c r="A6" s="9" t="s">
        <v>173</v>
      </c>
      <c r="B6" s="9" t="s">
        <v>181</v>
      </c>
      <c r="C6" s="9" t="s">
        <v>182</v>
      </c>
      <c r="D6" s="9" t="s">
        <v>183</v>
      </c>
      <c r="E6" s="11" t="s">
        <v>177</v>
      </c>
      <c r="F6" s="11" t="s">
        <v>174</v>
      </c>
      <c r="G6" s="11" t="s">
        <v>178</v>
      </c>
      <c r="H6" s="11" t="s">
        <v>179</v>
      </c>
    </row>
    <row r="7" spans="1:8" ht="17" x14ac:dyDescent="0.4">
      <c r="A7" s="10">
        <v>1</v>
      </c>
      <c r="B7" s="17" cm="1">
        <f t="array" ref="B7">SUMPRODUCT((ISNUMBER([1]Calc_매장월인덱스!P$2:P$242))*([1]Calc_매장월인덱스!AB$2:AB$242=0))</f>
        <v>218</v>
      </c>
      <c r="C7" s="18" cm="1">
        <f t="array" ref="C7">IFERROR(SUMPRODUCT(IFERROR([1]Calc_매장월인덱스!P$2:P$242*(ISNUMBER([1]Calc_매장월인덱스!P$2:P$242))*([1]Calc_매장월인덱스!AB$2:AB$242=0),0))/B7,"-")</f>
        <v>87.245365791513507</v>
      </c>
      <c r="D7" s="18" cm="1">
        <f t="array" ref="D7">IFERROR(_xlfn.AGGREGATE(17,6,[1]Calc_매장월인덱스!P$2:P$242/(([1]Calc_매장월인덱스!AB$2:AB$242=0)*ISNUMBER([1]Calc_매장월인덱스!P$2:P$242)),2),"-")</f>
        <v>88.781981733593554</v>
      </c>
      <c r="E7" s="14" cm="1">
        <f t="array" ref="E7">SUMPRODUCT((ISNUMBER(INDEX([1]Calc_매장월인덱스!$P$2:$AA$242,0,$A7)))*([1]Calc_매장월인덱스!$AB$2:$AB$242=0)*(([1]Calc_매장월인덱스!$B$2:$B$242*12+$A7) - ([1]Calc_매장월인덱스!$AD$2:$AD$242*12+[1]Calc_매장월인덱스!$AE$2:$AE$242)&gt;=6))</f>
        <v>165</v>
      </c>
      <c r="F7" s="12" cm="1">
        <f t="array" ref="F7">IFERROR(SUMPRODUCT(IFERROR(INDEX([1]Calc_매장월인덱스!$P$2:$AA$242,0,$A7)*(ISNUMBER(INDEX([1]Calc_매장월인덱스!$P$2:$AA$242,0,$A7)))*([1]Calc_매장월인덱스!$AB$2:$AB$242=0)*(([1]Calc_매장월인덱스!$B$2:$B$242*12+$A7) - ([1]Calc_매장월인덱스!$AD$2:$AD$242*12+[1]Calc_매장월인덱스!$AE$2:$AE$242)&gt;=6),0))/E7,"-")</f>
        <v>91.030316684681807</v>
      </c>
      <c r="G7" s="12" cm="1">
        <f t="array" ref="G7">IFERROR(_xlfn.AGGREGATE(17,6,INDEX([1]Calc_매장월인덱스!$P$2:$AA$242,0,$A7)/(([1]Calc_매장월인덱스!$AB$2:$AB$242=0)*ISNUMBER(INDEX([1]Calc_매장월인덱스!$P$2:$AA$242,0,$A7))*(([1]Calc_매장월인덱스!$B$2:$B$242*12+$A7) - ([1]Calc_매장월인덱스!$AD$2:$AD$242*12+[1]Calc_매장월인덱스!$AE$2:$AE$242)&gt;=6)),2),"-")</f>
        <v>91.064931651909774</v>
      </c>
      <c r="H7" s="15">
        <f>IFERROR(F7-C7,"-")</f>
        <v>3.7849508931683005</v>
      </c>
    </row>
    <row r="8" spans="1:8" ht="17" x14ac:dyDescent="0.4">
      <c r="A8" s="10">
        <v>2</v>
      </c>
      <c r="B8" s="17" cm="1">
        <f t="array" ref="B8">SUMPRODUCT((ISNUMBER([1]Calc_매장월인덱스!Q$2:Q$242))*([1]Calc_매장월인덱스!AB$2:AB$242=0))</f>
        <v>218</v>
      </c>
      <c r="C8" s="18" cm="1">
        <f t="array" ref="C8">IFERROR(SUMPRODUCT(IFERROR([1]Calc_매장월인덱스!Q$2:Q$242*(ISNUMBER([1]Calc_매장월인덱스!Q$2:Q$242))*([1]Calc_매장월인덱스!AB$2:AB$242=0),0))/B8,"-")</f>
        <v>82.522548347019082</v>
      </c>
      <c r="D8" s="18" cm="1">
        <f t="array" ref="D8">IFERROR(_xlfn.AGGREGATE(17,6,[1]Calc_매장월인덱스!Q$2:Q$242/(([1]Calc_매장월인덱스!AB$2:AB$242=0)*ISNUMBER([1]Calc_매장월인덱스!Q$2:Q$242)),2),"-")</f>
        <v>82.250637120513048</v>
      </c>
      <c r="E8" s="14" cm="1">
        <f t="array" ref="E8">SUMPRODUCT((ISNUMBER(INDEX([1]Calc_매장월인덱스!$P$2:$AA$242,0,$A8)))*([1]Calc_매장월인덱스!$AB$2:$AB$242=0)*(([1]Calc_매장월인덱스!$B$2:$B$242*12+$A8) - ([1]Calc_매장월인덱스!$AD$2:$AD$242*12+[1]Calc_매장월인덱스!$AE$2:$AE$242)&gt;=6))</f>
        <v>176</v>
      </c>
      <c r="F8" s="12" cm="1">
        <f t="array" ref="F8">IFERROR(SUMPRODUCT(IFERROR(INDEX([1]Calc_매장월인덱스!$P$2:$AA$242,0,$A8)*(ISNUMBER(INDEX([1]Calc_매장월인덱스!$P$2:$AA$242,0,$A8)))*([1]Calc_매장월인덱스!$AB$2:$AB$242=0)*(([1]Calc_매장월인덱스!$B$2:$B$242*12+$A8) - ([1]Calc_매장월인덱스!$AD$2:$AD$242*12+[1]Calc_매장월인덱스!$AE$2:$AE$242)&gt;=6),0))/E8,"-")</f>
        <v>84.287776489062807</v>
      </c>
      <c r="G8" s="12" cm="1">
        <f t="array" ref="G8">IFERROR(_xlfn.AGGREGATE(17,6,INDEX([1]Calc_매장월인덱스!$P$2:$AA$242,0,$A8)/(([1]Calc_매장월인덱스!$AB$2:$AB$242=0)*ISNUMBER(INDEX([1]Calc_매장월인덱스!$P$2:$AA$242,0,$A8))*(([1]Calc_매장월인덱스!$B$2:$B$242*12+$A8) - ([1]Calc_매장월인덱스!$AD$2:$AD$242*12+[1]Calc_매장월인덱스!$AE$2:$AE$242)&gt;=6)),2),"-")</f>
        <v>83.667924775922927</v>
      </c>
      <c r="H8" s="15">
        <f t="shared" ref="H8:H18" si="0">IFERROR(F8-C8,"-")</f>
        <v>1.7652281420437248</v>
      </c>
    </row>
    <row r="9" spans="1:8" ht="17" x14ac:dyDescent="0.4">
      <c r="A9" s="10">
        <v>3</v>
      </c>
      <c r="B9" s="17" cm="1">
        <f t="array" ref="B9">SUMPRODUCT((ISNUMBER([1]Calc_매장월인덱스!R$2:R$242))*([1]Calc_매장월인덱스!AB$2:AB$242=0))</f>
        <v>218</v>
      </c>
      <c r="C9" s="18" cm="1">
        <f t="array" ref="C9">IFERROR(SUMPRODUCT(IFERROR([1]Calc_매장월인덱스!R$2:R$242*(ISNUMBER([1]Calc_매장월인덱스!R$2:R$242))*([1]Calc_매장월인덱스!AB$2:AB$242=0),0))/B9,"-")</f>
        <v>96.187233318086285</v>
      </c>
      <c r="D9" s="18" cm="1">
        <f t="array" ref="D9">IFERROR(_xlfn.AGGREGATE(17,6,[1]Calc_매장월인덱스!R$2:R$242/(([1]Calc_매장월인덱스!AB$2:AB$242=0)*ISNUMBER([1]Calc_매장월인덱스!R$2:R$242)),2),"-")</f>
        <v>96.09818648114728</v>
      </c>
      <c r="E9" s="14" cm="1">
        <f t="array" ref="E9">SUMPRODUCT((ISNUMBER(INDEX([1]Calc_매장월인덱스!$P$2:$AA$242,0,$A9)))*([1]Calc_매장월인덱스!$AB$2:$AB$242=0)*(([1]Calc_매장월인덱스!$B$2:$B$242*12+$A9) - ([1]Calc_매장월인덱스!$AD$2:$AD$242*12+[1]Calc_매장월인덱스!$AE$2:$AE$242)&gt;=6))</f>
        <v>188</v>
      </c>
      <c r="F9" s="12" cm="1">
        <f t="array" ref="F9">IFERROR(SUMPRODUCT(IFERROR(INDEX([1]Calc_매장월인덱스!$P$2:$AA$242,0,$A9)*(ISNUMBER(INDEX([1]Calc_매장월인덱스!$P$2:$AA$242,0,$A9)))*([1]Calc_매장월인덱스!$AB$2:$AB$242=0)*(([1]Calc_매장월인덱스!$B$2:$B$242*12+$A9) - ([1]Calc_매장월인덱스!$AD$2:$AD$242*12+[1]Calc_매장월인덱스!$AE$2:$AE$242)&gt;=6),0))/E9,"-")</f>
        <v>97.17160058404427</v>
      </c>
      <c r="G9" s="12" cm="1">
        <f t="array" ref="G9">IFERROR(_xlfn.AGGREGATE(17,6,INDEX([1]Calc_매장월인덱스!$P$2:$AA$242,0,$A9)/(([1]Calc_매장월인덱스!$AB$2:$AB$242=0)*ISNUMBER(INDEX([1]Calc_매장월인덱스!$P$2:$AA$242,0,$A9))*(([1]Calc_매장월인덱스!$B$2:$B$242*12+$A9) - ([1]Calc_매장월인덱스!$AD$2:$AD$242*12+[1]Calc_매장월인덱스!$AE$2:$AE$242)&gt;=6)),2),"-")</f>
        <v>96.898163433091668</v>
      </c>
      <c r="H9" s="15">
        <f t="shared" si="0"/>
        <v>0.98436726595798518</v>
      </c>
    </row>
    <row r="10" spans="1:8" ht="17" x14ac:dyDescent="0.4">
      <c r="A10" s="10">
        <v>4</v>
      </c>
      <c r="B10" s="17" cm="1">
        <f t="array" ref="B10">SUMPRODUCT((ISNUMBER([1]Calc_매장월인덱스!S$2:S$242))*([1]Calc_매장월인덱스!AB$2:AB$242=0))</f>
        <v>218</v>
      </c>
      <c r="C10" s="18" cm="1">
        <f t="array" ref="C10">IFERROR(SUMPRODUCT(IFERROR([1]Calc_매장월인덱스!S$2:S$242*(ISNUMBER([1]Calc_매장월인덱스!S$2:S$242))*([1]Calc_매장월인덱스!AB$2:AB$242=0),0))/B10,"-")</f>
        <v>95.963431120718923</v>
      </c>
      <c r="D10" s="18" cm="1">
        <f t="array" ref="D10">IFERROR(_xlfn.AGGREGATE(17,6,[1]Calc_매장월인덱스!S$2:S$242/(([1]Calc_매장월인덱스!AB$2:AB$242=0)*ISNUMBER([1]Calc_매장월인덱스!S$2:S$242)),2),"-")</f>
        <v>96.328113378542781</v>
      </c>
      <c r="E10" s="14" cm="1">
        <f t="array" ref="E10">SUMPRODUCT((ISNUMBER(INDEX([1]Calc_매장월인덱스!$P$2:$AA$242,0,$A10)))*([1]Calc_매장월인덱스!$AB$2:$AB$242=0)*(([1]Calc_매장월인덱스!$B$2:$B$242*12+$A10) - ([1]Calc_매장월인덱스!$AD$2:$AD$242*12+[1]Calc_매장월인덱스!$AE$2:$AE$242)&gt;=6))</f>
        <v>197</v>
      </c>
      <c r="F10" s="12" cm="1">
        <f t="array" ref="F10">IFERROR(SUMPRODUCT(IFERROR(INDEX([1]Calc_매장월인덱스!$P$2:$AA$242,0,$A10)*(ISNUMBER(INDEX([1]Calc_매장월인덱스!$P$2:$AA$242,0,$A10)))*([1]Calc_매장월인덱스!$AB$2:$AB$242=0)*(([1]Calc_매장월인덱스!$B$2:$B$242*12+$A10) - ([1]Calc_매장월인덱스!$AD$2:$AD$242*12+[1]Calc_매장월인덱스!$AE$2:$AE$242)&gt;=6),0))/E10,"-")</f>
        <v>96.499914908438853</v>
      </c>
      <c r="G10" s="12" cm="1">
        <f t="array" ref="G10">IFERROR(_xlfn.AGGREGATE(17,6,INDEX([1]Calc_매장월인덱스!$P$2:$AA$242,0,$A10)/(([1]Calc_매장월인덱스!$AB$2:$AB$242=0)*ISNUMBER(INDEX([1]Calc_매장월인덱스!$P$2:$AA$242,0,$A10))*(([1]Calc_매장월인덱스!$B$2:$B$242*12+$A10) - ([1]Calc_매장월인덱스!$AD$2:$AD$242*12+[1]Calc_매장월인덱스!$AE$2:$AE$242)&gt;=6)),2),"-")</f>
        <v>96.795853406478955</v>
      </c>
      <c r="H10" s="15">
        <f t="shared" si="0"/>
        <v>0.53648378771993066</v>
      </c>
    </row>
    <row r="11" spans="1:8" ht="17" x14ac:dyDescent="0.4">
      <c r="A11" s="10">
        <v>5</v>
      </c>
      <c r="B11" s="17" cm="1">
        <f t="array" ref="B11">SUMPRODUCT((ISNUMBER([1]Calc_매장월인덱스!T$2:T$242))*([1]Calc_매장월인덱스!AB$2:AB$242=0))</f>
        <v>218</v>
      </c>
      <c r="C11" s="18" cm="1">
        <f t="array" ref="C11">IFERROR(SUMPRODUCT(IFERROR([1]Calc_매장월인덱스!T$2:T$242*(ISNUMBER([1]Calc_매장월인덱스!T$2:T$242))*([1]Calc_매장월인덱스!AB$2:AB$242=0),0))/B11,"-")</f>
        <v>105.32404071587239</v>
      </c>
      <c r="D11" s="18" cm="1">
        <f t="array" ref="D11">IFERROR(_xlfn.AGGREGATE(17,6,[1]Calc_매장월인덱스!T$2:T$242/(([1]Calc_매장월인덱스!AB$2:AB$242=0)*ISNUMBER([1]Calc_매장월인덱스!T$2:T$242)),2),"-")</f>
        <v>105.53664530035446</v>
      </c>
      <c r="E11" s="14" cm="1">
        <f t="array" ref="E11">SUMPRODUCT((ISNUMBER(INDEX([1]Calc_매장월인덱스!$P$2:$AA$242,0,$A11)))*([1]Calc_매장월인덱스!$AB$2:$AB$242=0)*(([1]Calc_매장월인덱스!$B$2:$B$242*12+$A11) - ([1]Calc_매장월인덱스!$AD$2:$AD$242*12+[1]Calc_매장월인덱스!$AE$2:$AE$242)&gt;=6))</f>
        <v>207</v>
      </c>
      <c r="F11" s="12" cm="1">
        <f t="array" ref="F11">IFERROR(SUMPRODUCT(IFERROR(INDEX([1]Calc_매장월인덱스!$P$2:$AA$242,0,$A11)*(ISNUMBER(INDEX([1]Calc_매장월인덱스!$P$2:$AA$242,0,$A11)))*([1]Calc_매장월인덱스!$AB$2:$AB$242=0)*(([1]Calc_매장월인덱스!$B$2:$B$242*12+$A11) - ([1]Calc_매장월인덱스!$AD$2:$AD$242*12+[1]Calc_매장월인덱스!$AE$2:$AE$242)&gt;=6),0))/E11,"-")</f>
        <v>105.36696241365125</v>
      </c>
      <c r="G11" s="12" cm="1">
        <f t="array" ref="G11">IFERROR(_xlfn.AGGREGATE(17,6,INDEX([1]Calc_매장월인덱스!$P$2:$AA$242,0,$A11)/(([1]Calc_매장월인덱스!$AB$2:$AB$242=0)*ISNUMBER(INDEX([1]Calc_매장월인덱스!$P$2:$AA$242,0,$A11))*(([1]Calc_매장월인덱스!$B$2:$B$242*12+$A11) - ([1]Calc_매장월인덱스!$AD$2:$AD$242*12+[1]Calc_매장월인덱스!$AE$2:$AE$242)&gt;=6)),2),"-")</f>
        <v>105.56665599696863</v>
      </c>
      <c r="H11" s="15">
        <f t="shared" si="0"/>
        <v>4.2921697778865564E-2</v>
      </c>
    </row>
    <row r="12" spans="1:8" ht="17" x14ac:dyDescent="0.4">
      <c r="A12" s="10">
        <v>6</v>
      </c>
      <c r="B12" s="17" cm="1">
        <f t="array" ref="B12">SUMPRODUCT((ISNUMBER([1]Calc_매장월인덱스!U$2:U$242))*([1]Calc_매장월인덱스!AB$2:AB$242=0))</f>
        <v>218</v>
      </c>
      <c r="C12" s="18" cm="1">
        <f t="array" ref="C12">IFERROR(SUMPRODUCT(IFERROR([1]Calc_매장월인덱스!U$2:U$242*(ISNUMBER([1]Calc_매장월인덱스!U$2:U$242))*([1]Calc_매장월인덱스!AB$2:AB$242=0),0))/B12,"-")</f>
        <v>102.87101265279686</v>
      </c>
      <c r="D12" s="18" cm="1">
        <f t="array" ref="D12">IFERROR(_xlfn.AGGREGATE(17,6,[1]Calc_매장월인덱스!U$2:U$242/(([1]Calc_매장월인덱스!AB$2:AB$242=0)*ISNUMBER([1]Calc_매장월인덱스!U$2:U$242)),2),"-")</f>
        <v>103.00424987542664</v>
      </c>
      <c r="E12" s="14" cm="1">
        <f t="array" ref="E12">SUMPRODUCT((ISNUMBER(INDEX([1]Calc_매장월인덱스!$P$2:$AA$242,0,$A12)))*([1]Calc_매장월인덱스!$AB$2:$AB$242=0)*(([1]Calc_매장월인덱스!$B$2:$B$242*12+$A12) - ([1]Calc_매장월인덱스!$AD$2:$AD$242*12+[1]Calc_매장월인덱스!$AE$2:$AE$242)&gt;=6))</f>
        <v>213</v>
      </c>
      <c r="F12" s="12" cm="1">
        <f t="array" ref="F12">IFERROR(SUMPRODUCT(IFERROR(INDEX([1]Calc_매장월인덱스!$P$2:$AA$242,0,$A12)*(ISNUMBER(INDEX([1]Calc_매장월인덱스!$P$2:$AA$242,0,$A12)))*([1]Calc_매장월인덱스!$AB$2:$AB$242=0)*(([1]Calc_매장월인덱스!$B$2:$B$242*12+$A12) - ([1]Calc_매장월인덱스!$AD$2:$AD$242*12+[1]Calc_매장월인덱스!$AE$2:$AE$242)&gt;=6),0))/E12,"-")</f>
        <v>102.78468761332418</v>
      </c>
      <c r="G12" s="12" cm="1">
        <f t="array" ref="G12">IFERROR(_xlfn.AGGREGATE(17,6,INDEX([1]Calc_매장월인덱스!$P$2:$AA$242,0,$A12)/(([1]Calc_매장월인덱스!$AB$2:$AB$242=0)*ISNUMBER(INDEX([1]Calc_매장월인덱스!$P$2:$AA$242,0,$A12))*(([1]Calc_매장월인덱스!$B$2:$B$242*12+$A12) - ([1]Calc_매장월인덱스!$AD$2:$AD$242*12+[1]Calc_매장월인덱스!$AE$2:$AE$242)&gt;=6)),2),"-")</f>
        <v>102.82350731790002</v>
      </c>
      <c r="H12" s="15">
        <f t="shared" si="0"/>
        <v>-8.6325039472683329E-2</v>
      </c>
    </row>
    <row r="13" spans="1:8" ht="17" x14ac:dyDescent="0.4">
      <c r="A13" s="10">
        <v>7</v>
      </c>
      <c r="B13" s="17" cm="1">
        <f t="array" ref="B13">SUMPRODUCT((ISNUMBER([1]Calc_매장월인덱스!V$2:V$242))*([1]Calc_매장월인덱스!AB$2:AB$242=0))</f>
        <v>218</v>
      </c>
      <c r="C13" s="18" cm="1">
        <f t="array" ref="C13">IFERROR(SUMPRODUCT(IFERROR([1]Calc_매장월인덱스!V$2:V$242*(ISNUMBER([1]Calc_매장월인덱스!V$2:V$242))*([1]Calc_매장월인덱스!AB$2:AB$242=0),0))/B13,"-")</f>
        <v>104.67864933203967</v>
      </c>
      <c r="D13" s="18" cm="1">
        <f t="array" ref="D13">IFERROR(_xlfn.AGGREGATE(17,6,[1]Calc_매장월인덱스!V$2:V$242/(([1]Calc_매장월인덱스!AB$2:AB$242=0)*ISNUMBER([1]Calc_매장월인덱스!V$2:V$242)),2),"-")</f>
        <v>104.40186944474894</v>
      </c>
      <c r="E13" s="14" cm="1">
        <f t="array" ref="E13">SUMPRODUCT((ISNUMBER(INDEX([1]Calc_매장월인덱스!$P$2:$AA$242,0,$A13)))*([1]Calc_매장월인덱스!$AB$2:$AB$242=0)*(([1]Calc_매장월인덱스!$B$2:$B$242*12+$A13) - ([1]Calc_매장월인덱스!$AD$2:$AD$242*12+[1]Calc_매장월인덱스!$AE$2:$AE$242)&gt;=6))</f>
        <v>218</v>
      </c>
      <c r="F13" s="12" cm="1">
        <f t="array" ref="F13">IFERROR(SUMPRODUCT(IFERROR(INDEX([1]Calc_매장월인덱스!$P$2:$AA$242,0,$A13)*(ISNUMBER(INDEX([1]Calc_매장월인덱스!$P$2:$AA$242,0,$A13)))*([1]Calc_매장월인덱스!$AB$2:$AB$242=0)*(([1]Calc_매장월인덱스!$B$2:$B$242*12+$A13) - ([1]Calc_매장월인덱스!$AD$2:$AD$242*12+[1]Calc_매장월인덱스!$AE$2:$AE$242)&gt;=6),0))/E13,"-")</f>
        <v>104.67864933203967</v>
      </c>
      <c r="G13" s="12" cm="1">
        <f t="array" ref="G13">IFERROR(_xlfn.AGGREGATE(17,6,INDEX([1]Calc_매장월인덱스!$P$2:$AA$242,0,$A13)/(([1]Calc_매장월인덱스!$AB$2:$AB$242=0)*ISNUMBER(INDEX([1]Calc_매장월인덱스!$P$2:$AA$242,0,$A13))*(([1]Calc_매장월인덱스!$B$2:$B$242*12+$A13) - ([1]Calc_매장월인덱스!$AD$2:$AD$242*12+[1]Calc_매장월인덱스!$AE$2:$AE$242)&gt;=6)),2),"-")</f>
        <v>104.40186944474894</v>
      </c>
      <c r="H13" s="15">
        <f t="shared" si="0"/>
        <v>0</v>
      </c>
    </row>
    <row r="14" spans="1:8" ht="17" x14ac:dyDescent="0.4">
      <c r="A14" s="10">
        <v>8</v>
      </c>
      <c r="B14" s="17" cm="1">
        <f t="array" ref="B14">SUMPRODUCT((ISNUMBER([1]Calc_매장월인덱스!W$2:W$242))*([1]Calc_매장월인덱스!AB$2:AB$242=0))</f>
        <v>218</v>
      </c>
      <c r="C14" s="18" cm="1">
        <f t="array" ref="C14">IFERROR(SUMPRODUCT(IFERROR([1]Calc_매장월인덱스!W$2:W$242*(ISNUMBER([1]Calc_매장월인덱스!W$2:W$242))*([1]Calc_매장월인덱스!AB$2:AB$242=0),0))/B14,"-")</f>
        <v>102.0452176382724</v>
      </c>
      <c r="D14" s="18" cm="1">
        <f t="array" ref="D14">IFERROR(_xlfn.AGGREGATE(17,6,[1]Calc_매장월인덱스!W$2:W$242/(([1]Calc_매장월인덱스!AB$2:AB$242=0)*ISNUMBER([1]Calc_매장월인덱스!W$2:W$242)),2),"-")</f>
        <v>100.96882048777918</v>
      </c>
      <c r="E14" s="14" cm="1">
        <f t="array" ref="E14">SUMPRODUCT((ISNUMBER(INDEX([1]Calc_매장월인덱스!$P$2:$AA$242,0,$A14)))*([1]Calc_매장월인덱스!$AB$2:$AB$242=0)*(([1]Calc_매장월인덱스!$B$2:$B$242*12+$A14) - ([1]Calc_매장월인덱스!$AD$2:$AD$242*12+[1]Calc_매장월인덱스!$AE$2:$AE$242)&gt;=6))</f>
        <v>218</v>
      </c>
      <c r="F14" s="12" cm="1">
        <f t="array" ref="F14">IFERROR(SUMPRODUCT(IFERROR(INDEX([1]Calc_매장월인덱스!$P$2:$AA$242,0,$A14)*(ISNUMBER(INDEX([1]Calc_매장월인덱스!$P$2:$AA$242,0,$A14)))*([1]Calc_매장월인덱스!$AB$2:$AB$242=0)*(([1]Calc_매장월인덱스!$B$2:$B$242*12+$A14) - ([1]Calc_매장월인덱스!$AD$2:$AD$242*12+[1]Calc_매장월인덱스!$AE$2:$AE$242)&gt;=6),0))/E14,"-")</f>
        <v>102.0452176382724</v>
      </c>
      <c r="G14" s="12" cm="1">
        <f t="array" ref="G14">IFERROR(_xlfn.AGGREGATE(17,6,INDEX([1]Calc_매장월인덱스!$P$2:$AA$242,0,$A14)/(([1]Calc_매장월인덱스!$AB$2:$AB$242=0)*ISNUMBER(INDEX([1]Calc_매장월인덱스!$P$2:$AA$242,0,$A14))*(([1]Calc_매장월인덱스!$B$2:$B$242*12+$A14) - ([1]Calc_매장월인덱스!$AD$2:$AD$242*12+[1]Calc_매장월인덱스!$AE$2:$AE$242)&gt;=6)),2),"-")</f>
        <v>100.96882048777918</v>
      </c>
      <c r="H14" s="15">
        <f t="shared" si="0"/>
        <v>0</v>
      </c>
    </row>
    <row r="15" spans="1:8" ht="17" x14ac:dyDescent="0.4">
      <c r="A15" s="10">
        <v>9</v>
      </c>
      <c r="B15" s="17" cm="1">
        <f t="array" ref="B15">SUMPRODUCT((ISNUMBER([1]Calc_매장월인덱스!X$2:X$242))*([1]Calc_매장월인덱스!AB$2:AB$242=0))</f>
        <v>218</v>
      </c>
      <c r="C15" s="18" cm="1">
        <f t="array" ref="C15">IFERROR(SUMPRODUCT(IFERROR([1]Calc_매장월인덱스!X$2:X$242*(ISNUMBER([1]Calc_매장월인덱스!X$2:X$242))*([1]Calc_매장월인덱스!AB$2:AB$242=0),0))/B15,"-")</f>
        <v>100.12358076140046</v>
      </c>
      <c r="D15" s="18" cm="1">
        <f t="array" ref="D15">IFERROR(_xlfn.AGGREGATE(17,6,[1]Calc_매장월인덱스!X$2:X$242/(([1]Calc_매장월인덱스!AB$2:AB$242=0)*ISNUMBER([1]Calc_매장월인덱스!X$2:X$242)),2),"-")</f>
        <v>99.050020449626402</v>
      </c>
      <c r="E15" s="14" cm="1">
        <f t="array" ref="E15">SUMPRODUCT((ISNUMBER(INDEX([1]Calc_매장월인덱스!$P$2:$AA$242,0,$A15)))*([1]Calc_매장월인덱스!$AB$2:$AB$242=0)*(([1]Calc_매장월인덱스!$B$2:$B$242*12+$A15) - ([1]Calc_매장월인덱스!$AD$2:$AD$242*12+[1]Calc_매장월인덱스!$AE$2:$AE$242)&gt;=6))</f>
        <v>218</v>
      </c>
      <c r="F15" s="12" cm="1">
        <f t="array" ref="F15">IFERROR(SUMPRODUCT(IFERROR(INDEX([1]Calc_매장월인덱스!$P$2:$AA$242,0,$A15)*(ISNUMBER(INDEX([1]Calc_매장월인덱스!$P$2:$AA$242,0,$A15)))*([1]Calc_매장월인덱스!$AB$2:$AB$242=0)*(([1]Calc_매장월인덱스!$B$2:$B$242*12+$A15) - ([1]Calc_매장월인덱스!$AD$2:$AD$242*12+[1]Calc_매장월인덱스!$AE$2:$AE$242)&gt;=6),0))/E15,"-")</f>
        <v>100.12358076140046</v>
      </c>
      <c r="G15" s="12" cm="1">
        <f t="array" ref="G15">IFERROR(_xlfn.AGGREGATE(17,6,INDEX([1]Calc_매장월인덱스!$P$2:$AA$242,0,$A15)/(([1]Calc_매장월인덱스!$AB$2:$AB$242=0)*ISNUMBER(INDEX([1]Calc_매장월인덱스!$P$2:$AA$242,0,$A15))*(([1]Calc_매장월인덱스!$B$2:$B$242*12+$A15) - ([1]Calc_매장월인덱스!$AD$2:$AD$242*12+[1]Calc_매장월인덱스!$AE$2:$AE$242)&gt;=6)),2),"-")</f>
        <v>99.050020449626402</v>
      </c>
      <c r="H15" s="15">
        <f t="shared" si="0"/>
        <v>0</v>
      </c>
    </row>
    <row r="16" spans="1:8" ht="17" x14ac:dyDescent="0.4">
      <c r="A16" s="10">
        <v>10</v>
      </c>
      <c r="B16" s="17" cm="1">
        <f t="array" ref="B16">SUMPRODUCT((ISNUMBER([1]Calc_매장월인덱스!Y$2:Y$242))*([1]Calc_매장월인덱스!AB$2:AB$242=0))</f>
        <v>218</v>
      </c>
      <c r="C16" s="18" cm="1">
        <f t="array" ref="C16">IFERROR(SUMPRODUCT(IFERROR([1]Calc_매장월인덱스!Y$2:Y$242*(ISNUMBER([1]Calc_매장월인덱스!Y$2:Y$242))*([1]Calc_매장월인덱스!AB$2:AB$242=0),0))/B16,"-")</f>
        <v>115.59456344220527</v>
      </c>
      <c r="D16" s="18" cm="1">
        <f t="array" ref="D16">IFERROR(_xlfn.AGGREGATE(17,6,[1]Calc_매장월인덱스!Y$2:Y$242/(([1]Calc_매장월인덱스!AB$2:AB$242=0)*ISNUMBER([1]Calc_매장월인덱스!Y$2:Y$242)),2),"-")</f>
        <v>115.39964097305686</v>
      </c>
      <c r="E16" s="14" cm="1">
        <f t="array" ref="E16">SUMPRODUCT((ISNUMBER(INDEX([1]Calc_매장월인덱스!$P$2:$AA$242,0,$A16)))*([1]Calc_매장월인덱스!$AB$2:$AB$242=0)*(([1]Calc_매장월인덱스!$B$2:$B$242*12+$A16) - ([1]Calc_매장월인덱스!$AD$2:$AD$242*12+[1]Calc_매장월인덱스!$AE$2:$AE$242)&gt;=6))</f>
        <v>218</v>
      </c>
      <c r="F16" s="12" cm="1">
        <f t="array" ref="F16">IFERROR(SUMPRODUCT(IFERROR(INDEX([1]Calc_매장월인덱스!$P$2:$AA$242,0,$A16)*(ISNUMBER(INDEX([1]Calc_매장월인덱스!$P$2:$AA$242,0,$A16)))*([1]Calc_매장월인덱스!$AB$2:$AB$242=0)*(([1]Calc_매장월인덱스!$B$2:$B$242*12+$A16) - ([1]Calc_매장월인덱스!$AD$2:$AD$242*12+[1]Calc_매장월인덱스!$AE$2:$AE$242)&gt;=6),0))/E16,"-")</f>
        <v>115.59456344220527</v>
      </c>
      <c r="G16" s="12" cm="1">
        <f t="array" ref="G16">IFERROR(_xlfn.AGGREGATE(17,6,INDEX([1]Calc_매장월인덱스!$P$2:$AA$242,0,$A16)/(([1]Calc_매장월인덱스!$AB$2:$AB$242=0)*ISNUMBER(INDEX([1]Calc_매장월인덱스!$P$2:$AA$242,0,$A16))*(([1]Calc_매장월인덱스!$B$2:$B$242*12+$A16) - ([1]Calc_매장월인덱스!$AD$2:$AD$242*12+[1]Calc_매장월인덱스!$AE$2:$AE$242)&gt;=6)),2),"-")</f>
        <v>115.39964097305686</v>
      </c>
      <c r="H16" s="15">
        <f t="shared" si="0"/>
        <v>0</v>
      </c>
    </row>
    <row r="17" spans="1:8" ht="17" x14ac:dyDescent="0.4">
      <c r="A17" s="10">
        <v>11</v>
      </c>
      <c r="B17" s="17" cm="1">
        <f t="array" ref="B17">SUMPRODUCT((ISNUMBER([1]Calc_매장월인덱스!Z$2:Z$242))*([1]Calc_매장월인덱스!AB$2:AB$242=0))</f>
        <v>218</v>
      </c>
      <c r="C17" s="18" cm="1">
        <f t="array" ref="C17">IFERROR(SUMPRODUCT(IFERROR([1]Calc_매장월인덱스!Z$2:Z$242*(ISNUMBER([1]Calc_매장월인덱스!Z$2:Z$242))*([1]Calc_매장월인덱스!AB$2:AB$242=0),0))/B17,"-")</f>
        <v>104.11251530615402</v>
      </c>
      <c r="D17" s="18" cm="1">
        <f t="array" ref="D17">IFERROR(_xlfn.AGGREGATE(17,6,[1]Calc_매장월인덱스!Z$2:Z$242/(([1]Calc_매장월인덱스!AB$2:AB$242=0)*ISNUMBER([1]Calc_매장월인덱스!Z$2:Z$242)),2),"-")</f>
        <v>104.08415155464837</v>
      </c>
      <c r="E17" s="14" cm="1">
        <f t="array" ref="E17">SUMPRODUCT((ISNUMBER(INDEX([1]Calc_매장월인덱스!$P$2:$AA$242,0,$A17)))*([1]Calc_매장월인덱스!$AB$2:$AB$242=0)*(([1]Calc_매장월인덱스!$B$2:$B$242*12+$A17) - ([1]Calc_매장월인덱스!$AD$2:$AD$242*12+[1]Calc_매장월인덱스!$AE$2:$AE$242)&gt;=6))</f>
        <v>218</v>
      </c>
      <c r="F17" s="12" cm="1">
        <f t="array" ref="F17">IFERROR(SUMPRODUCT(IFERROR(INDEX([1]Calc_매장월인덱스!$P$2:$AA$242,0,$A17)*(ISNUMBER(INDEX([1]Calc_매장월인덱스!$P$2:$AA$242,0,$A17)))*([1]Calc_매장월인덱스!$AB$2:$AB$242=0)*(([1]Calc_매장월인덱스!$B$2:$B$242*12+$A17) - ([1]Calc_매장월인덱스!$AD$2:$AD$242*12+[1]Calc_매장월인덱스!$AE$2:$AE$242)&gt;=6),0))/E17,"-")</f>
        <v>104.11251530615402</v>
      </c>
      <c r="G17" s="12" cm="1">
        <f t="array" ref="G17">IFERROR(_xlfn.AGGREGATE(17,6,INDEX([1]Calc_매장월인덱스!$P$2:$AA$242,0,$A17)/(([1]Calc_매장월인덱스!$AB$2:$AB$242=0)*ISNUMBER(INDEX([1]Calc_매장월인덱스!$P$2:$AA$242,0,$A17))*(([1]Calc_매장월인덱스!$B$2:$B$242*12+$A17) - ([1]Calc_매장월인덱스!$AD$2:$AD$242*12+[1]Calc_매장월인덱스!$AE$2:$AE$242)&gt;=6)),2),"-")</f>
        <v>104.08415155464837</v>
      </c>
      <c r="H17" s="15">
        <f t="shared" si="0"/>
        <v>0</v>
      </c>
    </row>
    <row r="18" spans="1:8" ht="17" x14ac:dyDescent="0.4">
      <c r="A18" s="10">
        <v>12</v>
      </c>
      <c r="B18" s="17" cm="1">
        <f t="array" ref="B18">SUMPRODUCT((ISNUMBER([1]Calc_매장월인덱스!AA$2:AA$242))*([1]Calc_매장월인덱스!AB$2:AB$242=0))</f>
        <v>218</v>
      </c>
      <c r="C18" s="18" cm="1">
        <f t="array" ref="C18">IFERROR(SUMPRODUCT(IFERROR([1]Calc_매장월인덱스!AA$2:AA$242*(ISNUMBER([1]Calc_매장월인덱스!AA$2:AA$242))*([1]Calc_매장월인덱스!AB$2:AB$242=0),0))/B18,"-")</f>
        <v>103.33184157392137</v>
      </c>
      <c r="D18" s="18" cm="1">
        <f t="array" ref="D18">IFERROR(_xlfn.AGGREGATE(17,6,[1]Calc_매장월인덱스!AA$2:AA$242/(([1]Calc_매장월인덱스!AB$2:AB$242=0)*ISNUMBER([1]Calc_매장월인덱스!AA$2:AA$242)),2),"-")</f>
        <v>102.19250985870701</v>
      </c>
      <c r="E18" s="14" cm="1">
        <f t="array" ref="E18">SUMPRODUCT((ISNUMBER(INDEX([1]Calc_매장월인덱스!$P$2:$AA$242,0,$A18)))*([1]Calc_매장월인덱스!$AB$2:$AB$242=0)*(([1]Calc_매장월인덱스!$B$2:$B$242*12+$A18) - ([1]Calc_매장월인덱스!$AD$2:$AD$242*12+[1]Calc_매장월인덱스!$AE$2:$AE$242)&gt;=6))</f>
        <v>218</v>
      </c>
      <c r="F18" s="12" cm="1">
        <f t="array" ref="F18">IFERROR(SUMPRODUCT(IFERROR(INDEX([1]Calc_매장월인덱스!$P$2:$AA$242,0,$A18)*(ISNUMBER(INDEX([1]Calc_매장월인덱스!$P$2:$AA$242,0,$A18)))*([1]Calc_매장월인덱스!$AB$2:$AB$242=0)*(([1]Calc_매장월인덱스!$B$2:$B$242*12+$A18) - ([1]Calc_매장월인덱스!$AD$2:$AD$242*12+[1]Calc_매장월인덱스!$AE$2:$AE$242)&gt;=6),0))/E18,"-")</f>
        <v>103.33184157392137</v>
      </c>
      <c r="G18" s="12" cm="1">
        <f t="array" ref="G18">IFERROR(_xlfn.AGGREGATE(17,6,INDEX([1]Calc_매장월인덱스!$P$2:$AA$242,0,$A18)/(([1]Calc_매장월인덱스!$AB$2:$AB$242=0)*ISNUMBER(INDEX([1]Calc_매장월인덱스!$P$2:$AA$242,0,$A18))*(([1]Calc_매장월인덱스!$B$2:$B$242*12+$A18) - ([1]Calc_매장월인덱스!$AD$2:$AD$242*12+[1]Calc_매장월인덱스!$AE$2:$AE$242)&gt;=6)),2),"-")</f>
        <v>102.19250985870701</v>
      </c>
      <c r="H18" s="15">
        <f t="shared" si="0"/>
        <v>0</v>
      </c>
    </row>
    <row r="20" spans="1:8" ht="17" x14ac:dyDescent="0.4">
      <c r="A20" s="19" t="s">
        <v>184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1967-35ED-4A05-8C27-91DA9139982D}">
  <dimension ref="A1:BK193"/>
  <sheetViews>
    <sheetView workbookViewId="0">
      <selection activeCell="I134" sqref="I134"/>
    </sheetView>
  </sheetViews>
  <sheetFormatPr defaultRowHeight="14.5" x14ac:dyDescent="0.4"/>
  <cols>
    <col min="1" max="1" width="29.3984375" customWidth="1"/>
    <col min="60" max="60" width="11.3984375" bestFit="1" customWidth="1"/>
    <col min="61" max="61" width="10.296875" bestFit="1" customWidth="1"/>
  </cols>
  <sheetData>
    <row r="1" spans="1:61" x14ac:dyDescent="0.4">
      <c r="A1" t="s">
        <v>172</v>
      </c>
      <c r="B1" s="5">
        <v>44348</v>
      </c>
      <c r="C1" s="5">
        <v>44378</v>
      </c>
      <c r="D1" s="5">
        <v>44409</v>
      </c>
      <c r="E1" s="5">
        <v>44440</v>
      </c>
      <c r="F1" s="5">
        <v>44470</v>
      </c>
      <c r="G1" s="5">
        <v>44501</v>
      </c>
      <c r="H1" s="5">
        <v>44531</v>
      </c>
      <c r="I1" s="5">
        <v>44562</v>
      </c>
      <c r="J1" s="5">
        <v>44593</v>
      </c>
      <c r="K1" s="5">
        <v>44621</v>
      </c>
      <c r="L1" s="5">
        <v>44652</v>
      </c>
      <c r="M1" s="5">
        <v>44682</v>
      </c>
      <c r="N1" s="5">
        <v>44713</v>
      </c>
      <c r="O1" s="5">
        <v>44743</v>
      </c>
      <c r="P1" s="5">
        <v>44774</v>
      </c>
      <c r="Q1" s="5">
        <v>44805</v>
      </c>
      <c r="R1" s="5">
        <v>44835</v>
      </c>
      <c r="S1" s="5">
        <v>44866</v>
      </c>
      <c r="T1" s="5">
        <v>44896</v>
      </c>
      <c r="U1" s="5">
        <v>44927</v>
      </c>
      <c r="V1" s="5">
        <v>44958</v>
      </c>
      <c r="W1" s="5">
        <v>44986</v>
      </c>
      <c r="X1" s="5">
        <v>45017</v>
      </c>
      <c r="Y1" s="5">
        <v>45047</v>
      </c>
      <c r="Z1" s="5">
        <v>45078</v>
      </c>
      <c r="AA1" s="5">
        <v>45108</v>
      </c>
      <c r="AB1" s="5">
        <v>45139</v>
      </c>
      <c r="AC1" s="5">
        <v>45170</v>
      </c>
      <c r="AD1" s="5">
        <v>45200</v>
      </c>
      <c r="AE1" s="5">
        <v>45231</v>
      </c>
      <c r="AF1" s="5">
        <v>45261</v>
      </c>
      <c r="AG1" s="5">
        <v>45292</v>
      </c>
      <c r="AH1" s="5">
        <v>45323</v>
      </c>
      <c r="AI1" s="5">
        <v>45352</v>
      </c>
      <c r="AJ1" s="5">
        <v>45383</v>
      </c>
      <c r="AK1" s="5">
        <v>45413</v>
      </c>
      <c r="AL1" s="5">
        <v>45444</v>
      </c>
      <c r="AM1" s="5">
        <v>45474</v>
      </c>
      <c r="AN1" s="5">
        <v>45505</v>
      </c>
      <c r="AO1" s="5">
        <v>45536</v>
      </c>
      <c r="AP1" s="5">
        <v>45566</v>
      </c>
      <c r="AQ1" s="5">
        <v>45597</v>
      </c>
      <c r="AR1" s="5">
        <v>45627</v>
      </c>
      <c r="AS1" s="5">
        <v>45658</v>
      </c>
      <c r="AT1" s="5">
        <v>45689</v>
      </c>
      <c r="AU1" s="5">
        <v>45717</v>
      </c>
      <c r="AV1" s="5">
        <v>45748</v>
      </c>
      <c r="AW1" s="5">
        <v>45778</v>
      </c>
      <c r="AX1" s="5">
        <v>45809</v>
      </c>
      <c r="AY1" s="5">
        <v>45839</v>
      </c>
      <c r="AZ1" s="5">
        <v>45870</v>
      </c>
      <c r="BA1" s="5">
        <v>45901</v>
      </c>
      <c r="BB1" s="5">
        <v>45931</v>
      </c>
      <c r="BC1" s="5">
        <v>45962</v>
      </c>
      <c r="BD1" s="5">
        <v>45992</v>
      </c>
      <c r="BE1" s="5">
        <v>46023</v>
      </c>
      <c r="BF1" s="5">
        <v>46054</v>
      </c>
      <c r="BG1" s="5">
        <v>46082</v>
      </c>
      <c r="BH1" s="5">
        <v>46113</v>
      </c>
      <c r="BI1" s="5">
        <v>46143</v>
      </c>
    </row>
    <row r="2" spans="1:61" x14ac:dyDescent="0.4">
      <c r="A2" t="s">
        <v>1</v>
      </c>
      <c r="B2" s="6">
        <v>193400</v>
      </c>
      <c r="C2" s="6">
        <v>7561200</v>
      </c>
      <c r="D2" s="6">
        <v>6431400</v>
      </c>
      <c r="E2" s="6">
        <v>8401000</v>
      </c>
      <c r="F2" s="6">
        <v>9178900</v>
      </c>
      <c r="G2" s="6">
        <v>7918000</v>
      </c>
      <c r="H2" s="6">
        <v>7795000</v>
      </c>
      <c r="I2" s="6">
        <v>6824100</v>
      </c>
      <c r="J2" s="6">
        <v>6134200</v>
      </c>
      <c r="K2" s="6">
        <v>7716900</v>
      </c>
      <c r="L2" s="6">
        <v>6987700</v>
      </c>
      <c r="M2" s="6">
        <v>7937400</v>
      </c>
      <c r="N2" s="6">
        <v>8624200</v>
      </c>
      <c r="O2" s="6">
        <v>9084500</v>
      </c>
      <c r="P2" s="6">
        <v>8553400</v>
      </c>
      <c r="Q2" s="6">
        <v>9049300</v>
      </c>
      <c r="R2" s="6">
        <v>9025800</v>
      </c>
      <c r="S2" s="6">
        <v>8478200</v>
      </c>
      <c r="T2" s="6">
        <v>7662100</v>
      </c>
      <c r="U2" s="6">
        <v>7313400</v>
      </c>
      <c r="V2" s="6">
        <v>6392700</v>
      </c>
      <c r="W2" s="6">
        <v>7458100</v>
      </c>
      <c r="X2" s="6">
        <v>7823300</v>
      </c>
      <c r="Y2" s="6">
        <v>9523600</v>
      </c>
      <c r="Z2" s="6">
        <v>8120450</v>
      </c>
      <c r="AA2" s="6">
        <v>8896850</v>
      </c>
      <c r="AB2" s="6">
        <v>7930450</v>
      </c>
      <c r="AC2" s="6">
        <v>7730050</v>
      </c>
      <c r="AD2" s="6">
        <v>8308350</v>
      </c>
      <c r="AE2" s="6">
        <v>8039450</v>
      </c>
      <c r="AF2" s="6">
        <v>6658900</v>
      </c>
      <c r="AG2" s="6">
        <v>8042150</v>
      </c>
      <c r="AH2" s="6">
        <v>7343550</v>
      </c>
      <c r="AI2" s="6">
        <v>8013100</v>
      </c>
      <c r="AJ2" s="6">
        <v>8572300</v>
      </c>
      <c r="AK2" s="6">
        <v>7700150</v>
      </c>
      <c r="AL2" s="6">
        <v>7368700</v>
      </c>
      <c r="AM2" s="6">
        <v>7751950</v>
      </c>
      <c r="AN2" s="6">
        <v>7486400</v>
      </c>
      <c r="AO2" s="6">
        <v>5874700</v>
      </c>
      <c r="AP2" s="6">
        <v>7656950</v>
      </c>
      <c r="AQ2" s="6">
        <v>7655950</v>
      </c>
      <c r="AR2" s="6">
        <v>7403150</v>
      </c>
      <c r="AS2" s="6">
        <v>6888050</v>
      </c>
      <c r="AT2" s="6">
        <v>6023950</v>
      </c>
      <c r="AU2" s="6">
        <v>7039850</v>
      </c>
      <c r="AV2" s="6">
        <v>7178950</v>
      </c>
      <c r="AW2" s="6">
        <v>7692850</v>
      </c>
      <c r="AX2" s="6">
        <v>7548250</v>
      </c>
      <c r="AY2" s="6">
        <v>6828650</v>
      </c>
      <c r="AZ2" s="6">
        <v>7331450</v>
      </c>
      <c r="BA2" s="6">
        <v>6538350</v>
      </c>
      <c r="BB2" s="6">
        <v>7767300</v>
      </c>
      <c r="BC2" s="6">
        <v>6271650</v>
      </c>
      <c r="BD2" s="6">
        <v>6644800</v>
      </c>
      <c r="BE2" s="6">
        <v>6189650</v>
      </c>
      <c r="BF2" s="6">
        <v>5298600</v>
      </c>
      <c r="BG2" s="6">
        <v>6216400</v>
      </c>
      <c r="BH2" s="6">
        <v>6160000</v>
      </c>
      <c r="BI2" s="6">
        <v>7042650</v>
      </c>
    </row>
    <row r="3" spans="1:61" x14ac:dyDescent="0.4">
      <c r="A3" t="s">
        <v>3</v>
      </c>
      <c r="B3" s="6">
        <v>113000</v>
      </c>
      <c r="C3" s="6">
        <v>5491900</v>
      </c>
      <c r="D3" s="6">
        <v>4113500</v>
      </c>
      <c r="E3" s="6">
        <v>4667000</v>
      </c>
      <c r="F3" s="6">
        <v>5822000</v>
      </c>
      <c r="G3" s="6">
        <v>4470000</v>
      </c>
      <c r="H3" s="6">
        <v>4047000</v>
      </c>
      <c r="I3" s="6">
        <v>4335500</v>
      </c>
      <c r="J3" s="6">
        <v>3899500</v>
      </c>
      <c r="K3" s="6">
        <v>4436500</v>
      </c>
      <c r="L3" s="6">
        <v>4610000</v>
      </c>
      <c r="M3" s="6">
        <v>5362500</v>
      </c>
      <c r="N3" s="6">
        <v>5093500</v>
      </c>
      <c r="O3" s="6">
        <v>6120000</v>
      </c>
      <c r="P3" s="6">
        <v>5770500</v>
      </c>
      <c r="Q3" s="6">
        <v>4870500</v>
      </c>
      <c r="R3" s="6">
        <v>5568500</v>
      </c>
      <c r="S3" s="6">
        <v>4891500</v>
      </c>
      <c r="T3" s="6">
        <v>4932500</v>
      </c>
      <c r="U3" s="6">
        <v>4945000</v>
      </c>
      <c r="V3" s="6">
        <v>4775000</v>
      </c>
      <c r="W3" s="6">
        <v>5387500</v>
      </c>
      <c r="X3" s="6">
        <v>5181000</v>
      </c>
      <c r="Y3" s="6">
        <v>6133500</v>
      </c>
      <c r="Z3" s="6">
        <v>6177940</v>
      </c>
      <c r="AA3" s="6">
        <v>6730430</v>
      </c>
      <c r="AB3" s="6">
        <v>6296470</v>
      </c>
      <c r="AC3" s="6">
        <v>5602680</v>
      </c>
      <c r="AD3" s="6">
        <v>6418450</v>
      </c>
      <c r="AE3" s="6">
        <v>6200880</v>
      </c>
      <c r="AF3" s="6">
        <v>5144830</v>
      </c>
      <c r="AG3" s="6">
        <v>5403310</v>
      </c>
      <c r="AH3" s="6">
        <v>5798720</v>
      </c>
      <c r="AI3" s="6">
        <v>6636980</v>
      </c>
      <c r="AJ3" s="6">
        <v>6814250</v>
      </c>
      <c r="AK3" s="6">
        <v>6928350</v>
      </c>
      <c r="AL3" s="6">
        <v>6564910</v>
      </c>
      <c r="AM3" s="6">
        <v>6889200</v>
      </c>
      <c r="AN3" s="6">
        <v>7081180</v>
      </c>
      <c r="AO3" s="6">
        <v>6578010</v>
      </c>
      <c r="AP3" s="6">
        <v>7097730</v>
      </c>
      <c r="AQ3" s="6">
        <v>6262690</v>
      </c>
      <c r="AR3" s="6">
        <v>5861120</v>
      </c>
      <c r="AS3" s="6">
        <v>6091150</v>
      </c>
      <c r="AT3" s="6">
        <v>5360980</v>
      </c>
      <c r="AU3" s="6">
        <v>6384280</v>
      </c>
      <c r="AV3" s="6">
        <v>6532930</v>
      </c>
      <c r="AW3" s="6">
        <v>7210560</v>
      </c>
      <c r="AX3" s="6">
        <v>5709830</v>
      </c>
      <c r="AY3" s="6">
        <v>2724440</v>
      </c>
      <c r="AZ3" s="6">
        <v>2161790</v>
      </c>
      <c r="BA3" s="6">
        <v>2528070</v>
      </c>
      <c r="BB3" s="6">
        <v>3050900</v>
      </c>
      <c r="BC3" s="6">
        <v>2858500</v>
      </c>
      <c r="BD3" s="6">
        <v>2609500</v>
      </c>
      <c r="BE3" s="6">
        <v>2651600</v>
      </c>
      <c r="BF3" s="6">
        <v>2816850</v>
      </c>
      <c r="BG3" s="6">
        <v>2941800</v>
      </c>
      <c r="BH3" s="6">
        <v>3025050</v>
      </c>
      <c r="BI3" s="6">
        <v>3320250</v>
      </c>
    </row>
    <row r="4" spans="1:61" x14ac:dyDescent="0.4">
      <c r="A4" t="s">
        <v>4</v>
      </c>
      <c r="B4" s="6">
        <v>305600</v>
      </c>
      <c r="C4" s="6">
        <v>14270700</v>
      </c>
      <c r="D4" s="6">
        <v>13036800</v>
      </c>
      <c r="E4" s="6">
        <v>12786500</v>
      </c>
      <c r="F4" s="6">
        <v>14478400</v>
      </c>
      <c r="G4" s="6">
        <v>13358100</v>
      </c>
      <c r="H4" s="6">
        <v>12859700</v>
      </c>
      <c r="I4" s="6">
        <v>13752200</v>
      </c>
      <c r="J4" s="6">
        <v>11892500</v>
      </c>
      <c r="K4" s="6">
        <v>13332300</v>
      </c>
      <c r="L4" s="6">
        <v>13992600</v>
      </c>
      <c r="M4" s="6">
        <v>14353400</v>
      </c>
      <c r="N4" s="6">
        <v>15844200</v>
      </c>
      <c r="O4" s="6">
        <v>16917500</v>
      </c>
      <c r="P4" s="6">
        <v>14601200</v>
      </c>
      <c r="Q4" s="6">
        <v>13746000</v>
      </c>
      <c r="R4" s="6">
        <v>14436200</v>
      </c>
      <c r="S4" s="6">
        <v>12438800</v>
      </c>
      <c r="T4" s="6">
        <v>11463000</v>
      </c>
      <c r="U4" s="6">
        <v>8277300</v>
      </c>
      <c r="V4" s="6">
        <v>8065000</v>
      </c>
      <c r="W4" s="6">
        <v>8258100</v>
      </c>
      <c r="X4" s="6">
        <v>8535500</v>
      </c>
      <c r="Y4" s="6">
        <v>9539200</v>
      </c>
      <c r="Z4" s="6">
        <v>8136900</v>
      </c>
      <c r="AA4" s="6">
        <v>9184400</v>
      </c>
      <c r="AB4" s="6">
        <v>8502700</v>
      </c>
      <c r="AC4" s="6">
        <v>8079900</v>
      </c>
      <c r="AD4" s="6">
        <v>8428400</v>
      </c>
      <c r="AE4" s="6">
        <v>7169900</v>
      </c>
      <c r="AF4" s="6">
        <v>7121350</v>
      </c>
      <c r="AG4" s="6">
        <v>6754950</v>
      </c>
      <c r="AH4" s="6">
        <v>5790600</v>
      </c>
      <c r="AI4" s="6">
        <v>7513100</v>
      </c>
      <c r="AJ4" s="6">
        <v>7705650</v>
      </c>
      <c r="AK4" s="6">
        <v>4774400</v>
      </c>
      <c r="AL4" s="6">
        <v>10181900</v>
      </c>
      <c r="AM4" s="6">
        <v>10065050</v>
      </c>
      <c r="AN4" s="6">
        <v>9834250</v>
      </c>
      <c r="AO4" s="6">
        <v>9351100</v>
      </c>
      <c r="AP4" s="6">
        <v>9130600</v>
      </c>
      <c r="AQ4" s="6">
        <v>9090000</v>
      </c>
      <c r="AR4" s="6">
        <v>9096200</v>
      </c>
      <c r="AS4" s="6">
        <v>9008450</v>
      </c>
      <c r="AT4" s="6">
        <v>7824700</v>
      </c>
      <c r="AU4" s="6">
        <v>9602000</v>
      </c>
      <c r="AV4" s="6">
        <v>9729600</v>
      </c>
      <c r="AW4" s="6">
        <v>10671600</v>
      </c>
      <c r="AX4" s="6">
        <v>10915300</v>
      </c>
      <c r="AY4" s="6">
        <v>10145600</v>
      </c>
      <c r="AZ4" s="6">
        <v>11044350</v>
      </c>
      <c r="BA4" s="6">
        <v>10258350</v>
      </c>
      <c r="BB4" s="6">
        <v>11712250</v>
      </c>
      <c r="BC4" s="6">
        <v>10532000</v>
      </c>
      <c r="BD4" s="6">
        <v>9301150</v>
      </c>
      <c r="BE4" s="6">
        <v>9505900</v>
      </c>
      <c r="BF4" s="6">
        <v>8455650</v>
      </c>
      <c r="BG4" s="6">
        <v>9206350</v>
      </c>
      <c r="BH4" s="6">
        <v>9705850</v>
      </c>
      <c r="BI4" s="6">
        <v>10438350</v>
      </c>
    </row>
    <row r="5" spans="1:61" x14ac:dyDescent="0.4">
      <c r="A5" t="s">
        <v>6</v>
      </c>
      <c r="B5" s="6">
        <v>225000</v>
      </c>
      <c r="C5" s="6">
        <v>5867000</v>
      </c>
      <c r="D5" s="6">
        <v>5567000</v>
      </c>
      <c r="E5" s="6">
        <v>6162000</v>
      </c>
      <c r="F5" s="6">
        <v>7681000</v>
      </c>
      <c r="G5" s="6">
        <v>6670500</v>
      </c>
      <c r="H5" s="6">
        <v>5813500</v>
      </c>
      <c r="I5" s="6">
        <v>5581500</v>
      </c>
      <c r="J5" s="6">
        <v>5312000</v>
      </c>
      <c r="K5" s="6">
        <v>5392000</v>
      </c>
      <c r="L5" s="6">
        <v>4931000</v>
      </c>
      <c r="M5" s="6">
        <v>5678500</v>
      </c>
      <c r="N5" s="6">
        <v>6105000</v>
      </c>
      <c r="O5" s="6">
        <v>6447000</v>
      </c>
      <c r="P5" s="6">
        <v>5832500</v>
      </c>
      <c r="Q5" s="6">
        <v>5707000</v>
      </c>
      <c r="R5" s="6">
        <v>6481000</v>
      </c>
      <c r="S5" s="6">
        <v>5419000</v>
      </c>
      <c r="T5" s="6">
        <v>5264000</v>
      </c>
      <c r="U5" s="6">
        <v>5257500</v>
      </c>
      <c r="V5" s="6">
        <v>4730500</v>
      </c>
      <c r="W5" s="6">
        <v>5123500</v>
      </c>
      <c r="X5" s="6">
        <v>5227500</v>
      </c>
      <c r="Y5" s="6">
        <v>5865500</v>
      </c>
      <c r="Z5" s="6">
        <v>5057450</v>
      </c>
      <c r="AA5" s="6">
        <v>5614050</v>
      </c>
      <c r="AB5" s="6">
        <v>5238610</v>
      </c>
      <c r="AC5" s="6">
        <v>5974410</v>
      </c>
      <c r="AD5" s="6">
        <v>6724500</v>
      </c>
      <c r="AE5" s="6">
        <v>6098790</v>
      </c>
      <c r="AF5" s="6">
        <v>5098390</v>
      </c>
      <c r="AG5" s="6">
        <v>5628600</v>
      </c>
      <c r="AH5" s="6">
        <v>5016810</v>
      </c>
      <c r="AI5" s="6">
        <v>5616080</v>
      </c>
      <c r="AJ5" s="6">
        <v>6219450</v>
      </c>
      <c r="AK5" s="6">
        <v>5831070</v>
      </c>
      <c r="AL5" s="6">
        <v>5898290</v>
      </c>
      <c r="AM5" s="6">
        <v>6246000</v>
      </c>
      <c r="AN5" s="6">
        <v>6401340</v>
      </c>
      <c r="AO5" s="6">
        <v>5763860</v>
      </c>
      <c r="AP5" s="6">
        <v>6276860</v>
      </c>
      <c r="AQ5" s="6">
        <v>5620420</v>
      </c>
      <c r="AR5" s="6">
        <v>5156120</v>
      </c>
      <c r="AS5" s="6">
        <v>4802940</v>
      </c>
      <c r="AT5" s="6">
        <v>4354520</v>
      </c>
      <c r="AU5" s="6">
        <v>5698950</v>
      </c>
      <c r="AV5" s="6">
        <v>5225270</v>
      </c>
      <c r="AW5" s="6">
        <v>6762780</v>
      </c>
      <c r="AX5" s="6">
        <v>6475860</v>
      </c>
      <c r="AY5" s="6">
        <v>6354480</v>
      </c>
      <c r="AZ5" s="6">
        <v>6235990</v>
      </c>
      <c r="BA5" s="6">
        <v>5561620</v>
      </c>
      <c r="BB5" s="6">
        <v>7159160</v>
      </c>
      <c r="BC5" s="6">
        <v>5962910</v>
      </c>
      <c r="BD5" s="6">
        <v>5575050</v>
      </c>
      <c r="BE5" s="6">
        <v>5582450</v>
      </c>
      <c r="BF5" s="6">
        <v>4919230</v>
      </c>
      <c r="BG5" s="6">
        <v>5623570</v>
      </c>
      <c r="BH5" s="6">
        <v>5664970</v>
      </c>
      <c r="BI5" s="6">
        <v>6726340</v>
      </c>
    </row>
    <row r="6" spans="1:61" x14ac:dyDescent="0.4">
      <c r="A6" t="s">
        <v>8</v>
      </c>
      <c r="B6" s="6">
        <v>101600</v>
      </c>
      <c r="C6" s="6">
        <v>5185300</v>
      </c>
      <c r="D6" s="6">
        <v>4164300</v>
      </c>
      <c r="E6" s="6">
        <v>4560600</v>
      </c>
      <c r="F6" s="6">
        <v>4321600</v>
      </c>
      <c r="G6" s="6">
        <v>3515800</v>
      </c>
      <c r="H6" s="6">
        <v>3466000</v>
      </c>
      <c r="I6" s="6">
        <v>3489500</v>
      </c>
      <c r="J6" s="6">
        <v>3586000</v>
      </c>
      <c r="K6" s="6">
        <v>3789500</v>
      </c>
      <c r="L6" s="6">
        <v>3863500</v>
      </c>
      <c r="M6" s="6">
        <v>3971500</v>
      </c>
      <c r="N6" s="6">
        <v>4249000</v>
      </c>
      <c r="O6" s="6">
        <v>4566500</v>
      </c>
      <c r="P6" s="6">
        <v>3899000</v>
      </c>
      <c r="Q6" s="6">
        <v>3981500</v>
      </c>
      <c r="R6" s="6">
        <v>4572000</v>
      </c>
      <c r="S6" s="6">
        <v>3944500</v>
      </c>
      <c r="T6" s="6">
        <v>4158500</v>
      </c>
      <c r="U6" s="6">
        <v>4148500</v>
      </c>
      <c r="V6" s="6">
        <v>3937500</v>
      </c>
      <c r="W6" s="6">
        <v>4201500</v>
      </c>
      <c r="X6" s="6">
        <v>4697000</v>
      </c>
      <c r="Y6" s="6">
        <v>5190500</v>
      </c>
      <c r="Z6" s="6">
        <v>5006420</v>
      </c>
      <c r="AA6" s="6">
        <v>6001260</v>
      </c>
      <c r="AB6" s="6">
        <v>5706060</v>
      </c>
      <c r="AC6" s="6">
        <v>5288220</v>
      </c>
      <c r="AD6" s="6">
        <v>5271510</v>
      </c>
      <c r="AE6" s="6">
        <v>5290660</v>
      </c>
      <c r="AF6" s="6">
        <v>5309700</v>
      </c>
      <c r="AG6" s="6">
        <v>4944390</v>
      </c>
      <c r="AH6" s="6">
        <v>4308510</v>
      </c>
      <c r="AI6" s="6">
        <v>4813890</v>
      </c>
      <c r="AJ6" s="6">
        <v>5253860</v>
      </c>
      <c r="AK6" s="6">
        <v>5049090</v>
      </c>
      <c r="AL6" s="6">
        <v>5400140</v>
      </c>
      <c r="AM6" s="6">
        <v>6134350</v>
      </c>
      <c r="AN6" s="6">
        <v>5507800</v>
      </c>
      <c r="AO6" s="6">
        <v>5957000</v>
      </c>
      <c r="AP6" s="6">
        <v>6200290</v>
      </c>
      <c r="AQ6" s="6">
        <v>5956510</v>
      </c>
      <c r="AR6" s="6">
        <v>6442380</v>
      </c>
      <c r="AS6" s="6">
        <v>5531420</v>
      </c>
      <c r="AT6" s="6">
        <v>4860050</v>
      </c>
      <c r="AU6" s="6">
        <v>5984860</v>
      </c>
      <c r="AV6" s="6">
        <v>5844820</v>
      </c>
      <c r="AW6" s="6">
        <v>6767650</v>
      </c>
      <c r="AX6" s="6">
        <v>6254650</v>
      </c>
      <c r="AY6" s="6">
        <v>6135770</v>
      </c>
      <c r="AZ6" s="6">
        <v>6022900</v>
      </c>
      <c r="BA6" s="6">
        <v>5959750</v>
      </c>
      <c r="BB6" s="6">
        <v>6625130</v>
      </c>
      <c r="BC6" s="6">
        <v>6223620</v>
      </c>
      <c r="BD6" s="6">
        <v>5774800</v>
      </c>
      <c r="BE6" s="6">
        <v>5348430</v>
      </c>
      <c r="BF6" s="6">
        <v>5077690</v>
      </c>
      <c r="BG6" s="6">
        <v>5407950</v>
      </c>
      <c r="BH6" s="6">
        <v>5626210</v>
      </c>
      <c r="BI6" s="6">
        <v>6951900</v>
      </c>
    </row>
    <row r="7" spans="1:61" x14ac:dyDescent="0.4">
      <c r="A7" t="s">
        <v>10</v>
      </c>
      <c r="B7" s="6">
        <v>135400</v>
      </c>
      <c r="C7" s="6">
        <v>5622700</v>
      </c>
      <c r="D7" s="6">
        <v>5475200</v>
      </c>
      <c r="E7" s="6">
        <v>5693800</v>
      </c>
      <c r="F7" s="6">
        <v>6121600</v>
      </c>
      <c r="G7" s="6">
        <v>5632500</v>
      </c>
      <c r="H7" s="6">
        <v>5784200</v>
      </c>
      <c r="I7" s="6">
        <v>5609700</v>
      </c>
      <c r="J7" s="6">
        <v>4845400</v>
      </c>
      <c r="K7" s="6">
        <v>5985000</v>
      </c>
      <c r="L7" s="6">
        <v>5982400</v>
      </c>
      <c r="M7" s="6">
        <v>6652800</v>
      </c>
      <c r="N7" s="6">
        <v>7034000</v>
      </c>
      <c r="O7" s="6">
        <v>7942000</v>
      </c>
      <c r="P7" s="6">
        <v>7378900</v>
      </c>
      <c r="Q7" s="6">
        <v>6800800</v>
      </c>
      <c r="R7" s="6">
        <v>7920400</v>
      </c>
      <c r="S7" s="6">
        <v>6790000</v>
      </c>
      <c r="T7" s="6">
        <v>7096900</v>
      </c>
      <c r="U7" s="6">
        <v>6667800</v>
      </c>
      <c r="V7" s="6">
        <v>6378300</v>
      </c>
      <c r="W7" s="6">
        <v>6225700</v>
      </c>
      <c r="X7" s="6">
        <v>6767500</v>
      </c>
      <c r="Y7" s="6">
        <v>7858400</v>
      </c>
      <c r="Z7" s="6">
        <v>7598700</v>
      </c>
      <c r="AA7" s="6">
        <v>8510500</v>
      </c>
      <c r="AB7" s="6">
        <v>7465500</v>
      </c>
      <c r="AC7" s="6">
        <v>7789400</v>
      </c>
      <c r="AD7" s="6">
        <v>8231900</v>
      </c>
      <c r="AE7" s="6">
        <v>7505500</v>
      </c>
      <c r="AF7" s="6">
        <v>8696130</v>
      </c>
      <c r="AG7" s="6">
        <v>7062100</v>
      </c>
      <c r="AH7" s="6">
        <v>6631730</v>
      </c>
      <c r="AI7" s="6">
        <v>7402700</v>
      </c>
      <c r="AJ7" s="6">
        <v>8324160</v>
      </c>
      <c r="AK7" s="6">
        <v>6090380</v>
      </c>
      <c r="AL7" s="6">
        <v>3905140</v>
      </c>
      <c r="AM7" s="6">
        <v>4191900</v>
      </c>
      <c r="AN7" s="6">
        <v>4038270</v>
      </c>
      <c r="AO7" s="6">
        <v>3808730</v>
      </c>
      <c r="AP7" s="6">
        <v>4437330</v>
      </c>
      <c r="AQ7" s="6">
        <v>3889830</v>
      </c>
      <c r="AR7" s="6">
        <v>3729130</v>
      </c>
      <c r="AS7" s="6">
        <v>3034620</v>
      </c>
      <c r="AT7" s="6">
        <v>2887050</v>
      </c>
      <c r="AU7" s="6">
        <v>3192250</v>
      </c>
      <c r="AV7" s="6">
        <v>2118610</v>
      </c>
      <c r="AW7" s="6">
        <v>3251750</v>
      </c>
      <c r="AX7" s="6">
        <v>3385920</v>
      </c>
      <c r="AY7" s="6">
        <v>3426980</v>
      </c>
      <c r="AZ7" s="6">
        <v>3532330</v>
      </c>
      <c r="BA7" s="6">
        <v>3760850</v>
      </c>
      <c r="BB7" s="6">
        <v>4398100</v>
      </c>
      <c r="BC7" s="6">
        <v>3980300</v>
      </c>
      <c r="BD7" s="6">
        <v>4512950</v>
      </c>
      <c r="BE7" s="6">
        <v>4047600</v>
      </c>
      <c r="BF7" s="6">
        <v>3713800</v>
      </c>
      <c r="BG7" s="6">
        <v>4334550</v>
      </c>
      <c r="BH7" s="6">
        <v>4528600</v>
      </c>
      <c r="BI7" s="6">
        <v>5410950</v>
      </c>
    </row>
    <row r="8" spans="1:61" x14ac:dyDescent="0.4">
      <c r="A8" t="s">
        <v>11</v>
      </c>
      <c r="B8" s="6">
        <v>232000</v>
      </c>
      <c r="C8" s="6">
        <v>8519000</v>
      </c>
      <c r="D8" s="6">
        <v>7571000</v>
      </c>
      <c r="E8" s="6">
        <v>8082500</v>
      </c>
      <c r="F8" s="6">
        <v>8238000</v>
      </c>
      <c r="G8" s="6">
        <v>6528500</v>
      </c>
      <c r="H8" s="6">
        <v>6507500</v>
      </c>
      <c r="I8" s="6">
        <v>6164000</v>
      </c>
      <c r="J8" s="6">
        <v>6100000</v>
      </c>
      <c r="K8" s="6">
        <v>6835000</v>
      </c>
      <c r="L8" s="6">
        <v>6756000</v>
      </c>
      <c r="M8" s="6">
        <v>7323000</v>
      </c>
      <c r="N8" s="6">
        <v>7691500</v>
      </c>
      <c r="O8" s="6">
        <v>9214500</v>
      </c>
      <c r="P8" s="6">
        <v>8276000</v>
      </c>
      <c r="Q8" s="6">
        <v>8342500</v>
      </c>
      <c r="R8" s="6">
        <v>8444000</v>
      </c>
      <c r="S8" s="6">
        <v>7228500</v>
      </c>
      <c r="T8" s="6">
        <v>7708500</v>
      </c>
      <c r="U8" s="6">
        <v>7278000</v>
      </c>
      <c r="V8" s="6">
        <v>7083500</v>
      </c>
      <c r="W8" s="6">
        <v>8135500</v>
      </c>
      <c r="X8" s="6">
        <v>8787000</v>
      </c>
      <c r="Y8" s="6">
        <v>9587000</v>
      </c>
      <c r="Z8" s="6">
        <v>9329400</v>
      </c>
      <c r="AA8" s="6">
        <v>10312650</v>
      </c>
      <c r="AB8" s="6">
        <v>9135950</v>
      </c>
      <c r="AC8" s="6">
        <v>9564100</v>
      </c>
      <c r="AD8" s="6">
        <v>10192650</v>
      </c>
      <c r="AE8" s="6">
        <v>9283250</v>
      </c>
      <c r="AF8" s="6">
        <v>9728620</v>
      </c>
      <c r="AG8" s="6">
        <v>8951310</v>
      </c>
      <c r="AH8" s="6">
        <v>7716310</v>
      </c>
      <c r="AI8" s="6">
        <v>9159570</v>
      </c>
      <c r="AJ8" s="6">
        <v>7272460</v>
      </c>
      <c r="AK8" s="6">
        <v>6975130</v>
      </c>
      <c r="AL8" s="6">
        <v>7322570</v>
      </c>
      <c r="AM8" s="6">
        <v>7876880</v>
      </c>
      <c r="AN8" s="6">
        <v>7449240</v>
      </c>
      <c r="AO8" s="6">
        <v>7060980</v>
      </c>
      <c r="AP8" s="6">
        <v>7673890</v>
      </c>
      <c r="AQ8" s="6">
        <v>6579640</v>
      </c>
      <c r="AR8" s="6">
        <v>6457640</v>
      </c>
      <c r="AS8" s="6">
        <v>6277840</v>
      </c>
      <c r="AT8" s="6">
        <v>5647560</v>
      </c>
      <c r="AU8" s="6">
        <v>6659820</v>
      </c>
      <c r="AV8" s="6">
        <v>6305990</v>
      </c>
      <c r="AW8" s="6">
        <v>7502260</v>
      </c>
      <c r="AX8" s="6">
        <v>7933620</v>
      </c>
      <c r="AY8" s="6">
        <v>7291430</v>
      </c>
      <c r="AZ8" s="6">
        <v>6983520</v>
      </c>
      <c r="BA8" s="6">
        <v>6561910</v>
      </c>
      <c r="BB8" s="6">
        <v>7633680</v>
      </c>
      <c r="BC8" s="6">
        <v>7027210</v>
      </c>
      <c r="BD8" s="6">
        <v>6319060</v>
      </c>
      <c r="BE8" s="6">
        <v>6484900</v>
      </c>
      <c r="BF8" s="6">
        <v>5688630</v>
      </c>
      <c r="BG8" s="6">
        <v>6502630</v>
      </c>
      <c r="BH8" s="6">
        <v>6115690</v>
      </c>
      <c r="BI8" s="6">
        <v>7152950</v>
      </c>
    </row>
    <row r="9" spans="1:61" x14ac:dyDescent="0.4">
      <c r="A9" t="s">
        <v>12</v>
      </c>
      <c r="B9" s="6"/>
      <c r="C9" s="6">
        <v>493500</v>
      </c>
      <c r="D9" s="6">
        <v>364500</v>
      </c>
      <c r="E9" s="6">
        <v>360500</v>
      </c>
      <c r="F9" s="6">
        <v>517000</v>
      </c>
      <c r="G9" s="6">
        <v>416000</v>
      </c>
      <c r="H9" s="6">
        <v>484500</v>
      </c>
      <c r="I9" s="6">
        <v>396000</v>
      </c>
      <c r="J9" s="6">
        <v>449000</v>
      </c>
      <c r="K9" s="6">
        <v>603000</v>
      </c>
      <c r="L9" s="6">
        <v>647500</v>
      </c>
      <c r="M9" s="6">
        <v>843500</v>
      </c>
      <c r="N9" s="6">
        <v>866500</v>
      </c>
      <c r="O9" s="6">
        <v>1007000</v>
      </c>
      <c r="P9" s="6">
        <v>858000</v>
      </c>
      <c r="Q9" s="6">
        <v>889000</v>
      </c>
      <c r="R9" s="6">
        <v>789000</v>
      </c>
      <c r="S9" s="6">
        <v>631500</v>
      </c>
      <c r="T9" s="6">
        <v>537000</v>
      </c>
      <c r="U9" s="6">
        <v>492500</v>
      </c>
      <c r="V9" s="6">
        <v>433500</v>
      </c>
      <c r="W9" s="6">
        <v>463500</v>
      </c>
      <c r="X9" s="6">
        <v>580000</v>
      </c>
      <c r="Y9" s="6">
        <v>608500</v>
      </c>
      <c r="Z9" s="6">
        <v>680500</v>
      </c>
      <c r="AA9" s="6">
        <v>1179500</v>
      </c>
      <c r="AB9" s="6">
        <v>1033000</v>
      </c>
      <c r="AC9" s="6">
        <v>1140500</v>
      </c>
      <c r="AD9" s="6">
        <v>960000</v>
      </c>
      <c r="AE9" s="6">
        <v>1120000</v>
      </c>
      <c r="AF9" s="6">
        <v>1031500</v>
      </c>
      <c r="AG9" s="6">
        <v>957500</v>
      </c>
      <c r="AH9" s="6">
        <v>865000</v>
      </c>
      <c r="AI9" s="6">
        <v>1174000</v>
      </c>
      <c r="AJ9" s="6">
        <v>929500</v>
      </c>
      <c r="AK9" s="6">
        <v>803500</v>
      </c>
      <c r="AL9" s="6">
        <v>652000</v>
      </c>
      <c r="AM9" s="6">
        <v>971000</v>
      </c>
      <c r="AN9" s="6">
        <v>952000</v>
      </c>
      <c r="AO9" s="6">
        <v>1035000</v>
      </c>
      <c r="AP9" s="6">
        <v>950500</v>
      </c>
      <c r="AQ9" s="6">
        <v>969000</v>
      </c>
      <c r="AR9" s="6">
        <v>907000</v>
      </c>
      <c r="AS9" s="6">
        <v>971500</v>
      </c>
      <c r="AT9" s="6">
        <v>613500</v>
      </c>
      <c r="AU9" s="6">
        <v>814500</v>
      </c>
      <c r="AV9" s="6">
        <v>806000</v>
      </c>
      <c r="AW9" s="6">
        <v>1045500</v>
      </c>
      <c r="AX9" s="6">
        <v>1048000</v>
      </c>
      <c r="AY9" s="6">
        <v>970000</v>
      </c>
      <c r="AZ9" s="6">
        <v>1004000</v>
      </c>
      <c r="BA9" s="6">
        <v>756000</v>
      </c>
      <c r="BB9" s="6">
        <v>921500</v>
      </c>
      <c r="BC9" s="6">
        <v>1027000</v>
      </c>
      <c r="BD9" s="6">
        <v>981000</v>
      </c>
      <c r="BE9" s="6">
        <v>819000</v>
      </c>
      <c r="BF9" s="6">
        <v>934500</v>
      </c>
      <c r="BG9" s="6">
        <v>775000</v>
      </c>
      <c r="BH9" s="6">
        <v>759500</v>
      </c>
      <c r="BI9" s="6">
        <v>894500</v>
      </c>
    </row>
    <row r="10" spans="1:61" x14ac:dyDescent="0.4">
      <c r="A10" t="s">
        <v>13</v>
      </c>
      <c r="B10" s="6">
        <v>89000</v>
      </c>
      <c r="C10" s="6">
        <v>5686000</v>
      </c>
      <c r="D10" s="6">
        <v>5002500</v>
      </c>
      <c r="E10" s="6">
        <v>5012500</v>
      </c>
      <c r="F10" s="6">
        <v>5860000</v>
      </c>
      <c r="G10" s="6">
        <v>5140000</v>
      </c>
      <c r="H10" s="6">
        <v>5181500</v>
      </c>
      <c r="I10" s="6">
        <v>5370500</v>
      </c>
      <c r="J10" s="6">
        <v>4572000</v>
      </c>
      <c r="K10" s="6">
        <v>5852500</v>
      </c>
      <c r="L10" s="6">
        <v>5475000</v>
      </c>
      <c r="M10" s="6">
        <v>5232500</v>
      </c>
      <c r="N10" s="6">
        <v>6455000</v>
      </c>
      <c r="O10" s="6">
        <v>6301500</v>
      </c>
      <c r="P10" s="6">
        <v>6689500</v>
      </c>
      <c r="Q10" s="6">
        <v>5766500</v>
      </c>
      <c r="R10" s="6">
        <v>6628000</v>
      </c>
      <c r="S10" s="6">
        <v>6465000</v>
      </c>
      <c r="T10" s="6">
        <v>6007000</v>
      </c>
      <c r="U10" s="6">
        <v>5497500</v>
      </c>
      <c r="V10" s="6">
        <v>5549000</v>
      </c>
      <c r="W10" s="6">
        <v>6489500</v>
      </c>
      <c r="X10" s="6">
        <v>5716500</v>
      </c>
      <c r="Y10" s="6">
        <v>6931500</v>
      </c>
      <c r="Z10" s="6">
        <v>6094500</v>
      </c>
      <c r="AA10" s="6">
        <v>6557500</v>
      </c>
      <c r="AB10" s="6">
        <v>4508500</v>
      </c>
      <c r="AC10" s="6">
        <v>6401500</v>
      </c>
      <c r="AD10" s="6">
        <v>7132000</v>
      </c>
      <c r="AE10" s="6">
        <v>6379500</v>
      </c>
      <c r="AF10" s="6">
        <v>6707790</v>
      </c>
      <c r="AG10" s="6">
        <v>7199400</v>
      </c>
      <c r="AH10" s="6">
        <v>6548140</v>
      </c>
      <c r="AI10" s="6">
        <v>7695220</v>
      </c>
      <c r="AJ10" s="6">
        <v>7865860</v>
      </c>
      <c r="AK10" s="6">
        <v>7285940</v>
      </c>
      <c r="AL10" s="6">
        <v>6999740</v>
      </c>
      <c r="AM10" s="6">
        <v>7246850</v>
      </c>
      <c r="AN10" s="6">
        <v>6994320</v>
      </c>
      <c r="AO10" s="6">
        <v>6715340</v>
      </c>
      <c r="AP10" s="6">
        <v>6370430</v>
      </c>
      <c r="AQ10" s="6">
        <v>6443870</v>
      </c>
      <c r="AR10" s="6">
        <v>6394440</v>
      </c>
      <c r="AS10" s="6">
        <v>6957680</v>
      </c>
      <c r="AT10" s="6">
        <v>5623120</v>
      </c>
      <c r="AU10" s="6">
        <v>7082690</v>
      </c>
      <c r="AV10" s="6">
        <v>7182230</v>
      </c>
      <c r="AW10" s="6">
        <v>7384690</v>
      </c>
      <c r="AX10" s="6">
        <v>7499740</v>
      </c>
      <c r="AY10" s="6">
        <v>7155340</v>
      </c>
      <c r="AZ10" s="6">
        <v>7272910</v>
      </c>
      <c r="BA10" s="6">
        <v>6600190</v>
      </c>
      <c r="BB10" s="6">
        <v>7701240</v>
      </c>
      <c r="BC10" s="6">
        <v>7456340</v>
      </c>
      <c r="BD10" s="6">
        <v>7102410</v>
      </c>
      <c r="BE10" s="6">
        <v>6589380</v>
      </c>
      <c r="BF10" s="6">
        <v>6649300</v>
      </c>
      <c r="BG10" s="6">
        <v>7280680</v>
      </c>
      <c r="BH10" s="6">
        <v>6787020</v>
      </c>
      <c r="BI10" s="6">
        <v>8222690</v>
      </c>
    </row>
    <row r="11" spans="1:61" x14ac:dyDescent="0.4">
      <c r="A11" t="s">
        <v>15</v>
      </c>
      <c r="B11" s="6"/>
      <c r="C11" s="6"/>
      <c r="D11" s="6"/>
      <c r="E11" s="6"/>
      <c r="F11" s="6"/>
      <c r="G11" s="6"/>
      <c r="H11" s="6"/>
      <c r="I11" s="6">
        <v>1024500</v>
      </c>
      <c r="J11" s="6">
        <v>3038000</v>
      </c>
      <c r="K11" s="6">
        <v>3760500</v>
      </c>
      <c r="L11" s="6">
        <v>4223000</v>
      </c>
      <c r="M11" s="6">
        <v>5134000</v>
      </c>
      <c r="N11" s="6">
        <v>6009000</v>
      </c>
      <c r="O11" s="6">
        <v>6428000</v>
      </c>
      <c r="P11" s="6">
        <v>7036500</v>
      </c>
      <c r="Q11" s="6">
        <v>6246000</v>
      </c>
      <c r="R11" s="6">
        <v>6306500</v>
      </c>
      <c r="S11" s="6">
        <v>5716000</v>
      </c>
      <c r="T11" s="6">
        <v>5781000</v>
      </c>
      <c r="U11" s="6">
        <v>6321500</v>
      </c>
      <c r="V11" s="6">
        <v>5659500</v>
      </c>
      <c r="W11" s="6">
        <v>6860500</v>
      </c>
      <c r="X11" s="6">
        <v>5979500</v>
      </c>
      <c r="Y11" s="6">
        <v>6769500</v>
      </c>
      <c r="Z11" s="6">
        <v>6398200</v>
      </c>
      <c r="AA11" s="6">
        <v>7743300</v>
      </c>
      <c r="AB11" s="6">
        <v>6719000</v>
      </c>
      <c r="AC11" s="6">
        <v>6854300</v>
      </c>
      <c r="AD11" s="6">
        <v>6809350</v>
      </c>
      <c r="AE11" s="6">
        <v>6178650</v>
      </c>
      <c r="AF11" s="6">
        <v>5129650</v>
      </c>
      <c r="AG11" s="6">
        <v>5698700</v>
      </c>
      <c r="AH11" s="6">
        <v>4507150</v>
      </c>
      <c r="AI11" s="6">
        <v>4849300</v>
      </c>
      <c r="AJ11" s="6">
        <v>5109550</v>
      </c>
      <c r="AK11" s="6">
        <v>4821150</v>
      </c>
      <c r="AL11" s="6">
        <v>5158500</v>
      </c>
      <c r="AM11" s="6">
        <v>5891250</v>
      </c>
      <c r="AN11" s="6">
        <v>5184100</v>
      </c>
      <c r="AO11" s="6">
        <v>5209750</v>
      </c>
      <c r="AP11" s="6">
        <v>5461700</v>
      </c>
      <c r="AQ11" s="6">
        <v>5078200</v>
      </c>
      <c r="AR11" s="6">
        <v>5342150</v>
      </c>
      <c r="AS11" s="6">
        <v>5050200</v>
      </c>
      <c r="AT11" s="6">
        <v>4298150</v>
      </c>
      <c r="AU11" s="6">
        <v>4202600</v>
      </c>
      <c r="AV11" s="6">
        <v>5546900</v>
      </c>
      <c r="AW11" s="6">
        <v>6358450</v>
      </c>
      <c r="AX11" s="6">
        <v>5739450</v>
      </c>
      <c r="AY11" s="6">
        <v>6103800</v>
      </c>
      <c r="AZ11" s="6">
        <v>6312250</v>
      </c>
      <c r="BA11" s="6">
        <v>6232300</v>
      </c>
      <c r="BB11" s="6">
        <v>6727300</v>
      </c>
      <c r="BC11" s="6">
        <v>5403550</v>
      </c>
      <c r="BD11" s="6">
        <v>5090950</v>
      </c>
      <c r="BE11" s="6">
        <v>4663800</v>
      </c>
      <c r="BF11" s="6">
        <v>4691150</v>
      </c>
      <c r="BG11" s="6">
        <v>4864450</v>
      </c>
      <c r="BH11" s="6">
        <v>5300200</v>
      </c>
      <c r="BI11" s="6">
        <v>5874950</v>
      </c>
    </row>
    <row r="12" spans="1:61" x14ac:dyDescent="0.4">
      <c r="A12" t="s">
        <v>16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724690</v>
      </c>
      <c r="T12" s="6">
        <v>3796220</v>
      </c>
      <c r="U12" s="6">
        <v>4466630</v>
      </c>
      <c r="V12" s="6">
        <v>4432000</v>
      </c>
      <c r="W12" s="6">
        <v>5810000</v>
      </c>
      <c r="X12" s="6">
        <v>6103500</v>
      </c>
      <c r="Y12" s="6">
        <v>6196000</v>
      </c>
      <c r="Z12" s="6">
        <v>6172500</v>
      </c>
      <c r="AA12" s="6">
        <v>7859000</v>
      </c>
      <c r="AB12" s="6">
        <v>7071000</v>
      </c>
      <c r="AC12" s="6">
        <v>6970000</v>
      </c>
      <c r="AD12" s="6">
        <v>7158000</v>
      </c>
      <c r="AE12" s="6">
        <v>6975780</v>
      </c>
      <c r="AF12" s="6">
        <v>6626070</v>
      </c>
      <c r="AG12" s="6">
        <v>6271020</v>
      </c>
      <c r="AH12" s="6">
        <v>5743010</v>
      </c>
      <c r="AI12" s="6">
        <v>6650250</v>
      </c>
      <c r="AJ12" s="6">
        <v>6668680</v>
      </c>
      <c r="AK12" s="6">
        <v>6766920</v>
      </c>
      <c r="AL12" s="6">
        <v>6305960</v>
      </c>
      <c r="AM12" s="6">
        <v>8553280</v>
      </c>
      <c r="AN12" s="6">
        <v>7604290</v>
      </c>
      <c r="AO12" s="6">
        <v>7373650</v>
      </c>
      <c r="AP12" s="6">
        <v>7781070</v>
      </c>
      <c r="AQ12" s="6">
        <v>7065200</v>
      </c>
      <c r="AR12" s="6">
        <v>7229070</v>
      </c>
      <c r="AS12" s="6">
        <v>7472630</v>
      </c>
      <c r="AT12" s="6">
        <v>5801400</v>
      </c>
      <c r="AU12" s="6">
        <v>6112000</v>
      </c>
      <c r="AV12" s="6">
        <v>7391060</v>
      </c>
      <c r="AW12" s="6">
        <v>7463680</v>
      </c>
      <c r="AX12" s="6">
        <v>7316800</v>
      </c>
      <c r="AY12" s="6">
        <v>7441710</v>
      </c>
      <c r="AZ12" s="6">
        <v>7568330</v>
      </c>
      <c r="BA12" s="6">
        <v>6919420</v>
      </c>
      <c r="BB12" s="6">
        <v>8074430</v>
      </c>
      <c r="BC12" s="6">
        <v>7907860</v>
      </c>
      <c r="BD12" s="6">
        <v>7176720</v>
      </c>
      <c r="BE12" s="6">
        <v>7894170</v>
      </c>
      <c r="BF12" s="6">
        <v>7549070</v>
      </c>
      <c r="BG12" s="6">
        <v>7424070</v>
      </c>
      <c r="BH12" s="6">
        <v>7803150</v>
      </c>
      <c r="BI12" s="6">
        <v>7426530</v>
      </c>
    </row>
    <row r="13" spans="1:61" x14ac:dyDescent="0.4">
      <c r="A13" t="s">
        <v>17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>
        <v>252630</v>
      </c>
      <c r="AM13" s="6">
        <v>2815040</v>
      </c>
      <c r="AN13" s="6">
        <v>2979770</v>
      </c>
      <c r="AO13" s="6">
        <v>4058690</v>
      </c>
      <c r="AP13" s="6">
        <v>4244670</v>
      </c>
      <c r="AQ13" s="6">
        <v>3901170</v>
      </c>
      <c r="AR13" s="6">
        <v>4137000</v>
      </c>
      <c r="AS13" s="6">
        <v>4029740</v>
      </c>
      <c r="AT13" s="6">
        <v>3456300</v>
      </c>
      <c r="AU13" s="6">
        <v>4217440</v>
      </c>
      <c r="AV13" s="6">
        <v>3606060</v>
      </c>
      <c r="AW13" s="6">
        <v>4572480</v>
      </c>
      <c r="AX13" s="6">
        <v>3881900</v>
      </c>
      <c r="AY13" s="6">
        <v>3201480</v>
      </c>
      <c r="AZ13" s="6">
        <v>3308240</v>
      </c>
      <c r="BA13" s="6">
        <v>4875210</v>
      </c>
      <c r="BB13" s="6">
        <v>5071500</v>
      </c>
      <c r="BC13" s="6">
        <v>4550800</v>
      </c>
      <c r="BD13" s="6">
        <v>4996700</v>
      </c>
      <c r="BE13" s="6">
        <v>4120100</v>
      </c>
      <c r="BF13" s="6">
        <v>4858400</v>
      </c>
      <c r="BG13" s="6">
        <v>5393000</v>
      </c>
      <c r="BH13" s="6">
        <v>4732000</v>
      </c>
      <c r="BI13" s="6">
        <v>4822200</v>
      </c>
    </row>
    <row r="14" spans="1:61" x14ac:dyDescent="0.4">
      <c r="A14" t="s">
        <v>18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>
        <v>2901360</v>
      </c>
      <c r="AY14" s="6">
        <v>3114520</v>
      </c>
      <c r="AZ14" s="6">
        <v>3147610</v>
      </c>
      <c r="BA14" s="6">
        <v>3018930</v>
      </c>
      <c r="BB14" s="6">
        <v>3959300</v>
      </c>
      <c r="BC14" s="6">
        <v>3766160</v>
      </c>
      <c r="BD14" s="6">
        <v>3730110</v>
      </c>
      <c r="BE14" s="6">
        <v>3741410</v>
      </c>
      <c r="BF14" s="6">
        <v>3501570</v>
      </c>
      <c r="BG14" s="6">
        <v>3800870</v>
      </c>
      <c r="BH14" s="6">
        <v>4108020</v>
      </c>
      <c r="BI14" s="6">
        <v>4763630</v>
      </c>
    </row>
    <row r="15" spans="1:61" x14ac:dyDescent="0.4">
      <c r="A15" t="s">
        <v>19</v>
      </c>
      <c r="AW15" s="6"/>
      <c r="AX15" s="6"/>
      <c r="AY15" s="6">
        <v>579050</v>
      </c>
      <c r="AZ15" s="6">
        <v>2577160</v>
      </c>
      <c r="BA15" s="6">
        <v>2606630</v>
      </c>
      <c r="BB15" s="6">
        <v>3332850</v>
      </c>
      <c r="BC15" s="6">
        <v>3206000</v>
      </c>
      <c r="BD15" s="6">
        <v>3063000</v>
      </c>
      <c r="BE15" s="6">
        <v>2495250</v>
      </c>
      <c r="BF15" s="6">
        <v>2861750</v>
      </c>
      <c r="BG15" s="6">
        <v>3129350</v>
      </c>
      <c r="BH15" s="6">
        <v>3389500</v>
      </c>
      <c r="BI15" s="6">
        <v>3566500</v>
      </c>
    </row>
    <row r="16" spans="1:61" x14ac:dyDescent="0.4">
      <c r="A16" t="s">
        <v>156</v>
      </c>
      <c r="AX16" s="6"/>
      <c r="AY16" s="6"/>
      <c r="AZ16" s="6"/>
      <c r="BA16" s="6"/>
      <c r="BB16" s="6"/>
      <c r="BC16" s="6"/>
      <c r="BD16" s="6"/>
      <c r="BE16" s="6"/>
      <c r="BF16" s="6"/>
      <c r="BG16" s="6">
        <v>573310</v>
      </c>
      <c r="BH16" s="6">
        <v>1605700</v>
      </c>
      <c r="BI16" s="6">
        <v>1493700</v>
      </c>
    </row>
    <row r="17" spans="1:63" x14ac:dyDescent="0.4">
      <c r="A17" t="s">
        <v>20</v>
      </c>
      <c r="B17" s="6">
        <v>300000</v>
      </c>
      <c r="C17" s="6">
        <v>9797000</v>
      </c>
      <c r="D17" s="6">
        <v>8330000</v>
      </c>
      <c r="E17" s="6">
        <v>9148500</v>
      </c>
      <c r="F17" s="6">
        <v>10910500</v>
      </c>
      <c r="G17" s="6">
        <v>8399500</v>
      </c>
      <c r="H17" s="6">
        <v>9460500</v>
      </c>
      <c r="I17" s="6">
        <v>9689000</v>
      </c>
      <c r="J17" s="6">
        <v>7282000</v>
      </c>
      <c r="K17" s="6">
        <v>8815000</v>
      </c>
      <c r="L17" s="6">
        <v>9437500</v>
      </c>
      <c r="M17" s="6">
        <v>8720000</v>
      </c>
      <c r="N17" s="6">
        <v>8539000</v>
      </c>
      <c r="O17" s="6">
        <v>10246500</v>
      </c>
      <c r="P17" s="6">
        <v>9609500</v>
      </c>
      <c r="Q17" s="6">
        <v>8886000</v>
      </c>
      <c r="R17" s="6">
        <v>10681500</v>
      </c>
      <c r="S17" s="6">
        <v>9362000</v>
      </c>
      <c r="T17" s="6">
        <v>8747000</v>
      </c>
      <c r="U17" s="6">
        <v>8643000</v>
      </c>
      <c r="V17" s="6">
        <v>8872500</v>
      </c>
      <c r="W17" s="6">
        <v>9355500</v>
      </c>
      <c r="X17" s="6">
        <v>9435500</v>
      </c>
      <c r="Y17" s="6">
        <v>11152000</v>
      </c>
      <c r="Z17" s="6">
        <v>9888000</v>
      </c>
      <c r="AA17" s="6">
        <v>11507500</v>
      </c>
      <c r="AB17" s="6">
        <v>8975500</v>
      </c>
      <c r="AC17" s="6">
        <v>8647000</v>
      </c>
      <c r="AD17" s="6">
        <v>11127500</v>
      </c>
      <c r="AE17" s="6">
        <v>9377500</v>
      </c>
      <c r="AF17" s="6">
        <v>10459490</v>
      </c>
      <c r="AG17" s="6">
        <v>9315320</v>
      </c>
      <c r="AH17" s="6">
        <v>8691490</v>
      </c>
      <c r="AI17" s="6">
        <v>10230920</v>
      </c>
      <c r="AJ17" s="6">
        <v>10261510</v>
      </c>
      <c r="AK17" s="6">
        <v>10113700</v>
      </c>
      <c r="AL17" s="6">
        <v>10434330</v>
      </c>
      <c r="AM17" s="6">
        <v>10583310</v>
      </c>
      <c r="AN17" s="6">
        <v>11343820</v>
      </c>
      <c r="AO17" s="6">
        <v>10589780</v>
      </c>
      <c r="AP17" s="6">
        <v>11826280</v>
      </c>
      <c r="AQ17" s="6">
        <v>10354780</v>
      </c>
      <c r="AR17" s="6">
        <v>9945240</v>
      </c>
      <c r="AS17" s="6">
        <v>8726090</v>
      </c>
      <c r="AT17" s="6">
        <v>8684580</v>
      </c>
      <c r="AU17" s="6">
        <v>9709700</v>
      </c>
      <c r="AV17" s="6">
        <v>9125750</v>
      </c>
      <c r="AW17" s="6">
        <v>10492210</v>
      </c>
      <c r="AX17" s="6">
        <v>8948970</v>
      </c>
      <c r="AY17" s="6">
        <v>8820390</v>
      </c>
      <c r="AZ17" s="6">
        <v>8821320</v>
      </c>
      <c r="BA17" s="6">
        <v>8807750</v>
      </c>
      <c r="BB17" s="6">
        <v>10100080</v>
      </c>
      <c r="BC17" s="6">
        <v>8827710</v>
      </c>
      <c r="BD17" s="6">
        <v>7824260</v>
      </c>
      <c r="BE17" s="6">
        <v>8028880</v>
      </c>
      <c r="BF17" s="6">
        <v>6741410</v>
      </c>
      <c r="BG17" s="6">
        <v>8058110</v>
      </c>
      <c r="BH17" s="6">
        <v>8524730</v>
      </c>
      <c r="BI17" s="6">
        <v>9508830</v>
      </c>
    </row>
    <row r="18" spans="1:63" x14ac:dyDescent="0.4">
      <c r="A18" t="s">
        <v>21</v>
      </c>
      <c r="B18" s="6">
        <v>162900</v>
      </c>
      <c r="C18" s="6">
        <v>5005700</v>
      </c>
      <c r="D18" s="6">
        <v>4116700</v>
      </c>
      <c r="E18" s="6">
        <v>3893100</v>
      </c>
      <c r="F18" s="6">
        <v>4867000</v>
      </c>
      <c r="G18" s="6">
        <v>4218500</v>
      </c>
      <c r="H18" s="6">
        <v>4663500</v>
      </c>
      <c r="I18" s="6">
        <v>4739000</v>
      </c>
      <c r="J18" s="6">
        <v>4105000</v>
      </c>
      <c r="K18" s="6">
        <v>4863500</v>
      </c>
      <c r="L18" s="6">
        <v>4976000</v>
      </c>
      <c r="M18" s="6">
        <v>4372500</v>
      </c>
      <c r="N18" s="6">
        <v>5344000</v>
      </c>
      <c r="O18" s="6">
        <v>5607000</v>
      </c>
      <c r="P18" s="6">
        <v>5939000</v>
      </c>
      <c r="Q18" s="6">
        <v>5307500</v>
      </c>
      <c r="R18" s="6">
        <v>5715500</v>
      </c>
      <c r="S18" s="6">
        <v>5141000</v>
      </c>
      <c r="T18" s="6">
        <v>5203000</v>
      </c>
      <c r="U18" s="6">
        <v>5281500</v>
      </c>
      <c r="V18" s="6">
        <v>4747000</v>
      </c>
      <c r="W18" s="6">
        <v>5107000</v>
      </c>
      <c r="X18" s="6">
        <v>5698000</v>
      </c>
      <c r="Y18" s="6">
        <v>6194500</v>
      </c>
      <c r="Z18" s="6">
        <v>5462500</v>
      </c>
      <c r="AA18" s="6">
        <v>6462500</v>
      </c>
      <c r="AB18" s="6">
        <v>5792500</v>
      </c>
      <c r="AC18" s="6">
        <v>6263300</v>
      </c>
      <c r="AD18" s="6">
        <v>7224800</v>
      </c>
      <c r="AE18" s="6">
        <v>5879400</v>
      </c>
      <c r="AF18" s="6">
        <v>6220400</v>
      </c>
      <c r="AG18" s="6">
        <v>5557400</v>
      </c>
      <c r="AH18" s="6">
        <v>4875600</v>
      </c>
      <c r="AI18" s="6">
        <v>6427400</v>
      </c>
      <c r="AJ18" s="6">
        <v>5744600</v>
      </c>
      <c r="AK18" s="6">
        <v>5728400</v>
      </c>
      <c r="AL18" s="6">
        <v>5759200</v>
      </c>
      <c r="AM18" s="6">
        <v>6529400</v>
      </c>
      <c r="AN18" s="6">
        <v>5522000</v>
      </c>
      <c r="AO18" s="6">
        <v>5510600</v>
      </c>
      <c r="AP18" s="6">
        <v>6626200</v>
      </c>
      <c r="AQ18" s="6">
        <v>5434600</v>
      </c>
      <c r="AR18" s="6">
        <v>4094600</v>
      </c>
      <c r="AS18" s="6">
        <v>3372000</v>
      </c>
      <c r="AT18" s="6">
        <v>2861400</v>
      </c>
      <c r="AU18" s="6">
        <v>3072500</v>
      </c>
      <c r="AV18" s="6">
        <v>3469500</v>
      </c>
      <c r="AW18" s="6">
        <v>3731000</v>
      </c>
      <c r="AX18" s="6">
        <v>3758500</v>
      </c>
      <c r="AY18" s="6">
        <v>3525000</v>
      </c>
      <c r="AZ18" s="6">
        <v>3398000</v>
      </c>
      <c r="BA18" s="6">
        <v>3718500</v>
      </c>
      <c r="BB18" s="6">
        <v>4242000</v>
      </c>
      <c r="BC18" s="6">
        <v>3727000</v>
      </c>
      <c r="BD18" s="6">
        <v>3853500</v>
      </c>
      <c r="BE18" s="6">
        <v>3732000</v>
      </c>
      <c r="BF18" s="6">
        <v>3645500</v>
      </c>
      <c r="BG18" s="6">
        <v>4002500</v>
      </c>
      <c r="BH18" s="6">
        <v>3900000</v>
      </c>
      <c r="BI18" s="6">
        <v>4283000</v>
      </c>
    </row>
    <row r="19" spans="1:63" x14ac:dyDescent="0.4">
      <c r="A19" t="s">
        <v>22</v>
      </c>
      <c r="B19" s="6">
        <v>160900</v>
      </c>
      <c r="C19" s="6">
        <v>6167000</v>
      </c>
      <c r="D19" s="6">
        <v>5894600</v>
      </c>
      <c r="E19" s="6">
        <v>5324000</v>
      </c>
      <c r="F19" s="6">
        <v>5867200</v>
      </c>
      <c r="G19" s="6">
        <v>5212300</v>
      </c>
      <c r="H19" s="6">
        <v>5785900</v>
      </c>
      <c r="I19" s="6">
        <v>5731000</v>
      </c>
      <c r="J19" s="6">
        <v>3497500</v>
      </c>
      <c r="K19" s="6">
        <v>5809000</v>
      </c>
      <c r="L19" s="6">
        <v>6256500</v>
      </c>
      <c r="M19" s="6">
        <v>6495000</v>
      </c>
      <c r="N19" s="6">
        <v>7392500</v>
      </c>
      <c r="O19" s="6">
        <v>7416000</v>
      </c>
      <c r="P19" s="6">
        <v>4969500</v>
      </c>
      <c r="Q19" s="6">
        <v>5310000</v>
      </c>
      <c r="R19" s="6">
        <v>7872000</v>
      </c>
      <c r="S19" s="6">
        <v>6198000</v>
      </c>
      <c r="T19" s="6">
        <v>6651000</v>
      </c>
      <c r="U19" s="6">
        <v>6735500</v>
      </c>
      <c r="V19" s="6">
        <v>6870500</v>
      </c>
      <c r="W19" s="6">
        <v>7128500</v>
      </c>
      <c r="X19" s="6">
        <v>7751000</v>
      </c>
      <c r="Y19" s="6">
        <v>8398500</v>
      </c>
      <c r="Z19" s="6">
        <v>8118000</v>
      </c>
      <c r="AA19" s="6">
        <v>8510500</v>
      </c>
      <c r="AB19" s="6">
        <v>7868000</v>
      </c>
      <c r="AC19" s="6">
        <v>9438200</v>
      </c>
      <c r="AD19" s="6">
        <v>9372400</v>
      </c>
      <c r="AE19" s="6">
        <v>9261600</v>
      </c>
      <c r="AF19" s="6">
        <v>8768000</v>
      </c>
      <c r="AG19" s="6">
        <v>8624400</v>
      </c>
      <c r="AH19" s="6">
        <v>7891800</v>
      </c>
      <c r="AI19" s="6">
        <v>9424200</v>
      </c>
      <c r="AJ19" s="6">
        <v>10016600</v>
      </c>
      <c r="AK19" s="6">
        <v>9180400</v>
      </c>
      <c r="AL19" s="6">
        <v>8423200</v>
      </c>
      <c r="AM19" s="6">
        <v>9026800</v>
      </c>
      <c r="AN19" s="6">
        <v>8070800</v>
      </c>
      <c r="AO19" s="6">
        <v>7208000</v>
      </c>
      <c r="AP19" s="6">
        <v>9132400</v>
      </c>
      <c r="AQ19" s="6">
        <v>8345400</v>
      </c>
      <c r="AR19" s="6">
        <v>8050000</v>
      </c>
      <c r="AS19" s="6">
        <v>7368200</v>
      </c>
      <c r="AT19" s="6">
        <v>6682600</v>
      </c>
      <c r="AU19" s="6">
        <v>7983600</v>
      </c>
      <c r="AV19" s="6">
        <v>7363600</v>
      </c>
      <c r="AW19" s="6">
        <v>9060600</v>
      </c>
      <c r="AX19" s="6">
        <v>7828400</v>
      </c>
      <c r="AY19" s="6">
        <v>7020200</v>
      </c>
      <c r="AZ19" s="6">
        <v>7140800</v>
      </c>
      <c r="BA19" s="6">
        <v>6098600</v>
      </c>
      <c r="BB19" s="6">
        <v>8072400</v>
      </c>
      <c r="BC19" s="6">
        <v>6767200</v>
      </c>
      <c r="BD19" s="6">
        <v>6612800</v>
      </c>
      <c r="BE19" s="6">
        <v>6812400</v>
      </c>
      <c r="BF19" s="6">
        <v>5891000</v>
      </c>
      <c r="BG19" s="6">
        <v>6861800</v>
      </c>
      <c r="BH19" s="6">
        <v>6759400</v>
      </c>
      <c r="BI19" s="6">
        <v>7667200</v>
      </c>
    </row>
    <row r="20" spans="1:63" x14ac:dyDescent="0.4">
      <c r="A20" t="s">
        <v>23</v>
      </c>
      <c r="B20" s="6">
        <v>358000</v>
      </c>
      <c r="C20" s="6">
        <v>10842000</v>
      </c>
      <c r="D20" s="6">
        <v>10412500</v>
      </c>
      <c r="E20" s="6">
        <v>9646500</v>
      </c>
      <c r="F20" s="6">
        <v>11898000</v>
      </c>
      <c r="G20" s="6">
        <v>9691000</v>
      </c>
      <c r="H20" s="6">
        <v>9495500</v>
      </c>
      <c r="I20" s="6">
        <v>8529500</v>
      </c>
      <c r="J20" s="6">
        <v>8592500</v>
      </c>
      <c r="K20" s="6">
        <v>9463000</v>
      </c>
      <c r="L20" s="6">
        <v>10011000</v>
      </c>
      <c r="M20" s="6">
        <v>11021000</v>
      </c>
      <c r="N20" s="6">
        <v>12488000</v>
      </c>
      <c r="O20" s="6">
        <v>13288000</v>
      </c>
      <c r="P20" s="6">
        <v>12073000</v>
      </c>
      <c r="Q20" s="6">
        <v>11503500</v>
      </c>
      <c r="R20" s="6">
        <v>12617500</v>
      </c>
      <c r="S20" s="6">
        <v>11042000</v>
      </c>
      <c r="T20" s="6">
        <v>10232000</v>
      </c>
      <c r="U20" s="6">
        <v>9421500</v>
      </c>
      <c r="V20" s="6">
        <v>9262500</v>
      </c>
      <c r="W20" s="6">
        <v>10885500</v>
      </c>
      <c r="X20" s="6">
        <v>11310500</v>
      </c>
      <c r="Y20" s="6">
        <v>12703500</v>
      </c>
      <c r="Z20" s="6">
        <v>11778500</v>
      </c>
      <c r="AA20" s="6">
        <v>13434000</v>
      </c>
      <c r="AB20" s="6">
        <v>12039500</v>
      </c>
      <c r="AC20" s="6">
        <v>13014500</v>
      </c>
      <c r="AD20" s="6">
        <v>13519500</v>
      </c>
      <c r="AE20" s="6">
        <v>12081500</v>
      </c>
      <c r="AF20" s="6">
        <v>13822000</v>
      </c>
      <c r="AG20" s="6">
        <v>12847720</v>
      </c>
      <c r="AH20" s="6">
        <v>11537500</v>
      </c>
      <c r="AI20" s="6">
        <v>13583360</v>
      </c>
      <c r="AJ20" s="6">
        <v>13754390</v>
      </c>
      <c r="AK20" s="6">
        <v>14685930</v>
      </c>
      <c r="AL20" s="6">
        <v>14786330</v>
      </c>
      <c r="AM20" s="6">
        <v>15602870</v>
      </c>
      <c r="AN20" s="6">
        <v>15676800</v>
      </c>
      <c r="AO20" s="6">
        <v>14265520</v>
      </c>
      <c r="AP20" s="6">
        <v>15605550</v>
      </c>
      <c r="AQ20" s="6">
        <v>13923970</v>
      </c>
      <c r="AR20" s="6">
        <v>13777470</v>
      </c>
      <c r="AS20" s="6">
        <v>12265540</v>
      </c>
      <c r="AT20" s="6">
        <v>11858590</v>
      </c>
      <c r="AU20" s="6">
        <v>13491510</v>
      </c>
      <c r="AV20" s="6">
        <v>12438310</v>
      </c>
      <c r="AW20" s="6">
        <v>10975260</v>
      </c>
      <c r="AX20" s="6">
        <v>10542270</v>
      </c>
      <c r="AY20" s="6">
        <v>10124560</v>
      </c>
      <c r="AZ20" s="6">
        <v>10602220</v>
      </c>
      <c r="BA20" s="6">
        <v>9904860</v>
      </c>
      <c r="BB20" s="6">
        <v>10266440</v>
      </c>
      <c r="BC20" s="6">
        <v>9596170</v>
      </c>
      <c r="BD20" s="6">
        <v>9040750</v>
      </c>
      <c r="BE20" s="6">
        <v>8867830</v>
      </c>
      <c r="BF20" s="6">
        <v>7979050</v>
      </c>
      <c r="BG20" s="6">
        <v>9394080</v>
      </c>
      <c r="BH20" s="6">
        <v>9811540</v>
      </c>
      <c r="BI20" s="6">
        <v>10528110</v>
      </c>
    </row>
    <row r="21" spans="1:63" x14ac:dyDescent="0.4">
      <c r="A21" t="s">
        <v>24</v>
      </c>
      <c r="B21" s="6">
        <v>160200</v>
      </c>
      <c r="C21" s="6">
        <v>6669800</v>
      </c>
      <c r="D21" s="6">
        <v>6049500</v>
      </c>
      <c r="E21" s="6">
        <v>6038000</v>
      </c>
      <c r="F21" s="6">
        <v>7350500</v>
      </c>
      <c r="G21" s="6">
        <v>4811500</v>
      </c>
      <c r="H21" s="6">
        <v>4456500</v>
      </c>
      <c r="I21" s="6">
        <v>4368500</v>
      </c>
      <c r="J21" s="6">
        <v>3727000</v>
      </c>
      <c r="K21" s="6">
        <v>4845500</v>
      </c>
      <c r="L21" s="6">
        <v>5291500</v>
      </c>
      <c r="M21" s="6">
        <v>5237500</v>
      </c>
      <c r="N21" s="6">
        <v>4841500</v>
      </c>
      <c r="O21" s="6">
        <v>5230000</v>
      </c>
      <c r="P21" s="6">
        <v>5388500</v>
      </c>
      <c r="Q21" s="6">
        <v>4948000</v>
      </c>
      <c r="R21" s="6">
        <v>5459500</v>
      </c>
      <c r="S21" s="6">
        <v>4943000</v>
      </c>
      <c r="T21" s="6">
        <v>4689500</v>
      </c>
      <c r="U21" s="6">
        <v>4993500</v>
      </c>
      <c r="V21" s="6">
        <v>4275000</v>
      </c>
      <c r="W21" s="6">
        <v>4849500</v>
      </c>
      <c r="X21" s="6">
        <v>4887500</v>
      </c>
      <c r="Y21" s="6">
        <v>5134000</v>
      </c>
      <c r="Z21" s="6">
        <v>4778000</v>
      </c>
      <c r="AA21" s="6">
        <v>5688500</v>
      </c>
      <c r="AB21" s="6">
        <v>4904500</v>
      </c>
      <c r="AC21" s="6">
        <v>5171500</v>
      </c>
      <c r="AD21" s="6">
        <v>5728500</v>
      </c>
      <c r="AE21" s="6">
        <v>5328500</v>
      </c>
      <c r="AF21" s="6">
        <v>5206580</v>
      </c>
      <c r="AG21" s="6">
        <v>5253200</v>
      </c>
      <c r="AH21" s="6">
        <v>4652840</v>
      </c>
      <c r="AI21" s="6">
        <v>5612320</v>
      </c>
      <c r="AJ21" s="6">
        <v>5331450</v>
      </c>
      <c r="AK21" s="6">
        <v>4914550</v>
      </c>
      <c r="AL21" s="6">
        <v>5110670</v>
      </c>
      <c r="AM21" s="6">
        <v>5469140</v>
      </c>
      <c r="AN21" s="6">
        <v>5280500</v>
      </c>
      <c r="AO21" s="6">
        <v>4875680</v>
      </c>
      <c r="AP21" s="6">
        <v>5009020</v>
      </c>
      <c r="AQ21" s="6">
        <v>4768920</v>
      </c>
      <c r="AR21" s="6">
        <v>5259500</v>
      </c>
      <c r="AS21" s="6">
        <v>4714700</v>
      </c>
      <c r="AT21" s="6">
        <v>4053750</v>
      </c>
      <c r="AU21" s="6">
        <v>4784710</v>
      </c>
      <c r="AV21" s="6">
        <v>4925930</v>
      </c>
      <c r="AW21" s="6">
        <v>5087070</v>
      </c>
      <c r="AX21" s="6">
        <v>4734180</v>
      </c>
      <c r="AY21" s="6">
        <v>4904200</v>
      </c>
      <c r="AZ21" s="6">
        <v>4869260</v>
      </c>
      <c r="BA21" s="6">
        <v>4245400</v>
      </c>
      <c r="BB21" s="6">
        <v>5282480</v>
      </c>
      <c r="BC21" s="6">
        <v>4561100</v>
      </c>
      <c r="BD21" s="6">
        <v>4677040</v>
      </c>
      <c r="BE21" s="6">
        <v>4462660</v>
      </c>
      <c r="BF21" s="6">
        <v>3974920</v>
      </c>
      <c r="BG21" s="6">
        <v>4735240</v>
      </c>
      <c r="BH21" s="6">
        <v>4512120</v>
      </c>
      <c r="BI21" s="6">
        <v>5174420</v>
      </c>
    </row>
    <row r="22" spans="1:63" x14ac:dyDescent="0.4">
      <c r="A22" t="s">
        <v>25</v>
      </c>
      <c r="B22" s="6">
        <v>250000</v>
      </c>
      <c r="C22" s="6">
        <v>8516500</v>
      </c>
      <c r="D22" s="6">
        <v>8091000</v>
      </c>
      <c r="E22" s="6">
        <v>8510500</v>
      </c>
      <c r="F22" s="6">
        <v>10252000</v>
      </c>
      <c r="G22" s="6">
        <v>8035500</v>
      </c>
      <c r="H22" s="6">
        <v>9166500</v>
      </c>
      <c r="I22" s="6">
        <v>8580500</v>
      </c>
      <c r="J22" s="6">
        <v>7955000</v>
      </c>
      <c r="K22" s="6">
        <v>9305000</v>
      </c>
      <c r="L22" s="6">
        <v>9615000</v>
      </c>
      <c r="M22" s="6">
        <v>9571000</v>
      </c>
      <c r="N22" s="6">
        <v>7891500</v>
      </c>
      <c r="O22" s="6">
        <v>7640000</v>
      </c>
      <c r="P22" s="6">
        <v>7311000</v>
      </c>
      <c r="Q22" s="6">
        <v>7329000</v>
      </c>
      <c r="R22" s="6">
        <v>8223500</v>
      </c>
      <c r="S22" s="6">
        <v>6691000</v>
      </c>
      <c r="T22" s="6">
        <v>6318500</v>
      </c>
      <c r="U22" s="6">
        <v>5128000</v>
      </c>
      <c r="V22" s="6">
        <v>5895500</v>
      </c>
      <c r="W22" s="6">
        <v>6005500</v>
      </c>
      <c r="X22" s="6">
        <v>6475500</v>
      </c>
      <c r="Y22" s="6">
        <v>7017500</v>
      </c>
      <c r="Z22" s="6">
        <v>6493500</v>
      </c>
      <c r="AA22" s="6">
        <v>6497000</v>
      </c>
      <c r="AB22" s="6">
        <v>6514000</v>
      </c>
      <c r="AC22" s="6">
        <v>7155500</v>
      </c>
      <c r="AD22" s="6">
        <v>7779000</v>
      </c>
      <c r="AE22" s="6">
        <v>6906500</v>
      </c>
      <c r="AF22" s="6">
        <v>6580280</v>
      </c>
      <c r="AG22" s="6">
        <v>5887920</v>
      </c>
      <c r="AH22" s="6">
        <v>5758180</v>
      </c>
      <c r="AI22" s="6">
        <v>7449380</v>
      </c>
      <c r="AJ22" s="6">
        <v>7247230</v>
      </c>
      <c r="AK22" s="6">
        <v>7077020</v>
      </c>
      <c r="AL22" s="6">
        <v>7406340</v>
      </c>
      <c r="AM22" s="6">
        <v>7222730</v>
      </c>
      <c r="AN22" s="6">
        <v>7663610</v>
      </c>
      <c r="AO22" s="6">
        <v>7445380</v>
      </c>
      <c r="AP22" s="6">
        <v>8189720</v>
      </c>
      <c r="AQ22" s="6">
        <v>6669310</v>
      </c>
      <c r="AR22" s="6">
        <v>6821720</v>
      </c>
      <c r="AS22" s="6">
        <v>5543720</v>
      </c>
      <c r="AT22" s="6">
        <v>5922960</v>
      </c>
      <c r="AU22" s="6">
        <v>8025080</v>
      </c>
      <c r="AV22" s="6">
        <v>7719310</v>
      </c>
      <c r="AW22" s="6">
        <v>8348740</v>
      </c>
      <c r="AX22" s="6">
        <v>8779580</v>
      </c>
      <c r="AY22" s="6">
        <v>7409400</v>
      </c>
      <c r="AZ22" s="6">
        <v>8273220</v>
      </c>
      <c r="BA22" s="6">
        <v>8184130</v>
      </c>
      <c r="BB22" s="6">
        <v>8893430</v>
      </c>
      <c r="BC22" s="6">
        <v>8251020</v>
      </c>
      <c r="BD22" s="6">
        <v>7471450</v>
      </c>
      <c r="BE22" s="6">
        <v>6534530</v>
      </c>
      <c r="BF22" s="6">
        <v>6427450</v>
      </c>
      <c r="BG22" s="6">
        <v>7929520</v>
      </c>
      <c r="BH22" s="6">
        <v>7055400</v>
      </c>
      <c r="BI22" s="6">
        <v>8842070</v>
      </c>
    </row>
    <row r="23" spans="1:63" x14ac:dyDescent="0.4">
      <c r="A23" t="s">
        <v>26</v>
      </c>
      <c r="B23" s="6">
        <v>290500</v>
      </c>
      <c r="C23" s="6">
        <v>8485000</v>
      </c>
      <c r="D23" s="6">
        <v>7869000</v>
      </c>
      <c r="E23" s="6">
        <v>7305500</v>
      </c>
      <c r="F23" s="6">
        <v>9158000</v>
      </c>
      <c r="G23" s="6">
        <v>6790000</v>
      </c>
      <c r="H23" s="6">
        <v>7335500</v>
      </c>
      <c r="I23" s="6">
        <v>7721000</v>
      </c>
      <c r="J23" s="6">
        <v>6881000</v>
      </c>
      <c r="K23" s="6">
        <v>8523500</v>
      </c>
      <c r="L23" s="6">
        <v>8923500</v>
      </c>
      <c r="M23" s="6">
        <v>8629000</v>
      </c>
      <c r="N23" s="6">
        <v>8660000</v>
      </c>
      <c r="O23" s="6">
        <v>9931000</v>
      </c>
      <c r="P23" s="6">
        <v>9330500</v>
      </c>
      <c r="Q23" s="6">
        <v>9306000</v>
      </c>
      <c r="R23" s="6">
        <v>9921000</v>
      </c>
      <c r="S23" s="6">
        <v>8436500</v>
      </c>
      <c r="T23" s="6">
        <v>8868500</v>
      </c>
      <c r="U23" s="6">
        <v>9811500</v>
      </c>
      <c r="V23" s="6">
        <v>8291000</v>
      </c>
      <c r="W23" s="6">
        <v>9793500</v>
      </c>
      <c r="X23" s="6">
        <v>10481000</v>
      </c>
      <c r="Y23" s="6">
        <v>11578500</v>
      </c>
      <c r="Z23" s="6">
        <v>10528200</v>
      </c>
      <c r="AA23" s="6">
        <v>11507000</v>
      </c>
      <c r="AB23" s="6">
        <v>9777000</v>
      </c>
      <c r="AC23" s="6">
        <v>9560500</v>
      </c>
      <c r="AD23" s="6">
        <v>10501000</v>
      </c>
      <c r="AE23" s="6">
        <v>10341500</v>
      </c>
      <c r="AF23" s="6">
        <v>10944840</v>
      </c>
      <c r="AG23" s="6">
        <v>9475600</v>
      </c>
      <c r="AH23" s="6">
        <v>9121730</v>
      </c>
      <c r="AI23" s="6">
        <v>10189400</v>
      </c>
      <c r="AJ23" s="6">
        <v>10809500</v>
      </c>
      <c r="AK23" s="6">
        <v>10355440</v>
      </c>
      <c r="AL23" s="6">
        <v>10771330</v>
      </c>
      <c r="AM23" s="6">
        <v>10468340</v>
      </c>
      <c r="AN23" s="6">
        <v>10016670</v>
      </c>
      <c r="AO23" s="6">
        <v>9479670</v>
      </c>
      <c r="AP23" s="6">
        <v>11208450</v>
      </c>
      <c r="AQ23" s="6">
        <v>9399790</v>
      </c>
      <c r="AR23" s="6">
        <v>9413620</v>
      </c>
      <c r="AS23" s="6">
        <v>10400210</v>
      </c>
      <c r="AT23" s="6">
        <v>8258200</v>
      </c>
      <c r="AU23" s="6">
        <v>10555710</v>
      </c>
      <c r="AV23" s="6">
        <v>10349470</v>
      </c>
      <c r="AW23" s="6">
        <v>11023910</v>
      </c>
      <c r="AX23" s="6">
        <v>11082780</v>
      </c>
      <c r="AY23" s="6">
        <v>9979110</v>
      </c>
      <c r="AZ23" s="6">
        <v>7704840</v>
      </c>
      <c r="BA23" s="6">
        <v>6931420</v>
      </c>
      <c r="BB23" s="6">
        <v>9913760</v>
      </c>
      <c r="BC23" s="6">
        <v>9338320</v>
      </c>
      <c r="BD23" s="6">
        <v>8605630</v>
      </c>
      <c r="BE23" s="6">
        <v>8751460</v>
      </c>
      <c r="BF23" s="6">
        <v>8546190</v>
      </c>
      <c r="BG23" s="6">
        <v>9363840</v>
      </c>
      <c r="BH23" s="6">
        <v>9607310</v>
      </c>
      <c r="BI23" s="6">
        <v>11178750</v>
      </c>
    </row>
    <row r="24" spans="1:63" x14ac:dyDescent="0.4">
      <c r="A24" t="s">
        <v>27</v>
      </c>
      <c r="B24" s="6">
        <v>107910</v>
      </c>
      <c r="C24" s="6">
        <v>2792940</v>
      </c>
      <c r="D24" s="6">
        <v>2680380</v>
      </c>
      <c r="E24" s="6">
        <v>2911140</v>
      </c>
      <c r="F24" s="6">
        <v>3372820</v>
      </c>
      <c r="G24" s="6">
        <v>2684450</v>
      </c>
      <c r="H24" s="6">
        <v>2327630</v>
      </c>
      <c r="I24" s="6">
        <v>2432140</v>
      </c>
      <c r="J24" s="6">
        <v>2305650</v>
      </c>
      <c r="K24" s="6">
        <v>2364750</v>
      </c>
      <c r="L24" s="6">
        <v>2576620</v>
      </c>
      <c r="M24" s="6">
        <v>2567920</v>
      </c>
      <c r="N24" s="6">
        <v>2915820</v>
      </c>
      <c r="O24" s="6">
        <v>3096650</v>
      </c>
      <c r="P24" s="6">
        <v>2857630</v>
      </c>
      <c r="Q24" s="6">
        <v>3039250</v>
      </c>
      <c r="R24" s="6">
        <v>2940890</v>
      </c>
      <c r="S24" s="6">
        <v>2876900</v>
      </c>
      <c r="T24" s="6">
        <v>3242970</v>
      </c>
      <c r="U24" s="6">
        <v>3118120</v>
      </c>
      <c r="V24" s="6">
        <v>3092070</v>
      </c>
      <c r="W24" s="6">
        <v>3259420</v>
      </c>
      <c r="X24" s="6">
        <v>3113560</v>
      </c>
      <c r="Y24" s="6">
        <v>3618570</v>
      </c>
      <c r="Z24" s="6">
        <v>2956830</v>
      </c>
      <c r="AA24" s="6">
        <v>3683210</v>
      </c>
      <c r="AB24" s="6">
        <v>2796130</v>
      </c>
      <c r="AC24" s="6">
        <v>3071310</v>
      </c>
      <c r="AD24" s="6">
        <v>3006370</v>
      </c>
      <c r="AE24" s="6">
        <v>3204320</v>
      </c>
      <c r="AF24" s="6">
        <v>3818410</v>
      </c>
      <c r="AG24" s="6">
        <v>3789040</v>
      </c>
      <c r="AH24" s="6">
        <v>2782300</v>
      </c>
      <c r="AI24" s="6">
        <v>3345970</v>
      </c>
      <c r="AJ24" s="6">
        <v>4178840</v>
      </c>
      <c r="AK24" s="6">
        <v>3723580</v>
      </c>
      <c r="AL24" s="6">
        <v>3541120</v>
      </c>
      <c r="AM24" s="6">
        <v>3753340</v>
      </c>
      <c r="AN24" s="6">
        <v>3394030</v>
      </c>
      <c r="AO24" s="6">
        <v>3590350</v>
      </c>
      <c r="AP24" s="6">
        <v>3780670</v>
      </c>
      <c r="AQ24" s="6">
        <v>3373020</v>
      </c>
      <c r="AR24" s="6">
        <v>3527940</v>
      </c>
      <c r="AS24" s="6">
        <v>3853930</v>
      </c>
      <c r="AT24" s="6">
        <v>3233040</v>
      </c>
      <c r="AU24" s="6">
        <v>4092070</v>
      </c>
      <c r="AV24" s="6">
        <v>4190610</v>
      </c>
      <c r="AW24" s="6">
        <v>4416860</v>
      </c>
      <c r="AX24" s="6">
        <v>3935110</v>
      </c>
      <c r="AY24" s="6">
        <v>4219400</v>
      </c>
      <c r="AZ24" s="6">
        <v>3707810</v>
      </c>
      <c r="BA24" s="6">
        <v>3154800</v>
      </c>
      <c r="BB24" s="6">
        <v>4254140</v>
      </c>
      <c r="BC24" s="6">
        <v>3613510</v>
      </c>
      <c r="BD24" s="6">
        <v>2904400</v>
      </c>
      <c r="BE24" s="6">
        <v>3662330</v>
      </c>
      <c r="BF24" s="6">
        <v>2981240</v>
      </c>
      <c r="BG24" s="6">
        <v>3528600</v>
      </c>
      <c r="BH24" s="6">
        <v>3522180</v>
      </c>
      <c r="BI24" s="6">
        <v>4000060</v>
      </c>
    </row>
    <row r="25" spans="1:63" x14ac:dyDescent="0.4">
      <c r="A25" t="s">
        <v>28</v>
      </c>
      <c r="B25" s="6">
        <v>49100</v>
      </c>
      <c r="C25" s="6">
        <v>2515500</v>
      </c>
      <c r="D25" s="6">
        <v>2167800</v>
      </c>
      <c r="E25" s="6">
        <v>2133500</v>
      </c>
      <c r="F25" s="6">
        <v>2667300</v>
      </c>
      <c r="G25" s="6">
        <v>2493700</v>
      </c>
      <c r="H25" s="6">
        <v>2872800</v>
      </c>
      <c r="I25" s="6">
        <v>2458500</v>
      </c>
      <c r="J25" s="6">
        <v>2126700</v>
      </c>
      <c r="K25" s="6">
        <v>2748700</v>
      </c>
      <c r="L25" s="6">
        <v>3015700</v>
      </c>
      <c r="M25" s="6">
        <v>2733100</v>
      </c>
      <c r="N25" s="6">
        <v>2804800</v>
      </c>
      <c r="O25" s="6">
        <v>2803200</v>
      </c>
      <c r="P25" s="6">
        <v>2500700</v>
      </c>
      <c r="Q25" s="6">
        <v>1058400</v>
      </c>
      <c r="R25" s="6">
        <v>1975180</v>
      </c>
      <c r="S25" s="6">
        <v>3265460</v>
      </c>
      <c r="T25" s="6">
        <v>3786060</v>
      </c>
      <c r="U25" s="6">
        <v>4151500</v>
      </c>
      <c r="V25" s="6">
        <v>3014000</v>
      </c>
      <c r="W25" s="6">
        <v>3982000</v>
      </c>
      <c r="X25" s="6">
        <v>3778500</v>
      </c>
      <c r="Y25" s="6">
        <v>4229000</v>
      </c>
      <c r="Z25" s="6">
        <v>3715500</v>
      </c>
      <c r="AA25" s="6">
        <v>5300000</v>
      </c>
      <c r="AB25" s="6">
        <v>4318000</v>
      </c>
      <c r="AC25" s="6">
        <v>4482500</v>
      </c>
      <c r="AD25" s="6">
        <v>4670000</v>
      </c>
      <c r="AE25" s="6">
        <v>4192500</v>
      </c>
      <c r="AF25" s="6">
        <v>4553400</v>
      </c>
      <c r="AG25" s="6">
        <v>4749700</v>
      </c>
      <c r="AH25" s="6">
        <v>4063450</v>
      </c>
      <c r="AI25" s="6">
        <v>4746000</v>
      </c>
      <c r="AJ25" s="6">
        <v>4838100</v>
      </c>
      <c r="AK25" s="6">
        <v>5028000</v>
      </c>
      <c r="AL25" s="6">
        <v>5009200</v>
      </c>
      <c r="AM25" s="6">
        <v>5167550</v>
      </c>
      <c r="AN25" s="6">
        <v>5111250</v>
      </c>
      <c r="AO25" s="6">
        <v>5034800</v>
      </c>
      <c r="AP25" s="6">
        <v>5446050</v>
      </c>
      <c r="AQ25" s="6">
        <v>5023800</v>
      </c>
      <c r="AR25" s="6">
        <v>4888800</v>
      </c>
      <c r="AS25" s="6">
        <v>4624850</v>
      </c>
      <c r="AT25" s="6">
        <v>4227700</v>
      </c>
      <c r="AU25" s="6">
        <v>5397850</v>
      </c>
      <c r="AV25" s="6">
        <v>5102650</v>
      </c>
      <c r="AW25" s="6">
        <v>6103400</v>
      </c>
      <c r="AX25" s="6">
        <v>6288300</v>
      </c>
      <c r="AY25" s="6">
        <v>6135800</v>
      </c>
      <c r="AZ25" s="6">
        <v>6365000</v>
      </c>
      <c r="BA25" s="6">
        <v>5700000</v>
      </c>
      <c r="BB25" s="6">
        <v>7808750</v>
      </c>
      <c r="BC25" s="6">
        <v>6055350</v>
      </c>
      <c r="BD25" s="6">
        <v>5684100</v>
      </c>
      <c r="BE25" s="6">
        <v>5675300</v>
      </c>
      <c r="BF25" s="6">
        <v>4651600</v>
      </c>
      <c r="BG25" s="6">
        <v>5511850</v>
      </c>
      <c r="BH25" s="6">
        <f>232850+6122200</f>
        <v>6355050</v>
      </c>
      <c r="BI25" s="6">
        <v>7472050</v>
      </c>
      <c r="BK25" s="6"/>
    </row>
    <row r="26" spans="1:63" x14ac:dyDescent="0.4">
      <c r="A26" t="s">
        <v>29</v>
      </c>
      <c r="B26" s="6">
        <v>43400</v>
      </c>
      <c r="C26" s="6">
        <v>2481900</v>
      </c>
      <c r="D26" s="6">
        <v>2663300</v>
      </c>
      <c r="E26" s="6">
        <v>2688800</v>
      </c>
      <c r="F26" s="6">
        <v>3430000</v>
      </c>
      <c r="G26" s="6">
        <v>2657300</v>
      </c>
      <c r="H26" s="6">
        <v>3444000</v>
      </c>
      <c r="I26" s="6">
        <v>3614500</v>
      </c>
      <c r="J26" s="6">
        <v>3231000</v>
      </c>
      <c r="K26" s="6">
        <v>3394500</v>
      </c>
      <c r="L26" s="6">
        <v>3634000</v>
      </c>
      <c r="M26" s="6">
        <v>3589000</v>
      </c>
      <c r="N26" s="6">
        <v>3739000</v>
      </c>
      <c r="O26" s="6">
        <v>3712000</v>
      </c>
      <c r="P26" s="6">
        <v>3857500</v>
      </c>
      <c r="Q26" s="6">
        <v>4159500</v>
      </c>
      <c r="R26" s="6">
        <v>3971000</v>
      </c>
      <c r="S26" s="6">
        <v>3627500</v>
      </c>
      <c r="T26" s="6">
        <v>4036500</v>
      </c>
      <c r="U26" s="6">
        <v>4383500</v>
      </c>
      <c r="V26" s="6">
        <v>3303500</v>
      </c>
      <c r="W26" s="6">
        <v>4023000</v>
      </c>
      <c r="X26" s="6">
        <v>4344000</v>
      </c>
      <c r="Y26" s="6">
        <v>4117500</v>
      </c>
      <c r="Z26" s="6">
        <v>4147500</v>
      </c>
      <c r="AA26" s="6">
        <v>4936000</v>
      </c>
      <c r="AB26" s="6">
        <v>4202500</v>
      </c>
      <c r="AC26" s="6">
        <v>4462500</v>
      </c>
      <c r="AD26" s="6">
        <v>5055500</v>
      </c>
      <c r="AE26" s="6">
        <v>4676500</v>
      </c>
      <c r="AF26" s="6">
        <v>5332570</v>
      </c>
      <c r="AG26" s="6">
        <v>4967430</v>
      </c>
      <c r="AH26" s="6">
        <v>4421540</v>
      </c>
      <c r="AI26" s="6">
        <v>5214210</v>
      </c>
      <c r="AJ26" s="6">
        <v>4671920</v>
      </c>
      <c r="AK26" s="6">
        <v>5158770</v>
      </c>
      <c r="AL26" s="6">
        <v>5111760</v>
      </c>
      <c r="AM26" s="6">
        <v>4592850</v>
      </c>
      <c r="AN26" s="6">
        <v>3920990</v>
      </c>
      <c r="AO26" s="6">
        <v>4229260</v>
      </c>
      <c r="AP26" s="6">
        <v>4753230</v>
      </c>
      <c r="AQ26" s="6">
        <v>4000920</v>
      </c>
      <c r="AR26" s="6">
        <v>3880610</v>
      </c>
      <c r="AS26" s="6">
        <v>4316420</v>
      </c>
      <c r="AT26" s="6">
        <v>3466120</v>
      </c>
      <c r="AU26" s="6">
        <v>4518390</v>
      </c>
      <c r="AV26" s="6">
        <v>4194890</v>
      </c>
      <c r="AW26" s="6">
        <v>4870350</v>
      </c>
      <c r="AX26" s="6">
        <v>4629080</v>
      </c>
      <c r="AY26" s="6">
        <v>4027720</v>
      </c>
      <c r="AZ26" s="6">
        <v>3953940</v>
      </c>
      <c r="BA26" s="6">
        <v>4259370</v>
      </c>
      <c r="BB26" s="6">
        <v>4577500</v>
      </c>
      <c r="BC26" s="6">
        <v>4141100</v>
      </c>
      <c r="BD26" s="6">
        <v>3728700</v>
      </c>
      <c r="BE26" s="6">
        <v>4248000</v>
      </c>
      <c r="BF26" s="6">
        <v>4106300</v>
      </c>
      <c r="BG26" s="6">
        <v>4483100</v>
      </c>
      <c r="BH26" s="6">
        <v>4410900</v>
      </c>
      <c r="BI26" s="6">
        <v>5325500</v>
      </c>
    </row>
    <row r="27" spans="1:63" x14ac:dyDescent="0.4">
      <c r="A27" t="s">
        <v>30</v>
      </c>
      <c r="B27" s="6">
        <v>134100</v>
      </c>
      <c r="C27" s="6">
        <v>3575600</v>
      </c>
      <c r="D27" s="6">
        <v>3502100</v>
      </c>
      <c r="E27" s="6">
        <v>2994000</v>
      </c>
      <c r="F27" s="6">
        <v>3578800</v>
      </c>
      <c r="G27" s="6">
        <v>3325700</v>
      </c>
      <c r="H27" s="6">
        <v>3298000</v>
      </c>
      <c r="I27" s="6">
        <v>3260500</v>
      </c>
      <c r="J27" s="6">
        <v>2783500</v>
      </c>
      <c r="K27" s="6">
        <v>3737000</v>
      </c>
      <c r="L27" s="6">
        <v>3961500</v>
      </c>
      <c r="M27" s="6">
        <v>4587000</v>
      </c>
      <c r="N27" s="6">
        <v>5125500</v>
      </c>
      <c r="O27" s="6">
        <v>6490500</v>
      </c>
      <c r="P27" s="6">
        <v>6642000</v>
      </c>
      <c r="Q27" s="6">
        <v>6090500</v>
      </c>
      <c r="R27" s="6">
        <v>6797000</v>
      </c>
      <c r="S27" s="6">
        <v>5830000</v>
      </c>
      <c r="T27" s="6">
        <v>5463000</v>
      </c>
      <c r="U27" s="6">
        <v>4484500</v>
      </c>
      <c r="V27" s="6">
        <v>4034500</v>
      </c>
      <c r="W27" s="6">
        <v>5008500</v>
      </c>
      <c r="X27" s="6">
        <v>6490000</v>
      </c>
      <c r="Y27" s="6">
        <v>6792000</v>
      </c>
      <c r="Z27" s="6">
        <v>6466000</v>
      </c>
      <c r="AA27" s="6">
        <v>7506500</v>
      </c>
      <c r="AB27" s="6">
        <v>6586500</v>
      </c>
      <c r="AC27" s="6">
        <v>6711500</v>
      </c>
      <c r="AD27" s="6">
        <v>7452000</v>
      </c>
      <c r="AE27" s="6">
        <v>5567000</v>
      </c>
      <c r="AF27" s="6">
        <v>5509230</v>
      </c>
      <c r="AG27" s="6">
        <v>5636810</v>
      </c>
      <c r="AH27" s="6">
        <v>4247130</v>
      </c>
      <c r="AI27" s="6">
        <v>5759570</v>
      </c>
      <c r="AJ27" s="6">
        <v>6327940</v>
      </c>
      <c r="AK27" s="6">
        <v>6600900</v>
      </c>
      <c r="AL27" s="6">
        <v>7417440</v>
      </c>
      <c r="AM27" s="6">
        <v>7874510</v>
      </c>
      <c r="AN27" s="6">
        <v>8147000</v>
      </c>
      <c r="AO27" s="6">
        <v>7879680</v>
      </c>
      <c r="AP27" s="6">
        <v>7766690</v>
      </c>
      <c r="AQ27" s="6">
        <v>6376050</v>
      </c>
      <c r="AR27" s="6">
        <v>6797580</v>
      </c>
      <c r="AS27" s="6">
        <v>6231420</v>
      </c>
      <c r="AT27" s="6">
        <v>5395260</v>
      </c>
      <c r="AU27" s="6">
        <v>6669100</v>
      </c>
      <c r="AV27" s="6">
        <v>7720050</v>
      </c>
      <c r="AW27" s="6">
        <v>8341750</v>
      </c>
      <c r="AX27" s="6">
        <v>9001540</v>
      </c>
      <c r="AY27" s="6">
        <v>8769120</v>
      </c>
      <c r="AZ27" s="6">
        <v>8194190</v>
      </c>
      <c r="BA27" s="6">
        <v>7707120</v>
      </c>
      <c r="BB27" s="6">
        <v>9092230</v>
      </c>
      <c r="BC27" s="6">
        <v>9739660</v>
      </c>
      <c r="BD27" s="6">
        <v>8190680</v>
      </c>
      <c r="BE27" s="6">
        <v>6678590</v>
      </c>
      <c r="BF27" s="6">
        <v>7222350</v>
      </c>
      <c r="BG27" s="6">
        <v>9008250</v>
      </c>
      <c r="BH27" s="6">
        <v>10035590</v>
      </c>
      <c r="BI27" s="6">
        <v>10970960</v>
      </c>
    </row>
    <row r="28" spans="1:63" x14ac:dyDescent="0.4">
      <c r="A28" t="s">
        <v>31</v>
      </c>
      <c r="B28" s="6">
        <v>64000</v>
      </c>
      <c r="C28" s="6">
        <v>4078500</v>
      </c>
      <c r="D28" s="6">
        <v>3493500</v>
      </c>
      <c r="E28" s="6">
        <v>3612000</v>
      </c>
      <c r="F28" s="6">
        <v>5201000</v>
      </c>
      <c r="G28" s="6">
        <v>3896300</v>
      </c>
      <c r="H28" s="6">
        <v>4702000</v>
      </c>
      <c r="I28" s="6">
        <v>5186500</v>
      </c>
      <c r="J28" s="6">
        <v>4436600</v>
      </c>
      <c r="K28" s="6">
        <v>5572400</v>
      </c>
      <c r="L28" s="6">
        <v>5367700</v>
      </c>
      <c r="M28" s="6">
        <v>5216000</v>
      </c>
      <c r="N28" s="6">
        <v>5125500</v>
      </c>
      <c r="O28" s="6">
        <v>5716700</v>
      </c>
      <c r="P28" s="6">
        <v>5388100</v>
      </c>
      <c r="Q28" s="6">
        <v>4735400</v>
      </c>
      <c r="R28" s="6">
        <v>5957100</v>
      </c>
      <c r="S28" s="6">
        <v>5041400</v>
      </c>
      <c r="T28" s="6">
        <v>5375000</v>
      </c>
      <c r="U28" s="6">
        <v>5511700</v>
      </c>
      <c r="V28" s="6">
        <v>4496900</v>
      </c>
      <c r="W28" s="6">
        <v>5187700</v>
      </c>
      <c r="X28" s="6">
        <v>4935200</v>
      </c>
      <c r="Y28" s="6">
        <v>5469900</v>
      </c>
      <c r="Z28" s="6">
        <v>3331900</v>
      </c>
      <c r="AA28" s="6">
        <v>6243200</v>
      </c>
      <c r="AB28" s="6">
        <v>4438400</v>
      </c>
      <c r="AC28" s="6">
        <v>4622700</v>
      </c>
      <c r="AD28" s="6">
        <v>5872500</v>
      </c>
      <c r="AE28" s="6">
        <v>4876600</v>
      </c>
      <c r="AF28" s="6">
        <v>5555490</v>
      </c>
      <c r="AG28" s="6">
        <v>5383790</v>
      </c>
      <c r="AH28" s="6">
        <v>5203290</v>
      </c>
      <c r="AI28" s="6">
        <v>5888760</v>
      </c>
      <c r="AJ28" s="6">
        <v>6195780</v>
      </c>
      <c r="AK28" s="6">
        <v>5787130</v>
      </c>
      <c r="AL28" s="6">
        <v>5389270</v>
      </c>
      <c r="AM28" s="6">
        <v>5954180</v>
      </c>
      <c r="AN28" s="6">
        <v>4720540</v>
      </c>
      <c r="AO28" s="6">
        <v>5244680</v>
      </c>
      <c r="AP28" s="6">
        <v>5952470</v>
      </c>
      <c r="AQ28" s="6">
        <v>5255030</v>
      </c>
      <c r="AR28" s="6">
        <v>5899320</v>
      </c>
      <c r="AS28" s="6">
        <v>5835590</v>
      </c>
      <c r="AT28" s="6">
        <v>5062470</v>
      </c>
      <c r="AU28" s="6">
        <v>6000380</v>
      </c>
      <c r="AV28" s="6">
        <v>5647630</v>
      </c>
      <c r="AW28" s="6">
        <v>7145610</v>
      </c>
      <c r="AX28" s="6">
        <v>6690290</v>
      </c>
      <c r="AY28" s="6">
        <v>5614530</v>
      </c>
      <c r="AZ28" s="6">
        <v>4895660</v>
      </c>
      <c r="BA28" s="6">
        <v>4854620</v>
      </c>
      <c r="BB28" s="6">
        <v>6867160</v>
      </c>
      <c r="BC28" s="6">
        <v>4788360</v>
      </c>
      <c r="BD28" s="6">
        <v>4963150</v>
      </c>
      <c r="BE28" s="6">
        <v>5412120</v>
      </c>
      <c r="BF28" s="6">
        <v>5318320</v>
      </c>
      <c r="BG28" s="6">
        <v>5218990</v>
      </c>
      <c r="BH28" s="6">
        <v>5339260</v>
      </c>
      <c r="BI28" s="6">
        <v>6210960</v>
      </c>
    </row>
    <row r="29" spans="1:63" x14ac:dyDescent="0.4">
      <c r="A29" t="s">
        <v>32</v>
      </c>
      <c r="B29" s="6">
        <v>193000</v>
      </c>
      <c r="C29" s="6">
        <v>6766500</v>
      </c>
      <c r="D29" s="6">
        <v>6400000</v>
      </c>
      <c r="E29" s="6">
        <v>6530500</v>
      </c>
      <c r="F29" s="6">
        <v>7145000</v>
      </c>
      <c r="G29" s="6">
        <v>5332000</v>
      </c>
      <c r="H29" s="6">
        <v>5178500</v>
      </c>
      <c r="I29" s="6">
        <v>4343000</v>
      </c>
      <c r="J29" s="6">
        <v>4393000</v>
      </c>
      <c r="K29" s="6">
        <v>5435500</v>
      </c>
      <c r="L29" s="6">
        <v>5538000</v>
      </c>
      <c r="M29" s="6">
        <v>6039000</v>
      </c>
      <c r="N29" s="6">
        <v>6545000</v>
      </c>
      <c r="O29" s="6">
        <v>7161500</v>
      </c>
      <c r="P29" s="6">
        <v>7213500</v>
      </c>
      <c r="Q29" s="6">
        <v>6700000</v>
      </c>
      <c r="R29" s="6">
        <v>6726000</v>
      </c>
      <c r="S29" s="6">
        <v>6103500</v>
      </c>
      <c r="T29" s="6">
        <v>5761500</v>
      </c>
      <c r="U29" s="6">
        <v>5524500</v>
      </c>
      <c r="V29" s="6">
        <v>5292000</v>
      </c>
      <c r="W29" s="6">
        <v>6307500</v>
      </c>
      <c r="X29" s="6">
        <v>6084000</v>
      </c>
      <c r="Y29" s="6">
        <v>7411000</v>
      </c>
      <c r="Z29" s="6">
        <v>5995500</v>
      </c>
      <c r="AA29" s="6">
        <v>6601500</v>
      </c>
      <c r="AB29" s="6">
        <v>4246500</v>
      </c>
      <c r="AC29" s="6">
        <v>3935500</v>
      </c>
      <c r="AD29" s="6">
        <v>4140500</v>
      </c>
      <c r="AE29" s="6">
        <v>3367500</v>
      </c>
      <c r="AF29" s="6">
        <v>3146000</v>
      </c>
      <c r="AG29" s="6">
        <v>2662000</v>
      </c>
      <c r="AH29" s="6">
        <v>2732000</v>
      </c>
      <c r="AI29" s="6">
        <v>3372500</v>
      </c>
      <c r="AJ29" s="6">
        <v>3613500</v>
      </c>
      <c r="AK29" s="6">
        <v>3608500</v>
      </c>
      <c r="AL29" s="6">
        <v>3809500</v>
      </c>
      <c r="AM29" s="6">
        <v>3298000</v>
      </c>
      <c r="AN29" s="6">
        <v>3403500</v>
      </c>
      <c r="AO29" s="6">
        <v>1099500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3" x14ac:dyDescent="0.4">
      <c r="A30" t="s">
        <v>33</v>
      </c>
      <c r="B30" s="6">
        <v>205500</v>
      </c>
      <c r="C30" s="6">
        <v>7196500</v>
      </c>
      <c r="D30" s="6">
        <v>6652000</v>
      </c>
      <c r="E30" s="6">
        <v>6313000</v>
      </c>
      <c r="F30" s="6">
        <v>8014500</v>
      </c>
      <c r="G30" s="6">
        <v>6486500</v>
      </c>
      <c r="H30" s="6">
        <v>6464000</v>
      </c>
      <c r="I30" s="6">
        <v>6994000</v>
      </c>
      <c r="J30" s="6">
        <v>6004000</v>
      </c>
      <c r="K30" s="6">
        <v>7379000</v>
      </c>
      <c r="L30" s="6">
        <v>6228900</v>
      </c>
      <c r="M30" s="6">
        <v>6867000</v>
      </c>
      <c r="N30" s="6">
        <v>6478000</v>
      </c>
      <c r="O30" s="6">
        <v>7080000</v>
      </c>
      <c r="P30" s="6">
        <v>5789000</v>
      </c>
      <c r="Q30" s="6">
        <v>5341500</v>
      </c>
      <c r="R30" s="6">
        <v>6305000</v>
      </c>
      <c r="S30" s="6">
        <v>5697000</v>
      </c>
      <c r="T30" s="6">
        <v>5990000</v>
      </c>
      <c r="U30" s="6">
        <v>5863000</v>
      </c>
      <c r="V30" s="6">
        <v>5259500</v>
      </c>
      <c r="W30" s="6">
        <v>6671500</v>
      </c>
      <c r="X30" s="6">
        <v>6479000</v>
      </c>
      <c r="Y30" s="6">
        <v>6415500</v>
      </c>
      <c r="Z30" s="6">
        <v>6328500</v>
      </c>
      <c r="AA30" s="6">
        <v>7164500</v>
      </c>
      <c r="AB30" s="6">
        <v>6106500</v>
      </c>
      <c r="AC30" s="6">
        <v>6438500</v>
      </c>
      <c r="AD30" s="6">
        <v>7572000</v>
      </c>
      <c r="AE30" s="6">
        <v>6782000</v>
      </c>
      <c r="AF30" s="6">
        <v>6934500</v>
      </c>
      <c r="AG30" s="6">
        <v>6780400</v>
      </c>
      <c r="AH30" s="6">
        <v>5970600</v>
      </c>
      <c r="AI30" s="6">
        <v>7655900</v>
      </c>
      <c r="AJ30" s="6">
        <v>7666950</v>
      </c>
      <c r="AK30" s="6">
        <v>7182300</v>
      </c>
      <c r="AL30" s="6">
        <v>6988950</v>
      </c>
      <c r="AM30" s="6">
        <v>7102750</v>
      </c>
      <c r="AN30" s="6">
        <v>6502950</v>
      </c>
      <c r="AO30" s="6">
        <v>5938250</v>
      </c>
      <c r="AP30" s="6">
        <v>6866800</v>
      </c>
      <c r="AQ30" s="6">
        <v>6242600</v>
      </c>
      <c r="AR30" s="6">
        <v>5865950</v>
      </c>
      <c r="AS30" s="6">
        <v>5387250</v>
      </c>
      <c r="AT30" s="6">
        <v>4890950</v>
      </c>
      <c r="AU30" s="6">
        <v>5990000</v>
      </c>
      <c r="AV30" s="6">
        <v>5930350</v>
      </c>
      <c r="AW30" s="6">
        <v>6212500</v>
      </c>
      <c r="AX30" s="6">
        <v>7344000</v>
      </c>
      <c r="AY30" s="6">
        <v>7234450</v>
      </c>
      <c r="AZ30" s="6">
        <v>7934800</v>
      </c>
      <c r="BA30" s="6">
        <v>6979650</v>
      </c>
      <c r="BB30" s="6">
        <v>9038850</v>
      </c>
      <c r="BC30" s="6">
        <v>7457450</v>
      </c>
      <c r="BD30" s="6">
        <v>6752600</v>
      </c>
      <c r="BE30" s="6">
        <v>6777100</v>
      </c>
      <c r="BF30" s="6">
        <v>7126800</v>
      </c>
      <c r="BG30" s="6">
        <v>7512800</v>
      </c>
      <c r="BH30" s="6">
        <v>7185100</v>
      </c>
      <c r="BI30" s="6">
        <v>9330100</v>
      </c>
    </row>
    <row r="31" spans="1:63" x14ac:dyDescent="0.4">
      <c r="A31" t="s">
        <v>34</v>
      </c>
      <c r="B31" s="6">
        <v>144000</v>
      </c>
      <c r="C31" s="6">
        <v>6831000</v>
      </c>
      <c r="D31" s="6">
        <v>6159000</v>
      </c>
      <c r="E31" s="6">
        <v>5934500</v>
      </c>
      <c r="F31" s="6">
        <v>7562500</v>
      </c>
      <c r="G31" s="6">
        <v>6655000</v>
      </c>
      <c r="H31" s="6">
        <v>5978000</v>
      </c>
      <c r="I31" s="6">
        <v>6216000</v>
      </c>
      <c r="J31" s="6">
        <v>5828000</v>
      </c>
      <c r="K31" s="6">
        <v>7082000</v>
      </c>
      <c r="L31" s="6">
        <v>7406000</v>
      </c>
      <c r="M31" s="6">
        <v>8058000</v>
      </c>
      <c r="N31" s="6">
        <v>8268000</v>
      </c>
      <c r="O31" s="6">
        <v>8857000</v>
      </c>
      <c r="P31" s="6">
        <v>9470000</v>
      </c>
      <c r="Q31" s="6">
        <v>8510500</v>
      </c>
      <c r="R31" s="6">
        <v>9286000</v>
      </c>
      <c r="S31" s="6">
        <v>7863500</v>
      </c>
      <c r="T31" s="6">
        <v>8120000</v>
      </c>
      <c r="U31" s="6">
        <v>7867000</v>
      </c>
      <c r="V31" s="6">
        <v>7418000</v>
      </c>
      <c r="W31" s="6">
        <v>8630000</v>
      </c>
      <c r="X31" s="6">
        <v>8640500</v>
      </c>
      <c r="Y31" s="6">
        <v>9895000</v>
      </c>
      <c r="Z31" s="6">
        <v>8844000</v>
      </c>
      <c r="AA31" s="6">
        <v>9774000</v>
      </c>
      <c r="AB31" s="6">
        <v>8625500</v>
      </c>
      <c r="AC31" s="6">
        <v>6593500</v>
      </c>
      <c r="AD31" s="6">
        <v>10137000</v>
      </c>
      <c r="AE31" s="6">
        <v>8912500</v>
      </c>
      <c r="AF31" s="6">
        <v>10304160</v>
      </c>
      <c r="AG31" s="6">
        <v>9959250</v>
      </c>
      <c r="AH31" s="6">
        <v>8365920</v>
      </c>
      <c r="AI31" s="6">
        <v>10340560</v>
      </c>
      <c r="AJ31" s="6">
        <v>10158810</v>
      </c>
      <c r="AK31" s="6">
        <v>10222190</v>
      </c>
      <c r="AL31" s="6">
        <v>10398840</v>
      </c>
      <c r="AM31" s="6">
        <v>9200510</v>
      </c>
      <c r="AN31" s="6">
        <v>9427790</v>
      </c>
      <c r="AO31" s="6">
        <v>9524120</v>
      </c>
      <c r="AP31" s="6">
        <v>9992710</v>
      </c>
      <c r="AQ31" s="6">
        <v>9086770</v>
      </c>
      <c r="AR31" s="6">
        <v>9713790</v>
      </c>
      <c r="AS31" s="6">
        <v>8808800</v>
      </c>
      <c r="AT31" s="6">
        <v>8056240</v>
      </c>
      <c r="AU31" s="6">
        <v>9428550</v>
      </c>
      <c r="AV31" s="6">
        <v>9091630</v>
      </c>
      <c r="AW31" s="6">
        <v>10477590</v>
      </c>
      <c r="AX31" s="6">
        <v>10186590</v>
      </c>
      <c r="AY31" s="6">
        <v>9130830</v>
      </c>
      <c r="AZ31" s="6">
        <v>9169920</v>
      </c>
      <c r="BA31" s="6">
        <v>8984620</v>
      </c>
      <c r="BB31" s="6">
        <v>10207850</v>
      </c>
      <c r="BC31" s="6">
        <v>8681140</v>
      </c>
      <c r="BD31" s="6">
        <v>8705650</v>
      </c>
      <c r="BE31" s="6">
        <v>7988460</v>
      </c>
      <c r="BF31" s="6">
        <v>7943530</v>
      </c>
      <c r="BG31" s="6">
        <v>9158030</v>
      </c>
      <c r="BH31" s="6">
        <v>9059550</v>
      </c>
      <c r="BI31" s="6">
        <v>10175060</v>
      </c>
    </row>
    <row r="32" spans="1:63" x14ac:dyDescent="0.4">
      <c r="A32" t="s">
        <v>35</v>
      </c>
      <c r="B32" s="6">
        <v>57500</v>
      </c>
      <c r="C32" s="6">
        <v>4348500</v>
      </c>
      <c r="D32" s="6">
        <v>4315500</v>
      </c>
      <c r="E32" s="6">
        <v>5101500</v>
      </c>
      <c r="F32" s="6">
        <v>5549500</v>
      </c>
      <c r="G32" s="6">
        <v>4949500</v>
      </c>
      <c r="H32" s="6">
        <v>5817000</v>
      </c>
      <c r="I32" s="6">
        <v>5412500</v>
      </c>
      <c r="J32" s="6">
        <v>5008500</v>
      </c>
      <c r="K32" s="6">
        <v>5805500</v>
      </c>
      <c r="L32" s="6">
        <v>5518500</v>
      </c>
      <c r="M32" s="6">
        <v>5676000</v>
      </c>
      <c r="N32" s="6">
        <v>6097000</v>
      </c>
      <c r="O32" s="6">
        <v>6223000</v>
      </c>
      <c r="P32" s="6">
        <v>6785000</v>
      </c>
      <c r="Q32" s="6">
        <v>6392500</v>
      </c>
      <c r="R32" s="6">
        <v>6694000</v>
      </c>
      <c r="S32" s="6">
        <v>5975500</v>
      </c>
      <c r="T32" s="6">
        <v>6672000</v>
      </c>
      <c r="U32" s="6">
        <v>6612000</v>
      </c>
      <c r="V32" s="6">
        <v>6523500</v>
      </c>
      <c r="W32" s="6">
        <v>7278000</v>
      </c>
      <c r="X32" s="6">
        <v>7228500</v>
      </c>
      <c r="Y32" s="6">
        <v>7412500</v>
      </c>
      <c r="Z32" s="6">
        <v>6903500</v>
      </c>
      <c r="AA32" s="6">
        <v>7517000</v>
      </c>
      <c r="AB32" s="6">
        <v>6519000</v>
      </c>
      <c r="AC32" s="6">
        <v>7099500</v>
      </c>
      <c r="AD32" s="6">
        <v>7770500</v>
      </c>
      <c r="AE32" s="6">
        <v>7152000</v>
      </c>
      <c r="AF32" s="6">
        <v>8600370</v>
      </c>
      <c r="AG32" s="6">
        <v>7240180</v>
      </c>
      <c r="AH32" s="6">
        <v>6589950</v>
      </c>
      <c r="AI32" s="6">
        <v>8158470</v>
      </c>
      <c r="AJ32" s="6">
        <v>8039210</v>
      </c>
      <c r="AK32" s="6">
        <v>8155310</v>
      </c>
      <c r="AL32" s="6">
        <v>4349930</v>
      </c>
      <c r="AM32" s="6">
        <v>4847960</v>
      </c>
      <c r="AN32" s="6">
        <v>4442210</v>
      </c>
      <c r="AO32" s="6">
        <v>3966950</v>
      </c>
      <c r="AP32" s="6">
        <v>3820070</v>
      </c>
      <c r="AQ32" s="6">
        <v>4038380</v>
      </c>
      <c r="AR32" s="6">
        <v>3968690</v>
      </c>
      <c r="AS32" s="6">
        <v>3736980</v>
      </c>
      <c r="AT32" s="6">
        <v>3670180</v>
      </c>
      <c r="AU32" s="6">
        <v>4407920</v>
      </c>
      <c r="AV32" s="6">
        <v>3984710</v>
      </c>
      <c r="AW32" s="6">
        <v>4381780</v>
      </c>
      <c r="AX32" s="6">
        <v>4284260</v>
      </c>
      <c r="AY32" s="6">
        <v>4021480</v>
      </c>
      <c r="AZ32" s="6">
        <v>4116370</v>
      </c>
      <c r="BA32" s="6">
        <v>3985290</v>
      </c>
      <c r="BB32" s="6">
        <v>5673450</v>
      </c>
      <c r="BC32" s="6">
        <v>4627720</v>
      </c>
      <c r="BD32" s="6">
        <v>4432120</v>
      </c>
      <c r="BE32" s="6">
        <v>4432560</v>
      </c>
      <c r="BF32" s="6">
        <v>4494040</v>
      </c>
      <c r="BG32" s="6">
        <v>4305240</v>
      </c>
      <c r="BH32" s="6">
        <v>4430440</v>
      </c>
      <c r="BI32" s="6">
        <v>4799860</v>
      </c>
    </row>
    <row r="33" spans="1:61" x14ac:dyDescent="0.4">
      <c r="A33" t="s">
        <v>36</v>
      </c>
      <c r="B33" s="6">
        <v>90500</v>
      </c>
      <c r="C33" s="6">
        <v>3334700</v>
      </c>
      <c r="D33" s="6">
        <v>2816400</v>
      </c>
      <c r="E33" s="6">
        <v>3062700</v>
      </c>
      <c r="F33" s="6">
        <v>4020000</v>
      </c>
      <c r="G33" s="6">
        <v>2774900</v>
      </c>
      <c r="H33" s="6">
        <v>3299400</v>
      </c>
      <c r="I33" s="6">
        <v>3546100</v>
      </c>
      <c r="J33" s="6">
        <v>2762000</v>
      </c>
      <c r="K33" s="6">
        <v>3428900</v>
      </c>
      <c r="L33" s="6">
        <v>3839800</v>
      </c>
      <c r="M33" s="6">
        <v>3875100</v>
      </c>
      <c r="N33" s="6">
        <v>3689700</v>
      </c>
      <c r="O33" s="6"/>
      <c r="P33" s="6"/>
      <c r="Q33" s="6">
        <v>622900</v>
      </c>
      <c r="R33" s="6">
        <v>2605600</v>
      </c>
      <c r="S33" s="6">
        <v>2628900</v>
      </c>
      <c r="T33" s="6">
        <v>3425650</v>
      </c>
      <c r="U33" s="6">
        <v>3031420</v>
      </c>
      <c r="V33" s="6">
        <v>2728000</v>
      </c>
      <c r="W33" s="6">
        <v>2979100</v>
      </c>
      <c r="X33" s="6">
        <v>3564900</v>
      </c>
      <c r="Y33" s="6">
        <v>4222900</v>
      </c>
      <c r="Z33" s="6">
        <v>3829500</v>
      </c>
      <c r="AA33" s="6">
        <v>4046700</v>
      </c>
      <c r="AB33" s="6">
        <v>3656900</v>
      </c>
      <c r="AC33" s="6">
        <v>4016500</v>
      </c>
      <c r="AD33" s="6">
        <v>4121300</v>
      </c>
      <c r="AE33" s="6">
        <v>3545900</v>
      </c>
      <c r="AF33" s="6">
        <v>4453100</v>
      </c>
      <c r="AG33" s="6">
        <v>3630700</v>
      </c>
      <c r="AH33" s="6">
        <v>3352600</v>
      </c>
      <c r="AI33" s="6">
        <v>3991900</v>
      </c>
      <c r="AJ33" s="6">
        <v>4224400</v>
      </c>
      <c r="AK33" s="6">
        <v>3970800</v>
      </c>
      <c r="AL33" s="6">
        <v>4164200</v>
      </c>
      <c r="AM33" s="6">
        <v>3726900</v>
      </c>
      <c r="AN33" s="6">
        <v>3913700</v>
      </c>
      <c r="AO33" s="6">
        <v>3583100</v>
      </c>
      <c r="AP33" s="6">
        <v>3996300</v>
      </c>
      <c r="AQ33" s="6">
        <v>3336200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1" x14ac:dyDescent="0.4">
      <c r="A34" t="s">
        <v>37</v>
      </c>
      <c r="B34" s="6">
        <v>239400</v>
      </c>
      <c r="C34" s="6">
        <v>6905600</v>
      </c>
      <c r="D34" s="6">
        <v>6378700</v>
      </c>
      <c r="E34" s="6">
        <v>6224500</v>
      </c>
      <c r="F34" s="6">
        <v>7510900</v>
      </c>
      <c r="G34" s="6">
        <v>6465700</v>
      </c>
      <c r="H34" s="6">
        <v>6587300</v>
      </c>
      <c r="I34" s="6">
        <v>6129100</v>
      </c>
      <c r="J34" s="6">
        <v>5368300</v>
      </c>
      <c r="K34" s="6">
        <v>6973200</v>
      </c>
      <c r="L34" s="6">
        <v>7346900</v>
      </c>
      <c r="M34" s="6">
        <v>9148400</v>
      </c>
      <c r="N34" s="6">
        <v>8081400</v>
      </c>
      <c r="O34" s="6">
        <v>9807800</v>
      </c>
      <c r="P34" s="6">
        <v>8905600</v>
      </c>
      <c r="Q34" s="6">
        <v>8269400</v>
      </c>
      <c r="R34" s="6">
        <v>9136700</v>
      </c>
      <c r="S34" s="6">
        <v>8250300</v>
      </c>
      <c r="T34" s="6">
        <v>7905100</v>
      </c>
      <c r="U34" s="6">
        <v>7259400</v>
      </c>
      <c r="V34" s="6">
        <v>6502500</v>
      </c>
      <c r="W34" s="6">
        <v>7969900</v>
      </c>
      <c r="X34" s="6">
        <v>7060900</v>
      </c>
      <c r="Y34" s="6">
        <v>5173300</v>
      </c>
      <c r="Z34" s="6">
        <v>4532100</v>
      </c>
      <c r="AA34" s="6">
        <v>5875700</v>
      </c>
      <c r="AB34" s="6">
        <v>4747700</v>
      </c>
      <c r="AC34" s="6">
        <v>4526400</v>
      </c>
      <c r="AD34" s="6">
        <v>4985700</v>
      </c>
      <c r="AE34" s="6">
        <v>4090500</v>
      </c>
      <c r="AF34" s="6">
        <v>4023040</v>
      </c>
      <c r="AG34" s="6">
        <v>4172390</v>
      </c>
      <c r="AH34" s="6">
        <v>3762640</v>
      </c>
      <c r="AI34" s="6">
        <v>4205350</v>
      </c>
      <c r="AJ34" s="6">
        <v>3666470</v>
      </c>
      <c r="AK34" s="6">
        <v>4222730</v>
      </c>
      <c r="AL34" s="6">
        <v>3695520</v>
      </c>
      <c r="AM34" s="6">
        <v>4522550</v>
      </c>
      <c r="AN34" s="6">
        <v>3685860</v>
      </c>
      <c r="AO34" s="6">
        <v>3820460</v>
      </c>
      <c r="AP34" s="6">
        <v>4110080</v>
      </c>
      <c r="AQ34" s="6">
        <v>3836690</v>
      </c>
      <c r="AR34" s="6">
        <v>4385550</v>
      </c>
      <c r="AS34" s="6">
        <v>3810630</v>
      </c>
      <c r="AT34" s="6">
        <v>3528430</v>
      </c>
      <c r="AU34" s="6">
        <v>4233650</v>
      </c>
      <c r="AV34" s="6">
        <v>3985300</v>
      </c>
      <c r="AW34" s="6">
        <v>4156940</v>
      </c>
      <c r="AX34" s="6">
        <v>4091750</v>
      </c>
      <c r="AY34" s="6">
        <v>172290</v>
      </c>
    </row>
    <row r="35" spans="1:61" x14ac:dyDescent="0.4">
      <c r="A35" t="s">
        <v>38</v>
      </c>
      <c r="B35" s="6">
        <v>136500</v>
      </c>
      <c r="C35" s="6">
        <v>3523000</v>
      </c>
      <c r="D35" s="6">
        <v>3599000</v>
      </c>
      <c r="E35" s="6">
        <v>3430500</v>
      </c>
      <c r="F35" s="6">
        <v>4718000</v>
      </c>
      <c r="G35" s="6">
        <v>4005500</v>
      </c>
      <c r="H35" s="6">
        <v>4507500</v>
      </c>
      <c r="I35" s="6">
        <v>4153000</v>
      </c>
      <c r="J35" s="6">
        <v>3738000</v>
      </c>
      <c r="K35" s="6">
        <v>4629500</v>
      </c>
      <c r="L35" s="6">
        <v>4502500</v>
      </c>
      <c r="M35" s="6">
        <v>5310500</v>
      </c>
      <c r="N35" s="6">
        <v>5380500</v>
      </c>
      <c r="O35" s="6">
        <v>5842000</v>
      </c>
      <c r="P35" s="6">
        <v>5876000</v>
      </c>
      <c r="Q35" s="6">
        <v>5467000</v>
      </c>
      <c r="R35" s="6">
        <v>6178500</v>
      </c>
      <c r="S35" s="6">
        <v>4951500</v>
      </c>
      <c r="T35" s="6">
        <v>5222000</v>
      </c>
      <c r="U35" s="6">
        <v>4723000</v>
      </c>
      <c r="V35" s="6">
        <v>4998000</v>
      </c>
      <c r="W35" s="6">
        <v>5545500</v>
      </c>
      <c r="X35" s="6">
        <v>5388000</v>
      </c>
      <c r="Y35" s="6">
        <v>6160000</v>
      </c>
      <c r="Z35" s="6">
        <v>5806000</v>
      </c>
      <c r="AA35" s="6">
        <v>6546000</v>
      </c>
      <c r="AB35" s="6">
        <v>4618500</v>
      </c>
      <c r="AC35" s="6">
        <v>4493000</v>
      </c>
      <c r="AD35" s="6">
        <v>5190000</v>
      </c>
      <c r="AE35" s="6">
        <v>4649000</v>
      </c>
      <c r="AF35" s="6">
        <v>4501500</v>
      </c>
      <c r="AG35" s="6">
        <v>4393700</v>
      </c>
      <c r="AH35" s="6">
        <v>3417950</v>
      </c>
      <c r="AI35" s="6">
        <v>4395900</v>
      </c>
      <c r="AJ35" s="6">
        <v>4733750</v>
      </c>
      <c r="AK35" s="6">
        <v>4240850</v>
      </c>
      <c r="AL35" s="6">
        <v>4766250</v>
      </c>
      <c r="AM35" s="6">
        <v>4913550</v>
      </c>
      <c r="AN35" s="6">
        <v>4297850</v>
      </c>
      <c r="AO35" s="6">
        <v>3721000</v>
      </c>
      <c r="AP35" s="6">
        <v>3964200</v>
      </c>
      <c r="AQ35" s="6">
        <v>3871100</v>
      </c>
      <c r="AR35" s="6">
        <v>4075650</v>
      </c>
      <c r="AS35" s="6">
        <v>3486550</v>
      </c>
      <c r="AT35" s="6">
        <v>3385350</v>
      </c>
      <c r="AU35" s="6">
        <v>4213150</v>
      </c>
      <c r="AV35" s="6">
        <v>3762200</v>
      </c>
      <c r="AW35" s="6">
        <v>4398710</v>
      </c>
      <c r="AX35" s="6">
        <v>4626040</v>
      </c>
      <c r="AY35" s="6">
        <v>5097490</v>
      </c>
      <c r="AZ35" s="6">
        <v>4871310</v>
      </c>
      <c r="BA35" s="6">
        <v>5063830</v>
      </c>
      <c r="BB35" s="6">
        <v>6045340</v>
      </c>
      <c r="BC35" s="6">
        <v>4818550</v>
      </c>
      <c r="BD35" s="6">
        <v>4600150</v>
      </c>
      <c r="BE35" s="6">
        <v>4119540</v>
      </c>
      <c r="BF35" s="6">
        <v>4270330</v>
      </c>
      <c r="BG35" s="6">
        <v>4789250</v>
      </c>
      <c r="BH35" s="6">
        <v>4757300</v>
      </c>
      <c r="BI35" s="6">
        <v>5403610</v>
      </c>
    </row>
    <row r="36" spans="1:61" x14ac:dyDescent="0.4">
      <c r="A36" t="s">
        <v>39</v>
      </c>
      <c r="B36" s="6">
        <v>44000</v>
      </c>
      <c r="C36" s="6">
        <v>3382000</v>
      </c>
      <c r="D36" s="6">
        <v>2840000</v>
      </c>
      <c r="E36" s="6">
        <v>3155000</v>
      </c>
      <c r="F36" s="6">
        <v>4446000</v>
      </c>
      <c r="G36" s="6">
        <v>3687500</v>
      </c>
      <c r="H36" s="6">
        <v>3863000</v>
      </c>
      <c r="I36" s="6">
        <v>4102500</v>
      </c>
      <c r="J36" s="6">
        <v>3513500</v>
      </c>
      <c r="K36" s="6">
        <v>4040500</v>
      </c>
      <c r="L36" s="6">
        <v>4175000</v>
      </c>
      <c r="M36" s="6">
        <v>3637000</v>
      </c>
      <c r="N36" s="6">
        <v>3887000</v>
      </c>
      <c r="O36" s="6">
        <v>4849500</v>
      </c>
      <c r="P36" s="6">
        <v>4727500</v>
      </c>
      <c r="Q36" s="6">
        <v>3935000</v>
      </c>
      <c r="R36" s="6">
        <v>4866000</v>
      </c>
      <c r="S36" s="6">
        <v>4560000</v>
      </c>
      <c r="T36" s="6">
        <v>5093500</v>
      </c>
      <c r="U36" s="6">
        <v>5897500</v>
      </c>
      <c r="V36" s="6">
        <v>4887000</v>
      </c>
      <c r="W36" s="6">
        <v>5437500</v>
      </c>
      <c r="X36" s="6">
        <v>5194500</v>
      </c>
      <c r="Y36" s="6">
        <v>5701500</v>
      </c>
      <c r="Z36" s="6">
        <v>5058680</v>
      </c>
      <c r="AA36" s="6">
        <v>6213750</v>
      </c>
      <c r="AB36" s="6">
        <v>5166770</v>
      </c>
      <c r="AC36" s="6">
        <v>5551660</v>
      </c>
      <c r="AD36" s="6">
        <v>5641400</v>
      </c>
      <c r="AE36" s="6">
        <v>6405160</v>
      </c>
      <c r="AF36" s="6">
        <v>5595300</v>
      </c>
      <c r="AG36" s="6">
        <v>6130550</v>
      </c>
      <c r="AH36" s="6">
        <v>5898050</v>
      </c>
      <c r="AI36" s="6">
        <v>6421200</v>
      </c>
      <c r="AJ36" s="6">
        <v>5881500</v>
      </c>
      <c r="AK36" s="6">
        <v>5735050</v>
      </c>
      <c r="AL36" s="6">
        <v>5822650</v>
      </c>
      <c r="AM36" s="6">
        <v>6249400</v>
      </c>
      <c r="AN36" s="6">
        <v>5303450</v>
      </c>
      <c r="AO36" s="6">
        <v>5839850</v>
      </c>
      <c r="AP36" s="6">
        <v>6539550</v>
      </c>
      <c r="AQ36" s="6">
        <v>6325350</v>
      </c>
      <c r="AR36" s="6">
        <v>6008700</v>
      </c>
      <c r="AS36" s="6">
        <v>6261450</v>
      </c>
      <c r="AT36" s="6">
        <v>5487800</v>
      </c>
      <c r="AU36" s="6">
        <v>6840150</v>
      </c>
      <c r="AV36" s="6">
        <v>5798950</v>
      </c>
      <c r="AW36" s="6">
        <v>6543150</v>
      </c>
      <c r="AX36" s="6">
        <v>6225650</v>
      </c>
      <c r="AY36" s="6">
        <v>5765000</v>
      </c>
      <c r="AZ36" s="6">
        <v>5607200</v>
      </c>
      <c r="BA36" s="6">
        <v>5695500</v>
      </c>
      <c r="BB36" s="6">
        <v>7198350</v>
      </c>
      <c r="BC36" s="6">
        <v>6109700</v>
      </c>
      <c r="BD36" s="6">
        <v>6027150</v>
      </c>
      <c r="BE36" s="6">
        <v>5981600</v>
      </c>
      <c r="BF36" s="6">
        <v>5618600</v>
      </c>
      <c r="BG36" s="6">
        <v>5493850</v>
      </c>
      <c r="BH36" s="6">
        <v>5848050</v>
      </c>
      <c r="BI36" s="6">
        <v>6295450</v>
      </c>
    </row>
    <row r="37" spans="1:61" x14ac:dyDescent="0.4">
      <c r="A37" t="s">
        <v>40</v>
      </c>
      <c r="B37" s="6">
        <v>39000</v>
      </c>
      <c r="C37" s="6">
        <v>2775000</v>
      </c>
      <c r="D37" s="6">
        <v>3072500</v>
      </c>
      <c r="E37" s="6">
        <v>3196500</v>
      </c>
      <c r="F37" s="6">
        <v>3637500</v>
      </c>
      <c r="G37" s="6">
        <v>3383000</v>
      </c>
      <c r="H37" s="6">
        <v>3501000</v>
      </c>
      <c r="I37" s="6">
        <v>3574500</v>
      </c>
      <c r="J37" s="6">
        <v>3500000</v>
      </c>
      <c r="K37" s="6">
        <v>3440500</v>
      </c>
      <c r="L37" s="6">
        <v>2538000</v>
      </c>
      <c r="M37" s="6">
        <v>2498000</v>
      </c>
      <c r="N37" s="6">
        <v>2493500</v>
      </c>
      <c r="O37" s="6">
        <v>2600500</v>
      </c>
      <c r="P37" s="6">
        <v>3094000</v>
      </c>
      <c r="Q37" s="6">
        <v>2442500</v>
      </c>
      <c r="R37" s="6">
        <v>2364500</v>
      </c>
      <c r="S37" s="6">
        <v>2384500</v>
      </c>
      <c r="T37" s="6">
        <v>2424000</v>
      </c>
      <c r="U37" s="6">
        <v>2680000</v>
      </c>
      <c r="V37" s="6">
        <v>2526500</v>
      </c>
      <c r="W37" s="6">
        <v>2624000</v>
      </c>
      <c r="X37" s="6">
        <v>2745500</v>
      </c>
      <c r="Y37" s="6">
        <v>2892000</v>
      </c>
      <c r="Z37" s="6">
        <v>2676000</v>
      </c>
      <c r="AA37" s="6">
        <v>3282000</v>
      </c>
      <c r="AB37" s="6">
        <v>2582000</v>
      </c>
      <c r="AC37" s="6">
        <v>3027000</v>
      </c>
      <c r="AD37" s="6">
        <v>2887500</v>
      </c>
      <c r="AE37" s="6">
        <v>2593000</v>
      </c>
      <c r="AF37" s="6">
        <v>2633000</v>
      </c>
      <c r="AG37" s="6">
        <v>2632000</v>
      </c>
      <c r="AH37" s="6">
        <v>2539000</v>
      </c>
      <c r="AI37" s="6">
        <v>2811500</v>
      </c>
      <c r="AJ37" s="6">
        <v>2873000</v>
      </c>
      <c r="AK37" s="6">
        <v>2705000</v>
      </c>
      <c r="AL37" s="6">
        <v>2625500</v>
      </c>
      <c r="AM37" s="6">
        <v>2910500</v>
      </c>
      <c r="AN37" s="6">
        <v>2498000</v>
      </c>
      <c r="AO37" s="6">
        <v>2520000</v>
      </c>
      <c r="AP37" s="6">
        <v>2565500</v>
      </c>
      <c r="AQ37" s="6">
        <v>2375000</v>
      </c>
      <c r="AR37" s="6">
        <v>2636500</v>
      </c>
      <c r="AS37" s="6">
        <v>2869000</v>
      </c>
      <c r="AT37" s="6">
        <v>2224000</v>
      </c>
      <c r="AU37" s="6">
        <v>2613500</v>
      </c>
      <c r="AV37" s="6">
        <v>2050000</v>
      </c>
      <c r="AW37" s="6">
        <v>2087000</v>
      </c>
      <c r="AX37" s="6">
        <v>2147000</v>
      </c>
      <c r="AY37" s="6">
        <v>1807000</v>
      </c>
      <c r="AZ37" s="6">
        <v>2435500</v>
      </c>
      <c r="BA37" s="6">
        <v>2300450</v>
      </c>
      <c r="BB37" s="6">
        <v>2230300</v>
      </c>
      <c r="BC37" s="6">
        <v>2264310</v>
      </c>
      <c r="BD37" s="6">
        <v>2289640</v>
      </c>
      <c r="BE37" s="6">
        <v>1692500</v>
      </c>
      <c r="BF37" s="6">
        <v>1678500</v>
      </c>
      <c r="BG37" s="6">
        <v>1907000</v>
      </c>
      <c r="BH37" s="6">
        <v>1801500</v>
      </c>
      <c r="BI37" s="6">
        <v>2014500</v>
      </c>
    </row>
    <row r="38" spans="1:61" x14ac:dyDescent="0.4">
      <c r="A38" t="s">
        <v>41</v>
      </c>
      <c r="B38" s="6">
        <v>67500</v>
      </c>
      <c r="C38" s="6">
        <v>4295900</v>
      </c>
      <c r="D38" s="6">
        <v>4795700</v>
      </c>
      <c r="E38" s="6">
        <v>5295000</v>
      </c>
      <c r="F38" s="6">
        <v>5872100</v>
      </c>
      <c r="G38" s="6">
        <v>5011300</v>
      </c>
      <c r="H38" s="6">
        <v>4442500</v>
      </c>
      <c r="I38" s="6">
        <v>5111200</v>
      </c>
      <c r="J38" s="6">
        <v>5327000</v>
      </c>
      <c r="K38" s="6">
        <v>5967700</v>
      </c>
      <c r="L38" s="6">
        <v>6499500</v>
      </c>
      <c r="M38" s="6">
        <v>7031700</v>
      </c>
      <c r="N38" s="6">
        <v>7347500</v>
      </c>
      <c r="O38" s="6">
        <v>8451000</v>
      </c>
      <c r="P38" s="6">
        <v>8659500</v>
      </c>
      <c r="Q38" s="6">
        <v>8720000</v>
      </c>
      <c r="R38" s="6">
        <v>8181500</v>
      </c>
      <c r="S38" s="6">
        <v>7156500</v>
      </c>
      <c r="T38" s="6">
        <v>7193500</v>
      </c>
      <c r="U38" s="6">
        <v>6945500</v>
      </c>
      <c r="V38" s="6">
        <v>7067500</v>
      </c>
      <c r="W38" s="6">
        <v>9056000</v>
      </c>
      <c r="X38" s="6">
        <v>8582500</v>
      </c>
      <c r="Y38" s="6">
        <v>9666000</v>
      </c>
      <c r="Z38" s="6">
        <v>8909370</v>
      </c>
      <c r="AA38" s="6">
        <v>9851230</v>
      </c>
      <c r="AB38" s="6">
        <v>9063890</v>
      </c>
      <c r="AC38" s="6">
        <v>8842310</v>
      </c>
      <c r="AD38" s="6">
        <v>8798800</v>
      </c>
      <c r="AE38" s="6">
        <v>8265090</v>
      </c>
      <c r="AF38" s="6">
        <v>7012000</v>
      </c>
      <c r="AG38" s="6">
        <v>6992300</v>
      </c>
      <c r="AH38" s="6">
        <v>7084800</v>
      </c>
      <c r="AI38" s="6">
        <v>8727050</v>
      </c>
      <c r="AJ38" s="6">
        <v>6940900</v>
      </c>
      <c r="AK38" s="6">
        <v>6626600</v>
      </c>
      <c r="AL38" s="6">
        <v>6642050</v>
      </c>
      <c r="AM38" s="6">
        <v>7487500</v>
      </c>
      <c r="AN38" s="6">
        <v>8021000</v>
      </c>
      <c r="AO38" s="6">
        <v>7478150</v>
      </c>
      <c r="AP38" s="6">
        <v>7348800</v>
      </c>
      <c r="AQ38" s="6">
        <v>7505500</v>
      </c>
      <c r="AR38" s="6">
        <v>7187950</v>
      </c>
      <c r="AS38" s="6">
        <v>6239300</v>
      </c>
      <c r="AT38" s="6">
        <v>6536650</v>
      </c>
      <c r="AU38" s="6">
        <v>6964750</v>
      </c>
      <c r="AV38" s="6">
        <v>7007700</v>
      </c>
      <c r="AW38" s="6">
        <v>8140100</v>
      </c>
      <c r="AX38" s="6">
        <v>7768850</v>
      </c>
      <c r="AY38" s="6">
        <v>7097300</v>
      </c>
      <c r="AZ38" s="6">
        <v>7523750</v>
      </c>
      <c r="BA38" s="6">
        <v>7520450</v>
      </c>
      <c r="BB38" s="6">
        <v>8731950</v>
      </c>
      <c r="BC38" s="6">
        <v>7972700</v>
      </c>
      <c r="BD38" s="6">
        <v>7717000</v>
      </c>
      <c r="BE38" s="6">
        <v>6783600</v>
      </c>
      <c r="BF38" s="6">
        <v>6183400</v>
      </c>
      <c r="BG38" s="6">
        <v>6019550</v>
      </c>
      <c r="BH38" s="6">
        <v>5983250</v>
      </c>
      <c r="BI38" s="6">
        <v>6380200</v>
      </c>
    </row>
    <row r="39" spans="1:61" x14ac:dyDescent="0.4">
      <c r="A39" t="s">
        <v>42</v>
      </c>
      <c r="B39" s="6">
        <v>89400</v>
      </c>
      <c r="C39" s="6">
        <v>3413700</v>
      </c>
      <c r="D39" s="6">
        <v>2981400</v>
      </c>
      <c r="E39" s="6">
        <v>2960500</v>
      </c>
      <c r="F39" s="6">
        <v>3840500</v>
      </c>
      <c r="G39" s="6">
        <v>2901500</v>
      </c>
      <c r="H39" s="6">
        <v>3291700</v>
      </c>
      <c r="I39" s="6">
        <v>3579200</v>
      </c>
      <c r="J39" s="6">
        <v>3537700</v>
      </c>
      <c r="K39" s="6">
        <v>3980400</v>
      </c>
      <c r="L39" s="6">
        <v>4165700</v>
      </c>
      <c r="M39" s="6">
        <v>4105200</v>
      </c>
      <c r="N39" s="6">
        <v>4532400</v>
      </c>
      <c r="O39" s="6">
        <v>4927100</v>
      </c>
      <c r="P39" s="6">
        <v>5012400</v>
      </c>
      <c r="Q39" s="6">
        <v>4472900</v>
      </c>
      <c r="R39" s="6">
        <v>5367100</v>
      </c>
      <c r="S39" s="6">
        <v>4912000</v>
      </c>
      <c r="T39" s="6">
        <v>4531800</v>
      </c>
      <c r="U39" s="6">
        <v>4314800</v>
      </c>
      <c r="V39" s="6">
        <v>3914200</v>
      </c>
      <c r="W39" s="6">
        <v>4417000</v>
      </c>
      <c r="X39" s="6">
        <v>4726300</v>
      </c>
      <c r="Y39" s="6">
        <v>4946500</v>
      </c>
      <c r="Z39" s="6">
        <v>4144600</v>
      </c>
      <c r="AA39" s="6">
        <v>4947200</v>
      </c>
      <c r="AB39" s="6">
        <v>4325800</v>
      </c>
      <c r="AC39" s="6">
        <v>4159300</v>
      </c>
      <c r="AD39" s="6">
        <v>4656500</v>
      </c>
      <c r="AE39" s="6">
        <v>3805900</v>
      </c>
      <c r="AF39" s="6">
        <v>3773330</v>
      </c>
      <c r="AG39" s="6">
        <v>3837040</v>
      </c>
      <c r="AH39" s="6">
        <v>3562310</v>
      </c>
      <c r="AI39" s="6">
        <v>4502550</v>
      </c>
      <c r="AJ39" s="6">
        <v>4596930</v>
      </c>
      <c r="AK39" s="6">
        <v>4246310</v>
      </c>
      <c r="AL39" s="6">
        <v>4389690</v>
      </c>
      <c r="AM39" s="6">
        <v>4113520</v>
      </c>
      <c r="AN39" s="6">
        <v>4094980</v>
      </c>
      <c r="AO39" s="6">
        <v>3907140</v>
      </c>
      <c r="AP39" s="6">
        <v>4554520</v>
      </c>
      <c r="AQ39" s="6">
        <v>4486390</v>
      </c>
      <c r="AR39" s="6">
        <v>3620670</v>
      </c>
      <c r="AS39" s="6">
        <v>3827510</v>
      </c>
      <c r="AT39" s="6">
        <v>3578310</v>
      </c>
      <c r="AU39" s="6">
        <v>4034280</v>
      </c>
      <c r="AV39" s="6">
        <v>3609630</v>
      </c>
      <c r="AW39" s="6">
        <v>4169110</v>
      </c>
      <c r="AX39" s="6">
        <v>3942120</v>
      </c>
      <c r="AY39" s="6">
        <v>3983110</v>
      </c>
      <c r="AZ39" s="6">
        <v>4925070</v>
      </c>
      <c r="BA39" s="6">
        <v>4079270</v>
      </c>
      <c r="BB39" s="6">
        <v>5311570</v>
      </c>
      <c r="BC39" s="6">
        <v>4556520</v>
      </c>
      <c r="BD39" s="6">
        <v>4167600</v>
      </c>
      <c r="BE39" s="6">
        <v>4815420</v>
      </c>
      <c r="BF39" s="6">
        <v>3909970</v>
      </c>
      <c r="BG39" s="6">
        <v>4415060</v>
      </c>
      <c r="BH39" s="6">
        <v>4781420</v>
      </c>
      <c r="BI39" s="6">
        <v>3878790</v>
      </c>
    </row>
    <row r="40" spans="1:61" x14ac:dyDescent="0.4">
      <c r="A40" t="s">
        <v>43</v>
      </c>
      <c r="B40" s="6">
        <v>56500</v>
      </c>
      <c r="C40" s="6">
        <v>2157000</v>
      </c>
      <c r="D40" s="6">
        <v>1802500</v>
      </c>
      <c r="E40" s="6">
        <v>2085800</v>
      </c>
      <c r="F40" s="6">
        <v>1754900</v>
      </c>
      <c r="G40" s="6">
        <v>1829400</v>
      </c>
      <c r="H40" s="6">
        <v>2173700</v>
      </c>
      <c r="I40" s="6">
        <v>2247700</v>
      </c>
      <c r="J40" s="6">
        <v>1815700</v>
      </c>
      <c r="K40" s="6">
        <v>2280700</v>
      </c>
      <c r="L40" s="6">
        <v>2402400</v>
      </c>
      <c r="M40" s="6">
        <v>2021800</v>
      </c>
      <c r="N40" s="6">
        <v>2348200</v>
      </c>
      <c r="O40" s="6">
        <v>2297800</v>
      </c>
      <c r="P40" s="6">
        <v>2373900</v>
      </c>
      <c r="Q40" s="6">
        <v>2455700</v>
      </c>
      <c r="R40" s="6">
        <v>2593600</v>
      </c>
      <c r="S40" s="6">
        <v>2362200</v>
      </c>
      <c r="T40" s="6">
        <v>3549900</v>
      </c>
      <c r="U40" s="6">
        <v>3446900</v>
      </c>
      <c r="V40" s="6">
        <v>2333400</v>
      </c>
      <c r="W40" s="6">
        <v>2565000</v>
      </c>
      <c r="X40" s="6">
        <v>2633500</v>
      </c>
      <c r="Y40" s="6">
        <v>2887200</v>
      </c>
      <c r="Z40" s="6">
        <v>2367300</v>
      </c>
      <c r="AA40" s="6">
        <v>3063900</v>
      </c>
      <c r="AB40" s="6">
        <v>2412400</v>
      </c>
      <c r="AC40" s="6">
        <v>2433100</v>
      </c>
      <c r="AD40" s="6">
        <v>2688300</v>
      </c>
      <c r="AE40" s="6">
        <v>2453300</v>
      </c>
      <c r="AF40" s="6">
        <v>4158320</v>
      </c>
      <c r="AG40" s="6">
        <v>2739080</v>
      </c>
      <c r="AH40" s="6">
        <v>2698170</v>
      </c>
      <c r="AI40" s="6">
        <v>2642500</v>
      </c>
      <c r="AJ40" s="6">
        <v>2787600</v>
      </c>
      <c r="AK40" s="6">
        <v>2757390</v>
      </c>
      <c r="AL40" s="6">
        <v>3114190</v>
      </c>
      <c r="AM40" s="6">
        <v>3444110</v>
      </c>
      <c r="AN40" s="6">
        <v>3157970</v>
      </c>
      <c r="AO40" s="6">
        <v>3265070</v>
      </c>
      <c r="AP40" s="6">
        <v>3163600</v>
      </c>
      <c r="AQ40" s="6">
        <v>3183660</v>
      </c>
      <c r="AR40" s="6">
        <v>3240240</v>
      </c>
      <c r="AS40" s="6">
        <v>3495420</v>
      </c>
      <c r="AT40" s="6">
        <v>3756470</v>
      </c>
      <c r="AU40" s="6">
        <v>3430820</v>
      </c>
      <c r="AV40" s="6">
        <v>2802190</v>
      </c>
      <c r="AW40" s="6">
        <v>3761640</v>
      </c>
      <c r="AX40" s="6">
        <v>3099590</v>
      </c>
      <c r="AY40" s="6">
        <v>3173740</v>
      </c>
      <c r="AZ40" s="6">
        <v>2960550</v>
      </c>
      <c r="BA40" s="6">
        <v>3057040</v>
      </c>
      <c r="BB40" s="6">
        <v>4217940</v>
      </c>
      <c r="BC40" s="6">
        <v>3172270</v>
      </c>
      <c r="BD40" s="6">
        <v>3414410</v>
      </c>
      <c r="BE40" s="6">
        <v>5545890</v>
      </c>
      <c r="BF40" s="6">
        <v>3528640</v>
      </c>
      <c r="BG40" s="6">
        <v>2999520</v>
      </c>
      <c r="BH40" s="6">
        <v>2843980</v>
      </c>
      <c r="BI40" s="6">
        <v>3719600</v>
      </c>
    </row>
    <row r="41" spans="1:61" x14ac:dyDescent="0.4">
      <c r="A41" t="s">
        <v>53</v>
      </c>
      <c r="B41" s="6"/>
      <c r="C41" s="6"/>
      <c r="D41" s="6"/>
      <c r="E41" s="6"/>
      <c r="F41" s="6">
        <v>1289150</v>
      </c>
      <c r="G41" s="6">
        <v>2013740</v>
      </c>
      <c r="H41" s="6">
        <v>2424500</v>
      </c>
      <c r="I41" s="6">
        <v>2580000</v>
      </c>
      <c r="J41" s="6">
        <v>2591000</v>
      </c>
      <c r="K41" s="6">
        <v>2889500</v>
      </c>
      <c r="L41" s="6">
        <v>2652000</v>
      </c>
      <c r="M41" s="6">
        <v>2799000</v>
      </c>
      <c r="N41" s="6">
        <v>2375720</v>
      </c>
      <c r="O41" s="6">
        <v>2797610</v>
      </c>
      <c r="P41" s="6">
        <v>3660000</v>
      </c>
      <c r="Q41" s="6">
        <v>2954500</v>
      </c>
      <c r="R41" s="6">
        <v>2981500</v>
      </c>
      <c r="S41" s="6">
        <v>3019000</v>
      </c>
      <c r="T41" s="6">
        <v>2459500</v>
      </c>
      <c r="U41" s="6">
        <v>3147500</v>
      </c>
      <c r="V41" s="6">
        <v>2856500</v>
      </c>
      <c r="W41" s="6">
        <v>3237000</v>
      </c>
      <c r="X41" s="6">
        <v>3418500</v>
      </c>
      <c r="Y41" s="6">
        <v>3776500</v>
      </c>
      <c r="Z41" s="6">
        <v>3425000</v>
      </c>
      <c r="AA41" s="6">
        <v>1500500</v>
      </c>
      <c r="AB41" s="6">
        <v>1951720</v>
      </c>
      <c r="AC41" s="6">
        <v>2518800</v>
      </c>
      <c r="AD41" s="6">
        <v>3338710</v>
      </c>
      <c r="AE41" s="6">
        <v>3103000</v>
      </c>
      <c r="AF41" s="6">
        <v>3116900</v>
      </c>
      <c r="AG41" s="6">
        <v>2796650</v>
      </c>
      <c r="AH41" s="6">
        <v>2680100</v>
      </c>
      <c r="AI41" s="6">
        <v>3325250</v>
      </c>
      <c r="AJ41" s="6">
        <v>3368950</v>
      </c>
      <c r="AK41" s="6">
        <v>3823050</v>
      </c>
      <c r="AL41" s="6">
        <v>4317000</v>
      </c>
      <c r="AM41" s="6">
        <v>4481750</v>
      </c>
      <c r="AN41" s="6">
        <v>3986950</v>
      </c>
      <c r="AO41" s="6">
        <v>3603400</v>
      </c>
      <c r="AP41" s="6">
        <v>4104050</v>
      </c>
      <c r="AQ41" s="6">
        <v>3799350</v>
      </c>
      <c r="AR41" s="6">
        <v>3310450</v>
      </c>
      <c r="AS41" s="6">
        <v>3371650</v>
      </c>
      <c r="AT41" s="6">
        <v>3087300</v>
      </c>
      <c r="AU41" s="6">
        <v>4062050</v>
      </c>
      <c r="AV41" s="6">
        <v>3895800</v>
      </c>
      <c r="AW41" s="6">
        <v>4959750</v>
      </c>
      <c r="AX41" s="6">
        <v>5335850</v>
      </c>
      <c r="AY41" s="6">
        <v>5495900</v>
      </c>
      <c r="AZ41" s="6">
        <v>4486000</v>
      </c>
      <c r="BA41" s="6">
        <v>4578350</v>
      </c>
      <c r="BB41" s="6">
        <v>5653900</v>
      </c>
      <c r="BC41" s="6">
        <v>4769050</v>
      </c>
      <c r="BD41" s="6">
        <v>4152050</v>
      </c>
      <c r="BE41" s="6">
        <v>4042800</v>
      </c>
      <c r="BF41" s="6">
        <v>3556600</v>
      </c>
      <c r="BG41" s="6">
        <v>4412400</v>
      </c>
      <c r="BH41" s="6">
        <v>4351350</v>
      </c>
      <c r="BI41" s="6">
        <v>5360700</v>
      </c>
    </row>
    <row r="42" spans="1:61" x14ac:dyDescent="0.4">
      <c r="A42" t="s">
        <v>52</v>
      </c>
      <c r="E42" s="6"/>
      <c r="F42" s="6"/>
      <c r="G42" s="6">
        <v>1520790</v>
      </c>
      <c r="H42" s="6">
        <v>2278440</v>
      </c>
      <c r="I42" s="6">
        <v>2553000</v>
      </c>
      <c r="J42" s="6">
        <v>2163000</v>
      </c>
      <c r="K42" s="6">
        <v>3154500</v>
      </c>
      <c r="L42" s="6">
        <v>2947500</v>
      </c>
      <c r="M42" s="6">
        <v>2854000</v>
      </c>
      <c r="N42" s="6">
        <v>3256500</v>
      </c>
      <c r="O42" s="6">
        <v>3734000</v>
      </c>
      <c r="P42" s="6">
        <v>3626500</v>
      </c>
      <c r="Q42" s="6">
        <v>3587500</v>
      </c>
      <c r="R42" s="6">
        <v>4181000</v>
      </c>
      <c r="S42" s="6">
        <v>4067500</v>
      </c>
      <c r="T42" s="6">
        <v>3968500</v>
      </c>
      <c r="U42" s="6">
        <v>4060000</v>
      </c>
      <c r="V42" s="6">
        <v>3699500</v>
      </c>
      <c r="W42" s="6">
        <v>4264000</v>
      </c>
      <c r="X42" s="6">
        <v>4418000</v>
      </c>
      <c r="Y42" s="6">
        <v>4132500</v>
      </c>
      <c r="Z42" s="6">
        <v>4034000</v>
      </c>
      <c r="AA42" s="6">
        <v>4412500</v>
      </c>
      <c r="AB42" s="6">
        <v>4341000</v>
      </c>
      <c r="AC42" s="6">
        <v>4126500</v>
      </c>
      <c r="AD42" s="6">
        <v>5218000</v>
      </c>
      <c r="AE42" s="6">
        <v>4975500</v>
      </c>
      <c r="AF42" s="6">
        <v>5206520</v>
      </c>
      <c r="AG42" s="6">
        <v>5706320</v>
      </c>
      <c r="AH42" s="6">
        <v>4721000</v>
      </c>
      <c r="AI42" s="6">
        <v>5867080</v>
      </c>
      <c r="AJ42" s="6">
        <v>6128200</v>
      </c>
      <c r="AK42" s="6">
        <v>5807590</v>
      </c>
      <c r="AL42" s="6">
        <v>5598850</v>
      </c>
      <c r="AM42" s="6">
        <v>6604260</v>
      </c>
      <c r="AN42" s="6">
        <v>6218050</v>
      </c>
      <c r="AO42" s="6">
        <v>5795010</v>
      </c>
      <c r="AP42" s="6">
        <v>5965130</v>
      </c>
      <c r="AQ42" s="6">
        <v>5992110</v>
      </c>
      <c r="AR42" s="6">
        <v>5785480</v>
      </c>
      <c r="AS42" s="6">
        <v>5538750</v>
      </c>
      <c r="AT42" s="6">
        <v>5162330</v>
      </c>
      <c r="AU42" s="6">
        <v>6226820</v>
      </c>
      <c r="AV42" s="6">
        <v>6073540</v>
      </c>
      <c r="AW42" s="6">
        <v>6333110</v>
      </c>
      <c r="AX42" s="6">
        <v>6411230</v>
      </c>
      <c r="AY42" s="6">
        <v>6536210</v>
      </c>
      <c r="AZ42" s="6">
        <v>6419030</v>
      </c>
      <c r="BA42" s="6">
        <v>5097710</v>
      </c>
      <c r="BB42" s="6">
        <v>5987540</v>
      </c>
      <c r="BC42" s="6">
        <v>5386740</v>
      </c>
      <c r="BD42" s="6">
        <v>5605280</v>
      </c>
      <c r="BE42" s="6">
        <v>5573310</v>
      </c>
      <c r="BF42" s="6">
        <v>4244830</v>
      </c>
      <c r="BG42" s="6">
        <v>3994820</v>
      </c>
      <c r="BH42" s="6">
        <v>4176770</v>
      </c>
      <c r="BI42" s="6">
        <v>3942210</v>
      </c>
    </row>
    <row r="43" spans="1:61" x14ac:dyDescent="0.4">
      <c r="A43" t="s">
        <v>51</v>
      </c>
      <c r="B43" s="6">
        <v>29970</v>
      </c>
      <c r="C43" s="6">
        <v>3287960</v>
      </c>
      <c r="D43" s="6">
        <v>2387390</v>
      </c>
      <c r="E43" s="6">
        <v>2521000</v>
      </c>
      <c r="F43" s="6">
        <v>3215000</v>
      </c>
      <c r="G43" s="6">
        <v>2516500</v>
      </c>
      <c r="H43" s="6">
        <v>2867500</v>
      </c>
      <c r="I43" s="6">
        <v>3391000</v>
      </c>
      <c r="J43" s="6">
        <v>3092500</v>
      </c>
      <c r="K43" s="6">
        <v>3849500</v>
      </c>
      <c r="L43" s="6">
        <v>3768500</v>
      </c>
      <c r="M43" s="6">
        <v>4131500</v>
      </c>
      <c r="N43" s="6">
        <v>4446500</v>
      </c>
      <c r="O43" s="6">
        <v>5027500</v>
      </c>
      <c r="P43" s="6">
        <v>4878500</v>
      </c>
      <c r="Q43" s="6">
        <v>4243000</v>
      </c>
      <c r="R43" s="6">
        <v>4611500</v>
      </c>
      <c r="S43" s="6">
        <v>3921500</v>
      </c>
      <c r="T43" s="6">
        <v>4193500</v>
      </c>
      <c r="U43" s="6">
        <v>4418000</v>
      </c>
      <c r="V43" s="6">
        <v>3885000</v>
      </c>
      <c r="W43" s="6">
        <v>4209500</v>
      </c>
      <c r="X43" s="6">
        <v>4464000</v>
      </c>
      <c r="Y43" s="6">
        <v>4515500</v>
      </c>
      <c r="Z43" s="6">
        <v>4238000</v>
      </c>
      <c r="AA43" s="6">
        <v>4900500</v>
      </c>
      <c r="AB43" s="6">
        <v>4069500</v>
      </c>
      <c r="AC43" s="6">
        <v>4365000</v>
      </c>
      <c r="AD43" s="6">
        <v>4951000</v>
      </c>
      <c r="AE43" s="6">
        <v>4176500</v>
      </c>
      <c r="AF43" s="6">
        <v>4687550</v>
      </c>
      <c r="AG43" s="6">
        <v>4475750</v>
      </c>
      <c r="AH43" s="6">
        <v>4267750</v>
      </c>
      <c r="AI43" s="6">
        <v>4798100</v>
      </c>
      <c r="AJ43" s="6">
        <v>4518200</v>
      </c>
      <c r="AK43" s="6">
        <v>4710800</v>
      </c>
      <c r="AL43" s="6">
        <v>5156250</v>
      </c>
      <c r="AM43" s="6">
        <v>5440500</v>
      </c>
      <c r="AN43" s="6">
        <v>5001750</v>
      </c>
      <c r="AO43" s="6">
        <v>4776850</v>
      </c>
      <c r="AP43" s="6">
        <v>5601450</v>
      </c>
      <c r="AQ43" s="6">
        <v>4969600</v>
      </c>
      <c r="AR43" s="6">
        <v>5201650</v>
      </c>
      <c r="AS43" s="6">
        <v>5123150</v>
      </c>
      <c r="AT43" s="6">
        <v>4639400</v>
      </c>
      <c r="AU43" s="6">
        <v>5747200</v>
      </c>
      <c r="AV43" s="6">
        <v>5101950</v>
      </c>
      <c r="AW43" s="6">
        <v>5950300</v>
      </c>
      <c r="AX43" s="6">
        <v>5616350</v>
      </c>
      <c r="AY43" s="6">
        <v>5369250</v>
      </c>
      <c r="AZ43" s="6">
        <v>5152850</v>
      </c>
      <c r="BA43" s="6">
        <v>4687250</v>
      </c>
      <c r="BB43" s="6">
        <v>6236750</v>
      </c>
      <c r="BC43" s="6">
        <v>5809650</v>
      </c>
      <c r="BD43" s="6">
        <v>5420400</v>
      </c>
      <c r="BE43" s="6">
        <v>5669200</v>
      </c>
      <c r="BF43" s="6">
        <v>5079450</v>
      </c>
      <c r="BG43" s="6">
        <v>5508850</v>
      </c>
      <c r="BH43" s="6">
        <v>5041550</v>
      </c>
      <c r="BI43" s="6">
        <v>5847600</v>
      </c>
    </row>
    <row r="44" spans="1:61" x14ac:dyDescent="0.4">
      <c r="A44" t="s">
        <v>50</v>
      </c>
      <c r="B44" s="6"/>
      <c r="C44" s="6"/>
      <c r="D44" s="6"/>
      <c r="E44" s="6">
        <v>308500</v>
      </c>
      <c r="F44" s="6">
        <v>3024500</v>
      </c>
      <c r="G44" s="6">
        <v>3064500</v>
      </c>
      <c r="H44" s="6">
        <v>3022500</v>
      </c>
      <c r="I44" s="6">
        <v>3544000</v>
      </c>
      <c r="J44" s="6">
        <v>3473000</v>
      </c>
      <c r="K44" s="6">
        <v>3722000</v>
      </c>
      <c r="L44" s="6">
        <v>2977500</v>
      </c>
      <c r="M44" s="6">
        <v>2621000</v>
      </c>
      <c r="N44" s="6">
        <v>2760000</v>
      </c>
      <c r="O44" s="6">
        <v>3855500</v>
      </c>
      <c r="P44" s="6">
        <v>3651500</v>
      </c>
      <c r="Q44" s="6">
        <v>3556000</v>
      </c>
      <c r="R44" s="6">
        <v>3787500</v>
      </c>
      <c r="S44" s="6">
        <v>3138500</v>
      </c>
      <c r="T44" s="6">
        <v>3054500</v>
      </c>
      <c r="U44" s="6">
        <v>2760500</v>
      </c>
      <c r="V44" s="6">
        <v>2689000</v>
      </c>
      <c r="W44" s="6">
        <v>3504500</v>
      </c>
      <c r="X44" s="6">
        <v>3672000</v>
      </c>
      <c r="Y44" s="6">
        <v>4123000</v>
      </c>
      <c r="Z44" s="6">
        <v>4135500</v>
      </c>
      <c r="AA44" s="6">
        <v>4225500</v>
      </c>
      <c r="AB44" s="6">
        <v>3134000</v>
      </c>
      <c r="AC44" s="6">
        <v>3412000</v>
      </c>
      <c r="AD44" s="6">
        <v>3979000</v>
      </c>
      <c r="AE44" s="6">
        <v>3022000</v>
      </c>
      <c r="AF44" s="6">
        <v>3144300</v>
      </c>
      <c r="AG44" s="6">
        <v>3274200</v>
      </c>
      <c r="AH44" s="6">
        <v>2759200</v>
      </c>
      <c r="AI44" s="6">
        <v>2586150</v>
      </c>
      <c r="AJ44" s="6">
        <v>3179100</v>
      </c>
      <c r="AK44" s="6">
        <v>3400800</v>
      </c>
      <c r="AL44" s="6">
        <v>3554900</v>
      </c>
      <c r="AM44" s="6">
        <v>3454750</v>
      </c>
      <c r="AN44" s="6">
        <v>3105150</v>
      </c>
      <c r="AO44" s="6">
        <v>2694600</v>
      </c>
      <c r="AP44" s="6">
        <v>2884300</v>
      </c>
      <c r="AQ44" s="6">
        <v>3188500</v>
      </c>
      <c r="AR44" s="6">
        <v>2945650</v>
      </c>
      <c r="AS44" s="6">
        <v>2512950</v>
      </c>
      <c r="AT44" s="6">
        <v>2830650</v>
      </c>
      <c r="AU44" s="6">
        <v>3658500</v>
      </c>
      <c r="AV44" s="6">
        <v>3410300</v>
      </c>
      <c r="AW44" s="6">
        <v>4223250</v>
      </c>
      <c r="AX44" s="6">
        <v>4240800</v>
      </c>
      <c r="AY44" s="6">
        <v>3705350</v>
      </c>
      <c r="AZ44" s="6">
        <v>3389300</v>
      </c>
      <c r="BA44" s="6">
        <v>3231350</v>
      </c>
      <c r="BB44" s="6">
        <v>3330250</v>
      </c>
      <c r="BC44" s="6">
        <v>3121200</v>
      </c>
      <c r="BD44" s="6">
        <v>2990850</v>
      </c>
      <c r="BE44" s="6">
        <v>2703650</v>
      </c>
      <c r="BF44" s="6">
        <v>2405100</v>
      </c>
      <c r="BG44" s="6">
        <v>2401050</v>
      </c>
      <c r="BH44" s="6">
        <v>2153550</v>
      </c>
      <c r="BI44" s="6">
        <v>3009850</v>
      </c>
    </row>
    <row r="45" spans="1:61" x14ac:dyDescent="0.4">
      <c r="A45" t="s">
        <v>45</v>
      </c>
      <c r="C45" s="6">
        <v>1639720</v>
      </c>
      <c r="D45" s="6">
        <v>3720700</v>
      </c>
      <c r="E45" s="6">
        <v>4227200</v>
      </c>
      <c r="F45" s="6">
        <v>4666200</v>
      </c>
      <c r="G45" s="6">
        <v>3995700</v>
      </c>
      <c r="H45" s="6">
        <v>4455400</v>
      </c>
      <c r="I45" s="6">
        <v>4505900</v>
      </c>
      <c r="J45" s="6">
        <v>4808500</v>
      </c>
      <c r="K45" s="6">
        <v>5147300</v>
      </c>
      <c r="L45" s="6">
        <v>5730400</v>
      </c>
      <c r="M45" s="6">
        <v>6441700</v>
      </c>
      <c r="N45" s="6">
        <v>7138300</v>
      </c>
      <c r="O45" s="6">
        <v>7615200</v>
      </c>
      <c r="P45" s="6">
        <v>8095900</v>
      </c>
      <c r="Q45" s="6">
        <v>7944000</v>
      </c>
      <c r="R45" s="6">
        <v>8441300</v>
      </c>
      <c r="S45" s="6">
        <v>7920800</v>
      </c>
      <c r="T45" s="6">
        <v>7606400</v>
      </c>
      <c r="U45" s="6">
        <v>7213600</v>
      </c>
      <c r="V45" s="6">
        <v>6304000</v>
      </c>
      <c r="W45" s="6">
        <v>7352700</v>
      </c>
      <c r="X45" s="6">
        <v>6815800</v>
      </c>
      <c r="Y45" s="6">
        <v>8349500</v>
      </c>
      <c r="Z45" s="6">
        <v>8060350</v>
      </c>
      <c r="AA45" s="6">
        <v>10037870</v>
      </c>
      <c r="AB45" s="6">
        <v>8818710</v>
      </c>
      <c r="AC45" s="6">
        <v>8671900</v>
      </c>
      <c r="AD45" s="6">
        <v>9407590</v>
      </c>
      <c r="AE45" s="6">
        <v>8585740</v>
      </c>
      <c r="AF45" s="6">
        <v>8104340</v>
      </c>
      <c r="AG45" s="6">
        <v>6805330</v>
      </c>
      <c r="AH45" s="6">
        <v>6905210</v>
      </c>
      <c r="AI45" s="6">
        <v>8083790</v>
      </c>
      <c r="AJ45" s="6">
        <v>8277730</v>
      </c>
      <c r="AK45" s="6">
        <v>8263700</v>
      </c>
      <c r="AL45" s="6">
        <v>8477470</v>
      </c>
      <c r="AM45" s="6">
        <v>9030890</v>
      </c>
      <c r="AN45" s="6">
        <v>8981450</v>
      </c>
      <c r="AO45" s="6">
        <v>8031480</v>
      </c>
      <c r="AP45" s="6">
        <v>9371080</v>
      </c>
      <c r="AQ45" s="6">
        <v>8599860</v>
      </c>
      <c r="AR45" s="6">
        <v>7451050</v>
      </c>
      <c r="AS45" s="6">
        <v>7367090</v>
      </c>
      <c r="AT45" s="6">
        <v>6912660</v>
      </c>
      <c r="AU45" s="6">
        <v>8396290</v>
      </c>
      <c r="AV45" s="6">
        <v>8438080</v>
      </c>
      <c r="AW45" s="6">
        <v>9112550</v>
      </c>
      <c r="AX45" s="6">
        <v>8501640</v>
      </c>
      <c r="AY45" s="6">
        <v>9052520</v>
      </c>
      <c r="AZ45" s="6">
        <v>8950870</v>
      </c>
      <c r="BA45" s="6">
        <v>9502810</v>
      </c>
      <c r="BB45" s="6">
        <v>10116790</v>
      </c>
      <c r="BC45" s="6">
        <v>9243010</v>
      </c>
      <c r="BD45" s="6">
        <v>9188550</v>
      </c>
      <c r="BE45" s="6">
        <v>7275980</v>
      </c>
      <c r="BF45" s="6">
        <v>7486350</v>
      </c>
      <c r="BG45" s="6">
        <v>8788990</v>
      </c>
      <c r="BH45" s="6">
        <v>9681330</v>
      </c>
      <c r="BI45" s="6">
        <v>9602370</v>
      </c>
    </row>
    <row r="46" spans="1:61" x14ac:dyDescent="0.4">
      <c r="A46" t="s">
        <v>46</v>
      </c>
      <c r="B46" s="6"/>
      <c r="C46" s="6">
        <v>473500</v>
      </c>
      <c r="D46" s="6">
        <v>3596400</v>
      </c>
      <c r="E46" s="6">
        <v>4621960</v>
      </c>
      <c r="F46" s="6">
        <v>7577500</v>
      </c>
      <c r="G46" s="6">
        <v>5945500</v>
      </c>
      <c r="H46" s="6">
        <v>6209000</v>
      </c>
      <c r="I46" s="6">
        <v>6337000</v>
      </c>
      <c r="J46" s="6">
        <v>5264500</v>
      </c>
      <c r="K46" s="6">
        <v>6266000</v>
      </c>
      <c r="L46" s="6">
        <v>6910000</v>
      </c>
      <c r="M46" s="6">
        <v>6942500</v>
      </c>
      <c r="N46" s="6">
        <v>7425000</v>
      </c>
      <c r="O46" s="6">
        <v>8126500</v>
      </c>
      <c r="P46" s="6">
        <v>7994500</v>
      </c>
      <c r="Q46" s="6">
        <v>7466000</v>
      </c>
      <c r="R46" s="6">
        <v>8657000</v>
      </c>
      <c r="S46" s="6">
        <v>7515000</v>
      </c>
      <c r="T46" s="6">
        <v>7340000</v>
      </c>
      <c r="U46" s="6">
        <v>7820000</v>
      </c>
      <c r="V46" s="6">
        <v>6686000</v>
      </c>
      <c r="W46" s="6">
        <v>7810500</v>
      </c>
      <c r="X46" s="6">
        <v>8290000</v>
      </c>
      <c r="Y46" s="6">
        <v>8747500</v>
      </c>
      <c r="Z46" s="6">
        <v>7999000</v>
      </c>
      <c r="AA46" s="6">
        <v>9537000</v>
      </c>
      <c r="AB46" s="6">
        <v>8169000</v>
      </c>
      <c r="AC46" s="6">
        <v>9044000</v>
      </c>
      <c r="AD46" s="6">
        <v>10201500</v>
      </c>
      <c r="AE46" s="6">
        <v>8274000</v>
      </c>
      <c r="AF46" s="6">
        <v>9796860</v>
      </c>
      <c r="AG46" s="6">
        <v>8984340</v>
      </c>
      <c r="AH46" s="6">
        <v>7697520</v>
      </c>
      <c r="AI46" s="6">
        <v>10550010</v>
      </c>
      <c r="AJ46" s="6">
        <v>9931040</v>
      </c>
      <c r="AK46" s="6">
        <v>9604950</v>
      </c>
      <c r="AL46" s="6">
        <v>9711910</v>
      </c>
      <c r="AM46" s="6">
        <v>10466720</v>
      </c>
      <c r="AN46" s="6">
        <v>10231730</v>
      </c>
      <c r="AO46" s="6">
        <v>9655240</v>
      </c>
      <c r="AP46" s="6">
        <v>9384370</v>
      </c>
      <c r="AQ46" s="6">
        <v>8750780</v>
      </c>
      <c r="AR46" s="6">
        <v>8606480</v>
      </c>
      <c r="AS46" s="6">
        <v>8439840</v>
      </c>
      <c r="AT46" s="6">
        <v>7028980</v>
      </c>
      <c r="AU46" s="6">
        <v>8798290</v>
      </c>
      <c r="AV46" s="6">
        <v>7712110</v>
      </c>
      <c r="AW46" s="6">
        <v>9252950</v>
      </c>
      <c r="AX46" s="6">
        <v>8781310</v>
      </c>
      <c r="AY46" s="6">
        <v>8557000</v>
      </c>
      <c r="AZ46" s="6">
        <v>8579930</v>
      </c>
      <c r="BA46" s="6">
        <v>7811570</v>
      </c>
      <c r="BB46" s="6">
        <v>9034120</v>
      </c>
      <c r="BC46" s="6">
        <v>8326730</v>
      </c>
      <c r="BD46" s="6">
        <v>7956110</v>
      </c>
      <c r="BE46" s="6">
        <v>7156280</v>
      </c>
      <c r="BF46" s="6">
        <v>6823980</v>
      </c>
      <c r="BG46" s="6">
        <v>7632670</v>
      </c>
      <c r="BH46" s="6">
        <v>7784560</v>
      </c>
      <c r="BI46" s="6">
        <v>8302770</v>
      </c>
    </row>
    <row r="47" spans="1:61" x14ac:dyDescent="0.4">
      <c r="A47" t="s">
        <v>47</v>
      </c>
      <c r="B47" s="6"/>
      <c r="C47" s="6">
        <v>203290</v>
      </c>
      <c r="D47" s="6">
        <v>2901490</v>
      </c>
      <c r="E47" s="6">
        <v>3870700</v>
      </c>
      <c r="F47" s="6">
        <v>4778300</v>
      </c>
      <c r="G47" s="6">
        <v>4321800</v>
      </c>
      <c r="H47" s="6">
        <v>4543800</v>
      </c>
      <c r="I47" s="6">
        <v>4386000</v>
      </c>
      <c r="J47" s="6">
        <v>2780300</v>
      </c>
      <c r="K47" s="6">
        <v>4681400</v>
      </c>
      <c r="L47" s="6">
        <v>5566700</v>
      </c>
      <c r="M47" s="6">
        <v>5930600</v>
      </c>
      <c r="N47" s="6">
        <v>6375000</v>
      </c>
      <c r="O47" s="6">
        <v>7387000</v>
      </c>
      <c r="P47" s="6">
        <v>7543000</v>
      </c>
      <c r="Q47" s="6">
        <v>6857000</v>
      </c>
      <c r="R47" s="6">
        <v>7809000</v>
      </c>
      <c r="S47" s="6">
        <v>7133000</v>
      </c>
      <c r="T47" s="6">
        <v>7374500</v>
      </c>
      <c r="U47" s="6">
        <v>7554000</v>
      </c>
      <c r="V47" s="6">
        <v>7314000</v>
      </c>
      <c r="W47" s="6">
        <v>7779500</v>
      </c>
      <c r="X47" s="6">
        <v>8170000</v>
      </c>
      <c r="Y47" s="6">
        <v>8742500</v>
      </c>
      <c r="Z47" s="6">
        <v>8156500</v>
      </c>
      <c r="AA47" s="6">
        <v>9335000</v>
      </c>
      <c r="AB47" s="6">
        <v>8422000</v>
      </c>
      <c r="AC47" s="6">
        <v>8954000</v>
      </c>
      <c r="AD47" s="6">
        <v>9620500</v>
      </c>
      <c r="AE47" s="6">
        <v>8861000</v>
      </c>
      <c r="AF47" s="6">
        <v>8658000</v>
      </c>
      <c r="AG47" s="6">
        <v>8081000</v>
      </c>
      <c r="AH47" s="6">
        <v>7426000</v>
      </c>
      <c r="AI47" s="6">
        <v>8429500</v>
      </c>
      <c r="AJ47" s="6">
        <v>8867500</v>
      </c>
      <c r="AK47" s="6">
        <v>9721500</v>
      </c>
      <c r="AL47" s="6">
        <v>9761500</v>
      </c>
      <c r="AM47" s="6">
        <v>10380500</v>
      </c>
      <c r="AN47" s="6">
        <v>9372000</v>
      </c>
      <c r="AO47" s="6">
        <v>8615500</v>
      </c>
      <c r="AP47" s="6">
        <v>9108000</v>
      </c>
      <c r="AQ47" s="6">
        <v>8950000</v>
      </c>
      <c r="AR47" s="6">
        <v>8978900</v>
      </c>
      <c r="AS47" s="6">
        <v>8917170</v>
      </c>
      <c r="AT47" s="6">
        <v>8155520</v>
      </c>
      <c r="AU47" s="6">
        <v>8298870</v>
      </c>
      <c r="AV47" s="6">
        <v>7234980</v>
      </c>
      <c r="AW47" s="6">
        <v>8876390</v>
      </c>
      <c r="AX47" s="6">
        <v>8238120</v>
      </c>
      <c r="AY47" s="6">
        <v>7433900</v>
      </c>
      <c r="AZ47" s="6">
        <v>7939210</v>
      </c>
      <c r="BA47" s="6">
        <v>6959600</v>
      </c>
      <c r="BB47" s="6">
        <v>8664340</v>
      </c>
      <c r="BC47" s="6">
        <v>7290500</v>
      </c>
      <c r="BD47" s="6">
        <v>7323250</v>
      </c>
      <c r="BE47" s="6">
        <v>6706080</v>
      </c>
      <c r="BF47" s="6">
        <v>6189510</v>
      </c>
      <c r="BG47" s="6">
        <v>6795260</v>
      </c>
      <c r="BH47" s="6">
        <v>6601220</v>
      </c>
      <c r="BI47" s="6">
        <v>7670330</v>
      </c>
    </row>
    <row r="48" spans="1:61" x14ac:dyDescent="0.4">
      <c r="A48" t="s">
        <v>44</v>
      </c>
      <c r="B48" s="6"/>
      <c r="C48" s="6"/>
      <c r="D48" s="6">
        <v>2457160</v>
      </c>
      <c r="E48" s="6">
        <v>4196620</v>
      </c>
      <c r="F48" s="6">
        <v>5706500</v>
      </c>
      <c r="G48" s="6">
        <v>5583000</v>
      </c>
      <c r="H48" s="6">
        <v>5492000</v>
      </c>
      <c r="I48" s="6">
        <v>5342000</v>
      </c>
      <c r="J48" s="6">
        <v>5498000</v>
      </c>
      <c r="K48" s="6">
        <v>6442500</v>
      </c>
      <c r="L48" s="6">
        <v>6481500</v>
      </c>
      <c r="M48" s="6">
        <v>6479000</v>
      </c>
      <c r="N48" s="6">
        <v>7629500</v>
      </c>
      <c r="O48" s="6">
        <v>8233000</v>
      </c>
      <c r="P48" s="6">
        <v>8058500</v>
      </c>
      <c r="Q48" s="6">
        <v>6874000</v>
      </c>
      <c r="R48" s="6">
        <v>7632500</v>
      </c>
      <c r="S48" s="6">
        <v>7508500</v>
      </c>
      <c r="T48" s="6">
        <v>8175000</v>
      </c>
      <c r="U48" s="6">
        <v>7677500</v>
      </c>
      <c r="V48" s="6">
        <v>6422500</v>
      </c>
      <c r="W48" s="6">
        <v>8216000</v>
      </c>
      <c r="X48" s="6">
        <v>7835000</v>
      </c>
      <c r="Y48" s="6">
        <v>8429000</v>
      </c>
      <c r="Z48" s="6">
        <v>7394000</v>
      </c>
      <c r="AA48" s="6">
        <v>9067500</v>
      </c>
      <c r="AB48" s="6">
        <v>7192000</v>
      </c>
      <c r="AC48" s="6">
        <v>7919500</v>
      </c>
      <c r="AD48" s="6">
        <v>9024500</v>
      </c>
      <c r="AE48" s="6">
        <v>8598000</v>
      </c>
      <c r="AF48" s="6">
        <v>9145260</v>
      </c>
      <c r="AG48" s="6">
        <v>7610460</v>
      </c>
      <c r="AH48" s="6">
        <v>7162610</v>
      </c>
      <c r="AI48" s="6">
        <v>8813510</v>
      </c>
      <c r="AJ48" s="6">
        <v>9842730</v>
      </c>
      <c r="AK48" s="6">
        <v>9144110</v>
      </c>
      <c r="AL48" s="6">
        <v>8868390</v>
      </c>
      <c r="AM48" s="6">
        <v>10167090</v>
      </c>
      <c r="AN48" s="6">
        <v>9927070</v>
      </c>
      <c r="AO48" s="6">
        <v>9712500</v>
      </c>
      <c r="AP48" s="6">
        <v>10605140</v>
      </c>
      <c r="AQ48" s="6">
        <v>8593640</v>
      </c>
      <c r="AR48" s="6">
        <v>8214290</v>
      </c>
      <c r="AS48" s="6">
        <v>8071330</v>
      </c>
      <c r="AT48" s="6">
        <v>7153550</v>
      </c>
      <c r="AU48" s="6">
        <v>8796310</v>
      </c>
      <c r="AV48" s="6">
        <v>9162020</v>
      </c>
      <c r="AW48" s="6">
        <v>11302150</v>
      </c>
      <c r="AX48" s="6">
        <v>10184600</v>
      </c>
      <c r="AY48" s="6">
        <v>9148080</v>
      </c>
      <c r="AZ48" s="6">
        <v>9490160</v>
      </c>
      <c r="BA48" s="6">
        <v>9235130</v>
      </c>
      <c r="BB48" s="6">
        <v>11937550</v>
      </c>
      <c r="BC48" s="6">
        <v>9796210</v>
      </c>
      <c r="BD48" s="6">
        <v>9773750</v>
      </c>
      <c r="BE48" s="6">
        <v>8699860</v>
      </c>
      <c r="BF48" s="6">
        <v>8996550</v>
      </c>
      <c r="BG48" s="6">
        <v>9850090</v>
      </c>
      <c r="BH48" s="6">
        <v>9326950</v>
      </c>
      <c r="BI48" s="6">
        <v>10110070</v>
      </c>
    </row>
    <row r="49" spans="1:61" x14ac:dyDescent="0.4">
      <c r="A49" t="s">
        <v>48</v>
      </c>
      <c r="C49" s="6"/>
      <c r="D49" s="6"/>
      <c r="E49" s="6">
        <v>1183320</v>
      </c>
      <c r="F49" s="6">
        <v>2736330</v>
      </c>
      <c r="G49" s="6">
        <v>2246600</v>
      </c>
      <c r="H49" s="6">
        <v>1908300</v>
      </c>
      <c r="I49" s="6">
        <v>2321800</v>
      </c>
      <c r="J49" s="6">
        <v>1814600</v>
      </c>
      <c r="K49" s="6">
        <v>2724100</v>
      </c>
      <c r="L49" s="6">
        <v>2457300</v>
      </c>
      <c r="M49" s="6">
        <v>2330100</v>
      </c>
      <c r="N49" s="6">
        <v>3117300</v>
      </c>
      <c r="O49" s="6">
        <v>3323900</v>
      </c>
      <c r="P49" s="6">
        <v>3877000</v>
      </c>
      <c r="Q49" s="6">
        <v>2947300</v>
      </c>
      <c r="R49" s="6">
        <v>3417900</v>
      </c>
      <c r="S49" s="6">
        <v>3020200</v>
      </c>
      <c r="T49" s="6">
        <v>3139600</v>
      </c>
      <c r="U49" s="6">
        <v>3198600</v>
      </c>
      <c r="V49" s="6">
        <v>2825800</v>
      </c>
      <c r="W49" s="6">
        <v>3074700</v>
      </c>
      <c r="X49" s="6">
        <v>3082800</v>
      </c>
      <c r="Y49" s="6">
        <v>4045900</v>
      </c>
      <c r="Z49" s="6">
        <v>3465700</v>
      </c>
      <c r="AA49" s="6">
        <v>3899200</v>
      </c>
      <c r="AB49" s="6">
        <v>3019300</v>
      </c>
      <c r="AC49" s="6">
        <v>3444000</v>
      </c>
      <c r="AD49" s="6">
        <v>4301100</v>
      </c>
      <c r="AE49" s="6">
        <v>3421900</v>
      </c>
      <c r="AF49" s="6">
        <v>4070050</v>
      </c>
      <c r="AG49" s="6">
        <v>4408500</v>
      </c>
      <c r="AH49" s="6">
        <v>3795050</v>
      </c>
      <c r="AI49" s="6">
        <v>4885100</v>
      </c>
      <c r="AJ49" s="6">
        <v>4829800</v>
      </c>
      <c r="AK49" s="6">
        <v>4366050</v>
      </c>
      <c r="AL49" s="6">
        <v>4965700</v>
      </c>
      <c r="AM49" s="6">
        <v>5105550</v>
      </c>
      <c r="AN49" s="6">
        <v>4573450</v>
      </c>
      <c r="AO49" s="6">
        <v>4471400</v>
      </c>
      <c r="AP49" s="6">
        <v>4975700</v>
      </c>
      <c r="AQ49" s="6">
        <v>4316500</v>
      </c>
      <c r="AR49" s="6">
        <v>4427050</v>
      </c>
      <c r="AS49" s="6">
        <v>4040550</v>
      </c>
      <c r="AT49" s="6">
        <v>3852100</v>
      </c>
      <c r="AU49" s="6">
        <v>4717600</v>
      </c>
      <c r="AV49" s="6">
        <v>4606460</v>
      </c>
      <c r="AW49" s="6">
        <v>6017930</v>
      </c>
      <c r="AX49" s="6">
        <v>5893450</v>
      </c>
      <c r="AY49" s="6">
        <v>4986250</v>
      </c>
      <c r="AZ49" s="6">
        <v>4938500</v>
      </c>
      <c r="BA49" s="6">
        <v>4634950</v>
      </c>
      <c r="BB49" s="6">
        <v>6332780</v>
      </c>
      <c r="BC49" s="6">
        <v>4941860</v>
      </c>
      <c r="BD49" s="6">
        <v>4269660</v>
      </c>
      <c r="BE49" s="6">
        <v>5103510</v>
      </c>
      <c r="BF49" s="6">
        <v>4882450</v>
      </c>
      <c r="BG49" s="6">
        <v>4990600</v>
      </c>
      <c r="BH49" s="6">
        <v>4908700</v>
      </c>
      <c r="BI49" s="6">
        <v>6280300</v>
      </c>
    </row>
    <row r="50" spans="1:61" x14ac:dyDescent="0.4">
      <c r="A50" t="s">
        <v>49</v>
      </c>
      <c r="D50" s="6"/>
      <c r="E50" s="6">
        <v>1528590</v>
      </c>
      <c r="F50" s="6">
        <v>5307230</v>
      </c>
      <c r="G50" s="6">
        <v>4891700</v>
      </c>
      <c r="H50" s="6">
        <v>5716600</v>
      </c>
      <c r="I50" s="6">
        <v>6707400</v>
      </c>
      <c r="J50" s="6">
        <v>5655900</v>
      </c>
      <c r="K50" s="6">
        <v>6486000</v>
      </c>
      <c r="L50" s="6">
        <v>7237000</v>
      </c>
      <c r="M50" s="6">
        <v>7305300</v>
      </c>
      <c r="N50" s="6">
        <v>7546500</v>
      </c>
      <c r="O50" s="6">
        <v>8865100</v>
      </c>
      <c r="P50" s="6">
        <v>10057900</v>
      </c>
      <c r="Q50" s="6">
        <v>9407800</v>
      </c>
      <c r="R50" s="6">
        <v>10858000</v>
      </c>
      <c r="S50" s="6">
        <v>9363500</v>
      </c>
      <c r="T50" s="6">
        <v>9529500</v>
      </c>
      <c r="U50" s="6">
        <v>8813500</v>
      </c>
      <c r="V50" s="6">
        <v>8482500</v>
      </c>
      <c r="W50" s="6">
        <v>9407500</v>
      </c>
      <c r="X50" s="6">
        <v>9846000</v>
      </c>
      <c r="Y50" s="6">
        <v>9124000</v>
      </c>
      <c r="Z50" s="6">
        <v>8785000</v>
      </c>
      <c r="AA50" s="6">
        <v>10066000</v>
      </c>
      <c r="AB50" s="6">
        <v>9410000</v>
      </c>
      <c r="AC50" s="6">
        <v>9583000</v>
      </c>
      <c r="AD50" s="6">
        <v>10345500</v>
      </c>
      <c r="AE50" s="6">
        <v>9445000</v>
      </c>
      <c r="AF50" s="6">
        <v>10447670</v>
      </c>
      <c r="AG50" s="6">
        <v>9581260</v>
      </c>
      <c r="AH50" s="6">
        <v>8261060</v>
      </c>
      <c r="AI50" s="6">
        <v>9299420</v>
      </c>
      <c r="AJ50" s="6">
        <v>9928220</v>
      </c>
      <c r="AK50" s="6">
        <v>9310110</v>
      </c>
      <c r="AL50" s="6">
        <v>9922020</v>
      </c>
      <c r="AM50" s="6">
        <v>11250510</v>
      </c>
      <c r="AN50" s="6">
        <v>11350800</v>
      </c>
      <c r="AO50" s="6">
        <v>11270540</v>
      </c>
      <c r="AP50" s="6">
        <v>10966600</v>
      </c>
      <c r="AQ50" s="6">
        <v>9603450</v>
      </c>
      <c r="AR50" s="6">
        <v>9674190</v>
      </c>
      <c r="AS50" s="6">
        <v>9964680</v>
      </c>
      <c r="AT50" s="6">
        <v>8927410</v>
      </c>
      <c r="AU50" s="6">
        <v>7956690</v>
      </c>
      <c r="AV50" s="6">
        <v>6998950</v>
      </c>
      <c r="AW50" s="6">
        <v>7972600</v>
      </c>
      <c r="AX50" s="6">
        <v>7801450</v>
      </c>
      <c r="AY50" s="6">
        <v>8559900</v>
      </c>
      <c r="AZ50" s="6">
        <v>8062250</v>
      </c>
      <c r="BA50" s="6">
        <v>8240400</v>
      </c>
      <c r="BB50" s="6">
        <v>9586750</v>
      </c>
      <c r="BC50" s="6">
        <v>8710850</v>
      </c>
      <c r="BD50" s="6">
        <v>7995250</v>
      </c>
      <c r="BE50" s="6">
        <v>7264400</v>
      </c>
      <c r="BF50" s="6">
        <v>6827400</v>
      </c>
      <c r="BG50" s="6">
        <v>7805200</v>
      </c>
      <c r="BH50" s="6">
        <v>8597800</v>
      </c>
      <c r="BI50" s="6">
        <v>9019600</v>
      </c>
    </row>
    <row r="51" spans="1:61" x14ac:dyDescent="0.4">
      <c r="A51" t="s">
        <v>54</v>
      </c>
      <c r="D51" s="6"/>
      <c r="E51" s="6"/>
      <c r="F51" s="6"/>
      <c r="G51" s="6">
        <v>2764500</v>
      </c>
      <c r="H51" s="6">
        <v>4503000</v>
      </c>
      <c r="I51" s="6">
        <v>4474500</v>
      </c>
      <c r="J51" s="6">
        <v>4179000</v>
      </c>
      <c r="K51" s="6">
        <v>5395500</v>
      </c>
      <c r="L51" s="6">
        <v>5651000</v>
      </c>
      <c r="M51" s="6">
        <v>6141000</v>
      </c>
      <c r="N51" s="6">
        <v>6413500</v>
      </c>
      <c r="O51" s="6">
        <v>6233500</v>
      </c>
      <c r="P51" s="6">
        <v>6013000</v>
      </c>
      <c r="Q51" s="6">
        <v>6485000</v>
      </c>
      <c r="R51" s="6">
        <v>7086000</v>
      </c>
      <c r="S51" s="6">
        <v>5985500</v>
      </c>
      <c r="T51" s="6">
        <v>5818500</v>
      </c>
      <c r="U51" s="6">
        <v>5348500</v>
      </c>
      <c r="V51" s="6">
        <v>5590000</v>
      </c>
      <c r="W51" s="6">
        <v>6309500</v>
      </c>
      <c r="X51" s="6">
        <v>6558500</v>
      </c>
      <c r="Y51" s="6">
        <v>7183000</v>
      </c>
      <c r="Z51" s="6">
        <v>6188500</v>
      </c>
      <c r="AA51" s="6">
        <v>7363500</v>
      </c>
      <c r="AB51" s="6">
        <v>6646000</v>
      </c>
      <c r="AC51" s="6">
        <v>6251000</v>
      </c>
      <c r="AD51" s="6">
        <v>7663500</v>
      </c>
      <c r="AE51" s="6">
        <v>6378500</v>
      </c>
      <c r="AF51" s="6">
        <v>7171080</v>
      </c>
      <c r="AG51" s="6">
        <v>6090930</v>
      </c>
      <c r="AH51" s="6">
        <v>6429710</v>
      </c>
      <c r="AI51" s="6">
        <v>7312460</v>
      </c>
      <c r="AJ51" s="6">
        <v>7474430</v>
      </c>
      <c r="AK51" s="6">
        <v>6882320</v>
      </c>
      <c r="AL51" s="6">
        <v>7365450</v>
      </c>
      <c r="AM51" s="6">
        <v>7607970</v>
      </c>
      <c r="AN51" s="6">
        <v>7332140</v>
      </c>
      <c r="AO51" s="6">
        <v>6811010</v>
      </c>
      <c r="AP51" s="6">
        <v>7835090</v>
      </c>
      <c r="AQ51" s="6">
        <v>6886210</v>
      </c>
      <c r="AR51" s="6">
        <v>6437110</v>
      </c>
      <c r="AS51" s="6">
        <v>5920410</v>
      </c>
      <c r="AT51" s="6">
        <v>6072920</v>
      </c>
      <c r="AU51" s="6">
        <v>6606020</v>
      </c>
      <c r="AV51" s="6">
        <v>6948510</v>
      </c>
      <c r="AW51" s="6">
        <v>8508230</v>
      </c>
      <c r="AX51" s="6">
        <v>8386680</v>
      </c>
      <c r="AY51" s="6">
        <v>8122930</v>
      </c>
      <c r="AZ51" s="6">
        <v>8463310</v>
      </c>
      <c r="BA51" s="6">
        <v>7848850</v>
      </c>
      <c r="BB51" s="6">
        <v>9240080</v>
      </c>
      <c r="BC51" s="6">
        <v>7829240</v>
      </c>
      <c r="BD51" s="6">
        <v>7313130</v>
      </c>
      <c r="BE51" s="6">
        <v>7255820</v>
      </c>
      <c r="BF51" s="6">
        <v>6452360</v>
      </c>
      <c r="BG51" s="6">
        <v>7515170</v>
      </c>
      <c r="BH51" s="6">
        <v>7583090</v>
      </c>
      <c r="BI51" s="6">
        <v>8630350</v>
      </c>
    </row>
    <row r="52" spans="1:61" x14ac:dyDescent="0.4">
      <c r="A52" t="s">
        <v>55</v>
      </c>
      <c r="F52" s="6"/>
      <c r="G52" s="6"/>
      <c r="H52" s="6">
        <v>740500</v>
      </c>
      <c r="I52" s="6">
        <v>1016500</v>
      </c>
      <c r="J52" s="6">
        <v>787000</v>
      </c>
      <c r="K52" s="6">
        <v>1383270</v>
      </c>
      <c r="L52" s="6">
        <v>1215640</v>
      </c>
      <c r="M52" s="6">
        <v>1857680</v>
      </c>
      <c r="N52" s="6">
        <v>2848470</v>
      </c>
      <c r="O52" s="6">
        <v>2759750</v>
      </c>
      <c r="P52" s="6">
        <v>3476600</v>
      </c>
      <c r="Q52" s="6">
        <v>2573700</v>
      </c>
      <c r="R52" s="6">
        <v>2761200</v>
      </c>
      <c r="S52" s="6">
        <v>2435200</v>
      </c>
      <c r="T52" s="6">
        <v>2733340</v>
      </c>
      <c r="U52" s="6">
        <v>2341330</v>
      </c>
      <c r="V52" s="6">
        <v>2319100</v>
      </c>
      <c r="W52" s="6">
        <v>2760660</v>
      </c>
      <c r="X52" s="6">
        <v>2736980</v>
      </c>
      <c r="Y52" s="6">
        <v>2909370</v>
      </c>
      <c r="Z52" s="6">
        <v>2674870</v>
      </c>
      <c r="AA52" s="6">
        <v>3359600</v>
      </c>
      <c r="AB52" s="6">
        <v>2835100</v>
      </c>
      <c r="AC52" s="6">
        <v>2805600</v>
      </c>
      <c r="AD52" s="6">
        <v>2952400</v>
      </c>
      <c r="AE52" s="6">
        <v>3182400</v>
      </c>
      <c r="AF52" s="6">
        <v>2814500</v>
      </c>
      <c r="AG52" s="6">
        <v>2719150</v>
      </c>
      <c r="AH52" s="6">
        <v>2238450</v>
      </c>
      <c r="AI52" s="6">
        <v>3279050</v>
      </c>
      <c r="AJ52" s="6">
        <v>2763200</v>
      </c>
      <c r="AK52" s="6">
        <v>2878100</v>
      </c>
      <c r="AL52" s="6">
        <v>3249000</v>
      </c>
      <c r="AM52" s="6">
        <v>3263700</v>
      </c>
      <c r="AN52" s="6">
        <v>3064800</v>
      </c>
      <c r="AO52" s="6">
        <v>3288400</v>
      </c>
      <c r="AP52" s="6">
        <v>3526200</v>
      </c>
      <c r="AQ52" s="6">
        <v>3657400</v>
      </c>
      <c r="AR52" s="6">
        <v>3331700</v>
      </c>
      <c r="AS52" s="6">
        <v>2828550</v>
      </c>
      <c r="AT52" s="6">
        <v>2948500</v>
      </c>
      <c r="AU52" s="6">
        <v>3463850</v>
      </c>
      <c r="AV52" s="6">
        <v>3273700</v>
      </c>
      <c r="AW52" s="6">
        <v>2213600</v>
      </c>
      <c r="AX52" s="6">
        <v>2220650</v>
      </c>
      <c r="AY52" s="6">
        <v>1954250</v>
      </c>
      <c r="AZ52" s="6">
        <v>1941950</v>
      </c>
      <c r="BA52" s="6">
        <v>1720750</v>
      </c>
      <c r="BB52" s="6">
        <v>1998150</v>
      </c>
      <c r="BC52" s="6">
        <v>2031700</v>
      </c>
      <c r="BD52" s="6">
        <v>1649350</v>
      </c>
      <c r="BE52" s="6">
        <v>340650</v>
      </c>
      <c r="BF52" s="6"/>
      <c r="BG52" s="6"/>
      <c r="BH52" s="6"/>
    </row>
    <row r="53" spans="1:61" x14ac:dyDescent="0.4">
      <c r="A53" t="s">
        <v>56</v>
      </c>
      <c r="G53" s="6"/>
      <c r="H53" s="6"/>
      <c r="I53" s="6"/>
      <c r="J53" s="6">
        <v>25500</v>
      </c>
      <c r="K53" s="6">
        <v>688000</v>
      </c>
      <c r="L53" s="6">
        <v>787300</v>
      </c>
      <c r="M53" s="6">
        <v>1021060</v>
      </c>
      <c r="N53" s="6">
        <v>1229270</v>
      </c>
      <c r="O53" s="6">
        <v>1336610</v>
      </c>
      <c r="P53" s="6">
        <v>1193600</v>
      </c>
      <c r="Q53" s="6">
        <v>1306440</v>
      </c>
      <c r="R53" s="6">
        <v>738630</v>
      </c>
      <c r="S53" s="6">
        <v>851000</v>
      </c>
      <c r="T53" s="6">
        <v>1722950</v>
      </c>
      <c r="U53" s="6">
        <v>2346320</v>
      </c>
      <c r="V53" s="6">
        <v>2685990</v>
      </c>
      <c r="W53" s="6">
        <v>6470500</v>
      </c>
      <c r="X53" s="6">
        <v>4166000</v>
      </c>
      <c r="Y53" s="6">
        <v>4919500</v>
      </c>
      <c r="Z53" s="6">
        <v>4461500</v>
      </c>
      <c r="AA53" s="6">
        <v>4859000</v>
      </c>
      <c r="AB53" s="6">
        <v>5003500</v>
      </c>
      <c r="AC53" s="6">
        <v>4071000</v>
      </c>
      <c r="AD53" s="6">
        <v>4567000</v>
      </c>
      <c r="AE53" s="6">
        <v>4018500</v>
      </c>
      <c r="AF53" s="6">
        <v>4590500</v>
      </c>
      <c r="AG53" s="6">
        <v>3680500</v>
      </c>
      <c r="AH53" s="6">
        <v>3547000</v>
      </c>
      <c r="AI53" s="6">
        <v>4904000</v>
      </c>
      <c r="AJ53" s="6">
        <v>4604000</v>
      </c>
      <c r="AK53" s="6">
        <v>4945000</v>
      </c>
      <c r="AL53" s="6">
        <v>5161000</v>
      </c>
      <c r="AM53" s="6">
        <v>5194000</v>
      </c>
      <c r="AN53" s="6">
        <v>4785500</v>
      </c>
      <c r="AO53" s="6">
        <v>5459000</v>
      </c>
      <c r="AP53" s="6">
        <v>5025500</v>
      </c>
      <c r="AQ53" s="6">
        <v>4899000</v>
      </c>
      <c r="AR53" s="6">
        <v>4261400</v>
      </c>
      <c r="AS53" s="6">
        <v>3754200</v>
      </c>
      <c r="AT53" s="6">
        <v>3802200</v>
      </c>
      <c r="AU53" s="6">
        <v>4574000</v>
      </c>
      <c r="AV53" s="6">
        <v>3288820</v>
      </c>
      <c r="AW53" s="6">
        <v>3219390</v>
      </c>
      <c r="AX53" s="6">
        <v>3538190</v>
      </c>
      <c r="AY53" s="6">
        <v>2720600</v>
      </c>
      <c r="AZ53" s="6">
        <v>2941860</v>
      </c>
      <c r="BA53" s="6">
        <v>2872100</v>
      </c>
      <c r="BB53" s="6">
        <v>3204290</v>
      </c>
      <c r="BC53" s="6">
        <v>3028890</v>
      </c>
      <c r="BD53" s="6">
        <v>2752780</v>
      </c>
      <c r="BE53" s="6">
        <v>2407590</v>
      </c>
      <c r="BF53" s="6">
        <v>2321270</v>
      </c>
      <c r="BG53" s="6">
        <v>3140020</v>
      </c>
      <c r="BH53" s="6">
        <v>2954890</v>
      </c>
      <c r="BI53" s="6">
        <v>3459280</v>
      </c>
    </row>
    <row r="54" spans="1:61" x14ac:dyDescent="0.4">
      <c r="A54" t="s">
        <v>57</v>
      </c>
      <c r="I54" s="6"/>
      <c r="J54" s="6"/>
      <c r="K54" s="6">
        <v>724500</v>
      </c>
      <c r="L54" s="6">
        <v>4247000</v>
      </c>
      <c r="M54" s="6">
        <v>5334000</v>
      </c>
      <c r="N54" s="6">
        <v>6707000</v>
      </c>
      <c r="O54" s="6">
        <v>7169000</v>
      </c>
      <c r="P54" s="6">
        <v>7734000</v>
      </c>
      <c r="Q54" s="6">
        <v>7455500</v>
      </c>
      <c r="R54" s="6">
        <v>8367500</v>
      </c>
      <c r="S54" s="6">
        <v>7143000</v>
      </c>
      <c r="T54" s="6">
        <v>6766500</v>
      </c>
      <c r="U54" s="6">
        <v>6233500</v>
      </c>
      <c r="V54" s="6">
        <v>6832500</v>
      </c>
      <c r="W54" s="6">
        <v>7727500</v>
      </c>
      <c r="X54" s="6">
        <v>7719000</v>
      </c>
      <c r="Y54" s="6">
        <v>9061000</v>
      </c>
      <c r="Z54" s="6">
        <v>9222600</v>
      </c>
      <c r="AA54" s="6">
        <v>9550600</v>
      </c>
      <c r="AB54" s="6">
        <v>9491500</v>
      </c>
      <c r="AC54" s="6">
        <v>10049900</v>
      </c>
      <c r="AD54" s="6">
        <v>10930650</v>
      </c>
      <c r="AE54" s="6">
        <v>10127750</v>
      </c>
      <c r="AF54" s="6">
        <v>9964920</v>
      </c>
      <c r="AG54" s="6">
        <v>7675770</v>
      </c>
      <c r="AH54" s="6">
        <v>7575560</v>
      </c>
      <c r="AI54" s="6">
        <v>8923900</v>
      </c>
      <c r="AJ54" s="6">
        <v>9577490</v>
      </c>
      <c r="AK54" s="6">
        <v>9944600</v>
      </c>
      <c r="AL54" s="6">
        <v>10341730</v>
      </c>
      <c r="AM54" s="6">
        <v>10208500</v>
      </c>
      <c r="AN54" s="6">
        <v>10757690</v>
      </c>
      <c r="AO54" s="6">
        <v>9908320</v>
      </c>
      <c r="AP54" s="6">
        <v>10391060</v>
      </c>
      <c r="AQ54" s="6">
        <v>9923380</v>
      </c>
      <c r="AR54" s="6">
        <v>8861860</v>
      </c>
      <c r="AS54" s="6">
        <v>7653400</v>
      </c>
      <c r="AT54" s="6">
        <v>8595610</v>
      </c>
      <c r="AU54" s="6">
        <v>9916880</v>
      </c>
      <c r="AV54" s="6">
        <v>10687170</v>
      </c>
      <c r="AW54" s="6">
        <v>12695770</v>
      </c>
      <c r="AX54" s="6">
        <v>11700410</v>
      </c>
      <c r="AY54" s="6">
        <v>10848070</v>
      </c>
      <c r="AZ54" s="6">
        <v>11374980</v>
      </c>
      <c r="BA54" s="6">
        <v>11751110</v>
      </c>
      <c r="BB54" s="6">
        <v>12962240</v>
      </c>
      <c r="BC54" s="6">
        <v>11022960</v>
      </c>
      <c r="BD54" s="6">
        <v>10780800</v>
      </c>
      <c r="BE54" s="6">
        <v>9770690</v>
      </c>
      <c r="BF54" s="6">
        <v>9600700</v>
      </c>
      <c r="BG54" s="6">
        <v>11007990</v>
      </c>
      <c r="BH54" s="6">
        <v>10439050</v>
      </c>
      <c r="BI54" s="6">
        <v>13017380</v>
      </c>
    </row>
    <row r="55" spans="1:61" x14ac:dyDescent="0.4">
      <c r="A55" t="s">
        <v>58</v>
      </c>
      <c r="J55" s="6"/>
      <c r="K55" s="6">
        <v>17460</v>
      </c>
      <c r="L55" s="6">
        <v>3124370</v>
      </c>
      <c r="M55" s="6">
        <v>3618490</v>
      </c>
      <c r="N55" s="6">
        <v>4582500</v>
      </c>
      <c r="O55" s="6">
        <v>4737000</v>
      </c>
      <c r="P55" s="6">
        <v>4592000</v>
      </c>
      <c r="Q55" s="6">
        <v>4473500</v>
      </c>
      <c r="R55" s="6">
        <v>5160000</v>
      </c>
      <c r="S55" s="6">
        <v>4926500</v>
      </c>
      <c r="T55" s="6">
        <v>4725000</v>
      </c>
      <c r="U55" s="6">
        <v>5011500</v>
      </c>
      <c r="V55" s="6">
        <v>4299500</v>
      </c>
      <c r="W55" s="6">
        <v>4893000</v>
      </c>
      <c r="X55" s="6">
        <v>5435500</v>
      </c>
      <c r="Y55" s="6">
        <v>5832000</v>
      </c>
      <c r="Z55" s="6">
        <v>5218500</v>
      </c>
      <c r="AA55" s="6">
        <v>5550500</v>
      </c>
      <c r="AB55" s="6">
        <v>5118000</v>
      </c>
      <c r="AC55" s="6">
        <v>5689970</v>
      </c>
      <c r="AD55" s="6">
        <v>6635780</v>
      </c>
      <c r="AE55" s="6">
        <v>6230250</v>
      </c>
      <c r="AF55" s="6">
        <v>6246160</v>
      </c>
      <c r="AG55" s="6">
        <v>6435170</v>
      </c>
      <c r="AH55" s="6">
        <v>5539180</v>
      </c>
      <c r="AI55" s="6">
        <v>6568490</v>
      </c>
      <c r="AJ55" s="6">
        <v>6547370</v>
      </c>
      <c r="AK55" s="6">
        <v>6198430</v>
      </c>
      <c r="AL55" s="6">
        <v>7002560</v>
      </c>
      <c r="AM55" s="6">
        <v>6990610</v>
      </c>
      <c r="AN55" s="6">
        <v>6467970</v>
      </c>
      <c r="AO55" s="6">
        <v>6261780</v>
      </c>
      <c r="AP55" s="6">
        <v>7029710</v>
      </c>
      <c r="AQ55" s="6">
        <v>6041240</v>
      </c>
      <c r="AR55" s="6">
        <v>6232360</v>
      </c>
      <c r="AS55" s="6">
        <v>6480950</v>
      </c>
      <c r="AT55" s="6">
        <v>5025790</v>
      </c>
      <c r="AU55" s="6">
        <v>6956030</v>
      </c>
      <c r="AV55" s="6">
        <v>6784460</v>
      </c>
      <c r="AW55" s="6">
        <v>7257760</v>
      </c>
      <c r="AX55" s="6">
        <v>6769390</v>
      </c>
      <c r="AY55" s="6">
        <v>6545130</v>
      </c>
      <c r="AZ55" s="6">
        <v>6907770</v>
      </c>
      <c r="BA55" s="6">
        <v>5714930</v>
      </c>
      <c r="BB55" s="6">
        <v>7327970</v>
      </c>
      <c r="BC55" s="6">
        <v>7191640</v>
      </c>
      <c r="BD55" s="6">
        <v>6301720</v>
      </c>
      <c r="BE55" s="6">
        <v>6582200</v>
      </c>
      <c r="BF55" s="6">
        <v>6313760</v>
      </c>
      <c r="BG55" s="6">
        <v>6779910</v>
      </c>
      <c r="BH55" s="6">
        <v>7043050</v>
      </c>
      <c r="BI55" s="6">
        <v>8030100</v>
      </c>
    </row>
    <row r="56" spans="1:61" x14ac:dyDescent="0.4">
      <c r="A56" t="s">
        <v>59</v>
      </c>
      <c r="J56" s="6"/>
      <c r="K56" s="6"/>
      <c r="L56" s="6">
        <v>4143070</v>
      </c>
      <c r="M56" s="6">
        <v>6111300</v>
      </c>
      <c r="N56" s="6">
        <v>7465500</v>
      </c>
      <c r="O56" s="6">
        <v>7544500</v>
      </c>
      <c r="P56" s="6">
        <v>8708000</v>
      </c>
      <c r="Q56" s="6">
        <v>8632000</v>
      </c>
      <c r="R56" s="6">
        <v>8420000</v>
      </c>
      <c r="S56" s="6">
        <v>7398500</v>
      </c>
      <c r="T56" s="6">
        <v>7114500</v>
      </c>
      <c r="U56" s="6">
        <v>5922500</v>
      </c>
      <c r="V56" s="6">
        <v>5915500</v>
      </c>
      <c r="W56" s="6">
        <v>7196300</v>
      </c>
      <c r="X56" s="6">
        <v>7307600</v>
      </c>
      <c r="Y56" s="6">
        <v>8093600</v>
      </c>
      <c r="Z56" s="6">
        <v>7853000</v>
      </c>
      <c r="AA56" s="6">
        <v>8018900</v>
      </c>
      <c r="AB56" s="6">
        <v>8386200</v>
      </c>
      <c r="AC56" s="6">
        <v>7353800</v>
      </c>
      <c r="AD56" s="6">
        <v>8848800</v>
      </c>
      <c r="AE56" s="6">
        <v>7633100</v>
      </c>
      <c r="AF56" s="6">
        <v>7916700</v>
      </c>
      <c r="AG56" s="6">
        <v>6945300</v>
      </c>
      <c r="AH56" s="6">
        <v>6003100</v>
      </c>
      <c r="AI56" s="6">
        <v>7671800</v>
      </c>
      <c r="AJ56" s="6">
        <v>8033900</v>
      </c>
      <c r="AK56" s="6">
        <v>9041300</v>
      </c>
      <c r="AL56" s="6">
        <v>8739300</v>
      </c>
      <c r="AM56" s="6">
        <v>9183100</v>
      </c>
      <c r="AN56" s="6">
        <v>8509700</v>
      </c>
      <c r="AO56" s="6">
        <v>8989100</v>
      </c>
      <c r="AP56" s="6">
        <v>9306800</v>
      </c>
      <c r="AQ56" s="6">
        <v>9493600</v>
      </c>
      <c r="AR56" s="6">
        <v>8158600</v>
      </c>
      <c r="AS56" s="6">
        <v>6668800</v>
      </c>
      <c r="AT56" s="6">
        <v>6420500</v>
      </c>
      <c r="AU56" s="6">
        <v>8392400</v>
      </c>
      <c r="AV56" s="6">
        <v>7869600</v>
      </c>
      <c r="AW56" s="6">
        <v>7893700</v>
      </c>
      <c r="AX56" s="6">
        <v>7225300</v>
      </c>
      <c r="AY56" s="6">
        <v>6677700</v>
      </c>
      <c r="AZ56" s="6">
        <v>6720100</v>
      </c>
      <c r="BA56" s="6">
        <v>6047100</v>
      </c>
      <c r="BB56" s="6">
        <v>6335800</v>
      </c>
      <c r="BC56" s="6">
        <v>5350000</v>
      </c>
      <c r="BD56" s="6">
        <v>4819300</v>
      </c>
      <c r="BE56" s="6">
        <v>3881700</v>
      </c>
      <c r="BF56" s="6">
        <v>4187600</v>
      </c>
      <c r="BG56" s="6">
        <v>5567000</v>
      </c>
      <c r="BH56" s="6">
        <v>5025200</v>
      </c>
      <c r="BI56" s="6">
        <v>6185500</v>
      </c>
    </row>
    <row r="57" spans="1:61" x14ac:dyDescent="0.4">
      <c r="A57" t="s">
        <v>60</v>
      </c>
      <c r="K57" s="6"/>
      <c r="L57" s="6">
        <v>2177360</v>
      </c>
      <c r="M57" s="6">
        <v>3456910</v>
      </c>
      <c r="N57" s="6">
        <v>4202000</v>
      </c>
      <c r="O57" s="6">
        <v>4827500</v>
      </c>
      <c r="P57" s="6">
        <v>5186500</v>
      </c>
      <c r="Q57" s="6">
        <v>5100500</v>
      </c>
      <c r="R57" s="6">
        <v>6005000</v>
      </c>
      <c r="S57" s="6">
        <v>5002000</v>
      </c>
      <c r="T57" s="6">
        <v>4759500</v>
      </c>
      <c r="U57" s="6">
        <v>4679000</v>
      </c>
      <c r="V57" s="6">
        <v>4673500</v>
      </c>
      <c r="W57" s="6">
        <v>5457000</v>
      </c>
      <c r="X57" s="6">
        <v>5711000</v>
      </c>
      <c r="Y57" s="6">
        <v>6446000</v>
      </c>
      <c r="Z57" s="6">
        <v>6153640</v>
      </c>
      <c r="AA57" s="6">
        <v>7156360</v>
      </c>
      <c r="AB57" s="6">
        <v>6321660</v>
      </c>
      <c r="AC57" s="6">
        <v>6769950</v>
      </c>
      <c r="AD57" s="6">
        <v>6790020</v>
      </c>
      <c r="AE57" s="6">
        <v>5977880</v>
      </c>
      <c r="AF57" s="6">
        <v>4729040</v>
      </c>
      <c r="AG57" s="6">
        <v>4318850</v>
      </c>
      <c r="AH57" s="6">
        <v>3843920</v>
      </c>
      <c r="AI57" s="6">
        <v>4797060</v>
      </c>
      <c r="AJ57" s="6">
        <v>4844290</v>
      </c>
      <c r="AK57" s="6">
        <v>5472890</v>
      </c>
      <c r="AL57" s="6">
        <v>4925960</v>
      </c>
      <c r="AM57" s="6">
        <v>5762660</v>
      </c>
      <c r="AN57" s="6">
        <v>5232770</v>
      </c>
      <c r="AO57" s="6">
        <v>5385590</v>
      </c>
      <c r="AP57" s="6">
        <v>5283780</v>
      </c>
      <c r="AQ57" s="6">
        <v>4694170</v>
      </c>
      <c r="AR57" s="6">
        <v>4451290</v>
      </c>
      <c r="AS57" s="6">
        <v>3683740</v>
      </c>
      <c r="AT57" s="6">
        <v>3871490</v>
      </c>
      <c r="AU57" s="6">
        <v>5005230</v>
      </c>
      <c r="AV57" s="6">
        <v>4665560</v>
      </c>
      <c r="AW57" s="6">
        <v>6031800</v>
      </c>
      <c r="AX57" s="6">
        <v>5766060</v>
      </c>
      <c r="AY57" s="6">
        <v>5408170</v>
      </c>
      <c r="AZ57" s="6">
        <v>6198180</v>
      </c>
      <c r="BA57" s="6">
        <v>5615880</v>
      </c>
      <c r="BB57" s="6">
        <v>5969480</v>
      </c>
      <c r="BC57" s="6">
        <v>6053340</v>
      </c>
      <c r="BD57" s="6">
        <v>5125660</v>
      </c>
      <c r="BE57" s="6">
        <v>4837540</v>
      </c>
      <c r="BF57" s="6">
        <v>4811900</v>
      </c>
      <c r="BG57" s="6">
        <v>5816440</v>
      </c>
      <c r="BH57" s="6">
        <v>5839120</v>
      </c>
      <c r="BI57" s="6">
        <v>6440140</v>
      </c>
    </row>
    <row r="58" spans="1:61" x14ac:dyDescent="0.4">
      <c r="A58" t="s">
        <v>61</v>
      </c>
      <c r="K58" s="6"/>
      <c r="L58" s="6"/>
      <c r="M58" s="6">
        <v>1516740</v>
      </c>
      <c r="N58" s="6">
        <v>2825410</v>
      </c>
      <c r="O58" s="6">
        <v>4256590</v>
      </c>
      <c r="P58" s="6">
        <v>4842000</v>
      </c>
      <c r="Q58" s="6">
        <v>4928500</v>
      </c>
      <c r="R58" s="6">
        <v>5215000</v>
      </c>
      <c r="S58" s="6">
        <v>4634000</v>
      </c>
      <c r="T58" s="6">
        <v>4935000</v>
      </c>
      <c r="U58" s="6">
        <v>4634500</v>
      </c>
      <c r="V58" s="6">
        <v>4734500</v>
      </c>
      <c r="W58" s="6">
        <v>5120000</v>
      </c>
      <c r="X58" s="6">
        <v>5529500</v>
      </c>
      <c r="Y58" s="6">
        <v>6655500</v>
      </c>
      <c r="Z58" s="6">
        <v>6261670</v>
      </c>
      <c r="AA58" s="6">
        <v>6603390</v>
      </c>
      <c r="AB58" s="6">
        <v>6202950</v>
      </c>
      <c r="AC58" s="6">
        <v>6583770</v>
      </c>
      <c r="AD58" s="6">
        <v>7237700</v>
      </c>
      <c r="AE58" s="6">
        <v>6848310</v>
      </c>
      <c r="AF58" s="6">
        <v>7363110</v>
      </c>
      <c r="AG58" s="6">
        <v>5914110</v>
      </c>
      <c r="AH58" s="6">
        <v>5990150</v>
      </c>
      <c r="AI58" s="6">
        <v>7843800</v>
      </c>
      <c r="AJ58" s="6">
        <v>6833140</v>
      </c>
      <c r="AK58" s="6">
        <v>7195790</v>
      </c>
      <c r="AL58" s="6">
        <v>7500260</v>
      </c>
      <c r="AM58" s="6">
        <v>7881780</v>
      </c>
      <c r="AN58" s="6">
        <v>7119030</v>
      </c>
      <c r="AO58" s="6">
        <v>7665820</v>
      </c>
      <c r="AP58" s="6">
        <v>8193400</v>
      </c>
      <c r="AQ58" s="6">
        <v>7638110</v>
      </c>
      <c r="AR58" s="6">
        <v>8137250</v>
      </c>
      <c r="AS58" s="6">
        <v>6083510</v>
      </c>
      <c r="AT58" s="6">
        <v>6224150</v>
      </c>
      <c r="AU58" s="6">
        <v>7721350</v>
      </c>
      <c r="AV58" s="6">
        <v>7572820</v>
      </c>
      <c r="AW58" s="6">
        <v>8313480</v>
      </c>
      <c r="AX58" s="6">
        <v>7668420</v>
      </c>
      <c r="AY58" s="6">
        <v>7079310</v>
      </c>
      <c r="AZ58" s="6">
        <v>7193030</v>
      </c>
      <c r="BA58" s="6">
        <v>7016930</v>
      </c>
      <c r="BB58" s="6">
        <v>8777040</v>
      </c>
      <c r="BC58" s="6">
        <v>6256110</v>
      </c>
      <c r="BD58" s="6">
        <v>6066990</v>
      </c>
      <c r="BE58" s="6">
        <v>5571770</v>
      </c>
      <c r="BF58" s="6">
        <v>4515600</v>
      </c>
      <c r="BG58" s="6">
        <v>6126010</v>
      </c>
      <c r="BH58" s="6">
        <v>5889840</v>
      </c>
      <c r="BI58" s="6">
        <v>6347320</v>
      </c>
    </row>
    <row r="59" spans="1:61" x14ac:dyDescent="0.4">
      <c r="A59" t="s">
        <v>62</v>
      </c>
      <c r="L59" s="6"/>
      <c r="M59" s="6">
        <v>34450</v>
      </c>
      <c r="N59" s="6">
        <v>2950910</v>
      </c>
      <c r="O59" s="6">
        <v>3911060</v>
      </c>
      <c r="P59" s="6">
        <v>4439850</v>
      </c>
      <c r="Q59" s="6">
        <v>4344500</v>
      </c>
      <c r="R59" s="6">
        <v>5572000</v>
      </c>
      <c r="S59" s="6">
        <v>4740500</v>
      </c>
      <c r="T59" s="6">
        <v>5132100</v>
      </c>
      <c r="U59" s="6">
        <v>5016500</v>
      </c>
      <c r="V59" s="6">
        <v>4417800</v>
      </c>
      <c r="W59" s="6">
        <v>5429800</v>
      </c>
      <c r="X59" s="6">
        <v>5816300</v>
      </c>
      <c r="Y59" s="6">
        <v>7394900</v>
      </c>
      <c r="Z59" s="6">
        <v>7105000</v>
      </c>
      <c r="AA59" s="6">
        <v>8103300</v>
      </c>
      <c r="AB59" s="6">
        <v>6792400</v>
      </c>
      <c r="AC59" s="6">
        <v>7038200</v>
      </c>
      <c r="AD59" s="6">
        <v>7014400</v>
      </c>
      <c r="AE59" s="6">
        <v>6672300</v>
      </c>
      <c r="AF59" s="6">
        <v>6681500</v>
      </c>
      <c r="AG59" s="6">
        <v>6249200</v>
      </c>
      <c r="AH59" s="6">
        <v>4372500</v>
      </c>
      <c r="AI59" s="6">
        <v>4432700</v>
      </c>
      <c r="AJ59" s="6">
        <v>3998020</v>
      </c>
      <c r="AK59" s="6">
        <v>4091260</v>
      </c>
      <c r="AL59" s="6">
        <v>3922430</v>
      </c>
      <c r="AM59" s="6">
        <v>4242200</v>
      </c>
      <c r="AN59" s="6">
        <v>3936540</v>
      </c>
      <c r="AO59" s="6">
        <v>4215900</v>
      </c>
      <c r="AP59" s="6">
        <v>4551600</v>
      </c>
      <c r="AQ59" s="6">
        <v>4149750</v>
      </c>
      <c r="AR59" s="6">
        <v>4151280</v>
      </c>
      <c r="AS59" s="6">
        <v>3779450</v>
      </c>
      <c r="AT59" s="6">
        <v>2917290</v>
      </c>
      <c r="AU59" s="6">
        <v>3282970</v>
      </c>
      <c r="AV59" s="6">
        <v>3360740</v>
      </c>
      <c r="AW59" s="6">
        <v>3797130</v>
      </c>
      <c r="AX59" s="6">
        <v>4094320</v>
      </c>
      <c r="AY59" s="6">
        <v>3487380</v>
      </c>
      <c r="AZ59" s="6">
        <v>3326250</v>
      </c>
      <c r="BA59" s="6">
        <v>3425060</v>
      </c>
      <c r="BB59" s="6">
        <v>3918600</v>
      </c>
      <c r="BC59" s="6">
        <v>3755300</v>
      </c>
      <c r="BD59" s="6">
        <v>3678700</v>
      </c>
      <c r="BE59" s="6">
        <v>3547400</v>
      </c>
      <c r="BF59" s="6">
        <v>3375900</v>
      </c>
      <c r="BG59" s="6">
        <v>3628000</v>
      </c>
      <c r="BH59" s="6">
        <v>3355600</v>
      </c>
      <c r="BI59" s="6">
        <v>4022000</v>
      </c>
    </row>
    <row r="60" spans="1:61" x14ac:dyDescent="0.4">
      <c r="A60" t="s">
        <v>63</v>
      </c>
      <c r="L60" s="6"/>
      <c r="M60" s="6"/>
      <c r="N60" s="6"/>
      <c r="O60" s="6">
        <v>727700</v>
      </c>
      <c r="P60" s="6">
        <v>1946250</v>
      </c>
      <c r="Q60" s="6">
        <v>2091100</v>
      </c>
      <c r="R60" s="6">
        <v>3025500</v>
      </c>
      <c r="S60" s="6">
        <v>2416500</v>
      </c>
      <c r="T60" s="6">
        <v>3018600</v>
      </c>
      <c r="U60" s="6">
        <v>3124810</v>
      </c>
      <c r="V60" s="6">
        <v>3033000</v>
      </c>
      <c r="W60" s="6">
        <v>3534500</v>
      </c>
      <c r="X60" s="6">
        <v>3837500</v>
      </c>
      <c r="Y60" s="6">
        <v>3738000</v>
      </c>
      <c r="Z60" s="6">
        <v>2903500</v>
      </c>
      <c r="AA60" s="6">
        <v>3686000</v>
      </c>
      <c r="AB60" s="6">
        <v>3045000</v>
      </c>
      <c r="AC60" s="6">
        <v>3343000</v>
      </c>
      <c r="AD60" s="6">
        <v>3466500</v>
      </c>
      <c r="AE60" s="6">
        <v>3927000</v>
      </c>
      <c r="AF60" s="6">
        <v>4599500</v>
      </c>
      <c r="AG60" s="6">
        <v>4405000</v>
      </c>
      <c r="AH60" s="6">
        <v>3248500</v>
      </c>
      <c r="AI60" s="6">
        <v>4399500</v>
      </c>
      <c r="AJ60" s="6">
        <v>3819000</v>
      </c>
      <c r="AK60" s="6">
        <v>3902000</v>
      </c>
      <c r="AL60" s="6">
        <v>4204500</v>
      </c>
      <c r="AM60" s="6">
        <v>3977000</v>
      </c>
      <c r="AN60" s="6">
        <v>3274500</v>
      </c>
      <c r="AO60" s="6">
        <v>3207500</v>
      </c>
      <c r="AP60" s="6">
        <v>3648500</v>
      </c>
      <c r="AQ60" s="6">
        <v>3278500</v>
      </c>
      <c r="AR60" s="6">
        <v>3234500</v>
      </c>
      <c r="AS60" s="6">
        <v>3082500</v>
      </c>
      <c r="AT60" s="6">
        <v>2888500</v>
      </c>
      <c r="AU60" s="6">
        <v>3513000</v>
      </c>
      <c r="AV60" s="6">
        <v>3595430</v>
      </c>
      <c r="AW60" s="6">
        <v>3898200</v>
      </c>
      <c r="AX60" s="6">
        <v>3466410</v>
      </c>
      <c r="AY60" s="6">
        <v>3410000</v>
      </c>
      <c r="AZ60" s="6">
        <v>3746000</v>
      </c>
      <c r="BA60" s="6">
        <v>3665000</v>
      </c>
      <c r="BB60" s="6">
        <v>4237000</v>
      </c>
      <c r="BC60" s="6">
        <v>3520000</v>
      </c>
      <c r="BD60" s="6">
        <v>3503500</v>
      </c>
      <c r="BE60" s="6">
        <v>3684000</v>
      </c>
      <c r="BF60" s="6">
        <v>3364500</v>
      </c>
      <c r="BG60" s="6">
        <v>3734000</v>
      </c>
      <c r="BH60" s="6">
        <v>3573500</v>
      </c>
      <c r="BI60" s="6">
        <v>4068000</v>
      </c>
    </row>
    <row r="61" spans="1:61" x14ac:dyDescent="0.4">
      <c r="A61" t="s">
        <v>64</v>
      </c>
      <c r="N61" s="6"/>
      <c r="O61" s="6"/>
      <c r="P61" s="6">
        <v>2620940</v>
      </c>
      <c r="Q61" s="6">
        <v>2996420</v>
      </c>
      <c r="R61" s="6">
        <v>4530260</v>
      </c>
      <c r="S61" s="6">
        <v>3797500</v>
      </c>
      <c r="T61" s="6">
        <v>3673500</v>
      </c>
      <c r="U61" s="6">
        <v>4328000</v>
      </c>
      <c r="V61" s="6">
        <v>3967000</v>
      </c>
      <c r="W61" s="6">
        <v>4687500</v>
      </c>
      <c r="X61" s="6">
        <v>4757500</v>
      </c>
      <c r="Y61" s="6">
        <v>5835500</v>
      </c>
      <c r="Z61" s="6">
        <v>4940500</v>
      </c>
      <c r="AA61" s="6">
        <v>6073500</v>
      </c>
      <c r="AB61" s="6">
        <v>5186000</v>
      </c>
      <c r="AC61" s="6">
        <v>5758360</v>
      </c>
      <c r="AD61" s="6">
        <v>7301230</v>
      </c>
      <c r="AE61" s="6">
        <v>5884250</v>
      </c>
      <c r="AF61" s="6">
        <v>5587180</v>
      </c>
      <c r="AG61" s="6">
        <v>5031820</v>
      </c>
      <c r="AH61" s="6">
        <v>4768340</v>
      </c>
      <c r="AI61" s="6">
        <v>5835360</v>
      </c>
      <c r="AJ61" s="6">
        <v>5014260</v>
      </c>
      <c r="AK61" s="6">
        <v>5903580</v>
      </c>
      <c r="AL61" s="6">
        <v>6330040</v>
      </c>
      <c r="AM61" s="6">
        <v>6146600</v>
      </c>
      <c r="AN61" s="6">
        <v>6290700</v>
      </c>
      <c r="AO61" s="6">
        <v>5534760</v>
      </c>
      <c r="AP61" s="6">
        <v>6441160</v>
      </c>
      <c r="AQ61" s="6">
        <v>5316760</v>
      </c>
      <c r="AR61" s="6">
        <v>4883320</v>
      </c>
      <c r="AS61" s="6">
        <v>5476300</v>
      </c>
      <c r="AT61" s="6">
        <v>4744040</v>
      </c>
      <c r="AU61" s="6">
        <v>5244520</v>
      </c>
      <c r="AV61" s="6">
        <v>4900460</v>
      </c>
      <c r="AW61" s="6">
        <v>6329240</v>
      </c>
      <c r="AX61" s="6">
        <v>6462360</v>
      </c>
      <c r="AY61" s="6">
        <v>5865960</v>
      </c>
      <c r="AZ61" s="6">
        <v>5524900</v>
      </c>
      <c r="BA61" s="6">
        <v>4913860</v>
      </c>
      <c r="BB61" s="6">
        <v>6151500</v>
      </c>
      <c r="BC61" s="6">
        <v>5304680</v>
      </c>
      <c r="BD61" s="6">
        <v>5119940</v>
      </c>
      <c r="BE61" s="6">
        <v>5451080</v>
      </c>
      <c r="BF61" s="6">
        <v>5087820</v>
      </c>
      <c r="BG61" s="6">
        <v>5040420</v>
      </c>
      <c r="BH61" s="6">
        <v>5004980</v>
      </c>
      <c r="BI61" s="6">
        <v>6163300</v>
      </c>
    </row>
    <row r="62" spans="1:61" x14ac:dyDescent="0.4">
      <c r="A62" t="s">
        <v>65</v>
      </c>
      <c r="O62" s="6"/>
      <c r="P62" s="6">
        <v>1381280</v>
      </c>
      <c r="Q62" s="6">
        <v>2210240</v>
      </c>
      <c r="R62" s="6">
        <v>2773700</v>
      </c>
      <c r="S62" s="6">
        <v>2613000</v>
      </c>
      <c r="T62" s="6">
        <v>2484530</v>
      </c>
      <c r="U62" s="6">
        <v>2653030</v>
      </c>
      <c r="V62" s="6">
        <v>2380000</v>
      </c>
      <c r="W62" s="6">
        <v>2708000</v>
      </c>
      <c r="X62" s="6">
        <v>2690500</v>
      </c>
      <c r="Y62" s="6">
        <v>3363500</v>
      </c>
      <c r="Z62" s="6">
        <v>2985500</v>
      </c>
      <c r="AA62" s="6">
        <v>2893500</v>
      </c>
      <c r="AB62" s="6">
        <v>2767000</v>
      </c>
      <c r="AC62" s="6">
        <v>3549000</v>
      </c>
      <c r="AD62" s="6">
        <v>3748000</v>
      </c>
      <c r="AE62" s="6">
        <v>3307500</v>
      </c>
      <c r="AF62" s="6">
        <v>3473500</v>
      </c>
      <c r="AG62" s="6">
        <v>3437500</v>
      </c>
      <c r="AH62" s="6">
        <v>2946500</v>
      </c>
      <c r="AI62" s="6">
        <v>3557500</v>
      </c>
      <c r="AJ62" s="6">
        <v>3831500</v>
      </c>
      <c r="AK62" s="6">
        <v>3461000</v>
      </c>
      <c r="AL62" s="6">
        <v>3985000</v>
      </c>
      <c r="AM62" s="6">
        <v>3983500</v>
      </c>
      <c r="AN62" s="6">
        <v>3722000</v>
      </c>
      <c r="AO62" s="6">
        <v>3615500</v>
      </c>
      <c r="AP62" s="6">
        <v>3860500</v>
      </c>
      <c r="AQ62" s="6">
        <v>3596500</v>
      </c>
      <c r="AR62" s="6">
        <v>3117400</v>
      </c>
      <c r="AS62" s="6">
        <v>3162800</v>
      </c>
      <c r="AT62" s="6">
        <v>3474100</v>
      </c>
      <c r="AU62" s="6">
        <v>3745300</v>
      </c>
      <c r="AV62" s="6">
        <v>3865290</v>
      </c>
      <c r="AW62" s="6">
        <v>4402470</v>
      </c>
      <c r="AX62" s="6">
        <v>4460410</v>
      </c>
      <c r="AY62" s="6">
        <v>3523760</v>
      </c>
      <c r="AZ62" s="6">
        <v>3952100</v>
      </c>
      <c r="BA62" s="6">
        <v>3632600</v>
      </c>
      <c r="BB62" s="6">
        <v>4455700</v>
      </c>
      <c r="BC62" s="6">
        <v>3657800</v>
      </c>
      <c r="BD62" s="6">
        <v>3543500</v>
      </c>
      <c r="BE62" s="6">
        <v>3258200</v>
      </c>
      <c r="BF62" s="6">
        <v>3307000</v>
      </c>
      <c r="BG62" s="6">
        <v>3564900</v>
      </c>
      <c r="BH62" s="6">
        <v>3677600</v>
      </c>
      <c r="BI62" s="6">
        <v>4136000</v>
      </c>
    </row>
    <row r="63" spans="1:61" x14ac:dyDescent="0.4">
      <c r="A63" t="s">
        <v>66</v>
      </c>
      <c r="O63" s="6"/>
      <c r="P63" s="6">
        <v>255690</v>
      </c>
      <c r="Q63" s="6">
        <v>1215460</v>
      </c>
      <c r="R63" s="6">
        <v>1929000</v>
      </c>
      <c r="S63" s="6">
        <v>2217000</v>
      </c>
      <c r="T63" s="6">
        <v>1761840</v>
      </c>
      <c r="U63" s="6">
        <v>2019990</v>
      </c>
      <c r="V63" s="6">
        <v>2002500</v>
      </c>
      <c r="W63" s="6">
        <v>2568000</v>
      </c>
      <c r="X63" s="6">
        <v>2493500</v>
      </c>
      <c r="Y63" s="6">
        <v>2980500</v>
      </c>
      <c r="Z63" s="6">
        <v>3182000</v>
      </c>
      <c r="AA63" s="6">
        <v>3373500</v>
      </c>
      <c r="AB63" s="6">
        <v>2956500</v>
      </c>
      <c r="AC63" s="6">
        <v>2951500</v>
      </c>
      <c r="AD63" s="6">
        <v>3370500</v>
      </c>
      <c r="AE63" s="6">
        <v>3037000</v>
      </c>
      <c r="AF63" s="6">
        <v>2943050</v>
      </c>
      <c r="AG63" s="6">
        <v>2918050</v>
      </c>
      <c r="AH63" s="6">
        <v>2680750</v>
      </c>
      <c r="AI63" s="6">
        <v>3189550</v>
      </c>
      <c r="AJ63" s="6">
        <v>3475200</v>
      </c>
      <c r="AK63" s="6">
        <v>3028450</v>
      </c>
      <c r="AL63" s="6">
        <v>3232950</v>
      </c>
      <c r="AM63" s="6">
        <v>3160100</v>
      </c>
      <c r="AN63" s="6">
        <v>3556700</v>
      </c>
      <c r="AO63" s="6">
        <v>3396600</v>
      </c>
      <c r="AP63" s="6">
        <v>4071650</v>
      </c>
      <c r="AQ63" s="6">
        <v>3462200</v>
      </c>
      <c r="AR63" s="6">
        <v>3574000</v>
      </c>
      <c r="AS63" s="6">
        <v>3683700</v>
      </c>
      <c r="AT63" s="6">
        <v>3204600</v>
      </c>
      <c r="AU63" s="6">
        <v>3573200</v>
      </c>
      <c r="AV63" s="6">
        <v>3893850</v>
      </c>
      <c r="AW63" s="6">
        <v>4439600</v>
      </c>
      <c r="AX63" s="6">
        <v>4109000</v>
      </c>
      <c r="AY63" s="6">
        <v>3770800</v>
      </c>
      <c r="AZ63" s="6">
        <v>3776350</v>
      </c>
      <c r="BA63" s="6">
        <v>3452750</v>
      </c>
      <c r="BB63" s="6">
        <v>4480750</v>
      </c>
      <c r="BC63" s="6">
        <v>3446150</v>
      </c>
      <c r="BD63" s="6">
        <v>3842850</v>
      </c>
      <c r="BE63" s="6">
        <v>4227800</v>
      </c>
      <c r="BF63" s="6">
        <v>3367550</v>
      </c>
      <c r="BG63" s="6">
        <v>3705850</v>
      </c>
      <c r="BH63" s="6">
        <v>4359850</v>
      </c>
      <c r="BI63" s="6">
        <v>4982900</v>
      </c>
    </row>
    <row r="64" spans="1:61" x14ac:dyDescent="0.4">
      <c r="A64" t="s">
        <v>67</v>
      </c>
      <c r="O64" s="6"/>
      <c r="P64" s="6">
        <v>183260</v>
      </c>
      <c r="Q64" s="6">
        <v>3714020</v>
      </c>
      <c r="R64" s="6">
        <v>4652850</v>
      </c>
      <c r="S64" s="6">
        <v>3815000</v>
      </c>
      <c r="T64" s="6">
        <v>4142500</v>
      </c>
      <c r="U64" s="6">
        <v>4638500</v>
      </c>
      <c r="V64" s="6">
        <v>3831500</v>
      </c>
      <c r="W64" s="6">
        <v>4764500</v>
      </c>
      <c r="X64" s="6">
        <v>5165500</v>
      </c>
      <c r="Y64" s="6">
        <v>4898500</v>
      </c>
      <c r="Z64" s="6">
        <v>4483500</v>
      </c>
      <c r="AA64" s="6">
        <v>5609500</v>
      </c>
      <c r="AB64" s="6">
        <v>5050000</v>
      </c>
      <c r="AC64" s="6">
        <v>6422500</v>
      </c>
      <c r="AD64" s="6">
        <v>8307000</v>
      </c>
      <c r="AE64" s="6">
        <v>6857500</v>
      </c>
      <c r="AF64" s="6">
        <v>6360690</v>
      </c>
      <c r="AG64" s="6">
        <v>6362800</v>
      </c>
      <c r="AH64" s="6">
        <v>5187350</v>
      </c>
      <c r="AI64" s="6">
        <v>6608430</v>
      </c>
      <c r="AJ64" s="6">
        <v>7415090</v>
      </c>
      <c r="AK64" s="6">
        <v>6734920</v>
      </c>
      <c r="AL64" s="6">
        <v>7425880</v>
      </c>
      <c r="AM64" s="6">
        <v>7113100</v>
      </c>
      <c r="AN64" s="6">
        <v>6357130</v>
      </c>
      <c r="AO64" s="6">
        <v>6713120</v>
      </c>
      <c r="AP64" s="6">
        <v>7449680</v>
      </c>
      <c r="AQ64" s="6">
        <v>6513600</v>
      </c>
      <c r="AR64" s="6">
        <v>6568200</v>
      </c>
      <c r="AS64" s="6">
        <v>6725140</v>
      </c>
      <c r="AT64" s="6">
        <v>5973200</v>
      </c>
      <c r="AU64" s="6">
        <v>7319380</v>
      </c>
      <c r="AV64" s="6">
        <v>7049870</v>
      </c>
      <c r="AW64" s="6">
        <v>7288810</v>
      </c>
      <c r="AX64" s="6">
        <v>7645810</v>
      </c>
      <c r="AY64" s="6">
        <v>7592550</v>
      </c>
      <c r="AZ64" s="6">
        <v>7088540</v>
      </c>
      <c r="BA64" s="6">
        <v>6708770</v>
      </c>
      <c r="BB64" s="6">
        <v>8755140</v>
      </c>
      <c r="BC64" s="6">
        <v>7191120</v>
      </c>
      <c r="BD64" s="6">
        <v>6819660</v>
      </c>
      <c r="BE64" s="6">
        <v>7057720</v>
      </c>
      <c r="BF64" s="6">
        <v>6906300</v>
      </c>
      <c r="BG64" s="6">
        <v>7146660</v>
      </c>
      <c r="BH64" s="6">
        <v>7356460</v>
      </c>
      <c r="BI64" s="6">
        <v>8572640</v>
      </c>
    </row>
    <row r="65" spans="1:61" x14ac:dyDescent="0.4">
      <c r="A65" t="s">
        <v>68</v>
      </c>
      <c r="O65" s="6"/>
      <c r="P65" s="6"/>
      <c r="Q65" s="6">
        <v>1590100</v>
      </c>
      <c r="R65" s="6">
        <v>2348660</v>
      </c>
      <c r="S65" s="6">
        <v>2834730</v>
      </c>
      <c r="T65" s="6">
        <v>2692920</v>
      </c>
      <c r="U65" s="6">
        <v>2148900</v>
      </c>
      <c r="V65" s="6">
        <v>2201500</v>
      </c>
      <c r="W65" s="6">
        <v>2934000</v>
      </c>
      <c r="X65" s="6">
        <v>2554500</v>
      </c>
      <c r="Y65" s="6">
        <v>3038000</v>
      </c>
      <c r="Z65" s="6">
        <v>2173500</v>
      </c>
      <c r="AA65" s="6">
        <v>2330500</v>
      </c>
      <c r="AB65" s="6">
        <v>2286000</v>
      </c>
      <c r="AC65" s="6">
        <v>1068500</v>
      </c>
      <c r="AD65" s="6">
        <v>2752000</v>
      </c>
      <c r="AE65" s="6">
        <v>2335500</v>
      </c>
      <c r="AF65" s="6">
        <v>2403100</v>
      </c>
      <c r="AG65" s="6">
        <v>2425400</v>
      </c>
      <c r="AH65" s="6">
        <v>2444200</v>
      </c>
      <c r="AI65" s="6">
        <v>2714750</v>
      </c>
      <c r="AJ65" s="6">
        <v>2630600</v>
      </c>
      <c r="AK65" s="6">
        <v>2334650</v>
      </c>
      <c r="AL65" s="6">
        <v>2290550</v>
      </c>
      <c r="AM65" s="6">
        <v>2262900</v>
      </c>
      <c r="AN65" s="6">
        <v>2104700</v>
      </c>
      <c r="AO65" s="6">
        <v>2029000</v>
      </c>
      <c r="AP65" s="6">
        <v>2631850</v>
      </c>
      <c r="AQ65" s="6">
        <v>2666700</v>
      </c>
      <c r="AR65" s="6">
        <v>2408950</v>
      </c>
      <c r="AS65" s="6">
        <v>2131850</v>
      </c>
      <c r="AT65" s="6">
        <v>1754650</v>
      </c>
      <c r="AU65" s="6">
        <v>2332500</v>
      </c>
      <c r="AV65" s="6">
        <v>2074650</v>
      </c>
      <c r="AW65" s="6">
        <v>2784100</v>
      </c>
      <c r="AX65" s="6">
        <v>2474900</v>
      </c>
      <c r="AY65" s="6">
        <v>2146100</v>
      </c>
      <c r="AZ65" s="6">
        <v>1909200</v>
      </c>
      <c r="BA65" s="6">
        <v>2130950</v>
      </c>
      <c r="BB65" s="6">
        <v>2715250</v>
      </c>
      <c r="BC65" s="6">
        <v>2455100</v>
      </c>
      <c r="BD65" s="6">
        <v>1823800</v>
      </c>
      <c r="BE65" s="6">
        <v>2213000</v>
      </c>
      <c r="BF65" s="6">
        <v>2181300</v>
      </c>
      <c r="BG65" s="6">
        <v>2128250</v>
      </c>
      <c r="BH65" s="6">
        <v>2397050</v>
      </c>
      <c r="BI65" s="6">
        <v>3045250</v>
      </c>
    </row>
    <row r="66" spans="1:61" x14ac:dyDescent="0.4">
      <c r="A66" t="s">
        <v>69</v>
      </c>
      <c r="P66" s="6"/>
      <c r="Q66" s="6">
        <v>916270</v>
      </c>
      <c r="R66" s="6">
        <v>2951730</v>
      </c>
      <c r="S66" s="6">
        <v>3840540</v>
      </c>
      <c r="T66" s="6">
        <v>4087000</v>
      </c>
      <c r="U66" s="6">
        <v>3905500</v>
      </c>
      <c r="V66" s="6">
        <v>3092500</v>
      </c>
      <c r="W66" s="6">
        <v>4267500</v>
      </c>
      <c r="X66" s="6">
        <v>4549500</v>
      </c>
      <c r="Y66" s="6">
        <v>4994000</v>
      </c>
      <c r="Z66" s="6">
        <v>4954500</v>
      </c>
      <c r="AA66" s="6">
        <v>5532500</v>
      </c>
      <c r="AB66" s="6">
        <v>4841500</v>
      </c>
      <c r="AC66" s="6">
        <v>5289650</v>
      </c>
      <c r="AD66" s="6">
        <v>6099970</v>
      </c>
      <c r="AE66" s="6">
        <v>5770420</v>
      </c>
      <c r="AF66" s="6">
        <v>5856570</v>
      </c>
      <c r="AG66" s="6">
        <v>4891070</v>
      </c>
      <c r="AH66" s="6">
        <v>4387410</v>
      </c>
      <c r="AI66" s="6">
        <v>5448940</v>
      </c>
      <c r="AJ66" s="6">
        <v>5805580</v>
      </c>
      <c r="AK66" s="6">
        <v>5429010</v>
      </c>
      <c r="AL66" s="6">
        <v>5700410</v>
      </c>
      <c r="AM66" s="6">
        <v>5311260</v>
      </c>
      <c r="AN66" s="6">
        <v>5086180</v>
      </c>
      <c r="AO66" s="6">
        <v>5278930</v>
      </c>
      <c r="AP66" s="6">
        <v>5237370</v>
      </c>
      <c r="AQ66" s="6">
        <v>5889760</v>
      </c>
      <c r="AR66" s="6">
        <v>5638750</v>
      </c>
      <c r="AS66" s="6">
        <v>5689050</v>
      </c>
      <c r="AT66" s="6">
        <v>5349830</v>
      </c>
      <c r="AU66" s="6">
        <v>5977680</v>
      </c>
      <c r="AV66" s="6">
        <v>5760740</v>
      </c>
      <c r="AW66" s="6">
        <v>7029300</v>
      </c>
      <c r="AX66" s="6">
        <v>6950440</v>
      </c>
      <c r="AY66" s="6">
        <v>5956560</v>
      </c>
      <c r="AZ66" s="6">
        <v>5717160</v>
      </c>
      <c r="BA66" s="6">
        <v>5379190</v>
      </c>
      <c r="BB66" s="6">
        <v>7562300</v>
      </c>
      <c r="BC66" s="6">
        <v>6182840</v>
      </c>
      <c r="BD66" s="6">
        <v>5977150</v>
      </c>
      <c r="BE66" s="6">
        <v>6575550</v>
      </c>
      <c r="BF66" s="6">
        <v>5990880</v>
      </c>
      <c r="BG66" s="6">
        <v>6897980</v>
      </c>
      <c r="BH66" s="6">
        <v>7628680</v>
      </c>
      <c r="BI66" s="6">
        <v>8335290</v>
      </c>
    </row>
    <row r="67" spans="1:61" x14ac:dyDescent="0.4">
      <c r="A67" t="s">
        <v>70</v>
      </c>
      <c r="P67" s="6"/>
      <c r="Q67" s="6"/>
      <c r="R67" s="6">
        <v>1454620</v>
      </c>
      <c r="S67" s="6">
        <v>3173520</v>
      </c>
      <c r="T67" s="6">
        <v>3954180</v>
      </c>
      <c r="U67" s="6">
        <v>4210000</v>
      </c>
      <c r="V67" s="6">
        <v>3860000</v>
      </c>
      <c r="W67" s="6">
        <v>4030500</v>
      </c>
      <c r="X67" s="6">
        <v>4652500</v>
      </c>
      <c r="Y67" s="6">
        <v>4647000</v>
      </c>
      <c r="Z67" s="6">
        <v>4431500</v>
      </c>
      <c r="AA67" s="6">
        <v>4826500</v>
      </c>
      <c r="AB67" s="6">
        <v>3795500</v>
      </c>
      <c r="AC67" s="6">
        <v>5192300</v>
      </c>
      <c r="AD67" s="6">
        <v>5370800</v>
      </c>
      <c r="AE67" s="6">
        <v>5281600</v>
      </c>
      <c r="AF67" s="6">
        <v>5046650</v>
      </c>
      <c r="AG67" s="6">
        <v>4823000</v>
      </c>
      <c r="AH67" s="6">
        <v>4852150</v>
      </c>
      <c r="AI67" s="6">
        <v>5526300</v>
      </c>
      <c r="AJ67" s="6">
        <v>5098950</v>
      </c>
      <c r="AK67" s="6">
        <v>5654900</v>
      </c>
      <c r="AL67" s="6">
        <v>5784350</v>
      </c>
      <c r="AM67" s="6">
        <v>5870150</v>
      </c>
      <c r="AN67" s="6">
        <v>5281650</v>
      </c>
      <c r="AO67" s="6">
        <v>5032000</v>
      </c>
      <c r="AP67" s="6">
        <v>5100900</v>
      </c>
      <c r="AQ67" s="6">
        <v>5518550</v>
      </c>
      <c r="AR67" s="6">
        <v>5536500</v>
      </c>
      <c r="AS67" s="6">
        <v>5330800</v>
      </c>
      <c r="AT67" s="6">
        <v>4689250</v>
      </c>
      <c r="AU67" s="6">
        <v>5315100</v>
      </c>
      <c r="AV67" s="6">
        <v>5114600</v>
      </c>
      <c r="AW67" s="6">
        <v>5517950</v>
      </c>
      <c r="AX67" s="6">
        <v>5454900</v>
      </c>
      <c r="AY67" s="6">
        <v>5859400</v>
      </c>
      <c r="AZ67" s="6">
        <v>5537600</v>
      </c>
      <c r="BA67" s="6">
        <v>5647350</v>
      </c>
      <c r="BB67" s="6">
        <v>7134250</v>
      </c>
      <c r="BC67" s="6">
        <v>5952750</v>
      </c>
      <c r="BD67" s="6">
        <v>5994050</v>
      </c>
      <c r="BE67" s="6">
        <v>5692050</v>
      </c>
      <c r="BF67" s="6">
        <v>5401500</v>
      </c>
      <c r="BG67" s="6">
        <v>6107450</v>
      </c>
      <c r="BH67" s="6">
        <v>6165450</v>
      </c>
      <c r="BI67" s="6">
        <v>7410250</v>
      </c>
    </row>
    <row r="68" spans="1:61" x14ac:dyDescent="0.4">
      <c r="A68" t="s">
        <v>71</v>
      </c>
      <c r="Q68" s="6"/>
      <c r="R68" s="6">
        <v>1977400</v>
      </c>
      <c r="S68" s="6">
        <v>3718860</v>
      </c>
      <c r="T68" s="6">
        <v>4546040</v>
      </c>
      <c r="U68" s="6">
        <v>3868000</v>
      </c>
      <c r="V68" s="6">
        <v>4164500</v>
      </c>
      <c r="W68" s="6">
        <v>4993600</v>
      </c>
      <c r="X68" s="6">
        <v>5744100</v>
      </c>
      <c r="Y68" s="6">
        <v>6098600</v>
      </c>
      <c r="Z68" s="6">
        <v>5993500</v>
      </c>
      <c r="AA68" s="6">
        <v>6464500</v>
      </c>
      <c r="AB68" s="6">
        <v>5654900</v>
      </c>
      <c r="AC68" s="6">
        <v>5731800</v>
      </c>
      <c r="AD68" s="6">
        <v>6837400</v>
      </c>
      <c r="AE68" s="6">
        <v>6726500</v>
      </c>
      <c r="AF68" s="6">
        <v>6941100</v>
      </c>
      <c r="AG68" s="6">
        <v>6129800</v>
      </c>
      <c r="AH68" s="6">
        <v>5591300</v>
      </c>
      <c r="AI68" s="6">
        <v>6573300</v>
      </c>
      <c r="AJ68" s="6">
        <v>6144100</v>
      </c>
      <c r="AK68" s="6">
        <v>6999500</v>
      </c>
      <c r="AL68" s="6">
        <v>6220500</v>
      </c>
      <c r="AM68" s="6">
        <v>6686200</v>
      </c>
      <c r="AN68" s="6">
        <v>6687400</v>
      </c>
      <c r="AO68" s="6">
        <v>6714100</v>
      </c>
      <c r="AP68" s="6">
        <v>7109600</v>
      </c>
      <c r="AQ68" s="6">
        <v>7287300</v>
      </c>
      <c r="AR68" s="6">
        <v>6961300</v>
      </c>
      <c r="AS68" s="6">
        <v>6258300</v>
      </c>
      <c r="AT68" s="6">
        <v>5505300</v>
      </c>
      <c r="AU68" s="6">
        <v>6903800</v>
      </c>
      <c r="AV68" s="6">
        <v>6488400</v>
      </c>
      <c r="AW68" s="6">
        <v>7804800</v>
      </c>
      <c r="AX68" s="6">
        <v>7263800</v>
      </c>
      <c r="AY68" s="6">
        <v>6846200</v>
      </c>
      <c r="AZ68" s="6">
        <v>6903500</v>
      </c>
      <c r="BA68" s="6">
        <v>6847100</v>
      </c>
      <c r="BB68" s="6">
        <v>8902300</v>
      </c>
      <c r="BC68" s="6">
        <v>7783400</v>
      </c>
      <c r="BD68" s="6">
        <v>7684600</v>
      </c>
      <c r="BE68" s="6">
        <v>7560100</v>
      </c>
      <c r="BF68" s="6">
        <v>6641100</v>
      </c>
      <c r="BG68" s="6">
        <v>7758600</v>
      </c>
      <c r="BH68" s="6">
        <v>7436300</v>
      </c>
      <c r="BI68" s="6">
        <v>8330600</v>
      </c>
    </row>
    <row r="69" spans="1:61" x14ac:dyDescent="0.4">
      <c r="A69" t="s">
        <v>72</v>
      </c>
      <c r="Q69" s="6"/>
      <c r="R69" s="6">
        <v>1047590</v>
      </c>
      <c r="S69" s="6">
        <v>2492030</v>
      </c>
      <c r="T69" s="6">
        <v>3197700</v>
      </c>
      <c r="U69" s="6">
        <v>3291000</v>
      </c>
      <c r="V69" s="6">
        <v>3579000</v>
      </c>
      <c r="W69" s="6">
        <v>4525500</v>
      </c>
      <c r="X69" s="6">
        <v>4958000</v>
      </c>
      <c r="Y69" s="6">
        <v>5856000</v>
      </c>
      <c r="Z69" s="6">
        <v>5379500</v>
      </c>
      <c r="AA69" s="6">
        <v>5673000</v>
      </c>
      <c r="AB69" s="6">
        <v>5746000</v>
      </c>
      <c r="AC69" s="6">
        <v>6806410</v>
      </c>
      <c r="AD69" s="6">
        <v>7038960</v>
      </c>
      <c r="AE69" s="6">
        <v>6379760</v>
      </c>
      <c r="AF69" s="6">
        <v>6219060</v>
      </c>
      <c r="AG69" s="6">
        <v>5476020</v>
      </c>
      <c r="AH69" s="6">
        <v>5437780</v>
      </c>
      <c r="AI69" s="6">
        <v>7091680</v>
      </c>
      <c r="AJ69" s="6">
        <v>7134460</v>
      </c>
      <c r="AK69" s="6">
        <v>7315160</v>
      </c>
      <c r="AL69" s="6">
        <v>7569340</v>
      </c>
      <c r="AM69" s="6">
        <v>8116340</v>
      </c>
      <c r="AN69" s="6">
        <v>7798780</v>
      </c>
      <c r="AO69" s="6">
        <v>7482080</v>
      </c>
      <c r="AP69" s="6">
        <v>8116400</v>
      </c>
      <c r="AQ69" s="6">
        <v>7636960</v>
      </c>
      <c r="AR69" s="6">
        <v>6903180</v>
      </c>
      <c r="AS69" s="6">
        <v>5552980</v>
      </c>
      <c r="AT69" s="6">
        <v>5996500</v>
      </c>
      <c r="AU69" s="6">
        <v>6840820</v>
      </c>
      <c r="AV69" s="6">
        <v>7004920</v>
      </c>
      <c r="AW69" s="6">
        <v>8853420</v>
      </c>
      <c r="AX69" s="6">
        <v>7680540</v>
      </c>
      <c r="AY69" s="6">
        <v>7285360</v>
      </c>
      <c r="AZ69" s="6">
        <v>7683120</v>
      </c>
      <c r="BA69" s="6">
        <v>8259880</v>
      </c>
      <c r="BB69" s="6">
        <v>8448740</v>
      </c>
      <c r="BC69" s="6">
        <v>8134940</v>
      </c>
      <c r="BD69" s="6">
        <v>7620300</v>
      </c>
      <c r="BE69" s="6">
        <v>6719740</v>
      </c>
      <c r="BF69" s="6">
        <v>6370040</v>
      </c>
      <c r="BG69" s="6">
        <v>8061320</v>
      </c>
      <c r="BH69" s="6">
        <v>7597020</v>
      </c>
      <c r="BI69" s="6">
        <v>9906460</v>
      </c>
    </row>
    <row r="70" spans="1:61" x14ac:dyDescent="0.4">
      <c r="A70" t="s">
        <v>73</v>
      </c>
      <c r="Q70" s="6"/>
      <c r="R70" s="6">
        <v>764070</v>
      </c>
      <c r="S70" s="6">
        <v>2591620</v>
      </c>
      <c r="T70" s="6">
        <v>2867680</v>
      </c>
      <c r="U70" s="6">
        <v>2864740</v>
      </c>
      <c r="V70" s="6">
        <v>3606280</v>
      </c>
      <c r="W70" s="6">
        <v>4114000</v>
      </c>
      <c r="X70" s="6">
        <v>3796500</v>
      </c>
      <c r="Y70" s="6">
        <v>4073500</v>
      </c>
      <c r="Z70" s="6">
        <v>4174000</v>
      </c>
      <c r="AA70" s="6">
        <v>4636500</v>
      </c>
      <c r="AB70" s="6">
        <v>4460500</v>
      </c>
      <c r="AC70" s="6">
        <v>4484500</v>
      </c>
      <c r="AD70" s="6">
        <v>5476500</v>
      </c>
      <c r="AE70" s="6">
        <v>4755500</v>
      </c>
      <c r="AF70" s="6">
        <v>5361310</v>
      </c>
      <c r="AG70" s="6">
        <v>4877660</v>
      </c>
      <c r="AH70" s="6">
        <v>4967770</v>
      </c>
      <c r="AI70" s="6">
        <v>5085380</v>
      </c>
      <c r="AJ70" s="6">
        <v>5584550</v>
      </c>
      <c r="AK70" s="6">
        <v>4866740</v>
      </c>
      <c r="AL70" s="6">
        <v>5115100</v>
      </c>
      <c r="AM70" s="6">
        <v>5086000</v>
      </c>
      <c r="AN70" s="6">
        <v>5428330</v>
      </c>
      <c r="AO70" s="6">
        <v>4943460</v>
      </c>
      <c r="AP70" s="6">
        <v>5441170</v>
      </c>
      <c r="AQ70" s="6">
        <v>4980790</v>
      </c>
      <c r="AR70" s="6">
        <v>4763520</v>
      </c>
      <c r="AS70" s="6">
        <v>4454860</v>
      </c>
      <c r="AT70" s="6">
        <v>3828340</v>
      </c>
      <c r="AU70" s="6">
        <v>4897800</v>
      </c>
      <c r="AV70" s="6">
        <v>4878380</v>
      </c>
      <c r="AW70" s="6">
        <v>5941640</v>
      </c>
      <c r="AX70" s="6">
        <v>6182400</v>
      </c>
      <c r="AY70" s="6">
        <v>5293370</v>
      </c>
      <c r="AZ70" s="6">
        <v>6300210</v>
      </c>
      <c r="BA70" s="6">
        <v>5985160</v>
      </c>
      <c r="BB70" s="6">
        <v>7080890</v>
      </c>
      <c r="BC70" s="6">
        <v>6255490</v>
      </c>
      <c r="BD70" s="6">
        <v>5504230</v>
      </c>
      <c r="BE70" s="6">
        <v>5605390</v>
      </c>
      <c r="BF70" s="6">
        <v>5184460</v>
      </c>
      <c r="BG70" s="6">
        <v>5800700</v>
      </c>
      <c r="BH70" s="6">
        <v>6407780</v>
      </c>
      <c r="BI70" s="6">
        <v>6580230</v>
      </c>
    </row>
    <row r="71" spans="1:61" x14ac:dyDescent="0.4">
      <c r="A71" t="s">
        <v>74</v>
      </c>
      <c r="Q71" s="6"/>
      <c r="R71" s="6">
        <v>551870</v>
      </c>
      <c r="S71" s="6">
        <v>2273200</v>
      </c>
      <c r="T71" s="6">
        <v>3030950</v>
      </c>
      <c r="U71" s="6">
        <v>3739000</v>
      </c>
      <c r="V71" s="6">
        <v>3194000</v>
      </c>
      <c r="W71" s="6">
        <v>3486500</v>
      </c>
      <c r="X71" s="6">
        <v>3690500</v>
      </c>
      <c r="Y71" s="6">
        <v>4367500</v>
      </c>
      <c r="Z71" s="6">
        <v>4061500</v>
      </c>
      <c r="AA71" s="6">
        <v>4514000</v>
      </c>
      <c r="AB71" s="6">
        <v>3941500</v>
      </c>
      <c r="AC71" s="6">
        <v>4618500</v>
      </c>
      <c r="AD71" s="6">
        <v>4912000</v>
      </c>
      <c r="AE71" s="6">
        <v>4182000</v>
      </c>
      <c r="AF71" s="6">
        <v>5497700</v>
      </c>
      <c r="AG71" s="6">
        <v>4866070</v>
      </c>
      <c r="AH71" s="6">
        <v>4336050</v>
      </c>
      <c r="AI71" s="6">
        <v>5638730</v>
      </c>
      <c r="AJ71" s="6">
        <v>4956860</v>
      </c>
      <c r="AK71" s="6">
        <v>5055630</v>
      </c>
      <c r="AL71" s="6">
        <v>5513250</v>
      </c>
      <c r="AM71" s="6">
        <v>5933340</v>
      </c>
      <c r="AN71" s="6">
        <v>5171320</v>
      </c>
      <c r="AO71" s="6">
        <v>5304240</v>
      </c>
      <c r="AP71" s="6">
        <v>6299500</v>
      </c>
      <c r="AQ71" s="6">
        <v>5667210</v>
      </c>
      <c r="AR71" s="6">
        <v>5708810</v>
      </c>
      <c r="AS71" s="6">
        <v>5709530</v>
      </c>
      <c r="AT71" s="6">
        <v>5575100</v>
      </c>
      <c r="AU71" s="6">
        <v>6005580</v>
      </c>
      <c r="AV71" s="6">
        <v>6092350</v>
      </c>
      <c r="AW71" s="6">
        <v>6365320</v>
      </c>
      <c r="AX71" s="6">
        <v>6073230</v>
      </c>
      <c r="AY71" s="6">
        <v>5210970</v>
      </c>
      <c r="AZ71" s="6">
        <v>5600640</v>
      </c>
      <c r="BA71" s="6">
        <v>5335500</v>
      </c>
      <c r="BB71" s="6">
        <v>6609670</v>
      </c>
      <c r="BC71" s="6">
        <v>6303790</v>
      </c>
      <c r="BD71" s="6">
        <v>5793430</v>
      </c>
      <c r="BE71" s="6">
        <v>6854910</v>
      </c>
      <c r="BF71" s="6">
        <v>5774310</v>
      </c>
      <c r="BG71" s="6">
        <v>6247020</v>
      </c>
      <c r="BH71" s="6">
        <v>6461030</v>
      </c>
      <c r="BI71" s="6">
        <v>6825580</v>
      </c>
    </row>
    <row r="72" spans="1:61" x14ac:dyDescent="0.4">
      <c r="A72" t="s">
        <v>75</v>
      </c>
      <c r="Q72" s="6"/>
      <c r="R72" s="6">
        <v>272210</v>
      </c>
      <c r="S72" s="6">
        <v>2060380</v>
      </c>
      <c r="T72" s="6">
        <v>2651400</v>
      </c>
      <c r="U72" s="6">
        <v>2739500</v>
      </c>
      <c r="V72" s="6">
        <v>2307500</v>
      </c>
      <c r="W72" s="6">
        <v>2021000</v>
      </c>
      <c r="X72" s="6">
        <v>1877000</v>
      </c>
      <c r="Y72" s="6">
        <v>2254500</v>
      </c>
      <c r="Z72" s="6">
        <v>2045500</v>
      </c>
      <c r="AA72" s="6">
        <v>2460000</v>
      </c>
      <c r="AB72" s="6">
        <v>2505500</v>
      </c>
      <c r="AC72" s="6">
        <v>2726000</v>
      </c>
      <c r="AD72" s="6">
        <v>3119500</v>
      </c>
      <c r="AE72" s="6">
        <v>2803500</v>
      </c>
      <c r="AF72" s="6">
        <v>3149560</v>
      </c>
      <c r="AG72" s="6">
        <v>3150130</v>
      </c>
      <c r="AH72" s="6">
        <v>2728430</v>
      </c>
      <c r="AI72" s="6">
        <v>3203440</v>
      </c>
      <c r="AJ72" s="6">
        <v>2995880</v>
      </c>
      <c r="AK72" s="6">
        <v>2967770</v>
      </c>
      <c r="AL72" s="6">
        <v>2593060</v>
      </c>
      <c r="AM72" s="6">
        <v>3175540</v>
      </c>
      <c r="AN72" s="6">
        <v>3607290</v>
      </c>
      <c r="AO72" s="6">
        <v>4078140</v>
      </c>
      <c r="AP72" s="6">
        <v>3986870</v>
      </c>
      <c r="AQ72" s="6">
        <v>4054950</v>
      </c>
      <c r="AR72" s="6">
        <v>4010260</v>
      </c>
      <c r="AS72" s="6">
        <v>3626730</v>
      </c>
      <c r="AT72" s="6">
        <v>2961000</v>
      </c>
      <c r="AU72" s="6">
        <v>3703050</v>
      </c>
      <c r="AV72" s="6">
        <v>3873380</v>
      </c>
      <c r="AW72" s="6">
        <v>4803390</v>
      </c>
      <c r="AX72" s="6">
        <v>4989060</v>
      </c>
      <c r="AY72" s="6">
        <v>4542690</v>
      </c>
      <c r="AZ72" s="6">
        <v>4800660</v>
      </c>
      <c r="BA72" s="6">
        <v>4117490</v>
      </c>
      <c r="BB72" s="6">
        <v>4957230</v>
      </c>
      <c r="BC72" s="6">
        <v>3139250</v>
      </c>
      <c r="BD72" s="6">
        <v>2641390</v>
      </c>
      <c r="BE72" s="6">
        <v>2695000</v>
      </c>
      <c r="BF72" s="6">
        <v>2531680</v>
      </c>
      <c r="BG72" s="6">
        <v>2773490</v>
      </c>
      <c r="BH72" s="6">
        <v>2757650</v>
      </c>
      <c r="BI72" s="6">
        <v>2826540</v>
      </c>
    </row>
    <row r="73" spans="1:61" x14ac:dyDescent="0.4">
      <c r="A73" t="s">
        <v>76</v>
      </c>
      <c r="Q73" s="6"/>
      <c r="R73" s="6"/>
      <c r="S73" s="6">
        <v>351110</v>
      </c>
      <c r="T73" s="6">
        <v>2736700</v>
      </c>
      <c r="U73" s="6">
        <v>2057430</v>
      </c>
      <c r="V73" s="6">
        <v>2078500</v>
      </c>
      <c r="W73" s="6">
        <v>2749500</v>
      </c>
      <c r="X73" s="6">
        <v>3016500</v>
      </c>
      <c r="Y73" s="6">
        <v>3418000</v>
      </c>
      <c r="Z73" s="6">
        <v>2677000</v>
      </c>
      <c r="AA73" s="6">
        <v>2761500</v>
      </c>
      <c r="AB73" s="6">
        <v>2555500</v>
      </c>
      <c r="AC73" s="6">
        <v>4186500</v>
      </c>
      <c r="AD73" s="6">
        <v>3407000</v>
      </c>
      <c r="AE73" s="6">
        <v>3563000</v>
      </c>
      <c r="AF73" s="6">
        <v>4464050</v>
      </c>
      <c r="AG73" s="6">
        <v>2451950</v>
      </c>
      <c r="AH73" s="6">
        <v>2510540</v>
      </c>
      <c r="AI73" s="6">
        <v>4253480</v>
      </c>
      <c r="AJ73" s="6">
        <v>4118470</v>
      </c>
      <c r="AK73" s="6">
        <v>4309980</v>
      </c>
      <c r="AL73" s="6">
        <v>4325340</v>
      </c>
      <c r="AM73" s="6">
        <v>3699800</v>
      </c>
      <c r="AN73" s="6">
        <v>3957890</v>
      </c>
      <c r="AO73" s="6">
        <v>4599940</v>
      </c>
      <c r="AP73" s="6">
        <v>4692180</v>
      </c>
      <c r="AQ73" s="6">
        <v>4036290</v>
      </c>
      <c r="AR73" s="6">
        <v>4344600</v>
      </c>
      <c r="AS73" s="6">
        <v>2188280</v>
      </c>
      <c r="AT73" s="6">
        <v>2545280</v>
      </c>
      <c r="AU73" s="6">
        <v>4095900</v>
      </c>
      <c r="AV73" s="6">
        <v>3676390</v>
      </c>
      <c r="AW73" s="6">
        <v>4755450</v>
      </c>
      <c r="AX73" s="6">
        <v>4646130</v>
      </c>
      <c r="AY73" s="6">
        <v>2844110</v>
      </c>
      <c r="AZ73" s="6">
        <v>4527020</v>
      </c>
      <c r="BA73" s="6">
        <v>4413220</v>
      </c>
      <c r="BB73" s="6">
        <v>4483790</v>
      </c>
      <c r="BC73" s="6">
        <v>3781100</v>
      </c>
      <c r="BD73" s="6">
        <v>4260370</v>
      </c>
      <c r="BE73" s="6">
        <v>2137240</v>
      </c>
      <c r="BF73" s="6">
        <v>2367390</v>
      </c>
      <c r="BG73" s="6">
        <v>4239370</v>
      </c>
      <c r="BH73" s="6">
        <v>4040200</v>
      </c>
      <c r="BI73" s="6">
        <v>5349220</v>
      </c>
    </row>
    <row r="74" spans="1:61" x14ac:dyDescent="0.4">
      <c r="A74" t="s">
        <v>77</v>
      </c>
      <c r="R74" s="6"/>
      <c r="S74" s="6">
        <v>117330</v>
      </c>
      <c r="T74" s="6">
        <v>3648490</v>
      </c>
      <c r="U74" s="6">
        <v>4264760</v>
      </c>
      <c r="V74" s="6">
        <v>4029500</v>
      </c>
      <c r="W74" s="6">
        <v>4451000</v>
      </c>
      <c r="X74" s="6">
        <v>3717500</v>
      </c>
      <c r="Y74" s="6">
        <v>4095500</v>
      </c>
      <c r="Z74" s="6">
        <v>3405500</v>
      </c>
      <c r="AA74" s="6">
        <v>4263500</v>
      </c>
      <c r="AB74" s="6">
        <v>3733000</v>
      </c>
      <c r="AC74" s="6">
        <v>5011000</v>
      </c>
      <c r="AD74" s="6">
        <v>4741500</v>
      </c>
      <c r="AE74" s="6">
        <v>4962000</v>
      </c>
      <c r="AF74" s="6">
        <v>5304050</v>
      </c>
      <c r="AG74" s="6">
        <v>5702810</v>
      </c>
      <c r="AH74" s="6">
        <v>4431870</v>
      </c>
      <c r="AI74" s="6">
        <v>5172700</v>
      </c>
      <c r="AJ74" s="6">
        <v>4196180</v>
      </c>
      <c r="AK74" s="6">
        <v>4208460</v>
      </c>
      <c r="AL74" s="6">
        <v>3859070</v>
      </c>
      <c r="AM74" s="6">
        <v>3999330</v>
      </c>
      <c r="AN74" s="6">
        <v>3367950</v>
      </c>
      <c r="AO74" s="6">
        <v>3970700</v>
      </c>
      <c r="AP74" s="6">
        <v>4688260</v>
      </c>
      <c r="AQ74" s="6">
        <v>3888850</v>
      </c>
      <c r="AR74" s="6">
        <v>5085920</v>
      </c>
      <c r="AS74" s="6">
        <v>4692360</v>
      </c>
      <c r="AT74" s="6">
        <v>4121350</v>
      </c>
      <c r="AU74" s="6">
        <v>5126990</v>
      </c>
      <c r="AV74" s="6">
        <v>5319310</v>
      </c>
      <c r="AW74" s="6">
        <v>5379020</v>
      </c>
      <c r="AX74" s="6">
        <v>5689120</v>
      </c>
      <c r="AY74" s="6">
        <v>5006450</v>
      </c>
      <c r="AZ74" s="6">
        <v>5012190</v>
      </c>
      <c r="BA74" s="6">
        <v>5014150</v>
      </c>
      <c r="BB74" s="6">
        <v>5982680</v>
      </c>
      <c r="BC74" s="6">
        <v>4765000</v>
      </c>
      <c r="BD74" s="6">
        <v>5992820</v>
      </c>
      <c r="BE74" s="6">
        <v>6299600</v>
      </c>
      <c r="BF74" s="6">
        <v>5383170</v>
      </c>
      <c r="BG74" s="6">
        <v>6230860</v>
      </c>
      <c r="BH74" s="6">
        <v>5714170</v>
      </c>
      <c r="BI74" s="6">
        <v>6236080</v>
      </c>
    </row>
    <row r="75" spans="1:61" x14ac:dyDescent="0.4">
      <c r="A75" t="s">
        <v>78</v>
      </c>
      <c r="R75" s="6"/>
      <c r="S75" s="6">
        <v>13970</v>
      </c>
      <c r="T75" s="6">
        <v>2015040</v>
      </c>
      <c r="U75" s="6">
        <v>2490840</v>
      </c>
      <c r="V75" s="6">
        <v>2167500</v>
      </c>
      <c r="W75" s="6">
        <v>2451000</v>
      </c>
      <c r="X75" s="6">
        <v>2552500</v>
      </c>
      <c r="Y75" s="6">
        <v>2970000</v>
      </c>
      <c r="Z75" s="6">
        <v>2969000</v>
      </c>
      <c r="AA75" s="6">
        <v>3128000</v>
      </c>
      <c r="AB75" s="6">
        <v>3018000</v>
      </c>
      <c r="AC75" s="6">
        <v>2681500</v>
      </c>
      <c r="AD75" s="6">
        <v>2994000</v>
      </c>
      <c r="AE75" s="6">
        <v>2803500</v>
      </c>
      <c r="AF75" s="6">
        <v>3114550</v>
      </c>
      <c r="AG75" s="6">
        <v>2813250</v>
      </c>
      <c r="AH75" s="6">
        <v>2603500</v>
      </c>
      <c r="AI75" s="6">
        <v>3222150</v>
      </c>
      <c r="AJ75" s="6">
        <v>2776750</v>
      </c>
      <c r="AK75" s="6">
        <v>2958650</v>
      </c>
      <c r="AL75" s="6">
        <v>3159950</v>
      </c>
      <c r="AM75" s="6">
        <v>3471050</v>
      </c>
      <c r="AN75" s="6">
        <v>3418250</v>
      </c>
      <c r="AO75" s="6">
        <v>3310450</v>
      </c>
      <c r="AP75" s="6">
        <v>3413050</v>
      </c>
      <c r="AQ75" s="6">
        <v>3807500</v>
      </c>
      <c r="AR75" s="6">
        <v>3596700</v>
      </c>
      <c r="AS75" s="6">
        <v>3331800</v>
      </c>
      <c r="AT75" s="6">
        <v>3001250</v>
      </c>
      <c r="AU75" s="6">
        <v>3537350</v>
      </c>
      <c r="AV75" s="6">
        <v>3449800</v>
      </c>
      <c r="AW75" s="6">
        <v>4020650</v>
      </c>
      <c r="AX75" s="6">
        <v>3657350</v>
      </c>
      <c r="AY75" s="6">
        <v>3717500</v>
      </c>
      <c r="AZ75" s="6">
        <v>3685250</v>
      </c>
      <c r="BA75" s="6">
        <v>3557350</v>
      </c>
      <c r="BB75" s="6">
        <v>4258850</v>
      </c>
      <c r="BC75" s="6">
        <v>3780250</v>
      </c>
      <c r="BD75" s="6">
        <v>3809150</v>
      </c>
      <c r="BE75" s="6">
        <v>3834250</v>
      </c>
      <c r="BF75" s="6">
        <v>3624950</v>
      </c>
      <c r="BG75" s="6">
        <v>3797600</v>
      </c>
      <c r="BH75" s="6">
        <v>3886150</v>
      </c>
      <c r="BI75" s="6">
        <v>4679650</v>
      </c>
    </row>
    <row r="76" spans="1:61" x14ac:dyDescent="0.4">
      <c r="A76" t="s">
        <v>79</v>
      </c>
      <c r="R76" s="6"/>
      <c r="S76" s="6"/>
      <c r="T76" s="6">
        <v>1111600</v>
      </c>
      <c r="U76" s="6">
        <v>1826170</v>
      </c>
      <c r="V76" s="6">
        <v>1837300</v>
      </c>
      <c r="W76" s="6">
        <v>1744500</v>
      </c>
      <c r="X76" s="6">
        <v>2233000</v>
      </c>
      <c r="Y76" s="6">
        <v>2227000</v>
      </c>
      <c r="Z76" s="6">
        <v>2329500</v>
      </c>
      <c r="AA76" s="6">
        <v>2580500</v>
      </c>
      <c r="AB76" s="6">
        <v>2125500</v>
      </c>
      <c r="AC76" s="6">
        <v>2587000</v>
      </c>
      <c r="AD76" s="6">
        <v>2849500</v>
      </c>
      <c r="AE76" s="6">
        <v>2508500</v>
      </c>
      <c r="AF76" s="6">
        <v>2534650</v>
      </c>
      <c r="AG76" s="6">
        <v>2452350</v>
      </c>
      <c r="AH76" s="6">
        <v>2161560</v>
      </c>
      <c r="AI76" s="6">
        <v>2765660</v>
      </c>
      <c r="AJ76" s="6">
        <v>3367650</v>
      </c>
      <c r="AK76" s="6">
        <v>3251300</v>
      </c>
      <c r="AL76" s="6">
        <v>3198350</v>
      </c>
      <c r="AM76" s="6">
        <v>3324100</v>
      </c>
      <c r="AN76" s="6">
        <v>2559650</v>
      </c>
      <c r="AO76" s="6">
        <v>2875750</v>
      </c>
      <c r="AP76" s="6">
        <v>3531000</v>
      </c>
      <c r="AQ76" s="6">
        <v>3260450</v>
      </c>
      <c r="AR76" s="6">
        <v>3559150</v>
      </c>
      <c r="AS76" s="6">
        <v>3318950</v>
      </c>
      <c r="AT76" s="6">
        <v>2574600</v>
      </c>
      <c r="AU76" s="6">
        <v>3206150</v>
      </c>
      <c r="AV76" s="6">
        <v>3576550</v>
      </c>
      <c r="AW76" s="6">
        <v>3663350</v>
      </c>
      <c r="AX76" s="6">
        <v>3544800</v>
      </c>
      <c r="AY76" s="6">
        <v>3308100</v>
      </c>
      <c r="AZ76" s="6">
        <v>3435200</v>
      </c>
      <c r="BA76" s="6">
        <v>3282750</v>
      </c>
      <c r="BB76" s="6">
        <v>4266800</v>
      </c>
      <c r="BC76" s="6">
        <v>3132150</v>
      </c>
      <c r="BD76" s="6">
        <v>3383450</v>
      </c>
      <c r="BE76" s="6">
        <v>3634400</v>
      </c>
      <c r="BF76" s="6">
        <v>2965300</v>
      </c>
      <c r="BG76" s="6">
        <v>3363550</v>
      </c>
      <c r="BH76" s="6">
        <v>3569550</v>
      </c>
      <c r="BI76" s="6">
        <v>4103700</v>
      </c>
    </row>
    <row r="77" spans="1:61" x14ac:dyDescent="0.4">
      <c r="A77" t="s">
        <v>80</v>
      </c>
      <c r="S77" s="6"/>
      <c r="T77" s="6">
        <v>2418150</v>
      </c>
      <c r="U77" s="6">
        <v>3206320</v>
      </c>
      <c r="V77" s="6">
        <v>3708220</v>
      </c>
      <c r="W77" s="6">
        <v>4804000</v>
      </c>
      <c r="X77" s="6">
        <v>4849000</v>
      </c>
      <c r="Y77" s="6">
        <v>5155000</v>
      </c>
      <c r="Z77" s="6">
        <v>4116000</v>
      </c>
      <c r="AA77" s="6">
        <v>4199000</v>
      </c>
      <c r="AB77" s="6">
        <v>3623500</v>
      </c>
      <c r="AC77" s="6">
        <v>3703000</v>
      </c>
      <c r="AD77" s="6">
        <v>4569000</v>
      </c>
      <c r="AE77" s="6">
        <v>4019000</v>
      </c>
      <c r="AF77" s="6">
        <v>4193350</v>
      </c>
      <c r="AG77" s="6">
        <v>4312750</v>
      </c>
      <c r="AH77" s="6">
        <v>4163300</v>
      </c>
      <c r="AI77" s="6">
        <v>4819200</v>
      </c>
      <c r="AJ77" s="6">
        <v>4914150</v>
      </c>
      <c r="AK77" s="6">
        <v>4985150</v>
      </c>
      <c r="AL77" s="6">
        <v>5512100</v>
      </c>
      <c r="AM77" s="6">
        <v>5192100</v>
      </c>
      <c r="AN77" s="6">
        <v>5198100</v>
      </c>
      <c r="AO77" s="6">
        <v>4061750</v>
      </c>
      <c r="AP77" s="6">
        <v>4621350</v>
      </c>
      <c r="AQ77" s="6">
        <v>4165550</v>
      </c>
      <c r="AR77" s="6">
        <v>4402150</v>
      </c>
      <c r="AS77" s="6">
        <v>4226100</v>
      </c>
      <c r="AT77" s="6">
        <v>3844350</v>
      </c>
      <c r="AU77" s="6">
        <v>4815750</v>
      </c>
      <c r="AV77" s="6">
        <v>4267500</v>
      </c>
      <c r="AW77" s="6">
        <v>4848550</v>
      </c>
      <c r="AX77" s="6">
        <v>4371650</v>
      </c>
      <c r="AY77" s="6">
        <v>4169740</v>
      </c>
      <c r="AZ77" s="6">
        <v>4706150</v>
      </c>
      <c r="BA77" s="6">
        <v>4229660</v>
      </c>
      <c r="BB77" s="6">
        <v>5218370</v>
      </c>
      <c r="BC77" s="6">
        <v>4586180</v>
      </c>
      <c r="BD77" s="6">
        <v>4296590</v>
      </c>
      <c r="BE77" s="6">
        <v>4008520</v>
      </c>
      <c r="BF77" s="6">
        <v>3944100</v>
      </c>
      <c r="BG77" s="6">
        <v>4318690</v>
      </c>
      <c r="BH77" s="6">
        <v>4687920</v>
      </c>
      <c r="BI77" s="6">
        <v>5083850</v>
      </c>
    </row>
    <row r="78" spans="1:61" x14ac:dyDescent="0.4">
      <c r="A78" t="s">
        <v>81</v>
      </c>
      <c r="S78" s="6"/>
      <c r="T78" s="6">
        <v>503790</v>
      </c>
      <c r="U78" s="6">
        <v>1630400</v>
      </c>
      <c r="V78" s="6">
        <v>1751550</v>
      </c>
      <c r="W78" s="6">
        <v>2902000</v>
      </c>
      <c r="X78" s="6">
        <v>2856000</v>
      </c>
      <c r="Y78" s="6">
        <v>3775500</v>
      </c>
      <c r="Z78" s="6">
        <v>2848000</v>
      </c>
      <c r="AA78" s="6">
        <v>3304500</v>
      </c>
      <c r="AB78" s="6">
        <v>4083500</v>
      </c>
      <c r="AC78" s="6">
        <v>4036500</v>
      </c>
      <c r="AD78" s="6">
        <v>3935000</v>
      </c>
      <c r="AE78" s="6">
        <v>3333500</v>
      </c>
      <c r="AF78" s="6">
        <v>3408510</v>
      </c>
      <c r="AG78" s="6">
        <v>2805660</v>
      </c>
      <c r="AH78" s="6">
        <v>2879370</v>
      </c>
      <c r="AI78" s="6">
        <v>4338210</v>
      </c>
      <c r="AJ78" s="6">
        <v>4355030</v>
      </c>
      <c r="AK78" s="6">
        <v>4265170</v>
      </c>
      <c r="AL78" s="6">
        <v>4373460</v>
      </c>
      <c r="AM78" s="6">
        <v>4425910</v>
      </c>
      <c r="AN78" s="6">
        <v>5097100</v>
      </c>
      <c r="AO78" s="6">
        <v>4943980</v>
      </c>
      <c r="AP78" s="6">
        <v>4893620</v>
      </c>
      <c r="AQ78" s="6">
        <v>4900810</v>
      </c>
      <c r="AR78" s="6">
        <v>4149550</v>
      </c>
      <c r="AS78" s="6">
        <v>3867550</v>
      </c>
      <c r="AT78" s="6">
        <v>4033340</v>
      </c>
      <c r="AU78" s="6">
        <v>3922780</v>
      </c>
      <c r="AV78" s="6">
        <v>4138920</v>
      </c>
      <c r="AW78" s="6">
        <v>4864430</v>
      </c>
      <c r="AX78" s="6">
        <v>4696200</v>
      </c>
      <c r="AY78" s="6">
        <v>4040580</v>
      </c>
      <c r="AZ78" s="6">
        <v>4622710</v>
      </c>
      <c r="BA78" s="6">
        <v>4855590</v>
      </c>
      <c r="BB78" s="6">
        <v>5299700</v>
      </c>
      <c r="BC78" s="6">
        <v>4392330</v>
      </c>
      <c r="BD78" s="6">
        <v>4662030</v>
      </c>
      <c r="BE78" s="6">
        <v>4003300</v>
      </c>
      <c r="BF78" s="6">
        <v>3350680</v>
      </c>
      <c r="BG78" s="6">
        <v>4708870</v>
      </c>
      <c r="BH78" s="6">
        <v>4521980</v>
      </c>
      <c r="BI78" s="6">
        <v>4981550</v>
      </c>
    </row>
    <row r="79" spans="1:61" x14ac:dyDescent="0.4">
      <c r="A79" t="s">
        <v>82</v>
      </c>
      <c r="S79" s="6"/>
      <c r="T79" s="6">
        <v>283140</v>
      </c>
      <c r="U79" s="6">
        <v>1713440</v>
      </c>
      <c r="V79" s="6">
        <v>1876550</v>
      </c>
      <c r="W79" s="6">
        <v>2465500</v>
      </c>
      <c r="X79" s="6">
        <v>2518000</v>
      </c>
      <c r="Y79" s="6">
        <v>3245000</v>
      </c>
      <c r="Z79" s="6">
        <v>2764000</v>
      </c>
      <c r="AA79" s="6">
        <v>3437500</v>
      </c>
      <c r="AB79" s="6">
        <v>3030500</v>
      </c>
      <c r="AC79" s="6">
        <v>2953000</v>
      </c>
      <c r="AD79" s="6">
        <v>3231000</v>
      </c>
      <c r="AE79" s="6">
        <v>3311000</v>
      </c>
      <c r="AF79" s="6">
        <v>3771740</v>
      </c>
      <c r="AG79" s="6">
        <v>3542280</v>
      </c>
      <c r="AH79" s="6">
        <v>2886450</v>
      </c>
      <c r="AI79" s="6">
        <v>3821070</v>
      </c>
      <c r="AJ79" s="6">
        <v>3984520</v>
      </c>
      <c r="AK79" s="6">
        <v>4002670</v>
      </c>
      <c r="AL79" s="6">
        <v>4223140</v>
      </c>
      <c r="AM79" s="6">
        <v>4584390</v>
      </c>
      <c r="AN79" s="6">
        <v>3799280</v>
      </c>
      <c r="AO79" s="6">
        <v>3391070</v>
      </c>
      <c r="AP79" s="6">
        <v>3880590</v>
      </c>
      <c r="AQ79" s="6">
        <v>3904910</v>
      </c>
      <c r="AR79" s="6">
        <v>4252300</v>
      </c>
      <c r="AS79" s="6">
        <v>3438330</v>
      </c>
      <c r="AT79" s="6">
        <v>3696320</v>
      </c>
      <c r="AU79" s="6">
        <v>4209230</v>
      </c>
      <c r="AV79" s="6">
        <v>3906070</v>
      </c>
      <c r="AW79" s="6">
        <v>4142290</v>
      </c>
      <c r="AX79" s="6">
        <v>4314390</v>
      </c>
      <c r="AY79" s="6">
        <v>4081480</v>
      </c>
      <c r="AZ79" s="6">
        <v>3894280</v>
      </c>
      <c r="BA79" s="6">
        <v>3855670</v>
      </c>
      <c r="BB79" s="6">
        <v>4439770</v>
      </c>
      <c r="BC79" s="6">
        <v>3977440</v>
      </c>
      <c r="BD79" s="6">
        <v>4188940</v>
      </c>
      <c r="BE79" s="6">
        <v>3523970</v>
      </c>
      <c r="BF79" s="6">
        <v>3559540</v>
      </c>
      <c r="BG79" s="6">
        <v>4180990</v>
      </c>
      <c r="BH79" s="6">
        <v>3832990</v>
      </c>
      <c r="BI79" s="6">
        <v>4287570</v>
      </c>
    </row>
    <row r="80" spans="1:61" x14ac:dyDescent="0.4">
      <c r="A80" t="s">
        <v>83</v>
      </c>
      <c r="S80" s="6"/>
      <c r="T80" s="6"/>
      <c r="U80" s="6">
        <v>1123980</v>
      </c>
      <c r="V80" s="6">
        <v>4393920</v>
      </c>
      <c r="W80" s="6">
        <v>6470640</v>
      </c>
      <c r="X80" s="6">
        <v>7298500</v>
      </c>
      <c r="Y80" s="6">
        <v>8122000</v>
      </c>
      <c r="Z80" s="6">
        <v>8350500</v>
      </c>
      <c r="AA80" s="6">
        <v>8953000</v>
      </c>
      <c r="AB80" s="6">
        <v>9019000</v>
      </c>
      <c r="AC80" s="6">
        <v>8831500</v>
      </c>
      <c r="AD80" s="6">
        <v>10608000</v>
      </c>
      <c r="AE80" s="6">
        <v>9944500</v>
      </c>
      <c r="AF80" s="6">
        <v>9691610</v>
      </c>
      <c r="AG80" s="6">
        <v>9125560</v>
      </c>
      <c r="AH80" s="6">
        <v>9237150</v>
      </c>
      <c r="AI80" s="6">
        <v>7264820</v>
      </c>
      <c r="AJ80" s="6">
        <v>6180970</v>
      </c>
      <c r="AK80" s="6">
        <v>6523260</v>
      </c>
      <c r="AL80" s="6">
        <v>6196100</v>
      </c>
      <c r="AM80" s="6">
        <v>6547800</v>
      </c>
      <c r="AN80" s="6">
        <v>5896250</v>
      </c>
      <c r="AO80" s="6">
        <v>5997300</v>
      </c>
      <c r="AP80" s="6">
        <v>5799800</v>
      </c>
      <c r="AQ80" s="6">
        <v>4803800</v>
      </c>
      <c r="AR80" s="6">
        <v>4442400</v>
      </c>
      <c r="AS80" s="6">
        <v>4123300</v>
      </c>
      <c r="AT80" s="6">
        <v>4414150</v>
      </c>
      <c r="AU80" s="6">
        <v>4573280</v>
      </c>
      <c r="AV80" s="6">
        <v>4369280</v>
      </c>
      <c r="AW80" s="6">
        <v>6021000</v>
      </c>
      <c r="AX80" s="6">
        <v>5452100</v>
      </c>
      <c r="AY80" s="6">
        <v>5067900</v>
      </c>
      <c r="AZ80" s="6">
        <v>5230600</v>
      </c>
      <c r="BA80" s="6">
        <v>5709300</v>
      </c>
      <c r="BB80" s="6">
        <v>6717200</v>
      </c>
      <c r="BC80" s="6">
        <v>5646000</v>
      </c>
      <c r="BD80" s="6">
        <v>5407300</v>
      </c>
      <c r="BE80" s="6">
        <v>4851500</v>
      </c>
      <c r="BF80" s="6">
        <v>4706500</v>
      </c>
      <c r="BG80" s="6">
        <v>5336600</v>
      </c>
      <c r="BH80" s="6">
        <v>5123500</v>
      </c>
      <c r="BI80" s="6">
        <v>6047700</v>
      </c>
    </row>
    <row r="81" spans="1:61" x14ac:dyDescent="0.4">
      <c r="A81" t="s">
        <v>84</v>
      </c>
      <c r="T81" s="6"/>
      <c r="U81" s="6"/>
      <c r="V81" s="6">
        <v>340550</v>
      </c>
      <c r="W81" s="6">
        <v>2320800</v>
      </c>
      <c r="X81" s="6">
        <v>2520880</v>
      </c>
      <c r="Y81" s="6">
        <v>3461000</v>
      </c>
      <c r="Z81" s="6">
        <v>3327000</v>
      </c>
      <c r="AA81" s="6">
        <v>3978000</v>
      </c>
      <c r="AB81" s="6">
        <v>3684500</v>
      </c>
      <c r="AC81" s="6">
        <v>3569000</v>
      </c>
      <c r="AD81" s="6">
        <v>4201500</v>
      </c>
      <c r="AE81" s="6">
        <v>3936000</v>
      </c>
      <c r="AF81" s="6">
        <v>4801450</v>
      </c>
      <c r="AG81" s="6">
        <v>4315390</v>
      </c>
      <c r="AH81" s="6">
        <v>3153120</v>
      </c>
      <c r="AI81" s="6">
        <v>4550570</v>
      </c>
      <c r="AJ81" s="6">
        <v>4651160</v>
      </c>
      <c r="AK81" s="6">
        <v>4439970</v>
      </c>
      <c r="AL81" s="6">
        <v>4055200</v>
      </c>
      <c r="AM81" s="6">
        <v>4857590</v>
      </c>
      <c r="AN81" s="6">
        <v>4669410</v>
      </c>
      <c r="AO81" s="6">
        <v>4404450</v>
      </c>
      <c r="AP81" s="6">
        <v>4833440</v>
      </c>
      <c r="AQ81" s="6">
        <v>4350430</v>
      </c>
      <c r="AR81" s="6">
        <v>5065630</v>
      </c>
      <c r="AS81" s="6">
        <v>4151520</v>
      </c>
      <c r="AT81" s="6">
        <v>4007160</v>
      </c>
      <c r="AU81" s="6">
        <v>4530690</v>
      </c>
      <c r="AV81" s="6">
        <v>4514160</v>
      </c>
      <c r="AW81" s="6">
        <v>5331430</v>
      </c>
      <c r="AX81" s="6">
        <v>4810970</v>
      </c>
      <c r="AY81" s="6">
        <v>4748430</v>
      </c>
      <c r="AZ81" s="6">
        <v>5008420</v>
      </c>
      <c r="BA81" s="6">
        <v>4390290</v>
      </c>
      <c r="BB81" s="6">
        <v>5565250</v>
      </c>
      <c r="BC81" s="6">
        <v>4786740</v>
      </c>
      <c r="BD81" s="6">
        <v>4642820</v>
      </c>
      <c r="BE81" s="6">
        <v>5472660</v>
      </c>
      <c r="BF81" s="6">
        <v>4879280</v>
      </c>
      <c r="BG81" s="6">
        <v>5020090</v>
      </c>
      <c r="BH81" s="6">
        <v>5569640</v>
      </c>
      <c r="BI81" s="6">
        <v>6079440</v>
      </c>
    </row>
    <row r="82" spans="1:61" x14ac:dyDescent="0.4">
      <c r="A82" t="s">
        <v>85</v>
      </c>
      <c r="U82" s="6"/>
      <c r="V82" s="6">
        <v>3990</v>
      </c>
      <c r="W82" s="6">
        <v>2482640</v>
      </c>
      <c r="X82" s="6">
        <v>2717030</v>
      </c>
      <c r="Y82" s="6">
        <v>2736080</v>
      </c>
      <c r="Z82" s="6">
        <v>3083330</v>
      </c>
      <c r="AA82" s="6">
        <v>4235500</v>
      </c>
      <c r="AB82" s="6">
        <v>3840500</v>
      </c>
      <c r="AC82" s="6">
        <v>4624000</v>
      </c>
      <c r="AD82" s="6">
        <v>4478000</v>
      </c>
      <c r="AE82" s="6">
        <v>4127500</v>
      </c>
      <c r="AF82" s="6">
        <v>4618750</v>
      </c>
      <c r="AG82" s="6">
        <v>4675610</v>
      </c>
      <c r="AH82" s="6">
        <v>5026460</v>
      </c>
      <c r="AI82" s="6">
        <v>5936820</v>
      </c>
      <c r="AJ82" s="6">
        <v>5815360</v>
      </c>
      <c r="AK82" s="6">
        <v>4862400</v>
      </c>
      <c r="AL82" s="6">
        <v>5017790</v>
      </c>
      <c r="AM82" s="6">
        <v>4768200</v>
      </c>
      <c r="AN82" s="6">
        <v>4282940</v>
      </c>
      <c r="AO82" s="6">
        <v>4245710</v>
      </c>
      <c r="AP82" s="6">
        <v>4433130</v>
      </c>
      <c r="AQ82" s="6">
        <v>4286170</v>
      </c>
      <c r="AR82" s="6">
        <v>4616130</v>
      </c>
      <c r="AS82" s="6">
        <v>4672720</v>
      </c>
      <c r="AT82" s="6">
        <v>3914720</v>
      </c>
      <c r="AU82" s="6">
        <v>4484500</v>
      </c>
      <c r="AV82" s="6">
        <v>4041910</v>
      </c>
      <c r="AW82" s="6">
        <v>5275090</v>
      </c>
      <c r="AX82" s="6">
        <v>4797260</v>
      </c>
      <c r="AY82" s="6">
        <v>4500780</v>
      </c>
      <c r="AZ82" s="6">
        <v>4488380</v>
      </c>
      <c r="BA82" s="6">
        <v>4135140</v>
      </c>
      <c r="BB82" s="6">
        <v>5331620</v>
      </c>
      <c r="BC82" s="6">
        <v>5236280</v>
      </c>
      <c r="BD82" s="6">
        <v>5298760</v>
      </c>
      <c r="BE82" s="6">
        <v>5397610</v>
      </c>
      <c r="BF82" s="6">
        <v>4524900</v>
      </c>
      <c r="BG82" s="6">
        <v>5244270</v>
      </c>
      <c r="BH82" s="6">
        <v>5721240</v>
      </c>
      <c r="BI82" s="6">
        <v>6168060</v>
      </c>
    </row>
    <row r="83" spans="1:61" x14ac:dyDescent="0.4">
      <c r="A83" t="s">
        <v>86</v>
      </c>
      <c r="U83" s="6"/>
      <c r="V83" s="6"/>
      <c r="W83" s="6">
        <v>996890</v>
      </c>
      <c r="X83" s="6">
        <v>3997560</v>
      </c>
      <c r="Y83" s="6">
        <v>5754880</v>
      </c>
      <c r="Z83" s="6">
        <v>5899000</v>
      </c>
      <c r="AA83" s="6">
        <v>6522000</v>
      </c>
      <c r="AB83" s="6">
        <v>6713500</v>
      </c>
      <c r="AC83" s="6">
        <v>6391500</v>
      </c>
      <c r="AD83" s="6">
        <v>6833000</v>
      </c>
      <c r="AE83" s="6">
        <v>6432000</v>
      </c>
      <c r="AF83" s="6">
        <v>6501000</v>
      </c>
      <c r="AG83" s="6">
        <v>5346500</v>
      </c>
      <c r="AH83" s="6">
        <v>4916500</v>
      </c>
      <c r="AI83" s="6">
        <v>7023000</v>
      </c>
      <c r="AJ83" s="6">
        <v>6472500</v>
      </c>
      <c r="AK83" s="6">
        <v>7194500</v>
      </c>
      <c r="AL83" s="6">
        <v>7404000</v>
      </c>
      <c r="AM83" s="6">
        <v>7568500</v>
      </c>
      <c r="AN83" s="6">
        <v>6576000</v>
      </c>
      <c r="AO83" s="6">
        <v>6567000</v>
      </c>
      <c r="AP83" s="6">
        <v>6613000</v>
      </c>
      <c r="AQ83" s="6">
        <v>6756000</v>
      </c>
      <c r="AR83" s="6">
        <v>6447200</v>
      </c>
      <c r="AS83" s="6">
        <v>5436400</v>
      </c>
      <c r="AT83" s="6">
        <v>5349200</v>
      </c>
      <c r="AU83" s="6">
        <v>6368600</v>
      </c>
      <c r="AV83" s="6">
        <v>6057100</v>
      </c>
      <c r="AW83" s="6">
        <v>7777800</v>
      </c>
      <c r="AX83" s="6">
        <v>7182800</v>
      </c>
      <c r="AY83" s="6">
        <v>6684800</v>
      </c>
      <c r="AZ83" s="6">
        <v>7043900</v>
      </c>
      <c r="BA83" s="6">
        <v>6704500</v>
      </c>
      <c r="BB83" s="6">
        <v>7585800</v>
      </c>
      <c r="BC83" s="6">
        <v>7281600</v>
      </c>
      <c r="BD83" s="6">
        <v>6743000</v>
      </c>
      <c r="BE83" s="6">
        <v>5651800</v>
      </c>
      <c r="BF83" s="6">
        <v>5793500</v>
      </c>
      <c r="BG83" s="6">
        <v>6940000</v>
      </c>
      <c r="BH83" s="6">
        <v>7070400</v>
      </c>
      <c r="BI83" s="6">
        <v>8438400</v>
      </c>
    </row>
    <row r="84" spans="1:61" x14ac:dyDescent="0.4">
      <c r="A84" t="s">
        <v>87</v>
      </c>
      <c r="V84" s="6"/>
      <c r="W84" s="6">
        <v>230220</v>
      </c>
      <c r="X84" s="6">
        <v>3633920</v>
      </c>
      <c r="Y84" s="6">
        <v>4195080</v>
      </c>
      <c r="Z84" s="6">
        <v>3997500</v>
      </c>
      <c r="AA84" s="6">
        <v>4510000</v>
      </c>
      <c r="AB84" s="6">
        <v>3758000</v>
      </c>
      <c r="AC84" s="6">
        <v>3941000</v>
      </c>
      <c r="AD84" s="6">
        <v>4609000</v>
      </c>
      <c r="AE84" s="6">
        <v>4252000</v>
      </c>
      <c r="AF84" s="6">
        <v>4349440</v>
      </c>
      <c r="AG84" s="6">
        <v>4292190</v>
      </c>
      <c r="AH84" s="6">
        <v>3357000</v>
      </c>
      <c r="AI84" s="6">
        <v>4453050</v>
      </c>
      <c r="AJ84" s="6">
        <v>4081260</v>
      </c>
      <c r="AK84" s="6">
        <v>4536540</v>
      </c>
      <c r="AL84" s="6">
        <v>4641740</v>
      </c>
      <c r="AM84" s="6">
        <v>4983490</v>
      </c>
      <c r="AN84" s="6">
        <v>5341180</v>
      </c>
      <c r="AO84" s="6">
        <v>5129560</v>
      </c>
      <c r="AP84" s="6">
        <v>5004060</v>
      </c>
      <c r="AQ84" s="6">
        <v>4971070</v>
      </c>
      <c r="AR84" s="6">
        <v>4340170</v>
      </c>
      <c r="AS84" s="6">
        <v>3559390</v>
      </c>
      <c r="AT84" s="6">
        <v>4051750</v>
      </c>
      <c r="AU84" s="6">
        <v>5022670</v>
      </c>
      <c r="AV84" s="6">
        <v>5192110</v>
      </c>
      <c r="AW84" s="6">
        <v>5772380</v>
      </c>
      <c r="AX84" s="6">
        <v>5314250</v>
      </c>
      <c r="AY84" s="6">
        <v>4887030</v>
      </c>
      <c r="AZ84" s="6">
        <v>5115870</v>
      </c>
      <c r="BA84" s="6">
        <v>5589940</v>
      </c>
      <c r="BB84" s="6">
        <v>6278940</v>
      </c>
      <c r="BC84" s="6">
        <v>5217200</v>
      </c>
      <c r="BD84" s="6">
        <v>4791130</v>
      </c>
      <c r="BE84" s="6">
        <v>4685690</v>
      </c>
      <c r="BF84" s="6">
        <v>4131800</v>
      </c>
      <c r="BG84" s="6">
        <v>4869550</v>
      </c>
      <c r="BH84" s="6">
        <v>4903480</v>
      </c>
      <c r="BI84" s="6">
        <v>5935030</v>
      </c>
    </row>
    <row r="85" spans="1:61" x14ac:dyDescent="0.4">
      <c r="A85" t="s">
        <v>88</v>
      </c>
      <c r="V85" s="6"/>
      <c r="W85" s="6">
        <v>243210</v>
      </c>
      <c r="X85" s="6">
        <v>4858920</v>
      </c>
      <c r="Y85" s="6">
        <v>5477900</v>
      </c>
      <c r="Z85" s="6">
        <v>6180000</v>
      </c>
      <c r="AA85" s="6">
        <v>7377000</v>
      </c>
      <c r="AB85" s="6">
        <v>7261000</v>
      </c>
      <c r="AC85" s="6">
        <v>7551000</v>
      </c>
      <c r="AD85" s="6">
        <v>8331500</v>
      </c>
      <c r="AE85" s="6">
        <v>7953000</v>
      </c>
      <c r="AF85" s="6">
        <v>8575080</v>
      </c>
      <c r="AG85" s="6">
        <v>7887870</v>
      </c>
      <c r="AH85" s="6">
        <v>7376790</v>
      </c>
      <c r="AI85" s="6">
        <v>8492930</v>
      </c>
      <c r="AJ85" s="6">
        <v>8649580</v>
      </c>
      <c r="AK85" s="6">
        <v>9069420</v>
      </c>
      <c r="AL85" s="6">
        <v>8632150</v>
      </c>
      <c r="AM85" s="6">
        <v>8870100</v>
      </c>
      <c r="AN85" s="6">
        <v>8068710</v>
      </c>
      <c r="AO85" s="6">
        <v>8112370</v>
      </c>
      <c r="AP85" s="6">
        <v>9491120</v>
      </c>
      <c r="AQ85" s="6">
        <v>8673150</v>
      </c>
      <c r="AR85" s="6">
        <v>8776350</v>
      </c>
      <c r="AS85" s="6">
        <v>8236160</v>
      </c>
      <c r="AT85" s="6">
        <v>7930780</v>
      </c>
      <c r="AU85" s="6">
        <v>8540640</v>
      </c>
      <c r="AV85" s="6">
        <v>8801760</v>
      </c>
      <c r="AW85" s="6">
        <v>9516450</v>
      </c>
      <c r="AX85" s="6">
        <v>9290550</v>
      </c>
      <c r="AY85" s="6">
        <v>9084520</v>
      </c>
      <c r="AZ85" s="6">
        <v>9032710</v>
      </c>
      <c r="BA85" s="6">
        <v>8715130</v>
      </c>
      <c r="BB85" s="6">
        <v>10343390</v>
      </c>
      <c r="BC85" s="6">
        <v>9086380</v>
      </c>
      <c r="BD85" s="6">
        <v>8638010</v>
      </c>
      <c r="BE85" s="6">
        <v>8899120</v>
      </c>
      <c r="BF85" s="6">
        <v>8202460</v>
      </c>
      <c r="BG85" s="6">
        <v>8608250</v>
      </c>
      <c r="BH85" s="6">
        <v>9139190</v>
      </c>
      <c r="BI85" s="6">
        <v>10310960</v>
      </c>
    </row>
    <row r="86" spans="1:61" x14ac:dyDescent="0.4">
      <c r="A86" t="s">
        <v>89</v>
      </c>
      <c r="V86" s="6"/>
      <c r="W86" s="6"/>
      <c r="X86" s="6">
        <v>1604870</v>
      </c>
      <c r="Y86" s="6">
        <v>3178810</v>
      </c>
      <c r="Z86" s="6">
        <v>3637740</v>
      </c>
      <c r="AA86" s="6">
        <v>4111500</v>
      </c>
      <c r="AB86" s="6">
        <v>3708500</v>
      </c>
      <c r="AC86" s="6">
        <v>3932000</v>
      </c>
      <c r="AD86" s="6">
        <v>4823500</v>
      </c>
      <c r="AE86" s="6">
        <v>4095000</v>
      </c>
      <c r="AF86" s="6">
        <v>4539550</v>
      </c>
      <c r="AG86" s="6">
        <v>3869150</v>
      </c>
      <c r="AH86" s="6">
        <v>3983750</v>
      </c>
      <c r="AI86" s="6">
        <v>4969400</v>
      </c>
      <c r="AJ86" s="6">
        <v>5388650</v>
      </c>
      <c r="AK86" s="6">
        <v>5360350</v>
      </c>
      <c r="AL86" s="6">
        <v>5972850</v>
      </c>
      <c r="AM86" s="6">
        <v>5516600</v>
      </c>
      <c r="AN86" s="6">
        <v>5437200</v>
      </c>
      <c r="AO86" s="6">
        <v>5779500</v>
      </c>
      <c r="AP86" s="6">
        <v>6388950</v>
      </c>
      <c r="AQ86" s="6">
        <v>5528000</v>
      </c>
      <c r="AR86" s="6">
        <v>5345950</v>
      </c>
      <c r="AS86" s="6">
        <v>5446900</v>
      </c>
      <c r="AT86" s="6">
        <v>4598750</v>
      </c>
      <c r="AU86" s="6">
        <v>5502950</v>
      </c>
      <c r="AV86" s="6">
        <v>5564950</v>
      </c>
      <c r="AW86" s="6">
        <v>6346750</v>
      </c>
      <c r="AX86" s="6">
        <v>5985600</v>
      </c>
      <c r="AY86" s="6">
        <v>5322600</v>
      </c>
      <c r="AZ86" s="6">
        <v>5846150</v>
      </c>
      <c r="BA86" s="6">
        <v>5288850</v>
      </c>
      <c r="BB86" s="6">
        <v>6406200</v>
      </c>
      <c r="BC86" s="6">
        <v>4869050</v>
      </c>
      <c r="BD86" s="6">
        <v>3947150</v>
      </c>
      <c r="BE86" s="6">
        <v>3476850</v>
      </c>
      <c r="BF86" s="6">
        <v>3525750</v>
      </c>
      <c r="BG86" s="6">
        <v>3654700</v>
      </c>
      <c r="BH86" s="6">
        <v>3047000</v>
      </c>
      <c r="BI86" s="6">
        <v>4097350</v>
      </c>
    </row>
    <row r="87" spans="1:61" x14ac:dyDescent="0.4">
      <c r="A87" t="s">
        <v>90</v>
      </c>
      <c r="W87" s="6"/>
      <c r="X87" s="6">
        <v>523420</v>
      </c>
      <c r="Y87" s="6">
        <v>2529520</v>
      </c>
      <c r="Z87" s="6">
        <v>3195260</v>
      </c>
      <c r="AA87" s="6">
        <v>4132000</v>
      </c>
      <c r="AB87" s="6">
        <v>3937500</v>
      </c>
      <c r="AC87" s="6">
        <v>4038500</v>
      </c>
      <c r="AD87" s="6">
        <v>4458000</v>
      </c>
      <c r="AE87" s="6">
        <v>3580500</v>
      </c>
      <c r="AF87" s="6">
        <v>4042330</v>
      </c>
      <c r="AG87" s="6">
        <v>3871440</v>
      </c>
      <c r="AH87" s="6">
        <v>3912930</v>
      </c>
      <c r="AI87" s="6">
        <v>4549110</v>
      </c>
      <c r="AJ87" s="6">
        <v>5084070</v>
      </c>
      <c r="AK87" s="6">
        <v>4740100</v>
      </c>
      <c r="AL87" s="6">
        <v>5069180</v>
      </c>
      <c r="AM87" s="6">
        <v>5446690</v>
      </c>
      <c r="AN87" s="6">
        <v>4774750</v>
      </c>
      <c r="AO87" s="6">
        <v>4969520</v>
      </c>
      <c r="AP87" s="6">
        <v>5803050</v>
      </c>
      <c r="AQ87" s="6">
        <v>5314390</v>
      </c>
      <c r="AR87" s="6">
        <v>4734220</v>
      </c>
      <c r="AS87" s="6">
        <v>4788850</v>
      </c>
      <c r="AT87" s="6">
        <v>4124290</v>
      </c>
      <c r="AU87" s="6">
        <v>4740270</v>
      </c>
      <c r="AV87" s="6">
        <v>5675810</v>
      </c>
      <c r="AW87" s="6">
        <v>6360970</v>
      </c>
      <c r="AX87" s="6">
        <v>7167820</v>
      </c>
      <c r="AY87" s="6">
        <v>7789980</v>
      </c>
      <c r="AZ87" s="6">
        <v>8119170</v>
      </c>
      <c r="BA87" s="6">
        <v>7667610</v>
      </c>
      <c r="BB87" s="6">
        <v>9116040</v>
      </c>
      <c r="BC87" s="6">
        <v>7810410</v>
      </c>
      <c r="BD87" s="6">
        <v>7492280</v>
      </c>
      <c r="BE87" s="6">
        <v>6876000</v>
      </c>
      <c r="BF87" s="6">
        <v>5841330</v>
      </c>
      <c r="BG87" s="6">
        <v>7110130</v>
      </c>
      <c r="BH87" s="6">
        <v>8054660</v>
      </c>
      <c r="BI87" s="6">
        <v>8761720</v>
      </c>
    </row>
    <row r="88" spans="1:61" x14ac:dyDescent="0.4">
      <c r="A88" t="s">
        <v>91</v>
      </c>
      <c r="W88" s="6"/>
      <c r="X88" s="6">
        <v>690680</v>
      </c>
      <c r="Y88" s="6">
        <v>5058040</v>
      </c>
      <c r="Z88" s="6">
        <v>5368770</v>
      </c>
      <c r="AA88" s="6">
        <v>8241500</v>
      </c>
      <c r="AB88" s="6">
        <v>7464000</v>
      </c>
      <c r="AC88" s="6">
        <v>8207500</v>
      </c>
      <c r="AD88" s="6">
        <v>8561500</v>
      </c>
      <c r="AE88" s="6">
        <v>8395000</v>
      </c>
      <c r="AF88" s="6">
        <v>8127860</v>
      </c>
      <c r="AG88" s="6">
        <v>7575280</v>
      </c>
      <c r="AH88" s="6">
        <v>6858540</v>
      </c>
      <c r="AI88" s="6">
        <v>9584280</v>
      </c>
      <c r="AJ88" s="6">
        <v>9464540</v>
      </c>
      <c r="AK88" s="6">
        <v>10201930</v>
      </c>
      <c r="AL88" s="6">
        <v>9879450</v>
      </c>
      <c r="AM88" s="6">
        <v>10112810</v>
      </c>
      <c r="AN88" s="6">
        <v>10371210</v>
      </c>
      <c r="AO88" s="6">
        <v>10727200</v>
      </c>
      <c r="AP88" s="6">
        <v>10851480</v>
      </c>
      <c r="AQ88" s="6">
        <v>9575950</v>
      </c>
      <c r="AR88" s="6">
        <v>9039090</v>
      </c>
      <c r="AS88" s="6">
        <v>6959450</v>
      </c>
      <c r="AT88" s="6">
        <v>7958980</v>
      </c>
      <c r="AU88" s="6">
        <v>9635140</v>
      </c>
      <c r="AV88" s="6">
        <v>9411970</v>
      </c>
      <c r="AW88" s="6">
        <v>12133490</v>
      </c>
      <c r="AX88" s="6">
        <v>12058230</v>
      </c>
      <c r="AY88" s="6">
        <v>10323480</v>
      </c>
      <c r="AZ88" s="6">
        <v>11333210</v>
      </c>
      <c r="BA88" s="6">
        <v>12014880</v>
      </c>
      <c r="BB88" s="6">
        <v>12451640</v>
      </c>
      <c r="BC88" s="6">
        <v>11066900</v>
      </c>
      <c r="BD88" s="6">
        <v>10830930</v>
      </c>
      <c r="BE88" s="6">
        <v>8694630</v>
      </c>
      <c r="BF88" s="6">
        <v>8361790</v>
      </c>
      <c r="BG88" s="6">
        <v>10763680</v>
      </c>
      <c r="BH88" s="6">
        <v>11159600</v>
      </c>
      <c r="BI88" s="6">
        <v>13358400</v>
      </c>
    </row>
    <row r="89" spans="1:61" x14ac:dyDescent="0.4">
      <c r="A89" t="s">
        <v>92</v>
      </c>
      <c r="W89" s="6"/>
      <c r="X89" s="6"/>
      <c r="Y89" s="6">
        <v>1081750</v>
      </c>
      <c r="Z89" s="6">
        <v>1098210</v>
      </c>
      <c r="AA89" s="6">
        <v>1367900</v>
      </c>
      <c r="AB89" s="6">
        <v>1176500</v>
      </c>
      <c r="AC89" s="6">
        <v>1256000</v>
      </c>
      <c r="AD89" s="6">
        <v>1830440</v>
      </c>
      <c r="AE89" s="6">
        <v>1684780</v>
      </c>
      <c r="AF89" s="6">
        <v>2034450</v>
      </c>
      <c r="AG89" s="6">
        <v>2120750</v>
      </c>
      <c r="AH89" s="6">
        <v>2046150</v>
      </c>
      <c r="AI89" s="6">
        <v>2543450</v>
      </c>
      <c r="AJ89" s="6">
        <v>2488700</v>
      </c>
      <c r="AK89" s="6">
        <v>2254350</v>
      </c>
      <c r="AL89" s="6">
        <v>2102750</v>
      </c>
      <c r="AM89" s="6">
        <v>2272200</v>
      </c>
      <c r="AN89" s="6">
        <v>2051350</v>
      </c>
      <c r="AO89" s="6">
        <v>2139900</v>
      </c>
      <c r="AP89" s="6">
        <v>2251850</v>
      </c>
      <c r="AQ89" s="6">
        <v>2471300</v>
      </c>
      <c r="AR89" s="6">
        <v>2340800</v>
      </c>
      <c r="AS89" s="6">
        <v>2370100</v>
      </c>
      <c r="AT89" s="6">
        <v>1850050</v>
      </c>
      <c r="AU89" s="6">
        <v>2205900</v>
      </c>
      <c r="AV89" s="6">
        <v>2102050</v>
      </c>
      <c r="AW89" s="6">
        <v>2148500</v>
      </c>
      <c r="AX89" s="6">
        <v>2756280</v>
      </c>
      <c r="AY89" s="6">
        <v>1932950</v>
      </c>
      <c r="AZ89" s="6">
        <v>2278950</v>
      </c>
      <c r="BA89" s="6">
        <v>1971350</v>
      </c>
      <c r="BB89" s="6">
        <v>3151050</v>
      </c>
      <c r="BC89" s="6">
        <v>2487000</v>
      </c>
      <c r="BD89" s="6">
        <v>2745500</v>
      </c>
      <c r="BE89" s="6">
        <v>2501900</v>
      </c>
      <c r="BF89" s="6">
        <v>2191550</v>
      </c>
      <c r="BG89" s="6">
        <v>2588050</v>
      </c>
      <c r="BH89" s="6">
        <v>3025500</v>
      </c>
      <c r="BI89" s="6">
        <v>3997600</v>
      </c>
    </row>
    <row r="90" spans="1:61" x14ac:dyDescent="0.4">
      <c r="A90" t="s">
        <v>93</v>
      </c>
      <c r="X90" s="6"/>
      <c r="Y90" s="6">
        <v>82880</v>
      </c>
      <c r="Z90" s="6">
        <v>4067470</v>
      </c>
      <c r="AA90" s="6">
        <v>4944520</v>
      </c>
      <c r="AB90" s="6">
        <v>5225330</v>
      </c>
      <c r="AC90" s="6">
        <v>5362500</v>
      </c>
      <c r="AD90" s="6">
        <v>6494000</v>
      </c>
      <c r="AE90" s="6">
        <v>5409000</v>
      </c>
      <c r="AF90" s="6">
        <v>5894880</v>
      </c>
      <c r="AG90" s="6">
        <v>5064020</v>
      </c>
      <c r="AH90" s="6">
        <v>4802620</v>
      </c>
      <c r="AI90" s="6">
        <v>6357610</v>
      </c>
      <c r="AJ90" s="6">
        <v>4519600</v>
      </c>
      <c r="AK90" s="6">
        <v>5015100</v>
      </c>
      <c r="AL90" s="6">
        <v>4624320</v>
      </c>
      <c r="AM90" s="6">
        <v>5105440</v>
      </c>
      <c r="AN90" s="6">
        <v>5297390</v>
      </c>
      <c r="AO90" s="6">
        <v>4680910</v>
      </c>
      <c r="AP90" s="6">
        <v>5448450</v>
      </c>
      <c r="AQ90" s="6">
        <v>4816250</v>
      </c>
      <c r="AR90" s="6">
        <v>4543140</v>
      </c>
      <c r="AS90" s="6">
        <v>3829740</v>
      </c>
      <c r="AT90" s="6">
        <v>4062840</v>
      </c>
      <c r="AU90" s="6">
        <v>5009550</v>
      </c>
      <c r="AV90" s="6">
        <v>4295060</v>
      </c>
      <c r="AW90" s="6">
        <v>5215680</v>
      </c>
      <c r="AX90" s="6">
        <v>5009210</v>
      </c>
      <c r="AY90" s="6">
        <v>4942970</v>
      </c>
      <c r="AZ90" s="6">
        <v>5240110</v>
      </c>
      <c r="BA90" s="6">
        <v>5326840</v>
      </c>
      <c r="BB90" s="6">
        <v>5305200</v>
      </c>
      <c r="BC90" s="6">
        <v>4908070</v>
      </c>
      <c r="BD90" s="6">
        <v>4273140</v>
      </c>
      <c r="BE90" s="6">
        <v>3805500</v>
      </c>
      <c r="BF90" s="6">
        <v>4086720</v>
      </c>
      <c r="BG90" s="6">
        <v>4815250</v>
      </c>
      <c r="BH90" s="6">
        <v>4588420</v>
      </c>
      <c r="BI90" s="6">
        <v>5948650</v>
      </c>
    </row>
    <row r="91" spans="1:61" x14ac:dyDescent="0.4">
      <c r="A91" t="s">
        <v>94</v>
      </c>
      <c r="X91" s="6"/>
      <c r="Y91" s="6"/>
      <c r="Z91" s="6"/>
      <c r="AA91" s="6">
        <v>3435350</v>
      </c>
      <c r="AB91" s="6">
        <v>3778710</v>
      </c>
      <c r="AC91" s="6">
        <v>4412000</v>
      </c>
      <c r="AD91" s="6">
        <v>4528500</v>
      </c>
      <c r="AE91" s="6">
        <v>4583500</v>
      </c>
      <c r="AF91" s="6">
        <v>4965990</v>
      </c>
      <c r="AG91" s="6">
        <v>4816820</v>
      </c>
      <c r="AH91" s="6">
        <v>4603610</v>
      </c>
      <c r="AI91" s="6">
        <v>5164630</v>
      </c>
      <c r="AJ91" s="6">
        <v>4947200</v>
      </c>
      <c r="AK91" s="6">
        <v>5275760</v>
      </c>
      <c r="AL91" s="6">
        <v>5677860</v>
      </c>
      <c r="AM91" s="6">
        <v>6483520</v>
      </c>
      <c r="AN91" s="6">
        <v>5783740</v>
      </c>
      <c r="AO91" s="6">
        <v>5638770</v>
      </c>
      <c r="AP91" s="6">
        <v>7281880</v>
      </c>
      <c r="AQ91" s="6">
        <v>6922920</v>
      </c>
      <c r="AR91" s="6">
        <v>6564330</v>
      </c>
      <c r="AS91" s="6">
        <v>6567370</v>
      </c>
      <c r="AT91" s="6">
        <v>6200530</v>
      </c>
      <c r="AU91" s="6">
        <v>7270740</v>
      </c>
      <c r="AV91" s="6">
        <v>6016220</v>
      </c>
      <c r="AW91" s="6">
        <v>7167550</v>
      </c>
      <c r="AX91" s="6">
        <v>7126480</v>
      </c>
      <c r="AY91" s="6">
        <v>6310370</v>
      </c>
      <c r="AZ91" s="6">
        <v>4766600</v>
      </c>
      <c r="BA91" s="6">
        <v>3450870</v>
      </c>
      <c r="BB91" s="6">
        <v>4021580</v>
      </c>
      <c r="BC91" s="6">
        <v>3609360</v>
      </c>
      <c r="BD91" s="6">
        <v>3295390</v>
      </c>
      <c r="BE91" s="6">
        <v>4161690</v>
      </c>
      <c r="BF91" s="6">
        <v>3531100</v>
      </c>
      <c r="BG91" s="6">
        <v>3959050</v>
      </c>
      <c r="BH91" s="6">
        <v>4091450</v>
      </c>
      <c r="BI91" s="6">
        <v>4022150</v>
      </c>
    </row>
    <row r="92" spans="1:61" x14ac:dyDescent="0.4">
      <c r="A92" t="s">
        <v>95</v>
      </c>
      <c r="Z92" s="6"/>
      <c r="AA92" s="6">
        <v>1303530</v>
      </c>
      <c r="AB92" s="6">
        <v>1967740</v>
      </c>
      <c r="AC92" s="6">
        <v>2003760</v>
      </c>
      <c r="AD92" s="6">
        <v>3127560</v>
      </c>
      <c r="AE92" s="6">
        <v>3331000</v>
      </c>
      <c r="AF92" s="6">
        <v>3500630</v>
      </c>
      <c r="AG92" s="6">
        <v>3838020</v>
      </c>
      <c r="AH92" s="6">
        <v>3406190</v>
      </c>
      <c r="AI92" s="6">
        <v>4041490</v>
      </c>
      <c r="AJ92" s="6">
        <v>3660220</v>
      </c>
      <c r="AK92" s="6">
        <v>3603500</v>
      </c>
      <c r="AL92" s="6">
        <v>3603060</v>
      </c>
      <c r="AM92" s="6">
        <v>3828000</v>
      </c>
      <c r="AN92" s="6">
        <v>3682320</v>
      </c>
      <c r="AO92" s="6">
        <v>3537420</v>
      </c>
      <c r="AP92" s="6">
        <v>3794570</v>
      </c>
      <c r="AQ92" s="6">
        <v>3546010</v>
      </c>
      <c r="AR92" s="6">
        <v>3800340</v>
      </c>
      <c r="AS92" s="6">
        <v>4356200</v>
      </c>
      <c r="AT92" s="6">
        <v>3682430</v>
      </c>
      <c r="AU92" s="6">
        <v>4856110</v>
      </c>
      <c r="AV92" s="6">
        <v>3949280</v>
      </c>
      <c r="AW92" s="6">
        <v>4914270</v>
      </c>
      <c r="AX92" s="6">
        <v>4384050</v>
      </c>
      <c r="AY92" s="6">
        <v>4325320</v>
      </c>
      <c r="AZ92" s="6">
        <v>3843670</v>
      </c>
      <c r="BA92" s="6">
        <v>4152210</v>
      </c>
      <c r="BB92" s="6">
        <v>4790180</v>
      </c>
      <c r="BC92" s="6">
        <v>5098630</v>
      </c>
      <c r="BD92" s="6">
        <v>4392320</v>
      </c>
      <c r="BE92" s="6">
        <v>4551270</v>
      </c>
      <c r="BF92" s="6">
        <v>4341430</v>
      </c>
      <c r="BG92" s="6">
        <v>4268730</v>
      </c>
      <c r="BH92" s="6">
        <v>4218570</v>
      </c>
      <c r="BI92" s="6">
        <v>4425760</v>
      </c>
    </row>
    <row r="93" spans="1:61" x14ac:dyDescent="0.4">
      <c r="A93" t="s">
        <v>96</v>
      </c>
      <c r="Z93" s="6"/>
      <c r="AA93" s="6">
        <v>853090</v>
      </c>
      <c r="AB93" s="6">
        <v>1430340</v>
      </c>
      <c r="AC93" s="6">
        <v>2017180</v>
      </c>
      <c r="AD93" s="6">
        <v>2931900</v>
      </c>
      <c r="AE93" s="6">
        <v>3155500</v>
      </c>
      <c r="AF93" s="6">
        <v>3173670</v>
      </c>
      <c r="AG93" s="6">
        <v>3864480</v>
      </c>
      <c r="AH93" s="6">
        <v>3097820</v>
      </c>
      <c r="AI93" s="6">
        <v>3994830</v>
      </c>
      <c r="AJ93" s="6">
        <v>3500380</v>
      </c>
      <c r="AK93" s="6">
        <v>3730560</v>
      </c>
      <c r="AL93" s="6">
        <v>3603510</v>
      </c>
      <c r="AM93" s="6">
        <v>3277860</v>
      </c>
      <c r="AN93" s="6">
        <v>3735570</v>
      </c>
      <c r="AO93" s="6">
        <v>3336600</v>
      </c>
      <c r="AP93" s="6">
        <v>3957130</v>
      </c>
      <c r="AQ93" s="6">
        <v>4409570</v>
      </c>
      <c r="AR93" s="6">
        <v>4766660</v>
      </c>
      <c r="AS93" s="6">
        <v>4419010</v>
      </c>
      <c r="AT93" s="6">
        <v>3578960</v>
      </c>
      <c r="AU93" s="6">
        <v>4734000</v>
      </c>
      <c r="AV93" s="6">
        <v>4160370</v>
      </c>
      <c r="AW93" s="6">
        <v>4299980</v>
      </c>
      <c r="AX93" s="6">
        <v>4168210</v>
      </c>
      <c r="AY93" s="6">
        <v>3511500</v>
      </c>
      <c r="AZ93" s="6">
        <v>3605160</v>
      </c>
      <c r="BA93" s="6">
        <v>3585110</v>
      </c>
      <c r="BB93" s="6">
        <v>5021990</v>
      </c>
      <c r="BC93" s="6">
        <v>4442620</v>
      </c>
      <c r="BD93" s="6">
        <v>4220150</v>
      </c>
      <c r="BE93" s="6">
        <v>4667420</v>
      </c>
      <c r="BF93" s="6">
        <v>4219410</v>
      </c>
      <c r="BG93" s="6">
        <v>4442490</v>
      </c>
      <c r="BH93" s="6">
        <v>4584470</v>
      </c>
      <c r="BI93" s="6">
        <v>4760910</v>
      </c>
    </row>
    <row r="94" spans="1:61" x14ac:dyDescent="0.4">
      <c r="A94" t="s">
        <v>97</v>
      </c>
      <c r="Z94" s="6"/>
      <c r="AA94" s="6">
        <v>1313790</v>
      </c>
      <c r="AB94" s="6">
        <v>2031920</v>
      </c>
      <c r="AC94" s="6">
        <v>2883130</v>
      </c>
      <c r="AD94" s="6">
        <v>3319500</v>
      </c>
      <c r="AE94" s="6">
        <v>2971500</v>
      </c>
      <c r="AF94" s="6">
        <v>3271300</v>
      </c>
      <c r="AG94" s="6">
        <v>3152830</v>
      </c>
      <c r="AH94" s="6">
        <v>2850000</v>
      </c>
      <c r="AI94" s="6">
        <v>3481340</v>
      </c>
      <c r="AJ94" s="6">
        <v>3835780</v>
      </c>
      <c r="AK94" s="6">
        <v>3826420</v>
      </c>
      <c r="AL94" s="6">
        <v>3694210</v>
      </c>
      <c r="AM94" s="6">
        <v>3787270</v>
      </c>
      <c r="AN94" s="6">
        <v>4074530</v>
      </c>
      <c r="AO94" s="6">
        <v>3757560</v>
      </c>
      <c r="AP94" s="6">
        <v>4819430</v>
      </c>
      <c r="AQ94" s="6">
        <v>4187850</v>
      </c>
      <c r="AR94" s="6">
        <v>5182370</v>
      </c>
      <c r="AS94" s="6">
        <v>4403780</v>
      </c>
      <c r="AT94" s="6">
        <v>3732960</v>
      </c>
      <c r="AU94" s="6">
        <v>5343490</v>
      </c>
      <c r="AV94" s="6">
        <v>4627390</v>
      </c>
      <c r="AW94" s="6">
        <v>5558220</v>
      </c>
      <c r="AX94" s="6">
        <v>5282090</v>
      </c>
      <c r="AY94" s="6">
        <v>5338150</v>
      </c>
      <c r="AZ94" s="6">
        <v>5680530</v>
      </c>
      <c r="BA94" s="6">
        <v>5671800</v>
      </c>
      <c r="BB94" s="6">
        <v>5708330</v>
      </c>
      <c r="BC94" s="6">
        <v>6057270</v>
      </c>
      <c r="BD94" s="6">
        <v>6069100</v>
      </c>
      <c r="BE94" s="6">
        <v>5266970</v>
      </c>
      <c r="BF94" s="6">
        <v>5269440</v>
      </c>
      <c r="BG94" s="6">
        <v>5586120</v>
      </c>
      <c r="BH94" s="6">
        <v>4765720</v>
      </c>
      <c r="BI94" s="6">
        <v>5392300</v>
      </c>
    </row>
    <row r="95" spans="1:61" x14ac:dyDescent="0.4">
      <c r="A95" t="s">
        <v>98</v>
      </c>
      <c r="Z95" s="6"/>
      <c r="AA95" s="6">
        <v>479910</v>
      </c>
      <c r="AB95" s="6">
        <v>1147020</v>
      </c>
      <c r="AC95" s="6">
        <v>1532280</v>
      </c>
      <c r="AD95" s="6">
        <v>2237910</v>
      </c>
      <c r="AE95" s="6">
        <v>2548500</v>
      </c>
      <c r="AF95" s="6">
        <v>3442230</v>
      </c>
      <c r="AG95" s="6">
        <v>2900220</v>
      </c>
      <c r="AH95" s="6">
        <v>2989320</v>
      </c>
      <c r="AI95" s="6">
        <v>3147830</v>
      </c>
      <c r="AJ95" s="6">
        <v>3322560</v>
      </c>
      <c r="AK95" s="6">
        <v>2899940</v>
      </c>
      <c r="AL95" s="6">
        <v>2819510</v>
      </c>
      <c r="AM95" s="6">
        <v>3096830</v>
      </c>
      <c r="AN95" s="6">
        <v>2891370</v>
      </c>
      <c r="AO95" s="6">
        <v>2945550</v>
      </c>
      <c r="AP95" s="6">
        <v>3717280</v>
      </c>
      <c r="AQ95" s="6">
        <v>3731080</v>
      </c>
      <c r="AR95" s="6">
        <v>3555810</v>
      </c>
      <c r="AS95" s="6">
        <v>3781890</v>
      </c>
      <c r="AT95" s="6">
        <v>2943390</v>
      </c>
      <c r="AU95" s="6">
        <v>3259650</v>
      </c>
      <c r="AV95" s="6">
        <v>3313560</v>
      </c>
      <c r="AW95" s="6">
        <v>3577310</v>
      </c>
      <c r="AX95" s="6">
        <v>3333800</v>
      </c>
      <c r="AY95" s="6">
        <v>3096030</v>
      </c>
      <c r="AZ95" s="6">
        <v>2726100</v>
      </c>
      <c r="BA95" s="6">
        <v>2824950</v>
      </c>
      <c r="BB95" s="6">
        <v>4051590</v>
      </c>
      <c r="BC95" s="6">
        <v>3715420</v>
      </c>
      <c r="BD95" s="6">
        <v>3174370</v>
      </c>
      <c r="BE95" s="6">
        <v>3335390</v>
      </c>
      <c r="BF95" s="6">
        <v>3126150</v>
      </c>
      <c r="BG95" s="6">
        <v>3500340</v>
      </c>
      <c r="BH95" s="6">
        <v>3761240</v>
      </c>
      <c r="BI95" s="6">
        <v>3865430</v>
      </c>
    </row>
    <row r="96" spans="1:61" x14ac:dyDescent="0.4">
      <c r="A96" t="s">
        <v>99</v>
      </c>
      <c r="Z96" s="6"/>
      <c r="AA96" s="6">
        <v>1194820</v>
      </c>
      <c r="AB96" s="6">
        <v>3042610</v>
      </c>
      <c r="AC96" s="6">
        <v>3976020</v>
      </c>
      <c r="AD96" s="6">
        <v>4583000</v>
      </c>
      <c r="AE96" s="6">
        <v>4484000</v>
      </c>
      <c r="AF96" s="6">
        <v>4538310</v>
      </c>
      <c r="AG96" s="6">
        <v>4136330</v>
      </c>
      <c r="AH96" s="6">
        <v>4791580</v>
      </c>
      <c r="AI96" s="6">
        <v>6024480</v>
      </c>
      <c r="AJ96" s="6">
        <v>4998750</v>
      </c>
      <c r="AK96" s="6">
        <v>4883970</v>
      </c>
      <c r="AL96" s="6">
        <v>5012010</v>
      </c>
      <c r="AM96" s="6">
        <v>4798710</v>
      </c>
      <c r="AN96" s="6">
        <v>4854990</v>
      </c>
      <c r="AO96" s="6">
        <v>4368160</v>
      </c>
      <c r="AP96" s="6">
        <v>5231100</v>
      </c>
      <c r="AQ96" s="6">
        <v>4712470</v>
      </c>
      <c r="AR96" s="6">
        <v>4503790</v>
      </c>
      <c r="AS96" s="6">
        <v>4189910</v>
      </c>
      <c r="AT96" s="6">
        <v>4479380</v>
      </c>
      <c r="AU96" s="6">
        <v>5363870</v>
      </c>
      <c r="AV96" s="6">
        <v>5207470</v>
      </c>
      <c r="AW96" s="6">
        <v>6151580</v>
      </c>
      <c r="AX96" s="6">
        <v>5405150</v>
      </c>
      <c r="AY96" s="6">
        <v>4939110</v>
      </c>
      <c r="AZ96" s="6">
        <v>5138790</v>
      </c>
      <c r="BA96" s="6">
        <v>5008860</v>
      </c>
      <c r="BB96" s="6">
        <v>6169480</v>
      </c>
      <c r="BC96" s="6">
        <v>5636280</v>
      </c>
      <c r="BD96" s="6">
        <v>5439150</v>
      </c>
      <c r="BE96" s="6">
        <v>5401440</v>
      </c>
      <c r="BF96" s="6">
        <v>5254470</v>
      </c>
      <c r="BG96" s="6">
        <v>6406610</v>
      </c>
      <c r="BH96" s="6">
        <v>5992510</v>
      </c>
      <c r="BI96" s="6">
        <v>6740000</v>
      </c>
    </row>
    <row r="97" spans="1:61" x14ac:dyDescent="0.4">
      <c r="A97" t="s">
        <v>100</v>
      </c>
      <c r="Z97" s="6"/>
      <c r="AA97" s="6">
        <v>573860</v>
      </c>
      <c r="AB97" s="6">
        <v>2542600</v>
      </c>
      <c r="AC97" s="6">
        <v>2534800</v>
      </c>
      <c r="AD97" s="6">
        <v>3780000</v>
      </c>
      <c r="AE97" s="6">
        <v>3684000</v>
      </c>
      <c r="AF97" s="6">
        <v>4026500</v>
      </c>
      <c r="AG97" s="6">
        <v>3793300</v>
      </c>
      <c r="AH97" s="6">
        <v>4025930</v>
      </c>
      <c r="AI97" s="6">
        <v>4601140</v>
      </c>
      <c r="AJ97" s="6">
        <v>5048610</v>
      </c>
      <c r="AK97" s="6">
        <v>5204570</v>
      </c>
      <c r="AL97" s="6">
        <v>5346430</v>
      </c>
      <c r="AM97" s="6">
        <v>5235430</v>
      </c>
      <c r="AN97" s="6">
        <v>5205600</v>
      </c>
      <c r="AO97" s="6">
        <v>4864360</v>
      </c>
      <c r="AP97" s="6">
        <v>5704730</v>
      </c>
      <c r="AQ97" s="6">
        <v>5456330</v>
      </c>
      <c r="AR97" s="6">
        <v>5498000</v>
      </c>
      <c r="AS97" s="6">
        <v>5665060</v>
      </c>
      <c r="AT97" s="6">
        <v>4991950</v>
      </c>
      <c r="AU97" s="6">
        <v>5906530</v>
      </c>
      <c r="AV97" s="6">
        <v>5380570</v>
      </c>
      <c r="AW97" s="6">
        <v>6909020</v>
      </c>
      <c r="AX97" s="6">
        <v>6494910</v>
      </c>
      <c r="AY97" s="6">
        <v>6504670</v>
      </c>
      <c r="AZ97" s="6">
        <v>6197690</v>
      </c>
      <c r="BA97" s="6">
        <v>5593410</v>
      </c>
      <c r="BB97" s="6">
        <v>6834080</v>
      </c>
      <c r="BC97" s="6">
        <v>6102690</v>
      </c>
      <c r="BD97" s="6">
        <v>6153780</v>
      </c>
      <c r="BE97" s="6">
        <v>6390600</v>
      </c>
      <c r="BF97" s="6">
        <v>5161640</v>
      </c>
      <c r="BG97" s="6">
        <v>6001690</v>
      </c>
      <c r="BH97" s="6">
        <v>6174100</v>
      </c>
      <c r="BI97" s="6">
        <v>7365560</v>
      </c>
    </row>
    <row r="98" spans="1:61" x14ac:dyDescent="0.4">
      <c r="A98" t="s">
        <v>101</v>
      </c>
      <c r="Z98" s="6"/>
      <c r="AA98" s="6"/>
      <c r="AB98" s="6">
        <v>2155330</v>
      </c>
      <c r="AC98" s="6">
        <v>2498910</v>
      </c>
      <c r="AD98" s="6">
        <v>3479030</v>
      </c>
      <c r="AE98" s="6">
        <v>3861500</v>
      </c>
      <c r="AF98" s="6">
        <v>3931900</v>
      </c>
      <c r="AG98" s="6">
        <v>3929680</v>
      </c>
      <c r="AH98" s="6">
        <v>3722070</v>
      </c>
      <c r="AI98" s="6">
        <v>4416050</v>
      </c>
      <c r="AJ98" s="6">
        <v>4027450</v>
      </c>
      <c r="AK98" s="6">
        <v>3685330</v>
      </c>
      <c r="AL98" s="6">
        <v>3915430</v>
      </c>
      <c r="AM98" s="6">
        <v>4374120</v>
      </c>
      <c r="AN98" s="6">
        <v>4296440</v>
      </c>
      <c r="AO98" s="6">
        <v>4898600</v>
      </c>
      <c r="AP98" s="6">
        <v>4843090</v>
      </c>
      <c r="AQ98" s="6">
        <v>4730560</v>
      </c>
      <c r="AR98" s="6">
        <v>4502620</v>
      </c>
      <c r="AS98" s="6">
        <v>4071710</v>
      </c>
      <c r="AT98" s="6">
        <v>3477780</v>
      </c>
      <c r="AU98" s="6">
        <v>3758200</v>
      </c>
      <c r="AV98" s="6">
        <v>4730770</v>
      </c>
      <c r="AW98" s="6">
        <v>5336330</v>
      </c>
      <c r="AX98" s="6">
        <v>5049240</v>
      </c>
      <c r="AY98" s="6">
        <v>4290240</v>
      </c>
      <c r="AZ98" s="6">
        <v>4064090</v>
      </c>
      <c r="BA98" s="6">
        <v>3841360</v>
      </c>
      <c r="BB98" s="6">
        <v>4846800</v>
      </c>
      <c r="BC98" s="6">
        <v>4341840</v>
      </c>
      <c r="BD98" s="6">
        <v>4061260</v>
      </c>
      <c r="BE98" s="6">
        <v>4120110</v>
      </c>
      <c r="BF98" s="6">
        <v>3550150</v>
      </c>
      <c r="BG98" s="6">
        <v>4294600</v>
      </c>
      <c r="BH98" s="6">
        <v>3862050</v>
      </c>
      <c r="BI98" s="6">
        <v>4542160</v>
      </c>
    </row>
    <row r="99" spans="1:61" x14ac:dyDescent="0.4">
      <c r="A99" t="s">
        <v>102</v>
      </c>
      <c r="AA99" s="6"/>
      <c r="AB99" s="6">
        <v>1512710</v>
      </c>
      <c r="AC99" s="6">
        <v>4024540</v>
      </c>
      <c r="AD99" s="6">
        <v>6151840</v>
      </c>
      <c r="AE99" s="6">
        <v>5299000</v>
      </c>
      <c r="AF99" s="6">
        <v>6451000</v>
      </c>
      <c r="AG99" s="6">
        <v>5838500</v>
      </c>
      <c r="AH99" s="6">
        <v>5715500</v>
      </c>
      <c r="AI99" s="6">
        <v>8229000</v>
      </c>
      <c r="AJ99" s="6">
        <v>8196500</v>
      </c>
      <c r="AK99" s="6">
        <v>7950000</v>
      </c>
      <c r="AL99" s="6">
        <v>8806000</v>
      </c>
      <c r="AM99" s="6">
        <v>8625000</v>
      </c>
      <c r="AN99" s="6">
        <v>8788500</v>
      </c>
      <c r="AO99" s="6">
        <v>8623500</v>
      </c>
      <c r="AP99" s="6">
        <v>9877500</v>
      </c>
      <c r="AQ99" s="6">
        <v>8566000</v>
      </c>
      <c r="AR99" s="6">
        <v>8834000</v>
      </c>
      <c r="AS99" s="6">
        <v>8762900</v>
      </c>
      <c r="AT99" s="6">
        <v>7456000</v>
      </c>
      <c r="AU99" s="6">
        <v>9590500</v>
      </c>
      <c r="AV99" s="6">
        <v>8249000</v>
      </c>
      <c r="AW99" s="6">
        <v>10379600</v>
      </c>
      <c r="AX99" s="6">
        <v>9782100</v>
      </c>
      <c r="AY99" s="6">
        <v>8742300</v>
      </c>
      <c r="AZ99" s="6">
        <v>8758600</v>
      </c>
      <c r="BA99" s="6">
        <v>8394200</v>
      </c>
      <c r="BB99" s="6">
        <v>11115800</v>
      </c>
      <c r="BC99" s="6">
        <v>9142600</v>
      </c>
      <c r="BD99" s="6">
        <v>9130100</v>
      </c>
      <c r="BE99" s="6">
        <v>8834400</v>
      </c>
      <c r="BF99" s="6">
        <v>8648600</v>
      </c>
      <c r="BG99" s="6">
        <v>9513900</v>
      </c>
      <c r="BH99" s="6">
        <v>9013000</v>
      </c>
      <c r="BI99" s="6">
        <v>10275200</v>
      </c>
    </row>
    <row r="100" spans="1:61" x14ac:dyDescent="0.4">
      <c r="A100" t="s">
        <v>103</v>
      </c>
      <c r="AA100" s="6"/>
      <c r="AB100" s="6">
        <v>1644680</v>
      </c>
      <c r="AC100" s="6">
        <v>6051180</v>
      </c>
      <c r="AD100" s="6">
        <v>7290930</v>
      </c>
      <c r="AE100" s="6">
        <v>7206000</v>
      </c>
      <c r="AF100" s="6">
        <v>6553500</v>
      </c>
      <c r="AG100" s="6">
        <v>6744500</v>
      </c>
      <c r="AH100" s="6">
        <v>6385000</v>
      </c>
      <c r="AI100" s="6">
        <v>7795500</v>
      </c>
      <c r="AJ100" s="6">
        <v>8481500</v>
      </c>
      <c r="AK100" s="6">
        <v>8502500</v>
      </c>
      <c r="AL100" s="6">
        <v>8759000</v>
      </c>
      <c r="AM100" s="6">
        <v>9152500</v>
      </c>
      <c r="AN100" s="6">
        <v>8805490</v>
      </c>
      <c r="AO100" s="6">
        <v>5910990</v>
      </c>
      <c r="AP100" s="6">
        <v>7226950</v>
      </c>
      <c r="AQ100" s="6">
        <v>6270690</v>
      </c>
      <c r="AR100" s="6">
        <v>6159900</v>
      </c>
      <c r="AS100" s="6">
        <v>5583130</v>
      </c>
      <c r="AT100" s="6">
        <v>5254320</v>
      </c>
      <c r="AU100" s="6">
        <v>6480590</v>
      </c>
      <c r="AV100" s="6">
        <v>6632820</v>
      </c>
      <c r="AW100" s="6">
        <v>7284730</v>
      </c>
      <c r="AX100" s="6">
        <v>6710760</v>
      </c>
      <c r="AY100" s="6">
        <v>6357500</v>
      </c>
      <c r="AZ100" s="6">
        <v>6949580</v>
      </c>
      <c r="BA100" s="6">
        <v>8015300</v>
      </c>
      <c r="BB100" s="6">
        <v>8866740</v>
      </c>
      <c r="BC100" s="6">
        <v>7279150</v>
      </c>
      <c r="BD100" s="6">
        <v>6978820</v>
      </c>
      <c r="BE100" s="6">
        <v>5967840</v>
      </c>
      <c r="BF100" s="6">
        <v>5616920</v>
      </c>
      <c r="BG100" s="6">
        <v>7100310</v>
      </c>
      <c r="BH100" s="6">
        <v>7411180</v>
      </c>
      <c r="BI100" s="6">
        <v>8152560</v>
      </c>
    </row>
    <row r="101" spans="1:61" x14ac:dyDescent="0.4">
      <c r="A101" t="s">
        <v>104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>
        <v>1590520</v>
      </c>
      <c r="BE101" s="6">
        <v>6958070</v>
      </c>
      <c r="BF101" s="6">
        <v>6262400</v>
      </c>
      <c r="BG101" s="6">
        <v>7691140</v>
      </c>
      <c r="BH101" s="6">
        <v>7335730</v>
      </c>
      <c r="BI101" s="6">
        <v>8827090</v>
      </c>
    </row>
    <row r="102" spans="1:61" x14ac:dyDescent="0.4">
      <c r="A102" t="s">
        <v>105</v>
      </c>
      <c r="AC102" s="6">
        <v>1441800</v>
      </c>
      <c r="AD102" s="6">
        <v>3717100</v>
      </c>
      <c r="AE102" s="6">
        <v>3789180</v>
      </c>
      <c r="AF102" s="6">
        <v>4885080</v>
      </c>
      <c r="AG102" s="6">
        <v>4643840</v>
      </c>
      <c r="AH102" s="6">
        <v>4424900</v>
      </c>
      <c r="AI102" s="6">
        <v>4337850</v>
      </c>
      <c r="AJ102" s="6">
        <v>4940870</v>
      </c>
      <c r="AK102" s="6">
        <v>4105190</v>
      </c>
      <c r="AL102" s="6">
        <v>4775460</v>
      </c>
      <c r="AM102" s="6">
        <v>5029660</v>
      </c>
      <c r="AN102" s="6">
        <v>4724130</v>
      </c>
      <c r="AO102" s="6">
        <v>4239380</v>
      </c>
      <c r="AP102" s="6">
        <v>5955730</v>
      </c>
      <c r="AQ102" s="6">
        <v>4859810</v>
      </c>
      <c r="AR102" s="6">
        <v>4577820</v>
      </c>
      <c r="AS102" s="6">
        <v>5150040</v>
      </c>
      <c r="AT102" s="6">
        <v>4162170</v>
      </c>
      <c r="AU102" s="6">
        <v>5552680</v>
      </c>
      <c r="AV102" s="6">
        <v>4535180</v>
      </c>
      <c r="AW102" s="6">
        <v>5201850</v>
      </c>
      <c r="AX102" s="6">
        <v>5186010</v>
      </c>
      <c r="AY102" s="6">
        <v>4760570</v>
      </c>
      <c r="AZ102" s="6">
        <v>5079450</v>
      </c>
      <c r="BA102" s="6">
        <v>4381920</v>
      </c>
      <c r="BB102" s="6">
        <v>5947800</v>
      </c>
      <c r="BC102" s="6">
        <v>5370460</v>
      </c>
      <c r="BD102" s="6">
        <v>4849580</v>
      </c>
      <c r="BE102" s="6">
        <v>4916190</v>
      </c>
      <c r="BF102" s="6">
        <v>4497430</v>
      </c>
      <c r="BG102" s="6">
        <v>4952190</v>
      </c>
      <c r="BH102" s="6">
        <v>5021360</v>
      </c>
      <c r="BI102" s="6">
        <v>5832690</v>
      </c>
    </row>
    <row r="103" spans="1:61" x14ac:dyDescent="0.4">
      <c r="A103" t="s">
        <v>106</v>
      </c>
      <c r="AB103" s="6"/>
      <c r="AC103" s="6">
        <v>477440</v>
      </c>
      <c r="AD103" s="6">
        <v>2288770</v>
      </c>
      <c r="AE103" s="6">
        <v>2389720</v>
      </c>
      <c r="AF103" s="6">
        <v>2954000</v>
      </c>
      <c r="AG103" s="6">
        <v>2288500</v>
      </c>
      <c r="AH103" s="6">
        <v>2583050</v>
      </c>
      <c r="AI103" s="6">
        <v>3334950</v>
      </c>
      <c r="AJ103" s="6">
        <v>3787150</v>
      </c>
      <c r="AK103" s="6">
        <v>3542550</v>
      </c>
      <c r="AL103" s="6">
        <v>3696450</v>
      </c>
      <c r="AM103" s="6">
        <v>4034700</v>
      </c>
      <c r="AN103" s="6">
        <v>3913950</v>
      </c>
      <c r="AO103" s="6">
        <v>3934500</v>
      </c>
      <c r="AP103" s="6">
        <v>4444100</v>
      </c>
      <c r="AQ103" s="6">
        <v>4135150</v>
      </c>
      <c r="AR103" s="6">
        <v>3556650</v>
      </c>
      <c r="AS103" s="6">
        <v>3781850</v>
      </c>
      <c r="AT103" s="6">
        <v>3412500</v>
      </c>
      <c r="AU103" s="6">
        <v>3688600</v>
      </c>
      <c r="AV103" s="6">
        <v>3450850</v>
      </c>
      <c r="AW103" s="6">
        <v>4407050</v>
      </c>
      <c r="AX103" s="6">
        <v>4217900</v>
      </c>
      <c r="AY103" s="6">
        <v>4116650</v>
      </c>
      <c r="AZ103" s="6">
        <v>3927750</v>
      </c>
      <c r="BA103" s="6">
        <v>3927900</v>
      </c>
      <c r="BB103" s="6">
        <v>4466500</v>
      </c>
      <c r="BC103" s="6">
        <v>4152650</v>
      </c>
      <c r="BD103" s="6">
        <v>4238950</v>
      </c>
      <c r="BE103" s="6">
        <v>4161350</v>
      </c>
      <c r="BF103" s="6">
        <v>3536550</v>
      </c>
      <c r="BG103" s="6">
        <v>4112700</v>
      </c>
      <c r="BH103" s="6">
        <v>3968600</v>
      </c>
      <c r="BI103" s="6">
        <v>4439350</v>
      </c>
    </row>
    <row r="104" spans="1:61" x14ac:dyDescent="0.4">
      <c r="A104" t="s">
        <v>107</v>
      </c>
      <c r="AB104" s="6"/>
      <c r="AC104" s="6">
        <v>1055160</v>
      </c>
      <c r="AD104" s="6">
        <v>4638690</v>
      </c>
      <c r="AE104" s="6">
        <v>4805340</v>
      </c>
      <c r="AF104" s="6">
        <v>5045000</v>
      </c>
      <c r="AG104" s="6">
        <v>4272000</v>
      </c>
      <c r="AH104" s="6">
        <v>4215000</v>
      </c>
      <c r="AI104" s="6">
        <v>5809000</v>
      </c>
      <c r="AJ104" s="6">
        <v>6205000</v>
      </c>
      <c r="AK104" s="6">
        <v>6044500</v>
      </c>
      <c r="AL104" s="6">
        <v>6151500</v>
      </c>
      <c r="AM104" s="6">
        <v>6979500</v>
      </c>
      <c r="AN104" s="6">
        <v>6277000</v>
      </c>
      <c r="AO104" s="6">
        <v>6962000</v>
      </c>
      <c r="AP104" s="6">
        <v>7311000</v>
      </c>
      <c r="AQ104" s="6">
        <v>7123500</v>
      </c>
      <c r="AR104" s="6">
        <v>7065100</v>
      </c>
      <c r="AS104" s="6">
        <v>6024100</v>
      </c>
      <c r="AT104" s="6">
        <v>5770000</v>
      </c>
      <c r="AU104" s="6">
        <v>6568000</v>
      </c>
      <c r="AV104" s="6">
        <v>6542800</v>
      </c>
      <c r="AW104" s="6">
        <v>7699100</v>
      </c>
      <c r="AX104" s="6">
        <v>7630700</v>
      </c>
      <c r="AY104" s="6">
        <v>7056900</v>
      </c>
      <c r="AZ104" s="6">
        <v>7638700</v>
      </c>
      <c r="BA104" s="6">
        <v>7228500</v>
      </c>
      <c r="BB104" s="6">
        <v>8965200</v>
      </c>
      <c r="BC104" s="6">
        <v>7294600</v>
      </c>
      <c r="BD104" s="6">
        <v>7344900</v>
      </c>
      <c r="BE104" s="6">
        <v>6545500</v>
      </c>
      <c r="BF104" s="6">
        <v>6064000</v>
      </c>
      <c r="BG104" s="6">
        <v>8405200</v>
      </c>
      <c r="BH104" s="6">
        <v>6144700</v>
      </c>
      <c r="BI104" s="6">
        <v>6084700</v>
      </c>
    </row>
    <row r="105" spans="1:61" x14ac:dyDescent="0.4">
      <c r="A105" t="s">
        <v>108</v>
      </c>
      <c r="AB105" s="6"/>
      <c r="AC105" s="6">
        <v>463610</v>
      </c>
      <c r="AD105" s="6">
        <v>4224160</v>
      </c>
      <c r="AE105" s="6">
        <v>4355190</v>
      </c>
      <c r="AF105" s="6">
        <v>4281000</v>
      </c>
      <c r="AG105" s="6">
        <v>4215500</v>
      </c>
      <c r="AH105" s="6">
        <v>3802500</v>
      </c>
      <c r="AI105" s="6">
        <v>5195000</v>
      </c>
      <c r="AJ105" s="6">
        <v>5038000</v>
      </c>
      <c r="AK105" s="6">
        <v>5237500</v>
      </c>
      <c r="AL105" s="6">
        <v>4979500</v>
      </c>
      <c r="AM105" s="6">
        <v>6191500</v>
      </c>
      <c r="AN105" s="6">
        <v>5017000</v>
      </c>
      <c r="AO105" s="6">
        <v>4990000</v>
      </c>
      <c r="AP105" s="6">
        <v>5730000</v>
      </c>
      <c r="AQ105" s="6">
        <v>5379000</v>
      </c>
      <c r="AR105" s="6">
        <v>5289400</v>
      </c>
      <c r="AS105" s="6">
        <v>5382400</v>
      </c>
      <c r="AT105" s="6">
        <v>5183000</v>
      </c>
      <c r="AU105" s="6">
        <v>6511400</v>
      </c>
      <c r="AV105" s="6">
        <v>5686600</v>
      </c>
      <c r="AW105" s="6">
        <v>7475600</v>
      </c>
      <c r="AX105" s="6">
        <v>6559000</v>
      </c>
      <c r="AY105" s="6">
        <v>6331300</v>
      </c>
      <c r="AZ105" s="6">
        <v>7196100</v>
      </c>
      <c r="BA105" s="6">
        <v>6365200</v>
      </c>
      <c r="BB105" s="6">
        <v>7568500</v>
      </c>
      <c r="BC105" s="6">
        <v>6546200</v>
      </c>
      <c r="BD105" s="6">
        <v>6093500</v>
      </c>
      <c r="BE105" s="6">
        <v>6401300</v>
      </c>
      <c r="BF105" s="6">
        <v>5973600</v>
      </c>
      <c r="BG105" s="6">
        <v>7531100</v>
      </c>
      <c r="BH105" s="6">
        <v>7384900</v>
      </c>
      <c r="BI105" s="6">
        <v>8050500</v>
      </c>
    </row>
    <row r="106" spans="1:61" x14ac:dyDescent="0.4">
      <c r="A106" t="s">
        <v>109</v>
      </c>
      <c r="AB106" s="6"/>
      <c r="AC106" s="6">
        <v>288100</v>
      </c>
      <c r="AD106" s="6">
        <v>2977950</v>
      </c>
      <c r="AE106" s="6">
        <v>3512020</v>
      </c>
      <c r="AF106" s="6">
        <v>4998500</v>
      </c>
      <c r="AG106" s="6">
        <v>5145330</v>
      </c>
      <c r="AH106" s="6">
        <v>3905750</v>
      </c>
      <c r="AI106" s="6">
        <v>4612740</v>
      </c>
      <c r="AJ106" s="6">
        <v>5393040</v>
      </c>
      <c r="AK106" s="6">
        <v>5385380</v>
      </c>
      <c r="AL106" s="6">
        <v>5421860</v>
      </c>
      <c r="AM106" s="6">
        <v>5689310</v>
      </c>
      <c r="AN106" s="6">
        <v>5552790</v>
      </c>
      <c r="AO106" s="6">
        <v>5530800</v>
      </c>
      <c r="AP106" s="6">
        <v>6122190</v>
      </c>
      <c r="AQ106" s="6">
        <v>6477200</v>
      </c>
      <c r="AR106" s="6">
        <v>5774880</v>
      </c>
      <c r="AS106" s="6">
        <v>6218330</v>
      </c>
      <c r="AT106" s="6">
        <v>5445420</v>
      </c>
      <c r="AU106" s="6">
        <v>6855090</v>
      </c>
      <c r="AV106" s="6">
        <v>5649970</v>
      </c>
      <c r="AW106" s="6">
        <v>6489090</v>
      </c>
      <c r="AX106" s="6">
        <v>7223660</v>
      </c>
      <c r="AY106" s="6">
        <v>6513500</v>
      </c>
      <c r="AZ106" s="6">
        <v>6902420</v>
      </c>
      <c r="BA106" s="6">
        <v>7631620</v>
      </c>
      <c r="BB106" s="6">
        <v>9059350</v>
      </c>
      <c r="BC106" s="6">
        <v>7776770</v>
      </c>
      <c r="BD106" s="6">
        <v>7433810</v>
      </c>
      <c r="BE106" s="6">
        <v>6926360</v>
      </c>
      <c r="BF106" s="6">
        <v>6835790</v>
      </c>
      <c r="BG106" s="6">
        <v>7377800</v>
      </c>
      <c r="BH106" s="6">
        <v>8175340</v>
      </c>
      <c r="BI106" s="6">
        <v>9216300</v>
      </c>
    </row>
    <row r="107" spans="1:61" x14ac:dyDescent="0.4">
      <c r="A107" t="s">
        <v>110</v>
      </c>
      <c r="AB107" s="6"/>
      <c r="AC107" s="6"/>
      <c r="AD107" s="6">
        <v>1133750</v>
      </c>
      <c r="AE107" s="6">
        <v>5213560</v>
      </c>
      <c r="AF107" s="6">
        <v>5029600</v>
      </c>
      <c r="AG107" s="6">
        <v>5776840</v>
      </c>
      <c r="AH107" s="6">
        <v>5817260</v>
      </c>
      <c r="AI107" s="6">
        <v>6543780</v>
      </c>
      <c r="AJ107" s="6">
        <v>6945530</v>
      </c>
      <c r="AK107" s="6">
        <v>6085670</v>
      </c>
      <c r="AL107" s="6">
        <v>6674770</v>
      </c>
      <c r="AM107" s="6">
        <v>7236580</v>
      </c>
      <c r="AN107" s="6">
        <v>6060170</v>
      </c>
      <c r="AO107" s="6">
        <v>6164810</v>
      </c>
      <c r="AP107" s="6">
        <v>6225420</v>
      </c>
      <c r="AQ107" s="6">
        <v>6189630</v>
      </c>
      <c r="AR107" s="6">
        <v>6541450</v>
      </c>
      <c r="AS107" s="6">
        <v>5804750</v>
      </c>
      <c r="AT107" s="6">
        <v>4994250</v>
      </c>
      <c r="AU107" s="6">
        <v>4651270</v>
      </c>
      <c r="AV107" s="6">
        <v>6909790</v>
      </c>
      <c r="AW107" s="6">
        <v>7618720</v>
      </c>
      <c r="AX107" s="6">
        <v>7411050</v>
      </c>
      <c r="AY107" s="6">
        <v>9055340</v>
      </c>
      <c r="AZ107" s="6">
        <v>6875740</v>
      </c>
      <c r="BA107" s="6">
        <v>6807070</v>
      </c>
      <c r="BB107" s="6">
        <v>8612100</v>
      </c>
      <c r="BC107" s="6">
        <v>6921800</v>
      </c>
      <c r="BD107" s="6">
        <v>6684300</v>
      </c>
      <c r="BE107" s="6">
        <v>6216000</v>
      </c>
      <c r="BF107" s="6">
        <v>6031300</v>
      </c>
      <c r="BG107" s="6">
        <v>6702500</v>
      </c>
      <c r="BH107" s="6">
        <v>6599100</v>
      </c>
      <c r="BI107" s="6">
        <v>7960900</v>
      </c>
    </row>
    <row r="108" spans="1:61" x14ac:dyDescent="0.4">
      <c r="A108" t="s">
        <v>111</v>
      </c>
      <c r="AC108" s="6"/>
      <c r="AD108" s="6">
        <v>95890</v>
      </c>
      <c r="AE108" s="6">
        <v>2829200</v>
      </c>
      <c r="AF108" s="6">
        <v>3685420</v>
      </c>
      <c r="AG108" s="6">
        <v>4570240</v>
      </c>
      <c r="AH108" s="6">
        <v>4480740</v>
      </c>
      <c r="AI108" s="6">
        <v>5785280</v>
      </c>
      <c r="AJ108" s="6">
        <v>6207320</v>
      </c>
      <c r="AK108" s="6">
        <v>5946710</v>
      </c>
      <c r="AL108" s="6">
        <v>6155900</v>
      </c>
      <c r="AM108" s="6">
        <v>6538540</v>
      </c>
      <c r="AN108" s="6">
        <v>6263260</v>
      </c>
      <c r="AO108" s="6">
        <v>6436320</v>
      </c>
      <c r="AP108" s="6">
        <v>6593940</v>
      </c>
      <c r="AQ108" s="6">
        <v>6515600</v>
      </c>
      <c r="AR108" s="6">
        <v>6348440</v>
      </c>
      <c r="AS108" s="6">
        <v>5402320</v>
      </c>
      <c r="AT108" s="6">
        <v>5199540</v>
      </c>
      <c r="AU108" s="6">
        <v>6505710</v>
      </c>
      <c r="AV108" s="6">
        <v>6252550</v>
      </c>
      <c r="AW108" s="6">
        <v>7439970</v>
      </c>
      <c r="AX108" s="6">
        <v>6294860</v>
      </c>
      <c r="AY108" s="6">
        <v>6635300</v>
      </c>
      <c r="AZ108" s="6">
        <v>6259840</v>
      </c>
      <c r="BA108" s="6">
        <v>5960050</v>
      </c>
      <c r="BB108" s="6">
        <v>6451170</v>
      </c>
      <c r="BC108" s="6">
        <v>6732720</v>
      </c>
      <c r="BD108" s="6">
        <v>5745500</v>
      </c>
      <c r="BE108" s="6">
        <v>7068760</v>
      </c>
      <c r="BF108" s="6">
        <v>6295520</v>
      </c>
      <c r="BG108" s="6">
        <v>7784420</v>
      </c>
      <c r="BH108" s="6">
        <v>7717610</v>
      </c>
      <c r="BI108" s="6">
        <v>8968280</v>
      </c>
    </row>
    <row r="109" spans="1:61" x14ac:dyDescent="0.4">
      <c r="A109" t="s">
        <v>112</v>
      </c>
      <c r="AC109" s="6"/>
      <c r="AD109" s="6"/>
      <c r="AE109" s="6">
        <v>2148740</v>
      </c>
      <c r="AF109" s="6">
        <v>3296380</v>
      </c>
      <c r="AG109" s="6">
        <v>2960650</v>
      </c>
      <c r="AH109" s="6">
        <v>2879030</v>
      </c>
      <c r="AI109" s="6">
        <v>3923680</v>
      </c>
      <c r="AJ109" s="6">
        <v>4300230</v>
      </c>
      <c r="AK109" s="6">
        <v>4083440</v>
      </c>
      <c r="AL109" s="6">
        <v>4561500</v>
      </c>
      <c r="AM109" s="6">
        <v>4690540</v>
      </c>
      <c r="AN109" s="6">
        <v>4450060</v>
      </c>
      <c r="AO109" s="6">
        <v>4462850</v>
      </c>
      <c r="AP109" s="6">
        <v>5160070</v>
      </c>
      <c r="AQ109" s="6">
        <v>4579220</v>
      </c>
      <c r="AR109" s="6">
        <v>4963000</v>
      </c>
      <c r="AS109" s="6">
        <v>4329280</v>
      </c>
      <c r="AT109" s="6">
        <v>4305540</v>
      </c>
      <c r="AU109" s="6">
        <v>4707120</v>
      </c>
      <c r="AV109" s="6">
        <v>4811340</v>
      </c>
      <c r="AW109" s="6">
        <v>5442500</v>
      </c>
      <c r="AX109" s="6">
        <v>5100220</v>
      </c>
      <c r="AY109" s="6">
        <v>4989680</v>
      </c>
      <c r="AZ109" s="6">
        <v>4666850</v>
      </c>
      <c r="BA109" s="6">
        <v>4818920</v>
      </c>
      <c r="BB109" s="6">
        <v>6035320</v>
      </c>
      <c r="BC109" s="6">
        <v>4863610</v>
      </c>
      <c r="BD109" s="6">
        <v>4630960</v>
      </c>
      <c r="BE109" s="6">
        <v>4616640</v>
      </c>
      <c r="BF109" s="6">
        <v>4052620</v>
      </c>
      <c r="BG109" s="6">
        <v>4429810</v>
      </c>
      <c r="BH109" s="6">
        <v>4842020</v>
      </c>
      <c r="BI109" s="6">
        <v>5126130</v>
      </c>
    </row>
    <row r="110" spans="1:61" x14ac:dyDescent="0.4">
      <c r="A110" t="s">
        <v>113</v>
      </c>
      <c r="AD110" s="6"/>
      <c r="AE110" s="6">
        <v>531520</v>
      </c>
      <c r="AF110" s="6">
        <v>2637980</v>
      </c>
      <c r="AG110" s="6">
        <v>2732810</v>
      </c>
      <c r="AH110" s="6">
        <v>3301650</v>
      </c>
      <c r="AI110" s="6">
        <v>4303740</v>
      </c>
      <c r="AJ110" s="6">
        <v>4340900</v>
      </c>
      <c r="AK110" s="6">
        <v>4437170</v>
      </c>
      <c r="AL110" s="6">
        <v>4764150</v>
      </c>
      <c r="AM110" s="6">
        <v>4483600</v>
      </c>
      <c r="AN110" s="6">
        <v>4653990</v>
      </c>
      <c r="AO110" s="6">
        <v>4984870</v>
      </c>
      <c r="AP110" s="6">
        <v>5417550</v>
      </c>
      <c r="AQ110" s="6">
        <v>5270190</v>
      </c>
      <c r="AR110" s="6">
        <v>5112080</v>
      </c>
      <c r="AS110" s="6">
        <v>4364340</v>
      </c>
      <c r="AT110" s="6">
        <v>4232330</v>
      </c>
      <c r="AU110" s="6">
        <v>5947690</v>
      </c>
      <c r="AV110" s="6">
        <v>5254530</v>
      </c>
      <c r="AW110" s="6">
        <v>6407660</v>
      </c>
      <c r="AX110" s="6">
        <v>5418620</v>
      </c>
      <c r="AY110" s="6">
        <v>5438780</v>
      </c>
      <c r="AZ110" s="6">
        <v>5769690</v>
      </c>
      <c r="BA110" s="6">
        <v>5770100</v>
      </c>
      <c r="BB110" s="6">
        <v>6731990</v>
      </c>
      <c r="BC110" s="6">
        <v>6209930</v>
      </c>
      <c r="BD110" s="6">
        <v>5676640</v>
      </c>
      <c r="BE110" s="6">
        <v>6159950</v>
      </c>
      <c r="BF110" s="6">
        <v>5029360</v>
      </c>
      <c r="BG110" s="6">
        <v>5851270</v>
      </c>
      <c r="BH110" s="6">
        <v>5853130</v>
      </c>
      <c r="BI110" s="6">
        <v>7467900</v>
      </c>
    </row>
    <row r="111" spans="1:61" x14ac:dyDescent="0.4">
      <c r="A111" t="s">
        <v>114</v>
      </c>
      <c r="AD111" s="6"/>
      <c r="AE111" s="6"/>
      <c r="AF111" s="6">
        <v>2030950</v>
      </c>
      <c r="AG111" s="6">
        <v>4522930</v>
      </c>
      <c r="AH111" s="6">
        <v>7895200</v>
      </c>
      <c r="AI111" s="6">
        <v>8838300</v>
      </c>
      <c r="AJ111" s="6">
        <v>9473020</v>
      </c>
      <c r="AK111" s="6">
        <v>10614050</v>
      </c>
      <c r="AL111" s="6">
        <v>9501310</v>
      </c>
      <c r="AM111" s="6">
        <v>10837900</v>
      </c>
      <c r="AN111" s="6">
        <v>10317410</v>
      </c>
      <c r="AO111" s="6">
        <v>9471290</v>
      </c>
      <c r="AP111" s="6">
        <v>9377510</v>
      </c>
      <c r="AQ111" s="6">
        <v>9576300</v>
      </c>
      <c r="AR111" s="6">
        <v>5777390</v>
      </c>
      <c r="AS111" s="6">
        <v>6210290</v>
      </c>
      <c r="AT111" s="6">
        <v>4715720</v>
      </c>
      <c r="AU111" s="6">
        <v>6328880</v>
      </c>
      <c r="AV111" s="6">
        <v>6940320</v>
      </c>
      <c r="AW111" s="6">
        <v>8191830</v>
      </c>
      <c r="AX111" s="6">
        <v>6061580</v>
      </c>
      <c r="AY111" s="6">
        <v>6370480</v>
      </c>
      <c r="AZ111" s="6">
        <v>5626650</v>
      </c>
      <c r="BA111" s="6">
        <v>4842430</v>
      </c>
      <c r="BB111" s="6">
        <v>6125710</v>
      </c>
      <c r="BC111" s="6">
        <v>7048090</v>
      </c>
      <c r="BD111" s="6">
        <v>6315620</v>
      </c>
      <c r="BE111" s="6">
        <v>6806040</v>
      </c>
      <c r="BF111" s="6">
        <v>6273710</v>
      </c>
      <c r="BG111" s="6">
        <v>7034410</v>
      </c>
      <c r="BH111" s="6">
        <v>6914760</v>
      </c>
      <c r="BI111" s="6">
        <v>7595100</v>
      </c>
    </row>
    <row r="112" spans="1:61" x14ac:dyDescent="0.4">
      <c r="A112" t="s">
        <v>115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>
        <v>1049650</v>
      </c>
      <c r="BE112" s="6">
        <v>5983450</v>
      </c>
      <c r="BF112" s="6">
        <v>6253950</v>
      </c>
      <c r="BG112" s="6">
        <v>6596350</v>
      </c>
      <c r="BH112" s="6">
        <v>6259650</v>
      </c>
      <c r="BI112" s="6">
        <v>7523700</v>
      </c>
    </row>
    <row r="113" spans="1:61" x14ac:dyDescent="0.4">
      <c r="A113" t="s">
        <v>116</v>
      </c>
      <c r="AG113" s="6">
        <v>3483810</v>
      </c>
      <c r="AH113" s="6">
        <v>4171440</v>
      </c>
      <c r="AI113" s="6">
        <v>5497880</v>
      </c>
      <c r="AJ113" s="6">
        <v>5787890</v>
      </c>
      <c r="AK113" s="6">
        <v>5471190</v>
      </c>
      <c r="AL113" s="6">
        <v>6399440</v>
      </c>
      <c r="AM113" s="6">
        <v>6960200</v>
      </c>
      <c r="AN113" s="6">
        <v>5859740</v>
      </c>
      <c r="AO113" s="6">
        <v>6374330</v>
      </c>
      <c r="AP113" s="6">
        <v>6392490</v>
      </c>
      <c r="AQ113" s="6">
        <v>6386350</v>
      </c>
      <c r="AR113" s="6">
        <v>6466520</v>
      </c>
      <c r="AS113" s="6">
        <v>5839110</v>
      </c>
      <c r="AT113" s="6">
        <v>6158500</v>
      </c>
      <c r="AU113" s="6">
        <v>6703210</v>
      </c>
      <c r="AV113" s="6">
        <v>6476320</v>
      </c>
      <c r="AW113" s="6">
        <v>8128180</v>
      </c>
      <c r="AX113" s="6">
        <v>7945150</v>
      </c>
      <c r="AY113" s="6">
        <v>7592720</v>
      </c>
      <c r="AZ113" s="6">
        <v>8259160</v>
      </c>
      <c r="BA113" s="6">
        <v>7402200</v>
      </c>
      <c r="BB113" s="6">
        <v>8566360</v>
      </c>
      <c r="BC113" s="6">
        <v>7302240</v>
      </c>
      <c r="BD113" s="6">
        <v>6828150</v>
      </c>
      <c r="BE113" s="6">
        <v>7255660</v>
      </c>
      <c r="BF113" s="6">
        <v>6842810</v>
      </c>
      <c r="BG113" s="6">
        <v>7388070</v>
      </c>
      <c r="BH113" s="6">
        <v>7617490</v>
      </c>
      <c r="BI113" s="6">
        <v>8391390</v>
      </c>
    </row>
    <row r="114" spans="1:61" x14ac:dyDescent="0.4">
      <c r="A114" t="s">
        <v>117</v>
      </c>
      <c r="AF114" s="6"/>
      <c r="AG114" s="6">
        <v>1611680</v>
      </c>
      <c r="AH114" s="6">
        <v>1899660</v>
      </c>
      <c r="AI114" s="6">
        <v>2585050</v>
      </c>
      <c r="AJ114" s="6">
        <v>2916950</v>
      </c>
      <c r="AK114" s="6">
        <v>2946350</v>
      </c>
      <c r="AL114" s="6">
        <v>2842600</v>
      </c>
      <c r="AM114" s="6">
        <v>3228850</v>
      </c>
      <c r="AN114" s="6">
        <v>3510250</v>
      </c>
      <c r="AO114" s="6">
        <v>3101900</v>
      </c>
      <c r="AP114" s="6">
        <v>3267950</v>
      </c>
      <c r="AQ114" s="6">
        <v>3174550</v>
      </c>
      <c r="AR114" s="6">
        <v>3026600</v>
      </c>
      <c r="AS114" s="6">
        <v>2783000</v>
      </c>
      <c r="AT114" s="6">
        <v>2590900</v>
      </c>
      <c r="AU114" s="6">
        <v>3540050</v>
      </c>
      <c r="AV114" s="6">
        <v>3279600</v>
      </c>
      <c r="AW114" s="6">
        <v>3231850</v>
      </c>
      <c r="AX114" s="6">
        <v>2748850</v>
      </c>
      <c r="AY114" s="6">
        <v>2246250</v>
      </c>
      <c r="AZ114" s="6">
        <v>2154450</v>
      </c>
      <c r="BA114" s="6">
        <v>1538800</v>
      </c>
      <c r="BB114" s="6">
        <v>0</v>
      </c>
      <c r="BC114" s="6"/>
      <c r="BD114" s="6"/>
      <c r="BE114" s="6"/>
      <c r="BF114" s="6"/>
      <c r="BG114" s="6"/>
      <c r="BH114" s="6"/>
    </row>
    <row r="115" spans="1:61" x14ac:dyDescent="0.4">
      <c r="A115" t="s">
        <v>118</v>
      </c>
      <c r="AF115" s="6"/>
      <c r="AG115" s="6">
        <v>869870</v>
      </c>
      <c r="AH115" s="6">
        <v>1993690</v>
      </c>
      <c r="AI115" s="6">
        <v>2523500</v>
      </c>
      <c r="AJ115" s="6">
        <v>2938550</v>
      </c>
      <c r="AK115" s="6">
        <v>3078510</v>
      </c>
      <c r="AL115" s="6">
        <v>3380840</v>
      </c>
      <c r="AM115" s="6">
        <v>3596820</v>
      </c>
      <c r="AN115" s="6">
        <v>3846390</v>
      </c>
      <c r="AO115" s="6">
        <v>3964950</v>
      </c>
      <c r="AP115" s="6">
        <v>4067320</v>
      </c>
      <c r="AQ115" s="6">
        <v>4200270</v>
      </c>
      <c r="AR115" s="6">
        <v>4135740</v>
      </c>
      <c r="AS115" s="6">
        <v>3644050</v>
      </c>
      <c r="AT115" s="6">
        <v>3795940</v>
      </c>
      <c r="AU115" s="6">
        <v>4346770</v>
      </c>
      <c r="AV115" s="6">
        <v>3881440</v>
      </c>
      <c r="AW115" s="6">
        <v>4073630</v>
      </c>
      <c r="AX115" s="6">
        <v>4478310</v>
      </c>
      <c r="AY115" s="6">
        <v>4280410</v>
      </c>
      <c r="AZ115" s="6">
        <v>4617450</v>
      </c>
      <c r="BA115" s="6">
        <v>4043400</v>
      </c>
      <c r="BB115" s="6">
        <v>4908640</v>
      </c>
      <c r="BC115" s="6">
        <v>4327770</v>
      </c>
      <c r="BD115" s="6">
        <v>3531500</v>
      </c>
      <c r="BE115" s="6">
        <v>3812530</v>
      </c>
      <c r="BF115" s="6">
        <v>3614320</v>
      </c>
      <c r="BG115" s="6">
        <v>4647190</v>
      </c>
      <c r="BH115" s="6">
        <v>5340520</v>
      </c>
      <c r="BI115" s="6">
        <v>5274500</v>
      </c>
    </row>
    <row r="116" spans="1:61" x14ac:dyDescent="0.4">
      <c r="A116" t="s">
        <v>119</v>
      </c>
      <c r="AF116" s="6"/>
      <c r="AG116" s="6">
        <v>1604030</v>
      </c>
      <c r="AH116" s="6">
        <v>2818440</v>
      </c>
      <c r="AI116" s="6">
        <v>4293530</v>
      </c>
      <c r="AJ116" s="6">
        <v>4425780</v>
      </c>
      <c r="AK116" s="6">
        <v>4376570</v>
      </c>
      <c r="AL116" s="6">
        <v>4752270</v>
      </c>
      <c r="AM116" s="6">
        <v>4818890</v>
      </c>
      <c r="AN116" s="6">
        <v>4751370</v>
      </c>
      <c r="AO116" s="6">
        <v>3935670</v>
      </c>
      <c r="AP116" s="6">
        <v>5017770</v>
      </c>
      <c r="AQ116" s="6">
        <v>5101340</v>
      </c>
      <c r="AR116" s="6">
        <v>5281110</v>
      </c>
      <c r="AS116" s="6">
        <v>5929920</v>
      </c>
      <c r="AT116" s="6">
        <v>4569020</v>
      </c>
      <c r="AU116" s="6">
        <v>6277360</v>
      </c>
      <c r="AV116" s="6">
        <v>6067530</v>
      </c>
      <c r="AW116" s="6">
        <v>6855180</v>
      </c>
      <c r="AX116" s="6">
        <v>6732650</v>
      </c>
      <c r="AY116" s="6">
        <v>5727930</v>
      </c>
      <c r="AZ116" s="6">
        <v>6090470</v>
      </c>
      <c r="BA116" s="6">
        <v>5395580</v>
      </c>
      <c r="BB116" s="6">
        <v>7275190</v>
      </c>
      <c r="BC116" s="6">
        <v>6289080</v>
      </c>
      <c r="BD116" s="6">
        <v>5725210</v>
      </c>
      <c r="BE116" s="6">
        <v>5720920</v>
      </c>
      <c r="BF116" s="6">
        <v>5887820</v>
      </c>
      <c r="BG116" s="6">
        <v>6671930</v>
      </c>
      <c r="BH116" s="6">
        <v>6513180</v>
      </c>
      <c r="BI116" s="6">
        <v>7673310</v>
      </c>
    </row>
    <row r="117" spans="1:61" x14ac:dyDescent="0.4">
      <c r="A117" t="s">
        <v>120</v>
      </c>
      <c r="AF117" s="6"/>
      <c r="AG117" s="6">
        <v>662190</v>
      </c>
      <c r="AH117" s="6">
        <v>3769710</v>
      </c>
      <c r="AI117" s="6">
        <v>4396420</v>
      </c>
      <c r="AJ117" s="6">
        <v>4622500</v>
      </c>
      <c r="AK117" s="6">
        <v>4906550</v>
      </c>
      <c r="AL117" s="6">
        <v>5442100</v>
      </c>
      <c r="AM117" s="6">
        <v>5523300</v>
      </c>
      <c r="AN117" s="6">
        <v>6324400</v>
      </c>
      <c r="AO117" s="6">
        <v>5866450</v>
      </c>
      <c r="AP117" s="6">
        <v>6857250</v>
      </c>
      <c r="AQ117" s="6">
        <v>5981750</v>
      </c>
      <c r="AR117" s="6">
        <v>6241750</v>
      </c>
      <c r="AS117" s="6">
        <v>5908500</v>
      </c>
      <c r="AT117" s="6">
        <v>5403800</v>
      </c>
      <c r="AU117" s="6">
        <v>6283950</v>
      </c>
      <c r="AV117" s="6">
        <v>6391750</v>
      </c>
      <c r="AW117" s="6">
        <v>7419850</v>
      </c>
      <c r="AX117" s="6">
        <v>7134250</v>
      </c>
      <c r="AY117" s="6">
        <v>6966100</v>
      </c>
      <c r="AZ117" s="6">
        <v>7012350</v>
      </c>
      <c r="BA117" s="6">
        <v>6905100</v>
      </c>
      <c r="BB117" s="6">
        <v>7707850</v>
      </c>
      <c r="BC117" s="6">
        <v>7507000</v>
      </c>
      <c r="BD117" s="6">
        <v>6748000</v>
      </c>
      <c r="BE117" s="6">
        <v>6634300</v>
      </c>
      <c r="BF117" s="6">
        <v>6259300</v>
      </c>
      <c r="BG117" s="6">
        <v>7047000</v>
      </c>
      <c r="BH117" s="6">
        <v>6850500</v>
      </c>
      <c r="BI117" s="6">
        <v>7603850</v>
      </c>
    </row>
    <row r="118" spans="1:61" x14ac:dyDescent="0.4">
      <c r="A118" t="s">
        <v>121</v>
      </c>
      <c r="AF118" s="6"/>
      <c r="AG118" s="6"/>
      <c r="AH118" s="6">
        <v>1650310</v>
      </c>
      <c r="AI118" s="6">
        <v>2961330</v>
      </c>
      <c r="AJ118" s="6">
        <v>3144620</v>
      </c>
      <c r="AK118" s="6">
        <v>3272250</v>
      </c>
      <c r="AL118" s="6">
        <v>3859670</v>
      </c>
      <c r="AM118" s="6">
        <v>3294680</v>
      </c>
      <c r="AN118" s="6">
        <v>3816250</v>
      </c>
      <c r="AO118" s="6">
        <v>3824660</v>
      </c>
      <c r="AP118" s="6">
        <v>3892270</v>
      </c>
      <c r="AQ118" s="6">
        <v>3655180</v>
      </c>
      <c r="AR118" s="6">
        <v>4013350</v>
      </c>
      <c r="AS118" s="6">
        <v>3303300</v>
      </c>
      <c r="AT118" s="6">
        <v>3424900</v>
      </c>
      <c r="AU118" s="6">
        <v>4270360</v>
      </c>
      <c r="AV118" s="6">
        <v>4143430</v>
      </c>
      <c r="AW118" s="6">
        <v>4550350</v>
      </c>
      <c r="AX118" s="6">
        <v>5108680</v>
      </c>
      <c r="AY118" s="6">
        <v>4181970</v>
      </c>
      <c r="AZ118" s="6">
        <v>3810360</v>
      </c>
      <c r="BA118" s="6">
        <v>3274610</v>
      </c>
      <c r="BB118" s="6">
        <v>3208390</v>
      </c>
      <c r="BC118" s="6">
        <v>2977700</v>
      </c>
      <c r="BD118" s="6">
        <v>2551360</v>
      </c>
      <c r="BE118" s="6">
        <v>2267850</v>
      </c>
      <c r="BF118" s="6">
        <v>1844480</v>
      </c>
      <c r="BG118" s="6">
        <v>2364150</v>
      </c>
      <c r="BH118" s="6">
        <v>2557070</v>
      </c>
      <c r="BI118" s="6">
        <v>3078320</v>
      </c>
    </row>
    <row r="119" spans="1:61" x14ac:dyDescent="0.4">
      <c r="A119" t="s">
        <v>122</v>
      </c>
      <c r="AG119" s="6"/>
      <c r="AH119" s="6">
        <v>448990</v>
      </c>
      <c r="AI119" s="6">
        <v>3256900</v>
      </c>
      <c r="AJ119" s="6">
        <v>4240310</v>
      </c>
      <c r="AK119" s="6">
        <v>3888300</v>
      </c>
      <c r="AL119" s="6">
        <v>4329900</v>
      </c>
      <c r="AM119" s="6">
        <v>5080550</v>
      </c>
      <c r="AN119" s="6">
        <v>4425800</v>
      </c>
      <c r="AO119" s="6">
        <v>4255450</v>
      </c>
      <c r="AP119" s="6">
        <v>4567150</v>
      </c>
      <c r="AQ119" s="6">
        <v>4665950</v>
      </c>
      <c r="AR119" s="6">
        <v>4529850</v>
      </c>
      <c r="AS119" s="6">
        <v>4744850</v>
      </c>
      <c r="AT119" s="6">
        <v>4307800</v>
      </c>
      <c r="AU119" s="6">
        <v>5043150</v>
      </c>
      <c r="AV119" s="6">
        <v>5381200</v>
      </c>
      <c r="AW119" s="6">
        <v>5304250</v>
      </c>
      <c r="AX119" s="6">
        <v>5929350</v>
      </c>
      <c r="AY119" s="6">
        <v>5358300</v>
      </c>
      <c r="AZ119" s="6">
        <v>5910850</v>
      </c>
      <c r="BA119" s="6">
        <v>5511700</v>
      </c>
      <c r="BB119" s="6">
        <v>6737400</v>
      </c>
      <c r="BC119" s="6">
        <v>5890200</v>
      </c>
      <c r="BD119" s="6">
        <v>5258550</v>
      </c>
      <c r="BE119" s="6">
        <v>5626200</v>
      </c>
      <c r="BF119" s="6">
        <v>4732000</v>
      </c>
      <c r="BG119" s="6">
        <v>6011100</v>
      </c>
      <c r="BH119" s="6">
        <v>5544000</v>
      </c>
      <c r="BI119" s="6">
        <v>6460700</v>
      </c>
    </row>
    <row r="120" spans="1:61" x14ac:dyDescent="0.4">
      <c r="A120" t="s">
        <v>123</v>
      </c>
      <c r="AG120" s="6"/>
      <c r="AH120" s="6">
        <v>0</v>
      </c>
      <c r="AI120" s="6">
        <v>2545440</v>
      </c>
      <c r="AJ120" s="6">
        <v>2722810</v>
      </c>
      <c r="AK120" s="6">
        <v>2577850</v>
      </c>
      <c r="AL120" s="6">
        <v>2873700</v>
      </c>
      <c r="AM120" s="6">
        <v>2807550</v>
      </c>
      <c r="AN120" s="6">
        <v>2762800</v>
      </c>
      <c r="AO120" s="6">
        <v>2324100</v>
      </c>
      <c r="AP120" s="6">
        <v>2823950</v>
      </c>
      <c r="AQ120" s="6">
        <v>2666800</v>
      </c>
      <c r="AR120" s="6">
        <v>2338580</v>
      </c>
      <c r="AS120" s="6">
        <v>2462930</v>
      </c>
      <c r="AT120" s="6">
        <v>2166650</v>
      </c>
      <c r="AU120" s="6">
        <v>2464000</v>
      </c>
      <c r="AV120" s="6">
        <v>2330750</v>
      </c>
      <c r="AW120" s="6">
        <v>2741050</v>
      </c>
      <c r="AX120" s="6">
        <v>2759750</v>
      </c>
      <c r="AY120" s="6">
        <v>2417850</v>
      </c>
      <c r="AZ120" s="6">
        <v>2349350</v>
      </c>
      <c r="BA120" s="6">
        <v>2328150</v>
      </c>
      <c r="BB120" s="6">
        <v>2569550</v>
      </c>
      <c r="BC120" s="6">
        <v>2767600</v>
      </c>
      <c r="BD120" s="6">
        <v>2315300</v>
      </c>
      <c r="BE120" s="6">
        <v>2218950</v>
      </c>
      <c r="BF120" s="6">
        <v>2347700</v>
      </c>
      <c r="BG120" s="6">
        <v>2962400</v>
      </c>
      <c r="BH120" s="6">
        <v>3438550</v>
      </c>
      <c r="BI120" s="6">
        <v>5135900</v>
      </c>
    </row>
    <row r="121" spans="1:61" x14ac:dyDescent="0.4">
      <c r="A121" t="s">
        <v>124</v>
      </c>
      <c r="AH121" s="6"/>
      <c r="AI121" s="6">
        <v>2865380</v>
      </c>
      <c r="AJ121" s="6">
        <v>4394430</v>
      </c>
      <c r="AK121" s="6">
        <v>4178250</v>
      </c>
      <c r="AL121" s="6">
        <v>4380700</v>
      </c>
      <c r="AM121" s="6">
        <v>4389500</v>
      </c>
      <c r="AN121" s="6">
        <v>4590950</v>
      </c>
      <c r="AO121" s="6">
        <v>4694350</v>
      </c>
      <c r="AP121" s="6">
        <v>5249150</v>
      </c>
      <c r="AQ121" s="6">
        <v>5035800</v>
      </c>
      <c r="AR121" s="6">
        <v>5181300</v>
      </c>
      <c r="AS121" s="6">
        <v>4670450</v>
      </c>
      <c r="AT121" s="6">
        <v>4489800</v>
      </c>
      <c r="AU121" s="6">
        <v>5097400</v>
      </c>
      <c r="AV121" s="6">
        <v>4559350</v>
      </c>
      <c r="AW121" s="6">
        <v>5997250</v>
      </c>
      <c r="AX121" s="6">
        <v>5963650</v>
      </c>
      <c r="AY121" s="6">
        <v>5563050</v>
      </c>
      <c r="AZ121" s="6">
        <v>5310200</v>
      </c>
      <c r="BA121" s="6">
        <v>5028800</v>
      </c>
      <c r="BB121" s="6">
        <v>6626250</v>
      </c>
      <c r="BC121" s="6">
        <v>5492090</v>
      </c>
      <c r="BD121" s="6">
        <v>5649750</v>
      </c>
      <c r="BE121" s="6">
        <v>5436650</v>
      </c>
      <c r="BF121" s="6">
        <v>4735100</v>
      </c>
      <c r="BG121" s="6">
        <v>6435900</v>
      </c>
      <c r="BH121" s="6">
        <v>5555900</v>
      </c>
      <c r="BI121" s="6">
        <v>7494250</v>
      </c>
    </row>
    <row r="122" spans="1:61" x14ac:dyDescent="0.4">
      <c r="A122" t="s">
        <v>125</v>
      </c>
      <c r="AH122" s="6"/>
      <c r="AI122" s="6">
        <v>434540</v>
      </c>
      <c r="AJ122" s="6">
        <v>926370</v>
      </c>
      <c r="AK122" s="6">
        <v>1039050</v>
      </c>
      <c r="AL122" s="6">
        <v>1145850</v>
      </c>
      <c r="AM122" s="6">
        <v>1259500</v>
      </c>
      <c r="AN122" s="6">
        <v>1131150</v>
      </c>
      <c r="AO122" s="6">
        <v>1177300</v>
      </c>
      <c r="AP122" s="6">
        <v>1584300</v>
      </c>
      <c r="AQ122" s="6">
        <v>1503800</v>
      </c>
      <c r="AR122" s="6">
        <v>1845200</v>
      </c>
      <c r="AS122" s="6">
        <v>1555350</v>
      </c>
      <c r="AT122" s="6">
        <v>1393550</v>
      </c>
      <c r="AU122" s="6">
        <v>1665300</v>
      </c>
      <c r="AV122" s="6">
        <v>1629900</v>
      </c>
      <c r="AW122" s="6">
        <v>1802100</v>
      </c>
      <c r="AX122" s="6">
        <v>1679450</v>
      </c>
      <c r="AY122" s="6">
        <v>1567550</v>
      </c>
      <c r="AZ122" s="6">
        <v>1416750</v>
      </c>
      <c r="BA122" s="6">
        <v>1132900</v>
      </c>
      <c r="BB122" s="6">
        <v>1966200</v>
      </c>
      <c r="BC122" s="6">
        <v>1744250</v>
      </c>
      <c r="BD122" s="6">
        <v>1668900</v>
      </c>
      <c r="BE122" s="6">
        <v>1890350</v>
      </c>
      <c r="BF122" s="6">
        <v>1645100</v>
      </c>
      <c r="BG122" s="6">
        <v>1523950</v>
      </c>
      <c r="BH122" s="6">
        <v>1751550</v>
      </c>
      <c r="BI122" s="6">
        <v>2217350</v>
      </c>
    </row>
    <row r="123" spans="1:61" x14ac:dyDescent="0.4">
      <c r="A123" t="s">
        <v>126</v>
      </c>
      <c r="AH123" s="6"/>
      <c r="AI123" s="6">
        <v>1986230</v>
      </c>
      <c r="AJ123" s="6">
        <v>3131550</v>
      </c>
      <c r="AK123" s="6">
        <v>3252210</v>
      </c>
      <c r="AL123" s="6">
        <v>3827870</v>
      </c>
      <c r="AM123" s="6">
        <v>4431570</v>
      </c>
      <c r="AN123" s="6">
        <v>4232100</v>
      </c>
      <c r="AO123" s="6">
        <v>4301420</v>
      </c>
      <c r="AP123" s="6">
        <v>4903570</v>
      </c>
      <c r="AQ123" s="6">
        <v>5043360</v>
      </c>
      <c r="AR123" s="6">
        <v>4721030</v>
      </c>
      <c r="AS123" s="6">
        <v>3927160</v>
      </c>
      <c r="AT123" s="6">
        <v>3877530</v>
      </c>
      <c r="AU123" s="6">
        <v>4229670</v>
      </c>
      <c r="AV123" s="6">
        <v>4178700</v>
      </c>
      <c r="AW123" s="6">
        <v>4911430</v>
      </c>
      <c r="AX123" s="6">
        <v>5146000</v>
      </c>
      <c r="AY123" s="6">
        <v>4311910</v>
      </c>
      <c r="AZ123" s="6">
        <v>4047100</v>
      </c>
      <c r="BA123" s="6">
        <v>4082620</v>
      </c>
      <c r="BB123" s="6">
        <v>4309490</v>
      </c>
      <c r="BC123" s="6">
        <v>4632130</v>
      </c>
      <c r="BD123" s="6">
        <v>4096060</v>
      </c>
      <c r="BE123" s="6">
        <v>3804120</v>
      </c>
      <c r="BF123" s="6">
        <v>3813030</v>
      </c>
      <c r="BG123" s="6">
        <v>4635650</v>
      </c>
      <c r="BH123" s="6">
        <v>4859850</v>
      </c>
      <c r="BI123" s="6">
        <v>5138770</v>
      </c>
    </row>
    <row r="124" spans="1:61" x14ac:dyDescent="0.4">
      <c r="A124" t="s">
        <v>127</v>
      </c>
      <c r="AH124" s="6"/>
      <c r="AI124" s="6"/>
      <c r="AJ124" s="6">
        <v>3916720</v>
      </c>
      <c r="AK124" s="6">
        <v>5311290</v>
      </c>
      <c r="AL124" s="6">
        <v>6530910</v>
      </c>
      <c r="AM124" s="6">
        <v>8423910</v>
      </c>
      <c r="AN124" s="6">
        <v>7821630</v>
      </c>
      <c r="AO124" s="6">
        <v>7451070</v>
      </c>
      <c r="AP124" s="6">
        <v>7349780</v>
      </c>
      <c r="AQ124" s="6">
        <v>3415100</v>
      </c>
      <c r="AR124" s="6">
        <v>3435360</v>
      </c>
      <c r="AS124" s="6">
        <v>3742040</v>
      </c>
      <c r="AT124" s="6">
        <v>3747660</v>
      </c>
      <c r="AU124" s="6">
        <v>4995570</v>
      </c>
      <c r="AV124" s="6">
        <v>4574280</v>
      </c>
      <c r="AW124" s="6">
        <v>5347500</v>
      </c>
      <c r="AX124" s="6">
        <v>4975460</v>
      </c>
      <c r="AY124" s="6">
        <v>5098600</v>
      </c>
      <c r="AZ124" s="6">
        <v>4826620</v>
      </c>
      <c r="BA124" s="6">
        <v>4635250</v>
      </c>
      <c r="BB124" s="6">
        <v>5307930</v>
      </c>
      <c r="BC124" s="6">
        <v>5370700</v>
      </c>
      <c r="BD124" s="6">
        <v>4983010</v>
      </c>
      <c r="BE124" s="6">
        <v>5198910</v>
      </c>
      <c r="BF124" s="6">
        <v>4377360</v>
      </c>
      <c r="BG124" s="6">
        <v>4801260</v>
      </c>
      <c r="BH124" s="6">
        <v>5450630</v>
      </c>
      <c r="BI124" s="6">
        <v>6003830</v>
      </c>
    </row>
    <row r="125" spans="1:61" x14ac:dyDescent="0.4">
      <c r="A125" t="s">
        <v>128</v>
      </c>
      <c r="AI125" s="6"/>
      <c r="AJ125" s="6">
        <v>2456960</v>
      </c>
      <c r="AK125" s="6">
        <v>3066370</v>
      </c>
      <c r="AL125" s="6">
        <v>3485440</v>
      </c>
      <c r="AM125" s="6">
        <v>3569600</v>
      </c>
      <c r="AN125" s="6">
        <v>3258150</v>
      </c>
      <c r="AO125" s="6">
        <v>3539650</v>
      </c>
      <c r="AP125" s="6">
        <v>3270250</v>
      </c>
      <c r="AQ125" s="6">
        <v>3586600</v>
      </c>
      <c r="AR125" s="6">
        <v>3696300</v>
      </c>
      <c r="AS125" s="6">
        <v>3674900</v>
      </c>
      <c r="AT125" s="6">
        <v>3081350</v>
      </c>
      <c r="AU125" s="6">
        <v>3840100</v>
      </c>
      <c r="AV125" s="6">
        <v>3753760</v>
      </c>
      <c r="AW125" s="6">
        <v>4196960</v>
      </c>
      <c r="AX125" s="6">
        <v>4293700</v>
      </c>
      <c r="AY125" s="6">
        <v>4182800</v>
      </c>
      <c r="AZ125" s="6">
        <v>4413800</v>
      </c>
      <c r="BA125" s="6">
        <v>4062700</v>
      </c>
      <c r="BB125" s="6">
        <v>5019100</v>
      </c>
      <c r="BC125" s="6">
        <v>4846650</v>
      </c>
      <c r="BD125" s="6">
        <v>4624450</v>
      </c>
      <c r="BE125" s="6">
        <v>4459000</v>
      </c>
      <c r="BF125" s="6">
        <v>4440350</v>
      </c>
      <c r="BG125" s="6">
        <v>4629550</v>
      </c>
      <c r="BH125" s="6">
        <v>4663350</v>
      </c>
      <c r="BI125" s="6">
        <v>5719150</v>
      </c>
    </row>
    <row r="126" spans="1:61" x14ac:dyDescent="0.4">
      <c r="A126" t="s">
        <v>129</v>
      </c>
      <c r="AI126" s="6"/>
      <c r="AJ126" s="6"/>
      <c r="AK126" s="6">
        <v>640940</v>
      </c>
      <c r="AL126" s="6">
        <v>2836540</v>
      </c>
      <c r="AM126" s="6">
        <v>3194790</v>
      </c>
      <c r="AN126" s="6">
        <v>3210400</v>
      </c>
      <c r="AO126" s="6">
        <v>3193380</v>
      </c>
      <c r="AP126" s="6">
        <v>3387260</v>
      </c>
      <c r="AQ126" s="6">
        <v>3106630</v>
      </c>
      <c r="AR126" s="6">
        <v>3783750</v>
      </c>
      <c r="AS126" s="6">
        <v>3771630</v>
      </c>
      <c r="AT126" s="6">
        <v>3280960</v>
      </c>
      <c r="AU126" s="6">
        <v>3678680</v>
      </c>
      <c r="AV126" s="6">
        <v>3784410</v>
      </c>
      <c r="AW126" s="6">
        <v>4392020</v>
      </c>
      <c r="AX126" s="6">
        <v>4314560</v>
      </c>
      <c r="AY126" s="6">
        <v>4233920</v>
      </c>
      <c r="AZ126" s="6">
        <v>4487040</v>
      </c>
      <c r="BA126" s="6">
        <v>4128740</v>
      </c>
      <c r="BB126" s="6">
        <v>5938900</v>
      </c>
      <c r="BC126" s="6">
        <v>4989830</v>
      </c>
      <c r="BD126" s="6">
        <v>4600580</v>
      </c>
      <c r="BE126" s="6">
        <v>4430940</v>
      </c>
      <c r="BF126" s="6">
        <v>4146720</v>
      </c>
      <c r="BG126" s="6">
        <v>4468860</v>
      </c>
      <c r="BH126" s="6">
        <v>4872890</v>
      </c>
      <c r="BI126" s="6">
        <v>5408720</v>
      </c>
    </row>
    <row r="127" spans="1:61" x14ac:dyDescent="0.4">
      <c r="A127" t="s">
        <v>130</v>
      </c>
      <c r="AJ127" s="6"/>
      <c r="AK127" s="6">
        <v>407550</v>
      </c>
      <c r="AL127" s="6">
        <v>2359200</v>
      </c>
      <c r="AM127" s="6">
        <v>3086170</v>
      </c>
      <c r="AN127" s="6">
        <v>3059050</v>
      </c>
      <c r="AO127" s="6">
        <v>3404650</v>
      </c>
      <c r="AP127" s="6">
        <v>3925500</v>
      </c>
      <c r="AQ127" s="6">
        <v>3666500</v>
      </c>
      <c r="AR127" s="6">
        <v>3782500</v>
      </c>
      <c r="AS127" s="6">
        <v>3641700</v>
      </c>
      <c r="AT127" s="6">
        <v>3505950</v>
      </c>
      <c r="AU127" s="6">
        <v>4279950</v>
      </c>
      <c r="AV127" s="6">
        <v>4059250</v>
      </c>
      <c r="AW127" s="6">
        <v>4734150</v>
      </c>
      <c r="AX127" s="6">
        <v>4105100</v>
      </c>
      <c r="AY127" s="6">
        <v>3549950</v>
      </c>
      <c r="AZ127" s="6">
        <v>3698900</v>
      </c>
      <c r="BA127" s="6">
        <v>3047900</v>
      </c>
      <c r="BB127" s="6">
        <v>3714500</v>
      </c>
      <c r="BC127" s="6">
        <v>3541450</v>
      </c>
      <c r="BD127" s="6">
        <v>3392650</v>
      </c>
      <c r="BE127" s="6">
        <v>3240800</v>
      </c>
      <c r="BF127" s="6">
        <v>3040200</v>
      </c>
      <c r="BG127" s="6">
        <v>3332150</v>
      </c>
      <c r="BH127" s="6">
        <v>3240650</v>
      </c>
      <c r="BI127" s="6">
        <v>3876900</v>
      </c>
    </row>
    <row r="128" spans="1:61" x14ac:dyDescent="0.4">
      <c r="A128" t="s">
        <v>131</v>
      </c>
      <c r="AJ128" s="6"/>
      <c r="AK128" s="6"/>
      <c r="AL128" s="6">
        <v>827440</v>
      </c>
      <c r="AM128" s="6">
        <v>5650090</v>
      </c>
      <c r="AN128" s="6">
        <v>6486940</v>
      </c>
      <c r="AO128" s="6">
        <v>7672200</v>
      </c>
      <c r="AP128" s="6">
        <v>8367310</v>
      </c>
      <c r="AQ128" s="6">
        <v>7899470</v>
      </c>
      <c r="AR128" s="6">
        <v>7250890</v>
      </c>
      <c r="AS128" s="6">
        <v>6117110</v>
      </c>
      <c r="AT128" s="6">
        <v>7406360</v>
      </c>
      <c r="AU128" s="6">
        <v>8555420</v>
      </c>
      <c r="AV128" s="6">
        <v>7543960</v>
      </c>
      <c r="AW128" s="6">
        <v>8723170</v>
      </c>
      <c r="AX128" s="6">
        <v>8166970</v>
      </c>
      <c r="AY128" s="6">
        <v>7058800</v>
      </c>
      <c r="AZ128" s="6">
        <v>7319030</v>
      </c>
      <c r="BA128" s="6">
        <v>8017290</v>
      </c>
      <c r="BB128" s="6">
        <v>9271320</v>
      </c>
      <c r="BC128" s="6">
        <v>8198570</v>
      </c>
      <c r="BD128" s="6">
        <v>7753630</v>
      </c>
      <c r="BE128" s="6">
        <v>5735730</v>
      </c>
      <c r="BF128" s="6">
        <v>7246270</v>
      </c>
      <c r="BG128" s="6">
        <v>8089910</v>
      </c>
      <c r="BH128" s="6">
        <v>8272990</v>
      </c>
      <c r="BI128" s="6">
        <v>9821480</v>
      </c>
    </row>
    <row r="129" spans="1:61" x14ac:dyDescent="0.4">
      <c r="A129" t="s">
        <v>132</v>
      </c>
      <c r="AK129" s="6"/>
      <c r="AL129" s="6"/>
      <c r="AM129" s="6">
        <v>3077310</v>
      </c>
      <c r="AN129" s="6">
        <v>2750840</v>
      </c>
      <c r="AO129" s="6">
        <v>3071780</v>
      </c>
      <c r="AP129" s="6">
        <v>3657450</v>
      </c>
      <c r="AQ129" s="6">
        <v>3540350</v>
      </c>
      <c r="AR129" s="6">
        <v>3806250</v>
      </c>
      <c r="AS129" s="6">
        <v>3604700</v>
      </c>
      <c r="AT129" s="6">
        <v>3400450</v>
      </c>
      <c r="AU129" s="6">
        <v>4330750</v>
      </c>
      <c r="AV129" s="6">
        <v>4359050</v>
      </c>
      <c r="AW129" s="6">
        <v>4741550</v>
      </c>
      <c r="AX129" s="6">
        <v>5639550</v>
      </c>
      <c r="AY129" s="6">
        <v>4833600</v>
      </c>
      <c r="AZ129" s="6">
        <v>5107850</v>
      </c>
      <c r="BA129" s="6">
        <v>5056300</v>
      </c>
      <c r="BB129" s="6">
        <v>6545950</v>
      </c>
      <c r="BC129" s="6">
        <v>5627850</v>
      </c>
      <c r="BD129" s="6">
        <v>4885250</v>
      </c>
      <c r="BE129" s="6">
        <v>4850750</v>
      </c>
      <c r="BF129" s="6">
        <v>5402850</v>
      </c>
      <c r="BG129" s="6">
        <v>5641050</v>
      </c>
      <c r="BH129" s="6">
        <v>5696800</v>
      </c>
      <c r="BI129" s="6">
        <v>6653050</v>
      </c>
    </row>
    <row r="130" spans="1:61" x14ac:dyDescent="0.4">
      <c r="A130" t="s">
        <v>133</v>
      </c>
      <c r="AL130" s="6"/>
      <c r="AM130" s="6">
        <v>282670</v>
      </c>
      <c r="AN130" s="6">
        <v>1563580</v>
      </c>
      <c r="AO130" s="6">
        <v>1621080</v>
      </c>
      <c r="AP130" s="6">
        <v>1759200</v>
      </c>
      <c r="AQ130" s="6">
        <v>1745020</v>
      </c>
      <c r="AR130" s="6">
        <v>1624020</v>
      </c>
      <c r="AS130" s="6">
        <v>1658570</v>
      </c>
      <c r="AT130" s="6">
        <v>1477250</v>
      </c>
      <c r="AU130" s="6">
        <v>1429200</v>
      </c>
      <c r="AV130" s="6">
        <v>1702950</v>
      </c>
      <c r="AW130" s="6">
        <v>2054000</v>
      </c>
      <c r="AX130" s="6">
        <v>2077550</v>
      </c>
      <c r="AY130" s="6">
        <v>1589300</v>
      </c>
      <c r="AZ130" s="6">
        <v>1597050</v>
      </c>
      <c r="BA130" s="6">
        <v>1401150</v>
      </c>
      <c r="BB130" s="6">
        <v>2191700</v>
      </c>
      <c r="BC130" s="6">
        <v>1452350</v>
      </c>
      <c r="BD130" s="6">
        <v>1431050</v>
      </c>
      <c r="BE130" s="6">
        <v>1367500</v>
      </c>
      <c r="BF130" s="6">
        <v>1561150</v>
      </c>
      <c r="BG130" s="6">
        <v>1847350</v>
      </c>
      <c r="BH130" s="6">
        <v>1939200</v>
      </c>
      <c r="BI130" s="6">
        <v>315800</v>
      </c>
    </row>
    <row r="131" spans="1:61" x14ac:dyDescent="0.4">
      <c r="A131" t="s">
        <v>134</v>
      </c>
      <c r="AL131" s="6"/>
      <c r="AM131" s="6"/>
      <c r="AN131" s="6">
        <v>2559070</v>
      </c>
      <c r="AO131" s="6">
        <v>3429000</v>
      </c>
      <c r="AP131" s="6">
        <v>4218300</v>
      </c>
      <c r="AQ131" s="6">
        <v>3890100</v>
      </c>
      <c r="AR131" s="6">
        <v>4206200</v>
      </c>
      <c r="AS131" s="6">
        <v>3730100</v>
      </c>
      <c r="AT131" s="6">
        <v>3287900</v>
      </c>
      <c r="AU131" s="6">
        <v>4748300</v>
      </c>
      <c r="AV131" s="6">
        <v>4119600</v>
      </c>
      <c r="AW131" s="6">
        <v>5690300</v>
      </c>
      <c r="AX131" s="6">
        <v>5335700</v>
      </c>
      <c r="AY131" s="6">
        <v>4934900</v>
      </c>
      <c r="AZ131" s="6">
        <v>4603800</v>
      </c>
      <c r="BA131" s="6">
        <v>4557000</v>
      </c>
      <c r="BB131" s="6">
        <v>5044400</v>
      </c>
      <c r="BC131" s="6">
        <v>4735900</v>
      </c>
      <c r="BD131" s="6">
        <v>4814200</v>
      </c>
      <c r="BE131" s="6">
        <v>3778000</v>
      </c>
      <c r="BF131" s="6">
        <v>3623900</v>
      </c>
      <c r="BG131" s="6">
        <v>4207400</v>
      </c>
      <c r="BH131" s="6">
        <v>3896000</v>
      </c>
      <c r="BI131" s="6">
        <v>4520300</v>
      </c>
    </row>
    <row r="132" spans="1:61" x14ac:dyDescent="0.4">
      <c r="A132" t="s">
        <v>135</v>
      </c>
      <c r="AM132" s="6"/>
      <c r="AN132" s="6">
        <v>598320</v>
      </c>
      <c r="AO132" s="6">
        <v>4946480</v>
      </c>
      <c r="AP132" s="6">
        <v>6529750</v>
      </c>
      <c r="AQ132" s="6">
        <v>7116810</v>
      </c>
      <c r="AR132" s="6">
        <v>7012310</v>
      </c>
      <c r="AS132" s="6">
        <v>7045880</v>
      </c>
      <c r="AT132" s="6">
        <v>6696550</v>
      </c>
      <c r="AU132" s="6">
        <v>7185170</v>
      </c>
      <c r="AV132" s="6">
        <v>7319320</v>
      </c>
      <c r="AW132" s="6">
        <v>8380770</v>
      </c>
      <c r="AX132" s="6">
        <v>7838910</v>
      </c>
      <c r="AY132" s="6">
        <v>7433310</v>
      </c>
      <c r="AZ132" s="6">
        <v>8048050</v>
      </c>
      <c r="BA132" s="6">
        <v>7351320</v>
      </c>
      <c r="BB132" s="6">
        <v>8842550</v>
      </c>
      <c r="BC132" s="6">
        <v>8065670</v>
      </c>
      <c r="BD132" s="6">
        <v>7402330</v>
      </c>
      <c r="BE132" s="6">
        <v>6737190</v>
      </c>
      <c r="BF132" s="6">
        <v>6756850</v>
      </c>
      <c r="BG132" s="6">
        <v>7943550</v>
      </c>
      <c r="BH132" s="6">
        <v>8421140</v>
      </c>
      <c r="BI132" s="6">
        <v>9245690</v>
      </c>
    </row>
    <row r="133" spans="1:61" x14ac:dyDescent="0.4">
      <c r="A133" t="s">
        <v>136</v>
      </c>
      <c r="AM133" s="6"/>
      <c r="AN133" s="6">
        <v>149290</v>
      </c>
      <c r="AO133" s="6">
        <v>1179940</v>
      </c>
      <c r="AP133" s="6">
        <v>1613300</v>
      </c>
      <c r="AQ133" s="6">
        <v>1546950</v>
      </c>
      <c r="AR133" s="6">
        <v>1716980</v>
      </c>
      <c r="AS133" s="6">
        <v>1777530</v>
      </c>
      <c r="AT133" s="6">
        <v>1456300</v>
      </c>
      <c r="AU133" s="6">
        <v>2147900</v>
      </c>
      <c r="AV133" s="6">
        <v>2228850</v>
      </c>
      <c r="AW133" s="6">
        <v>1978000</v>
      </c>
      <c r="AX133" s="6">
        <v>2004750</v>
      </c>
      <c r="AY133" s="6">
        <v>2204100</v>
      </c>
      <c r="AZ133" s="6">
        <v>2447000</v>
      </c>
      <c r="BA133" s="6">
        <v>2326300</v>
      </c>
      <c r="BB133" s="6">
        <v>3029100</v>
      </c>
      <c r="BC133" s="6">
        <v>2706850</v>
      </c>
      <c r="BD133" s="6">
        <v>2882150</v>
      </c>
      <c r="BE133" s="6">
        <v>2502850</v>
      </c>
      <c r="BF133" s="6">
        <v>2264200</v>
      </c>
      <c r="BG133" s="6">
        <v>2535400</v>
      </c>
      <c r="BH133" s="6">
        <v>3103850</v>
      </c>
      <c r="BI133" s="6">
        <v>4382150</v>
      </c>
    </row>
    <row r="134" spans="1:61" x14ac:dyDescent="0.4">
      <c r="A134" t="s">
        <v>137</v>
      </c>
      <c r="AM134" s="6"/>
      <c r="AN134" s="6"/>
      <c r="AO134" s="6">
        <v>1939200</v>
      </c>
      <c r="AP134" s="6">
        <v>3482620</v>
      </c>
      <c r="AQ134" s="6">
        <v>3460850</v>
      </c>
      <c r="AR134" s="6">
        <v>3747200</v>
      </c>
      <c r="AS134" s="6">
        <v>3614100</v>
      </c>
      <c r="AT134" s="6">
        <v>3116770</v>
      </c>
      <c r="AU134" s="6">
        <v>4335390</v>
      </c>
      <c r="AV134" s="6">
        <v>3928530</v>
      </c>
      <c r="AW134" s="6">
        <v>5070590</v>
      </c>
      <c r="AX134" s="6">
        <v>5106860</v>
      </c>
      <c r="AY134" s="6">
        <v>4728600</v>
      </c>
      <c r="AZ134" s="6">
        <v>4814030</v>
      </c>
      <c r="BA134" s="6">
        <v>4366930</v>
      </c>
      <c r="BB134" s="6">
        <v>5533150</v>
      </c>
      <c r="BC134" s="6">
        <v>4313220</v>
      </c>
      <c r="BD134" s="6">
        <v>4968190</v>
      </c>
      <c r="BE134" s="6">
        <v>5120750</v>
      </c>
      <c r="BF134" s="6">
        <v>3930030</v>
      </c>
      <c r="BG134" s="6">
        <v>4212190</v>
      </c>
      <c r="BH134" s="6">
        <v>5034150</v>
      </c>
      <c r="BI134" s="6">
        <v>6249480</v>
      </c>
    </row>
    <row r="135" spans="1:61" x14ac:dyDescent="0.4">
      <c r="A135" t="s">
        <v>138</v>
      </c>
      <c r="AN135" s="6"/>
      <c r="AO135" s="6">
        <v>2597070</v>
      </c>
      <c r="AP135" s="6">
        <v>3821480</v>
      </c>
      <c r="AQ135" s="6">
        <v>4037610</v>
      </c>
      <c r="AR135" s="6">
        <v>4612920</v>
      </c>
      <c r="AS135" s="6">
        <v>5082490</v>
      </c>
      <c r="AT135" s="6">
        <v>3707660</v>
      </c>
      <c r="AU135" s="6">
        <v>4625260</v>
      </c>
      <c r="AV135" s="6">
        <v>4654700</v>
      </c>
      <c r="AW135" s="6">
        <v>5648970</v>
      </c>
      <c r="AX135" s="6">
        <v>5225440</v>
      </c>
      <c r="AY135" s="6">
        <v>4550670</v>
      </c>
      <c r="AZ135" s="6">
        <v>4757970</v>
      </c>
      <c r="BA135" s="6">
        <v>3811290</v>
      </c>
      <c r="BB135" s="6">
        <v>5728620</v>
      </c>
      <c r="BC135" s="6">
        <v>4699950</v>
      </c>
      <c r="BD135" s="6">
        <v>4657220</v>
      </c>
      <c r="BE135" s="6">
        <v>4680170</v>
      </c>
      <c r="BF135" s="6">
        <v>4470200</v>
      </c>
      <c r="BG135" s="6">
        <v>4842840</v>
      </c>
      <c r="BH135" s="6">
        <v>4441990</v>
      </c>
      <c r="BI135" s="6">
        <v>4804880</v>
      </c>
    </row>
    <row r="136" spans="1:61" x14ac:dyDescent="0.4">
      <c r="A136" t="s">
        <v>139</v>
      </c>
      <c r="AN136" s="6"/>
      <c r="AO136" s="6"/>
      <c r="AP136" s="6">
        <v>3757050</v>
      </c>
      <c r="AQ136" s="6">
        <v>3818110</v>
      </c>
      <c r="AR136" s="6">
        <v>4712200</v>
      </c>
      <c r="AS136" s="6">
        <v>4291450</v>
      </c>
      <c r="AT136" s="6">
        <v>4101950</v>
      </c>
      <c r="AU136" s="6">
        <v>5039550</v>
      </c>
      <c r="AV136" s="6">
        <v>4721800</v>
      </c>
      <c r="AW136" s="6">
        <v>6271550</v>
      </c>
      <c r="AX136" s="6">
        <v>5605500</v>
      </c>
      <c r="AY136" s="6">
        <v>5038350</v>
      </c>
      <c r="AZ136" s="6">
        <v>4879150</v>
      </c>
      <c r="BA136" s="6">
        <v>5020750</v>
      </c>
      <c r="BB136" s="6">
        <v>6582050</v>
      </c>
      <c r="BC136" s="6">
        <v>5621450</v>
      </c>
      <c r="BD136" s="6">
        <v>5080400</v>
      </c>
      <c r="BE136" s="6">
        <v>5525600</v>
      </c>
      <c r="BF136" s="6">
        <v>4732150</v>
      </c>
      <c r="BG136" s="6">
        <v>5647600</v>
      </c>
      <c r="BH136" s="6">
        <v>5583900</v>
      </c>
      <c r="BI136" s="6">
        <v>6866550</v>
      </c>
    </row>
    <row r="137" spans="1:61" x14ac:dyDescent="0.4">
      <c r="A137" t="s">
        <v>140</v>
      </c>
      <c r="AO137" s="6"/>
      <c r="AP137" s="6">
        <v>356550</v>
      </c>
      <c r="AQ137" s="6">
        <v>1904630</v>
      </c>
      <c r="AR137" s="6">
        <v>2321850</v>
      </c>
      <c r="AS137" s="6">
        <v>2782800</v>
      </c>
      <c r="AT137" s="6">
        <v>2474380</v>
      </c>
      <c r="AU137" s="6">
        <v>2796540</v>
      </c>
      <c r="AV137" s="6">
        <v>2922250</v>
      </c>
      <c r="AW137" s="6">
        <v>3340400</v>
      </c>
      <c r="AX137" s="6">
        <v>3042700</v>
      </c>
      <c r="AY137" s="6">
        <v>3109000</v>
      </c>
      <c r="AZ137" s="6">
        <v>3059300</v>
      </c>
      <c r="BA137" s="6">
        <v>3102200</v>
      </c>
      <c r="BB137" s="6">
        <v>4093200</v>
      </c>
      <c r="BC137" s="6">
        <v>3494300</v>
      </c>
      <c r="BD137" s="6">
        <v>3468800</v>
      </c>
      <c r="BE137" s="6">
        <v>3044500</v>
      </c>
      <c r="BF137" s="6">
        <v>3340000</v>
      </c>
      <c r="BG137" s="6">
        <v>3492800</v>
      </c>
      <c r="BH137" s="6">
        <v>4162300</v>
      </c>
      <c r="BI137" s="6">
        <v>4485300</v>
      </c>
    </row>
    <row r="138" spans="1:61" x14ac:dyDescent="0.4">
      <c r="A138" t="s">
        <v>141</v>
      </c>
      <c r="AO138" s="6"/>
      <c r="AP138" s="6"/>
      <c r="AQ138" s="6">
        <v>1136830</v>
      </c>
      <c r="AR138" s="6">
        <v>2394780</v>
      </c>
      <c r="AS138" s="6">
        <v>2829680</v>
      </c>
      <c r="AT138" s="6">
        <v>2683750</v>
      </c>
      <c r="AU138" s="6">
        <v>3669390</v>
      </c>
      <c r="AV138" s="6">
        <v>3125510</v>
      </c>
      <c r="AW138" s="6">
        <v>4176720</v>
      </c>
      <c r="AX138" s="6">
        <v>4287350</v>
      </c>
      <c r="AY138" s="6">
        <v>4218270</v>
      </c>
      <c r="AZ138" s="6">
        <v>4325760</v>
      </c>
      <c r="BA138" s="6">
        <v>4121020</v>
      </c>
      <c r="BB138" s="6">
        <v>4901340</v>
      </c>
      <c r="BC138" s="6">
        <v>4236200</v>
      </c>
      <c r="BD138" s="6">
        <v>4570560</v>
      </c>
      <c r="BE138" s="6">
        <v>4144360</v>
      </c>
      <c r="BF138" s="6">
        <v>4136310</v>
      </c>
      <c r="BG138" s="6">
        <v>4380660</v>
      </c>
      <c r="BH138" s="6">
        <v>4758520</v>
      </c>
      <c r="BI138" s="6">
        <v>5699240</v>
      </c>
    </row>
    <row r="139" spans="1:61" x14ac:dyDescent="0.4">
      <c r="A139" t="s">
        <v>142</v>
      </c>
      <c r="AP139" s="6"/>
      <c r="AQ139" s="6"/>
      <c r="AR139" s="6">
        <v>493170</v>
      </c>
      <c r="AS139" s="6">
        <v>2887790</v>
      </c>
      <c r="AT139" s="6">
        <v>2505810</v>
      </c>
      <c r="AU139" s="6">
        <v>3205900</v>
      </c>
      <c r="AV139" s="6">
        <v>3363700</v>
      </c>
      <c r="AW139" s="6">
        <v>4352000</v>
      </c>
      <c r="AX139" s="6">
        <v>3267750</v>
      </c>
      <c r="AY139" s="6">
        <v>3730600</v>
      </c>
      <c r="AZ139" s="6">
        <v>3910650</v>
      </c>
      <c r="BA139" s="6">
        <v>3599850</v>
      </c>
      <c r="BB139" s="6">
        <v>5112950</v>
      </c>
      <c r="BC139" s="6">
        <v>4373900</v>
      </c>
      <c r="BD139" s="6">
        <v>4425350</v>
      </c>
      <c r="BE139" s="6">
        <v>4258250</v>
      </c>
      <c r="BF139" s="6">
        <v>3884150</v>
      </c>
      <c r="BG139" s="6">
        <v>3758700</v>
      </c>
      <c r="BH139" s="6">
        <v>4091350</v>
      </c>
      <c r="BI139" s="6">
        <v>4721200</v>
      </c>
    </row>
    <row r="140" spans="1:61" x14ac:dyDescent="0.4">
      <c r="A140" t="s">
        <v>143</v>
      </c>
      <c r="AQ140" s="6"/>
      <c r="AR140" s="6"/>
      <c r="AS140" s="6">
        <v>4253080</v>
      </c>
      <c r="AT140" s="6">
        <v>3962260</v>
      </c>
      <c r="AU140" s="6">
        <v>5678620</v>
      </c>
      <c r="AV140" s="6">
        <v>5481490</v>
      </c>
      <c r="AW140" s="6">
        <v>6204460</v>
      </c>
      <c r="AX140" s="6">
        <v>6167840</v>
      </c>
      <c r="AY140" s="6">
        <v>5785240</v>
      </c>
      <c r="AZ140" s="6">
        <v>6340450</v>
      </c>
      <c r="BA140" s="6">
        <v>5760710</v>
      </c>
      <c r="BB140" s="6">
        <v>7374840</v>
      </c>
      <c r="BC140" s="6">
        <v>6609640</v>
      </c>
      <c r="BD140" s="6">
        <v>6251140</v>
      </c>
      <c r="BE140" s="6">
        <v>6214380</v>
      </c>
      <c r="BF140" s="6">
        <v>6470910</v>
      </c>
      <c r="BG140" s="6">
        <v>7227090</v>
      </c>
      <c r="BH140" s="6">
        <v>7394650</v>
      </c>
      <c r="BI140" s="6">
        <v>7756830</v>
      </c>
    </row>
    <row r="141" spans="1:61" x14ac:dyDescent="0.4">
      <c r="A141" t="s">
        <v>144</v>
      </c>
      <c r="AR141" s="6"/>
      <c r="AS141" s="6"/>
      <c r="AT141" s="6"/>
      <c r="AU141" s="6"/>
      <c r="AV141" s="6">
        <v>2762850</v>
      </c>
      <c r="AW141" s="6">
        <v>4238910</v>
      </c>
      <c r="AX141" s="6">
        <v>6125780</v>
      </c>
      <c r="AY141" s="6">
        <v>6340450</v>
      </c>
      <c r="AZ141" s="6">
        <v>6613150</v>
      </c>
      <c r="BA141" s="6">
        <v>6293150</v>
      </c>
      <c r="BB141" s="6">
        <v>8291150</v>
      </c>
      <c r="BC141" s="6">
        <v>7486450</v>
      </c>
      <c r="BD141" s="6">
        <v>7453050</v>
      </c>
      <c r="BE141" s="6">
        <v>7132700</v>
      </c>
      <c r="BF141" s="6">
        <v>6154650</v>
      </c>
      <c r="BG141" s="6">
        <v>8033950</v>
      </c>
      <c r="BH141" s="6">
        <v>8963500</v>
      </c>
      <c r="BI141" s="6">
        <v>8859750</v>
      </c>
    </row>
    <row r="142" spans="1:61" x14ac:dyDescent="0.4">
      <c r="A142" t="s">
        <v>145</v>
      </c>
      <c r="AU142" s="6"/>
      <c r="AV142" s="6"/>
      <c r="AW142" s="6"/>
      <c r="AX142" s="6"/>
      <c r="AY142" s="6">
        <v>837400</v>
      </c>
      <c r="AZ142" s="6">
        <v>2580200</v>
      </c>
      <c r="BA142" s="6">
        <v>2536320</v>
      </c>
      <c r="BB142" s="6">
        <v>3969400</v>
      </c>
      <c r="BC142" s="6">
        <v>3128000</v>
      </c>
      <c r="BD142" s="6">
        <v>3225200</v>
      </c>
      <c r="BE142" s="6">
        <v>3105400</v>
      </c>
      <c r="BF142" s="6">
        <v>3500600</v>
      </c>
      <c r="BG142" s="6">
        <v>3379400</v>
      </c>
      <c r="BH142" s="6">
        <v>3524500</v>
      </c>
      <c r="BI142" s="6">
        <v>4211700</v>
      </c>
    </row>
    <row r="143" spans="1:61" x14ac:dyDescent="0.4">
      <c r="A143" t="s">
        <v>147</v>
      </c>
      <c r="AX143" s="6"/>
      <c r="AY143" s="6"/>
      <c r="AZ143" s="6">
        <v>3079200</v>
      </c>
      <c r="BA143" s="6">
        <v>5394850</v>
      </c>
      <c r="BB143" s="6">
        <v>7855820</v>
      </c>
      <c r="BC143" s="6">
        <v>7347460</v>
      </c>
      <c r="BD143" s="6">
        <v>7091100</v>
      </c>
      <c r="BE143" s="6">
        <v>6788520</v>
      </c>
      <c r="BF143" s="6">
        <v>6383890</v>
      </c>
      <c r="BG143" s="6">
        <v>6927850</v>
      </c>
      <c r="BH143" s="6">
        <v>6750850</v>
      </c>
      <c r="BI143" s="6">
        <v>7879320</v>
      </c>
    </row>
    <row r="144" spans="1:61" x14ac:dyDescent="0.4">
      <c r="A144" t="s">
        <v>146</v>
      </c>
      <c r="AY144" s="6">
        <v>127520</v>
      </c>
      <c r="AZ144" s="6">
        <v>2666330</v>
      </c>
      <c r="BA144" s="6">
        <v>2636660</v>
      </c>
      <c r="BB144" s="6">
        <v>4681260</v>
      </c>
      <c r="BC144" s="6">
        <v>4109650</v>
      </c>
      <c r="BD144" s="6">
        <v>4660350</v>
      </c>
      <c r="BE144" s="6">
        <v>3780260</v>
      </c>
      <c r="BF144" s="6">
        <v>4307290</v>
      </c>
      <c r="BG144" s="6">
        <v>4828410</v>
      </c>
      <c r="BH144" s="6">
        <v>4506590</v>
      </c>
      <c r="BI144" s="6">
        <v>4953950</v>
      </c>
    </row>
    <row r="145" spans="1:61" x14ac:dyDescent="0.4">
      <c r="A145" t="s">
        <v>148</v>
      </c>
      <c r="AX145" s="6"/>
      <c r="AY145" s="6"/>
      <c r="AZ145" s="6"/>
      <c r="BA145" s="6">
        <v>1583970</v>
      </c>
      <c r="BB145" s="6">
        <v>4418010</v>
      </c>
      <c r="BC145" s="6">
        <v>4411570</v>
      </c>
      <c r="BD145" s="6">
        <v>4577120</v>
      </c>
      <c r="BE145" s="6">
        <v>4317870</v>
      </c>
      <c r="BF145" s="6">
        <v>5209490</v>
      </c>
      <c r="BG145" s="6">
        <v>5886010</v>
      </c>
      <c r="BH145" s="6">
        <v>5356650</v>
      </c>
      <c r="BI145" s="6">
        <v>5459180</v>
      </c>
    </row>
    <row r="146" spans="1:61" x14ac:dyDescent="0.4">
      <c r="A146" t="s">
        <v>149</v>
      </c>
      <c r="AZ146" s="6"/>
      <c r="BA146" s="6">
        <v>1545210</v>
      </c>
      <c r="BB146" s="6">
        <v>3776500</v>
      </c>
      <c r="BC146" s="6">
        <v>3764520</v>
      </c>
      <c r="BD146" s="6">
        <v>4279410</v>
      </c>
      <c r="BE146" s="6">
        <v>4949820</v>
      </c>
      <c r="BF146" s="6">
        <v>4408830</v>
      </c>
      <c r="BG146" s="6">
        <v>4439930</v>
      </c>
      <c r="BH146" s="6">
        <v>4320530</v>
      </c>
      <c r="BI146" s="6">
        <v>5311610</v>
      </c>
    </row>
    <row r="147" spans="1:61" x14ac:dyDescent="0.4">
      <c r="A147" t="s">
        <v>150</v>
      </c>
      <c r="AZ147" s="6"/>
      <c r="BA147" s="6">
        <v>1742510</v>
      </c>
      <c r="BB147" s="6">
        <v>3823540</v>
      </c>
      <c r="BC147" s="6">
        <v>3715310</v>
      </c>
      <c r="BD147" s="6">
        <v>3621300</v>
      </c>
      <c r="BE147" s="6">
        <v>3577850</v>
      </c>
      <c r="BF147" s="6">
        <v>4022280</v>
      </c>
      <c r="BG147" s="6">
        <v>5151900</v>
      </c>
      <c r="BH147" s="6">
        <v>4914460</v>
      </c>
      <c r="BI147" s="6">
        <v>6123040</v>
      </c>
    </row>
    <row r="148" spans="1:61" x14ac:dyDescent="0.4">
      <c r="A148" t="s">
        <v>151</v>
      </c>
      <c r="AZ148" s="6"/>
      <c r="BA148" s="6"/>
      <c r="BB148" s="6">
        <v>661900</v>
      </c>
      <c r="BC148" s="6">
        <v>2320500</v>
      </c>
      <c r="BD148" s="6">
        <v>2242540</v>
      </c>
      <c r="BE148" s="6">
        <v>2477470</v>
      </c>
      <c r="BF148" s="6">
        <v>2118030</v>
      </c>
      <c r="BG148" s="6">
        <v>2451390</v>
      </c>
      <c r="BH148" s="6">
        <v>2631160</v>
      </c>
      <c r="BI148" s="6">
        <v>3355190</v>
      </c>
    </row>
    <row r="149" spans="1:61" x14ac:dyDescent="0.4">
      <c r="A149" t="s">
        <v>152</v>
      </c>
      <c r="BA149" s="6"/>
      <c r="BB149" s="6">
        <v>334920</v>
      </c>
      <c r="BC149" s="6">
        <v>3109230</v>
      </c>
      <c r="BD149" s="6">
        <v>3241330</v>
      </c>
      <c r="BE149" s="6">
        <v>3478590</v>
      </c>
      <c r="BF149" s="6">
        <v>3840970</v>
      </c>
      <c r="BG149" s="6">
        <v>4447170</v>
      </c>
      <c r="BH149" s="6">
        <v>4176260</v>
      </c>
      <c r="BI149" s="6">
        <v>4794780</v>
      </c>
    </row>
    <row r="150" spans="1:61" x14ac:dyDescent="0.4">
      <c r="A150" t="s">
        <v>153</v>
      </c>
      <c r="BA150" s="6"/>
      <c r="BB150" s="6"/>
      <c r="BC150" s="6">
        <v>870950</v>
      </c>
      <c r="BD150" s="6">
        <v>1761830</v>
      </c>
      <c r="BE150" s="6">
        <v>2441700</v>
      </c>
      <c r="BF150" s="6">
        <v>2859100</v>
      </c>
      <c r="BG150" s="6">
        <v>3209350</v>
      </c>
      <c r="BH150" s="6">
        <v>3259250</v>
      </c>
      <c r="BI150" s="6">
        <v>4424500</v>
      </c>
    </row>
    <row r="151" spans="1:61" x14ac:dyDescent="0.4">
      <c r="A151" t="s">
        <v>154</v>
      </c>
      <c r="BB151" s="6"/>
      <c r="BC151" s="6">
        <v>731890</v>
      </c>
      <c r="BD151" s="6">
        <v>2704130</v>
      </c>
      <c r="BE151" s="6">
        <v>3444200</v>
      </c>
      <c r="BF151" s="6">
        <v>4183340</v>
      </c>
      <c r="BG151" s="6">
        <v>4324870</v>
      </c>
      <c r="BH151" s="6">
        <v>4467220</v>
      </c>
      <c r="BI151" s="6">
        <v>5364680</v>
      </c>
    </row>
    <row r="152" spans="1:61" x14ac:dyDescent="0.4">
      <c r="A152" t="s">
        <v>155</v>
      </c>
      <c r="BB152" s="6"/>
      <c r="BC152" s="6"/>
      <c r="BD152" s="6"/>
      <c r="BE152" s="6">
        <v>357320</v>
      </c>
      <c r="BF152" s="6">
        <v>2182260</v>
      </c>
      <c r="BG152" s="6">
        <v>3137120</v>
      </c>
      <c r="BH152" s="6">
        <v>3639290</v>
      </c>
      <c r="BI152" s="6">
        <v>4402170</v>
      </c>
    </row>
    <row r="153" spans="1:61" x14ac:dyDescent="0.4">
      <c r="A153" t="s">
        <v>157</v>
      </c>
      <c r="BD153" s="6"/>
      <c r="BE153" s="6"/>
      <c r="BF153" s="6"/>
      <c r="BG153" s="6"/>
      <c r="BH153" s="6">
        <v>1145400</v>
      </c>
      <c r="BI153" s="6">
        <v>4472320</v>
      </c>
    </row>
    <row r="154" spans="1:61" x14ac:dyDescent="0.4">
      <c r="A154" t="s">
        <v>158</v>
      </c>
      <c r="BG154" s="6"/>
      <c r="BH154" s="6">
        <v>1090260</v>
      </c>
      <c r="BI154" s="6">
        <v>4473590</v>
      </c>
    </row>
    <row r="155" spans="1:61" x14ac:dyDescent="0.4">
      <c r="A155" t="s">
        <v>159</v>
      </c>
      <c r="BG155" s="6"/>
      <c r="BH155" s="6">
        <v>1695320</v>
      </c>
      <c r="BI155" s="6">
        <v>4351570</v>
      </c>
    </row>
    <row r="156" spans="1:61" x14ac:dyDescent="0.4">
      <c r="BG156" s="6"/>
    </row>
    <row r="162" spans="1:60" x14ac:dyDescent="0.4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x14ac:dyDescent="0.4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x14ac:dyDescent="0.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73" spans="1:60" x14ac:dyDescent="0.4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x14ac:dyDescent="0.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x14ac:dyDescent="0.4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x14ac:dyDescent="0.4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2:60" x14ac:dyDescent="0.4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2:60" x14ac:dyDescent="0.4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2:60" x14ac:dyDescent="0.4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1" spans="2:60" x14ac:dyDescent="0.4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</row>
    <row r="182" spans="2:60" x14ac:dyDescent="0.4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</row>
    <row r="184" spans="2:60" x14ac:dyDescent="0.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</row>
    <row r="185" spans="2:60" x14ac:dyDescent="0.4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</row>
    <row r="186" spans="2:60" x14ac:dyDescent="0.4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</row>
    <row r="187" spans="2:60" x14ac:dyDescent="0.4"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</row>
    <row r="189" spans="2:60" x14ac:dyDescent="0.4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</row>
    <row r="190" spans="2:60" x14ac:dyDescent="0.4"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</row>
    <row r="191" spans="2:60" x14ac:dyDescent="0.4"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</row>
    <row r="192" spans="2:60" x14ac:dyDescent="0.4"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</row>
    <row r="193" spans="14:58" x14ac:dyDescent="0.4"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8BFF-5313-4534-8492-95968B9554CD}">
  <dimension ref="A1:BN150"/>
  <sheetViews>
    <sheetView workbookViewId="0">
      <selection activeCell="J11" sqref="J11:O11"/>
    </sheetView>
  </sheetViews>
  <sheetFormatPr defaultRowHeight="14.5" x14ac:dyDescent="0.4"/>
  <cols>
    <col min="1" max="1" width="19.59765625" customWidth="1"/>
    <col min="5" max="5" width="12.3984375" style="1" bestFit="1" customWidth="1"/>
    <col min="6" max="6" width="11.59765625" customWidth="1"/>
    <col min="10" max="10" width="13" style="30" bestFit="1" customWidth="1"/>
    <col min="11" max="15" width="9" style="30"/>
    <col min="17" max="17" width="11.09765625" bestFit="1" customWidth="1"/>
  </cols>
  <sheetData>
    <row r="1" spans="1:66" x14ac:dyDescent="0.4">
      <c r="A1" t="s">
        <v>0</v>
      </c>
      <c r="B1" t="s">
        <v>160</v>
      </c>
      <c r="C1" t="s">
        <v>185</v>
      </c>
      <c r="D1" t="s">
        <v>186</v>
      </c>
      <c r="E1" s="1" t="s">
        <v>165</v>
      </c>
      <c r="F1" t="s">
        <v>187</v>
      </c>
      <c r="G1">
        <v>1</v>
      </c>
      <c r="H1">
        <v>2</v>
      </c>
      <c r="I1">
        <v>3</v>
      </c>
      <c r="J1" s="30">
        <v>4</v>
      </c>
      <c r="K1" s="30">
        <v>5</v>
      </c>
      <c r="L1" s="30">
        <v>6</v>
      </c>
      <c r="M1" s="30">
        <v>7</v>
      </c>
      <c r="N1" s="30">
        <v>8</v>
      </c>
      <c r="O1" s="30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4">
      <c r="A2" t="str">
        <f>세팅!A3</f>
        <v>(0001) 건대점</v>
      </c>
      <c r="B2" t="str">
        <f>세팅!B3</f>
        <v>150-1</v>
      </c>
      <c r="C2">
        <f>IFERROR(VALUE(MID(B2,5,10)),"")</f>
        <v>1</v>
      </c>
      <c r="D2" t="str">
        <f>IF(C2="","",IF(C2&gt;=3,"3+",TEXT(C2,"0")))</f>
        <v>1</v>
      </c>
      <c r="E2" s="1">
        <f>세팅!D3</f>
        <v>42309</v>
      </c>
      <c r="F2" t="str">
        <f>IF(COUNT(J2:O2)&gt;=4,AVERAGE(J2:O2),"")</f>
        <v/>
      </c>
      <c r="G2" t="str" cm="1">
        <f t="array" ref="G2">IFERROR(IF($E2&lt;44348,"",IF(INDEX(Raw_매출!$B$2:$BI$155,MATCH($A2,Raw_매출!$A$2:$A$155,0),MATCH(EDATE($E2,G$1-1),Raw_매출!$B$1:$BI$1,0))=0,"",INDEX(Raw_매출!$B$2:$BI$155,MATCH($A2,Raw_매출!$A$2:$A$155,0),MATCH(EDATE($E2,G$1-1),Raw_매출!$B$1:$BI$1,0))/(INDEX(요약_월별시즈널리티!$F$7:$F$18,MONTH(EDATE($E2,G$1-1)))/100))),"")</f>
        <v/>
      </c>
      <c r="H2" t="str" cm="1">
        <f t="array" ref="H2">IFERROR(IF($E2&lt;44348,"",IF(INDEX(Raw_매출!$B$2:$BI$155,MATCH($A2,Raw_매출!$A$2:$A$155,0),MATCH(EDATE($E2,H$1-1),Raw_매출!$B$1:$BI$1,0))=0,"",INDEX(Raw_매출!$B$2:$BI$155,MATCH($A2,Raw_매출!$A$2:$A$155,0),MATCH(EDATE($E2,H$1-1),Raw_매출!$B$1:$BI$1,0))/(INDEX(요약_월별시즈널리티!$F$7:$F$18,MONTH(EDATE($E2,H$1-1)))/100))),"")</f>
        <v/>
      </c>
      <c r="I2" t="str" cm="1">
        <f t="array" ref="I2">IFERROR(IF($E2&lt;44348,"",IF(INDEX(Raw_매출!$B$2:$BI$155,MATCH($A2,Raw_매출!$A$2:$A$155,0),MATCH(EDATE($E2,I$1-1),Raw_매출!$B$1:$BI$1,0))=0,"",INDEX(Raw_매출!$B$2:$BI$155,MATCH($A2,Raw_매출!$A$2:$A$155,0),MATCH(EDATE($E2,I$1-1),Raw_매출!$B$1:$BI$1,0))/(INDEX(요약_월별시즈널리티!$F$7:$F$18,MONTH(EDATE($E2,I$1-1)))/100))),"")</f>
        <v/>
      </c>
      <c r="J2" s="30" t="str" cm="1">
        <f t="array" ref="J2">IFERROR(IF($E2&lt;44348,"",IF(INDEX(Raw_매출!$B$2:$BI$155,MATCH($A2,Raw_매출!$A$2:$A$155,0),MATCH(EDATE($E2,J$1-1),Raw_매출!$B$1:$BI$1,0))=0,"",INDEX(Raw_매출!$B$2:$BI$155,MATCH($A2,Raw_매출!$A$2:$A$155,0),MATCH(EDATE($E2,J$1-1),Raw_매출!$B$1:$BI$1,0))/(INDEX(요약_월별시즈널리티!$F$7:$F$18,MONTH(EDATE($E2,J$1-1)))/100))),"")</f>
        <v/>
      </c>
      <c r="K2" s="30" t="str" cm="1">
        <f t="array" ref="K2">IFERROR(IF($E2&lt;44348,"",IF(INDEX(Raw_매출!$B$2:$BI$155,MATCH($A2,Raw_매출!$A$2:$A$155,0),MATCH(EDATE($E2,K$1-1),Raw_매출!$B$1:$BI$1,0))=0,"",INDEX(Raw_매출!$B$2:$BI$155,MATCH($A2,Raw_매출!$A$2:$A$155,0),MATCH(EDATE($E2,K$1-1),Raw_매출!$B$1:$BI$1,0))/(INDEX(요약_월별시즈널리티!$F$7:$F$18,MONTH(EDATE($E2,K$1-1)))/100))),"")</f>
        <v/>
      </c>
      <c r="L2" s="30" t="str" cm="1">
        <f t="array" ref="L2">IFERROR(IF($E2&lt;44348,"",IF(INDEX(Raw_매출!$B$2:$BI$155,MATCH($A2,Raw_매출!$A$2:$A$155,0),MATCH(EDATE($E2,L$1-1),Raw_매출!$B$1:$BI$1,0))=0,"",INDEX(Raw_매출!$B$2:$BI$155,MATCH($A2,Raw_매출!$A$2:$A$155,0),MATCH(EDATE($E2,L$1-1),Raw_매출!$B$1:$BI$1,0))/(INDEX(요약_월별시즈널리티!$F$7:$F$18,MONTH(EDATE($E2,L$1-1)))/100))),"")</f>
        <v/>
      </c>
      <c r="M2" s="30" t="str" cm="1">
        <f t="array" ref="M2">IFERROR(IF($E2&lt;44348,"",IF(INDEX(Raw_매출!$B$2:$BI$155,MATCH($A2,Raw_매출!$A$2:$A$155,0),MATCH(EDATE($E2,M$1-1),Raw_매출!$B$1:$BI$1,0))=0,"",INDEX(Raw_매출!$B$2:$BI$155,MATCH($A2,Raw_매출!$A$2:$A$155,0),MATCH(EDATE($E2,M$1-1),Raw_매출!$B$1:$BI$1,0))/(INDEX(요약_월별시즈널리티!$F$7:$F$18,MONTH(EDATE($E2,M$1-1)))/100))),"")</f>
        <v/>
      </c>
      <c r="N2" s="30" t="str" cm="1">
        <f t="array" ref="N2">IFERROR(IF($E2&lt;44348,"",IF(INDEX(Raw_매출!$B$2:$BI$155,MATCH($A2,Raw_매출!$A$2:$A$155,0),MATCH(EDATE($E2,N$1-1),Raw_매출!$B$1:$BI$1,0))=0,"",INDEX(Raw_매출!$B$2:$BI$155,MATCH($A2,Raw_매출!$A$2:$A$155,0),MATCH(EDATE($E2,N$1-1),Raw_매출!$B$1:$BI$1,0))/(INDEX(요약_월별시즈널리티!$F$7:$F$18,MONTH(EDATE($E2,N$1-1)))/100))),"")</f>
        <v/>
      </c>
      <c r="O2" s="30" t="str" cm="1">
        <f t="array" ref="O2">IFERROR(IF($E2&lt;44348,"",IF(INDEX(Raw_매출!$B$2:$BI$155,MATCH($A2,Raw_매출!$A$2:$A$155,0),MATCH(EDATE($E2,O$1-1),Raw_매출!$B$1:$BI$1,0))=0,"",INDEX(Raw_매출!$B$2:$BI$155,MATCH($A2,Raw_매출!$A$2:$A$155,0),MATCH(EDATE($E2,O$1-1),Raw_매출!$B$1:$BI$1,0))/(INDEX(요약_월별시즈널리티!$F$7:$F$18,MONTH(EDATE($E2,O$1-1)))/100))),"")</f>
        <v/>
      </c>
      <c r="P2" t="str" cm="1">
        <f t="array" ref="P2">IFERROR(IF($E2&lt;44348,"",IF(INDEX(Raw_매출!$B$2:$BI$155,MATCH($A2,Raw_매출!$A$2:$A$155,0),MATCH(EDATE($E2,P$1-1),Raw_매출!$B$1:$BI$1,0))=0,"",INDEX(Raw_매출!$B$2:$BI$155,MATCH($A2,Raw_매출!$A$2:$A$155,0),MATCH(EDATE($E2,P$1-1),Raw_매출!$B$1:$BI$1,0))/(INDEX(요약_월별시즈널리티!$F$7:$F$18,MONTH(EDATE($E2,P$1-1)))/100))),"")</f>
        <v/>
      </c>
      <c r="Q2" t="str" cm="1">
        <f t="array" ref="Q2">IFERROR(IF($E2&lt;44348,"",IF(INDEX(Raw_매출!$B$2:$BI$155,MATCH($A2,Raw_매출!$A$2:$A$155,0),MATCH(EDATE($E2,Q$1-1),Raw_매출!$B$1:$BI$1,0))=0,"",INDEX(Raw_매출!$B$2:$BI$155,MATCH($A2,Raw_매출!$A$2:$A$155,0),MATCH(EDATE($E2,Q$1-1),Raw_매출!$B$1:$BI$1,0))/(INDEX(요약_월별시즈널리티!$F$7:$F$18,MONTH(EDATE($E2,Q$1-1)))/100))),"")</f>
        <v/>
      </c>
      <c r="R2" t="str" cm="1">
        <f t="array" ref="R2">IFERROR(IF($E2&lt;44348,"",IF(INDEX(Raw_매출!$B$2:$BI$155,MATCH($A2,Raw_매출!$A$2:$A$155,0),MATCH(EDATE($E2,R$1-1),Raw_매출!$B$1:$BI$1,0))=0,"",INDEX(Raw_매출!$B$2:$BI$155,MATCH($A2,Raw_매출!$A$2:$A$155,0),MATCH(EDATE($E2,R$1-1),Raw_매출!$B$1:$BI$1,0))/(INDEX(요약_월별시즈널리티!$F$7:$F$18,MONTH(EDATE($E2,R$1-1)))/100))),"")</f>
        <v/>
      </c>
      <c r="S2" t="str" cm="1">
        <f t="array" ref="S2">IFERROR(IF($E2&lt;44348,"",IF(INDEX(Raw_매출!$B$2:$BI$155,MATCH($A2,Raw_매출!$A$2:$A$155,0),MATCH(EDATE($E2,S$1-1),Raw_매출!$B$1:$BI$1,0))=0,"",INDEX(Raw_매출!$B$2:$BI$155,MATCH($A2,Raw_매출!$A$2:$A$155,0),MATCH(EDATE($E2,S$1-1),Raw_매출!$B$1:$BI$1,0))/(INDEX(요약_월별시즈널리티!$F$7:$F$18,MONTH(EDATE($E2,S$1-1)))/100))),"")</f>
        <v/>
      </c>
      <c r="T2" t="str" cm="1">
        <f t="array" ref="T2">IFERROR(IF($E2&lt;44348,"",IF(INDEX(Raw_매출!$B$2:$BI$155,MATCH($A2,Raw_매출!$A$2:$A$155,0),MATCH(EDATE($E2,T$1-1),Raw_매출!$B$1:$BI$1,0))=0,"",INDEX(Raw_매출!$B$2:$BI$155,MATCH($A2,Raw_매출!$A$2:$A$155,0),MATCH(EDATE($E2,T$1-1),Raw_매출!$B$1:$BI$1,0))/(INDEX(요약_월별시즈널리티!$F$7:$F$18,MONTH(EDATE($E2,T$1-1)))/100))),"")</f>
        <v/>
      </c>
      <c r="U2" t="str" cm="1">
        <f t="array" ref="U2">IFERROR(IF($E2&lt;44348,"",IF(INDEX(Raw_매출!$B$2:$BI$155,MATCH($A2,Raw_매출!$A$2:$A$155,0),MATCH(EDATE($E2,U$1-1),Raw_매출!$B$1:$BI$1,0))=0,"",INDEX(Raw_매출!$B$2:$BI$155,MATCH($A2,Raw_매출!$A$2:$A$155,0),MATCH(EDATE($E2,U$1-1),Raw_매출!$B$1:$BI$1,0))/(INDEX(요약_월별시즈널리티!$F$7:$F$18,MONTH(EDATE($E2,U$1-1)))/100))),"")</f>
        <v/>
      </c>
      <c r="V2" t="str" cm="1">
        <f t="array" ref="V2">IFERROR(IF($E2&lt;44348,"",IF(INDEX(Raw_매출!$B$2:$BI$155,MATCH($A2,Raw_매출!$A$2:$A$155,0),MATCH(EDATE($E2,V$1-1),Raw_매출!$B$1:$BI$1,0))=0,"",INDEX(Raw_매출!$B$2:$BI$155,MATCH($A2,Raw_매출!$A$2:$A$155,0),MATCH(EDATE($E2,V$1-1),Raw_매출!$B$1:$BI$1,0))/(INDEX(요약_월별시즈널리티!$F$7:$F$18,MONTH(EDATE($E2,V$1-1)))/100))),"")</f>
        <v/>
      </c>
      <c r="W2" t="str" cm="1">
        <f t="array" ref="W2">IFERROR(IF($E2&lt;44348,"",IF(INDEX(Raw_매출!$B$2:$BI$155,MATCH($A2,Raw_매출!$A$2:$A$155,0),MATCH(EDATE($E2,W$1-1),Raw_매출!$B$1:$BI$1,0))=0,"",INDEX(Raw_매출!$B$2:$BI$155,MATCH($A2,Raw_매출!$A$2:$A$155,0),MATCH(EDATE($E2,W$1-1),Raw_매출!$B$1:$BI$1,0))/(INDEX(요약_월별시즈널리티!$F$7:$F$18,MONTH(EDATE($E2,W$1-1)))/100))),"")</f>
        <v/>
      </c>
      <c r="X2" t="str" cm="1">
        <f t="array" ref="X2">IFERROR(IF($E2&lt;44348,"",IF(INDEX(Raw_매출!$B$2:$BI$155,MATCH($A2,Raw_매출!$A$2:$A$155,0),MATCH(EDATE($E2,X$1-1),Raw_매출!$B$1:$BI$1,0))=0,"",INDEX(Raw_매출!$B$2:$BI$155,MATCH($A2,Raw_매출!$A$2:$A$155,0),MATCH(EDATE($E2,X$1-1),Raw_매출!$B$1:$BI$1,0))/(INDEX(요약_월별시즈널리티!$F$7:$F$18,MONTH(EDATE($E2,X$1-1)))/100))),"")</f>
        <v/>
      </c>
      <c r="Y2" t="str" cm="1">
        <f t="array" ref="Y2">IFERROR(IF($E2&lt;44348,"",IF(INDEX(Raw_매출!$B$2:$BI$155,MATCH($A2,Raw_매출!$A$2:$A$155,0),MATCH(EDATE($E2,Y$1-1),Raw_매출!$B$1:$BI$1,0))=0,"",INDEX(Raw_매출!$B$2:$BI$155,MATCH($A2,Raw_매출!$A$2:$A$155,0),MATCH(EDATE($E2,Y$1-1),Raw_매출!$B$1:$BI$1,0))/(INDEX(요약_월별시즈널리티!$F$7:$F$18,MONTH(EDATE($E2,Y$1-1)))/100))),"")</f>
        <v/>
      </c>
      <c r="Z2" t="str" cm="1">
        <f t="array" ref="Z2">IFERROR(IF($E2&lt;44348,"",IF(INDEX(Raw_매출!$B$2:$BI$155,MATCH($A2,Raw_매출!$A$2:$A$155,0),MATCH(EDATE($E2,Z$1-1),Raw_매출!$B$1:$BI$1,0))=0,"",INDEX(Raw_매출!$B$2:$BI$155,MATCH($A2,Raw_매출!$A$2:$A$155,0),MATCH(EDATE($E2,Z$1-1),Raw_매출!$B$1:$BI$1,0))/(INDEX(요약_월별시즈널리티!$F$7:$F$18,MONTH(EDATE($E2,Z$1-1)))/100))),"")</f>
        <v/>
      </c>
      <c r="AA2" t="str" cm="1">
        <f t="array" ref="AA2">IFERROR(IF($E2&lt;44348,"",IF(INDEX(Raw_매출!$B$2:$BI$155,MATCH($A2,Raw_매출!$A$2:$A$155,0),MATCH(EDATE($E2,AA$1-1),Raw_매출!$B$1:$BI$1,0))=0,"",INDEX(Raw_매출!$B$2:$BI$155,MATCH($A2,Raw_매출!$A$2:$A$155,0),MATCH(EDATE($E2,AA$1-1),Raw_매출!$B$1:$BI$1,0))/(INDEX(요약_월별시즈널리티!$F$7:$F$18,MONTH(EDATE($E2,AA$1-1)))/100))),"")</f>
        <v/>
      </c>
      <c r="AB2" t="str" cm="1">
        <f t="array" ref="AB2">IFERROR(IF($E2&lt;44348,"",IF(INDEX(Raw_매출!$B$2:$BI$155,MATCH($A2,Raw_매출!$A$2:$A$155,0),MATCH(EDATE($E2,AB$1-1),Raw_매출!$B$1:$BI$1,0))=0,"",INDEX(Raw_매출!$B$2:$BI$155,MATCH($A2,Raw_매출!$A$2:$A$155,0),MATCH(EDATE($E2,AB$1-1),Raw_매출!$B$1:$BI$1,0))/(INDEX(요약_월별시즈널리티!$F$7:$F$18,MONTH(EDATE($E2,AB$1-1)))/100))),"")</f>
        <v/>
      </c>
      <c r="AC2" t="str" cm="1">
        <f t="array" ref="AC2">IFERROR(IF($E2&lt;44348,"",IF(INDEX(Raw_매출!$B$2:$BI$155,MATCH($A2,Raw_매출!$A$2:$A$155,0),MATCH(EDATE($E2,AC$1-1),Raw_매출!$B$1:$BI$1,0))=0,"",INDEX(Raw_매출!$B$2:$BI$155,MATCH($A2,Raw_매출!$A$2:$A$155,0),MATCH(EDATE($E2,AC$1-1),Raw_매출!$B$1:$BI$1,0))/(INDEX(요약_월별시즈널리티!$F$7:$F$18,MONTH(EDATE($E2,AC$1-1)))/100))),"")</f>
        <v/>
      </c>
      <c r="AD2" t="str" cm="1">
        <f t="array" ref="AD2">IFERROR(IF($E2&lt;44348,"",IF(INDEX(Raw_매출!$B$2:$BI$155,MATCH($A2,Raw_매출!$A$2:$A$155,0),MATCH(EDATE($E2,AD$1-1),Raw_매출!$B$1:$BI$1,0))=0,"",INDEX(Raw_매출!$B$2:$BI$155,MATCH($A2,Raw_매출!$A$2:$A$155,0),MATCH(EDATE($E2,AD$1-1),Raw_매출!$B$1:$BI$1,0))/(INDEX(요약_월별시즈널리티!$F$7:$F$18,MONTH(EDATE($E2,AD$1-1)))/100))),"")</f>
        <v/>
      </c>
      <c r="AE2" t="str" cm="1">
        <f t="array" ref="AE2">IFERROR(IF($E2&lt;44348,"",IF(INDEX(Raw_매출!$B$2:$BI$155,MATCH($A2,Raw_매출!$A$2:$A$155,0),MATCH(EDATE($E2,AE$1-1),Raw_매출!$B$1:$BI$1,0))=0,"",INDEX(Raw_매출!$B$2:$BI$155,MATCH($A2,Raw_매출!$A$2:$A$155,0),MATCH(EDATE($E2,AE$1-1),Raw_매출!$B$1:$BI$1,0))/(INDEX(요약_월별시즈널리티!$F$7:$F$18,MONTH(EDATE($E2,AE$1-1)))/100))),"")</f>
        <v/>
      </c>
      <c r="AF2" t="str" cm="1">
        <f t="array" ref="AF2">IFERROR(IF($E2&lt;44348,"",IF(INDEX(Raw_매출!$B$2:$BI$155,MATCH($A2,Raw_매출!$A$2:$A$155,0),MATCH(EDATE($E2,AF$1-1),Raw_매출!$B$1:$BI$1,0))=0,"",INDEX(Raw_매출!$B$2:$BI$155,MATCH($A2,Raw_매출!$A$2:$A$155,0),MATCH(EDATE($E2,AF$1-1),Raw_매출!$B$1:$BI$1,0))/(INDEX(요약_월별시즈널리티!$F$7:$F$18,MONTH(EDATE($E2,AF$1-1)))/100))),"")</f>
        <v/>
      </c>
      <c r="AG2" t="str" cm="1">
        <f t="array" ref="AG2">IFERROR(IF($E2&lt;44348,"",IF(INDEX(Raw_매출!$B$2:$BI$155,MATCH($A2,Raw_매출!$A$2:$A$155,0),MATCH(EDATE($E2,AG$1-1),Raw_매출!$B$1:$BI$1,0))=0,"",INDEX(Raw_매출!$B$2:$BI$155,MATCH($A2,Raw_매출!$A$2:$A$155,0),MATCH(EDATE($E2,AG$1-1),Raw_매출!$B$1:$BI$1,0))/(INDEX(요약_월별시즈널리티!$F$7:$F$18,MONTH(EDATE($E2,AG$1-1)))/100))),"")</f>
        <v/>
      </c>
      <c r="AH2" t="str" cm="1">
        <f t="array" ref="AH2">IFERROR(IF($E2&lt;44348,"",IF(INDEX(Raw_매출!$B$2:$BI$155,MATCH($A2,Raw_매출!$A$2:$A$155,0),MATCH(EDATE($E2,AH$1-1),Raw_매출!$B$1:$BI$1,0))=0,"",INDEX(Raw_매출!$B$2:$BI$155,MATCH($A2,Raw_매출!$A$2:$A$155,0),MATCH(EDATE($E2,AH$1-1),Raw_매출!$B$1:$BI$1,0))/(INDEX(요약_월별시즈널리티!$F$7:$F$18,MONTH(EDATE($E2,AH$1-1)))/100))),"")</f>
        <v/>
      </c>
      <c r="AI2" t="str" cm="1">
        <f t="array" ref="AI2">IFERROR(IF($E2&lt;44348,"",IF(INDEX(Raw_매출!$B$2:$BI$155,MATCH($A2,Raw_매출!$A$2:$A$155,0),MATCH(EDATE($E2,AI$1-1),Raw_매출!$B$1:$BI$1,0))=0,"",INDEX(Raw_매출!$B$2:$BI$155,MATCH($A2,Raw_매출!$A$2:$A$155,0),MATCH(EDATE($E2,AI$1-1),Raw_매출!$B$1:$BI$1,0))/(INDEX(요약_월별시즈널리티!$F$7:$F$18,MONTH(EDATE($E2,AI$1-1)))/100))),"")</f>
        <v/>
      </c>
      <c r="AJ2" t="str" cm="1">
        <f t="array" ref="AJ2">IFERROR(IF($E2&lt;44348,"",IF(INDEX(Raw_매출!$B$2:$BI$155,MATCH($A2,Raw_매출!$A$2:$A$155,0),MATCH(EDATE($E2,AJ$1-1),Raw_매출!$B$1:$BI$1,0))=0,"",INDEX(Raw_매출!$B$2:$BI$155,MATCH($A2,Raw_매출!$A$2:$A$155,0),MATCH(EDATE($E2,AJ$1-1),Raw_매출!$B$1:$BI$1,0))/(INDEX(요약_월별시즈널리티!$F$7:$F$18,MONTH(EDATE($E2,AJ$1-1)))/100))),"")</f>
        <v/>
      </c>
      <c r="AK2" t="str" cm="1">
        <f t="array" ref="AK2">IFERROR(IF($E2&lt;44348,"",IF(INDEX(Raw_매출!$B$2:$BI$155,MATCH($A2,Raw_매출!$A$2:$A$155,0),MATCH(EDATE($E2,AK$1-1),Raw_매출!$B$1:$BI$1,0))=0,"",INDEX(Raw_매출!$B$2:$BI$155,MATCH($A2,Raw_매출!$A$2:$A$155,0),MATCH(EDATE($E2,AK$1-1),Raw_매출!$B$1:$BI$1,0))/(INDEX(요약_월별시즈널리티!$F$7:$F$18,MONTH(EDATE($E2,AK$1-1)))/100))),"")</f>
        <v/>
      </c>
      <c r="AL2" t="str" cm="1">
        <f t="array" ref="AL2">IFERROR(IF($E2&lt;44348,"",IF(INDEX(Raw_매출!$B$2:$BI$155,MATCH($A2,Raw_매출!$A$2:$A$155,0),MATCH(EDATE($E2,AL$1-1),Raw_매출!$B$1:$BI$1,0))=0,"",INDEX(Raw_매출!$B$2:$BI$155,MATCH($A2,Raw_매출!$A$2:$A$155,0),MATCH(EDATE($E2,AL$1-1),Raw_매출!$B$1:$BI$1,0))/(INDEX(요약_월별시즈널리티!$F$7:$F$18,MONTH(EDATE($E2,AL$1-1)))/100))),"")</f>
        <v/>
      </c>
      <c r="AM2" t="str" cm="1">
        <f t="array" ref="AM2">IFERROR(IF($E2&lt;44348,"",IF(INDEX(Raw_매출!$B$2:$BI$155,MATCH($A2,Raw_매출!$A$2:$A$155,0),MATCH(EDATE($E2,AM$1-1),Raw_매출!$B$1:$BI$1,0))=0,"",INDEX(Raw_매출!$B$2:$BI$155,MATCH($A2,Raw_매출!$A$2:$A$155,0),MATCH(EDATE($E2,AM$1-1),Raw_매출!$B$1:$BI$1,0))/(INDEX(요약_월별시즈널리티!$F$7:$F$18,MONTH(EDATE($E2,AM$1-1)))/100))),"")</f>
        <v/>
      </c>
      <c r="AN2" t="str" cm="1">
        <f t="array" ref="AN2">IFERROR(IF($E2&lt;44348,"",IF(INDEX(Raw_매출!$B$2:$BI$155,MATCH($A2,Raw_매출!$A$2:$A$155,0),MATCH(EDATE($E2,AN$1-1),Raw_매출!$B$1:$BI$1,0))=0,"",INDEX(Raw_매출!$B$2:$BI$155,MATCH($A2,Raw_매출!$A$2:$A$155,0),MATCH(EDATE($E2,AN$1-1),Raw_매출!$B$1:$BI$1,0))/(INDEX(요약_월별시즈널리티!$F$7:$F$18,MONTH(EDATE($E2,AN$1-1)))/100))),"")</f>
        <v/>
      </c>
      <c r="AO2" t="str" cm="1">
        <f t="array" ref="AO2">IFERROR(IF($E2&lt;44348,"",IF(INDEX(Raw_매출!$B$2:$BI$155,MATCH($A2,Raw_매출!$A$2:$A$155,0),MATCH(EDATE($E2,AO$1-1),Raw_매출!$B$1:$BI$1,0))=0,"",INDEX(Raw_매출!$B$2:$BI$155,MATCH($A2,Raw_매출!$A$2:$A$155,0),MATCH(EDATE($E2,AO$1-1),Raw_매출!$B$1:$BI$1,0))/(INDEX(요약_월별시즈널리티!$F$7:$F$18,MONTH(EDATE($E2,AO$1-1)))/100))),"")</f>
        <v/>
      </c>
      <c r="AP2" t="str" cm="1">
        <f t="array" ref="AP2">IFERROR(IF($E2&lt;44348,"",IF(INDEX(Raw_매출!$B$2:$BI$155,MATCH($A2,Raw_매출!$A$2:$A$155,0),MATCH(EDATE($E2,AP$1-1),Raw_매출!$B$1:$BI$1,0))=0,"",INDEX(Raw_매출!$B$2:$BI$155,MATCH($A2,Raw_매출!$A$2:$A$155,0),MATCH(EDATE($E2,AP$1-1),Raw_매출!$B$1:$BI$1,0))/(INDEX(요약_월별시즈널리티!$F$7:$F$18,MONTH(EDATE($E2,AP$1-1)))/100))),"")</f>
        <v/>
      </c>
      <c r="AQ2" t="str" cm="1">
        <f t="array" ref="AQ2">IFERROR(IF($E2&lt;44348,"",IF(INDEX(Raw_매출!$B$2:$BI$155,MATCH($A2,Raw_매출!$A$2:$A$155,0),MATCH(EDATE($E2,AQ$1-1),Raw_매출!$B$1:$BI$1,0))=0,"",INDEX(Raw_매출!$B$2:$BI$155,MATCH($A2,Raw_매출!$A$2:$A$155,0),MATCH(EDATE($E2,AQ$1-1),Raw_매출!$B$1:$BI$1,0))/(INDEX(요약_월별시즈널리티!$F$7:$F$18,MONTH(EDATE($E2,AQ$1-1)))/100))),"")</f>
        <v/>
      </c>
      <c r="AR2" t="str" cm="1">
        <f t="array" ref="AR2">IFERROR(IF($E2&lt;44348,"",IF(INDEX(Raw_매출!$B$2:$BI$155,MATCH($A2,Raw_매출!$A$2:$A$155,0),MATCH(EDATE($E2,AR$1-1),Raw_매출!$B$1:$BI$1,0))=0,"",INDEX(Raw_매출!$B$2:$BI$155,MATCH($A2,Raw_매출!$A$2:$A$155,0),MATCH(EDATE($E2,AR$1-1),Raw_매출!$B$1:$BI$1,0))/(INDEX(요약_월별시즈널리티!$F$7:$F$18,MONTH(EDATE($E2,AR$1-1)))/100))),"")</f>
        <v/>
      </c>
      <c r="AS2" t="str" cm="1">
        <f t="array" ref="AS2">IFERROR(IF($E2&lt;44348,"",IF(INDEX(Raw_매출!$B$2:$BI$155,MATCH($A2,Raw_매출!$A$2:$A$155,0),MATCH(EDATE($E2,AS$1-1),Raw_매출!$B$1:$BI$1,0))=0,"",INDEX(Raw_매출!$B$2:$BI$155,MATCH($A2,Raw_매출!$A$2:$A$155,0),MATCH(EDATE($E2,AS$1-1),Raw_매출!$B$1:$BI$1,0))/(INDEX(요약_월별시즈널리티!$F$7:$F$18,MONTH(EDATE($E2,AS$1-1)))/100))),"")</f>
        <v/>
      </c>
      <c r="AT2" t="str" cm="1">
        <f t="array" ref="AT2">IFERROR(IF($E2&lt;44348,"",IF(INDEX(Raw_매출!$B$2:$BI$155,MATCH($A2,Raw_매출!$A$2:$A$155,0),MATCH(EDATE($E2,AT$1-1),Raw_매출!$B$1:$BI$1,0))=0,"",INDEX(Raw_매출!$B$2:$BI$155,MATCH($A2,Raw_매출!$A$2:$A$155,0),MATCH(EDATE($E2,AT$1-1),Raw_매출!$B$1:$BI$1,0))/(INDEX(요약_월별시즈널리티!$F$7:$F$18,MONTH(EDATE($E2,AT$1-1)))/100))),"")</f>
        <v/>
      </c>
      <c r="AU2" t="str" cm="1">
        <f t="array" ref="AU2">IFERROR(IF($E2&lt;44348,"",IF(INDEX(Raw_매출!$B$2:$BI$155,MATCH($A2,Raw_매출!$A$2:$A$155,0),MATCH(EDATE($E2,AU$1-1),Raw_매출!$B$1:$BI$1,0))=0,"",INDEX(Raw_매출!$B$2:$BI$155,MATCH($A2,Raw_매출!$A$2:$A$155,0),MATCH(EDATE($E2,AU$1-1),Raw_매출!$B$1:$BI$1,0))/(INDEX(요약_월별시즈널리티!$F$7:$F$18,MONTH(EDATE($E2,AU$1-1)))/100))),"")</f>
        <v/>
      </c>
      <c r="AV2" t="str" cm="1">
        <f t="array" ref="AV2">IFERROR(IF($E2&lt;44348,"",IF(INDEX(Raw_매출!$B$2:$BI$155,MATCH($A2,Raw_매출!$A$2:$A$155,0),MATCH(EDATE($E2,AV$1-1),Raw_매출!$B$1:$BI$1,0))=0,"",INDEX(Raw_매출!$B$2:$BI$155,MATCH($A2,Raw_매출!$A$2:$A$155,0),MATCH(EDATE($E2,AV$1-1),Raw_매출!$B$1:$BI$1,0))/(INDEX(요약_월별시즈널리티!$F$7:$F$18,MONTH(EDATE($E2,AV$1-1)))/100))),"")</f>
        <v/>
      </c>
      <c r="AW2" t="str" cm="1">
        <f t="array" ref="AW2">IFERROR(IF($E2&lt;44348,"",IF(INDEX(Raw_매출!$B$2:$BI$155,MATCH($A2,Raw_매출!$A$2:$A$155,0),MATCH(EDATE($E2,AW$1-1),Raw_매출!$B$1:$BI$1,0))=0,"",INDEX(Raw_매출!$B$2:$BI$155,MATCH($A2,Raw_매출!$A$2:$A$155,0),MATCH(EDATE($E2,AW$1-1),Raw_매출!$B$1:$BI$1,0))/(INDEX(요약_월별시즈널리티!$F$7:$F$18,MONTH(EDATE($E2,AW$1-1)))/100))),"")</f>
        <v/>
      </c>
      <c r="AX2" t="str" cm="1">
        <f t="array" ref="AX2">IFERROR(IF($E2&lt;44348,"",IF(INDEX(Raw_매출!$B$2:$BI$155,MATCH($A2,Raw_매출!$A$2:$A$155,0),MATCH(EDATE($E2,AX$1-1),Raw_매출!$B$1:$BI$1,0))=0,"",INDEX(Raw_매출!$B$2:$BI$155,MATCH($A2,Raw_매출!$A$2:$A$155,0),MATCH(EDATE($E2,AX$1-1),Raw_매출!$B$1:$BI$1,0))/(INDEX(요약_월별시즈널리티!$F$7:$F$18,MONTH(EDATE($E2,AX$1-1)))/100))),"")</f>
        <v/>
      </c>
      <c r="AY2" t="str" cm="1">
        <f t="array" ref="AY2">IFERROR(IF($E2&lt;44348,"",IF(INDEX(Raw_매출!$B$2:$BI$155,MATCH($A2,Raw_매출!$A$2:$A$155,0),MATCH(EDATE($E2,AY$1-1),Raw_매출!$B$1:$BI$1,0))=0,"",INDEX(Raw_매출!$B$2:$BI$155,MATCH($A2,Raw_매출!$A$2:$A$155,0),MATCH(EDATE($E2,AY$1-1),Raw_매출!$B$1:$BI$1,0))/(INDEX(요약_월별시즈널리티!$F$7:$F$18,MONTH(EDATE($E2,AY$1-1)))/100))),"")</f>
        <v/>
      </c>
      <c r="AZ2" t="str" cm="1">
        <f t="array" ref="AZ2">IFERROR(IF($E2&lt;44348,"",IF(INDEX(Raw_매출!$B$2:$BI$155,MATCH($A2,Raw_매출!$A$2:$A$155,0),MATCH(EDATE($E2,AZ$1-1),Raw_매출!$B$1:$BI$1,0))=0,"",INDEX(Raw_매출!$B$2:$BI$155,MATCH($A2,Raw_매출!$A$2:$A$155,0),MATCH(EDATE($E2,AZ$1-1),Raw_매출!$B$1:$BI$1,0))/(INDEX(요약_월별시즈널리티!$F$7:$F$18,MONTH(EDATE($E2,AZ$1-1)))/100))),"")</f>
        <v/>
      </c>
      <c r="BA2" t="str" cm="1">
        <f t="array" ref="BA2">IFERROR(IF($E2&lt;44348,"",IF(INDEX(Raw_매출!$B$2:$BI$155,MATCH($A2,Raw_매출!$A$2:$A$155,0),MATCH(EDATE($E2,BA$1-1),Raw_매출!$B$1:$BI$1,0))=0,"",INDEX(Raw_매출!$B$2:$BI$155,MATCH($A2,Raw_매출!$A$2:$A$155,0),MATCH(EDATE($E2,BA$1-1),Raw_매출!$B$1:$BI$1,0))/(INDEX(요약_월별시즈널리티!$F$7:$F$18,MONTH(EDATE($E2,BA$1-1)))/100))),"")</f>
        <v/>
      </c>
      <c r="BB2" t="str" cm="1">
        <f t="array" ref="BB2">IFERROR(IF($E2&lt;44348,"",IF(INDEX(Raw_매출!$B$2:$BI$155,MATCH($A2,Raw_매출!$A$2:$A$155,0),MATCH(EDATE($E2,BB$1-1),Raw_매출!$B$1:$BI$1,0))=0,"",INDEX(Raw_매출!$B$2:$BI$155,MATCH($A2,Raw_매출!$A$2:$A$155,0),MATCH(EDATE($E2,BB$1-1),Raw_매출!$B$1:$BI$1,0))/(INDEX(요약_월별시즈널리티!$F$7:$F$18,MONTH(EDATE($E2,BB$1-1)))/100))),"")</f>
        <v/>
      </c>
      <c r="BC2" t="str" cm="1">
        <f t="array" ref="BC2">IFERROR(IF($E2&lt;44348,"",IF(INDEX(Raw_매출!$B$2:$BI$155,MATCH($A2,Raw_매출!$A$2:$A$155,0),MATCH(EDATE($E2,BC$1-1),Raw_매출!$B$1:$BI$1,0))=0,"",INDEX(Raw_매출!$B$2:$BI$155,MATCH($A2,Raw_매출!$A$2:$A$155,0),MATCH(EDATE($E2,BC$1-1),Raw_매출!$B$1:$BI$1,0))/(INDEX(요약_월별시즈널리티!$F$7:$F$18,MONTH(EDATE($E2,BC$1-1)))/100))),"")</f>
        <v/>
      </c>
      <c r="BD2" t="str" cm="1">
        <f t="array" ref="BD2">IFERROR(IF($E2&lt;44348,"",IF(INDEX(Raw_매출!$B$2:$BI$155,MATCH($A2,Raw_매출!$A$2:$A$155,0),MATCH(EDATE($E2,BD$1-1),Raw_매출!$B$1:$BI$1,0))=0,"",INDEX(Raw_매출!$B$2:$BI$155,MATCH($A2,Raw_매출!$A$2:$A$155,0),MATCH(EDATE($E2,BD$1-1),Raw_매출!$B$1:$BI$1,0))/(INDEX(요약_월별시즈널리티!$F$7:$F$18,MONTH(EDATE($E2,BD$1-1)))/100))),"")</f>
        <v/>
      </c>
      <c r="BE2" t="str" cm="1">
        <f t="array" ref="BE2">IFERROR(IF($E2&lt;44348,"",IF(INDEX(Raw_매출!$B$2:$BI$155,MATCH($A2,Raw_매출!$A$2:$A$155,0),MATCH(EDATE($E2,BE$1-1),Raw_매출!$B$1:$BI$1,0))=0,"",INDEX(Raw_매출!$B$2:$BI$155,MATCH($A2,Raw_매출!$A$2:$A$155,0),MATCH(EDATE($E2,BE$1-1),Raw_매출!$B$1:$BI$1,0))/(INDEX(요약_월별시즈널리티!$F$7:$F$18,MONTH(EDATE($E2,BE$1-1)))/100))),"")</f>
        <v/>
      </c>
      <c r="BF2" t="str" cm="1">
        <f t="array" ref="BF2">IFERROR(IF($E2&lt;44348,"",IF(INDEX(Raw_매출!$B$2:$BI$155,MATCH($A2,Raw_매출!$A$2:$A$155,0),MATCH(EDATE($E2,BF$1-1),Raw_매출!$B$1:$BI$1,0))=0,"",INDEX(Raw_매출!$B$2:$BI$155,MATCH($A2,Raw_매출!$A$2:$A$155,0),MATCH(EDATE($E2,BF$1-1),Raw_매출!$B$1:$BI$1,0))/(INDEX(요약_월별시즈널리티!$F$7:$F$18,MONTH(EDATE($E2,BF$1-1)))/100))),"")</f>
        <v/>
      </c>
      <c r="BG2" t="str" cm="1">
        <f t="array" ref="BG2">IFERROR(IF($E2&lt;44348,"",IF(INDEX(Raw_매출!$B$2:$BI$155,MATCH($A2,Raw_매출!$A$2:$A$155,0),MATCH(EDATE($E2,BG$1-1),Raw_매출!$B$1:$BI$1,0))=0,"",INDEX(Raw_매출!$B$2:$BI$155,MATCH($A2,Raw_매출!$A$2:$A$155,0),MATCH(EDATE($E2,BG$1-1),Raw_매출!$B$1:$BI$1,0))/(INDEX(요약_월별시즈널리티!$F$7:$F$18,MONTH(EDATE($E2,BG$1-1)))/100))),"")</f>
        <v/>
      </c>
      <c r="BH2" t="str" cm="1">
        <f t="array" ref="BH2">IFERROR(IF($E2&lt;44348,"",IF(INDEX(Raw_매출!$B$2:$BI$155,MATCH($A2,Raw_매출!$A$2:$A$155,0),MATCH(EDATE($E2,BH$1-1),Raw_매출!$B$1:$BI$1,0))=0,"",INDEX(Raw_매출!$B$2:$BI$155,MATCH($A2,Raw_매출!$A$2:$A$155,0),MATCH(EDATE($E2,BH$1-1),Raw_매출!$B$1:$BI$1,0))/(INDEX(요약_월별시즈널리티!$F$7:$F$18,MONTH(EDATE($E2,BH$1-1)))/100))),"")</f>
        <v/>
      </c>
      <c r="BI2" t="str" cm="1">
        <f t="array" ref="BI2">IFERROR(IF($E2&lt;44348,"",IF(INDEX(Raw_매출!$B$2:$BI$155,MATCH($A2,Raw_매출!$A$2:$A$155,0),MATCH(EDATE($E2,BI$1-1),Raw_매출!$B$1:$BI$1,0))=0,"",INDEX(Raw_매출!$B$2:$BI$155,MATCH($A2,Raw_매출!$A$2:$A$155,0),MATCH(EDATE($E2,BI$1-1),Raw_매출!$B$1:$BI$1,0))/(INDEX(요약_월별시즈널리티!$F$7:$F$18,MONTH(EDATE($E2,BI$1-1)))/100))),"")</f>
        <v/>
      </c>
      <c r="BJ2" t="str" cm="1">
        <f t="array" ref="BJ2">IFERROR(IF($E2&lt;44348,"",IF(INDEX(Raw_매출!$B$2:$BI$155,MATCH($A2,Raw_매출!$A$2:$A$155,0),MATCH(EDATE($E2,BJ$1-1),Raw_매출!$B$1:$BI$1,0))=0,"",INDEX(Raw_매출!$B$2:$BI$155,MATCH($A2,Raw_매출!$A$2:$A$155,0),MATCH(EDATE($E2,BJ$1-1),Raw_매출!$B$1:$BI$1,0))/(INDEX(요약_월별시즈널리티!$F$7:$F$18,MONTH(EDATE($E2,BJ$1-1)))/100))),"")</f>
        <v/>
      </c>
      <c r="BK2" t="str" cm="1">
        <f t="array" ref="BK2">IFERROR(IF($E2&lt;44348,"",IF(INDEX(Raw_매출!$B$2:$BI$155,MATCH($A2,Raw_매출!$A$2:$A$155,0),MATCH(EDATE($E2,BK$1-1),Raw_매출!$B$1:$BI$1,0))=0,"",INDEX(Raw_매출!$B$2:$BI$155,MATCH($A2,Raw_매출!$A$2:$A$155,0),MATCH(EDATE($E2,BK$1-1),Raw_매출!$B$1:$BI$1,0))/(INDEX(요약_월별시즈널리티!$F$7:$F$18,MONTH(EDATE($E2,BK$1-1)))/100))),"")</f>
        <v/>
      </c>
      <c r="BL2" t="str" cm="1">
        <f t="array" ref="BL2">IFERROR(IF($E2&lt;44348,"",IF(INDEX(Raw_매출!$B$2:$BI$155,MATCH($A2,Raw_매출!$A$2:$A$155,0),MATCH(EDATE($E2,BL$1-1),Raw_매출!$B$1:$BI$1,0))=0,"",INDEX(Raw_매출!$B$2:$BI$155,MATCH($A2,Raw_매출!$A$2:$A$155,0),MATCH(EDATE($E2,BL$1-1),Raw_매출!$B$1:$BI$1,0))/(INDEX(요약_월별시즈널리티!$F$7:$F$18,MONTH(EDATE($E2,BL$1-1)))/100))),"")</f>
        <v/>
      </c>
      <c r="BM2" t="str" cm="1">
        <f t="array" ref="BM2">IFERROR(IF($E2&lt;44348,"",IF(INDEX(Raw_매출!$B$2:$BI$155,MATCH($A2,Raw_매출!$A$2:$A$155,0),MATCH(EDATE($E2,BM$1-1),Raw_매출!$B$1:$BI$1,0))=0,"",INDEX(Raw_매출!$B$2:$BI$155,MATCH($A2,Raw_매출!$A$2:$A$155,0),MATCH(EDATE($E2,BM$1-1),Raw_매출!$B$1:$BI$1,0))/(INDEX(요약_월별시즈널리티!$F$7:$F$18,MONTH(EDATE($E2,BM$1-1)))/100))),"")</f>
        <v/>
      </c>
      <c r="BN2" t="str" cm="1">
        <f t="array" ref="BN2">IFERROR(IF($E2&lt;44348,"",IF(INDEX(Raw_매출!$B$2:$BI$155,MATCH($A2,Raw_매출!$A$2:$A$155,0),MATCH(EDATE($E2,BN$1-1),Raw_매출!$B$1:$BI$1,0))=0,"",INDEX(Raw_매출!$B$2:$BI$155,MATCH($A2,Raw_매출!$A$2:$A$155,0),MATCH(EDATE($E2,BN$1-1),Raw_매출!$B$1:$BI$1,0))/(INDEX(요약_월별시즈널리티!$F$7:$F$18,MONTH(EDATE($E2,BN$1-1)))/100))),"")</f>
        <v/>
      </c>
    </row>
    <row r="3" spans="1:66" x14ac:dyDescent="0.4">
      <c r="A3" t="str">
        <f>세팅!A4</f>
        <v>(0002) 인헌점</v>
      </c>
      <c r="B3" t="str">
        <f>세팅!B4</f>
        <v>150-1</v>
      </c>
      <c r="C3">
        <f t="shared" ref="C3:C66" si="0">IFERROR(VALUE(MID(B3,5,10)),"")</f>
        <v>1</v>
      </c>
      <c r="D3" t="str">
        <f t="shared" ref="D3:D66" si="1">IF(C3="","",IF(C3&gt;=3,"3+",TEXT(C3,"0")))</f>
        <v>1</v>
      </c>
      <c r="E3" s="1">
        <f>세팅!D4</f>
        <v>42461</v>
      </c>
      <c r="F3" t="str">
        <f t="shared" ref="F3:F66" si="2">IF(COUNT(J3:O3)&gt;=4,AVERAGE(J3:O3),"")</f>
        <v/>
      </c>
      <c r="G3" t="str" cm="1">
        <f t="array" ref="G3">IFERROR(IF($E3&lt;44348,"",IF(INDEX(Raw_매출!$B$2:$BI$155,MATCH($A3,Raw_매출!$A$2:$A$155,0),MATCH(EDATE($E3,G$1-1),Raw_매출!$B$1:$BI$1,0))=0,"",INDEX(Raw_매출!$B$2:$BI$155,MATCH($A3,Raw_매출!$A$2:$A$155,0),MATCH(EDATE($E3,G$1-1),Raw_매출!$B$1:$BI$1,0))/(INDEX(요약_월별시즈널리티!$F$7:$F$18,MONTH(EDATE($E3,G$1-1)))/100))),"")</f>
        <v/>
      </c>
      <c r="H3" t="str" cm="1">
        <f t="array" ref="H3">IFERROR(IF($E3&lt;44348,"",IF(INDEX(Raw_매출!$B$2:$BI$155,MATCH($A3,Raw_매출!$A$2:$A$155,0),MATCH(EDATE($E3,H$1-1),Raw_매출!$B$1:$BI$1,0))=0,"",INDEX(Raw_매출!$B$2:$BI$155,MATCH($A3,Raw_매출!$A$2:$A$155,0),MATCH(EDATE($E3,H$1-1),Raw_매출!$B$1:$BI$1,0))/(INDEX(요약_월별시즈널리티!$F$7:$F$18,MONTH(EDATE($E3,H$1-1)))/100))),"")</f>
        <v/>
      </c>
      <c r="I3" t="str" cm="1">
        <f t="array" ref="I3">IFERROR(IF($E3&lt;44348,"",IF(INDEX(Raw_매출!$B$2:$BI$155,MATCH($A3,Raw_매출!$A$2:$A$155,0),MATCH(EDATE($E3,I$1-1),Raw_매출!$B$1:$BI$1,0))=0,"",INDEX(Raw_매출!$B$2:$BI$155,MATCH($A3,Raw_매출!$A$2:$A$155,0),MATCH(EDATE($E3,I$1-1),Raw_매출!$B$1:$BI$1,0))/(INDEX(요약_월별시즈널리티!$F$7:$F$18,MONTH(EDATE($E3,I$1-1)))/100))),"")</f>
        <v/>
      </c>
      <c r="J3" s="30" t="str" cm="1">
        <f t="array" ref="J3">IFERROR(IF($E3&lt;44348,"",IF(INDEX(Raw_매출!$B$2:$BI$155,MATCH($A3,Raw_매출!$A$2:$A$155,0),MATCH(EDATE($E3,J$1-1),Raw_매출!$B$1:$BI$1,0))=0,"",INDEX(Raw_매출!$B$2:$BI$155,MATCH($A3,Raw_매출!$A$2:$A$155,0),MATCH(EDATE($E3,J$1-1),Raw_매출!$B$1:$BI$1,0))/(INDEX(요약_월별시즈널리티!$F$7:$F$18,MONTH(EDATE($E3,J$1-1)))/100))),"")</f>
        <v/>
      </c>
      <c r="K3" s="30" t="str" cm="1">
        <f t="array" ref="K3">IFERROR(IF($E3&lt;44348,"",IF(INDEX(Raw_매출!$B$2:$BI$155,MATCH($A3,Raw_매출!$A$2:$A$155,0),MATCH(EDATE($E3,K$1-1),Raw_매출!$B$1:$BI$1,0))=0,"",INDEX(Raw_매출!$B$2:$BI$155,MATCH($A3,Raw_매출!$A$2:$A$155,0),MATCH(EDATE($E3,K$1-1),Raw_매출!$B$1:$BI$1,0))/(INDEX(요약_월별시즈널리티!$F$7:$F$18,MONTH(EDATE($E3,K$1-1)))/100))),"")</f>
        <v/>
      </c>
      <c r="L3" s="30" t="str" cm="1">
        <f t="array" ref="L3">IFERROR(IF($E3&lt;44348,"",IF(INDEX(Raw_매출!$B$2:$BI$155,MATCH($A3,Raw_매출!$A$2:$A$155,0),MATCH(EDATE($E3,L$1-1),Raw_매출!$B$1:$BI$1,0))=0,"",INDEX(Raw_매출!$B$2:$BI$155,MATCH($A3,Raw_매출!$A$2:$A$155,0),MATCH(EDATE($E3,L$1-1),Raw_매출!$B$1:$BI$1,0))/(INDEX(요약_월별시즈널리티!$F$7:$F$18,MONTH(EDATE($E3,L$1-1)))/100))),"")</f>
        <v/>
      </c>
      <c r="M3" s="30" t="str" cm="1">
        <f t="array" ref="M3">IFERROR(IF($E3&lt;44348,"",IF(INDEX(Raw_매출!$B$2:$BI$155,MATCH($A3,Raw_매출!$A$2:$A$155,0),MATCH(EDATE($E3,M$1-1),Raw_매출!$B$1:$BI$1,0))=0,"",INDEX(Raw_매출!$B$2:$BI$155,MATCH($A3,Raw_매출!$A$2:$A$155,0),MATCH(EDATE($E3,M$1-1),Raw_매출!$B$1:$BI$1,0))/(INDEX(요약_월별시즈널리티!$F$7:$F$18,MONTH(EDATE($E3,M$1-1)))/100))),"")</f>
        <v/>
      </c>
      <c r="N3" s="30" t="str" cm="1">
        <f t="array" ref="N3">IFERROR(IF($E3&lt;44348,"",IF(INDEX(Raw_매출!$B$2:$BI$155,MATCH($A3,Raw_매출!$A$2:$A$155,0),MATCH(EDATE($E3,N$1-1),Raw_매출!$B$1:$BI$1,0))=0,"",INDEX(Raw_매출!$B$2:$BI$155,MATCH($A3,Raw_매출!$A$2:$A$155,0),MATCH(EDATE($E3,N$1-1),Raw_매출!$B$1:$BI$1,0))/(INDEX(요약_월별시즈널리티!$F$7:$F$18,MONTH(EDATE($E3,N$1-1)))/100))),"")</f>
        <v/>
      </c>
      <c r="O3" s="30" t="str" cm="1">
        <f t="array" ref="O3">IFERROR(IF($E3&lt;44348,"",IF(INDEX(Raw_매출!$B$2:$BI$155,MATCH($A3,Raw_매출!$A$2:$A$155,0),MATCH(EDATE($E3,O$1-1),Raw_매출!$B$1:$BI$1,0))=0,"",INDEX(Raw_매출!$B$2:$BI$155,MATCH($A3,Raw_매출!$A$2:$A$155,0),MATCH(EDATE($E3,O$1-1),Raw_매출!$B$1:$BI$1,0))/(INDEX(요약_월별시즈널리티!$F$7:$F$18,MONTH(EDATE($E3,O$1-1)))/100))),"")</f>
        <v/>
      </c>
      <c r="P3" t="str" cm="1">
        <f t="array" ref="P3">IFERROR(IF($E3&lt;44348,"",IF(INDEX(Raw_매출!$B$2:$BI$155,MATCH($A3,Raw_매출!$A$2:$A$155,0),MATCH(EDATE($E3,P$1-1),Raw_매출!$B$1:$BI$1,0))=0,"",INDEX(Raw_매출!$B$2:$BI$155,MATCH($A3,Raw_매출!$A$2:$A$155,0),MATCH(EDATE($E3,P$1-1),Raw_매출!$B$1:$BI$1,0))/(INDEX(요약_월별시즈널리티!$F$7:$F$18,MONTH(EDATE($E3,P$1-1)))/100))),"")</f>
        <v/>
      </c>
      <c r="Q3" t="str" cm="1">
        <f t="array" ref="Q3">IFERROR(IF($E3&lt;44348,"",IF(INDEX(Raw_매출!$B$2:$BI$155,MATCH($A3,Raw_매출!$A$2:$A$155,0),MATCH(EDATE($E3,Q$1-1),Raw_매출!$B$1:$BI$1,0))=0,"",INDEX(Raw_매출!$B$2:$BI$155,MATCH($A3,Raw_매출!$A$2:$A$155,0),MATCH(EDATE($E3,Q$1-1),Raw_매출!$B$1:$BI$1,0))/(INDEX(요약_월별시즈널리티!$F$7:$F$18,MONTH(EDATE($E3,Q$1-1)))/100))),"")</f>
        <v/>
      </c>
      <c r="R3" t="str" cm="1">
        <f t="array" ref="R3">IFERROR(IF($E3&lt;44348,"",IF(INDEX(Raw_매출!$B$2:$BI$155,MATCH($A3,Raw_매출!$A$2:$A$155,0),MATCH(EDATE($E3,R$1-1),Raw_매출!$B$1:$BI$1,0))=0,"",INDEX(Raw_매출!$B$2:$BI$155,MATCH($A3,Raw_매출!$A$2:$A$155,0),MATCH(EDATE($E3,R$1-1),Raw_매출!$B$1:$BI$1,0))/(INDEX(요약_월별시즈널리티!$F$7:$F$18,MONTH(EDATE($E3,R$1-1)))/100))),"")</f>
        <v/>
      </c>
      <c r="S3" t="str" cm="1">
        <f t="array" ref="S3">IFERROR(IF($E3&lt;44348,"",IF(INDEX(Raw_매출!$B$2:$BI$155,MATCH($A3,Raw_매출!$A$2:$A$155,0),MATCH(EDATE($E3,S$1-1),Raw_매출!$B$1:$BI$1,0))=0,"",INDEX(Raw_매출!$B$2:$BI$155,MATCH($A3,Raw_매출!$A$2:$A$155,0),MATCH(EDATE($E3,S$1-1),Raw_매출!$B$1:$BI$1,0))/(INDEX(요약_월별시즈널리티!$F$7:$F$18,MONTH(EDATE($E3,S$1-1)))/100))),"")</f>
        <v/>
      </c>
      <c r="T3" t="str" cm="1">
        <f t="array" ref="T3">IFERROR(IF($E3&lt;44348,"",IF(INDEX(Raw_매출!$B$2:$BI$155,MATCH($A3,Raw_매출!$A$2:$A$155,0),MATCH(EDATE($E3,T$1-1),Raw_매출!$B$1:$BI$1,0))=0,"",INDEX(Raw_매출!$B$2:$BI$155,MATCH($A3,Raw_매출!$A$2:$A$155,0),MATCH(EDATE($E3,T$1-1),Raw_매출!$B$1:$BI$1,0))/(INDEX(요약_월별시즈널리티!$F$7:$F$18,MONTH(EDATE($E3,T$1-1)))/100))),"")</f>
        <v/>
      </c>
      <c r="U3" t="str" cm="1">
        <f t="array" ref="U3">IFERROR(IF($E3&lt;44348,"",IF(INDEX(Raw_매출!$B$2:$BI$155,MATCH($A3,Raw_매출!$A$2:$A$155,0),MATCH(EDATE($E3,U$1-1),Raw_매출!$B$1:$BI$1,0))=0,"",INDEX(Raw_매출!$B$2:$BI$155,MATCH($A3,Raw_매출!$A$2:$A$155,0),MATCH(EDATE($E3,U$1-1),Raw_매출!$B$1:$BI$1,0))/(INDEX(요약_월별시즈널리티!$F$7:$F$18,MONTH(EDATE($E3,U$1-1)))/100))),"")</f>
        <v/>
      </c>
      <c r="V3" t="str" cm="1">
        <f t="array" ref="V3">IFERROR(IF($E3&lt;44348,"",IF(INDEX(Raw_매출!$B$2:$BI$155,MATCH($A3,Raw_매출!$A$2:$A$155,0),MATCH(EDATE($E3,V$1-1),Raw_매출!$B$1:$BI$1,0))=0,"",INDEX(Raw_매출!$B$2:$BI$155,MATCH($A3,Raw_매출!$A$2:$A$155,0),MATCH(EDATE($E3,V$1-1),Raw_매출!$B$1:$BI$1,0))/(INDEX(요약_월별시즈널리티!$F$7:$F$18,MONTH(EDATE($E3,V$1-1)))/100))),"")</f>
        <v/>
      </c>
      <c r="W3" t="str" cm="1">
        <f t="array" ref="W3">IFERROR(IF($E3&lt;44348,"",IF(INDEX(Raw_매출!$B$2:$BI$155,MATCH($A3,Raw_매출!$A$2:$A$155,0),MATCH(EDATE($E3,W$1-1),Raw_매출!$B$1:$BI$1,0))=0,"",INDEX(Raw_매출!$B$2:$BI$155,MATCH($A3,Raw_매출!$A$2:$A$155,0),MATCH(EDATE($E3,W$1-1),Raw_매출!$B$1:$BI$1,0))/(INDEX(요약_월별시즈널리티!$F$7:$F$18,MONTH(EDATE($E3,W$1-1)))/100))),"")</f>
        <v/>
      </c>
      <c r="X3" t="str" cm="1">
        <f t="array" ref="X3">IFERROR(IF($E3&lt;44348,"",IF(INDEX(Raw_매출!$B$2:$BI$155,MATCH($A3,Raw_매출!$A$2:$A$155,0),MATCH(EDATE($E3,X$1-1),Raw_매출!$B$1:$BI$1,0))=0,"",INDEX(Raw_매출!$B$2:$BI$155,MATCH($A3,Raw_매출!$A$2:$A$155,0),MATCH(EDATE($E3,X$1-1),Raw_매출!$B$1:$BI$1,0))/(INDEX(요약_월별시즈널리티!$F$7:$F$18,MONTH(EDATE($E3,X$1-1)))/100))),"")</f>
        <v/>
      </c>
      <c r="Y3" t="str" cm="1">
        <f t="array" ref="Y3">IFERROR(IF($E3&lt;44348,"",IF(INDEX(Raw_매출!$B$2:$BI$155,MATCH($A3,Raw_매출!$A$2:$A$155,0),MATCH(EDATE($E3,Y$1-1),Raw_매출!$B$1:$BI$1,0))=0,"",INDEX(Raw_매출!$B$2:$BI$155,MATCH($A3,Raw_매출!$A$2:$A$155,0),MATCH(EDATE($E3,Y$1-1),Raw_매출!$B$1:$BI$1,0))/(INDEX(요약_월별시즈널리티!$F$7:$F$18,MONTH(EDATE($E3,Y$1-1)))/100))),"")</f>
        <v/>
      </c>
      <c r="Z3" t="str" cm="1">
        <f t="array" ref="Z3">IFERROR(IF($E3&lt;44348,"",IF(INDEX(Raw_매출!$B$2:$BI$155,MATCH($A3,Raw_매출!$A$2:$A$155,0),MATCH(EDATE($E3,Z$1-1),Raw_매출!$B$1:$BI$1,0))=0,"",INDEX(Raw_매출!$B$2:$BI$155,MATCH($A3,Raw_매출!$A$2:$A$155,0),MATCH(EDATE($E3,Z$1-1),Raw_매출!$B$1:$BI$1,0))/(INDEX(요약_월별시즈널리티!$F$7:$F$18,MONTH(EDATE($E3,Z$1-1)))/100))),"")</f>
        <v/>
      </c>
      <c r="AA3" t="str" cm="1">
        <f t="array" ref="AA3">IFERROR(IF($E3&lt;44348,"",IF(INDEX(Raw_매출!$B$2:$BI$155,MATCH($A3,Raw_매출!$A$2:$A$155,0),MATCH(EDATE($E3,AA$1-1),Raw_매출!$B$1:$BI$1,0))=0,"",INDEX(Raw_매출!$B$2:$BI$155,MATCH($A3,Raw_매출!$A$2:$A$155,0),MATCH(EDATE($E3,AA$1-1),Raw_매출!$B$1:$BI$1,0))/(INDEX(요약_월별시즈널리티!$F$7:$F$18,MONTH(EDATE($E3,AA$1-1)))/100))),"")</f>
        <v/>
      </c>
      <c r="AB3" t="str" cm="1">
        <f t="array" ref="AB3">IFERROR(IF($E3&lt;44348,"",IF(INDEX(Raw_매출!$B$2:$BI$155,MATCH($A3,Raw_매출!$A$2:$A$155,0),MATCH(EDATE($E3,AB$1-1),Raw_매출!$B$1:$BI$1,0))=0,"",INDEX(Raw_매출!$B$2:$BI$155,MATCH($A3,Raw_매출!$A$2:$A$155,0),MATCH(EDATE($E3,AB$1-1),Raw_매출!$B$1:$BI$1,0))/(INDEX(요약_월별시즈널리티!$F$7:$F$18,MONTH(EDATE($E3,AB$1-1)))/100))),"")</f>
        <v/>
      </c>
      <c r="AC3" t="str" cm="1">
        <f t="array" ref="AC3">IFERROR(IF($E3&lt;44348,"",IF(INDEX(Raw_매출!$B$2:$BI$155,MATCH($A3,Raw_매출!$A$2:$A$155,0),MATCH(EDATE($E3,AC$1-1),Raw_매출!$B$1:$BI$1,0))=0,"",INDEX(Raw_매출!$B$2:$BI$155,MATCH($A3,Raw_매출!$A$2:$A$155,0),MATCH(EDATE($E3,AC$1-1),Raw_매출!$B$1:$BI$1,0))/(INDEX(요약_월별시즈널리티!$F$7:$F$18,MONTH(EDATE($E3,AC$1-1)))/100))),"")</f>
        <v/>
      </c>
      <c r="AD3" t="str" cm="1">
        <f t="array" ref="AD3">IFERROR(IF($E3&lt;44348,"",IF(INDEX(Raw_매출!$B$2:$BI$155,MATCH($A3,Raw_매출!$A$2:$A$155,0),MATCH(EDATE($E3,AD$1-1),Raw_매출!$B$1:$BI$1,0))=0,"",INDEX(Raw_매출!$B$2:$BI$155,MATCH($A3,Raw_매출!$A$2:$A$155,0),MATCH(EDATE($E3,AD$1-1),Raw_매출!$B$1:$BI$1,0))/(INDEX(요약_월별시즈널리티!$F$7:$F$18,MONTH(EDATE($E3,AD$1-1)))/100))),"")</f>
        <v/>
      </c>
      <c r="AE3" t="str" cm="1">
        <f t="array" ref="AE3">IFERROR(IF($E3&lt;44348,"",IF(INDEX(Raw_매출!$B$2:$BI$155,MATCH($A3,Raw_매출!$A$2:$A$155,0),MATCH(EDATE($E3,AE$1-1),Raw_매출!$B$1:$BI$1,0))=0,"",INDEX(Raw_매출!$B$2:$BI$155,MATCH($A3,Raw_매출!$A$2:$A$155,0),MATCH(EDATE($E3,AE$1-1),Raw_매출!$B$1:$BI$1,0))/(INDEX(요약_월별시즈널리티!$F$7:$F$18,MONTH(EDATE($E3,AE$1-1)))/100))),"")</f>
        <v/>
      </c>
      <c r="AF3" t="str" cm="1">
        <f t="array" ref="AF3">IFERROR(IF($E3&lt;44348,"",IF(INDEX(Raw_매출!$B$2:$BI$155,MATCH($A3,Raw_매출!$A$2:$A$155,0),MATCH(EDATE($E3,AF$1-1),Raw_매출!$B$1:$BI$1,0))=0,"",INDEX(Raw_매출!$B$2:$BI$155,MATCH($A3,Raw_매출!$A$2:$A$155,0),MATCH(EDATE($E3,AF$1-1),Raw_매출!$B$1:$BI$1,0))/(INDEX(요약_월별시즈널리티!$F$7:$F$18,MONTH(EDATE($E3,AF$1-1)))/100))),"")</f>
        <v/>
      </c>
      <c r="AG3" t="str" cm="1">
        <f t="array" ref="AG3">IFERROR(IF($E3&lt;44348,"",IF(INDEX(Raw_매출!$B$2:$BI$155,MATCH($A3,Raw_매출!$A$2:$A$155,0),MATCH(EDATE($E3,AG$1-1),Raw_매출!$B$1:$BI$1,0))=0,"",INDEX(Raw_매출!$B$2:$BI$155,MATCH($A3,Raw_매출!$A$2:$A$155,0),MATCH(EDATE($E3,AG$1-1),Raw_매출!$B$1:$BI$1,0))/(INDEX(요약_월별시즈널리티!$F$7:$F$18,MONTH(EDATE($E3,AG$1-1)))/100))),"")</f>
        <v/>
      </c>
      <c r="AH3" t="str" cm="1">
        <f t="array" ref="AH3">IFERROR(IF($E3&lt;44348,"",IF(INDEX(Raw_매출!$B$2:$BI$155,MATCH($A3,Raw_매출!$A$2:$A$155,0),MATCH(EDATE($E3,AH$1-1),Raw_매출!$B$1:$BI$1,0))=0,"",INDEX(Raw_매출!$B$2:$BI$155,MATCH($A3,Raw_매출!$A$2:$A$155,0),MATCH(EDATE($E3,AH$1-1),Raw_매출!$B$1:$BI$1,0))/(INDEX(요약_월별시즈널리티!$F$7:$F$18,MONTH(EDATE($E3,AH$1-1)))/100))),"")</f>
        <v/>
      </c>
      <c r="AI3" t="str" cm="1">
        <f t="array" ref="AI3">IFERROR(IF($E3&lt;44348,"",IF(INDEX(Raw_매출!$B$2:$BI$155,MATCH($A3,Raw_매출!$A$2:$A$155,0),MATCH(EDATE($E3,AI$1-1),Raw_매출!$B$1:$BI$1,0))=0,"",INDEX(Raw_매출!$B$2:$BI$155,MATCH($A3,Raw_매출!$A$2:$A$155,0),MATCH(EDATE($E3,AI$1-1),Raw_매출!$B$1:$BI$1,0))/(INDEX(요약_월별시즈널리티!$F$7:$F$18,MONTH(EDATE($E3,AI$1-1)))/100))),"")</f>
        <v/>
      </c>
      <c r="AJ3" t="str" cm="1">
        <f t="array" ref="AJ3">IFERROR(IF($E3&lt;44348,"",IF(INDEX(Raw_매출!$B$2:$BI$155,MATCH($A3,Raw_매출!$A$2:$A$155,0),MATCH(EDATE($E3,AJ$1-1),Raw_매출!$B$1:$BI$1,0))=0,"",INDEX(Raw_매출!$B$2:$BI$155,MATCH($A3,Raw_매출!$A$2:$A$155,0),MATCH(EDATE($E3,AJ$1-1),Raw_매출!$B$1:$BI$1,0))/(INDEX(요약_월별시즈널리티!$F$7:$F$18,MONTH(EDATE($E3,AJ$1-1)))/100))),"")</f>
        <v/>
      </c>
      <c r="AK3" t="str" cm="1">
        <f t="array" ref="AK3">IFERROR(IF($E3&lt;44348,"",IF(INDEX(Raw_매출!$B$2:$BI$155,MATCH($A3,Raw_매출!$A$2:$A$155,0),MATCH(EDATE($E3,AK$1-1),Raw_매출!$B$1:$BI$1,0))=0,"",INDEX(Raw_매출!$B$2:$BI$155,MATCH($A3,Raw_매출!$A$2:$A$155,0),MATCH(EDATE($E3,AK$1-1),Raw_매출!$B$1:$BI$1,0))/(INDEX(요약_월별시즈널리티!$F$7:$F$18,MONTH(EDATE($E3,AK$1-1)))/100))),"")</f>
        <v/>
      </c>
      <c r="AL3" t="str" cm="1">
        <f t="array" ref="AL3">IFERROR(IF($E3&lt;44348,"",IF(INDEX(Raw_매출!$B$2:$BI$155,MATCH($A3,Raw_매출!$A$2:$A$155,0),MATCH(EDATE($E3,AL$1-1),Raw_매출!$B$1:$BI$1,0))=0,"",INDEX(Raw_매출!$B$2:$BI$155,MATCH($A3,Raw_매출!$A$2:$A$155,0),MATCH(EDATE($E3,AL$1-1),Raw_매출!$B$1:$BI$1,0))/(INDEX(요약_월별시즈널리티!$F$7:$F$18,MONTH(EDATE($E3,AL$1-1)))/100))),"")</f>
        <v/>
      </c>
      <c r="AM3" t="str" cm="1">
        <f t="array" ref="AM3">IFERROR(IF($E3&lt;44348,"",IF(INDEX(Raw_매출!$B$2:$BI$155,MATCH($A3,Raw_매출!$A$2:$A$155,0),MATCH(EDATE($E3,AM$1-1),Raw_매출!$B$1:$BI$1,0))=0,"",INDEX(Raw_매출!$B$2:$BI$155,MATCH($A3,Raw_매출!$A$2:$A$155,0),MATCH(EDATE($E3,AM$1-1),Raw_매출!$B$1:$BI$1,0))/(INDEX(요약_월별시즈널리티!$F$7:$F$18,MONTH(EDATE($E3,AM$1-1)))/100))),"")</f>
        <v/>
      </c>
      <c r="AN3" t="str" cm="1">
        <f t="array" ref="AN3">IFERROR(IF($E3&lt;44348,"",IF(INDEX(Raw_매출!$B$2:$BI$155,MATCH($A3,Raw_매출!$A$2:$A$155,0),MATCH(EDATE($E3,AN$1-1),Raw_매출!$B$1:$BI$1,0))=0,"",INDEX(Raw_매출!$B$2:$BI$155,MATCH($A3,Raw_매출!$A$2:$A$155,0),MATCH(EDATE($E3,AN$1-1),Raw_매출!$B$1:$BI$1,0))/(INDEX(요약_월별시즈널리티!$F$7:$F$18,MONTH(EDATE($E3,AN$1-1)))/100))),"")</f>
        <v/>
      </c>
      <c r="AO3" t="str" cm="1">
        <f t="array" ref="AO3">IFERROR(IF($E3&lt;44348,"",IF(INDEX(Raw_매출!$B$2:$BI$155,MATCH($A3,Raw_매출!$A$2:$A$155,0),MATCH(EDATE($E3,AO$1-1),Raw_매출!$B$1:$BI$1,0))=0,"",INDEX(Raw_매출!$B$2:$BI$155,MATCH($A3,Raw_매출!$A$2:$A$155,0),MATCH(EDATE($E3,AO$1-1),Raw_매출!$B$1:$BI$1,0))/(INDEX(요약_월별시즈널리티!$F$7:$F$18,MONTH(EDATE($E3,AO$1-1)))/100))),"")</f>
        <v/>
      </c>
      <c r="AP3" t="str" cm="1">
        <f t="array" ref="AP3">IFERROR(IF($E3&lt;44348,"",IF(INDEX(Raw_매출!$B$2:$BI$155,MATCH($A3,Raw_매출!$A$2:$A$155,0),MATCH(EDATE($E3,AP$1-1),Raw_매출!$B$1:$BI$1,0))=0,"",INDEX(Raw_매출!$B$2:$BI$155,MATCH($A3,Raw_매출!$A$2:$A$155,0),MATCH(EDATE($E3,AP$1-1),Raw_매출!$B$1:$BI$1,0))/(INDEX(요약_월별시즈널리티!$F$7:$F$18,MONTH(EDATE($E3,AP$1-1)))/100))),"")</f>
        <v/>
      </c>
      <c r="AQ3" t="str" cm="1">
        <f t="array" ref="AQ3">IFERROR(IF($E3&lt;44348,"",IF(INDEX(Raw_매출!$B$2:$BI$155,MATCH($A3,Raw_매출!$A$2:$A$155,0),MATCH(EDATE($E3,AQ$1-1),Raw_매출!$B$1:$BI$1,0))=0,"",INDEX(Raw_매출!$B$2:$BI$155,MATCH($A3,Raw_매출!$A$2:$A$155,0),MATCH(EDATE($E3,AQ$1-1),Raw_매출!$B$1:$BI$1,0))/(INDEX(요약_월별시즈널리티!$F$7:$F$18,MONTH(EDATE($E3,AQ$1-1)))/100))),"")</f>
        <v/>
      </c>
      <c r="AR3" t="str" cm="1">
        <f t="array" ref="AR3">IFERROR(IF($E3&lt;44348,"",IF(INDEX(Raw_매출!$B$2:$BI$155,MATCH($A3,Raw_매출!$A$2:$A$155,0),MATCH(EDATE($E3,AR$1-1),Raw_매출!$B$1:$BI$1,0))=0,"",INDEX(Raw_매출!$B$2:$BI$155,MATCH($A3,Raw_매출!$A$2:$A$155,0),MATCH(EDATE($E3,AR$1-1),Raw_매출!$B$1:$BI$1,0))/(INDEX(요약_월별시즈널리티!$F$7:$F$18,MONTH(EDATE($E3,AR$1-1)))/100))),"")</f>
        <v/>
      </c>
      <c r="AS3" t="str" cm="1">
        <f t="array" ref="AS3">IFERROR(IF($E3&lt;44348,"",IF(INDEX(Raw_매출!$B$2:$BI$155,MATCH($A3,Raw_매출!$A$2:$A$155,0),MATCH(EDATE($E3,AS$1-1),Raw_매출!$B$1:$BI$1,0))=0,"",INDEX(Raw_매출!$B$2:$BI$155,MATCH($A3,Raw_매출!$A$2:$A$155,0),MATCH(EDATE($E3,AS$1-1),Raw_매출!$B$1:$BI$1,0))/(INDEX(요약_월별시즈널리티!$F$7:$F$18,MONTH(EDATE($E3,AS$1-1)))/100))),"")</f>
        <v/>
      </c>
      <c r="AT3" t="str" cm="1">
        <f t="array" ref="AT3">IFERROR(IF($E3&lt;44348,"",IF(INDEX(Raw_매출!$B$2:$BI$155,MATCH($A3,Raw_매출!$A$2:$A$155,0),MATCH(EDATE($E3,AT$1-1),Raw_매출!$B$1:$BI$1,0))=0,"",INDEX(Raw_매출!$B$2:$BI$155,MATCH($A3,Raw_매출!$A$2:$A$155,0),MATCH(EDATE($E3,AT$1-1),Raw_매출!$B$1:$BI$1,0))/(INDEX(요약_월별시즈널리티!$F$7:$F$18,MONTH(EDATE($E3,AT$1-1)))/100))),"")</f>
        <v/>
      </c>
      <c r="AU3" t="str" cm="1">
        <f t="array" ref="AU3">IFERROR(IF($E3&lt;44348,"",IF(INDEX(Raw_매출!$B$2:$BI$155,MATCH($A3,Raw_매출!$A$2:$A$155,0),MATCH(EDATE($E3,AU$1-1),Raw_매출!$B$1:$BI$1,0))=0,"",INDEX(Raw_매출!$B$2:$BI$155,MATCH($A3,Raw_매출!$A$2:$A$155,0),MATCH(EDATE($E3,AU$1-1),Raw_매출!$B$1:$BI$1,0))/(INDEX(요약_월별시즈널리티!$F$7:$F$18,MONTH(EDATE($E3,AU$1-1)))/100))),"")</f>
        <v/>
      </c>
      <c r="AV3" t="str" cm="1">
        <f t="array" ref="AV3">IFERROR(IF($E3&lt;44348,"",IF(INDEX(Raw_매출!$B$2:$BI$155,MATCH($A3,Raw_매출!$A$2:$A$155,0),MATCH(EDATE($E3,AV$1-1),Raw_매출!$B$1:$BI$1,0))=0,"",INDEX(Raw_매출!$B$2:$BI$155,MATCH($A3,Raw_매출!$A$2:$A$155,0),MATCH(EDATE($E3,AV$1-1),Raw_매출!$B$1:$BI$1,0))/(INDEX(요약_월별시즈널리티!$F$7:$F$18,MONTH(EDATE($E3,AV$1-1)))/100))),"")</f>
        <v/>
      </c>
      <c r="AW3" t="str" cm="1">
        <f t="array" ref="AW3">IFERROR(IF($E3&lt;44348,"",IF(INDEX(Raw_매출!$B$2:$BI$155,MATCH($A3,Raw_매출!$A$2:$A$155,0),MATCH(EDATE($E3,AW$1-1),Raw_매출!$B$1:$BI$1,0))=0,"",INDEX(Raw_매출!$B$2:$BI$155,MATCH($A3,Raw_매출!$A$2:$A$155,0),MATCH(EDATE($E3,AW$1-1),Raw_매출!$B$1:$BI$1,0))/(INDEX(요약_월별시즈널리티!$F$7:$F$18,MONTH(EDATE($E3,AW$1-1)))/100))),"")</f>
        <v/>
      </c>
      <c r="AX3" t="str" cm="1">
        <f t="array" ref="AX3">IFERROR(IF($E3&lt;44348,"",IF(INDEX(Raw_매출!$B$2:$BI$155,MATCH($A3,Raw_매출!$A$2:$A$155,0),MATCH(EDATE($E3,AX$1-1),Raw_매출!$B$1:$BI$1,0))=0,"",INDEX(Raw_매출!$B$2:$BI$155,MATCH($A3,Raw_매출!$A$2:$A$155,0),MATCH(EDATE($E3,AX$1-1),Raw_매출!$B$1:$BI$1,0))/(INDEX(요약_월별시즈널리티!$F$7:$F$18,MONTH(EDATE($E3,AX$1-1)))/100))),"")</f>
        <v/>
      </c>
      <c r="AY3" t="str" cm="1">
        <f t="array" ref="AY3">IFERROR(IF($E3&lt;44348,"",IF(INDEX(Raw_매출!$B$2:$BI$155,MATCH($A3,Raw_매출!$A$2:$A$155,0),MATCH(EDATE($E3,AY$1-1),Raw_매출!$B$1:$BI$1,0))=0,"",INDEX(Raw_매출!$B$2:$BI$155,MATCH($A3,Raw_매출!$A$2:$A$155,0),MATCH(EDATE($E3,AY$1-1),Raw_매출!$B$1:$BI$1,0))/(INDEX(요약_월별시즈널리티!$F$7:$F$18,MONTH(EDATE($E3,AY$1-1)))/100))),"")</f>
        <v/>
      </c>
      <c r="AZ3" t="str" cm="1">
        <f t="array" ref="AZ3">IFERROR(IF($E3&lt;44348,"",IF(INDEX(Raw_매출!$B$2:$BI$155,MATCH($A3,Raw_매출!$A$2:$A$155,0),MATCH(EDATE($E3,AZ$1-1),Raw_매출!$B$1:$BI$1,0))=0,"",INDEX(Raw_매출!$B$2:$BI$155,MATCH($A3,Raw_매출!$A$2:$A$155,0),MATCH(EDATE($E3,AZ$1-1),Raw_매출!$B$1:$BI$1,0))/(INDEX(요약_월별시즈널리티!$F$7:$F$18,MONTH(EDATE($E3,AZ$1-1)))/100))),"")</f>
        <v/>
      </c>
      <c r="BA3" t="str" cm="1">
        <f t="array" ref="BA3">IFERROR(IF($E3&lt;44348,"",IF(INDEX(Raw_매출!$B$2:$BI$155,MATCH($A3,Raw_매출!$A$2:$A$155,0),MATCH(EDATE($E3,BA$1-1),Raw_매출!$B$1:$BI$1,0))=0,"",INDEX(Raw_매출!$B$2:$BI$155,MATCH($A3,Raw_매출!$A$2:$A$155,0),MATCH(EDATE($E3,BA$1-1),Raw_매출!$B$1:$BI$1,0))/(INDEX(요약_월별시즈널리티!$F$7:$F$18,MONTH(EDATE($E3,BA$1-1)))/100))),"")</f>
        <v/>
      </c>
      <c r="BB3" t="str" cm="1">
        <f t="array" ref="BB3">IFERROR(IF($E3&lt;44348,"",IF(INDEX(Raw_매출!$B$2:$BI$155,MATCH($A3,Raw_매출!$A$2:$A$155,0),MATCH(EDATE($E3,BB$1-1),Raw_매출!$B$1:$BI$1,0))=0,"",INDEX(Raw_매출!$B$2:$BI$155,MATCH($A3,Raw_매출!$A$2:$A$155,0),MATCH(EDATE($E3,BB$1-1),Raw_매출!$B$1:$BI$1,0))/(INDEX(요약_월별시즈널리티!$F$7:$F$18,MONTH(EDATE($E3,BB$1-1)))/100))),"")</f>
        <v/>
      </c>
      <c r="BC3" t="str" cm="1">
        <f t="array" ref="BC3">IFERROR(IF($E3&lt;44348,"",IF(INDEX(Raw_매출!$B$2:$BI$155,MATCH($A3,Raw_매출!$A$2:$A$155,0),MATCH(EDATE($E3,BC$1-1),Raw_매출!$B$1:$BI$1,0))=0,"",INDEX(Raw_매출!$B$2:$BI$155,MATCH($A3,Raw_매출!$A$2:$A$155,0),MATCH(EDATE($E3,BC$1-1),Raw_매출!$B$1:$BI$1,0))/(INDEX(요약_월별시즈널리티!$F$7:$F$18,MONTH(EDATE($E3,BC$1-1)))/100))),"")</f>
        <v/>
      </c>
      <c r="BD3" t="str" cm="1">
        <f t="array" ref="BD3">IFERROR(IF($E3&lt;44348,"",IF(INDEX(Raw_매출!$B$2:$BI$155,MATCH($A3,Raw_매출!$A$2:$A$155,0),MATCH(EDATE($E3,BD$1-1),Raw_매출!$B$1:$BI$1,0))=0,"",INDEX(Raw_매출!$B$2:$BI$155,MATCH($A3,Raw_매출!$A$2:$A$155,0),MATCH(EDATE($E3,BD$1-1),Raw_매출!$B$1:$BI$1,0))/(INDEX(요약_월별시즈널리티!$F$7:$F$18,MONTH(EDATE($E3,BD$1-1)))/100))),"")</f>
        <v/>
      </c>
      <c r="BE3" t="str" cm="1">
        <f t="array" ref="BE3">IFERROR(IF($E3&lt;44348,"",IF(INDEX(Raw_매출!$B$2:$BI$155,MATCH($A3,Raw_매출!$A$2:$A$155,0),MATCH(EDATE($E3,BE$1-1),Raw_매출!$B$1:$BI$1,0))=0,"",INDEX(Raw_매출!$B$2:$BI$155,MATCH($A3,Raw_매출!$A$2:$A$155,0),MATCH(EDATE($E3,BE$1-1),Raw_매출!$B$1:$BI$1,0))/(INDEX(요약_월별시즈널리티!$F$7:$F$18,MONTH(EDATE($E3,BE$1-1)))/100))),"")</f>
        <v/>
      </c>
      <c r="BF3" t="str" cm="1">
        <f t="array" ref="BF3">IFERROR(IF($E3&lt;44348,"",IF(INDEX(Raw_매출!$B$2:$BI$155,MATCH($A3,Raw_매출!$A$2:$A$155,0),MATCH(EDATE($E3,BF$1-1),Raw_매출!$B$1:$BI$1,0))=0,"",INDEX(Raw_매출!$B$2:$BI$155,MATCH($A3,Raw_매출!$A$2:$A$155,0),MATCH(EDATE($E3,BF$1-1),Raw_매출!$B$1:$BI$1,0))/(INDEX(요약_월별시즈널리티!$F$7:$F$18,MONTH(EDATE($E3,BF$1-1)))/100))),"")</f>
        <v/>
      </c>
      <c r="BG3" t="str" cm="1">
        <f t="array" ref="BG3">IFERROR(IF($E3&lt;44348,"",IF(INDEX(Raw_매출!$B$2:$BI$155,MATCH($A3,Raw_매출!$A$2:$A$155,0),MATCH(EDATE($E3,BG$1-1),Raw_매출!$B$1:$BI$1,0))=0,"",INDEX(Raw_매출!$B$2:$BI$155,MATCH($A3,Raw_매출!$A$2:$A$155,0),MATCH(EDATE($E3,BG$1-1),Raw_매출!$B$1:$BI$1,0))/(INDEX(요약_월별시즈널리티!$F$7:$F$18,MONTH(EDATE($E3,BG$1-1)))/100))),"")</f>
        <v/>
      </c>
      <c r="BH3" t="str" cm="1">
        <f t="array" ref="BH3">IFERROR(IF($E3&lt;44348,"",IF(INDEX(Raw_매출!$B$2:$BI$155,MATCH($A3,Raw_매출!$A$2:$A$155,0),MATCH(EDATE($E3,BH$1-1),Raw_매출!$B$1:$BI$1,0))=0,"",INDEX(Raw_매출!$B$2:$BI$155,MATCH($A3,Raw_매출!$A$2:$A$155,0),MATCH(EDATE($E3,BH$1-1),Raw_매출!$B$1:$BI$1,0))/(INDEX(요약_월별시즈널리티!$F$7:$F$18,MONTH(EDATE($E3,BH$1-1)))/100))),"")</f>
        <v/>
      </c>
      <c r="BI3" t="str" cm="1">
        <f t="array" ref="BI3">IFERROR(IF($E3&lt;44348,"",IF(INDEX(Raw_매출!$B$2:$BI$155,MATCH($A3,Raw_매출!$A$2:$A$155,0),MATCH(EDATE($E3,BI$1-1),Raw_매출!$B$1:$BI$1,0))=0,"",INDEX(Raw_매출!$B$2:$BI$155,MATCH($A3,Raw_매출!$A$2:$A$155,0),MATCH(EDATE($E3,BI$1-1),Raw_매출!$B$1:$BI$1,0))/(INDEX(요약_월별시즈널리티!$F$7:$F$18,MONTH(EDATE($E3,BI$1-1)))/100))),"")</f>
        <v/>
      </c>
      <c r="BJ3" t="str" cm="1">
        <f t="array" ref="BJ3">IFERROR(IF($E3&lt;44348,"",IF(INDEX(Raw_매출!$B$2:$BI$155,MATCH($A3,Raw_매출!$A$2:$A$155,0),MATCH(EDATE($E3,BJ$1-1),Raw_매출!$B$1:$BI$1,0))=0,"",INDEX(Raw_매출!$B$2:$BI$155,MATCH($A3,Raw_매출!$A$2:$A$155,0),MATCH(EDATE($E3,BJ$1-1),Raw_매출!$B$1:$BI$1,0))/(INDEX(요약_월별시즈널리티!$F$7:$F$18,MONTH(EDATE($E3,BJ$1-1)))/100))),"")</f>
        <v/>
      </c>
      <c r="BK3" t="str" cm="1">
        <f t="array" ref="BK3">IFERROR(IF($E3&lt;44348,"",IF(INDEX(Raw_매출!$B$2:$BI$155,MATCH($A3,Raw_매출!$A$2:$A$155,0),MATCH(EDATE($E3,BK$1-1),Raw_매출!$B$1:$BI$1,0))=0,"",INDEX(Raw_매출!$B$2:$BI$155,MATCH($A3,Raw_매출!$A$2:$A$155,0),MATCH(EDATE($E3,BK$1-1),Raw_매출!$B$1:$BI$1,0))/(INDEX(요약_월별시즈널리티!$F$7:$F$18,MONTH(EDATE($E3,BK$1-1)))/100))),"")</f>
        <v/>
      </c>
      <c r="BL3" t="str" cm="1">
        <f t="array" ref="BL3">IFERROR(IF($E3&lt;44348,"",IF(INDEX(Raw_매출!$B$2:$BI$155,MATCH($A3,Raw_매출!$A$2:$A$155,0),MATCH(EDATE($E3,BL$1-1),Raw_매출!$B$1:$BI$1,0))=0,"",INDEX(Raw_매출!$B$2:$BI$155,MATCH($A3,Raw_매출!$A$2:$A$155,0),MATCH(EDATE($E3,BL$1-1),Raw_매출!$B$1:$BI$1,0))/(INDEX(요약_월별시즈널리티!$F$7:$F$18,MONTH(EDATE($E3,BL$1-1)))/100))),"")</f>
        <v/>
      </c>
      <c r="BM3" t="str" cm="1">
        <f t="array" ref="BM3">IFERROR(IF($E3&lt;44348,"",IF(INDEX(Raw_매출!$B$2:$BI$155,MATCH($A3,Raw_매출!$A$2:$A$155,0),MATCH(EDATE($E3,BM$1-1),Raw_매출!$B$1:$BI$1,0))=0,"",INDEX(Raw_매출!$B$2:$BI$155,MATCH($A3,Raw_매출!$A$2:$A$155,0),MATCH(EDATE($E3,BM$1-1),Raw_매출!$B$1:$BI$1,0))/(INDEX(요약_월별시즈널리티!$F$7:$F$18,MONTH(EDATE($E3,BM$1-1)))/100))),"")</f>
        <v/>
      </c>
      <c r="BN3" t="str" cm="1">
        <f t="array" ref="BN3">IFERROR(IF($E3&lt;44348,"",IF(INDEX(Raw_매출!$B$2:$BI$155,MATCH($A3,Raw_매출!$A$2:$A$155,0),MATCH(EDATE($E3,BN$1-1),Raw_매출!$B$1:$BI$1,0))=0,"",INDEX(Raw_매출!$B$2:$BI$155,MATCH($A3,Raw_매출!$A$2:$A$155,0),MATCH(EDATE($E3,BN$1-1),Raw_매출!$B$1:$BI$1,0))/(INDEX(요약_월별시즈널리티!$F$7:$F$18,MONTH(EDATE($E3,BN$1-1)))/100))),"")</f>
        <v/>
      </c>
    </row>
    <row r="4" spans="1:66" x14ac:dyDescent="0.4">
      <c r="A4" t="str">
        <f>세팅!A5</f>
        <v>(0003) 구디점</v>
      </c>
      <c r="B4" t="str">
        <f>세팅!B5</f>
        <v>150-3</v>
      </c>
      <c r="C4">
        <f t="shared" si="0"/>
        <v>3</v>
      </c>
      <c r="D4" t="str">
        <f t="shared" si="1"/>
        <v>3+</v>
      </c>
      <c r="E4" s="1">
        <f>세팅!D5</f>
        <v>42522</v>
      </c>
      <c r="F4" t="str">
        <f t="shared" si="2"/>
        <v/>
      </c>
      <c r="G4" t="str" cm="1">
        <f t="array" ref="G4">IFERROR(IF($E4&lt;44348,"",IF(INDEX(Raw_매출!$B$2:$BI$155,MATCH($A4,Raw_매출!$A$2:$A$155,0),MATCH(EDATE($E4,G$1-1),Raw_매출!$B$1:$BI$1,0))=0,"",INDEX(Raw_매출!$B$2:$BI$155,MATCH($A4,Raw_매출!$A$2:$A$155,0),MATCH(EDATE($E4,G$1-1),Raw_매출!$B$1:$BI$1,0))/(INDEX(요약_월별시즈널리티!$F$7:$F$18,MONTH(EDATE($E4,G$1-1)))/100))),"")</f>
        <v/>
      </c>
      <c r="H4" t="str" cm="1">
        <f t="array" ref="H4">IFERROR(IF($E4&lt;44348,"",IF(INDEX(Raw_매출!$B$2:$BI$155,MATCH($A4,Raw_매출!$A$2:$A$155,0),MATCH(EDATE($E4,H$1-1),Raw_매출!$B$1:$BI$1,0))=0,"",INDEX(Raw_매출!$B$2:$BI$155,MATCH($A4,Raw_매출!$A$2:$A$155,0),MATCH(EDATE($E4,H$1-1),Raw_매출!$B$1:$BI$1,0))/(INDEX(요약_월별시즈널리티!$F$7:$F$18,MONTH(EDATE($E4,H$1-1)))/100))),"")</f>
        <v/>
      </c>
      <c r="I4" t="str" cm="1">
        <f t="array" ref="I4">IFERROR(IF($E4&lt;44348,"",IF(INDEX(Raw_매출!$B$2:$BI$155,MATCH($A4,Raw_매출!$A$2:$A$155,0),MATCH(EDATE($E4,I$1-1),Raw_매출!$B$1:$BI$1,0))=0,"",INDEX(Raw_매출!$B$2:$BI$155,MATCH($A4,Raw_매출!$A$2:$A$155,0),MATCH(EDATE($E4,I$1-1),Raw_매출!$B$1:$BI$1,0))/(INDEX(요약_월별시즈널리티!$F$7:$F$18,MONTH(EDATE($E4,I$1-1)))/100))),"")</f>
        <v/>
      </c>
      <c r="J4" s="30" t="str" cm="1">
        <f t="array" ref="J4">IFERROR(IF($E4&lt;44348,"",IF(INDEX(Raw_매출!$B$2:$BI$155,MATCH($A4,Raw_매출!$A$2:$A$155,0),MATCH(EDATE($E4,J$1-1),Raw_매출!$B$1:$BI$1,0))=0,"",INDEX(Raw_매출!$B$2:$BI$155,MATCH($A4,Raw_매출!$A$2:$A$155,0),MATCH(EDATE($E4,J$1-1),Raw_매출!$B$1:$BI$1,0))/(INDEX(요약_월별시즈널리티!$F$7:$F$18,MONTH(EDATE($E4,J$1-1)))/100))),"")</f>
        <v/>
      </c>
      <c r="K4" s="30" t="str" cm="1">
        <f t="array" ref="K4">IFERROR(IF($E4&lt;44348,"",IF(INDEX(Raw_매출!$B$2:$BI$155,MATCH($A4,Raw_매출!$A$2:$A$155,0),MATCH(EDATE($E4,K$1-1),Raw_매출!$B$1:$BI$1,0))=0,"",INDEX(Raw_매출!$B$2:$BI$155,MATCH($A4,Raw_매출!$A$2:$A$155,0),MATCH(EDATE($E4,K$1-1),Raw_매출!$B$1:$BI$1,0))/(INDEX(요약_월별시즈널리티!$F$7:$F$18,MONTH(EDATE($E4,K$1-1)))/100))),"")</f>
        <v/>
      </c>
      <c r="L4" s="30" t="str" cm="1">
        <f t="array" ref="L4">IFERROR(IF($E4&lt;44348,"",IF(INDEX(Raw_매출!$B$2:$BI$155,MATCH($A4,Raw_매출!$A$2:$A$155,0),MATCH(EDATE($E4,L$1-1),Raw_매출!$B$1:$BI$1,0))=0,"",INDEX(Raw_매출!$B$2:$BI$155,MATCH($A4,Raw_매출!$A$2:$A$155,0),MATCH(EDATE($E4,L$1-1),Raw_매출!$B$1:$BI$1,0))/(INDEX(요약_월별시즈널리티!$F$7:$F$18,MONTH(EDATE($E4,L$1-1)))/100))),"")</f>
        <v/>
      </c>
      <c r="M4" s="30" t="str" cm="1">
        <f t="array" ref="M4">IFERROR(IF($E4&lt;44348,"",IF(INDEX(Raw_매출!$B$2:$BI$155,MATCH($A4,Raw_매출!$A$2:$A$155,0),MATCH(EDATE($E4,M$1-1),Raw_매출!$B$1:$BI$1,0))=0,"",INDEX(Raw_매출!$B$2:$BI$155,MATCH($A4,Raw_매출!$A$2:$A$155,0),MATCH(EDATE($E4,M$1-1),Raw_매출!$B$1:$BI$1,0))/(INDEX(요약_월별시즈널리티!$F$7:$F$18,MONTH(EDATE($E4,M$1-1)))/100))),"")</f>
        <v/>
      </c>
      <c r="N4" s="30" t="str" cm="1">
        <f t="array" ref="N4">IFERROR(IF($E4&lt;44348,"",IF(INDEX(Raw_매출!$B$2:$BI$155,MATCH($A4,Raw_매출!$A$2:$A$155,0),MATCH(EDATE($E4,N$1-1),Raw_매출!$B$1:$BI$1,0))=0,"",INDEX(Raw_매출!$B$2:$BI$155,MATCH($A4,Raw_매출!$A$2:$A$155,0),MATCH(EDATE($E4,N$1-1),Raw_매출!$B$1:$BI$1,0))/(INDEX(요약_월별시즈널리티!$F$7:$F$18,MONTH(EDATE($E4,N$1-1)))/100))),"")</f>
        <v/>
      </c>
      <c r="O4" s="30" t="str" cm="1">
        <f t="array" ref="O4">IFERROR(IF($E4&lt;44348,"",IF(INDEX(Raw_매출!$B$2:$BI$155,MATCH($A4,Raw_매출!$A$2:$A$155,0),MATCH(EDATE($E4,O$1-1),Raw_매출!$B$1:$BI$1,0))=0,"",INDEX(Raw_매출!$B$2:$BI$155,MATCH($A4,Raw_매출!$A$2:$A$155,0),MATCH(EDATE($E4,O$1-1),Raw_매출!$B$1:$BI$1,0))/(INDEX(요약_월별시즈널리티!$F$7:$F$18,MONTH(EDATE($E4,O$1-1)))/100))),"")</f>
        <v/>
      </c>
      <c r="P4" t="str" cm="1">
        <f t="array" ref="P4">IFERROR(IF($E4&lt;44348,"",IF(INDEX(Raw_매출!$B$2:$BI$155,MATCH($A4,Raw_매출!$A$2:$A$155,0),MATCH(EDATE($E4,P$1-1),Raw_매출!$B$1:$BI$1,0))=0,"",INDEX(Raw_매출!$B$2:$BI$155,MATCH($A4,Raw_매출!$A$2:$A$155,0),MATCH(EDATE($E4,P$1-1),Raw_매출!$B$1:$BI$1,0))/(INDEX(요약_월별시즈널리티!$F$7:$F$18,MONTH(EDATE($E4,P$1-1)))/100))),"")</f>
        <v/>
      </c>
      <c r="Q4" t="str" cm="1">
        <f t="array" ref="Q4">IFERROR(IF($E4&lt;44348,"",IF(INDEX(Raw_매출!$B$2:$BI$155,MATCH($A4,Raw_매출!$A$2:$A$155,0),MATCH(EDATE($E4,Q$1-1),Raw_매출!$B$1:$BI$1,0))=0,"",INDEX(Raw_매출!$B$2:$BI$155,MATCH($A4,Raw_매출!$A$2:$A$155,0),MATCH(EDATE($E4,Q$1-1),Raw_매출!$B$1:$BI$1,0))/(INDEX(요약_월별시즈널리티!$F$7:$F$18,MONTH(EDATE($E4,Q$1-1)))/100))),"")</f>
        <v/>
      </c>
      <c r="R4" t="str" cm="1">
        <f t="array" ref="R4">IFERROR(IF($E4&lt;44348,"",IF(INDEX(Raw_매출!$B$2:$BI$155,MATCH($A4,Raw_매출!$A$2:$A$155,0),MATCH(EDATE($E4,R$1-1),Raw_매출!$B$1:$BI$1,0))=0,"",INDEX(Raw_매출!$B$2:$BI$155,MATCH($A4,Raw_매출!$A$2:$A$155,0),MATCH(EDATE($E4,R$1-1),Raw_매출!$B$1:$BI$1,0))/(INDEX(요약_월별시즈널리티!$F$7:$F$18,MONTH(EDATE($E4,R$1-1)))/100))),"")</f>
        <v/>
      </c>
      <c r="S4" t="str" cm="1">
        <f t="array" ref="S4">IFERROR(IF($E4&lt;44348,"",IF(INDEX(Raw_매출!$B$2:$BI$155,MATCH($A4,Raw_매출!$A$2:$A$155,0),MATCH(EDATE($E4,S$1-1),Raw_매출!$B$1:$BI$1,0))=0,"",INDEX(Raw_매출!$B$2:$BI$155,MATCH($A4,Raw_매출!$A$2:$A$155,0),MATCH(EDATE($E4,S$1-1),Raw_매출!$B$1:$BI$1,0))/(INDEX(요약_월별시즈널리티!$F$7:$F$18,MONTH(EDATE($E4,S$1-1)))/100))),"")</f>
        <v/>
      </c>
      <c r="T4" t="str" cm="1">
        <f t="array" ref="T4">IFERROR(IF($E4&lt;44348,"",IF(INDEX(Raw_매출!$B$2:$BI$155,MATCH($A4,Raw_매출!$A$2:$A$155,0),MATCH(EDATE($E4,T$1-1),Raw_매출!$B$1:$BI$1,0))=0,"",INDEX(Raw_매출!$B$2:$BI$155,MATCH($A4,Raw_매출!$A$2:$A$155,0),MATCH(EDATE($E4,T$1-1),Raw_매출!$B$1:$BI$1,0))/(INDEX(요약_월별시즈널리티!$F$7:$F$18,MONTH(EDATE($E4,T$1-1)))/100))),"")</f>
        <v/>
      </c>
      <c r="U4" t="str" cm="1">
        <f t="array" ref="U4">IFERROR(IF($E4&lt;44348,"",IF(INDEX(Raw_매출!$B$2:$BI$155,MATCH($A4,Raw_매출!$A$2:$A$155,0),MATCH(EDATE($E4,U$1-1),Raw_매출!$B$1:$BI$1,0))=0,"",INDEX(Raw_매출!$B$2:$BI$155,MATCH($A4,Raw_매출!$A$2:$A$155,0),MATCH(EDATE($E4,U$1-1),Raw_매출!$B$1:$BI$1,0))/(INDEX(요약_월별시즈널리티!$F$7:$F$18,MONTH(EDATE($E4,U$1-1)))/100))),"")</f>
        <v/>
      </c>
      <c r="V4" t="str" cm="1">
        <f t="array" ref="V4">IFERROR(IF($E4&lt;44348,"",IF(INDEX(Raw_매출!$B$2:$BI$155,MATCH($A4,Raw_매출!$A$2:$A$155,0),MATCH(EDATE($E4,V$1-1),Raw_매출!$B$1:$BI$1,0))=0,"",INDEX(Raw_매출!$B$2:$BI$155,MATCH($A4,Raw_매출!$A$2:$A$155,0),MATCH(EDATE($E4,V$1-1),Raw_매출!$B$1:$BI$1,0))/(INDEX(요약_월별시즈널리티!$F$7:$F$18,MONTH(EDATE($E4,V$1-1)))/100))),"")</f>
        <v/>
      </c>
      <c r="W4" t="str" cm="1">
        <f t="array" ref="W4">IFERROR(IF($E4&lt;44348,"",IF(INDEX(Raw_매출!$B$2:$BI$155,MATCH($A4,Raw_매출!$A$2:$A$155,0),MATCH(EDATE($E4,W$1-1),Raw_매출!$B$1:$BI$1,0))=0,"",INDEX(Raw_매출!$B$2:$BI$155,MATCH($A4,Raw_매출!$A$2:$A$155,0),MATCH(EDATE($E4,W$1-1),Raw_매출!$B$1:$BI$1,0))/(INDEX(요약_월별시즈널리티!$F$7:$F$18,MONTH(EDATE($E4,W$1-1)))/100))),"")</f>
        <v/>
      </c>
      <c r="X4" t="str" cm="1">
        <f t="array" ref="X4">IFERROR(IF($E4&lt;44348,"",IF(INDEX(Raw_매출!$B$2:$BI$155,MATCH($A4,Raw_매출!$A$2:$A$155,0),MATCH(EDATE($E4,X$1-1),Raw_매출!$B$1:$BI$1,0))=0,"",INDEX(Raw_매출!$B$2:$BI$155,MATCH($A4,Raw_매출!$A$2:$A$155,0),MATCH(EDATE($E4,X$1-1),Raw_매출!$B$1:$BI$1,0))/(INDEX(요약_월별시즈널리티!$F$7:$F$18,MONTH(EDATE($E4,X$1-1)))/100))),"")</f>
        <v/>
      </c>
      <c r="Y4" t="str" cm="1">
        <f t="array" ref="Y4">IFERROR(IF($E4&lt;44348,"",IF(INDEX(Raw_매출!$B$2:$BI$155,MATCH($A4,Raw_매출!$A$2:$A$155,0),MATCH(EDATE($E4,Y$1-1),Raw_매출!$B$1:$BI$1,0))=0,"",INDEX(Raw_매출!$B$2:$BI$155,MATCH($A4,Raw_매출!$A$2:$A$155,0),MATCH(EDATE($E4,Y$1-1),Raw_매출!$B$1:$BI$1,0))/(INDEX(요약_월별시즈널리티!$F$7:$F$18,MONTH(EDATE($E4,Y$1-1)))/100))),"")</f>
        <v/>
      </c>
      <c r="Z4" t="str" cm="1">
        <f t="array" ref="Z4">IFERROR(IF($E4&lt;44348,"",IF(INDEX(Raw_매출!$B$2:$BI$155,MATCH($A4,Raw_매출!$A$2:$A$155,0),MATCH(EDATE($E4,Z$1-1),Raw_매출!$B$1:$BI$1,0))=0,"",INDEX(Raw_매출!$B$2:$BI$155,MATCH($A4,Raw_매출!$A$2:$A$155,0),MATCH(EDATE($E4,Z$1-1),Raw_매출!$B$1:$BI$1,0))/(INDEX(요약_월별시즈널리티!$F$7:$F$18,MONTH(EDATE($E4,Z$1-1)))/100))),"")</f>
        <v/>
      </c>
      <c r="AA4" t="str" cm="1">
        <f t="array" ref="AA4">IFERROR(IF($E4&lt;44348,"",IF(INDEX(Raw_매출!$B$2:$BI$155,MATCH($A4,Raw_매출!$A$2:$A$155,0),MATCH(EDATE($E4,AA$1-1),Raw_매출!$B$1:$BI$1,0))=0,"",INDEX(Raw_매출!$B$2:$BI$155,MATCH($A4,Raw_매출!$A$2:$A$155,0),MATCH(EDATE($E4,AA$1-1),Raw_매출!$B$1:$BI$1,0))/(INDEX(요약_월별시즈널리티!$F$7:$F$18,MONTH(EDATE($E4,AA$1-1)))/100))),"")</f>
        <v/>
      </c>
      <c r="AB4" t="str" cm="1">
        <f t="array" ref="AB4">IFERROR(IF($E4&lt;44348,"",IF(INDEX(Raw_매출!$B$2:$BI$155,MATCH($A4,Raw_매출!$A$2:$A$155,0),MATCH(EDATE($E4,AB$1-1),Raw_매출!$B$1:$BI$1,0))=0,"",INDEX(Raw_매출!$B$2:$BI$155,MATCH($A4,Raw_매출!$A$2:$A$155,0),MATCH(EDATE($E4,AB$1-1),Raw_매출!$B$1:$BI$1,0))/(INDEX(요약_월별시즈널리티!$F$7:$F$18,MONTH(EDATE($E4,AB$1-1)))/100))),"")</f>
        <v/>
      </c>
      <c r="AC4" t="str" cm="1">
        <f t="array" ref="AC4">IFERROR(IF($E4&lt;44348,"",IF(INDEX(Raw_매출!$B$2:$BI$155,MATCH($A4,Raw_매출!$A$2:$A$155,0),MATCH(EDATE($E4,AC$1-1),Raw_매출!$B$1:$BI$1,0))=0,"",INDEX(Raw_매출!$B$2:$BI$155,MATCH($A4,Raw_매출!$A$2:$A$155,0),MATCH(EDATE($E4,AC$1-1),Raw_매출!$B$1:$BI$1,0))/(INDEX(요약_월별시즈널리티!$F$7:$F$18,MONTH(EDATE($E4,AC$1-1)))/100))),"")</f>
        <v/>
      </c>
      <c r="AD4" t="str" cm="1">
        <f t="array" ref="AD4">IFERROR(IF($E4&lt;44348,"",IF(INDEX(Raw_매출!$B$2:$BI$155,MATCH($A4,Raw_매출!$A$2:$A$155,0),MATCH(EDATE($E4,AD$1-1),Raw_매출!$B$1:$BI$1,0))=0,"",INDEX(Raw_매출!$B$2:$BI$155,MATCH($A4,Raw_매출!$A$2:$A$155,0),MATCH(EDATE($E4,AD$1-1),Raw_매출!$B$1:$BI$1,0))/(INDEX(요약_월별시즈널리티!$F$7:$F$18,MONTH(EDATE($E4,AD$1-1)))/100))),"")</f>
        <v/>
      </c>
      <c r="AE4" t="str" cm="1">
        <f t="array" ref="AE4">IFERROR(IF($E4&lt;44348,"",IF(INDEX(Raw_매출!$B$2:$BI$155,MATCH($A4,Raw_매출!$A$2:$A$155,0),MATCH(EDATE($E4,AE$1-1),Raw_매출!$B$1:$BI$1,0))=0,"",INDEX(Raw_매출!$B$2:$BI$155,MATCH($A4,Raw_매출!$A$2:$A$155,0),MATCH(EDATE($E4,AE$1-1),Raw_매출!$B$1:$BI$1,0))/(INDEX(요약_월별시즈널리티!$F$7:$F$18,MONTH(EDATE($E4,AE$1-1)))/100))),"")</f>
        <v/>
      </c>
      <c r="AF4" t="str" cm="1">
        <f t="array" ref="AF4">IFERROR(IF($E4&lt;44348,"",IF(INDEX(Raw_매출!$B$2:$BI$155,MATCH($A4,Raw_매출!$A$2:$A$155,0),MATCH(EDATE($E4,AF$1-1),Raw_매출!$B$1:$BI$1,0))=0,"",INDEX(Raw_매출!$B$2:$BI$155,MATCH($A4,Raw_매출!$A$2:$A$155,0),MATCH(EDATE($E4,AF$1-1),Raw_매출!$B$1:$BI$1,0))/(INDEX(요약_월별시즈널리티!$F$7:$F$18,MONTH(EDATE($E4,AF$1-1)))/100))),"")</f>
        <v/>
      </c>
      <c r="AG4" t="str" cm="1">
        <f t="array" ref="AG4">IFERROR(IF($E4&lt;44348,"",IF(INDEX(Raw_매출!$B$2:$BI$155,MATCH($A4,Raw_매출!$A$2:$A$155,0),MATCH(EDATE($E4,AG$1-1),Raw_매출!$B$1:$BI$1,0))=0,"",INDEX(Raw_매출!$B$2:$BI$155,MATCH($A4,Raw_매출!$A$2:$A$155,0),MATCH(EDATE($E4,AG$1-1),Raw_매출!$B$1:$BI$1,0))/(INDEX(요약_월별시즈널리티!$F$7:$F$18,MONTH(EDATE($E4,AG$1-1)))/100))),"")</f>
        <v/>
      </c>
      <c r="AH4" t="str" cm="1">
        <f t="array" ref="AH4">IFERROR(IF($E4&lt;44348,"",IF(INDEX(Raw_매출!$B$2:$BI$155,MATCH($A4,Raw_매출!$A$2:$A$155,0),MATCH(EDATE($E4,AH$1-1),Raw_매출!$B$1:$BI$1,0))=0,"",INDEX(Raw_매출!$B$2:$BI$155,MATCH($A4,Raw_매출!$A$2:$A$155,0),MATCH(EDATE($E4,AH$1-1),Raw_매출!$B$1:$BI$1,0))/(INDEX(요약_월별시즈널리티!$F$7:$F$18,MONTH(EDATE($E4,AH$1-1)))/100))),"")</f>
        <v/>
      </c>
      <c r="AI4" t="str" cm="1">
        <f t="array" ref="AI4">IFERROR(IF($E4&lt;44348,"",IF(INDEX(Raw_매출!$B$2:$BI$155,MATCH($A4,Raw_매출!$A$2:$A$155,0),MATCH(EDATE($E4,AI$1-1),Raw_매출!$B$1:$BI$1,0))=0,"",INDEX(Raw_매출!$B$2:$BI$155,MATCH($A4,Raw_매출!$A$2:$A$155,0),MATCH(EDATE($E4,AI$1-1),Raw_매출!$B$1:$BI$1,0))/(INDEX(요약_월별시즈널리티!$F$7:$F$18,MONTH(EDATE($E4,AI$1-1)))/100))),"")</f>
        <v/>
      </c>
      <c r="AJ4" t="str" cm="1">
        <f t="array" ref="AJ4">IFERROR(IF($E4&lt;44348,"",IF(INDEX(Raw_매출!$B$2:$BI$155,MATCH($A4,Raw_매출!$A$2:$A$155,0),MATCH(EDATE($E4,AJ$1-1),Raw_매출!$B$1:$BI$1,0))=0,"",INDEX(Raw_매출!$B$2:$BI$155,MATCH($A4,Raw_매출!$A$2:$A$155,0),MATCH(EDATE($E4,AJ$1-1),Raw_매출!$B$1:$BI$1,0))/(INDEX(요약_월별시즈널리티!$F$7:$F$18,MONTH(EDATE($E4,AJ$1-1)))/100))),"")</f>
        <v/>
      </c>
      <c r="AK4" t="str" cm="1">
        <f t="array" ref="AK4">IFERROR(IF($E4&lt;44348,"",IF(INDEX(Raw_매출!$B$2:$BI$155,MATCH($A4,Raw_매출!$A$2:$A$155,0),MATCH(EDATE($E4,AK$1-1),Raw_매출!$B$1:$BI$1,0))=0,"",INDEX(Raw_매출!$B$2:$BI$155,MATCH($A4,Raw_매출!$A$2:$A$155,0),MATCH(EDATE($E4,AK$1-1),Raw_매출!$B$1:$BI$1,0))/(INDEX(요약_월별시즈널리티!$F$7:$F$18,MONTH(EDATE($E4,AK$1-1)))/100))),"")</f>
        <v/>
      </c>
      <c r="AL4" t="str" cm="1">
        <f t="array" ref="AL4">IFERROR(IF($E4&lt;44348,"",IF(INDEX(Raw_매출!$B$2:$BI$155,MATCH($A4,Raw_매출!$A$2:$A$155,0),MATCH(EDATE($E4,AL$1-1),Raw_매출!$B$1:$BI$1,0))=0,"",INDEX(Raw_매출!$B$2:$BI$155,MATCH($A4,Raw_매출!$A$2:$A$155,0),MATCH(EDATE($E4,AL$1-1),Raw_매출!$B$1:$BI$1,0))/(INDEX(요약_월별시즈널리티!$F$7:$F$18,MONTH(EDATE($E4,AL$1-1)))/100))),"")</f>
        <v/>
      </c>
      <c r="AM4" t="str" cm="1">
        <f t="array" ref="AM4">IFERROR(IF($E4&lt;44348,"",IF(INDEX(Raw_매출!$B$2:$BI$155,MATCH($A4,Raw_매출!$A$2:$A$155,0),MATCH(EDATE($E4,AM$1-1),Raw_매출!$B$1:$BI$1,0))=0,"",INDEX(Raw_매출!$B$2:$BI$155,MATCH($A4,Raw_매출!$A$2:$A$155,0),MATCH(EDATE($E4,AM$1-1),Raw_매출!$B$1:$BI$1,0))/(INDEX(요약_월별시즈널리티!$F$7:$F$18,MONTH(EDATE($E4,AM$1-1)))/100))),"")</f>
        <v/>
      </c>
      <c r="AN4" t="str" cm="1">
        <f t="array" ref="AN4">IFERROR(IF($E4&lt;44348,"",IF(INDEX(Raw_매출!$B$2:$BI$155,MATCH($A4,Raw_매출!$A$2:$A$155,0),MATCH(EDATE($E4,AN$1-1),Raw_매출!$B$1:$BI$1,0))=0,"",INDEX(Raw_매출!$B$2:$BI$155,MATCH($A4,Raw_매출!$A$2:$A$155,0),MATCH(EDATE($E4,AN$1-1),Raw_매출!$B$1:$BI$1,0))/(INDEX(요약_월별시즈널리티!$F$7:$F$18,MONTH(EDATE($E4,AN$1-1)))/100))),"")</f>
        <v/>
      </c>
      <c r="AO4" t="str" cm="1">
        <f t="array" ref="AO4">IFERROR(IF($E4&lt;44348,"",IF(INDEX(Raw_매출!$B$2:$BI$155,MATCH($A4,Raw_매출!$A$2:$A$155,0),MATCH(EDATE($E4,AO$1-1),Raw_매출!$B$1:$BI$1,0))=0,"",INDEX(Raw_매출!$B$2:$BI$155,MATCH($A4,Raw_매출!$A$2:$A$155,0),MATCH(EDATE($E4,AO$1-1),Raw_매출!$B$1:$BI$1,0))/(INDEX(요약_월별시즈널리티!$F$7:$F$18,MONTH(EDATE($E4,AO$1-1)))/100))),"")</f>
        <v/>
      </c>
      <c r="AP4" t="str" cm="1">
        <f t="array" ref="AP4">IFERROR(IF($E4&lt;44348,"",IF(INDEX(Raw_매출!$B$2:$BI$155,MATCH($A4,Raw_매출!$A$2:$A$155,0),MATCH(EDATE($E4,AP$1-1),Raw_매출!$B$1:$BI$1,0))=0,"",INDEX(Raw_매출!$B$2:$BI$155,MATCH($A4,Raw_매출!$A$2:$A$155,0),MATCH(EDATE($E4,AP$1-1),Raw_매출!$B$1:$BI$1,0))/(INDEX(요약_월별시즈널리티!$F$7:$F$18,MONTH(EDATE($E4,AP$1-1)))/100))),"")</f>
        <v/>
      </c>
      <c r="AQ4" t="str" cm="1">
        <f t="array" ref="AQ4">IFERROR(IF($E4&lt;44348,"",IF(INDEX(Raw_매출!$B$2:$BI$155,MATCH($A4,Raw_매출!$A$2:$A$155,0),MATCH(EDATE($E4,AQ$1-1),Raw_매출!$B$1:$BI$1,0))=0,"",INDEX(Raw_매출!$B$2:$BI$155,MATCH($A4,Raw_매출!$A$2:$A$155,0),MATCH(EDATE($E4,AQ$1-1),Raw_매출!$B$1:$BI$1,0))/(INDEX(요약_월별시즈널리티!$F$7:$F$18,MONTH(EDATE($E4,AQ$1-1)))/100))),"")</f>
        <v/>
      </c>
      <c r="AR4" t="str" cm="1">
        <f t="array" ref="AR4">IFERROR(IF($E4&lt;44348,"",IF(INDEX(Raw_매출!$B$2:$BI$155,MATCH($A4,Raw_매출!$A$2:$A$155,0),MATCH(EDATE($E4,AR$1-1),Raw_매출!$B$1:$BI$1,0))=0,"",INDEX(Raw_매출!$B$2:$BI$155,MATCH($A4,Raw_매출!$A$2:$A$155,0),MATCH(EDATE($E4,AR$1-1),Raw_매출!$B$1:$BI$1,0))/(INDEX(요약_월별시즈널리티!$F$7:$F$18,MONTH(EDATE($E4,AR$1-1)))/100))),"")</f>
        <v/>
      </c>
      <c r="AS4" t="str" cm="1">
        <f t="array" ref="AS4">IFERROR(IF($E4&lt;44348,"",IF(INDEX(Raw_매출!$B$2:$BI$155,MATCH($A4,Raw_매출!$A$2:$A$155,0),MATCH(EDATE($E4,AS$1-1),Raw_매출!$B$1:$BI$1,0))=0,"",INDEX(Raw_매출!$B$2:$BI$155,MATCH($A4,Raw_매출!$A$2:$A$155,0),MATCH(EDATE($E4,AS$1-1),Raw_매출!$B$1:$BI$1,0))/(INDEX(요약_월별시즈널리티!$F$7:$F$18,MONTH(EDATE($E4,AS$1-1)))/100))),"")</f>
        <v/>
      </c>
      <c r="AT4" t="str" cm="1">
        <f t="array" ref="AT4">IFERROR(IF($E4&lt;44348,"",IF(INDEX(Raw_매출!$B$2:$BI$155,MATCH($A4,Raw_매출!$A$2:$A$155,0),MATCH(EDATE($E4,AT$1-1),Raw_매출!$B$1:$BI$1,0))=0,"",INDEX(Raw_매출!$B$2:$BI$155,MATCH($A4,Raw_매출!$A$2:$A$155,0),MATCH(EDATE($E4,AT$1-1),Raw_매출!$B$1:$BI$1,0))/(INDEX(요약_월별시즈널리티!$F$7:$F$18,MONTH(EDATE($E4,AT$1-1)))/100))),"")</f>
        <v/>
      </c>
      <c r="AU4" t="str" cm="1">
        <f t="array" ref="AU4">IFERROR(IF($E4&lt;44348,"",IF(INDEX(Raw_매출!$B$2:$BI$155,MATCH($A4,Raw_매출!$A$2:$A$155,0),MATCH(EDATE($E4,AU$1-1),Raw_매출!$B$1:$BI$1,0))=0,"",INDEX(Raw_매출!$B$2:$BI$155,MATCH($A4,Raw_매출!$A$2:$A$155,0),MATCH(EDATE($E4,AU$1-1),Raw_매출!$B$1:$BI$1,0))/(INDEX(요약_월별시즈널리티!$F$7:$F$18,MONTH(EDATE($E4,AU$1-1)))/100))),"")</f>
        <v/>
      </c>
      <c r="AV4" t="str" cm="1">
        <f t="array" ref="AV4">IFERROR(IF($E4&lt;44348,"",IF(INDEX(Raw_매출!$B$2:$BI$155,MATCH($A4,Raw_매출!$A$2:$A$155,0),MATCH(EDATE($E4,AV$1-1),Raw_매출!$B$1:$BI$1,0))=0,"",INDEX(Raw_매출!$B$2:$BI$155,MATCH($A4,Raw_매출!$A$2:$A$155,0),MATCH(EDATE($E4,AV$1-1),Raw_매출!$B$1:$BI$1,0))/(INDEX(요약_월별시즈널리티!$F$7:$F$18,MONTH(EDATE($E4,AV$1-1)))/100))),"")</f>
        <v/>
      </c>
      <c r="AW4" t="str" cm="1">
        <f t="array" ref="AW4">IFERROR(IF($E4&lt;44348,"",IF(INDEX(Raw_매출!$B$2:$BI$155,MATCH($A4,Raw_매출!$A$2:$A$155,0),MATCH(EDATE($E4,AW$1-1),Raw_매출!$B$1:$BI$1,0))=0,"",INDEX(Raw_매출!$B$2:$BI$155,MATCH($A4,Raw_매출!$A$2:$A$155,0),MATCH(EDATE($E4,AW$1-1),Raw_매출!$B$1:$BI$1,0))/(INDEX(요약_월별시즈널리티!$F$7:$F$18,MONTH(EDATE($E4,AW$1-1)))/100))),"")</f>
        <v/>
      </c>
      <c r="AX4" t="str" cm="1">
        <f t="array" ref="AX4">IFERROR(IF($E4&lt;44348,"",IF(INDEX(Raw_매출!$B$2:$BI$155,MATCH($A4,Raw_매출!$A$2:$A$155,0),MATCH(EDATE($E4,AX$1-1),Raw_매출!$B$1:$BI$1,0))=0,"",INDEX(Raw_매출!$B$2:$BI$155,MATCH($A4,Raw_매출!$A$2:$A$155,0),MATCH(EDATE($E4,AX$1-1),Raw_매출!$B$1:$BI$1,0))/(INDEX(요약_월별시즈널리티!$F$7:$F$18,MONTH(EDATE($E4,AX$1-1)))/100))),"")</f>
        <v/>
      </c>
      <c r="AY4" t="str" cm="1">
        <f t="array" ref="AY4">IFERROR(IF($E4&lt;44348,"",IF(INDEX(Raw_매출!$B$2:$BI$155,MATCH($A4,Raw_매출!$A$2:$A$155,0),MATCH(EDATE($E4,AY$1-1),Raw_매출!$B$1:$BI$1,0))=0,"",INDEX(Raw_매출!$B$2:$BI$155,MATCH($A4,Raw_매출!$A$2:$A$155,0),MATCH(EDATE($E4,AY$1-1),Raw_매출!$B$1:$BI$1,0))/(INDEX(요약_월별시즈널리티!$F$7:$F$18,MONTH(EDATE($E4,AY$1-1)))/100))),"")</f>
        <v/>
      </c>
      <c r="AZ4" t="str" cm="1">
        <f t="array" ref="AZ4">IFERROR(IF($E4&lt;44348,"",IF(INDEX(Raw_매출!$B$2:$BI$155,MATCH($A4,Raw_매출!$A$2:$A$155,0),MATCH(EDATE($E4,AZ$1-1),Raw_매출!$B$1:$BI$1,0))=0,"",INDEX(Raw_매출!$B$2:$BI$155,MATCH($A4,Raw_매출!$A$2:$A$155,0),MATCH(EDATE($E4,AZ$1-1),Raw_매출!$B$1:$BI$1,0))/(INDEX(요약_월별시즈널리티!$F$7:$F$18,MONTH(EDATE($E4,AZ$1-1)))/100))),"")</f>
        <v/>
      </c>
      <c r="BA4" t="str" cm="1">
        <f t="array" ref="BA4">IFERROR(IF($E4&lt;44348,"",IF(INDEX(Raw_매출!$B$2:$BI$155,MATCH($A4,Raw_매출!$A$2:$A$155,0),MATCH(EDATE($E4,BA$1-1),Raw_매출!$B$1:$BI$1,0))=0,"",INDEX(Raw_매출!$B$2:$BI$155,MATCH($A4,Raw_매출!$A$2:$A$155,0),MATCH(EDATE($E4,BA$1-1),Raw_매출!$B$1:$BI$1,0))/(INDEX(요약_월별시즈널리티!$F$7:$F$18,MONTH(EDATE($E4,BA$1-1)))/100))),"")</f>
        <v/>
      </c>
      <c r="BB4" t="str" cm="1">
        <f t="array" ref="BB4">IFERROR(IF($E4&lt;44348,"",IF(INDEX(Raw_매출!$B$2:$BI$155,MATCH($A4,Raw_매출!$A$2:$A$155,0),MATCH(EDATE($E4,BB$1-1),Raw_매출!$B$1:$BI$1,0))=0,"",INDEX(Raw_매출!$B$2:$BI$155,MATCH($A4,Raw_매출!$A$2:$A$155,0),MATCH(EDATE($E4,BB$1-1),Raw_매출!$B$1:$BI$1,0))/(INDEX(요약_월별시즈널리티!$F$7:$F$18,MONTH(EDATE($E4,BB$1-1)))/100))),"")</f>
        <v/>
      </c>
      <c r="BC4" t="str" cm="1">
        <f t="array" ref="BC4">IFERROR(IF($E4&lt;44348,"",IF(INDEX(Raw_매출!$B$2:$BI$155,MATCH($A4,Raw_매출!$A$2:$A$155,0),MATCH(EDATE($E4,BC$1-1),Raw_매출!$B$1:$BI$1,0))=0,"",INDEX(Raw_매출!$B$2:$BI$155,MATCH($A4,Raw_매출!$A$2:$A$155,0),MATCH(EDATE($E4,BC$1-1),Raw_매출!$B$1:$BI$1,0))/(INDEX(요약_월별시즈널리티!$F$7:$F$18,MONTH(EDATE($E4,BC$1-1)))/100))),"")</f>
        <v/>
      </c>
      <c r="BD4" t="str" cm="1">
        <f t="array" ref="BD4">IFERROR(IF($E4&lt;44348,"",IF(INDEX(Raw_매출!$B$2:$BI$155,MATCH($A4,Raw_매출!$A$2:$A$155,0),MATCH(EDATE($E4,BD$1-1),Raw_매출!$B$1:$BI$1,0))=0,"",INDEX(Raw_매출!$B$2:$BI$155,MATCH($A4,Raw_매출!$A$2:$A$155,0),MATCH(EDATE($E4,BD$1-1),Raw_매출!$B$1:$BI$1,0))/(INDEX(요약_월별시즈널리티!$F$7:$F$18,MONTH(EDATE($E4,BD$1-1)))/100))),"")</f>
        <v/>
      </c>
      <c r="BE4" t="str" cm="1">
        <f t="array" ref="BE4">IFERROR(IF($E4&lt;44348,"",IF(INDEX(Raw_매출!$B$2:$BI$155,MATCH($A4,Raw_매출!$A$2:$A$155,0),MATCH(EDATE($E4,BE$1-1),Raw_매출!$B$1:$BI$1,0))=0,"",INDEX(Raw_매출!$B$2:$BI$155,MATCH($A4,Raw_매출!$A$2:$A$155,0),MATCH(EDATE($E4,BE$1-1),Raw_매출!$B$1:$BI$1,0))/(INDEX(요약_월별시즈널리티!$F$7:$F$18,MONTH(EDATE($E4,BE$1-1)))/100))),"")</f>
        <v/>
      </c>
      <c r="BF4" t="str" cm="1">
        <f t="array" ref="BF4">IFERROR(IF($E4&lt;44348,"",IF(INDEX(Raw_매출!$B$2:$BI$155,MATCH($A4,Raw_매출!$A$2:$A$155,0),MATCH(EDATE($E4,BF$1-1),Raw_매출!$B$1:$BI$1,0))=0,"",INDEX(Raw_매출!$B$2:$BI$155,MATCH($A4,Raw_매출!$A$2:$A$155,0),MATCH(EDATE($E4,BF$1-1),Raw_매출!$B$1:$BI$1,0))/(INDEX(요약_월별시즈널리티!$F$7:$F$18,MONTH(EDATE($E4,BF$1-1)))/100))),"")</f>
        <v/>
      </c>
      <c r="BG4" t="str" cm="1">
        <f t="array" ref="BG4">IFERROR(IF($E4&lt;44348,"",IF(INDEX(Raw_매출!$B$2:$BI$155,MATCH($A4,Raw_매출!$A$2:$A$155,0),MATCH(EDATE($E4,BG$1-1),Raw_매출!$B$1:$BI$1,0))=0,"",INDEX(Raw_매출!$B$2:$BI$155,MATCH($A4,Raw_매출!$A$2:$A$155,0),MATCH(EDATE($E4,BG$1-1),Raw_매출!$B$1:$BI$1,0))/(INDEX(요약_월별시즈널리티!$F$7:$F$18,MONTH(EDATE($E4,BG$1-1)))/100))),"")</f>
        <v/>
      </c>
      <c r="BH4" t="str" cm="1">
        <f t="array" ref="BH4">IFERROR(IF($E4&lt;44348,"",IF(INDEX(Raw_매출!$B$2:$BI$155,MATCH($A4,Raw_매출!$A$2:$A$155,0),MATCH(EDATE($E4,BH$1-1),Raw_매출!$B$1:$BI$1,0))=0,"",INDEX(Raw_매출!$B$2:$BI$155,MATCH($A4,Raw_매출!$A$2:$A$155,0),MATCH(EDATE($E4,BH$1-1),Raw_매출!$B$1:$BI$1,0))/(INDEX(요약_월별시즈널리티!$F$7:$F$18,MONTH(EDATE($E4,BH$1-1)))/100))),"")</f>
        <v/>
      </c>
      <c r="BI4" t="str" cm="1">
        <f t="array" ref="BI4">IFERROR(IF($E4&lt;44348,"",IF(INDEX(Raw_매출!$B$2:$BI$155,MATCH($A4,Raw_매출!$A$2:$A$155,0),MATCH(EDATE($E4,BI$1-1),Raw_매출!$B$1:$BI$1,0))=0,"",INDEX(Raw_매출!$B$2:$BI$155,MATCH($A4,Raw_매출!$A$2:$A$155,0),MATCH(EDATE($E4,BI$1-1),Raw_매출!$B$1:$BI$1,0))/(INDEX(요약_월별시즈널리티!$F$7:$F$18,MONTH(EDATE($E4,BI$1-1)))/100))),"")</f>
        <v/>
      </c>
      <c r="BJ4" t="str" cm="1">
        <f t="array" ref="BJ4">IFERROR(IF($E4&lt;44348,"",IF(INDEX(Raw_매출!$B$2:$BI$155,MATCH($A4,Raw_매출!$A$2:$A$155,0),MATCH(EDATE($E4,BJ$1-1),Raw_매출!$B$1:$BI$1,0))=0,"",INDEX(Raw_매출!$B$2:$BI$155,MATCH($A4,Raw_매출!$A$2:$A$155,0),MATCH(EDATE($E4,BJ$1-1),Raw_매출!$B$1:$BI$1,0))/(INDEX(요약_월별시즈널리티!$F$7:$F$18,MONTH(EDATE($E4,BJ$1-1)))/100))),"")</f>
        <v/>
      </c>
      <c r="BK4" t="str" cm="1">
        <f t="array" ref="BK4">IFERROR(IF($E4&lt;44348,"",IF(INDEX(Raw_매출!$B$2:$BI$155,MATCH($A4,Raw_매출!$A$2:$A$155,0),MATCH(EDATE($E4,BK$1-1),Raw_매출!$B$1:$BI$1,0))=0,"",INDEX(Raw_매출!$B$2:$BI$155,MATCH($A4,Raw_매출!$A$2:$A$155,0),MATCH(EDATE($E4,BK$1-1),Raw_매출!$B$1:$BI$1,0))/(INDEX(요약_월별시즈널리티!$F$7:$F$18,MONTH(EDATE($E4,BK$1-1)))/100))),"")</f>
        <v/>
      </c>
      <c r="BL4" t="str" cm="1">
        <f t="array" ref="BL4">IFERROR(IF($E4&lt;44348,"",IF(INDEX(Raw_매출!$B$2:$BI$155,MATCH($A4,Raw_매출!$A$2:$A$155,0),MATCH(EDATE($E4,BL$1-1),Raw_매출!$B$1:$BI$1,0))=0,"",INDEX(Raw_매출!$B$2:$BI$155,MATCH($A4,Raw_매출!$A$2:$A$155,0),MATCH(EDATE($E4,BL$1-1),Raw_매출!$B$1:$BI$1,0))/(INDEX(요약_월별시즈널리티!$F$7:$F$18,MONTH(EDATE($E4,BL$1-1)))/100))),"")</f>
        <v/>
      </c>
      <c r="BM4" t="str" cm="1">
        <f t="array" ref="BM4">IFERROR(IF($E4&lt;44348,"",IF(INDEX(Raw_매출!$B$2:$BI$155,MATCH($A4,Raw_매출!$A$2:$A$155,0),MATCH(EDATE($E4,BM$1-1),Raw_매출!$B$1:$BI$1,0))=0,"",INDEX(Raw_매출!$B$2:$BI$155,MATCH($A4,Raw_매출!$A$2:$A$155,0),MATCH(EDATE($E4,BM$1-1),Raw_매출!$B$1:$BI$1,0))/(INDEX(요약_월별시즈널리티!$F$7:$F$18,MONTH(EDATE($E4,BM$1-1)))/100))),"")</f>
        <v/>
      </c>
      <c r="BN4" t="str" cm="1">
        <f t="array" ref="BN4">IFERROR(IF($E4&lt;44348,"",IF(INDEX(Raw_매출!$B$2:$BI$155,MATCH($A4,Raw_매출!$A$2:$A$155,0),MATCH(EDATE($E4,BN$1-1),Raw_매출!$B$1:$BI$1,0))=0,"",INDEX(Raw_매출!$B$2:$BI$155,MATCH($A4,Raw_매출!$A$2:$A$155,0),MATCH(EDATE($E4,BN$1-1),Raw_매출!$B$1:$BI$1,0))/(INDEX(요약_월별시즈널리티!$F$7:$F$18,MONTH(EDATE($E4,BN$1-1)))/100))),"")</f>
        <v/>
      </c>
    </row>
    <row r="5" spans="1:66" x14ac:dyDescent="0.4">
      <c r="A5" t="str">
        <f>세팅!A6</f>
        <v>(0004) 신림점</v>
      </c>
      <c r="B5" t="str">
        <f>세팅!B6</f>
        <v>150-4</v>
      </c>
      <c r="C5">
        <f t="shared" si="0"/>
        <v>4</v>
      </c>
      <c r="D5" t="str">
        <f t="shared" si="1"/>
        <v>3+</v>
      </c>
      <c r="E5" s="1">
        <f>세팅!D6</f>
        <v>42644</v>
      </c>
      <c r="F5" t="str">
        <f t="shared" si="2"/>
        <v/>
      </c>
      <c r="G5" t="str" cm="1">
        <f t="array" ref="G5">IFERROR(IF($E5&lt;44348,"",IF(INDEX(Raw_매출!$B$2:$BI$155,MATCH($A5,Raw_매출!$A$2:$A$155,0),MATCH(EDATE($E5,G$1-1),Raw_매출!$B$1:$BI$1,0))=0,"",INDEX(Raw_매출!$B$2:$BI$155,MATCH($A5,Raw_매출!$A$2:$A$155,0),MATCH(EDATE($E5,G$1-1),Raw_매출!$B$1:$BI$1,0))/(INDEX(요약_월별시즈널리티!$F$7:$F$18,MONTH(EDATE($E5,G$1-1)))/100))),"")</f>
        <v/>
      </c>
      <c r="H5" t="str" cm="1">
        <f t="array" ref="H5">IFERROR(IF($E5&lt;44348,"",IF(INDEX(Raw_매출!$B$2:$BI$155,MATCH($A5,Raw_매출!$A$2:$A$155,0),MATCH(EDATE($E5,H$1-1),Raw_매출!$B$1:$BI$1,0))=0,"",INDEX(Raw_매출!$B$2:$BI$155,MATCH($A5,Raw_매출!$A$2:$A$155,0),MATCH(EDATE($E5,H$1-1),Raw_매출!$B$1:$BI$1,0))/(INDEX(요약_월별시즈널리티!$F$7:$F$18,MONTH(EDATE($E5,H$1-1)))/100))),"")</f>
        <v/>
      </c>
      <c r="I5" t="str" cm="1">
        <f t="array" ref="I5">IFERROR(IF($E5&lt;44348,"",IF(INDEX(Raw_매출!$B$2:$BI$155,MATCH($A5,Raw_매출!$A$2:$A$155,0),MATCH(EDATE($E5,I$1-1),Raw_매출!$B$1:$BI$1,0))=0,"",INDEX(Raw_매출!$B$2:$BI$155,MATCH($A5,Raw_매출!$A$2:$A$155,0),MATCH(EDATE($E5,I$1-1),Raw_매출!$B$1:$BI$1,0))/(INDEX(요약_월별시즈널리티!$F$7:$F$18,MONTH(EDATE($E5,I$1-1)))/100))),"")</f>
        <v/>
      </c>
      <c r="J5" s="30" t="str" cm="1">
        <f t="array" ref="J5">IFERROR(IF($E5&lt;44348,"",IF(INDEX(Raw_매출!$B$2:$BI$155,MATCH($A5,Raw_매출!$A$2:$A$155,0),MATCH(EDATE($E5,J$1-1),Raw_매출!$B$1:$BI$1,0))=0,"",INDEX(Raw_매출!$B$2:$BI$155,MATCH($A5,Raw_매출!$A$2:$A$155,0),MATCH(EDATE($E5,J$1-1),Raw_매출!$B$1:$BI$1,0))/(INDEX(요약_월별시즈널리티!$F$7:$F$18,MONTH(EDATE($E5,J$1-1)))/100))),"")</f>
        <v/>
      </c>
      <c r="K5" s="30" t="str" cm="1">
        <f t="array" ref="K5">IFERROR(IF($E5&lt;44348,"",IF(INDEX(Raw_매출!$B$2:$BI$155,MATCH($A5,Raw_매출!$A$2:$A$155,0),MATCH(EDATE($E5,K$1-1),Raw_매출!$B$1:$BI$1,0))=0,"",INDEX(Raw_매출!$B$2:$BI$155,MATCH($A5,Raw_매출!$A$2:$A$155,0),MATCH(EDATE($E5,K$1-1),Raw_매출!$B$1:$BI$1,0))/(INDEX(요약_월별시즈널리티!$F$7:$F$18,MONTH(EDATE($E5,K$1-1)))/100))),"")</f>
        <v/>
      </c>
      <c r="L5" s="30" t="str" cm="1">
        <f t="array" ref="L5">IFERROR(IF($E5&lt;44348,"",IF(INDEX(Raw_매출!$B$2:$BI$155,MATCH($A5,Raw_매출!$A$2:$A$155,0),MATCH(EDATE($E5,L$1-1),Raw_매출!$B$1:$BI$1,0))=0,"",INDEX(Raw_매출!$B$2:$BI$155,MATCH($A5,Raw_매출!$A$2:$A$155,0),MATCH(EDATE($E5,L$1-1),Raw_매출!$B$1:$BI$1,0))/(INDEX(요약_월별시즈널리티!$F$7:$F$18,MONTH(EDATE($E5,L$1-1)))/100))),"")</f>
        <v/>
      </c>
      <c r="M5" s="30" t="str" cm="1">
        <f t="array" ref="M5">IFERROR(IF($E5&lt;44348,"",IF(INDEX(Raw_매출!$B$2:$BI$155,MATCH($A5,Raw_매출!$A$2:$A$155,0),MATCH(EDATE($E5,M$1-1),Raw_매출!$B$1:$BI$1,0))=0,"",INDEX(Raw_매출!$B$2:$BI$155,MATCH($A5,Raw_매출!$A$2:$A$155,0),MATCH(EDATE($E5,M$1-1),Raw_매출!$B$1:$BI$1,0))/(INDEX(요약_월별시즈널리티!$F$7:$F$18,MONTH(EDATE($E5,M$1-1)))/100))),"")</f>
        <v/>
      </c>
      <c r="N5" s="30" t="str" cm="1">
        <f t="array" ref="N5">IFERROR(IF($E5&lt;44348,"",IF(INDEX(Raw_매출!$B$2:$BI$155,MATCH($A5,Raw_매출!$A$2:$A$155,0),MATCH(EDATE($E5,N$1-1),Raw_매출!$B$1:$BI$1,0))=0,"",INDEX(Raw_매출!$B$2:$BI$155,MATCH($A5,Raw_매출!$A$2:$A$155,0),MATCH(EDATE($E5,N$1-1),Raw_매출!$B$1:$BI$1,0))/(INDEX(요약_월별시즈널리티!$F$7:$F$18,MONTH(EDATE($E5,N$1-1)))/100))),"")</f>
        <v/>
      </c>
      <c r="O5" s="30" t="str" cm="1">
        <f t="array" ref="O5">IFERROR(IF($E5&lt;44348,"",IF(INDEX(Raw_매출!$B$2:$BI$155,MATCH($A5,Raw_매출!$A$2:$A$155,0),MATCH(EDATE($E5,O$1-1),Raw_매출!$B$1:$BI$1,0))=0,"",INDEX(Raw_매출!$B$2:$BI$155,MATCH($A5,Raw_매출!$A$2:$A$155,0),MATCH(EDATE($E5,O$1-1),Raw_매출!$B$1:$BI$1,0))/(INDEX(요약_월별시즈널리티!$F$7:$F$18,MONTH(EDATE($E5,O$1-1)))/100))),"")</f>
        <v/>
      </c>
      <c r="P5" t="str" cm="1">
        <f t="array" ref="P5">IFERROR(IF($E5&lt;44348,"",IF(INDEX(Raw_매출!$B$2:$BI$155,MATCH($A5,Raw_매출!$A$2:$A$155,0),MATCH(EDATE($E5,P$1-1),Raw_매출!$B$1:$BI$1,0))=0,"",INDEX(Raw_매출!$B$2:$BI$155,MATCH($A5,Raw_매출!$A$2:$A$155,0),MATCH(EDATE($E5,P$1-1),Raw_매출!$B$1:$BI$1,0))/(INDEX(요약_월별시즈널리티!$F$7:$F$18,MONTH(EDATE($E5,P$1-1)))/100))),"")</f>
        <v/>
      </c>
      <c r="Q5" t="str" cm="1">
        <f t="array" ref="Q5">IFERROR(IF($E5&lt;44348,"",IF(INDEX(Raw_매출!$B$2:$BI$155,MATCH($A5,Raw_매출!$A$2:$A$155,0),MATCH(EDATE($E5,Q$1-1),Raw_매출!$B$1:$BI$1,0))=0,"",INDEX(Raw_매출!$B$2:$BI$155,MATCH($A5,Raw_매출!$A$2:$A$155,0),MATCH(EDATE($E5,Q$1-1),Raw_매출!$B$1:$BI$1,0))/(INDEX(요약_월별시즈널리티!$F$7:$F$18,MONTH(EDATE($E5,Q$1-1)))/100))),"")</f>
        <v/>
      </c>
      <c r="R5" t="str" cm="1">
        <f t="array" ref="R5">IFERROR(IF($E5&lt;44348,"",IF(INDEX(Raw_매출!$B$2:$BI$155,MATCH($A5,Raw_매출!$A$2:$A$155,0),MATCH(EDATE($E5,R$1-1),Raw_매출!$B$1:$BI$1,0))=0,"",INDEX(Raw_매출!$B$2:$BI$155,MATCH($A5,Raw_매출!$A$2:$A$155,0),MATCH(EDATE($E5,R$1-1),Raw_매출!$B$1:$BI$1,0))/(INDEX(요약_월별시즈널리티!$F$7:$F$18,MONTH(EDATE($E5,R$1-1)))/100))),"")</f>
        <v/>
      </c>
      <c r="S5" t="str" cm="1">
        <f t="array" ref="S5">IFERROR(IF($E5&lt;44348,"",IF(INDEX(Raw_매출!$B$2:$BI$155,MATCH($A5,Raw_매출!$A$2:$A$155,0),MATCH(EDATE($E5,S$1-1),Raw_매출!$B$1:$BI$1,0))=0,"",INDEX(Raw_매출!$B$2:$BI$155,MATCH($A5,Raw_매출!$A$2:$A$155,0),MATCH(EDATE($E5,S$1-1),Raw_매출!$B$1:$BI$1,0))/(INDEX(요약_월별시즈널리티!$F$7:$F$18,MONTH(EDATE($E5,S$1-1)))/100))),"")</f>
        <v/>
      </c>
      <c r="T5" t="str" cm="1">
        <f t="array" ref="T5">IFERROR(IF($E5&lt;44348,"",IF(INDEX(Raw_매출!$B$2:$BI$155,MATCH($A5,Raw_매출!$A$2:$A$155,0),MATCH(EDATE($E5,T$1-1),Raw_매출!$B$1:$BI$1,0))=0,"",INDEX(Raw_매출!$B$2:$BI$155,MATCH($A5,Raw_매출!$A$2:$A$155,0),MATCH(EDATE($E5,T$1-1),Raw_매출!$B$1:$BI$1,0))/(INDEX(요약_월별시즈널리티!$F$7:$F$18,MONTH(EDATE($E5,T$1-1)))/100))),"")</f>
        <v/>
      </c>
      <c r="U5" t="str" cm="1">
        <f t="array" ref="U5">IFERROR(IF($E5&lt;44348,"",IF(INDEX(Raw_매출!$B$2:$BI$155,MATCH($A5,Raw_매출!$A$2:$A$155,0),MATCH(EDATE($E5,U$1-1),Raw_매출!$B$1:$BI$1,0))=0,"",INDEX(Raw_매출!$B$2:$BI$155,MATCH($A5,Raw_매출!$A$2:$A$155,0),MATCH(EDATE($E5,U$1-1),Raw_매출!$B$1:$BI$1,0))/(INDEX(요약_월별시즈널리티!$F$7:$F$18,MONTH(EDATE($E5,U$1-1)))/100))),"")</f>
        <v/>
      </c>
      <c r="V5" t="str" cm="1">
        <f t="array" ref="V5">IFERROR(IF($E5&lt;44348,"",IF(INDEX(Raw_매출!$B$2:$BI$155,MATCH($A5,Raw_매출!$A$2:$A$155,0),MATCH(EDATE($E5,V$1-1),Raw_매출!$B$1:$BI$1,0))=0,"",INDEX(Raw_매출!$B$2:$BI$155,MATCH($A5,Raw_매출!$A$2:$A$155,0),MATCH(EDATE($E5,V$1-1),Raw_매출!$B$1:$BI$1,0))/(INDEX(요약_월별시즈널리티!$F$7:$F$18,MONTH(EDATE($E5,V$1-1)))/100))),"")</f>
        <v/>
      </c>
      <c r="W5" t="str" cm="1">
        <f t="array" ref="W5">IFERROR(IF($E5&lt;44348,"",IF(INDEX(Raw_매출!$B$2:$BI$155,MATCH($A5,Raw_매출!$A$2:$A$155,0),MATCH(EDATE($E5,W$1-1),Raw_매출!$B$1:$BI$1,0))=0,"",INDEX(Raw_매출!$B$2:$BI$155,MATCH($A5,Raw_매출!$A$2:$A$155,0),MATCH(EDATE($E5,W$1-1),Raw_매출!$B$1:$BI$1,0))/(INDEX(요약_월별시즈널리티!$F$7:$F$18,MONTH(EDATE($E5,W$1-1)))/100))),"")</f>
        <v/>
      </c>
      <c r="X5" t="str" cm="1">
        <f t="array" ref="X5">IFERROR(IF($E5&lt;44348,"",IF(INDEX(Raw_매출!$B$2:$BI$155,MATCH($A5,Raw_매출!$A$2:$A$155,0),MATCH(EDATE($E5,X$1-1),Raw_매출!$B$1:$BI$1,0))=0,"",INDEX(Raw_매출!$B$2:$BI$155,MATCH($A5,Raw_매출!$A$2:$A$155,0),MATCH(EDATE($E5,X$1-1),Raw_매출!$B$1:$BI$1,0))/(INDEX(요약_월별시즈널리티!$F$7:$F$18,MONTH(EDATE($E5,X$1-1)))/100))),"")</f>
        <v/>
      </c>
      <c r="Y5" t="str" cm="1">
        <f t="array" ref="Y5">IFERROR(IF($E5&lt;44348,"",IF(INDEX(Raw_매출!$B$2:$BI$155,MATCH($A5,Raw_매출!$A$2:$A$155,0),MATCH(EDATE($E5,Y$1-1),Raw_매출!$B$1:$BI$1,0))=0,"",INDEX(Raw_매출!$B$2:$BI$155,MATCH($A5,Raw_매출!$A$2:$A$155,0),MATCH(EDATE($E5,Y$1-1),Raw_매출!$B$1:$BI$1,0))/(INDEX(요약_월별시즈널리티!$F$7:$F$18,MONTH(EDATE($E5,Y$1-1)))/100))),"")</f>
        <v/>
      </c>
      <c r="Z5" t="str" cm="1">
        <f t="array" ref="Z5">IFERROR(IF($E5&lt;44348,"",IF(INDEX(Raw_매출!$B$2:$BI$155,MATCH($A5,Raw_매출!$A$2:$A$155,0),MATCH(EDATE($E5,Z$1-1),Raw_매출!$B$1:$BI$1,0))=0,"",INDEX(Raw_매출!$B$2:$BI$155,MATCH($A5,Raw_매출!$A$2:$A$155,0),MATCH(EDATE($E5,Z$1-1),Raw_매출!$B$1:$BI$1,0))/(INDEX(요약_월별시즈널리티!$F$7:$F$18,MONTH(EDATE($E5,Z$1-1)))/100))),"")</f>
        <v/>
      </c>
      <c r="AA5" t="str" cm="1">
        <f t="array" ref="AA5">IFERROR(IF($E5&lt;44348,"",IF(INDEX(Raw_매출!$B$2:$BI$155,MATCH($A5,Raw_매출!$A$2:$A$155,0),MATCH(EDATE($E5,AA$1-1),Raw_매출!$B$1:$BI$1,0))=0,"",INDEX(Raw_매출!$B$2:$BI$155,MATCH($A5,Raw_매출!$A$2:$A$155,0),MATCH(EDATE($E5,AA$1-1),Raw_매출!$B$1:$BI$1,0))/(INDEX(요약_월별시즈널리티!$F$7:$F$18,MONTH(EDATE($E5,AA$1-1)))/100))),"")</f>
        <v/>
      </c>
      <c r="AB5" t="str" cm="1">
        <f t="array" ref="AB5">IFERROR(IF($E5&lt;44348,"",IF(INDEX(Raw_매출!$B$2:$BI$155,MATCH($A5,Raw_매출!$A$2:$A$155,0),MATCH(EDATE($E5,AB$1-1),Raw_매출!$B$1:$BI$1,0))=0,"",INDEX(Raw_매출!$B$2:$BI$155,MATCH($A5,Raw_매출!$A$2:$A$155,0),MATCH(EDATE($E5,AB$1-1),Raw_매출!$B$1:$BI$1,0))/(INDEX(요약_월별시즈널리티!$F$7:$F$18,MONTH(EDATE($E5,AB$1-1)))/100))),"")</f>
        <v/>
      </c>
      <c r="AC5" t="str" cm="1">
        <f t="array" ref="AC5">IFERROR(IF($E5&lt;44348,"",IF(INDEX(Raw_매출!$B$2:$BI$155,MATCH($A5,Raw_매출!$A$2:$A$155,0),MATCH(EDATE($E5,AC$1-1),Raw_매출!$B$1:$BI$1,0))=0,"",INDEX(Raw_매출!$B$2:$BI$155,MATCH($A5,Raw_매출!$A$2:$A$155,0),MATCH(EDATE($E5,AC$1-1),Raw_매출!$B$1:$BI$1,0))/(INDEX(요약_월별시즈널리티!$F$7:$F$18,MONTH(EDATE($E5,AC$1-1)))/100))),"")</f>
        <v/>
      </c>
      <c r="AD5" t="str" cm="1">
        <f t="array" ref="AD5">IFERROR(IF($E5&lt;44348,"",IF(INDEX(Raw_매출!$B$2:$BI$155,MATCH($A5,Raw_매출!$A$2:$A$155,0),MATCH(EDATE($E5,AD$1-1),Raw_매출!$B$1:$BI$1,0))=0,"",INDEX(Raw_매출!$B$2:$BI$155,MATCH($A5,Raw_매출!$A$2:$A$155,0),MATCH(EDATE($E5,AD$1-1),Raw_매출!$B$1:$BI$1,0))/(INDEX(요약_월별시즈널리티!$F$7:$F$18,MONTH(EDATE($E5,AD$1-1)))/100))),"")</f>
        <v/>
      </c>
      <c r="AE5" t="str" cm="1">
        <f t="array" ref="AE5">IFERROR(IF($E5&lt;44348,"",IF(INDEX(Raw_매출!$B$2:$BI$155,MATCH($A5,Raw_매출!$A$2:$A$155,0),MATCH(EDATE($E5,AE$1-1),Raw_매출!$B$1:$BI$1,0))=0,"",INDEX(Raw_매출!$B$2:$BI$155,MATCH($A5,Raw_매출!$A$2:$A$155,0),MATCH(EDATE($E5,AE$1-1),Raw_매출!$B$1:$BI$1,0))/(INDEX(요약_월별시즈널리티!$F$7:$F$18,MONTH(EDATE($E5,AE$1-1)))/100))),"")</f>
        <v/>
      </c>
      <c r="AF5" t="str" cm="1">
        <f t="array" ref="AF5">IFERROR(IF($E5&lt;44348,"",IF(INDEX(Raw_매출!$B$2:$BI$155,MATCH($A5,Raw_매출!$A$2:$A$155,0),MATCH(EDATE($E5,AF$1-1),Raw_매출!$B$1:$BI$1,0))=0,"",INDEX(Raw_매출!$B$2:$BI$155,MATCH($A5,Raw_매출!$A$2:$A$155,0),MATCH(EDATE($E5,AF$1-1),Raw_매출!$B$1:$BI$1,0))/(INDEX(요약_월별시즈널리티!$F$7:$F$18,MONTH(EDATE($E5,AF$1-1)))/100))),"")</f>
        <v/>
      </c>
      <c r="AG5" t="str" cm="1">
        <f t="array" ref="AG5">IFERROR(IF($E5&lt;44348,"",IF(INDEX(Raw_매출!$B$2:$BI$155,MATCH($A5,Raw_매출!$A$2:$A$155,0),MATCH(EDATE($E5,AG$1-1),Raw_매출!$B$1:$BI$1,0))=0,"",INDEX(Raw_매출!$B$2:$BI$155,MATCH($A5,Raw_매출!$A$2:$A$155,0),MATCH(EDATE($E5,AG$1-1),Raw_매출!$B$1:$BI$1,0))/(INDEX(요약_월별시즈널리티!$F$7:$F$18,MONTH(EDATE($E5,AG$1-1)))/100))),"")</f>
        <v/>
      </c>
      <c r="AH5" t="str" cm="1">
        <f t="array" ref="AH5">IFERROR(IF($E5&lt;44348,"",IF(INDEX(Raw_매출!$B$2:$BI$155,MATCH($A5,Raw_매출!$A$2:$A$155,0),MATCH(EDATE($E5,AH$1-1),Raw_매출!$B$1:$BI$1,0))=0,"",INDEX(Raw_매출!$B$2:$BI$155,MATCH($A5,Raw_매출!$A$2:$A$155,0),MATCH(EDATE($E5,AH$1-1),Raw_매출!$B$1:$BI$1,0))/(INDEX(요약_월별시즈널리티!$F$7:$F$18,MONTH(EDATE($E5,AH$1-1)))/100))),"")</f>
        <v/>
      </c>
      <c r="AI5" t="str" cm="1">
        <f t="array" ref="AI5">IFERROR(IF($E5&lt;44348,"",IF(INDEX(Raw_매출!$B$2:$BI$155,MATCH($A5,Raw_매출!$A$2:$A$155,0),MATCH(EDATE($E5,AI$1-1),Raw_매출!$B$1:$BI$1,0))=0,"",INDEX(Raw_매출!$B$2:$BI$155,MATCH($A5,Raw_매출!$A$2:$A$155,0),MATCH(EDATE($E5,AI$1-1),Raw_매출!$B$1:$BI$1,0))/(INDEX(요약_월별시즈널리티!$F$7:$F$18,MONTH(EDATE($E5,AI$1-1)))/100))),"")</f>
        <v/>
      </c>
      <c r="AJ5" t="str" cm="1">
        <f t="array" ref="AJ5">IFERROR(IF($E5&lt;44348,"",IF(INDEX(Raw_매출!$B$2:$BI$155,MATCH($A5,Raw_매출!$A$2:$A$155,0),MATCH(EDATE($E5,AJ$1-1),Raw_매출!$B$1:$BI$1,0))=0,"",INDEX(Raw_매출!$B$2:$BI$155,MATCH($A5,Raw_매출!$A$2:$A$155,0),MATCH(EDATE($E5,AJ$1-1),Raw_매출!$B$1:$BI$1,0))/(INDEX(요약_월별시즈널리티!$F$7:$F$18,MONTH(EDATE($E5,AJ$1-1)))/100))),"")</f>
        <v/>
      </c>
      <c r="AK5" t="str" cm="1">
        <f t="array" ref="AK5">IFERROR(IF($E5&lt;44348,"",IF(INDEX(Raw_매출!$B$2:$BI$155,MATCH($A5,Raw_매출!$A$2:$A$155,0),MATCH(EDATE($E5,AK$1-1),Raw_매출!$B$1:$BI$1,0))=0,"",INDEX(Raw_매출!$B$2:$BI$155,MATCH($A5,Raw_매출!$A$2:$A$155,0),MATCH(EDATE($E5,AK$1-1),Raw_매출!$B$1:$BI$1,0))/(INDEX(요약_월별시즈널리티!$F$7:$F$18,MONTH(EDATE($E5,AK$1-1)))/100))),"")</f>
        <v/>
      </c>
      <c r="AL5" t="str" cm="1">
        <f t="array" ref="AL5">IFERROR(IF($E5&lt;44348,"",IF(INDEX(Raw_매출!$B$2:$BI$155,MATCH($A5,Raw_매출!$A$2:$A$155,0),MATCH(EDATE($E5,AL$1-1),Raw_매출!$B$1:$BI$1,0))=0,"",INDEX(Raw_매출!$B$2:$BI$155,MATCH($A5,Raw_매출!$A$2:$A$155,0),MATCH(EDATE($E5,AL$1-1),Raw_매출!$B$1:$BI$1,0))/(INDEX(요약_월별시즈널리티!$F$7:$F$18,MONTH(EDATE($E5,AL$1-1)))/100))),"")</f>
        <v/>
      </c>
      <c r="AM5" t="str" cm="1">
        <f t="array" ref="AM5">IFERROR(IF($E5&lt;44348,"",IF(INDEX(Raw_매출!$B$2:$BI$155,MATCH($A5,Raw_매출!$A$2:$A$155,0),MATCH(EDATE($E5,AM$1-1),Raw_매출!$B$1:$BI$1,0))=0,"",INDEX(Raw_매출!$B$2:$BI$155,MATCH($A5,Raw_매출!$A$2:$A$155,0),MATCH(EDATE($E5,AM$1-1),Raw_매출!$B$1:$BI$1,0))/(INDEX(요약_월별시즈널리티!$F$7:$F$18,MONTH(EDATE($E5,AM$1-1)))/100))),"")</f>
        <v/>
      </c>
      <c r="AN5" t="str" cm="1">
        <f t="array" ref="AN5">IFERROR(IF($E5&lt;44348,"",IF(INDEX(Raw_매출!$B$2:$BI$155,MATCH($A5,Raw_매출!$A$2:$A$155,0),MATCH(EDATE($E5,AN$1-1),Raw_매출!$B$1:$BI$1,0))=0,"",INDEX(Raw_매출!$B$2:$BI$155,MATCH($A5,Raw_매출!$A$2:$A$155,0),MATCH(EDATE($E5,AN$1-1),Raw_매출!$B$1:$BI$1,0))/(INDEX(요약_월별시즈널리티!$F$7:$F$18,MONTH(EDATE($E5,AN$1-1)))/100))),"")</f>
        <v/>
      </c>
      <c r="AO5" t="str" cm="1">
        <f t="array" ref="AO5">IFERROR(IF($E5&lt;44348,"",IF(INDEX(Raw_매출!$B$2:$BI$155,MATCH($A5,Raw_매출!$A$2:$A$155,0),MATCH(EDATE($E5,AO$1-1),Raw_매출!$B$1:$BI$1,0))=0,"",INDEX(Raw_매출!$B$2:$BI$155,MATCH($A5,Raw_매출!$A$2:$A$155,0),MATCH(EDATE($E5,AO$1-1),Raw_매출!$B$1:$BI$1,0))/(INDEX(요약_월별시즈널리티!$F$7:$F$18,MONTH(EDATE($E5,AO$1-1)))/100))),"")</f>
        <v/>
      </c>
      <c r="AP5" t="str" cm="1">
        <f t="array" ref="AP5">IFERROR(IF($E5&lt;44348,"",IF(INDEX(Raw_매출!$B$2:$BI$155,MATCH($A5,Raw_매출!$A$2:$A$155,0),MATCH(EDATE($E5,AP$1-1),Raw_매출!$B$1:$BI$1,0))=0,"",INDEX(Raw_매출!$B$2:$BI$155,MATCH($A5,Raw_매출!$A$2:$A$155,0),MATCH(EDATE($E5,AP$1-1),Raw_매출!$B$1:$BI$1,0))/(INDEX(요약_월별시즈널리티!$F$7:$F$18,MONTH(EDATE($E5,AP$1-1)))/100))),"")</f>
        <v/>
      </c>
      <c r="AQ5" t="str" cm="1">
        <f t="array" ref="AQ5">IFERROR(IF($E5&lt;44348,"",IF(INDEX(Raw_매출!$B$2:$BI$155,MATCH($A5,Raw_매출!$A$2:$A$155,0),MATCH(EDATE($E5,AQ$1-1),Raw_매출!$B$1:$BI$1,0))=0,"",INDEX(Raw_매출!$B$2:$BI$155,MATCH($A5,Raw_매출!$A$2:$A$155,0),MATCH(EDATE($E5,AQ$1-1),Raw_매출!$B$1:$BI$1,0))/(INDEX(요약_월별시즈널리티!$F$7:$F$18,MONTH(EDATE($E5,AQ$1-1)))/100))),"")</f>
        <v/>
      </c>
      <c r="AR5" t="str" cm="1">
        <f t="array" ref="AR5">IFERROR(IF($E5&lt;44348,"",IF(INDEX(Raw_매출!$B$2:$BI$155,MATCH($A5,Raw_매출!$A$2:$A$155,0),MATCH(EDATE($E5,AR$1-1),Raw_매출!$B$1:$BI$1,0))=0,"",INDEX(Raw_매출!$B$2:$BI$155,MATCH($A5,Raw_매출!$A$2:$A$155,0),MATCH(EDATE($E5,AR$1-1),Raw_매출!$B$1:$BI$1,0))/(INDEX(요약_월별시즈널리티!$F$7:$F$18,MONTH(EDATE($E5,AR$1-1)))/100))),"")</f>
        <v/>
      </c>
      <c r="AS5" t="str" cm="1">
        <f t="array" ref="AS5">IFERROR(IF($E5&lt;44348,"",IF(INDEX(Raw_매출!$B$2:$BI$155,MATCH($A5,Raw_매출!$A$2:$A$155,0),MATCH(EDATE($E5,AS$1-1),Raw_매출!$B$1:$BI$1,0))=0,"",INDEX(Raw_매출!$B$2:$BI$155,MATCH($A5,Raw_매출!$A$2:$A$155,0),MATCH(EDATE($E5,AS$1-1),Raw_매출!$B$1:$BI$1,0))/(INDEX(요약_월별시즈널리티!$F$7:$F$18,MONTH(EDATE($E5,AS$1-1)))/100))),"")</f>
        <v/>
      </c>
      <c r="AT5" t="str" cm="1">
        <f t="array" ref="AT5">IFERROR(IF($E5&lt;44348,"",IF(INDEX(Raw_매출!$B$2:$BI$155,MATCH($A5,Raw_매출!$A$2:$A$155,0),MATCH(EDATE($E5,AT$1-1),Raw_매출!$B$1:$BI$1,0))=0,"",INDEX(Raw_매출!$B$2:$BI$155,MATCH($A5,Raw_매출!$A$2:$A$155,0),MATCH(EDATE($E5,AT$1-1),Raw_매출!$B$1:$BI$1,0))/(INDEX(요약_월별시즈널리티!$F$7:$F$18,MONTH(EDATE($E5,AT$1-1)))/100))),"")</f>
        <v/>
      </c>
      <c r="AU5" t="str" cm="1">
        <f t="array" ref="AU5">IFERROR(IF($E5&lt;44348,"",IF(INDEX(Raw_매출!$B$2:$BI$155,MATCH($A5,Raw_매출!$A$2:$A$155,0),MATCH(EDATE($E5,AU$1-1),Raw_매출!$B$1:$BI$1,0))=0,"",INDEX(Raw_매출!$B$2:$BI$155,MATCH($A5,Raw_매출!$A$2:$A$155,0),MATCH(EDATE($E5,AU$1-1),Raw_매출!$B$1:$BI$1,0))/(INDEX(요약_월별시즈널리티!$F$7:$F$18,MONTH(EDATE($E5,AU$1-1)))/100))),"")</f>
        <v/>
      </c>
      <c r="AV5" t="str" cm="1">
        <f t="array" ref="AV5">IFERROR(IF($E5&lt;44348,"",IF(INDEX(Raw_매출!$B$2:$BI$155,MATCH($A5,Raw_매출!$A$2:$A$155,0),MATCH(EDATE($E5,AV$1-1),Raw_매출!$B$1:$BI$1,0))=0,"",INDEX(Raw_매출!$B$2:$BI$155,MATCH($A5,Raw_매출!$A$2:$A$155,0),MATCH(EDATE($E5,AV$1-1),Raw_매출!$B$1:$BI$1,0))/(INDEX(요약_월별시즈널리티!$F$7:$F$18,MONTH(EDATE($E5,AV$1-1)))/100))),"")</f>
        <v/>
      </c>
      <c r="AW5" t="str" cm="1">
        <f t="array" ref="AW5">IFERROR(IF($E5&lt;44348,"",IF(INDEX(Raw_매출!$B$2:$BI$155,MATCH($A5,Raw_매출!$A$2:$A$155,0),MATCH(EDATE($E5,AW$1-1),Raw_매출!$B$1:$BI$1,0))=0,"",INDEX(Raw_매출!$B$2:$BI$155,MATCH($A5,Raw_매출!$A$2:$A$155,0),MATCH(EDATE($E5,AW$1-1),Raw_매출!$B$1:$BI$1,0))/(INDEX(요약_월별시즈널리티!$F$7:$F$18,MONTH(EDATE($E5,AW$1-1)))/100))),"")</f>
        <v/>
      </c>
      <c r="AX5" t="str" cm="1">
        <f t="array" ref="AX5">IFERROR(IF($E5&lt;44348,"",IF(INDEX(Raw_매출!$B$2:$BI$155,MATCH($A5,Raw_매출!$A$2:$A$155,0),MATCH(EDATE($E5,AX$1-1),Raw_매출!$B$1:$BI$1,0))=0,"",INDEX(Raw_매출!$B$2:$BI$155,MATCH($A5,Raw_매출!$A$2:$A$155,0),MATCH(EDATE($E5,AX$1-1),Raw_매출!$B$1:$BI$1,0))/(INDEX(요약_월별시즈널리티!$F$7:$F$18,MONTH(EDATE($E5,AX$1-1)))/100))),"")</f>
        <v/>
      </c>
      <c r="AY5" t="str" cm="1">
        <f t="array" ref="AY5">IFERROR(IF($E5&lt;44348,"",IF(INDEX(Raw_매출!$B$2:$BI$155,MATCH($A5,Raw_매출!$A$2:$A$155,0),MATCH(EDATE($E5,AY$1-1),Raw_매출!$B$1:$BI$1,0))=0,"",INDEX(Raw_매출!$B$2:$BI$155,MATCH($A5,Raw_매출!$A$2:$A$155,0),MATCH(EDATE($E5,AY$1-1),Raw_매출!$B$1:$BI$1,0))/(INDEX(요약_월별시즈널리티!$F$7:$F$18,MONTH(EDATE($E5,AY$1-1)))/100))),"")</f>
        <v/>
      </c>
      <c r="AZ5" t="str" cm="1">
        <f t="array" ref="AZ5">IFERROR(IF($E5&lt;44348,"",IF(INDEX(Raw_매출!$B$2:$BI$155,MATCH($A5,Raw_매출!$A$2:$A$155,0),MATCH(EDATE($E5,AZ$1-1),Raw_매출!$B$1:$BI$1,0))=0,"",INDEX(Raw_매출!$B$2:$BI$155,MATCH($A5,Raw_매출!$A$2:$A$155,0),MATCH(EDATE($E5,AZ$1-1),Raw_매출!$B$1:$BI$1,0))/(INDEX(요약_월별시즈널리티!$F$7:$F$18,MONTH(EDATE($E5,AZ$1-1)))/100))),"")</f>
        <v/>
      </c>
      <c r="BA5" t="str" cm="1">
        <f t="array" ref="BA5">IFERROR(IF($E5&lt;44348,"",IF(INDEX(Raw_매출!$B$2:$BI$155,MATCH($A5,Raw_매출!$A$2:$A$155,0),MATCH(EDATE($E5,BA$1-1),Raw_매출!$B$1:$BI$1,0))=0,"",INDEX(Raw_매출!$B$2:$BI$155,MATCH($A5,Raw_매출!$A$2:$A$155,0),MATCH(EDATE($E5,BA$1-1),Raw_매출!$B$1:$BI$1,0))/(INDEX(요약_월별시즈널리티!$F$7:$F$18,MONTH(EDATE($E5,BA$1-1)))/100))),"")</f>
        <v/>
      </c>
      <c r="BB5" t="str" cm="1">
        <f t="array" ref="BB5">IFERROR(IF($E5&lt;44348,"",IF(INDEX(Raw_매출!$B$2:$BI$155,MATCH($A5,Raw_매출!$A$2:$A$155,0),MATCH(EDATE($E5,BB$1-1),Raw_매출!$B$1:$BI$1,0))=0,"",INDEX(Raw_매출!$B$2:$BI$155,MATCH($A5,Raw_매출!$A$2:$A$155,0),MATCH(EDATE($E5,BB$1-1),Raw_매출!$B$1:$BI$1,0))/(INDEX(요약_월별시즈널리티!$F$7:$F$18,MONTH(EDATE($E5,BB$1-1)))/100))),"")</f>
        <v/>
      </c>
      <c r="BC5" t="str" cm="1">
        <f t="array" ref="BC5">IFERROR(IF($E5&lt;44348,"",IF(INDEX(Raw_매출!$B$2:$BI$155,MATCH($A5,Raw_매출!$A$2:$A$155,0),MATCH(EDATE($E5,BC$1-1),Raw_매출!$B$1:$BI$1,0))=0,"",INDEX(Raw_매출!$B$2:$BI$155,MATCH($A5,Raw_매출!$A$2:$A$155,0),MATCH(EDATE($E5,BC$1-1),Raw_매출!$B$1:$BI$1,0))/(INDEX(요약_월별시즈널리티!$F$7:$F$18,MONTH(EDATE($E5,BC$1-1)))/100))),"")</f>
        <v/>
      </c>
      <c r="BD5" t="str" cm="1">
        <f t="array" ref="BD5">IFERROR(IF($E5&lt;44348,"",IF(INDEX(Raw_매출!$B$2:$BI$155,MATCH($A5,Raw_매출!$A$2:$A$155,0),MATCH(EDATE($E5,BD$1-1),Raw_매출!$B$1:$BI$1,0))=0,"",INDEX(Raw_매출!$B$2:$BI$155,MATCH($A5,Raw_매출!$A$2:$A$155,0),MATCH(EDATE($E5,BD$1-1),Raw_매출!$B$1:$BI$1,0))/(INDEX(요약_월별시즈널리티!$F$7:$F$18,MONTH(EDATE($E5,BD$1-1)))/100))),"")</f>
        <v/>
      </c>
      <c r="BE5" t="str" cm="1">
        <f t="array" ref="BE5">IFERROR(IF($E5&lt;44348,"",IF(INDEX(Raw_매출!$B$2:$BI$155,MATCH($A5,Raw_매출!$A$2:$A$155,0),MATCH(EDATE($E5,BE$1-1),Raw_매출!$B$1:$BI$1,0))=0,"",INDEX(Raw_매출!$B$2:$BI$155,MATCH($A5,Raw_매출!$A$2:$A$155,0),MATCH(EDATE($E5,BE$1-1),Raw_매출!$B$1:$BI$1,0))/(INDEX(요약_월별시즈널리티!$F$7:$F$18,MONTH(EDATE($E5,BE$1-1)))/100))),"")</f>
        <v/>
      </c>
      <c r="BF5" t="str" cm="1">
        <f t="array" ref="BF5">IFERROR(IF($E5&lt;44348,"",IF(INDEX(Raw_매출!$B$2:$BI$155,MATCH($A5,Raw_매출!$A$2:$A$155,0),MATCH(EDATE($E5,BF$1-1),Raw_매출!$B$1:$BI$1,0))=0,"",INDEX(Raw_매출!$B$2:$BI$155,MATCH($A5,Raw_매출!$A$2:$A$155,0),MATCH(EDATE($E5,BF$1-1),Raw_매출!$B$1:$BI$1,0))/(INDEX(요약_월별시즈널리티!$F$7:$F$18,MONTH(EDATE($E5,BF$1-1)))/100))),"")</f>
        <v/>
      </c>
      <c r="BG5" t="str" cm="1">
        <f t="array" ref="BG5">IFERROR(IF($E5&lt;44348,"",IF(INDEX(Raw_매출!$B$2:$BI$155,MATCH($A5,Raw_매출!$A$2:$A$155,0),MATCH(EDATE($E5,BG$1-1),Raw_매출!$B$1:$BI$1,0))=0,"",INDEX(Raw_매출!$B$2:$BI$155,MATCH($A5,Raw_매출!$A$2:$A$155,0),MATCH(EDATE($E5,BG$1-1),Raw_매출!$B$1:$BI$1,0))/(INDEX(요약_월별시즈널리티!$F$7:$F$18,MONTH(EDATE($E5,BG$1-1)))/100))),"")</f>
        <v/>
      </c>
      <c r="BH5" t="str" cm="1">
        <f t="array" ref="BH5">IFERROR(IF($E5&lt;44348,"",IF(INDEX(Raw_매출!$B$2:$BI$155,MATCH($A5,Raw_매출!$A$2:$A$155,0),MATCH(EDATE($E5,BH$1-1),Raw_매출!$B$1:$BI$1,0))=0,"",INDEX(Raw_매출!$B$2:$BI$155,MATCH($A5,Raw_매출!$A$2:$A$155,0),MATCH(EDATE($E5,BH$1-1),Raw_매출!$B$1:$BI$1,0))/(INDEX(요약_월별시즈널리티!$F$7:$F$18,MONTH(EDATE($E5,BH$1-1)))/100))),"")</f>
        <v/>
      </c>
      <c r="BI5" t="str" cm="1">
        <f t="array" ref="BI5">IFERROR(IF($E5&lt;44348,"",IF(INDEX(Raw_매출!$B$2:$BI$155,MATCH($A5,Raw_매출!$A$2:$A$155,0),MATCH(EDATE($E5,BI$1-1),Raw_매출!$B$1:$BI$1,0))=0,"",INDEX(Raw_매출!$B$2:$BI$155,MATCH($A5,Raw_매출!$A$2:$A$155,0),MATCH(EDATE($E5,BI$1-1),Raw_매출!$B$1:$BI$1,0))/(INDEX(요약_월별시즈널리티!$F$7:$F$18,MONTH(EDATE($E5,BI$1-1)))/100))),"")</f>
        <v/>
      </c>
      <c r="BJ5" t="str" cm="1">
        <f t="array" ref="BJ5">IFERROR(IF($E5&lt;44348,"",IF(INDEX(Raw_매출!$B$2:$BI$155,MATCH($A5,Raw_매출!$A$2:$A$155,0),MATCH(EDATE($E5,BJ$1-1),Raw_매출!$B$1:$BI$1,0))=0,"",INDEX(Raw_매출!$B$2:$BI$155,MATCH($A5,Raw_매출!$A$2:$A$155,0),MATCH(EDATE($E5,BJ$1-1),Raw_매출!$B$1:$BI$1,0))/(INDEX(요약_월별시즈널리티!$F$7:$F$18,MONTH(EDATE($E5,BJ$1-1)))/100))),"")</f>
        <v/>
      </c>
      <c r="BK5" t="str" cm="1">
        <f t="array" ref="BK5">IFERROR(IF($E5&lt;44348,"",IF(INDEX(Raw_매출!$B$2:$BI$155,MATCH($A5,Raw_매출!$A$2:$A$155,0),MATCH(EDATE($E5,BK$1-1),Raw_매출!$B$1:$BI$1,0))=0,"",INDEX(Raw_매출!$B$2:$BI$155,MATCH($A5,Raw_매출!$A$2:$A$155,0),MATCH(EDATE($E5,BK$1-1),Raw_매출!$B$1:$BI$1,0))/(INDEX(요약_월별시즈널리티!$F$7:$F$18,MONTH(EDATE($E5,BK$1-1)))/100))),"")</f>
        <v/>
      </c>
      <c r="BL5" t="str" cm="1">
        <f t="array" ref="BL5">IFERROR(IF($E5&lt;44348,"",IF(INDEX(Raw_매출!$B$2:$BI$155,MATCH($A5,Raw_매출!$A$2:$A$155,0),MATCH(EDATE($E5,BL$1-1),Raw_매출!$B$1:$BI$1,0))=0,"",INDEX(Raw_매출!$B$2:$BI$155,MATCH($A5,Raw_매출!$A$2:$A$155,0),MATCH(EDATE($E5,BL$1-1),Raw_매출!$B$1:$BI$1,0))/(INDEX(요약_월별시즈널리티!$F$7:$F$18,MONTH(EDATE($E5,BL$1-1)))/100))),"")</f>
        <v/>
      </c>
      <c r="BM5" t="str" cm="1">
        <f t="array" ref="BM5">IFERROR(IF($E5&lt;44348,"",IF(INDEX(Raw_매출!$B$2:$BI$155,MATCH($A5,Raw_매출!$A$2:$A$155,0),MATCH(EDATE($E5,BM$1-1),Raw_매출!$B$1:$BI$1,0))=0,"",INDEX(Raw_매출!$B$2:$BI$155,MATCH($A5,Raw_매출!$A$2:$A$155,0),MATCH(EDATE($E5,BM$1-1),Raw_매출!$B$1:$BI$1,0))/(INDEX(요약_월별시즈널리티!$F$7:$F$18,MONTH(EDATE($E5,BM$1-1)))/100))),"")</f>
        <v/>
      </c>
      <c r="BN5" t="str" cm="1">
        <f t="array" ref="BN5">IFERROR(IF($E5&lt;44348,"",IF(INDEX(Raw_매출!$B$2:$BI$155,MATCH($A5,Raw_매출!$A$2:$A$155,0),MATCH(EDATE($E5,BN$1-1),Raw_매출!$B$1:$BI$1,0))=0,"",INDEX(Raw_매출!$B$2:$BI$155,MATCH($A5,Raw_매출!$A$2:$A$155,0),MATCH(EDATE($E5,BN$1-1),Raw_매출!$B$1:$BI$1,0))/(INDEX(요약_월별시즈널리티!$F$7:$F$18,MONTH(EDATE($E5,BN$1-1)))/100))),"")</f>
        <v/>
      </c>
    </row>
    <row r="6" spans="1:66" x14ac:dyDescent="0.4">
      <c r="A6" t="str">
        <f>세팅!A7</f>
        <v>(0005) 대학점</v>
      </c>
      <c r="B6" t="str">
        <f>세팅!B7</f>
        <v>150-2</v>
      </c>
      <c r="C6">
        <f t="shared" si="0"/>
        <v>2</v>
      </c>
      <c r="D6" t="str">
        <f t="shared" si="1"/>
        <v>2</v>
      </c>
      <c r="E6" s="1">
        <f>세팅!D7</f>
        <v>42736</v>
      </c>
      <c r="F6" t="str">
        <f t="shared" si="2"/>
        <v/>
      </c>
      <c r="G6" t="str" cm="1">
        <f t="array" ref="G6">IFERROR(IF($E6&lt;44348,"",IF(INDEX(Raw_매출!$B$2:$BI$155,MATCH($A6,Raw_매출!$A$2:$A$155,0),MATCH(EDATE($E6,G$1-1),Raw_매출!$B$1:$BI$1,0))=0,"",INDEX(Raw_매출!$B$2:$BI$155,MATCH($A6,Raw_매출!$A$2:$A$155,0),MATCH(EDATE($E6,G$1-1),Raw_매출!$B$1:$BI$1,0))/(INDEX(요약_월별시즈널리티!$F$7:$F$18,MONTH(EDATE($E6,G$1-1)))/100))),"")</f>
        <v/>
      </c>
      <c r="H6" t="str" cm="1">
        <f t="array" ref="H6">IFERROR(IF($E6&lt;44348,"",IF(INDEX(Raw_매출!$B$2:$BI$155,MATCH($A6,Raw_매출!$A$2:$A$155,0),MATCH(EDATE($E6,H$1-1),Raw_매출!$B$1:$BI$1,0))=0,"",INDEX(Raw_매출!$B$2:$BI$155,MATCH($A6,Raw_매출!$A$2:$A$155,0),MATCH(EDATE($E6,H$1-1),Raw_매출!$B$1:$BI$1,0))/(INDEX(요약_월별시즈널리티!$F$7:$F$18,MONTH(EDATE($E6,H$1-1)))/100))),"")</f>
        <v/>
      </c>
      <c r="I6" t="str" cm="1">
        <f t="array" ref="I6">IFERROR(IF($E6&lt;44348,"",IF(INDEX(Raw_매출!$B$2:$BI$155,MATCH($A6,Raw_매출!$A$2:$A$155,0),MATCH(EDATE($E6,I$1-1),Raw_매출!$B$1:$BI$1,0))=0,"",INDEX(Raw_매출!$B$2:$BI$155,MATCH($A6,Raw_매출!$A$2:$A$155,0),MATCH(EDATE($E6,I$1-1),Raw_매출!$B$1:$BI$1,0))/(INDEX(요약_월별시즈널리티!$F$7:$F$18,MONTH(EDATE($E6,I$1-1)))/100))),"")</f>
        <v/>
      </c>
      <c r="J6" s="30" t="str" cm="1">
        <f t="array" ref="J6">IFERROR(IF($E6&lt;44348,"",IF(INDEX(Raw_매출!$B$2:$BI$155,MATCH($A6,Raw_매출!$A$2:$A$155,0),MATCH(EDATE($E6,J$1-1),Raw_매출!$B$1:$BI$1,0))=0,"",INDEX(Raw_매출!$B$2:$BI$155,MATCH($A6,Raw_매출!$A$2:$A$155,0),MATCH(EDATE($E6,J$1-1),Raw_매출!$B$1:$BI$1,0))/(INDEX(요약_월별시즈널리티!$F$7:$F$18,MONTH(EDATE($E6,J$1-1)))/100))),"")</f>
        <v/>
      </c>
      <c r="K6" s="30" t="str" cm="1">
        <f t="array" ref="K6">IFERROR(IF($E6&lt;44348,"",IF(INDEX(Raw_매출!$B$2:$BI$155,MATCH($A6,Raw_매출!$A$2:$A$155,0),MATCH(EDATE($E6,K$1-1),Raw_매출!$B$1:$BI$1,0))=0,"",INDEX(Raw_매출!$B$2:$BI$155,MATCH($A6,Raw_매출!$A$2:$A$155,0),MATCH(EDATE($E6,K$1-1),Raw_매출!$B$1:$BI$1,0))/(INDEX(요약_월별시즈널리티!$F$7:$F$18,MONTH(EDATE($E6,K$1-1)))/100))),"")</f>
        <v/>
      </c>
      <c r="L6" s="30" t="str" cm="1">
        <f t="array" ref="L6">IFERROR(IF($E6&lt;44348,"",IF(INDEX(Raw_매출!$B$2:$BI$155,MATCH($A6,Raw_매출!$A$2:$A$155,0),MATCH(EDATE($E6,L$1-1),Raw_매출!$B$1:$BI$1,0))=0,"",INDEX(Raw_매출!$B$2:$BI$155,MATCH($A6,Raw_매출!$A$2:$A$155,0),MATCH(EDATE($E6,L$1-1),Raw_매출!$B$1:$BI$1,0))/(INDEX(요약_월별시즈널리티!$F$7:$F$18,MONTH(EDATE($E6,L$1-1)))/100))),"")</f>
        <v/>
      </c>
      <c r="M6" s="30" t="str" cm="1">
        <f t="array" ref="M6">IFERROR(IF($E6&lt;44348,"",IF(INDEX(Raw_매출!$B$2:$BI$155,MATCH($A6,Raw_매출!$A$2:$A$155,0),MATCH(EDATE($E6,M$1-1),Raw_매출!$B$1:$BI$1,0))=0,"",INDEX(Raw_매출!$B$2:$BI$155,MATCH($A6,Raw_매출!$A$2:$A$155,0),MATCH(EDATE($E6,M$1-1),Raw_매출!$B$1:$BI$1,0))/(INDEX(요약_월별시즈널리티!$F$7:$F$18,MONTH(EDATE($E6,M$1-1)))/100))),"")</f>
        <v/>
      </c>
      <c r="N6" s="30" t="str" cm="1">
        <f t="array" ref="N6">IFERROR(IF($E6&lt;44348,"",IF(INDEX(Raw_매출!$B$2:$BI$155,MATCH($A6,Raw_매출!$A$2:$A$155,0),MATCH(EDATE($E6,N$1-1),Raw_매출!$B$1:$BI$1,0))=0,"",INDEX(Raw_매출!$B$2:$BI$155,MATCH($A6,Raw_매출!$A$2:$A$155,0),MATCH(EDATE($E6,N$1-1),Raw_매출!$B$1:$BI$1,0))/(INDEX(요약_월별시즈널리티!$F$7:$F$18,MONTH(EDATE($E6,N$1-1)))/100))),"")</f>
        <v/>
      </c>
      <c r="O6" s="30" t="str" cm="1">
        <f t="array" ref="O6">IFERROR(IF($E6&lt;44348,"",IF(INDEX(Raw_매출!$B$2:$BI$155,MATCH($A6,Raw_매출!$A$2:$A$155,0),MATCH(EDATE($E6,O$1-1),Raw_매출!$B$1:$BI$1,0))=0,"",INDEX(Raw_매출!$B$2:$BI$155,MATCH($A6,Raw_매출!$A$2:$A$155,0),MATCH(EDATE($E6,O$1-1),Raw_매출!$B$1:$BI$1,0))/(INDEX(요약_월별시즈널리티!$F$7:$F$18,MONTH(EDATE($E6,O$1-1)))/100))),"")</f>
        <v/>
      </c>
      <c r="P6" t="str" cm="1">
        <f t="array" ref="P6">IFERROR(IF($E6&lt;44348,"",IF(INDEX(Raw_매출!$B$2:$BI$155,MATCH($A6,Raw_매출!$A$2:$A$155,0),MATCH(EDATE($E6,P$1-1),Raw_매출!$B$1:$BI$1,0))=0,"",INDEX(Raw_매출!$B$2:$BI$155,MATCH($A6,Raw_매출!$A$2:$A$155,0),MATCH(EDATE($E6,P$1-1),Raw_매출!$B$1:$BI$1,0))/(INDEX(요약_월별시즈널리티!$F$7:$F$18,MONTH(EDATE($E6,P$1-1)))/100))),"")</f>
        <v/>
      </c>
      <c r="Q6" t="str" cm="1">
        <f t="array" ref="Q6">IFERROR(IF($E6&lt;44348,"",IF(INDEX(Raw_매출!$B$2:$BI$155,MATCH($A6,Raw_매출!$A$2:$A$155,0),MATCH(EDATE($E6,Q$1-1),Raw_매출!$B$1:$BI$1,0))=0,"",INDEX(Raw_매출!$B$2:$BI$155,MATCH($A6,Raw_매출!$A$2:$A$155,0),MATCH(EDATE($E6,Q$1-1),Raw_매출!$B$1:$BI$1,0))/(INDEX(요약_월별시즈널리티!$F$7:$F$18,MONTH(EDATE($E6,Q$1-1)))/100))),"")</f>
        <v/>
      </c>
      <c r="R6" t="str" cm="1">
        <f t="array" ref="R6">IFERROR(IF($E6&lt;44348,"",IF(INDEX(Raw_매출!$B$2:$BI$155,MATCH($A6,Raw_매출!$A$2:$A$155,0),MATCH(EDATE($E6,R$1-1),Raw_매출!$B$1:$BI$1,0))=0,"",INDEX(Raw_매출!$B$2:$BI$155,MATCH($A6,Raw_매출!$A$2:$A$155,0),MATCH(EDATE($E6,R$1-1),Raw_매출!$B$1:$BI$1,0))/(INDEX(요약_월별시즈널리티!$F$7:$F$18,MONTH(EDATE($E6,R$1-1)))/100))),"")</f>
        <v/>
      </c>
      <c r="S6" t="str" cm="1">
        <f t="array" ref="S6">IFERROR(IF($E6&lt;44348,"",IF(INDEX(Raw_매출!$B$2:$BI$155,MATCH($A6,Raw_매출!$A$2:$A$155,0),MATCH(EDATE($E6,S$1-1),Raw_매출!$B$1:$BI$1,0))=0,"",INDEX(Raw_매출!$B$2:$BI$155,MATCH($A6,Raw_매출!$A$2:$A$155,0),MATCH(EDATE($E6,S$1-1),Raw_매출!$B$1:$BI$1,0))/(INDEX(요약_월별시즈널리티!$F$7:$F$18,MONTH(EDATE($E6,S$1-1)))/100))),"")</f>
        <v/>
      </c>
      <c r="T6" t="str" cm="1">
        <f t="array" ref="T6">IFERROR(IF($E6&lt;44348,"",IF(INDEX(Raw_매출!$B$2:$BI$155,MATCH($A6,Raw_매출!$A$2:$A$155,0),MATCH(EDATE($E6,T$1-1),Raw_매출!$B$1:$BI$1,0))=0,"",INDEX(Raw_매출!$B$2:$BI$155,MATCH($A6,Raw_매출!$A$2:$A$155,0),MATCH(EDATE($E6,T$1-1),Raw_매출!$B$1:$BI$1,0))/(INDEX(요약_월별시즈널리티!$F$7:$F$18,MONTH(EDATE($E6,T$1-1)))/100))),"")</f>
        <v/>
      </c>
      <c r="U6" t="str" cm="1">
        <f t="array" ref="U6">IFERROR(IF($E6&lt;44348,"",IF(INDEX(Raw_매출!$B$2:$BI$155,MATCH($A6,Raw_매출!$A$2:$A$155,0),MATCH(EDATE($E6,U$1-1),Raw_매출!$B$1:$BI$1,0))=0,"",INDEX(Raw_매출!$B$2:$BI$155,MATCH($A6,Raw_매출!$A$2:$A$155,0),MATCH(EDATE($E6,U$1-1),Raw_매출!$B$1:$BI$1,0))/(INDEX(요약_월별시즈널리티!$F$7:$F$18,MONTH(EDATE($E6,U$1-1)))/100))),"")</f>
        <v/>
      </c>
      <c r="V6" t="str" cm="1">
        <f t="array" ref="V6">IFERROR(IF($E6&lt;44348,"",IF(INDEX(Raw_매출!$B$2:$BI$155,MATCH($A6,Raw_매출!$A$2:$A$155,0),MATCH(EDATE($E6,V$1-1),Raw_매출!$B$1:$BI$1,0))=0,"",INDEX(Raw_매출!$B$2:$BI$155,MATCH($A6,Raw_매출!$A$2:$A$155,0),MATCH(EDATE($E6,V$1-1),Raw_매출!$B$1:$BI$1,0))/(INDEX(요약_월별시즈널리티!$F$7:$F$18,MONTH(EDATE($E6,V$1-1)))/100))),"")</f>
        <v/>
      </c>
      <c r="W6" t="str" cm="1">
        <f t="array" ref="W6">IFERROR(IF($E6&lt;44348,"",IF(INDEX(Raw_매출!$B$2:$BI$155,MATCH($A6,Raw_매출!$A$2:$A$155,0),MATCH(EDATE($E6,W$1-1),Raw_매출!$B$1:$BI$1,0))=0,"",INDEX(Raw_매출!$B$2:$BI$155,MATCH($A6,Raw_매출!$A$2:$A$155,0),MATCH(EDATE($E6,W$1-1),Raw_매출!$B$1:$BI$1,0))/(INDEX(요약_월별시즈널리티!$F$7:$F$18,MONTH(EDATE($E6,W$1-1)))/100))),"")</f>
        <v/>
      </c>
      <c r="X6" t="str" cm="1">
        <f t="array" ref="X6">IFERROR(IF($E6&lt;44348,"",IF(INDEX(Raw_매출!$B$2:$BI$155,MATCH($A6,Raw_매출!$A$2:$A$155,0),MATCH(EDATE($E6,X$1-1),Raw_매출!$B$1:$BI$1,0))=0,"",INDEX(Raw_매출!$B$2:$BI$155,MATCH($A6,Raw_매출!$A$2:$A$155,0),MATCH(EDATE($E6,X$1-1),Raw_매출!$B$1:$BI$1,0))/(INDEX(요약_월별시즈널리티!$F$7:$F$18,MONTH(EDATE($E6,X$1-1)))/100))),"")</f>
        <v/>
      </c>
      <c r="Y6" t="str" cm="1">
        <f t="array" ref="Y6">IFERROR(IF($E6&lt;44348,"",IF(INDEX(Raw_매출!$B$2:$BI$155,MATCH($A6,Raw_매출!$A$2:$A$155,0),MATCH(EDATE($E6,Y$1-1),Raw_매출!$B$1:$BI$1,0))=0,"",INDEX(Raw_매출!$B$2:$BI$155,MATCH($A6,Raw_매출!$A$2:$A$155,0),MATCH(EDATE($E6,Y$1-1),Raw_매출!$B$1:$BI$1,0))/(INDEX(요약_월별시즈널리티!$F$7:$F$18,MONTH(EDATE($E6,Y$1-1)))/100))),"")</f>
        <v/>
      </c>
      <c r="Z6" t="str" cm="1">
        <f t="array" ref="Z6">IFERROR(IF($E6&lt;44348,"",IF(INDEX(Raw_매출!$B$2:$BI$155,MATCH($A6,Raw_매출!$A$2:$A$155,0),MATCH(EDATE($E6,Z$1-1),Raw_매출!$B$1:$BI$1,0))=0,"",INDEX(Raw_매출!$B$2:$BI$155,MATCH($A6,Raw_매출!$A$2:$A$155,0),MATCH(EDATE($E6,Z$1-1),Raw_매출!$B$1:$BI$1,0))/(INDEX(요약_월별시즈널리티!$F$7:$F$18,MONTH(EDATE($E6,Z$1-1)))/100))),"")</f>
        <v/>
      </c>
      <c r="AA6" t="str" cm="1">
        <f t="array" ref="AA6">IFERROR(IF($E6&lt;44348,"",IF(INDEX(Raw_매출!$B$2:$BI$155,MATCH($A6,Raw_매출!$A$2:$A$155,0),MATCH(EDATE($E6,AA$1-1),Raw_매출!$B$1:$BI$1,0))=0,"",INDEX(Raw_매출!$B$2:$BI$155,MATCH($A6,Raw_매출!$A$2:$A$155,0),MATCH(EDATE($E6,AA$1-1),Raw_매출!$B$1:$BI$1,0))/(INDEX(요약_월별시즈널리티!$F$7:$F$18,MONTH(EDATE($E6,AA$1-1)))/100))),"")</f>
        <v/>
      </c>
      <c r="AB6" t="str" cm="1">
        <f t="array" ref="AB6">IFERROR(IF($E6&lt;44348,"",IF(INDEX(Raw_매출!$B$2:$BI$155,MATCH($A6,Raw_매출!$A$2:$A$155,0),MATCH(EDATE($E6,AB$1-1),Raw_매출!$B$1:$BI$1,0))=0,"",INDEX(Raw_매출!$B$2:$BI$155,MATCH($A6,Raw_매출!$A$2:$A$155,0),MATCH(EDATE($E6,AB$1-1),Raw_매출!$B$1:$BI$1,0))/(INDEX(요약_월별시즈널리티!$F$7:$F$18,MONTH(EDATE($E6,AB$1-1)))/100))),"")</f>
        <v/>
      </c>
      <c r="AC6" t="str" cm="1">
        <f t="array" ref="AC6">IFERROR(IF($E6&lt;44348,"",IF(INDEX(Raw_매출!$B$2:$BI$155,MATCH($A6,Raw_매출!$A$2:$A$155,0),MATCH(EDATE($E6,AC$1-1),Raw_매출!$B$1:$BI$1,0))=0,"",INDEX(Raw_매출!$B$2:$BI$155,MATCH($A6,Raw_매출!$A$2:$A$155,0),MATCH(EDATE($E6,AC$1-1),Raw_매출!$B$1:$BI$1,0))/(INDEX(요약_월별시즈널리티!$F$7:$F$18,MONTH(EDATE($E6,AC$1-1)))/100))),"")</f>
        <v/>
      </c>
      <c r="AD6" t="str" cm="1">
        <f t="array" ref="AD6">IFERROR(IF($E6&lt;44348,"",IF(INDEX(Raw_매출!$B$2:$BI$155,MATCH($A6,Raw_매출!$A$2:$A$155,0),MATCH(EDATE($E6,AD$1-1),Raw_매출!$B$1:$BI$1,0))=0,"",INDEX(Raw_매출!$B$2:$BI$155,MATCH($A6,Raw_매출!$A$2:$A$155,0),MATCH(EDATE($E6,AD$1-1),Raw_매출!$B$1:$BI$1,0))/(INDEX(요약_월별시즈널리티!$F$7:$F$18,MONTH(EDATE($E6,AD$1-1)))/100))),"")</f>
        <v/>
      </c>
      <c r="AE6" t="str" cm="1">
        <f t="array" ref="AE6">IFERROR(IF($E6&lt;44348,"",IF(INDEX(Raw_매출!$B$2:$BI$155,MATCH($A6,Raw_매출!$A$2:$A$155,0),MATCH(EDATE($E6,AE$1-1),Raw_매출!$B$1:$BI$1,0))=0,"",INDEX(Raw_매출!$B$2:$BI$155,MATCH($A6,Raw_매출!$A$2:$A$155,0),MATCH(EDATE($E6,AE$1-1),Raw_매출!$B$1:$BI$1,0))/(INDEX(요약_월별시즈널리티!$F$7:$F$18,MONTH(EDATE($E6,AE$1-1)))/100))),"")</f>
        <v/>
      </c>
      <c r="AF6" t="str" cm="1">
        <f t="array" ref="AF6">IFERROR(IF($E6&lt;44348,"",IF(INDEX(Raw_매출!$B$2:$BI$155,MATCH($A6,Raw_매출!$A$2:$A$155,0),MATCH(EDATE($E6,AF$1-1),Raw_매출!$B$1:$BI$1,0))=0,"",INDEX(Raw_매출!$B$2:$BI$155,MATCH($A6,Raw_매출!$A$2:$A$155,0),MATCH(EDATE($E6,AF$1-1),Raw_매출!$B$1:$BI$1,0))/(INDEX(요약_월별시즈널리티!$F$7:$F$18,MONTH(EDATE($E6,AF$1-1)))/100))),"")</f>
        <v/>
      </c>
      <c r="AG6" t="str" cm="1">
        <f t="array" ref="AG6">IFERROR(IF($E6&lt;44348,"",IF(INDEX(Raw_매출!$B$2:$BI$155,MATCH($A6,Raw_매출!$A$2:$A$155,0),MATCH(EDATE($E6,AG$1-1),Raw_매출!$B$1:$BI$1,0))=0,"",INDEX(Raw_매출!$B$2:$BI$155,MATCH($A6,Raw_매출!$A$2:$A$155,0),MATCH(EDATE($E6,AG$1-1),Raw_매출!$B$1:$BI$1,0))/(INDEX(요약_월별시즈널리티!$F$7:$F$18,MONTH(EDATE($E6,AG$1-1)))/100))),"")</f>
        <v/>
      </c>
      <c r="AH6" t="str" cm="1">
        <f t="array" ref="AH6">IFERROR(IF($E6&lt;44348,"",IF(INDEX(Raw_매출!$B$2:$BI$155,MATCH($A6,Raw_매출!$A$2:$A$155,0),MATCH(EDATE($E6,AH$1-1),Raw_매출!$B$1:$BI$1,0))=0,"",INDEX(Raw_매출!$B$2:$BI$155,MATCH($A6,Raw_매출!$A$2:$A$155,0),MATCH(EDATE($E6,AH$1-1),Raw_매출!$B$1:$BI$1,0))/(INDEX(요약_월별시즈널리티!$F$7:$F$18,MONTH(EDATE($E6,AH$1-1)))/100))),"")</f>
        <v/>
      </c>
      <c r="AI6" t="str" cm="1">
        <f t="array" ref="AI6">IFERROR(IF($E6&lt;44348,"",IF(INDEX(Raw_매출!$B$2:$BI$155,MATCH($A6,Raw_매출!$A$2:$A$155,0),MATCH(EDATE($E6,AI$1-1),Raw_매출!$B$1:$BI$1,0))=0,"",INDEX(Raw_매출!$B$2:$BI$155,MATCH($A6,Raw_매출!$A$2:$A$155,0),MATCH(EDATE($E6,AI$1-1),Raw_매출!$B$1:$BI$1,0))/(INDEX(요약_월별시즈널리티!$F$7:$F$18,MONTH(EDATE($E6,AI$1-1)))/100))),"")</f>
        <v/>
      </c>
      <c r="AJ6" t="str" cm="1">
        <f t="array" ref="AJ6">IFERROR(IF($E6&lt;44348,"",IF(INDEX(Raw_매출!$B$2:$BI$155,MATCH($A6,Raw_매출!$A$2:$A$155,0),MATCH(EDATE($E6,AJ$1-1),Raw_매출!$B$1:$BI$1,0))=0,"",INDEX(Raw_매출!$B$2:$BI$155,MATCH($A6,Raw_매출!$A$2:$A$155,0),MATCH(EDATE($E6,AJ$1-1),Raw_매출!$B$1:$BI$1,0))/(INDEX(요약_월별시즈널리티!$F$7:$F$18,MONTH(EDATE($E6,AJ$1-1)))/100))),"")</f>
        <v/>
      </c>
      <c r="AK6" t="str" cm="1">
        <f t="array" ref="AK6">IFERROR(IF($E6&lt;44348,"",IF(INDEX(Raw_매출!$B$2:$BI$155,MATCH($A6,Raw_매출!$A$2:$A$155,0),MATCH(EDATE($E6,AK$1-1),Raw_매출!$B$1:$BI$1,0))=0,"",INDEX(Raw_매출!$B$2:$BI$155,MATCH($A6,Raw_매출!$A$2:$A$155,0),MATCH(EDATE($E6,AK$1-1),Raw_매출!$B$1:$BI$1,0))/(INDEX(요약_월별시즈널리티!$F$7:$F$18,MONTH(EDATE($E6,AK$1-1)))/100))),"")</f>
        <v/>
      </c>
      <c r="AL6" t="str" cm="1">
        <f t="array" ref="AL6">IFERROR(IF($E6&lt;44348,"",IF(INDEX(Raw_매출!$B$2:$BI$155,MATCH($A6,Raw_매출!$A$2:$A$155,0),MATCH(EDATE($E6,AL$1-1),Raw_매출!$B$1:$BI$1,0))=0,"",INDEX(Raw_매출!$B$2:$BI$155,MATCH($A6,Raw_매출!$A$2:$A$155,0),MATCH(EDATE($E6,AL$1-1),Raw_매출!$B$1:$BI$1,0))/(INDEX(요약_월별시즈널리티!$F$7:$F$18,MONTH(EDATE($E6,AL$1-1)))/100))),"")</f>
        <v/>
      </c>
      <c r="AM6" t="str" cm="1">
        <f t="array" ref="AM6">IFERROR(IF($E6&lt;44348,"",IF(INDEX(Raw_매출!$B$2:$BI$155,MATCH($A6,Raw_매출!$A$2:$A$155,0),MATCH(EDATE($E6,AM$1-1),Raw_매출!$B$1:$BI$1,0))=0,"",INDEX(Raw_매출!$B$2:$BI$155,MATCH($A6,Raw_매출!$A$2:$A$155,0),MATCH(EDATE($E6,AM$1-1),Raw_매출!$B$1:$BI$1,0))/(INDEX(요약_월별시즈널리티!$F$7:$F$18,MONTH(EDATE($E6,AM$1-1)))/100))),"")</f>
        <v/>
      </c>
      <c r="AN6" t="str" cm="1">
        <f t="array" ref="AN6">IFERROR(IF($E6&lt;44348,"",IF(INDEX(Raw_매출!$B$2:$BI$155,MATCH($A6,Raw_매출!$A$2:$A$155,0),MATCH(EDATE($E6,AN$1-1),Raw_매출!$B$1:$BI$1,0))=0,"",INDEX(Raw_매출!$B$2:$BI$155,MATCH($A6,Raw_매출!$A$2:$A$155,0),MATCH(EDATE($E6,AN$1-1),Raw_매출!$B$1:$BI$1,0))/(INDEX(요약_월별시즈널리티!$F$7:$F$18,MONTH(EDATE($E6,AN$1-1)))/100))),"")</f>
        <v/>
      </c>
      <c r="AO6" t="str" cm="1">
        <f t="array" ref="AO6">IFERROR(IF($E6&lt;44348,"",IF(INDEX(Raw_매출!$B$2:$BI$155,MATCH($A6,Raw_매출!$A$2:$A$155,0),MATCH(EDATE($E6,AO$1-1),Raw_매출!$B$1:$BI$1,0))=0,"",INDEX(Raw_매출!$B$2:$BI$155,MATCH($A6,Raw_매출!$A$2:$A$155,0),MATCH(EDATE($E6,AO$1-1),Raw_매출!$B$1:$BI$1,0))/(INDEX(요약_월별시즈널리티!$F$7:$F$18,MONTH(EDATE($E6,AO$1-1)))/100))),"")</f>
        <v/>
      </c>
      <c r="AP6" t="str" cm="1">
        <f t="array" ref="AP6">IFERROR(IF($E6&lt;44348,"",IF(INDEX(Raw_매출!$B$2:$BI$155,MATCH($A6,Raw_매출!$A$2:$A$155,0),MATCH(EDATE($E6,AP$1-1),Raw_매출!$B$1:$BI$1,0))=0,"",INDEX(Raw_매출!$B$2:$BI$155,MATCH($A6,Raw_매출!$A$2:$A$155,0),MATCH(EDATE($E6,AP$1-1),Raw_매출!$B$1:$BI$1,0))/(INDEX(요약_월별시즈널리티!$F$7:$F$18,MONTH(EDATE($E6,AP$1-1)))/100))),"")</f>
        <v/>
      </c>
      <c r="AQ6" t="str" cm="1">
        <f t="array" ref="AQ6">IFERROR(IF($E6&lt;44348,"",IF(INDEX(Raw_매출!$B$2:$BI$155,MATCH($A6,Raw_매출!$A$2:$A$155,0),MATCH(EDATE($E6,AQ$1-1),Raw_매출!$B$1:$BI$1,0))=0,"",INDEX(Raw_매출!$B$2:$BI$155,MATCH($A6,Raw_매출!$A$2:$A$155,0),MATCH(EDATE($E6,AQ$1-1),Raw_매출!$B$1:$BI$1,0))/(INDEX(요약_월별시즈널리티!$F$7:$F$18,MONTH(EDATE($E6,AQ$1-1)))/100))),"")</f>
        <v/>
      </c>
      <c r="AR6" t="str" cm="1">
        <f t="array" ref="AR6">IFERROR(IF($E6&lt;44348,"",IF(INDEX(Raw_매출!$B$2:$BI$155,MATCH($A6,Raw_매출!$A$2:$A$155,0),MATCH(EDATE($E6,AR$1-1),Raw_매출!$B$1:$BI$1,0))=0,"",INDEX(Raw_매출!$B$2:$BI$155,MATCH($A6,Raw_매출!$A$2:$A$155,0),MATCH(EDATE($E6,AR$1-1),Raw_매출!$B$1:$BI$1,0))/(INDEX(요약_월별시즈널리티!$F$7:$F$18,MONTH(EDATE($E6,AR$1-1)))/100))),"")</f>
        <v/>
      </c>
      <c r="AS6" t="str" cm="1">
        <f t="array" ref="AS6">IFERROR(IF($E6&lt;44348,"",IF(INDEX(Raw_매출!$B$2:$BI$155,MATCH($A6,Raw_매출!$A$2:$A$155,0),MATCH(EDATE($E6,AS$1-1),Raw_매출!$B$1:$BI$1,0))=0,"",INDEX(Raw_매출!$B$2:$BI$155,MATCH($A6,Raw_매출!$A$2:$A$155,0),MATCH(EDATE($E6,AS$1-1),Raw_매출!$B$1:$BI$1,0))/(INDEX(요약_월별시즈널리티!$F$7:$F$18,MONTH(EDATE($E6,AS$1-1)))/100))),"")</f>
        <v/>
      </c>
      <c r="AT6" t="str" cm="1">
        <f t="array" ref="AT6">IFERROR(IF($E6&lt;44348,"",IF(INDEX(Raw_매출!$B$2:$BI$155,MATCH($A6,Raw_매출!$A$2:$A$155,0),MATCH(EDATE($E6,AT$1-1),Raw_매출!$B$1:$BI$1,0))=0,"",INDEX(Raw_매출!$B$2:$BI$155,MATCH($A6,Raw_매출!$A$2:$A$155,0),MATCH(EDATE($E6,AT$1-1),Raw_매출!$B$1:$BI$1,0))/(INDEX(요약_월별시즈널리티!$F$7:$F$18,MONTH(EDATE($E6,AT$1-1)))/100))),"")</f>
        <v/>
      </c>
      <c r="AU6" t="str" cm="1">
        <f t="array" ref="AU6">IFERROR(IF($E6&lt;44348,"",IF(INDEX(Raw_매출!$B$2:$BI$155,MATCH($A6,Raw_매출!$A$2:$A$155,0),MATCH(EDATE($E6,AU$1-1),Raw_매출!$B$1:$BI$1,0))=0,"",INDEX(Raw_매출!$B$2:$BI$155,MATCH($A6,Raw_매출!$A$2:$A$155,0),MATCH(EDATE($E6,AU$1-1),Raw_매출!$B$1:$BI$1,0))/(INDEX(요약_월별시즈널리티!$F$7:$F$18,MONTH(EDATE($E6,AU$1-1)))/100))),"")</f>
        <v/>
      </c>
      <c r="AV6" t="str" cm="1">
        <f t="array" ref="AV6">IFERROR(IF($E6&lt;44348,"",IF(INDEX(Raw_매출!$B$2:$BI$155,MATCH($A6,Raw_매출!$A$2:$A$155,0),MATCH(EDATE($E6,AV$1-1),Raw_매출!$B$1:$BI$1,0))=0,"",INDEX(Raw_매출!$B$2:$BI$155,MATCH($A6,Raw_매출!$A$2:$A$155,0),MATCH(EDATE($E6,AV$1-1),Raw_매출!$B$1:$BI$1,0))/(INDEX(요약_월별시즈널리티!$F$7:$F$18,MONTH(EDATE($E6,AV$1-1)))/100))),"")</f>
        <v/>
      </c>
      <c r="AW6" t="str" cm="1">
        <f t="array" ref="AW6">IFERROR(IF($E6&lt;44348,"",IF(INDEX(Raw_매출!$B$2:$BI$155,MATCH($A6,Raw_매출!$A$2:$A$155,0),MATCH(EDATE($E6,AW$1-1),Raw_매출!$B$1:$BI$1,0))=0,"",INDEX(Raw_매출!$B$2:$BI$155,MATCH($A6,Raw_매출!$A$2:$A$155,0),MATCH(EDATE($E6,AW$1-1),Raw_매출!$B$1:$BI$1,0))/(INDEX(요약_월별시즈널리티!$F$7:$F$18,MONTH(EDATE($E6,AW$1-1)))/100))),"")</f>
        <v/>
      </c>
      <c r="AX6" t="str" cm="1">
        <f t="array" ref="AX6">IFERROR(IF($E6&lt;44348,"",IF(INDEX(Raw_매출!$B$2:$BI$155,MATCH($A6,Raw_매출!$A$2:$A$155,0),MATCH(EDATE($E6,AX$1-1),Raw_매출!$B$1:$BI$1,0))=0,"",INDEX(Raw_매출!$B$2:$BI$155,MATCH($A6,Raw_매출!$A$2:$A$155,0),MATCH(EDATE($E6,AX$1-1),Raw_매출!$B$1:$BI$1,0))/(INDEX(요약_월별시즈널리티!$F$7:$F$18,MONTH(EDATE($E6,AX$1-1)))/100))),"")</f>
        <v/>
      </c>
      <c r="AY6" t="str" cm="1">
        <f t="array" ref="AY6">IFERROR(IF($E6&lt;44348,"",IF(INDEX(Raw_매출!$B$2:$BI$155,MATCH($A6,Raw_매출!$A$2:$A$155,0),MATCH(EDATE($E6,AY$1-1),Raw_매출!$B$1:$BI$1,0))=0,"",INDEX(Raw_매출!$B$2:$BI$155,MATCH($A6,Raw_매출!$A$2:$A$155,0),MATCH(EDATE($E6,AY$1-1),Raw_매출!$B$1:$BI$1,0))/(INDEX(요약_월별시즈널리티!$F$7:$F$18,MONTH(EDATE($E6,AY$1-1)))/100))),"")</f>
        <v/>
      </c>
      <c r="AZ6" t="str" cm="1">
        <f t="array" ref="AZ6">IFERROR(IF($E6&lt;44348,"",IF(INDEX(Raw_매출!$B$2:$BI$155,MATCH($A6,Raw_매출!$A$2:$A$155,0),MATCH(EDATE($E6,AZ$1-1),Raw_매출!$B$1:$BI$1,0))=0,"",INDEX(Raw_매출!$B$2:$BI$155,MATCH($A6,Raw_매출!$A$2:$A$155,0),MATCH(EDATE($E6,AZ$1-1),Raw_매출!$B$1:$BI$1,0))/(INDEX(요약_월별시즈널리티!$F$7:$F$18,MONTH(EDATE($E6,AZ$1-1)))/100))),"")</f>
        <v/>
      </c>
      <c r="BA6" t="str" cm="1">
        <f t="array" ref="BA6">IFERROR(IF($E6&lt;44348,"",IF(INDEX(Raw_매출!$B$2:$BI$155,MATCH($A6,Raw_매출!$A$2:$A$155,0),MATCH(EDATE($E6,BA$1-1),Raw_매출!$B$1:$BI$1,0))=0,"",INDEX(Raw_매출!$B$2:$BI$155,MATCH($A6,Raw_매출!$A$2:$A$155,0),MATCH(EDATE($E6,BA$1-1),Raw_매출!$B$1:$BI$1,0))/(INDEX(요약_월별시즈널리티!$F$7:$F$18,MONTH(EDATE($E6,BA$1-1)))/100))),"")</f>
        <v/>
      </c>
      <c r="BB6" t="str" cm="1">
        <f t="array" ref="BB6">IFERROR(IF($E6&lt;44348,"",IF(INDEX(Raw_매출!$B$2:$BI$155,MATCH($A6,Raw_매출!$A$2:$A$155,0),MATCH(EDATE($E6,BB$1-1),Raw_매출!$B$1:$BI$1,0))=0,"",INDEX(Raw_매출!$B$2:$BI$155,MATCH($A6,Raw_매출!$A$2:$A$155,0),MATCH(EDATE($E6,BB$1-1),Raw_매출!$B$1:$BI$1,0))/(INDEX(요약_월별시즈널리티!$F$7:$F$18,MONTH(EDATE($E6,BB$1-1)))/100))),"")</f>
        <v/>
      </c>
      <c r="BC6" t="str" cm="1">
        <f t="array" ref="BC6">IFERROR(IF($E6&lt;44348,"",IF(INDEX(Raw_매출!$B$2:$BI$155,MATCH($A6,Raw_매출!$A$2:$A$155,0),MATCH(EDATE($E6,BC$1-1),Raw_매출!$B$1:$BI$1,0))=0,"",INDEX(Raw_매출!$B$2:$BI$155,MATCH($A6,Raw_매출!$A$2:$A$155,0),MATCH(EDATE($E6,BC$1-1),Raw_매출!$B$1:$BI$1,0))/(INDEX(요약_월별시즈널리티!$F$7:$F$18,MONTH(EDATE($E6,BC$1-1)))/100))),"")</f>
        <v/>
      </c>
      <c r="BD6" t="str" cm="1">
        <f t="array" ref="BD6">IFERROR(IF($E6&lt;44348,"",IF(INDEX(Raw_매출!$B$2:$BI$155,MATCH($A6,Raw_매출!$A$2:$A$155,0),MATCH(EDATE($E6,BD$1-1),Raw_매출!$B$1:$BI$1,0))=0,"",INDEX(Raw_매출!$B$2:$BI$155,MATCH($A6,Raw_매출!$A$2:$A$155,0),MATCH(EDATE($E6,BD$1-1),Raw_매출!$B$1:$BI$1,0))/(INDEX(요약_월별시즈널리티!$F$7:$F$18,MONTH(EDATE($E6,BD$1-1)))/100))),"")</f>
        <v/>
      </c>
      <c r="BE6" t="str" cm="1">
        <f t="array" ref="BE6">IFERROR(IF($E6&lt;44348,"",IF(INDEX(Raw_매출!$B$2:$BI$155,MATCH($A6,Raw_매출!$A$2:$A$155,0),MATCH(EDATE($E6,BE$1-1),Raw_매출!$B$1:$BI$1,0))=0,"",INDEX(Raw_매출!$B$2:$BI$155,MATCH($A6,Raw_매출!$A$2:$A$155,0),MATCH(EDATE($E6,BE$1-1),Raw_매출!$B$1:$BI$1,0))/(INDEX(요약_월별시즈널리티!$F$7:$F$18,MONTH(EDATE($E6,BE$1-1)))/100))),"")</f>
        <v/>
      </c>
      <c r="BF6" t="str" cm="1">
        <f t="array" ref="BF6">IFERROR(IF($E6&lt;44348,"",IF(INDEX(Raw_매출!$B$2:$BI$155,MATCH($A6,Raw_매출!$A$2:$A$155,0),MATCH(EDATE($E6,BF$1-1),Raw_매출!$B$1:$BI$1,0))=0,"",INDEX(Raw_매출!$B$2:$BI$155,MATCH($A6,Raw_매출!$A$2:$A$155,0),MATCH(EDATE($E6,BF$1-1),Raw_매출!$B$1:$BI$1,0))/(INDEX(요약_월별시즈널리티!$F$7:$F$18,MONTH(EDATE($E6,BF$1-1)))/100))),"")</f>
        <v/>
      </c>
      <c r="BG6" t="str" cm="1">
        <f t="array" ref="BG6">IFERROR(IF($E6&lt;44348,"",IF(INDEX(Raw_매출!$B$2:$BI$155,MATCH($A6,Raw_매출!$A$2:$A$155,0),MATCH(EDATE($E6,BG$1-1),Raw_매출!$B$1:$BI$1,0))=0,"",INDEX(Raw_매출!$B$2:$BI$155,MATCH($A6,Raw_매출!$A$2:$A$155,0),MATCH(EDATE($E6,BG$1-1),Raw_매출!$B$1:$BI$1,0))/(INDEX(요약_월별시즈널리티!$F$7:$F$18,MONTH(EDATE($E6,BG$1-1)))/100))),"")</f>
        <v/>
      </c>
      <c r="BH6" t="str" cm="1">
        <f t="array" ref="BH6">IFERROR(IF($E6&lt;44348,"",IF(INDEX(Raw_매출!$B$2:$BI$155,MATCH($A6,Raw_매출!$A$2:$A$155,0),MATCH(EDATE($E6,BH$1-1),Raw_매출!$B$1:$BI$1,0))=0,"",INDEX(Raw_매출!$B$2:$BI$155,MATCH($A6,Raw_매출!$A$2:$A$155,0),MATCH(EDATE($E6,BH$1-1),Raw_매출!$B$1:$BI$1,0))/(INDEX(요약_월별시즈널리티!$F$7:$F$18,MONTH(EDATE($E6,BH$1-1)))/100))),"")</f>
        <v/>
      </c>
      <c r="BI6" t="str" cm="1">
        <f t="array" ref="BI6">IFERROR(IF($E6&lt;44348,"",IF(INDEX(Raw_매출!$B$2:$BI$155,MATCH($A6,Raw_매출!$A$2:$A$155,0),MATCH(EDATE($E6,BI$1-1),Raw_매출!$B$1:$BI$1,0))=0,"",INDEX(Raw_매출!$B$2:$BI$155,MATCH($A6,Raw_매출!$A$2:$A$155,0),MATCH(EDATE($E6,BI$1-1),Raw_매출!$B$1:$BI$1,0))/(INDEX(요약_월별시즈널리티!$F$7:$F$18,MONTH(EDATE($E6,BI$1-1)))/100))),"")</f>
        <v/>
      </c>
      <c r="BJ6" t="str" cm="1">
        <f t="array" ref="BJ6">IFERROR(IF($E6&lt;44348,"",IF(INDEX(Raw_매출!$B$2:$BI$155,MATCH($A6,Raw_매출!$A$2:$A$155,0),MATCH(EDATE($E6,BJ$1-1),Raw_매출!$B$1:$BI$1,0))=0,"",INDEX(Raw_매출!$B$2:$BI$155,MATCH($A6,Raw_매출!$A$2:$A$155,0),MATCH(EDATE($E6,BJ$1-1),Raw_매출!$B$1:$BI$1,0))/(INDEX(요약_월별시즈널리티!$F$7:$F$18,MONTH(EDATE($E6,BJ$1-1)))/100))),"")</f>
        <v/>
      </c>
      <c r="BK6" t="str" cm="1">
        <f t="array" ref="BK6">IFERROR(IF($E6&lt;44348,"",IF(INDEX(Raw_매출!$B$2:$BI$155,MATCH($A6,Raw_매출!$A$2:$A$155,0),MATCH(EDATE($E6,BK$1-1),Raw_매출!$B$1:$BI$1,0))=0,"",INDEX(Raw_매출!$B$2:$BI$155,MATCH($A6,Raw_매출!$A$2:$A$155,0),MATCH(EDATE($E6,BK$1-1),Raw_매출!$B$1:$BI$1,0))/(INDEX(요약_월별시즈널리티!$F$7:$F$18,MONTH(EDATE($E6,BK$1-1)))/100))),"")</f>
        <v/>
      </c>
      <c r="BL6" t="str" cm="1">
        <f t="array" ref="BL6">IFERROR(IF($E6&lt;44348,"",IF(INDEX(Raw_매출!$B$2:$BI$155,MATCH($A6,Raw_매출!$A$2:$A$155,0),MATCH(EDATE($E6,BL$1-1),Raw_매출!$B$1:$BI$1,0))=0,"",INDEX(Raw_매출!$B$2:$BI$155,MATCH($A6,Raw_매출!$A$2:$A$155,0),MATCH(EDATE($E6,BL$1-1),Raw_매출!$B$1:$BI$1,0))/(INDEX(요약_월별시즈널리티!$F$7:$F$18,MONTH(EDATE($E6,BL$1-1)))/100))),"")</f>
        <v/>
      </c>
      <c r="BM6" t="str" cm="1">
        <f t="array" ref="BM6">IFERROR(IF($E6&lt;44348,"",IF(INDEX(Raw_매출!$B$2:$BI$155,MATCH($A6,Raw_매출!$A$2:$A$155,0),MATCH(EDATE($E6,BM$1-1),Raw_매출!$B$1:$BI$1,0))=0,"",INDEX(Raw_매출!$B$2:$BI$155,MATCH($A6,Raw_매출!$A$2:$A$155,0),MATCH(EDATE($E6,BM$1-1),Raw_매출!$B$1:$BI$1,0))/(INDEX(요약_월별시즈널리티!$F$7:$F$18,MONTH(EDATE($E6,BM$1-1)))/100))),"")</f>
        <v/>
      </c>
      <c r="BN6" t="str" cm="1">
        <f t="array" ref="BN6">IFERROR(IF($E6&lt;44348,"",IF(INDEX(Raw_매출!$B$2:$BI$155,MATCH($A6,Raw_매출!$A$2:$A$155,0),MATCH(EDATE($E6,BN$1-1),Raw_매출!$B$1:$BI$1,0))=0,"",INDEX(Raw_매출!$B$2:$BI$155,MATCH($A6,Raw_매출!$A$2:$A$155,0),MATCH(EDATE($E6,BN$1-1),Raw_매출!$B$1:$BI$1,0))/(INDEX(요약_월별시즈널리티!$F$7:$F$18,MONTH(EDATE($E6,BN$1-1)))/100))),"")</f>
        <v/>
      </c>
    </row>
    <row r="7" spans="1:66" x14ac:dyDescent="0.4">
      <c r="A7" t="str">
        <f>세팅!A8</f>
        <v>(0006) 서림점</v>
      </c>
      <c r="B7" t="str">
        <f>세팅!B8</f>
        <v>150-2</v>
      </c>
      <c r="C7">
        <f t="shared" si="0"/>
        <v>2</v>
      </c>
      <c r="D7" t="str">
        <f t="shared" si="1"/>
        <v>2</v>
      </c>
      <c r="E7" s="1">
        <f>세팅!D8</f>
        <v>43040</v>
      </c>
      <c r="F7" t="str">
        <f t="shared" si="2"/>
        <v/>
      </c>
      <c r="G7" t="str" cm="1">
        <f t="array" ref="G7">IFERROR(IF($E7&lt;44348,"",IF(INDEX(Raw_매출!$B$2:$BI$155,MATCH($A7,Raw_매출!$A$2:$A$155,0),MATCH(EDATE($E7,G$1-1),Raw_매출!$B$1:$BI$1,0))=0,"",INDEX(Raw_매출!$B$2:$BI$155,MATCH($A7,Raw_매출!$A$2:$A$155,0),MATCH(EDATE($E7,G$1-1),Raw_매출!$B$1:$BI$1,0))/(INDEX(요약_월별시즈널리티!$F$7:$F$18,MONTH(EDATE($E7,G$1-1)))/100))),"")</f>
        <v/>
      </c>
      <c r="H7" t="str" cm="1">
        <f t="array" ref="H7">IFERROR(IF($E7&lt;44348,"",IF(INDEX(Raw_매출!$B$2:$BI$155,MATCH($A7,Raw_매출!$A$2:$A$155,0),MATCH(EDATE($E7,H$1-1),Raw_매출!$B$1:$BI$1,0))=0,"",INDEX(Raw_매출!$B$2:$BI$155,MATCH($A7,Raw_매출!$A$2:$A$155,0),MATCH(EDATE($E7,H$1-1),Raw_매출!$B$1:$BI$1,0))/(INDEX(요약_월별시즈널리티!$F$7:$F$18,MONTH(EDATE($E7,H$1-1)))/100))),"")</f>
        <v/>
      </c>
      <c r="I7" t="str" cm="1">
        <f t="array" ref="I7">IFERROR(IF($E7&lt;44348,"",IF(INDEX(Raw_매출!$B$2:$BI$155,MATCH($A7,Raw_매출!$A$2:$A$155,0),MATCH(EDATE($E7,I$1-1),Raw_매출!$B$1:$BI$1,0))=0,"",INDEX(Raw_매출!$B$2:$BI$155,MATCH($A7,Raw_매출!$A$2:$A$155,0),MATCH(EDATE($E7,I$1-1),Raw_매출!$B$1:$BI$1,0))/(INDEX(요약_월별시즈널리티!$F$7:$F$18,MONTH(EDATE($E7,I$1-1)))/100))),"")</f>
        <v/>
      </c>
      <c r="J7" s="30" t="str" cm="1">
        <f t="array" ref="J7">IFERROR(IF($E7&lt;44348,"",IF(INDEX(Raw_매출!$B$2:$BI$155,MATCH($A7,Raw_매출!$A$2:$A$155,0),MATCH(EDATE($E7,J$1-1),Raw_매출!$B$1:$BI$1,0))=0,"",INDEX(Raw_매출!$B$2:$BI$155,MATCH($A7,Raw_매출!$A$2:$A$155,0),MATCH(EDATE($E7,J$1-1),Raw_매출!$B$1:$BI$1,0))/(INDEX(요약_월별시즈널리티!$F$7:$F$18,MONTH(EDATE($E7,J$1-1)))/100))),"")</f>
        <v/>
      </c>
      <c r="K7" s="30" t="str" cm="1">
        <f t="array" ref="K7">IFERROR(IF($E7&lt;44348,"",IF(INDEX(Raw_매출!$B$2:$BI$155,MATCH($A7,Raw_매출!$A$2:$A$155,0),MATCH(EDATE($E7,K$1-1),Raw_매출!$B$1:$BI$1,0))=0,"",INDEX(Raw_매출!$B$2:$BI$155,MATCH($A7,Raw_매출!$A$2:$A$155,0),MATCH(EDATE($E7,K$1-1),Raw_매출!$B$1:$BI$1,0))/(INDEX(요약_월별시즈널리티!$F$7:$F$18,MONTH(EDATE($E7,K$1-1)))/100))),"")</f>
        <v/>
      </c>
      <c r="L7" s="30" t="str" cm="1">
        <f t="array" ref="L7">IFERROR(IF($E7&lt;44348,"",IF(INDEX(Raw_매출!$B$2:$BI$155,MATCH($A7,Raw_매출!$A$2:$A$155,0),MATCH(EDATE($E7,L$1-1),Raw_매출!$B$1:$BI$1,0))=0,"",INDEX(Raw_매출!$B$2:$BI$155,MATCH($A7,Raw_매출!$A$2:$A$155,0),MATCH(EDATE($E7,L$1-1),Raw_매출!$B$1:$BI$1,0))/(INDEX(요약_월별시즈널리티!$F$7:$F$18,MONTH(EDATE($E7,L$1-1)))/100))),"")</f>
        <v/>
      </c>
      <c r="M7" s="30" t="str" cm="1">
        <f t="array" ref="M7">IFERROR(IF($E7&lt;44348,"",IF(INDEX(Raw_매출!$B$2:$BI$155,MATCH($A7,Raw_매출!$A$2:$A$155,0),MATCH(EDATE($E7,M$1-1),Raw_매출!$B$1:$BI$1,0))=0,"",INDEX(Raw_매출!$B$2:$BI$155,MATCH($A7,Raw_매출!$A$2:$A$155,0),MATCH(EDATE($E7,M$1-1),Raw_매출!$B$1:$BI$1,0))/(INDEX(요약_월별시즈널리티!$F$7:$F$18,MONTH(EDATE($E7,M$1-1)))/100))),"")</f>
        <v/>
      </c>
      <c r="N7" s="30" t="str" cm="1">
        <f t="array" ref="N7">IFERROR(IF($E7&lt;44348,"",IF(INDEX(Raw_매출!$B$2:$BI$155,MATCH($A7,Raw_매출!$A$2:$A$155,0),MATCH(EDATE($E7,N$1-1),Raw_매출!$B$1:$BI$1,0))=0,"",INDEX(Raw_매출!$B$2:$BI$155,MATCH($A7,Raw_매출!$A$2:$A$155,0),MATCH(EDATE($E7,N$1-1),Raw_매출!$B$1:$BI$1,0))/(INDEX(요약_월별시즈널리티!$F$7:$F$18,MONTH(EDATE($E7,N$1-1)))/100))),"")</f>
        <v/>
      </c>
      <c r="O7" s="30" t="str" cm="1">
        <f t="array" ref="O7">IFERROR(IF($E7&lt;44348,"",IF(INDEX(Raw_매출!$B$2:$BI$155,MATCH($A7,Raw_매출!$A$2:$A$155,0),MATCH(EDATE($E7,O$1-1),Raw_매출!$B$1:$BI$1,0))=0,"",INDEX(Raw_매출!$B$2:$BI$155,MATCH($A7,Raw_매출!$A$2:$A$155,0),MATCH(EDATE($E7,O$1-1),Raw_매출!$B$1:$BI$1,0))/(INDEX(요약_월별시즈널리티!$F$7:$F$18,MONTH(EDATE($E7,O$1-1)))/100))),"")</f>
        <v/>
      </c>
      <c r="P7" t="str" cm="1">
        <f t="array" ref="P7">IFERROR(IF($E7&lt;44348,"",IF(INDEX(Raw_매출!$B$2:$BI$155,MATCH($A7,Raw_매출!$A$2:$A$155,0),MATCH(EDATE($E7,P$1-1),Raw_매출!$B$1:$BI$1,0))=0,"",INDEX(Raw_매출!$B$2:$BI$155,MATCH($A7,Raw_매출!$A$2:$A$155,0),MATCH(EDATE($E7,P$1-1),Raw_매출!$B$1:$BI$1,0))/(INDEX(요약_월별시즈널리티!$F$7:$F$18,MONTH(EDATE($E7,P$1-1)))/100))),"")</f>
        <v/>
      </c>
      <c r="Q7" t="str" cm="1">
        <f t="array" ref="Q7">IFERROR(IF($E7&lt;44348,"",IF(INDEX(Raw_매출!$B$2:$BI$155,MATCH($A7,Raw_매출!$A$2:$A$155,0),MATCH(EDATE($E7,Q$1-1),Raw_매출!$B$1:$BI$1,0))=0,"",INDEX(Raw_매출!$B$2:$BI$155,MATCH($A7,Raw_매출!$A$2:$A$155,0),MATCH(EDATE($E7,Q$1-1),Raw_매출!$B$1:$BI$1,0))/(INDEX(요약_월별시즈널리티!$F$7:$F$18,MONTH(EDATE($E7,Q$1-1)))/100))),"")</f>
        <v/>
      </c>
      <c r="R7" t="str" cm="1">
        <f t="array" ref="R7">IFERROR(IF($E7&lt;44348,"",IF(INDEX(Raw_매출!$B$2:$BI$155,MATCH($A7,Raw_매출!$A$2:$A$155,0),MATCH(EDATE($E7,R$1-1),Raw_매출!$B$1:$BI$1,0))=0,"",INDEX(Raw_매출!$B$2:$BI$155,MATCH($A7,Raw_매출!$A$2:$A$155,0),MATCH(EDATE($E7,R$1-1),Raw_매출!$B$1:$BI$1,0))/(INDEX(요약_월별시즈널리티!$F$7:$F$18,MONTH(EDATE($E7,R$1-1)))/100))),"")</f>
        <v/>
      </c>
      <c r="S7" t="str" cm="1">
        <f t="array" ref="S7">IFERROR(IF($E7&lt;44348,"",IF(INDEX(Raw_매출!$B$2:$BI$155,MATCH($A7,Raw_매출!$A$2:$A$155,0),MATCH(EDATE($E7,S$1-1),Raw_매출!$B$1:$BI$1,0))=0,"",INDEX(Raw_매출!$B$2:$BI$155,MATCH($A7,Raw_매출!$A$2:$A$155,0),MATCH(EDATE($E7,S$1-1),Raw_매출!$B$1:$BI$1,0))/(INDEX(요약_월별시즈널리티!$F$7:$F$18,MONTH(EDATE($E7,S$1-1)))/100))),"")</f>
        <v/>
      </c>
      <c r="T7" t="str" cm="1">
        <f t="array" ref="T7">IFERROR(IF($E7&lt;44348,"",IF(INDEX(Raw_매출!$B$2:$BI$155,MATCH($A7,Raw_매출!$A$2:$A$155,0),MATCH(EDATE($E7,T$1-1),Raw_매출!$B$1:$BI$1,0))=0,"",INDEX(Raw_매출!$B$2:$BI$155,MATCH($A7,Raw_매출!$A$2:$A$155,0),MATCH(EDATE($E7,T$1-1),Raw_매출!$B$1:$BI$1,0))/(INDEX(요약_월별시즈널리티!$F$7:$F$18,MONTH(EDATE($E7,T$1-1)))/100))),"")</f>
        <v/>
      </c>
      <c r="U7" t="str" cm="1">
        <f t="array" ref="U7">IFERROR(IF($E7&lt;44348,"",IF(INDEX(Raw_매출!$B$2:$BI$155,MATCH($A7,Raw_매출!$A$2:$A$155,0),MATCH(EDATE($E7,U$1-1),Raw_매출!$B$1:$BI$1,0))=0,"",INDEX(Raw_매출!$B$2:$BI$155,MATCH($A7,Raw_매출!$A$2:$A$155,0),MATCH(EDATE($E7,U$1-1),Raw_매출!$B$1:$BI$1,0))/(INDEX(요약_월별시즈널리티!$F$7:$F$18,MONTH(EDATE($E7,U$1-1)))/100))),"")</f>
        <v/>
      </c>
      <c r="V7" t="str" cm="1">
        <f t="array" ref="V7">IFERROR(IF($E7&lt;44348,"",IF(INDEX(Raw_매출!$B$2:$BI$155,MATCH($A7,Raw_매출!$A$2:$A$155,0),MATCH(EDATE($E7,V$1-1),Raw_매출!$B$1:$BI$1,0))=0,"",INDEX(Raw_매출!$B$2:$BI$155,MATCH($A7,Raw_매출!$A$2:$A$155,0),MATCH(EDATE($E7,V$1-1),Raw_매출!$B$1:$BI$1,0))/(INDEX(요약_월별시즈널리티!$F$7:$F$18,MONTH(EDATE($E7,V$1-1)))/100))),"")</f>
        <v/>
      </c>
      <c r="W7" t="str" cm="1">
        <f t="array" ref="W7">IFERROR(IF($E7&lt;44348,"",IF(INDEX(Raw_매출!$B$2:$BI$155,MATCH($A7,Raw_매출!$A$2:$A$155,0),MATCH(EDATE($E7,W$1-1),Raw_매출!$B$1:$BI$1,0))=0,"",INDEX(Raw_매출!$B$2:$BI$155,MATCH($A7,Raw_매출!$A$2:$A$155,0),MATCH(EDATE($E7,W$1-1),Raw_매출!$B$1:$BI$1,0))/(INDEX(요약_월별시즈널리티!$F$7:$F$18,MONTH(EDATE($E7,W$1-1)))/100))),"")</f>
        <v/>
      </c>
      <c r="X7" t="str" cm="1">
        <f t="array" ref="X7">IFERROR(IF($E7&lt;44348,"",IF(INDEX(Raw_매출!$B$2:$BI$155,MATCH($A7,Raw_매출!$A$2:$A$155,0),MATCH(EDATE($E7,X$1-1),Raw_매출!$B$1:$BI$1,0))=0,"",INDEX(Raw_매출!$B$2:$BI$155,MATCH($A7,Raw_매출!$A$2:$A$155,0),MATCH(EDATE($E7,X$1-1),Raw_매출!$B$1:$BI$1,0))/(INDEX(요약_월별시즈널리티!$F$7:$F$18,MONTH(EDATE($E7,X$1-1)))/100))),"")</f>
        <v/>
      </c>
      <c r="Y7" t="str" cm="1">
        <f t="array" ref="Y7">IFERROR(IF($E7&lt;44348,"",IF(INDEX(Raw_매출!$B$2:$BI$155,MATCH($A7,Raw_매출!$A$2:$A$155,0),MATCH(EDATE($E7,Y$1-1),Raw_매출!$B$1:$BI$1,0))=0,"",INDEX(Raw_매출!$B$2:$BI$155,MATCH($A7,Raw_매출!$A$2:$A$155,0),MATCH(EDATE($E7,Y$1-1),Raw_매출!$B$1:$BI$1,0))/(INDEX(요약_월별시즈널리티!$F$7:$F$18,MONTH(EDATE($E7,Y$1-1)))/100))),"")</f>
        <v/>
      </c>
      <c r="Z7" t="str" cm="1">
        <f t="array" ref="Z7">IFERROR(IF($E7&lt;44348,"",IF(INDEX(Raw_매출!$B$2:$BI$155,MATCH($A7,Raw_매출!$A$2:$A$155,0),MATCH(EDATE($E7,Z$1-1),Raw_매출!$B$1:$BI$1,0))=0,"",INDEX(Raw_매출!$B$2:$BI$155,MATCH($A7,Raw_매출!$A$2:$A$155,0),MATCH(EDATE($E7,Z$1-1),Raw_매출!$B$1:$BI$1,0))/(INDEX(요약_월별시즈널리티!$F$7:$F$18,MONTH(EDATE($E7,Z$1-1)))/100))),"")</f>
        <v/>
      </c>
      <c r="AA7" t="str" cm="1">
        <f t="array" ref="AA7">IFERROR(IF($E7&lt;44348,"",IF(INDEX(Raw_매출!$B$2:$BI$155,MATCH($A7,Raw_매출!$A$2:$A$155,0),MATCH(EDATE($E7,AA$1-1),Raw_매출!$B$1:$BI$1,0))=0,"",INDEX(Raw_매출!$B$2:$BI$155,MATCH($A7,Raw_매출!$A$2:$A$155,0),MATCH(EDATE($E7,AA$1-1),Raw_매출!$B$1:$BI$1,0))/(INDEX(요약_월별시즈널리티!$F$7:$F$18,MONTH(EDATE($E7,AA$1-1)))/100))),"")</f>
        <v/>
      </c>
      <c r="AB7" t="str" cm="1">
        <f t="array" ref="AB7">IFERROR(IF($E7&lt;44348,"",IF(INDEX(Raw_매출!$B$2:$BI$155,MATCH($A7,Raw_매출!$A$2:$A$155,0),MATCH(EDATE($E7,AB$1-1),Raw_매출!$B$1:$BI$1,0))=0,"",INDEX(Raw_매출!$B$2:$BI$155,MATCH($A7,Raw_매출!$A$2:$A$155,0),MATCH(EDATE($E7,AB$1-1),Raw_매출!$B$1:$BI$1,0))/(INDEX(요약_월별시즈널리티!$F$7:$F$18,MONTH(EDATE($E7,AB$1-1)))/100))),"")</f>
        <v/>
      </c>
      <c r="AC7" t="str" cm="1">
        <f t="array" ref="AC7">IFERROR(IF($E7&lt;44348,"",IF(INDEX(Raw_매출!$B$2:$BI$155,MATCH($A7,Raw_매출!$A$2:$A$155,0),MATCH(EDATE($E7,AC$1-1),Raw_매출!$B$1:$BI$1,0))=0,"",INDEX(Raw_매출!$B$2:$BI$155,MATCH($A7,Raw_매출!$A$2:$A$155,0),MATCH(EDATE($E7,AC$1-1),Raw_매출!$B$1:$BI$1,0))/(INDEX(요약_월별시즈널리티!$F$7:$F$18,MONTH(EDATE($E7,AC$1-1)))/100))),"")</f>
        <v/>
      </c>
      <c r="AD7" t="str" cm="1">
        <f t="array" ref="AD7">IFERROR(IF($E7&lt;44348,"",IF(INDEX(Raw_매출!$B$2:$BI$155,MATCH($A7,Raw_매출!$A$2:$A$155,0),MATCH(EDATE($E7,AD$1-1),Raw_매출!$B$1:$BI$1,0))=0,"",INDEX(Raw_매출!$B$2:$BI$155,MATCH($A7,Raw_매출!$A$2:$A$155,0),MATCH(EDATE($E7,AD$1-1),Raw_매출!$B$1:$BI$1,0))/(INDEX(요약_월별시즈널리티!$F$7:$F$18,MONTH(EDATE($E7,AD$1-1)))/100))),"")</f>
        <v/>
      </c>
      <c r="AE7" t="str" cm="1">
        <f t="array" ref="AE7">IFERROR(IF($E7&lt;44348,"",IF(INDEX(Raw_매출!$B$2:$BI$155,MATCH($A7,Raw_매출!$A$2:$A$155,0),MATCH(EDATE($E7,AE$1-1),Raw_매출!$B$1:$BI$1,0))=0,"",INDEX(Raw_매출!$B$2:$BI$155,MATCH($A7,Raw_매출!$A$2:$A$155,0),MATCH(EDATE($E7,AE$1-1),Raw_매출!$B$1:$BI$1,0))/(INDEX(요약_월별시즈널리티!$F$7:$F$18,MONTH(EDATE($E7,AE$1-1)))/100))),"")</f>
        <v/>
      </c>
      <c r="AF7" t="str" cm="1">
        <f t="array" ref="AF7">IFERROR(IF($E7&lt;44348,"",IF(INDEX(Raw_매출!$B$2:$BI$155,MATCH($A7,Raw_매출!$A$2:$A$155,0),MATCH(EDATE($E7,AF$1-1),Raw_매출!$B$1:$BI$1,0))=0,"",INDEX(Raw_매출!$B$2:$BI$155,MATCH($A7,Raw_매출!$A$2:$A$155,0),MATCH(EDATE($E7,AF$1-1),Raw_매출!$B$1:$BI$1,0))/(INDEX(요약_월별시즈널리티!$F$7:$F$18,MONTH(EDATE($E7,AF$1-1)))/100))),"")</f>
        <v/>
      </c>
      <c r="AG7" t="str" cm="1">
        <f t="array" ref="AG7">IFERROR(IF($E7&lt;44348,"",IF(INDEX(Raw_매출!$B$2:$BI$155,MATCH($A7,Raw_매출!$A$2:$A$155,0),MATCH(EDATE($E7,AG$1-1),Raw_매출!$B$1:$BI$1,0))=0,"",INDEX(Raw_매출!$B$2:$BI$155,MATCH($A7,Raw_매출!$A$2:$A$155,0),MATCH(EDATE($E7,AG$1-1),Raw_매출!$B$1:$BI$1,0))/(INDEX(요약_월별시즈널리티!$F$7:$F$18,MONTH(EDATE($E7,AG$1-1)))/100))),"")</f>
        <v/>
      </c>
      <c r="AH7" t="str" cm="1">
        <f t="array" ref="AH7">IFERROR(IF($E7&lt;44348,"",IF(INDEX(Raw_매출!$B$2:$BI$155,MATCH($A7,Raw_매출!$A$2:$A$155,0),MATCH(EDATE($E7,AH$1-1),Raw_매출!$B$1:$BI$1,0))=0,"",INDEX(Raw_매출!$B$2:$BI$155,MATCH($A7,Raw_매출!$A$2:$A$155,0),MATCH(EDATE($E7,AH$1-1),Raw_매출!$B$1:$BI$1,0))/(INDEX(요약_월별시즈널리티!$F$7:$F$18,MONTH(EDATE($E7,AH$1-1)))/100))),"")</f>
        <v/>
      </c>
      <c r="AI7" t="str" cm="1">
        <f t="array" ref="AI7">IFERROR(IF($E7&lt;44348,"",IF(INDEX(Raw_매출!$B$2:$BI$155,MATCH($A7,Raw_매출!$A$2:$A$155,0),MATCH(EDATE($E7,AI$1-1),Raw_매출!$B$1:$BI$1,0))=0,"",INDEX(Raw_매출!$B$2:$BI$155,MATCH($A7,Raw_매출!$A$2:$A$155,0),MATCH(EDATE($E7,AI$1-1),Raw_매출!$B$1:$BI$1,0))/(INDEX(요약_월별시즈널리티!$F$7:$F$18,MONTH(EDATE($E7,AI$1-1)))/100))),"")</f>
        <v/>
      </c>
      <c r="AJ7" t="str" cm="1">
        <f t="array" ref="AJ7">IFERROR(IF($E7&lt;44348,"",IF(INDEX(Raw_매출!$B$2:$BI$155,MATCH($A7,Raw_매출!$A$2:$A$155,0),MATCH(EDATE($E7,AJ$1-1),Raw_매출!$B$1:$BI$1,0))=0,"",INDEX(Raw_매출!$B$2:$BI$155,MATCH($A7,Raw_매출!$A$2:$A$155,0),MATCH(EDATE($E7,AJ$1-1),Raw_매출!$B$1:$BI$1,0))/(INDEX(요약_월별시즈널리티!$F$7:$F$18,MONTH(EDATE($E7,AJ$1-1)))/100))),"")</f>
        <v/>
      </c>
      <c r="AK7" t="str" cm="1">
        <f t="array" ref="AK7">IFERROR(IF($E7&lt;44348,"",IF(INDEX(Raw_매출!$B$2:$BI$155,MATCH($A7,Raw_매출!$A$2:$A$155,0),MATCH(EDATE($E7,AK$1-1),Raw_매출!$B$1:$BI$1,0))=0,"",INDEX(Raw_매출!$B$2:$BI$155,MATCH($A7,Raw_매출!$A$2:$A$155,0),MATCH(EDATE($E7,AK$1-1),Raw_매출!$B$1:$BI$1,0))/(INDEX(요약_월별시즈널리티!$F$7:$F$18,MONTH(EDATE($E7,AK$1-1)))/100))),"")</f>
        <v/>
      </c>
      <c r="AL7" t="str" cm="1">
        <f t="array" ref="AL7">IFERROR(IF($E7&lt;44348,"",IF(INDEX(Raw_매출!$B$2:$BI$155,MATCH($A7,Raw_매출!$A$2:$A$155,0),MATCH(EDATE($E7,AL$1-1),Raw_매출!$B$1:$BI$1,0))=0,"",INDEX(Raw_매출!$B$2:$BI$155,MATCH($A7,Raw_매출!$A$2:$A$155,0),MATCH(EDATE($E7,AL$1-1),Raw_매출!$B$1:$BI$1,0))/(INDEX(요약_월별시즈널리티!$F$7:$F$18,MONTH(EDATE($E7,AL$1-1)))/100))),"")</f>
        <v/>
      </c>
      <c r="AM7" t="str" cm="1">
        <f t="array" ref="AM7">IFERROR(IF($E7&lt;44348,"",IF(INDEX(Raw_매출!$B$2:$BI$155,MATCH($A7,Raw_매출!$A$2:$A$155,0),MATCH(EDATE($E7,AM$1-1),Raw_매출!$B$1:$BI$1,0))=0,"",INDEX(Raw_매출!$B$2:$BI$155,MATCH($A7,Raw_매출!$A$2:$A$155,0),MATCH(EDATE($E7,AM$1-1),Raw_매출!$B$1:$BI$1,0))/(INDEX(요약_월별시즈널리티!$F$7:$F$18,MONTH(EDATE($E7,AM$1-1)))/100))),"")</f>
        <v/>
      </c>
      <c r="AN7" t="str" cm="1">
        <f t="array" ref="AN7">IFERROR(IF($E7&lt;44348,"",IF(INDEX(Raw_매출!$B$2:$BI$155,MATCH($A7,Raw_매출!$A$2:$A$155,0),MATCH(EDATE($E7,AN$1-1),Raw_매출!$B$1:$BI$1,0))=0,"",INDEX(Raw_매출!$B$2:$BI$155,MATCH($A7,Raw_매출!$A$2:$A$155,0),MATCH(EDATE($E7,AN$1-1),Raw_매출!$B$1:$BI$1,0))/(INDEX(요약_월별시즈널리티!$F$7:$F$18,MONTH(EDATE($E7,AN$1-1)))/100))),"")</f>
        <v/>
      </c>
      <c r="AO7" t="str" cm="1">
        <f t="array" ref="AO7">IFERROR(IF($E7&lt;44348,"",IF(INDEX(Raw_매출!$B$2:$BI$155,MATCH($A7,Raw_매출!$A$2:$A$155,0),MATCH(EDATE($E7,AO$1-1),Raw_매출!$B$1:$BI$1,0))=0,"",INDEX(Raw_매출!$B$2:$BI$155,MATCH($A7,Raw_매출!$A$2:$A$155,0),MATCH(EDATE($E7,AO$1-1),Raw_매출!$B$1:$BI$1,0))/(INDEX(요약_월별시즈널리티!$F$7:$F$18,MONTH(EDATE($E7,AO$1-1)))/100))),"")</f>
        <v/>
      </c>
      <c r="AP7" t="str" cm="1">
        <f t="array" ref="AP7">IFERROR(IF($E7&lt;44348,"",IF(INDEX(Raw_매출!$B$2:$BI$155,MATCH($A7,Raw_매출!$A$2:$A$155,0),MATCH(EDATE($E7,AP$1-1),Raw_매출!$B$1:$BI$1,0))=0,"",INDEX(Raw_매출!$B$2:$BI$155,MATCH($A7,Raw_매출!$A$2:$A$155,0),MATCH(EDATE($E7,AP$1-1),Raw_매출!$B$1:$BI$1,0))/(INDEX(요약_월별시즈널리티!$F$7:$F$18,MONTH(EDATE($E7,AP$1-1)))/100))),"")</f>
        <v/>
      </c>
      <c r="AQ7" t="str" cm="1">
        <f t="array" ref="AQ7">IFERROR(IF($E7&lt;44348,"",IF(INDEX(Raw_매출!$B$2:$BI$155,MATCH($A7,Raw_매출!$A$2:$A$155,0),MATCH(EDATE($E7,AQ$1-1),Raw_매출!$B$1:$BI$1,0))=0,"",INDEX(Raw_매출!$B$2:$BI$155,MATCH($A7,Raw_매출!$A$2:$A$155,0),MATCH(EDATE($E7,AQ$1-1),Raw_매출!$B$1:$BI$1,0))/(INDEX(요약_월별시즈널리티!$F$7:$F$18,MONTH(EDATE($E7,AQ$1-1)))/100))),"")</f>
        <v/>
      </c>
      <c r="AR7" t="str" cm="1">
        <f t="array" ref="AR7">IFERROR(IF($E7&lt;44348,"",IF(INDEX(Raw_매출!$B$2:$BI$155,MATCH($A7,Raw_매출!$A$2:$A$155,0),MATCH(EDATE($E7,AR$1-1),Raw_매출!$B$1:$BI$1,0))=0,"",INDEX(Raw_매출!$B$2:$BI$155,MATCH($A7,Raw_매출!$A$2:$A$155,0),MATCH(EDATE($E7,AR$1-1),Raw_매출!$B$1:$BI$1,0))/(INDEX(요약_월별시즈널리티!$F$7:$F$18,MONTH(EDATE($E7,AR$1-1)))/100))),"")</f>
        <v/>
      </c>
      <c r="AS7" t="str" cm="1">
        <f t="array" ref="AS7">IFERROR(IF($E7&lt;44348,"",IF(INDEX(Raw_매출!$B$2:$BI$155,MATCH($A7,Raw_매출!$A$2:$A$155,0),MATCH(EDATE($E7,AS$1-1),Raw_매출!$B$1:$BI$1,0))=0,"",INDEX(Raw_매출!$B$2:$BI$155,MATCH($A7,Raw_매출!$A$2:$A$155,0),MATCH(EDATE($E7,AS$1-1),Raw_매출!$B$1:$BI$1,0))/(INDEX(요약_월별시즈널리티!$F$7:$F$18,MONTH(EDATE($E7,AS$1-1)))/100))),"")</f>
        <v/>
      </c>
      <c r="AT7" t="str" cm="1">
        <f t="array" ref="AT7">IFERROR(IF($E7&lt;44348,"",IF(INDEX(Raw_매출!$B$2:$BI$155,MATCH($A7,Raw_매출!$A$2:$A$155,0),MATCH(EDATE($E7,AT$1-1),Raw_매출!$B$1:$BI$1,0))=0,"",INDEX(Raw_매출!$B$2:$BI$155,MATCH($A7,Raw_매출!$A$2:$A$155,0),MATCH(EDATE($E7,AT$1-1),Raw_매출!$B$1:$BI$1,0))/(INDEX(요약_월별시즈널리티!$F$7:$F$18,MONTH(EDATE($E7,AT$1-1)))/100))),"")</f>
        <v/>
      </c>
      <c r="AU7" t="str" cm="1">
        <f t="array" ref="AU7">IFERROR(IF($E7&lt;44348,"",IF(INDEX(Raw_매출!$B$2:$BI$155,MATCH($A7,Raw_매출!$A$2:$A$155,0),MATCH(EDATE($E7,AU$1-1),Raw_매출!$B$1:$BI$1,0))=0,"",INDEX(Raw_매출!$B$2:$BI$155,MATCH($A7,Raw_매출!$A$2:$A$155,0),MATCH(EDATE($E7,AU$1-1),Raw_매출!$B$1:$BI$1,0))/(INDEX(요약_월별시즈널리티!$F$7:$F$18,MONTH(EDATE($E7,AU$1-1)))/100))),"")</f>
        <v/>
      </c>
      <c r="AV7" t="str" cm="1">
        <f t="array" ref="AV7">IFERROR(IF($E7&lt;44348,"",IF(INDEX(Raw_매출!$B$2:$BI$155,MATCH($A7,Raw_매출!$A$2:$A$155,0),MATCH(EDATE($E7,AV$1-1),Raw_매출!$B$1:$BI$1,0))=0,"",INDEX(Raw_매출!$B$2:$BI$155,MATCH($A7,Raw_매출!$A$2:$A$155,0),MATCH(EDATE($E7,AV$1-1),Raw_매출!$B$1:$BI$1,0))/(INDEX(요약_월별시즈널리티!$F$7:$F$18,MONTH(EDATE($E7,AV$1-1)))/100))),"")</f>
        <v/>
      </c>
      <c r="AW7" t="str" cm="1">
        <f t="array" ref="AW7">IFERROR(IF($E7&lt;44348,"",IF(INDEX(Raw_매출!$B$2:$BI$155,MATCH($A7,Raw_매출!$A$2:$A$155,0),MATCH(EDATE($E7,AW$1-1),Raw_매출!$B$1:$BI$1,0))=0,"",INDEX(Raw_매출!$B$2:$BI$155,MATCH($A7,Raw_매출!$A$2:$A$155,0),MATCH(EDATE($E7,AW$1-1),Raw_매출!$B$1:$BI$1,0))/(INDEX(요약_월별시즈널리티!$F$7:$F$18,MONTH(EDATE($E7,AW$1-1)))/100))),"")</f>
        <v/>
      </c>
      <c r="AX7" t="str" cm="1">
        <f t="array" ref="AX7">IFERROR(IF($E7&lt;44348,"",IF(INDEX(Raw_매출!$B$2:$BI$155,MATCH($A7,Raw_매출!$A$2:$A$155,0),MATCH(EDATE($E7,AX$1-1),Raw_매출!$B$1:$BI$1,0))=0,"",INDEX(Raw_매출!$B$2:$BI$155,MATCH($A7,Raw_매출!$A$2:$A$155,0),MATCH(EDATE($E7,AX$1-1),Raw_매출!$B$1:$BI$1,0))/(INDEX(요약_월별시즈널리티!$F$7:$F$18,MONTH(EDATE($E7,AX$1-1)))/100))),"")</f>
        <v/>
      </c>
      <c r="AY7" t="str" cm="1">
        <f t="array" ref="AY7">IFERROR(IF($E7&lt;44348,"",IF(INDEX(Raw_매출!$B$2:$BI$155,MATCH($A7,Raw_매출!$A$2:$A$155,0),MATCH(EDATE($E7,AY$1-1),Raw_매출!$B$1:$BI$1,0))=0,"",INDEX(Raw_매출!$B$2:$BI$155,MATCH($A7,Raw_매출!$A$2:$A$155,0),MATCH(EDATE($E7,AY$1-1),Raw_매출!$B$1:$BI$1,0))/(INDEX(요약_월별시즈널리티!$F$7:$F$18,MONTH(EDATE($E7,AY$1-1)))/100))),"")</f>
        <v/>
      </c>
      <c r="AZ7" t="str" cm="1">
        <f t="array" ref="AZ7">IFERROR(IF($E7&lt;44348,"",IF(INDEX(Raw_매출!$B$2:$BI$155,MATCH($A7,Raw_매출!$A$2:$A$155,0),MATCH(EDATE($E7,AZ$1-1),Raw_매출!$B$1:$BI$1,0))=0,"",INDEX(Raw_매출!$B$2:$BI$155,MATCH($A7,Raw_매출!$A$2:$A$155,0),MATCH(EDATE($E7,AZ$1-1),Raw_매출!$B$1:$BI$1,0))/(INDEX(요약_월별시즈널리티!$F$7:$F$18,MONTH(EDATE($E7,AZ$1-1)))/100))),"")</f>
        <v/>
      </c>
      <c r="BA7" t="str" cm="1">
        <f t="array" ref="BA7">IFERROR(IF($E7&lt;44348,"",IF(INDEX(Raw_매출!$B$2:$BI$155,MATCH($A7,Raw_매출!$A$2:$A$155,0),MATCH(EDATE($E7,BA$1-1),Raw_매출!$B$1:$BI$1,0))=0,"",INDEX(Raw_매출!$B$2:$BI$155,MATCH($A7,Raw_매출!$A$2:$A$155,0),MATCH(EDATE($E7,BA$1-1),Raw_매출!$B$1:$BI$1,0))/(INDEX(요약_월별시즈널리티!$F$7:$F$18,MONTH(EDATE($E7,BA$1-1)))/100))),"")</f>
        <v/>
      </c>
      <c r="BB7" t="str" cm="1">
        <f t="array" ref="BB7">IFERROR(IF($E7&lt;44348,"",IF(INDEX(Raw_매출!$B$2:$BI$155,MATCH($A7,Raw_매출!$A$2:$A$155,0),MATCH(EDATE($E7,BB$1-1),Raw_매출!$B$1:$BI$1,0))=0,"",INDEX(Raw_매출!$B$2:$BI$155,MATCH($A7,Raw_매출!$A$2:$A$155,0),MATCH(EDATE($E7,BB$1-1),Raw_매출!$B$1:$BI$1,0))/(INDEX(요약_월별시즈널리티!$F$7:$F$18,MONTH(EDATE($E7,BB$1-1)))/100))),"")</f>
        <v/>
      </c>
      <c r="BC7" t="str" cm="1">
        <f t="array" ref="BC7">IFERROR(IF($E7&lt;44348,"",IF(INDEX(Raw_매출!$B$2:$BI$155,MATCH($A7,Raw_매출!$A$2:$A$155,0),MATCH(EDATE($E7,BC$1-1),Raw_매출!$B$1:$BI$1,0))=0,"",INDEX(Raw_매출!$B$2:$BI$155,MATCH($A7,Raw_매출!$A$2:$A$155,0),MATCH(EDATE($E7,BC$1-1),Raw_매출!$B$1:$BI$1,0))/(INDEX(요약_월별시즈널리티!$F$7:$F$18,MONTH(EDATE($E7,BC$1-1)))/100))),"")</f>
        <v/>
      </c>
      <c r="BD7" t="str" cm="1">
        <f t="array" ref="BD7">IFERROR(IF($E7&lt;44348,"",IF(INDEX(Raw_매출!$B$2:$BI$155,MATCH($A7,Raw_매출!$A$2:$A$155,0),MATCH(EDATE($E7,BD$1-1),Raw_매출!$B$1:$BI$1,0))=0,"",INDEX(Raw_매출!$B$2:$BI$155,MATCH($A7,Raw_매출!$A$2:$A$155,0),MATCH(EDATE($E7,BD$1-1),Raw_매출!$B$1:$BI$1,0))/(INDEX(요약_월별시즈널리티!$F$7:$F$18,MONTH(EDATE($E7,BD$1-1)))/100))),"")</f>
        <v/>
      </c>
      <c r="BE7" t="str" cm="1">
        <f t="array" ref="BE7">IFERROR(IF($E7&lt;44348,"",IF(INDEX(Raw_매출!$B$2:$BI$155,MATCH($A7,Raw_매출!$A$2:$A$155,0),MATCH(EDATE($E7,BE$1-1),Raw_매출!$B$1:$BI$1,0))=0,"",INDEX(Raw_매출!$B$2:$BI$155,MATCH($A7,Raw_매출!$A$2:$A$155,0),MATCH(EDATE($E7,BE$1-1),Raw_매출!$B$1:$BI$1,0))/(INDEX(요약_월별시즈널리티!$F$7:$F$18,MONTH(EDATE($E7,BE$1-1)))/100))),"")</f>
        <v/>
      </c>
      <c r="BF7" t="str" cm="1">
        <f t="array" ref="BF7">IFERROR(IF($E7&lt;44348,"",IF(INDEX(Raw_매출!$B$2:$BI$155,MATCH($A7,Raw_매출!$A$2:$A$155,0),MATCH(EDATE($E7,BF$1-1),Raw_매출!$B$1:$BI$1,0))=0,"",INDEX(Raw_매출!$B$2:$BI$155,MATCH($A7,Raw_매출!$A$2:$A$155,0),MATCH(EDATE($E7,BF$1-1),Raw_매출!$B$1:$BI$1,0))/(INDEX(요약_월별시즈널리티!$F$7:$F$18,MONTH(EDATE($E7,BF$1-1)))/100))),"")</f>
        <v/>
      </c>
      <c r="BG7" t="str" cm="1">
        <f t="array" ref="BG7">IFERROR(IF($E7&lt;44348,"",IF(INDEX(Raw_매출!$B$2:$BI$155,MATCH($A7,Raw_매출!$A$2:$A$155,0),MATCH(EDATE($E7,BG$1-1),Raw_매출!$B$1:$BI$1,0))=0,"",INDEX(Raw_매출!$B$2:$BI$155,MATCH($A7,Raw_매출!$A$2:$A$155,0),MATCH(EDATE($E7,BG$1-1),Raw_매출!$B$1:$BI$1,0))/(INDEX(요약_월별시즈널리티!$F$7:$F$18,MONTH(EDATE($E7,BG$1-1)))/100))),"")</f>
        <v/>
      </c>
      <c r="BH7" t="str" cm="1">
        <f t="array" ref="BH7">IFERROR(IF($E7&lt;44348,"",IF(INDEX(Raw_매출!$B$2:$BI$155,MATCH($A7,Raw_매출!$A$2:$A$155,0),MATCH(EDATE($E7,BH$1-1),Raw_매출!$B$1:$BI$1,0))=0,"",INDEX(Raw_매출!$B$2:$BI$155,MATCH($A7,Raw_매출!$A$2:$A$155,0),MATCH(EDATE($E7,BH$1-1),Raw_매출!$B$1:$BI$1,0))/(INDEX(요약_월별시즈널리티!$F$7:$F$18,MONTH(EDATE($E7,BH$1-1)))/100))),"")</f>
        <v/>
      </c>
      <c r="BI7" t="str" cm="1">
        <f t="array" ref="BI7">IFERROR(IF($E7&lt;44348,"",IF(INDEX(Raw_매출!$B$2:$BI$155,MATCH($A7,Raw_매출!$A$2:$A$155,0),MATCH(EDATE($E7,BI$1-1),Raw_매출!$B$1:$BI$1,0))=0,"",INDEX(Raw_매출!$B$2:$BI$155,MATCH($A7,Raw_매출!$A$2:$A$155,0),MATCH(EDATE($E7,BI$1-1),Raw_매출!$B$1:$BI$1,0))/(INDEX(요약_월별시즈널리티!$F$7:$F$18,MONTH(EDATE($E7,BI$1-1)))/100))),"")</f>
        <v/>
      </c>
      <c r="BJ7" t="str" cm="1">
        <f t="array" ref="BJ7">IFERROR(IF($E7&lt;44348,"",IF(INDEX(Raw_매출!$B$2:$BI$155,MATCH($A7,Raw_매출!$A$2:$A$155,0),MATCH(EDATE($E7,BJ$1-1),Raw_매출!$B$1:$BI$1,0))=0,"",INDEX(Raw_매출!$B$2:$BI$155,MATCH($A7,Raw_매출!$A$2:$A$155,0),MATCH(EDATE($E7,BJ$1-1),Raw_매출!$B$1:$BI$1,0))/(INDEX(요약_월별시즈널리티!$F$7:$F$18,MONTH(EDATE($E7,BJ$1-1)))/100))),"")</f>
        <v/>
      </c>
      <c r="BK7" t="str" cm="1">
        <f t="array" ref="BK7">IFERROR(IF($E7&lt;44348,"",IF(INDEX(Raw_매출!$B$2:$BI$155,MATCH($A7,Raw_매출!$A$2:$A$155,0),MATCH(EDATE($E7,BK$1-1),Raw_매출!$B$1:$BI$1,0))=0,"",INDEX(Raw_매출!$B$2:$BI$155,MATCH($A7,Raw_매출!$A$2:$A$155,0),MATCH(EDATE($E7,BK$1-1),Raw_매출!$B$1:$BI$1,0))/(INDEX(요약_월별시즈널리티!$F$7:$F$18,MONTH(EDATE($E7,BK$1-1)))/100))),"")</f>
        <v/>
      </c>
      <c r="BL7" t="str" cm="1">
        <f t="array" ref="BL7">IFERROR(IF($E7&lt;44348,"",IF(INDEX(Raw_매출!$B$2:$BI$155,MATCH($A7,Raw_매출!$A$2:$A$155,0),MATCH(EDATE($E7,BL$1-1),Raw_매출!$B$1:$BI$1,0))=0,"",INDEX(Raw_매출!$B$2:$BI$155,MATCH($A7,Raw_매출!$A$2:$A$155,0),MATCH(EDATE($E7,BL$1-1),Raw_매출!$B$1:$BI$1,0))/(INDEX(요약_월별시즈널리티!$F$7:$F$18,MONTH(EDATE($E7,BL$1-1)))/100))),"")</f>
        <v/>
      </c>
      <c r="BM7" t="str" cm="1">
        <f t="array" ref="BM7">IFERROR(IF($E7&lt;44348,"",IF(INDEX(Raw_매출!$B$2:$BI$155,MATCH($A7,Raw_매출!$A$2:$A$155,0),MATCH(EDATE($E7,BM$1-1),Raw_매출!$B$1:$BI$1,0))=0,"",INDEX(Raw_매출!$B$2:$BI$155,MATCH($A7,Raw_매출!$A$2:$A$155,0),MATCH(EDATE($E7,BM$1-1),Raw_매출!$B$1:$BI$1,0))/(INDEX(요약_월별시즈널리티!$F$7:$F$18,MONTH(EDATE($E7,BM$1-1)))/100))),"")</f>
        <v/>
      </c>
      <c r="BN7" t="str" cm="1">
        <f t="array" ref="BN7">IFERROR(IF($E7&lt;44348,"",IF(INDEX(Raw_매출!$B$2:$BI$155,MATCH($A7,Raw_매출!$A$2:$A$155,0),MATCH(EDATE($E7,BN$1-1),Raw_매출!$B$1:$BI$1,0))=0,"",INDEX(Raw_매출!$B$2:$BI$155,MATCH($A7,Raw_매출!$A$2:$A$155,0),MATCH(EDATE($E7,BN$1-1),Raw_매출!$B$1:$BI$1,0))/(INDEX(요약_월별시즈널리티!$F$7:$F$18,MONTH(EDATE($E7,BN$1-1)))/100))),"")</f>
        <v/>
      </c>
    </row>
    <row r="8" spans="1:66" x14ac:dyDescent="0.4">
      <c r="A8" t="str">
        <f>세팅!A9</f>
        <v>(0007) 낙성대점</v>
      </c>
      <c r="B8" t="str">
        <f>세팅!B9</f>
        <v>150-1</v>
      </c>
      <c r="C8">
        <f t="shared" si="0"/>
        <v>1</v>
      </c>
      <c r="D8" t="str">
        <f t="shared" si="1"/>
        <v>1</v>
      </c>
      <c r="E8" s="1">
        <f>세팅!D9</f>
        <v>43160</v>
      </c>
      <c r="F8" t="str">
        <f t="shared" si="2"/>
        <v/>
      </c>
      <c r="G8" t="str" cm="1">
        <f t="array" ref="G8">IFERROR(IF($E8&lt;44348,"",IF(INDEX(Raw_매출!$B$2:$BI$155,MATCH($A8,Raw_매출!$A$2:$A$155,0),MATCH(EDATE($E8,G$1-1),Raw_매출!$B$1:$BI$1,0))=0,"",INDEX(Raw_매출!$B$2:$BI$155,MATCH($A8,Raw_매출!$A$2:$A$155,0),MATCH(EDATE($E8,G$1-1),Raw_매출!$B$1:$BI$1,0))/(INDEX(요약_월별시즈널리티!$F$7:$F$18,MONTH(EDATE($E8,G$1-1)))/100))),"")</f>
        <v/>
      </c>
      <c r="H8" t="str" cm="1">
        <f t="array" ref="H8">IFERROR(IF($E8&lt;44348,"",IF(INDEX(Raw_매출!$B$2:$BI$155,MATCH($A8,Raw_매출!$A$2:$A$155,0),MATCH(EDATE($E8,H$1-1),Raw_매출!$B$1:$BI$1,0))=0,"",INDEX(Raw_매출!$B$2:$BI$155,MATCH($A8,Raw_매출!$A$2:$A$155,0),MATCH(EDATE($E8,H$1-1),Raw_매출!$B$1:$BI$1,0))/(INDEX(요약_월별시즈널리티!$F$7:$F$18,MONTH(EDATE($E8,H$1-1)))/100))),"")</f>
        <v/>
      </c>
      <c r="I8" t="str" cm="1">
        <f t="array" ref="I8">IFERROR(IF($E8&lt;44348,"",IF(INDEX(Raw_매출!$B$2:$BI$155,MATCH($A8,Raw_매출!$A$2:$A$155,0),MATCH(EDATE($E8,I$1-1),Raw_매출!$B$1:$BI$1,0))=0,"",INDEX(Raw_매출!$B$2:$BI$155,MATCH($A8,Raw_매출!$A$2:$A$155,0),MATCH(EDATE($E8,I$1-1),Raw_매출!$B$1:$BI$1,0))/(INDEX(요약_월별시즈널리티!$F$7:$F$18,MONTH(EDATE($E8,I$1-1)))/100))),"")</f>
        <v/>
      </c>
      <c r="J8" s="30" t="str" cm="1">
        <f t="array" ref="J8">IFERROR(IF($E8&lt;44348,"",IF(INDEX(Raw_매출!$B$2:$BI$155,MATCH($A8,Raw_매출!$A$2:$A$155,0),MATCH(EDATE($E8,J$1-1),Raw_매출!$B$1:$BI$1,0))=0,"",INDEX(Raw_매출!$B$2:$BI$155,MATCH($A8,Raw_매출!$A$2:$A$155,0),MATCH(EDATE($E8,J$1-1),Raw_매출!$B$1:$BI$1,0))/(INDEX(요약_월별시즈널리티!$F$7:$F$18,MONTH(EDATE($E8,J$1-1)))/100))),"")</f>
        <v/>
      </c>
      <c r="K8" s="30" t="str" cm="1">
        <f t="array" ref="K8">IFERROR(IF($E8&lt;44348,"",IF(INDEX(Raw_매출!$B$2:$BI$155,MATCH($A8,Raw_매출!$A$2:$A$155,0),MATCH(EDATE($E8,K$1-1),Raw_매출!$B$1:$BI$1,0))=0,"",INDEX(Raw_매출!$B$2:$BI$155,MATCH($A8,Raw_매출!$A$2:$A$155,0),MATCH(EDATE($E8,K$1-1),Raw_매출!$B$1:$BI$1,0))/(INDEX(요약_월별시즈널리티!$F$7:$F$18,MONTH(EDATE($E8,K$1-1)))/100))),"")</f>
        <v/>
      </c>
      <c r="L8" s="30" t="str" cm="1">
        <f t="array" ref="L8">IFERROR(IF($E8&lt;44348,"",IF(INDEX(Raw_매출!$B$2:$BI$155,MATCH($A8,Raw_매출!$A$2:$A$155,0),MATCH(EDATE($E8,L$1-1),Raw_매출!$B$1:$BI$1,0))=0,"",INDEX(Raw_매출!$B$2:$BI$155,MATCH($A8,Raw_매출!$A$2:$A$155,0),MATCH(EDATE($E8,L$1-1),Raw_매출!$B$1:$BI$1,0))/(INDEX(요약_월별시즈널리티!$F$7:$F$18,MONTH(EDATE($E8,L$1-1)))/100))),"")</f>
        <v/>
      </c>
      <c r="M8" s="30" t="str" cm="1">
        <f t="array" ref="M8">IFERROR(IF($E8&lt;44348,"",IF(INDEX(Raw_매출!$B$2:$BI$155,MATCH($A8,Raw_매출!$A$2:$A$155,0),MATCH(EDATE($E8,M$1-1),Raw_매출!$B$1:$BI$1,0))=0,"",INDEX(Raw_매출!$B$2:$BI$155,MATCH($A8,Raw_매출!$A$2:$A$155,0),MATCH(EDATE($E8,M$1-1),Raw_매출!$B$1:$BI$1,0))/(INDEX(요약_월별시즈널리티!$F$7:$F$18,MONTH(EDATE($E8,M$1-1)))/100))),"")</f>
        <v/>
      </c>
      <c r="N8" s="30" t="str" cm="1">
        <f t="array" ref="N8">IFERROR(IF($E8&lt;44348,"",IF(INDEX(Raw_매출!$B$2:$BI$155,MATCH($A8,Raw_매출!$A$2:$A$155,0),MATCH(EDATE($E8,N$1-1),Raw_매출!$B$1:$BI$1,0))=0,"",INDEX(Raw_매출!$B$2:$BI$155,MATCH($A8,Raw_매출!$A$2:$A$155,0),MATCH(EDATE($E8,N$1-1),Raw_매출!$B$1:$BI$1,0))/(INDEX(요약_월별시즈널리티!$F$7:$F$18,MONTH(EDATE($E8,N$1-1)))/100))),"")</f>
        <v/>
      </c>
      <c r="O8" s="30" t="str" cm="1">
        <f t="array" ref="O8">IFERROR(IF($E8&lt;44348,"",IF(INDEX(Raw_매출!$B$2:$BI$155,MATCH($A8,Raw_매출!$A$2:$A$155,0),MATCH(EDATE($E8,O$1-1),Raw_매출!$B$1:$BI$1,0))=0,"",INDEX(Raw_매출!$B$2:$BI$155,MATCH($A8,Raw_매출!$A$2:$A$155,0),MATCH(EDATE($E8,O$1-1),Raw_매출!$B$1:$BI$1,0))/(INDEX(요약_월별시즈널리티!$F$7:$F$18,MONTH(EDATE($E8,O$1-1)))/100))),"")</f>
        <v/>
      </c>
      <c r="P8" t="str" cm="1">
        <f t="array" ref="P8">IFERROR(IF($E8&lt;44348,"",IF(INDEX(Raw_매출!$B$2:$BI$155,MATCH($A8,Raw_매출!$A$2:$A$155,0),MATCH(EDATE($E8,P$1-1),Raw_매출!$B$1:$BI$1,0))=0,"",INDEX(Raw_매출!$B$2:$BI$155,MATCH($A8,Raw_매출!$A$2:$A$155,0),MATCH(EDATE($E8,P$1-1),Raw_매출!$B$1:$BI$1,0))/(INDEX(요약_월별시즈널리티!$F$7:$F$18,MONTH(EDATE($E8,P$1-1)))/100))),"")</f>
        <v/>
      </c>
      <c r="Q8" t="str" cm="1">
        <f t="array" ref="Q8">IFERROR(IF($E8&lt;44348,"",IF(INDEX(Raw_매출!$B$2:$BI$155,MATCH($A8,Raw_매출!$A$2:$A$155,0),MATCH(EDATE($E8,Q$1-1),Raw_매출!$B$1:$BI$1,0))=0,"",INDEX(Raw_매출!$B$2:$BI$155,MATCH($A8,Raw_매출!$A$2:$A$155,0),MATCH(EDATE($E8,Q$1-1),Raw_매출!$B$1:$BI$1,0))/(INDEX(요약_월별시즈널리티!$F$7:$F$18,MONTH(EDATE($E8,Q$1-1)))/100))),"")</f>
        <v/>
      </c>
      <c r="R8" t="str" cm="1">
        <f t="array" ref="R8">IFERROR(IF($E8&lt;44348,"",IF(INDEX(Raw_매출!$B$2:$BI$155,MATCH($A8,Raw_매출!$A$2:$A$155,0),MATCH(EDATE($E8,R$1-1),Raw_매출!$B$1:$BI$1,0))=0,"",INDEX(Raw_매출!$B$2:$BI$155,MATCH($A8,Raw_매출!$A$2:$A$155,0),MATCH(EDATE($E8,R$1-1),Raw_매출!$B$1:$BI$1,0))/(INDEX(요약_월별시즈널리티!$F$7:$F$18,MONTH(EDATE($E8,R$1-1)))/100))),"")</f>
        <v/>
      </c>
      <c r="S8" t="str" cm="1">
        <f t="array" ref="S8">IFERROR(IF($E8&lt;44348,"",IF(INDEX(Raw_매출!$B$2:$BI$155,MATCH($A8,Raw_매출!$A$2:$A$155,0),MATCH(EDATE($E8,S$1-1),Raw_매출!$B$1:$BI$1,0))=0,"",INDEX(Raw_매출!$B$2:$BI$155,MATCH($A8,Raw_매출!$A$2:$A$155,0),MATCH(EDATE($E8,S$1-1),Raw_매출!$B$1:$BI$1,0))/(INDEX(요약_월별시즈널리티!$F$7:$F$18,MONTH(EDATE($E8,S$1-1)))/100))),"")</f>
        <v/>
      </c>
      <c r="T8" t="str" cm="1">
        <f t="array" ref="T8">IFERROR(IF($E8&lt;44348,"",IF(INDEX(Raw_매출!$B$2:$BI$155,MATCH($A8,Raw_매출!$A$2:$A$155,0),MATCH(EDATE($E8,T$1-1),Raw_매출!$B$1:$BI$1,0))=0,"",INDEX(Raw_매출!$B$2:$BI$155,MATCH($A8,Raw_매출!$A$2:$A$155,0),MATCH(EDATE($E8,T$1-1),Raw_매출!$B$1:$BI$1,0))/(INDEX(요약_월별시즈널리티!$F$7:$F$18,MONTH(EDATE($E8,T$1-1)))/100))),"")</f>
        <v/>
      </c>
      <c r="U8" t="str" cm="1">
        <f t="array" ref="U8">IFERROR(IF($E8&lt;44348,"",IF(INDEX(Raw_매출!$B$2:$BI$155,MATCH($A8,Raw_매출!$A$2:$A$155,0),MATCH(EDATE($E8,U$1-1),Raw_매출!$B$1:$BI$1,0))=0,"",INDEX(Raw_매출!$B$2:$BI$155,MATCH($A8,Raw_매출!$A$2:$A$155,0),MATCH(EDATE($E8,U$1-1),Raw_매출!$B$1:$BI$1,0))/(INDEX(요약_월별시즈널리티!$F$7:$F$18,MONTH(EDATE($E8,U$1-1)))/100))),"")</f>
        <v/>
      </c>
      <c r="V8" t="str" cm="1">
        <f t="array" ref="V8">IFERROR(IF($E8&lt;44348,"",IF(INDEX(Raw_매출!$B$2:$BI$155,MATCH($A8,Raw_매출!$A$2:$A$155,0),MATCH(EDATE($E8,V$1-1),Raw_매출!$B$1:$BI$1,0))=0,"",INDEX(Raw_매출!$B$2:$BI$155,MATCH($A8,Raw_매출!$A$2:$A$155,0),MATCH(EDATE($E8,V$1-1),Raw_매출!$B$1:$BI$1,0))/(INDEX(요약_월별시즈널리티!$F$7:$F$18,MONTH(EDATE($E8,V$1-1)))/100))),"")</f>
        <v/>
      </c>
      <c r="W8" t="str" cm="1">
        <f t="array" ref="W8">IFERROR(IF($E8&lt;44348,"",IF(INDEX(Raw_매출!$B$2:$BI$155,MATCH($A8,Raw_매출!$A$2:$A$155,0),MATCH(EDATE($E8,W$1-1),Raw_매출!$B$1:$BI$1,0))=0,"",INDEX(Raw_매출!$B$2:$BI$155,MATCH($A8,Raw_매출!$A$2:$A$155,0),MATCH(EDATE($E8,W$1-1),Raw_매출!$B$1:$BI$1,0))/(INDEX(요약_월별시즈널리티!$F$7:$F$18,MONTH(EDATE($E8,W$1-1)))/100))),"")</f>
        <v/>
      </c>
      <c r="X8" t="str" cm="1">
        <f t="array" ref="X8">IFERROR(IF($E8&lt;44348,"",IF(INDEX(Raw_매출!$B$2:$BI$155,MATCH($A8,Raw_매출!$A$2:$A$155,0),MATCH(EDATE($E8,X$1-1),Raw_매출!$B$1:$BI$1,0))=0,"",INDEX(Raw_매출!$B$2:$BI$155,MATCH($A8,Raw_매출!$A$2:$A$155,0),MATCH(EDATE($E8,X$1-1),Raw_매출!$B$1:$BI$1,0))/(INDEX(요약_월별시즈널리티!$F$7:$F$18,MONTH(EDATE($E8,X$1-1)))/100))),"")</f>
        <v/>
      </c>
      <c r="Y8" t="str" cm="1">
        <f t="array" ref="Y8">IFERROR(IF($E8&lt;44348,"",IF(INDEX(Raw_매출!$B$2:$BI$155,MATCH($A8,Raw_매출!$A$2:$A$155,0),MATCH(EDATE($E8,Y$1-1),Raw_매출!$B$1:$BI$1,0))=0,"",INDEX(Raw_매출!$B$2:$BI$155,MATCH($A8,Raw_매출!$A$2:$A$155,0),MATCH(EDATE($E8,Y$1-1),Raw_매출!$B$1:$BI$1,0))/(INDEX(요약_월별시즈널리티!$F$7:$F$18,MONTH(EDATE($E8,Y$1-1)))/100))),"")</f>
        <v/>
      </c>
      <c r="Z8" t="str" cm="1">
        <f t="array" ref="Z8">IFERROR(IF($E8&lt;44348,"",IF(INDEX(Raw_매출!$B$2:$BI$155,MATCH($A8,Raw_매출!$A$2:$A$155,0),MATCH(EDATE($E8,Z$1-1),Raw_매출!$B$1:$BI$1,0))=0,"",INDEX(Raw_매출!$B$2:$BI$155,MATCH($A8,Raw_매출!$A$2:$A$155,0),MATCH(EDATE($E8,Z$1-1),Raw_매출!$B$1:$BI$1,0))/(INDEX(요약_월별시즈널리티!$F$7:$F$18,MONTH(EDATE($E8,Z$1-1)))/100))),"")</f>
        <v/>
      </c>
      <c r="AA8" t="str" cm="1">
        <f t="array" ref="AA8">IFERROR(IF($E8&lt;44348,"",IF(INDEX(Raw_매출!$B$2:$BI$155,MATCH($A8,Raw_매출!$A$2:$A$155,0),MATCH(EDATE($E8,AA$1-1),Raw_매출!$B$1:$BI$1,0))=0,"",INDEX(Raw_매출!$B$2:$BI$155,MATCH($A8,Raw_매출!$A$2:$A$155,0),MATCH(EDATE($E8,AA$1-1),Raw_매출!$B$1:$BI$1,0))/(INDEX(요약_월별시즈널리티!$F$7:$F$18,MONTH(EDATE($E8,AA$1-1)))/100))),"")</f>
        <v/>
      </c>
      <c r="AB8" t="str" cm="1">
        <f t="array" ref="AB8">IFERROR(IF($E8&lt;44348,"",IF(INDEX(Raw_매출!$B$2:$BI$155,MATCH($A8,Raw_매출!$A$2:$A$155,0),MATCH(EDATE($E8,AB$1-1),Raw_매출!$B$1:$BI$1,0))=0,"",INDEX(Raw_매출!$B$2:$BI$155,MATCH($A8,Raw_매출!$A$2:$A$155,0),MATCH(EDATE($E8,AB$1-1),Raw_매출!$B$1:$BI$1,0))/(INDEX(요약_월별시즈널리티!$F$7:$F$18,MONTH(EDATE($E8,AB$1-1)))/100))),"")</f>
        <v/>
      </c>
      <c r="AC8" t="str" cm="1">
        <f t="array" ref="AC8">IFERROR(IF($E8&lt;44348,"",IF(INDEX(Raw_매출!$B$2:$BI$155,MATCH($A8,Raw_매출!$A$2:$A$155,0),MATCH(EDATE($E8,AC$1-1),Raw_매출!$B$1:$BI$1,0))=0,"",INDEX(Raw_매출!$B$2:$BI$155,MATCH($A8,Raw_매출!$A$2:$A$155,0),MATCH(EDATE($E8,AC$1-1),Raw_매출!$B$1:$BI$1,0))/(INDEX(요약_월별시즈널리티!$F$7:$F$18,MONTH(EDATE($E8,AC$1-1)))/100))),"")</f>
        <v/>
      </c>
      <c r="AD8" t="str" cm="1">
        <f t="array" ref="AD8">IFERROR(IF($E8&lt;44348,"",IF(INDEX(Raw_매출!$B$2:$BI$155,MATCH($A8,Raw_매출!$A$2:$A$155,0),MATCH(EDATE($E8,AD$1-1),Raw_매출!$B$1:$BI$1,0))=0,"",INDEX(Raw_매출!$B$2:$BI$155,MATCH($A8,Raw_매출!$A$2:$A$155,0),MATCH(EDATE($E8,AD$1-1),Raw_매출!$B$1:$BI$1,0))/(INDEX(요약_월별시즈널리티!$F$7:$F$18,MONTH(EDATE($E8,AD$1-1)))/100))),"")</f>
        <v/>
      </c>
      <c r="AE8" t="str" cm="1">
        <f t="array" ref="AE8">IFERROR(IF($E8&lt;44348,"",IF(INDEX(Raw_매출!$B$2:$BI$155,MATCH($A8,Raw_매출!$A$2:$A$155,0),MATCH(EDATE($E8,AE$1-1),Raw_매출!$B$1:$BI$1,0))=0,"",INDEX(Raw_매출!$B$2:$BI$155,MATCH($A8,Raw_매출!$A$2:$A$155,0),MATCH(EDATE($E8,AE$1-1),Raw_매출!$B$1:$BI$1,0))/(INDEX(요약_월별시즈널리티!$F$7:$F$18,MONTH(EDATE($E8,AE$1-1)))/100))),"")</f>
        <v/>
      </c>
      <c r="AF8" t="str" cm="1">
        <f t="array" ref="AF8">IFERROR(IF($E8&lt;44348,"",IF(INDEX(Raw_매출!$B$2:$BI$155,MATCH($A8,Raw_매출!$A$2:$A$155,0),MATCH(EDATE($E8,AF$1-1),Raw_매출!$B$1:$BI$1,0))=0,"",INDEX(Raw_매출!$B$2:$BI$155,MATCH($A8,Raw_매출!$A$2:$A$155,0),MATCH(EDATE($E8,AF$1-1),Raw_매출!$B$1:$BI$1,0))/(INDEX(요약_월별시즈널리티!$F$7:$F$18,MONTH(EDATE($E8,AF$1-1)))/100))),"")</f>
        <v/>
      </c>
      <c r="AG8" t="str" cm="1">
        <f t="array" ref="AG8">IFERROR(IF($E8&lt;44348,"",IF(INDEX(Raw_매출!$B$2:$BI$155,MATCH($A8,Raw_매출!$A$2:$A$155,0),MATCH(EDATE($E8,AG$1-1),Raw_매출!$B$1:$BI$1,0))=0,"",INDEX(Raw_매출!$B$2:$BI$155,MATCH($A8,Raw_매출!$A$2:$A$155,0),MATCH(EDATE($E8,AG$1-1),Raw_매출!$B$1:$BI$1,0))/(INDEX(요약_월별시즈널리티!$F$7:$F$18,MONTH(EDATE($E8,AG$1-1)))/100))),"")</f>
        <v/>
      </c>
      <c r="AH8" t="str" cm="1">
        <f t="array" ref="AH8">IFERROR(IF($E8&lt;44348,"",IF(INDEX(Raw_매출!$B$2:$BI$155,MATCH($A8,Raw_매출!$A$2:$A$155,0),MATCH(EDATE($E8,AH$1-1),Raw_매출!$B$1:$BI$1,0))=0,"",INDEX(Raw_매출!$B$2:$BI$155,MATCH($A8,Raw_매출!$A$2:$A$155,0),MATCH(EDATE($E8,AH$1-1),Raw_매출!$B$1:$BI$1,0))/(INDEX(요약_월별시즈널리티!$F$7:$F$18,MONTH(EDATE($E8,AH$1-1)))/100))),"")</f>
        <v/>
      </c>
      <c r="AI8" t="str" cm="1">
        <f t="array" ref="AI8">IFERROR(IF($E8&lt;44348,"",IF(INDEX(Raw_매출!$B$2:$BI$155,MATCH($A8,Raw_매출!$A$2:$A$155,0),MATCH(EDATE($E8,AI$1-1),Raw_매출!$B$1:$BI$1,0))=0,"",INDEX(Raw_매출!$B$2:$BI$155,MATCH($A8,Raw_매출!$A$2:$A$155,0),MATCH(EDATE($E8,AI$1-1),Raw_매출!$B$1:$BI$1,0))/(INDEX(요약_월별시즈널리티!$F$7:$F$18,MONTH(EDATE($E8,AI$1-1)))/100))),"")</f>
        <v/>
      </c>
      <c r="AJ8" t="str" cm="1">
        <f t="array" ref="AJ8">IFERROR(IF($E8&lt;44348,"",IF(INDEX(Raw_매출!$B$2:$BI$155,MATCH($A8,Raw_매출!$A$2:$A$155,0),MATCH(EDATE($E8,AJ$1-1),Raw_매출!$B$1:$BI$1,0))=0,"",INDEX(Raw_매출!$B$2:$BI$155,MATCH($A8,Raw_매출!$A$2:$A$155,0),MATCH(EDATE($E8,AJ$1-1),Raw_매출!$B$1:$BI$1,0))/(INDEX(요약_월별시즈널리티!$F$7:$F$18,MONTH(EDATE($E8,AJ$1-1)))/100))),"")</f>
        <v/>
      </c>
      <c r="AK8" t="str" cm="1">
        <f t="array" ref="AK8">IFERROR(IF($E8&lt;44348,"",IF(INDEX(Raw_매출!$B$2:$BI$155,MATCH($A8,Raw_매출!$A$2:$A$155,0),MATCH(EDATE($E8,AK$1-1),Raw_매출!$B$1:$BI$1,0))=0,"",INDEX(Raw_매출!$B$2:$BI$155,MATCH($A8,Raw_매출!$A$2:$A$155,0),MATCH(EDATE($E8,AK$1-1),Raw_매출!$B$1:$BI$1,0))/(INDEX(요약_월별시즈널리티!$F$7:$F$18,MONTH(EDATE($E8,AK$1-1)))/100))),"")</f>
        <v/>
      </c>
      <c r="AL8" t="str" cm="1">
        <f t="array" ref="AL8">IFERROR(IF($E8&lt;44348,"",IF(INDEX(Raw_매출!$B$2:$BI$155,MATCH($A8,Raw_매출!$A$2:$A$155,0),MATCH(EDATE($E8,AL$1-1),Raw_매출!$B$1:$BI$1,0))=0,"",INDEX(Raw_매출!$B$2:$BI$155,MATCH($A8,Raw_매출!$A$2:$A$155,0),MATCH(EDATE($E8,AL$1-1),Raw_매출!$B$1:$BI$1,0))/(INDEX(요약_월별시즈널리티!$F$7:$F$18,MONTH(EDATE($E8,AL$1-1)))/100))),"")</f>
        <v/>
      </c>
      <c r="AM8" t="str" cm="1">
        <f t="array" ref="AM8">IFERROR(IF($E8&lt;44348,"",IF(INDEX(Raw_매출!$B$2:$BI$155,MATCH($A8,Raw_매출!$A$2:$A$155,0),MATCH(EDATE($E8,AM$1-1),Raw_매출!$B$1:$BI$1,0))=0,"",INDEX(Raw_매출!$B$2:$BI$155,MATCH($A8,Raw_매출!$A$2:$A$155,0),MATCH(EDATE($E8,AM$1-1),Raw_매출!$B$1:$BI$1,0))/(INDEX(요약_월별시즈널리티!$F$7:$F$18,MONTH(EDATE($E8,AM$1-1)))/100))),"")</f>
        <v/>
      </c>
      <c r="AN8" t="str" cm="1">
        <f t="array" ref="AN8">IFERROR(IF($E8&lt;44348,"",IF(INDEX(Raw_매출!$B$2:$BI$155,MATCH($A8,Raw_매출!$A$2:$A$155,0),MATCH(EDATE($E8,AN$1-1),Raw_매출!$B$1:$BI$1,0))=0,"",INDEX(Raw_매출!$B$2:$BI$155,MATCH($A8,Raw_매출!$A$2:$A$155,0),MATCH(EDATE($E8,AN$1-1),Raw_매출!$B$1:$BI$1,0))/(INDEX(요약_월별시즈널리티!$F$7:$F$18,MONTH(EDATE($E8,AN$1-1)))/100))),"")</f>
        <v/>
      </c>
      <c r="AO8" t="str" cm="1">
        <f t="array" ref="AO8">IFERROR(IF($E8&lt;44348,"",IF(INDEX(Raw_매출!$B$2:$BI$155,MATCH($A8,Raw_매출!$A$2:$A$155,0),MATCH(EDATE($E8,AO$1-1),Raw_매출!$B$1:$BI$1,0))=0,"",INDEX(Raw_매출!$B$2:$BI$155,MATCH($A8,Raw_매출!$A$2:$A$155,0),MATCH(EDATE($E8,AO$1-1),Raw_매출!$B$1:$BI$1,0))/(INDEX(요약_월별시즈널리티!$F$7:$F$18,MONTH(EDATE($E8,AO$1-1)))/100))),"")</f>
        <v/>
      </c>
      <c r="AP8" t="str" cm="1">
        <f t="array" ref="AP8">IFERROR(IF($E8&lt;44348,"",IF(INDEX(Raw_매출!$B$2:$BI$155,MATCH($A8,Raw_매출!$A$2:$A$155,0),MATCH(EDATE($E8,AP$1-1),Raw_매출!$B$1:$BI$1,0))=0,"",INDEX(Raw_매출!$B$2:$BI$155,MATCH($A8,Raw_매출!$A$2:$A$155,0),MATCH(EDATE($E8,AP$1-1),Raw_매출!$B$1:$BI$1,0))/(INDEX(요약_월별시즈널리티!$F$7:$F$18,MONTH(EDATE($E8,AP$1-1)))/100))),"")</f>
        <v/>
      </c>
      <c r="AQ8" t="str" cm="1">
        <f t="array" ref="AQ8">IFERROR(IF($E8&lt;44348,"",IF(INDEX(Raw_매출!$B$2:$BI$155,MATCH($A8,Raw_매출!$A$2:$A$155,0),MATCH(EDATE($E8,AQ$1-1),Raw_매출!$B$1:$BI$1,0))=0,"",INDEX(Raw_매출!$B$2:$BI$155,MATCH($A8,Raw_매출!$A$2:$A$155,0),MATCH(EDATE($E8,AQ$1-1),Raw_매출!$B$1:$BI$1,0))/(INDEX(요약_월별시즈널리티!$F$7:$F$18,MONTH(EDATE($E8,AQ$1-1)))/100))),"")</f>
        <v/>
      </c>
      <c r="AR8" t="str" cm="1">
        <f t="array" ref="AR8">IFERROR(IF($E8&lt;44348,"",IF(INDEX(Raw_매출!$B$2:$BI$155,MATCH($A8,Raw_매출!$A$2:$A$155,0),MATCH(EDATE($E8,AR$1-1),Raw_매출!$B$1:$BI$1,0))=0,"",INDEX(Raw_매출!$B$2:$BI$155,MATCH($A8,Raw_매출!$A$2:$A$155,0),MATCH(EDATE($E8,AR$1-1),Raw_매출!$B$1:$BI$1,0))/(INDEX(요약_월별시즈널리티!$F$7:$F$18,MONTH(EDATE($E8,AR$1-1)))/100))),"")</f>
        <v/>
      </c>
      <c r="AS8" t="str" cm="1">
        <f t="array" ref="AS8">IFERROR(IF($E8&lt;44348,"",IF(INDEX(Raw_매출!$B$2:$BI$155,MATCH($A8,Raw_매출!$A$2:$A$155,0),MATCH(EDATE($E8,AS$1-1),Raw_매출!$B$1:$BI$1,0))=0,"",INDEX(Raw_매출!$B$2:$BI$155,MATCH($A8,Raw_매출!$A$2:$A$155,0),MATCH(EDATE($E8,AS$1-1),Raw_매출!$B$1:$BI$1,0))/(INDEX(요약_월별시즈널리티!$F$7:$F$18,MONTH(EDATE($E8,AS$1-1)))/100))),"")</f>
        <v/>
      </c>
      <c r="AT8" t="str" cm="1">
        <f t="array" ref="AT8">IFERROR(IF($E8&lt;44348,"",IF(INDEX(Raw_매출!$B$2:$BI$155,MATCH($A8,Raw_매출!$A$2:$A$155,0),MATCH(EDATE($E8,AT$1-1),Raw_매출!$B$1:$BI$1,0))=0,"",INDEX(Raw_매출!$B$2:$BI$155,MATCH($A8,Raw_매출!$A$2:$A$155,0),MATCH(EDATE($E8,AT$1-1),Raw_매출!$B$1:$BI$1,0))/(INDEX(요약_월별시즈널리티!$F$7:$F$18,MONTH(EDATE($E8,AT$1-1)))/100))),"")</f>
        <v/>
      </c>
      <c r="AU8" t="str" cm="1">
        <f t="array" ref="AU8">IFERROR(IF($E8&lt;44348,"",IF(INDEX(Raw_매출!$B$2:$BI$155,MATCH($A8,Raw_매출!$A$2:$A$155,0),MATCH(EDATE($E8,AU$1-1),Raw_매출!$B$1:$BI$1,0))=0,"",INDEX(Raw_매출!$B$2:$BI$155,MATCH($A8,Raw_매출!$A$2:$A$155,0),MATCH(EDATE($E8,AU$1-1),Raw_매출!$B$1:$BI$1,0))/(INDEX(요약_월별시즈널리티!$F$7:$F$18,MONTH(EDATE($E8,AU$1-1)))/100))),"")</f>
        <v/>
      </c>
      <c r="AV8" t="str" cm="1">
        <f t="array" ref="AV8">IFERROR(IF($E8&lt;44348,"",IF(INDEX(Raw_매출!$B$2:$BI$155,MATCH($A8,Raw_매출!$A$2:$A$155,0),MATCH(EDATE($E8,AV$1-1),Raw_매출!$B$1:$BI$1,0))=0,"",INDEX(Raw_매출!$B$2:$BI$155,MATCH($A8,Raw_매출!$A$2:$A$155,0),MATCH(EDATE($E8,AV$1-1),Raw_매출!$B$1:$BI$1,0))/(INDEX(요약_월별시즈널리티!$F$7:$F$18,MONTH(EDATE($E8,AV$1-1)))/100))),"")</f>
        <v/>
      </c>
      <c r="AW8" t="str" cm="1">
        <f t="array" ref="AW8">IFERROR(IF($E8&lt;44348,"",IF(INDEX(Raw_매출!$B$2:$BI$155,MATCH($A8,Raw_매출!$A$2:$A$155,0),MATCH(EDATE($E8,AW$1-1),Raw_매출!$B$1:$BI$1,0))=0,"",INDEX(Raw_매출!$B$2:$BI$155,MATCH($A8,Raw_매출!$A$2:$A$155,0),MATCH(EDATE($E8,AW$1-1),Raw_매출!$B$1:$BI$1,0))/(INDEX(요약_월별시즈널리티!$F$7:$F$18,MONTH(EDATE($E8,AW$1-1)))/100))),"")</f>
        <v/>
      </c>
      <c r="AX8" t="str" cm="1">
        <f t="array" ref="AX8">IFERROR(IF($E8&lt;44348,"",IF(INDEX(Raw_매출!$B$2:$BI$155,MATCH($A8,Raw_매출!$A$2:$A$155,0),MATCH(EDATE($E8,AX$1-1),Raw_매출!$B$1:$BI$1,0))=0,"",INDEX(Raw_매출!$B$2:$BI$155,MATCH($A8,Raw_매출!$A$2:$A$155,0),MATCH(EDATE($E8,AX$1-1),Raw_매출!$B$1:$BI$1,0))/(INDEX(요약_월별시즈널리티!$F$7:$F$18,MONTH(EDATE($E8,AX$1-1)))/100))),"")</f>
        <v/>
      </c>
      <c r="AY8" t="str" cm="1">
        <f t="array" ref="AY8">IFERROR(IF($E8&lt;44348,"",IF(INDEX(Raw_매출!$B$2:$BI$155,MATCH($A8,Raw_매출!$A$2:$A$155,0),MATCH(EDATE($E8,AY$1-1),Raw_매출!$B$1:$BI$1,0))=0,"",INDEX(Raw_매출!$B$2:$BI$155,MATCH($A8,Raw_매출!$A$2:$A$155,0),MATCH(EDATE($E8,AY$1-1),Raw_매출!$B$1:$BI$1,0))/(INDEX(요약_월별시즈널리티!$F$7:$F$18,MONTH(EDATE($E8,AY$1-1)))/100))),"")</f>
        <v/>
      </c>
      <c r="AZ8" t="str" cm="1">
        <f t="array" ref="AZ8">IFERROR(IF($E8&lt;44348,"",IF(INDEX(Raw_매출!$B$2:$BI$155,MATCH($A8,Raw_매출!$A$2:$A$155,0),MATCH(EDATE($E8,AZ$1-1),Raw_매출!$B$1:$BI$1,0))=0,"",INDEX(Raw_매출!$B$2:$BI$155,MATCH($A8,Raw_매출!$A$2:$A$155,0),MATCH(EDATE($E8,AZ$1-1),Raw_매출!$B$1:$BI$1,0))/(INDEX(요약_월별시즈널리티!$F$7:$F$18,MONTH(EDATE($E8,AZ$1-1)))/100))),"")</f>
        <v/>
      </c>
      <c r="BA8" t="str" cm="1">
        <f t="array" ref="BA8">IFERROR(IF($E8&lt;44348,"",IF(INDEX(Raw_매출!$B$2:$BI$155,MATCH($A8,Raw_매출!$A$2:$A$155,0),MATCH(EDATE($E8,BA$1-1),Raw_매출!$B$1:$BI$1,0))=0,"",INDEX(Raw_매출!$B$2:$BI$155,MATCH($A8,Raw_매출!$A$2:$A$155,0),MATCH(EDATE($E8,BA$1-1),Raw_매출!$B$1:$BI$1,0))/(INDEX(요약_월별시즈널리티!$F$7:$F$18,MONTH(EDATE($E8,BA$1-1)))/100))),"")</f>
        <v/>
      </c>
      <c r="BB8" t="str" cm="1">
        <f t="array" ref="BB8">IFERROR(IF($E8&lt;44348,"",IF(INDEX(Raw_매출!$B$2:$BI$155,MATCH($A8,Raw_매출!$A$2:$A$155,0),MATCH(EDATE($E8,BB$1-1),Raw_매출!$B$1:$BI$1,0))=0,"",INDEX(Raw_매출!$B$2:$BI$155,MATCH($A8,Raw_매출!$A$2:$A$155,0),MATCH(EDATE($E8,BB$1-1),Raw_매출!$B$1:$BI$1,0))/(INDEX(요약_월별시즈널리티!$F$7:$F$18,MONTH(EDATE($E8,BB$1-1)))/100))),"")</f>
        <v/>
      </c>
      <c r="BC8" t="str" cm="1">
        <f t="array" ref="BC8">IFERROR(IF($E8&lt;44348,"",IF(INDEX(Raw_매출!$B$2:$BI$155,MATCH($A8,Raw_매출!$A$2:$A$155,0),MATCH(EDATE($E8,BC$1-1),Raw_매출!$B$1:$BI$1,0))=0,"",INDEX(Raw_매출!$B$2:$BI$155,MATCH($A8,Raw_매출!$A$2:$A$155,0),MATCH(EDATE($E8,BC$1-1),Raw_매출!$B$1:$BI$1,0))/(INDEX(요약_월별시즈널리티!$F$7:$F$18,MONTH(EDATE($E8,BC$1-1)))/100))),"")</f>
        <v/>
      </c>
      <c r="BD8" t="str" cm="1">
        <f t="array" ref="BD8">IFERROR(IF($E8&lt;44348,"",IF(INDEX(Raw_매출!$B$2:$BI$155,MATCH($A8,Raw_매출!$A$2:$A$155,0),MATCH(EDATE($E8,BD$1-1),Raw_매출!$B$1:$BI$1,0))=0,"",INDEX(Raw_매출!$B$2:$BI$155,MATCH($A8,Raw_매출!$A$2:$A$155,0),MATCH(EDATE($E8,BD$1-1),Raw_매출!$B$1:$BI$1,0))/(INDEX(요약_월별시즈널리티!$F$7:$F$18,MONTH(EDATE($E8,BD$1-1)))/100))),"")</f>
        <v/>
      </c>
      <c r="BE8" t="str" cm="1">
        <f t="array" ref="BE8">IFERROR(IF($E8&lt;44348,"",IF(INDEX(Raw_매출!$B$2:$BI$155,MATCH($A8,Raw_매출!$A$2:$A$155,0),MATCH(EDATE($E8,BE$1-1),Raw_매출!$B$1:$BI$1,0))=0,"",INDEX(Raw_매출!$B$2:$BI$155,MATCH($A8,Raw_매출!$A$2:$A$155,0),MATCH(EDATE($E8,BE$1-1),Raw_매출!$B$1:$BI$1,0))/(INDEX(요약_월별시즈널리티!$F$7:$F$18,MONTH(EDATE($E8,BE$1-1)))/100))),"")</f>
        <v/>
      </c>
      <c r="BF8" t="str" cm="1">
        <f t="array" ref="BF8">IFERROR(IF($E8&lt;44348,"",IF(INDEX(Raw_매출!$B$2:$BI$155,MATCH($A8,Raw_매출!$A$2:$A$155,0),MATCH(EDATE($E8,BF$1-1),Raw_매출!$B$1:$BI$1,0))=0,"",INDEX(Raw_매출!$B$2:$BI$155,MATCH($A8,Raw_매출!$A$2:$A$155,0),MATCH(EDATE($E8,BF$1-1),Raw_매출!$B$1:$BI$1,0))/(INDEX(요약_월별시즈널리티!$F$7:$F$18,MONTH(EDATE($E8,BF$1-1)))/100))),"")</f>
        <v/>
      </c>
      <c r="BG8" t="str" cm="1">
        <f t="array" ref="BG8">IFERROR(IF($E8&lt;44348,"",IF(INDEX(Raw_매출!$B$2:$BI$155,MATCH($A8,Raw_매출!$A$2:$A$155,0),MATCH(EDATE($E8,BG$1-1),Raw_매출!$B$1:$BI$1,0))=0,"",INDEX(Raw_매출!$B$2:$BI$155,MATCH($A8,Raw_매출!$A$2:$A$155,0),MATCH(EDATE($E8,BG$1-1),Raw_매출!$B$1:$BI$1,0))/(INDEX(요약_월별시즈널리티!$F$7:$F$18,MONTH(EDATE($E8,BG$1-1)))/100))),"")</f>
        <v/>
      </c>
      <c r="BH8" t="str" cm="1">
        <f t="array" ref="BH8">IFERROR(IF($E8&lt;44348,"",IF(INDEX(Raw_매출!$B$2:$BI$155,MATCH($A8,Raw_매출!$A$2:$A$155,0),MATCH(EDATE($E8,BH$1-1),Raw_매출!$B$1:$BI$1,0))=0,"",INDEX(Raw_매출!$B$2:$BI$155,MATCH($A8,Raw_매출!$A$2:$A$155,0),MATCH(EDATE($E8,BH$1-1),Raw_매출!$B$1:$BI$1,0))/(INDEX(요약_월별시즈널리티!$F$7:$F$18,MONTH(EDATE($E8,BH$1-1)))/100))),"")</f>
        <v/>
      </c>
      <c r="BI8" t="str" cm="1">
        <f t="array" ref="BI8">IFERROR(IF($E8&lt;44348,"",IF(INDEX(Raw_매출!$B$2:$BI$155,MATCH($A8,Raw_매출!$A$2:$A$155,0),MATCH(EDATE($E8,BI$1-1),Raw_매출!$B$1:$BI$1,0))=0,"",INDEX(Raw_매출!$B$2:$BI$155,MATCH($A8,Raw_매출!$A$2:$A$155,0),MATCH(EDATE($E8,BI$1-1),Raw_매출!$B$1:$BI$1,0))/(INDEX(요약_월별시즈널리티!$F$7:$F$18,MONTH(EDATE($E8,BI$1-1)))/100))),"")</f>
        <v/>
      </c>
      <c r="BJ8" t="str" cm="1">
        <f t="array" ref="BJ8">IFERROR(IF($E8&lt;44348,"",IF(INDEX(Raw_매출!$B$2:$BI$155,MATCH($A8,Raw_매출!$A$2:$A$155,0),MATCH(EDATE($E8,BJ$1-1),Raw_매출!$B$1:$BI$1,0))=0,"",INDEX(Raw_매출!$B$2:$BI$155,MATCH($A8,Raw_매출!$A$2:$A$155,0),MATCH(EDATE($E8,BJ$1-1),Raw_매출!$B$1:$BI$1,0))/(INDEX(요약_월별시즈널리티!$F$7:$F$18,MONTH(EDATE($E8,BJ$1-1)))/100))),"")</f>
        <v/>
      </c>
      <c r="BK8" t="str" cm="1">
        <f t="array" ref="BK8">IFERROR(IF($E8&lt;44348,"",IF(INDEX(Raw_매출!$B$2:$BI$155,MATCH($A8,Raw_매출!$A$2:$A$155,0),MATCH(EDATE($E8,BK$1-1),Raw_매출!$B$1:$BI$1,0))=0,"",INDEX(Raw_매출!$B$2:$BI$155,MATCH($A8,Raw_매출!$A$2:$A$155,0),MATCH(EDATE($E8,BK$1-1),Raw_매출!$B$1:$BI$1,0))/(INDEX(요약_월별시즈널리티!$F$7:$F$18,MONTH(EDATE($E8,BK$1-1)))/100))),"")</f>
        <v/>
      </c>
      <c r="BL8" t="str" cm="1">
        <f t="array" ref="BL8">IFERROR(IF($E8&lt;44348,"",IF(INDEX(Raw_매출!$B$2:$BI$155,MATCH($A8,Raw_매출!$A$2:$A$155,0),MATCH(EDATE($E8,BL$1-1),Raw_매출!$B$1:$BI$1,0))=0,"",INDEX(Raw_매출!$B$2:$BI$155,MATCH($A8,Raw_매출!$A$2:$A$155,0),MATCH(EDATE($E8,BL$1-1),Raw_매출!$B$1:$BI$1,0))/(INDEX(요약_월별시즈널리티!$F$7:$F$18,MONTH(EDATE($E8,BL$1-1)))/100))),"")</f>
        <v/>
      </c>
      <c r="BM8" t="str" cm="1">
        <f t="array" ref="BM8">IFERROR(IF($E8&lt;44348,"",IF(INDEX(Raw_매출!$B$2:$BI$155,MATCH($A8,Raw_매출!$A$2:$A$155,0),MATCH(EDATE($E8,BM$1-1),Raw_매출!$B$1:$BI$1,0))=0,"",INDEX(Raw_매출!$B$2:$BI$155,MATCH($A8,Raw_매출!$A$2:$A$155,0),MATCH(EDATE($E8,BM$1-1),Raw_매출!$B$1:$BI$1,0))/(INDEX(요약_월별시즈널리티!$F$7:$F$18,MONTH(EDATE($E8,BM$1-1)))/100))),"")</f>
        <v/>
      </c>
      <c r="BN8" t="str" cm="1">
        <f t="array" ref="BN8">IFERROR(IF($E8&lt;44348,"",IF(INDEX(Raw_매출!$B$2:$BI$155,MATCH($A8,Raw_매출!$A$2:$A$155,0),MATCH(EDATE($E8,BN$1-1),Raw_매출!$B$1:$BI$1,0))=0,"",INDEX(Raw_매출!$B$2:$BI$155,MATCH($A8,Raw_매출!$A$2:$A$155,0),MATCH(EDATE($E8,BN$1-1),Raw_매출!$B$1:$BI$1,0))/(INDEX(요약_월별시즈널리티!$F$7:$F$18,MONTH(EDATE($E8,BN$1-1)))/100))),"")</f>
        <v/>
      </c>
    </row>
    <row r="9" spans="1:66" x14ac:dyDescent="0.4">
      <c r="A9" t="str">
        <f>세팅!A10</f>
        <v>(0008) 트리하우스점</v>
      </c>
      <c r="B9">
        <f>세팅!B10</f>
        <v>0</v>
      </c>
      <c r="C9" t="str">
        <f t="shared" si="0"/>
        <v/>
      </c>
      <c r="D9" t="str">
        <f t="shared" si="1"/>
        <v/>
      </c>
      <c r="E9" s="1">
        <f>세팅!D10</f>
        <v>43282</v>
      </c>
      <c r="F9" t="str">
        <f t="shared" si="2"/>
        <v/>
      </c>
      <c r="G9" t="str" cm="1">
        <f t="array" ref="G9">IFERROR(IF($E9&lt;44348,"",IF(INDEX(Raw_매출!$B$2:$BI$155,MATCH($A9,Raw_매출!$A$2:$A$155,0),MATCH(EDATE($E9,G$1-1),Raw_매출!$B$1:$BI$1,0))=0,"",INDEX(Raw_매출!$B$2:$BI$155,MATCH($A9,Raw_매출!$A$2:$A$155,0),MATCH(EDATE($E9,G$1-1),Raw_매출!$B$1:$BI$1,0))/(INDEX(요약_월별시즈널리티!$F$7:$F$18,MONTH(EDATE($E9,G$1-1)))/100))),"")</f>
        <v/>
      </c>
      <c r="H9" t="str" cm="1">
        <f t="array" ref="H9">IFERROR(IF($E9&lt;44348,"",IF(INDEX(Raw_매출!$B$2:$BI$155,MATCH($A9,Raw_매출!$A$2:$A$155,0),MATCH(EDATE($E9,H$1-1),Raw_매출!$B$1:$BI$1,0))=0,"",INDEX(Raw_매출!$B$2:$BI$155,MATCH($A9,Raw_매출!$A$2:$A$155,0),MATCH(EDATE($E9,H$1-1),Raw_매출!$B$1:$BI$1,0))/(INDEX(요약_월별시즈널리티!$F$7:$F$18,MONTH(EDATE($E9,H$1-1)))/100))),"")</f>
        <v/>
      </c>
      <c r="I9" t="str" cm="1">
        <f t="array" ref="I9">IFERROR(IF($E9&lt;44348,"",IF(INDEX(Raw_매출!$B$2:$BI$155,MATCH($A9,Raw_매출!$A$2:$A$155,0),MATCH(EDATE($E9,I$1-1),Raw_매출!$B$1:$BI$1,0))=0,"",INDEX(Raw_매출!$B$2:$BI$155,MATCH($A9,Raw_매출!$A$2:$A$155,0),MATCH(EDATE($E9,I$1-1),Raw_매출!$B$1:$BI$1,0))/(INDEX(요약_월별시즈널리티!$F$7:$F$18,MONTH(EDATE($E9,I$1-1)))/100))),"")</f>
        <v/>
      </c>
      <c r="J9" s="30" t="str" cm="1">
        <f t="array" ref="J9">IFERROR(IF($E9&lt;44348,"",IF(INDEX(Raw_매출!$B$2:$BI$155,MATCH($A9,Raw_매출!$A$2:$A$155,0),MATCH(EDATE($E9,J$1-1),Raw_매출!$B$1:$BI$1,0))=0,"",INDEX(Raw_매출!$B$2:$BI$155,MATCH($A9,Raw_매출!$A$2:$A$155,0),MATCH(EDATE($E9,J$1-1),Raw_매출!$B$1:$BI$1,0))/(INDEX(요약_월별시즈널리티!$F$7:$F$18,MONTH(EDATE($E9,J$1-1)))/100))),"")</f>
        <v/>
      </c>
      <c r="K9" s="30" t="str" cm="1">
        <f t="array" ref="K9">IFERROR(IF($E9&lt;44348,"",IF(INDEX(Raw_매출!$B$2:$BI$155,MATCH($A9,Raw_매출!$A$2:$A$155,0),MATCH(EDATE($E9,K$1-1),Raw_매출!$B$1:$BI$1,0))=0,"",INDEX(Raw_매출!$B$2:$BI$155,MATCH($A9,Raw_매출!$A$2:$A$155,0),MATCH(EDATE($E9,K$1-1),Raw_매출!$B$1:$BI$1,0))/(INDEX(요약_월별시즈널리티!$F$7:$F$18,MONTH(EDATE($E9,K$1-1)))/100))),"")</f>
        <v/>
      </c>
      <c r="L9" s="30" t="str" cm="1">
        <f t="array" ref="L9">IFERROR(IF($E9&lt;44348,"",IF(INDEX(Raw_매출!$B$2:$BI$155,MATCH($A9,Raw_매출!$A$2:$A$155,0),MATCH(EDATE($E9,L$1-1),Raw_매출!$B$1:$BI$1,0))=0,"",INDEX(Raw_매출!$B$2:$BI$155,MATCH($A9,Raw_매출!$A$2:$A$155,0),MATCH(EDATE($E9,L$1-1),Raw_매출!$B$1:$BI$1,0))/(INDEX(요약_월별시즈널리티!$F$7:$F$18,MONTH(EDATE($E9,L$1-1)))/100))),"")</f>
        <v/>
      </c>
      <c r="M9" s="30" t="str" cm="1">
        <f t="array" ref="M9">IFERROR(IF($E9&lt;44348,"",IF(INDEX(Raw_매출!$B$2:$BI$155,MATCH($A9,Raw_매출!$A$2:$A$155,0),MATCH(EDATE($E9,M$1-1),Raw_매출!$B$1:$BI$1,0))=0,"",INDEX(Raw_매출!$B$2:$BI$155,MATCH($A9,Raw_매출!$A$2:$A$155,0),MATCH(EDATE($E9,M$1-1),Raw_매출!$B$1:$BI$1,0))/(INDEX(요약_월별시즈널리티!$F$7:$F$18,MONTH(EDATE($E9,M$1-1)))/100))),"")</f>
        <v/>
      </c>
      <c r="N9" s="30" t="str" cm="1">
        <f t="array" ref="N9">IFERROR(IF($E9&lt;44348,"",IF(INDEX(Raw_매출!$B$2:$BI$155,MATCH($A9,Raw_매출!$A$2:$A$155,0),MATCH(EDATE($E9,N$1-1),Raw_매출!$B$1:$BI$1,0))=0,"",INDEX(Raw_매출!$B$2:$BI$155,MATCH($A9,Raw_매출!$A$2:$A$155,0),MATCH(EDATE($E9,N$1-1),Raw_매출!$B$1:$BI$1,0))/(INDEX(요약_월별시즈널리티!$F$7:$F$18,MONTH(EDATE($E9,N$1-1)))/100))),"")</f>
        <v/>
      </c>
      <c r="O9" s="30" t="str" cm="1">
        <f t="array" ref="O9">IFERROR(IF($E9&lt;44348,"",IF(INDEX(Raw_매출!$B$2:$BI$155,MATCH($A9,Raw_매출!$A$2:$A$155,0),MATCH(EDATE($E9,O$1-1),Raw_매출!$B$1:$BI$1,0))=0,"",INDEX(Raw_매출!$B$2:$BI$155,MATCH($A9,Raw_매출!$A$2:$A$155,0),MATCH(EDATE($E9,O$1-1),Raw_매출!$B$1:$BI$1,0))/(INDEX(요약_월별시즈널리티!$F$7:$F$18,MONTH(EDATE($E9,O$1-1)))/100))),"")</f>
        <v/>
      </c>
      <c r="P9" t="str" cm="1">
        <f t="array" ref="P9">IFERROR(IF($E9&lt;44348,"",IF(INDEX(Raw_매출!$B$2:$BI$155,MATCH($A9,Raw_매출!$A$2:$A$155,0),MATCH(EDATE($E9,P$1-1),Raw_매출!$B$1:$BI$1,0))=0,"",INDEX(Raw_매출!$B$2:$BI$155,MATCH($A9,Raw_매출!$A$2:$A$155,0),MATCH(EDATE($E9,P$1-1),Raw_매출!$B$1:$BI$1,0))/(INDEX(요약_월별시즈널리티!$F$7:$F$18,MONTH(EDATE($E9,P$1-1)))/100))),"")</f>
        <v/>
      </c>
      <c r="Q9" t="str" cm="1">
        <f t="array" ref="Q9">IFERROR(IF($E9&lt;44348,"",IF(INDEX(Raw_매출!$B$2:$BI$155,MATCH($A9,Raw_매출!$A$2:$A$155,0),MATCH(EDATE($E9,Q$1-1),Raw_매출!$B$1:$BI$1,0))=0,"",INDEX(Raw_매출!$B$2:$BI$155,MATCH($A9,Raw_매출!$A$2:$A$155,0),MATCH(EDATE($E9,Q$1-1),Raw_매출!$B$1:$BI$1,0))/(INDEX(요약_월별시즈널리티!$F$7:$F$18,MONTH(EDATE($E9,Q$1-1)))/100))),"")</f>
        <v/>
      </c>
      <c r="R9" t="str" cm="1">
        <f t="array" ref="R9">IFERROR(IF($E9&lt;44348,"",IF(INDEX(Raw_매출!$B$2:$BI$155,MATCH($A9,Raw_매출!$A$2:$A$155,0),MATCH(EDATE($E9,R$1-1),Raw_매출!$B$1:$BI$1,0))=0,"",INDEX(Raw_매출!$B$2:$BI$155,MATCH($A9,Raw_매출!$A$2:$A$155,0),MATCH(EDATE($E9,R$1-1),Raw_매출!$B$1:$BI$1,0))/(INDEX(요약_월별시즈널리티!$F$7:$F$18,MONTH(EDATE($E9,R$1-1)))/100))),"")</f>
        <v/>
      </c>
      <c r="S9" t="str" cm="1">
        <f t="array" ref="S9">IFERROR(IF($E9&lt;44348,"",IF(INDEX(Raw_매출!$B$2:$BI$155,MATCH($A9,Raw_매출!$A$2:$A$155,0),MATCH(EDATE($E9,S$1-1),Raw_매출!$B$1:$BI$1,0))=0,"",INDEX(Raw_매출!$B$2:$BI$155,MATCH($A9,Raw_매출!$A$2:$A$155,0),MATCH(EDATE($E9,S$1-1),Raw_매출!$B$1:$BI$1,0))/(INDEX(요약_월별시즈널리티!$F$7:$F$18,MONTH(EDATE($E9,S$1-1)))/100))),"")</f>
        <v/>
      </c>
      <c r="T9" t="str" cm="1">
        <f t="array" ref="T9">IFERROR(IF($E9&lt;44348,"",IF(INDEX(Raw_매출!$B$2:$BI$155,MATCH($A9,Raw_매출!$A$2:$A$155,0),MATCH(EDATE($E9,T$1-1),Raw_매출!$B$1:$BI$1,0))=0,"",INDEX(Raw_매출!$B$2:$BI$155,MATCH($A9,Raw_매출!$A$2:$A$155,0),MATCH(EDATE($E9,T$1-1),Raw_매출!$B$1:$BI$1,0))/(INDEX(요약_월별시즈널리티!$F$7:$F$18,MONTH(EDATE($E9,T$1-1)))/100))),"")</f>
        <v/>
      </c>
      <c r="U9" t="str" cm="1">
        <f t="array" ref="U9">IFERROR(IF($E9&lt;44348,"",IF(INDEX(Raw_매출!$B$2:$BI$155,MATCH($A9,Raw_매출!$A$2:$A$155,0),MATCH(EDATE($E9,U$1-1),Raw_매출!$B$1:$BI$1,0))=0,"",INDEX(Raw_매출!$B$2:$BI$155,MATCH($A9,Raw_매출!$A$2:$A$155,0),MATCH(EDATE($E9,U$1-1),Raw_매출!$B$1:$BI$1,0))/(INDEX(요약_월별시즈널리티!$F$7:$F$18,MONTH(EDATE($E9,U$1-1)))/100))),"")</f>
        <v/>
      </c>
      <c r="V9" t="str" cm="1">
        <f t="array" ref="V9">IFERROR(IF($E9&lt;44348,"",IF(INDEX(Raw_매출!$B$2:$BI$155,MATCH($A9,Raw_매출!$A$2:$A$155,0),MATCH(EDATE($E9,V$1-1),Raw_매출!$B$1:$BI$1,0))=0,"",INDEX(Raw_매출!$B$2:$BI$155,MATCH($A9,Raw_매출!$A$2:$A$155,0),MATCH(EDATE($E9,V$1-1),Raw_매출!$B$1:$BI$1,0))/(INDEX(요약_월별시즈널리티!$F$7:$F$18,MONTH(EDATE($E9,V$1-1)))/100))),"")</f>
        <v/>
      </c>
      <c r="W9" t="str" cm="1">
        <f t="array" ref="W9">IFERROR(IF($E9&lt;44348,"",IF(INDEX(Raw_매출!$B$2:$BI$155,MATCH($A9,Raw_매출!$A$2:$A$155,0),MATCH(EDATE($E9,W$1-1),Raw_매출!$B$1:$BI$1,0))=0,"",INDEX(Raw_매출!$B$2:$BI$155,MATCH($A9,Raw_매출!$A$2:$A$155,0),MATCH(EDATE($E9,W$1-1),Raw_매출!$B$1:$BI$1,0))/(INDEX(요약_월별시즈널리티!$F$7:$F$18,MONTH(EDATE($E9,W$1-1)))/100))),"")</f>
        <v/>
      </c>
      <c r="X9" t="str" cm="1">
        <f t="array" ref="X9">IFERROR(IF($E9&lt;44348,"",IF(INDEX(Raw_매출!$B$2:$BI$155,MATCH($A9,Raw_매출!$A$2:$A$155,0),MATCH(EDATE($E9,X$1-1),Raw_매출!$B$1:$BI$1,0))=0,"",INDEX(Raw_매출!$B$2:$BI$155,MATCH($A9,Raw_매출!$A$2:$A$155,0),MATCH(EDATE($E9,X$1-1),Raw_매출!$B$1:$BI$1,0))/(INDEX(요약_월별시즈널리티!$F$7:$F$18,MONTH(EDATE($E9,X$1-1)))/100))),"")</f>
        <v/>
      </c>
      <c r="Y9" t="str" cm="1">
        <f t="array" ref="Y9">IFERROR(IF($E9&lt;44348,"",IF(INDEX(Raw_매출!$B$2:$BI$155,MATCH($A9,Raw_매출!$A$2:$A$155,0),MATCH(EDATE($E9,Y$1-1),Raw_매출!$B$1:$BI$1,0))=0,"",INDEX(Raw_매출!$B$2:$BI$155,MATCH($A9,Raw_매출!$A$2:$A$155,0),MATCH(EDATE($E9,Y$1-1),Raw_매출!$B$1:$BI$1,0))/(INDEX(요약_월별시즈널리티!$F$7:$F$18,MONTH(EDATE($E9,Y$1-1)))/100))),"")</f>
        <v/>
      </c>
      <c r="Z9" t="str" cm="1">
        <f t="array" ref="Z9">IFERROR(IF($E9&lt;44348,"",IF(INDEX(Raw_매출!$B$2:$BI$155,MATCH($A9,Raw_매출!$A$2:$A$155,0),MATCH(EDATE($E9,Z$1-1),Raw_매출!$B$1:$BI$1,0))=0,"",INDEX(Raw_매출!$B$2:$BI$155,MATCH($A9,Raw_매출!$A$2:$A$155,0),MATCH(EDATE($E9,Z$1-1),Raw_매출!$B$1:$BI$1,0))/(INDEX(요약_월별시즈널리티!$F$7:$F$18,MONTH(EDATE($E9,Z$1-1)))/100))),"")</f>
        <v/>
      </c>
      <c r="AA9" t="str" cm="1">
        <f t="array" ref="AA9">IFERROR(IF($E9&lt;44348,"",IF(INDEX(Raw_매출!$B$2:$BI$155,MATCH($A9,Raw_매출!$A$2:$A$155,0),MATCH(EDATE($E9,AA$1-1),Raw_매출!$B$1:$BI$1,0))=0,"",INDEX(Raw_매출!$B$2:$BI$155,MATCH($A9,Raw_매출!$A$2:$A$155,0),MATCH(EDATE($E9,AA$1-1),Raw_매출!$B$1:$BI$1,0))/(INDEX(요약_월별시즈널리티!$F$7:$F$18,MONTH(EDATE($E9,AA$1-1)))/100))),"")</f>
        <v/>
      </c>
      <c r="AB9" t="str" cm="1">
        <f t="array" ref="AB9">IFERROR(IF($E9&lt;44348,"",IF(INDEX(Raw_매출!$B$2:$BI$155,MATCH($A9,Raw_매출!$A$2:$A$155,0),MATCH(EDATE($E9,AB$1-1),Raw_매출!$B$1:$BI$1,0))=0,"",INDEX(Raw_매출!$B$2:$BI$155,MATCH($A9,Raw_매출!$A$2:$A$155,0),MATCH(EDATE($E9,AB$1-1),Raw_매출!$B$1:$BI$1,0))/(INDEX(요약_월별시즈널리티!$F$7:$F$18,MONTH(EDATE($E9,AB$1-1)))/100))),"")</f>
        <v/>
      </c>
      <c r="AC9" t="str" cm="1">
        <f t="array" ref="AC9">IFERROR(IF($E9&lt;44348,"",IF(INDEX(Raw_매출!$B$2:$BI$155,MATCH($A9,Raw_매출!$A$2:$A$155,0),MATCH(EDATE($E9,AC$1-1),Raw_매출!$B$1:$BI$1,0))=0,"",INDEX(Raw_매출!$B$2:$BI$155,MATCH($A9,Raw_매출!$A$2:$A$155,0),MATCH(EDATE($E9,AC$1-1),Raw_매출!$B$1:$BI$1,0))/(INDEX(요약_월별시즈널리티!$F$7:$F$18,MONTH(EDATE($E9,AC$1-1)))/100))),"")</f>
        <v/>
      </c>
      <c r="AD9" t="str" cm="1">
        <f t="array" ref="AD9">IFERROR(IF($E9&lt;44348,"",IF(INDEX(Raw_매출!$B$2:$BI$155,MATCH($A9,Raw_매출!$A$2:$A$155,0),MATCH(EDATE($E9,AD$1-1),Raw_매출!$B$1:$BI$1,0))=0,"",INDEX(Raw_매출!$B$2:$BI$155,MATCH($A9,Raw_매출!$A$2:$A$155,0),MATCH(EDATE($E9,AD$1-1),Raw_매출!$B$1:$BI$1,0))/(INDEX(요약_월별시즈널리티!$F$7:$F$18,MONTH(EDATE($E9,AD$1-1)))/100))),"")</f>
        <v/>
      </c>
      <c r="AE9" t="str" cm="1">
        <f t="array" ref="AE9">IFERROR(IF($E9&lt;44348,"",IF(INDEX(Raw_매출!$B$2:$BI$155,MATCH($A9,Raw_매출!$A$2:$A$155,0),MATCH(EDATE($E9,AE$1-1),Raw_매출!$B$1:$BI$1,0))=0,"",INDEX(Raw_매출!$B$2:$BI$155,MATCH($A9,Raw_매출!$A$2:$A$155,0),MATCH(EDATE($E9,AE$1-1),Raw_매출!$B$1:$BI$1,0))/(INDEX(요약_월별시즈널리티!$F$7:$F$18,MONTH(EDATE($E9,AE$1-1)))/100))),"")</f>
        <v/>
      </c>
      <c r="AF9" t="str" cm="1">
        <f t="array" ref="AF9">IFERROR(IF($E9&lt;44348,"",IF(INDEX(Raw_매출!$B$2:$BI$155,MATCH($A9,Raw_매출!$A$2:$A$155,0),MATCH(EDATE($E9,AF$1-1),Raw_매출!$B$1:$BI$1,0))=0,"",INDEX(Raw_매출!$B$2:$BI$155,MATCH($A9,Raw_매출!$A$2:$A$155,0),MATCH(EDATE($E9,AF$1-1),Raw_매출!$B$1:$BI$1,0))/(INDEX(요약_월별시즈널리티!$F$7:$F$18,MONTH(EDATE($E9,AF$1-1)))/100))),"")</f>
        <v/>
      </c>
      <c r="AG9" t="str" cm="1">
        <f t="array" ref="AG9">IFERROR(IF($E9&lt;44348,"",IF(INDEX(Raw_매출!$B$2:$BI$155,MATCH($A9,Raw_매출!$A$2:$A$155,0),MATCH(EDATE($E9,AG$1-1),Raw_매출!$B$1:$BI$1,0))=0,"",INDEX(Raw_매출!$B$2:$BI$155,MATCH($A9,Raw_매출!$A$2:$A$155,0),MATCH(EDATE($E9,AG$1-1),Raw_매출!$B$1:$BI$1,0))/(INDEX(요약_월별시즈널리티!$F$7:$F$18,MONTH(EDATE($E9,AG$1-1)))/100))),"")</f>
        <v/>
      </c>
      <c r="AH9" t="str" cm="1">
        <f t="array" ref="AH9">IFERROR(IF($E9&lt;44348,"",IF(INDEX(Raw_매출!$B$2:$BI$155,MATCH($A9,Raw_매출!$A$2:$A$155,0),MATCH(EDATE($E9,AH$1-1),Raw_매출!$B$1:$BI$1,0))=0,"",INDEX(Raw_매출!$B$2:$BI$155,MATCH($A9,Raw_매출!$A$2:$A$155,0),MATCH(EDATE($E9,AH$1-1),Raw_매출!$B$1:$BI$1,0))/(INDEX(요약_월별시즈널리티!$F$7:$F$18,MONTH(EDATE($E9,AH$1-1)))/100))),"")</f>
        <v/>
      </c>
      <c r="AI9" t="str" cm="1">
        <f t="array" ref="AI9">IFERROR(IF($E9&lt;44348,"",IF(INDEX(Raw_매출!$B$2:$BI$155,MATCH($A9,Raw_매출!$A$2:$A$155,0),MATCH(EDATE($E9,AI$1-1),Raw_매출!$B$1:$BI$1,0))=0,"",INDEX(Raw_매출!$B$2:$BI$155,MATCH($A9,Raw_매출!$A$2:$A$155,0),MATCH(EDATE($E9,AI$1-1),Raw_매출!$B$1:$BI$1,0))/(INDEX(요약_월별시즈널리티!$F$7:$F$18,MONTH(EDATE($E9,AI$1-1)))/100))),"")</f>
        <v/>
      </c>
      <c r="AJ9" t="str" cm="1">
        <f t="array" ref="AJ9">IFERROR(IF($E9&lt;44348,"",IF(INDEX(Raw_매출!$B$2:$BI$155,MATCH($A9,Raw_매출!$A$2:$A$155,0),MATCH(EDATE($E9,AJ$1-1),Raw_매출!$B$1:$BI$1,0))=0,"",INDEX(Raw_매출!$B$2:$BI$155,MATCH($A9,Raw_매출!$A$2:$A$155,0),MATCH(EDATE($E9,AJ$1-1),Raw_매출!$B$1:$BI$1,0))/(INDEX(요약_월별시즈널리티!$F$7:$F$18,MONTH(EDATE($E9,AJ$1-1)))/100))),"")</f>
        <v/>
      </c>
      <c r="AK9" t="str" cm="1">
        <f t="array" ref="AK9">IFERROR(IF($E9&lt;44348,"",IF(INDEX(Raw_매출!$B$2:$BI$155,MATCH($A9,Raw_매출!$A$2:$A$155,0),MATCH(EDATE($E9,AK$1-1),Raw_매출!$B$1:$BI$1,0))=0,"",INDEX(Raw_매출!$B$2:$BI$155,MATCH($A9,Raw_매출!$A$2:$A$155,0),MATCH(EDATE($E9,AK$1-1),Raw_매출!$B$1:$BI$1,0))/(INDEX(요약_월별시즈널리티!$F$7:$F$18,MONTH(EDATE($E9,AK$1-1)))/100))),"")</f>
        <v/>
      </c>
      <c r="AL9" t="str" cm="1">
        <f t="array" ref="AL9">IFERROR(IF($E9&lt;44348,"",IF(INDEX(Raw_매출!$B$2:$BI$155,MATCH($A9,Raw_매출!$A$2:$A$155,0),MATCH(EDATE($E9,AL$1-1),Raw_매출!$B$1:$BI$1,0))=0,"",INDEX(Raw_매출!$B$2:$BI$155,MATCH($A9,Raw_매출!$A$2:$A$155,0),MATCH(EDATE($E9,AL$1-1),Raw_매출!$B$1:$BI$1,0))/(INDEX(요약_월별시즈널리티!$F$7:$F$18,MONTH(EDATE($E9,AL$1-1)))/100))),"")</f>
        <v/>
      </c>
      <c r="AM9" t="str" cm="1">
        <f t="array" ref="AM9">IFERROR(IF($E9&lt;44348,"",IF(INDEX(Raw_매출!$B$2:$BI$155,MATCH($A9,Raw_매출!$A$2:$A$155,0),MATCH(EDATE($E9,AM$1-1),Raw_매출!$B$1:$BI$1,0))=0,"",INDEX(Raw_매출!$B$2:$BI$155,MATCH($A9,Raw_매출!$A$2:$A$155,0),MATCH(EDATE($E9,AM$1-1),Raw_매출!$B$1:$BI$1,0))/(INDEX(요약_월별시즈널리티!$F$7:$F$18,MONTH(EDATE($E9,AM$1-1)))/100))),"")</f>
        <v/>
      </c>
      <c r="AN9" t="str" cm="1">
        <f t="array" ref="AN9">IFERROR(IF($E9&lt;44348,"",IF(INDEX(Raw_매출!$B$2:$BI$155,MATCH($A9,Raw_매출!$A$2:$A$155,0),MATCH(EDATE($E9,AN$1-1),Raw_매출!$B$1:$BI$1,0))=0,"",INDEX(Raw_매출!$B$2:$BI$155,MATCH($A9,Raw_매출!$A$2:$A$155,0),MATCH(EDATE($E9,AN$1-1),Raw_매출!$B$1:$BI$1,0))/(INDEX(요약_월별시즈널리티!$F$7:$F$18,MONTH(EDATE($E9,AN$1-1)))/100))),"")</f>
        <v/>
      </c>
      <c r="AO9" t="str" cm="1">
        <f t="array" ref="AO9">IFERROR(IF($E9&lt;44348,"",IF(INDEX(Raw_매출!$B$2:$BI$155,MATCH($A9,Raw_매출!$A$2:$A$155,0),MATCH(EDATE($E9,AO$1-1),Raw_매출!$B$1:$BI$1,0))=0,"",INDEX(Raw_매출!$B$2:$BI$155,MATCH($A9,Raw_매출!$A$2:$A$155,0),MATCH(EDATE($E9,AO$1-1),Raw_매출!$B$1:$BI$1,0))/(INDEX(요약_월별시즈널리티!$F$7:$F$18,MONTH(EDATE($E9,AO$1-1)))/100))),"")</f>
        <v/>
      </c>
      <c r="AP9" t="str" cm="1">
        <f t="array" ref="AP9">IFERROR(IF($E9&lt;44348,"",IF(INDEX(Raw_매출!$B$2:$BI$155,MATCH($A9,Raw_매출!$A$2:$A$155,0),MATCH(EDATE($E9,AP$1-1),Raw_매출!$B$1:$BI$1,0))=0,"",INDEX(Raw_매출!$B$2:$BI$155,MATCH($A9,Raw_매출!$A$2:$A$155,0),MATCH(EDATE($E9,AP$1-1),Raw_매출!$B$1:$BI$1,0))/(INDEX(요약_월별시즈널리티!$F$7:$F$18,MONTH(EDATE($E9,AP$1-1)))/100))),"")</f>
        <v/>
      </c>
      <c r="AQ9" t="str" cm="1">
        <f t="array" ref="AQ9">IFERROR(IF($E9&lt;44348,"",IF(INDEX(Raw_매출!$B$2:$BI$155,MATCH($A9,Raw_매출!$A$2:$A$155,0),MATCH(EDATE($E9,AQ$1-1),Raw_매출!$B$1:$BI$1,0))=0,"",INDEX(Raw_매출!$B$2:$BI$155,MATCH($A9,Raw_매출!$A$2:$A$155,0),MATCH(EDATE($E9,AQ$1-1),Raw_매출!$B$1:$BI$1,0))/(INDEX(요약_월별시즈널리티!$F$7:$F$18,MONTH(EDATE($E9,AQ$1-1)))/100))),"")</f>
        <v/>
      </c>
      <c r="AR9" t="str" cm="1">
        <f t="array" ref="AR9">IFERROR(IF($E9&lt;44348,"",IF(INDEX(Raw_매출!$B$2:$BI$155,MATCH($A9,Raw_매출!$A$2:$A$155,0),MATCH(EDATE($E9,AR$1-1),Raw_매출!$B$1:$BI$1,0))=0,"",INDEX(Raw_매출!$B$2:$BI$155,MATCH($A9,Raw_매출!$A$2:$A$155,0),MATCH(EDATE($E9,AR$1-1),Raw_매출!$B$1:$BI$1,0))/(INDEX(요약_월별시즈널리티!$F$7:$F$18,MONTH(EDATE($E9,AR$1-1)))/100))),"")</f>
        <v/>
      </c>
      <c r="AS9" t="str" cm="1">
        <f t="array" ref="AS9">IFERROR(IF($E9&lt;44348,"",IF(INDEX(Raw_매출!$B$2:$BI$155,MATCH($A9,Raw_매출!$A$2:$A$155,0),MATCH(EDATE($E9,AS$1-1),Raw_매출!$B$1:$BI$1,0))=0,"",INDEX(Raw_매출!$B$2:$BI$155,MATCH($A9,Raw_매출!$A$2:$A$155,0),MATCH(EDATE($E9,AS$1-1),Raw_매출!$B$1:$BI$1,0))/(INDEX(요약_월별시즈널리티!$F$7:$F$18,MONTH(EDATE($E9,AS$1-1)))/100))),"")</f>
        <v/>
      </c>
      <c r="AT9" t="str" cm="1">
        <f t="array" ref="AT9">IFERROR(IF($E9&lt;44348,"",IF(INDEX(Raw_매출!$B$2:$BI$155,MATCH($A9,Raw_매출!$A$2:$A$155,0),MATCH(EDATE($E9,AT$1-1),Raw_매출!$B$1:$BI$1,0))=0,"",INDEX(Raw_매출!$B$2:$BI$155,MATCH($A9,Raw_매출!$A$2:$A$155,0),MATCH(EDATE($E9,AT$1-1),Raw_매출!$B$1:$BI$1,0))/(INDEX(요약_월별시즈널리티!$F$7:$F$18,MONTH(EDATE($E9,AT$1-1)))/100))),"")</f>
        <v/>
      </c>
      <c r="AU9" t="str" cm="1">
        <f t="array" ref="AU9">IFERROR(IF($E9&lt;44348,"",IF(INDEX(Raw_매출!$B$2:$BI$155,MATCH($A9,Raw_매출!$A$2:$A$155,0),MATCH(EDATE($E9,AU$1-1),Raw_매출!$B$1:$BI$1,0))=0,"",INDEX(Raw_매출!$B$2:$BI$155,MATCH($A9,Raw_매출!$A$2:$A$155,0),MATCH(EDATE($E9,AU$1-1),Raw_매출!$B$1:$BI$1,0))/(INDEX(요약_월별시즈널리티!$F$7:$F$18,MONTH(EDATE($E9,AU$1-1)))/100))),"")</f>
        <v/>
      </c>
      <c r="AV9" t="str" cm="1">
        <f t="array" ref="AV9">IFERROR(IF($E9&lt;44348,"",IF(INDEX(Raw_매출!$B$2:$BI$155,MATCH($A9,Raw_매출!$A$2:$A$155,0),MATCH(EDATE($E9,AV$1-1),Raw_매출!$B$1:$BI$1,0))=0,"",INDEX(Raw_매출!$B$2:$BI$155,MATCH($A9,Raw_매출!$A$2:$A$155,0),MATCH(EDATE($E9,AV$1-1),Raw_매출!$B$1:$BI$1,0))/(INDEX(요약_월별시즈널리티!$F$7:$F$18,MONTH(EDATE($E9,AV$1-1)))/100))),"")</f>
        <v/>
      </c>
      <c r="AW9" t="str" cm="1">
        <f t="array" ref="AW9">IFERROR(IF($E9&lt;44348,"",IF(INDEX(Raw_매출!$B$2:$BI$155,MATCH($A9,Raw_매출!$A$2:$A$155,0),MATCH(EDATE($E9,AW$1-1),Raw_매출!$B$1:$BI$1,0))=0,"",INDEX(Raw_매출!$B$2:$BI$155,MATCH($A9,Raw_매출!$A$2:$A$155,0),MATCH(EDATE($E9,AW$1-1),Raw_매출!$B$1:$BI$1,0))/(INDEX(요약_월별시즈널리티!$F$7:$F$18,MONTH(EDATE($E9,AW$1-1)))/100))),"")</f>
        <v/>
      </c>
      <c r="AX9" t="str" cm="1">
        <f t="array" ref="AX9">IFERROR(IF($E9&lt;44348,"",IF(INDEX(Raw_매출!$B$2:$BI$155,MATCH($A9,Raw_매출!$A$2:$A$155,0),MATCH(EDATE($E9,AX$1-1),Raw_매출!$B$1:$BI$1,0))=0,"",INDEX(Raw_매출!$B$2:$BI$155,MATCH($A9,Raw_매출!$A$2:$A$155,0),MATCH(EDATE($E9,AX$1-1),Raw_매출!$B$1:$BI$1,0))/(INDEX(요약_월별시즈널리티!$F$7:$F$18,MONTH(EDATE($E9,AX$1-1)))/100))),"")</f>
        <v/>
      </c>
      <c r="AY9" t="str" cm="1">
        <f t="array" ref="AY9">IFERROR(IF($E9&lt;44348,"",IF(INDEX(Raw_매출!$B$2:$BI$155,MATCH($A9,Raw_매출!$A$2:$A$155,0),MATCH(EDATE($E9,AY$1-1),Raw_매출!$B$1:$BI$1,0))=0,"",INDEX(Raw_매출!$B$2:$BI$155,MATCH($A9,Raw_매출!$A$2:$A$155,0),MATCH(EDATE($E9,AY$1-1),Raw_매출!$B$1:$BI$1,0))/(INDEX(요약_월별시즈널리티!$F$7:$F$18,MONTH(EDATE($E9,AY$1-1)))/100))),"")</f>
        <v/>
      </c>
      <c r="AZ9" t="str" cm="1">
        <f t="array" ref="AZ9">IFERROR(IF($E9&lt;44348,"",IF(INDEX(Raw_매출!$B$2:$BI$155,MATCH($A9,Raw_매출!$A$2:$A$155,0),MATCH(EDATE($E9,AZ$1-1),Raw_매출!$B$1:$BI$1,0))=0,"",INDEX(Raw_매출!$B$2:$BI$155,MATCH($A9,Raw_매출!$A$2:$A$155,0),MATCH(EDATE($E9,AZ$1-1),Raw_매출!$B$1:$BI$1,0))/(INDEX(요약_월별시즈널리티!$F$7:$F$18,MONTH(EDATE($E9,AZ$1-1)))/100))),"")</f>
        <v/>
      </c>
      <c r="BA9" t="str" cm="1">
        <f t="array" ref="BA9">IFERROR(IF($E9&lt;44348,"",IF(INDEX(Raw_매출!$B$2:$BI$155,MATCH($A9,Raw_매출!$A$2:$A$155,0),MATCH(EDATE($E9,BA$1-1),Raw_매출!$B$1:$BI$1,0))=0,"",INDEX(Raw_매출!$B$2:$BI$155,MATCH($A9,Raw_매출!$A$2:$A$155,0),MATCH(EDATE($E9,BA$1-1),Raw_매출!$B$1:$BI$1,0))/(INDEX(요약_월별시즈널리티!$F$7:$F$18,MONTH(EDATE($E9,BA$1-1)))/100))),"")</f>
        <v/>
      </c>
      <c r="BB9" t="str" cm="1">
        <f t="array" ref="BB9">IFERROR(IF($E9&lt;44348,"",IF(INDEX(Raw_매출!$B$2:$BI$155,MATCH($A9,Raw_매출!$A$2:$A$155,0),MATCH(EDATE($E9,BB$1-1),Raw_매출!$B$1:$BI$1,0))=0,"",INDEX(Raw_매출!$B$2:$BI$155,MATCH($A9,Raw_매출!$A$2:$A$155,0),MATCH(EDATE($E9,BB$1-1),Raw_매출!$B$1:$BI$1,0))/(INDEX(요약_월별시즈널리티!$F$7:$F$18,MONTH(EDATE($E9,BB$1-1)))/100))),"")</f>
        <v/>
      </c>
      <c r="BC9" t="str" cm="1">
        <f t="array" ref="BC9">IFERROR(IF($E9&lt;44348,"",IF(INDEX(Raw_매출!$B$2:$BI$155,MATCH($A9,Raw_매출!$A$2:$A$155,0),MATCH(EDATE($E9,BC$1-1),Raw_매출!$B$1:$BI$1,0))=0,"",INDEX(Raw_매출!$B$2:$BI$155,MATCH($A9,Raw_매출!$A$2:$A$155,0),MATCH(EDATE($E9,BC$1-1),Raw_매출!$B$1:$BI$1,0))/(INDEX(요약_월별시즈널리티!$F$7:$F$18,MONTH(EDATE($E9,BC$1-1)))/100))),"")</f>
        <v/>
      </c>
      <c r="BD9" t="str" cm="1">
        <f t="array" ref="BD9">IFERROR(IF($E9&lt;44348,"",IF(INDEX(Raw_매출!$B$2:$BI$155,MATCH($A9,Raw_매출!$A$2:$A$155,0),MATCH(EDATE($E9,BD$1-1),Raw_매출!$B$1:$BI$1,0))=0,"",INDEX(Raw_매출!$B$2:$BI$155,MATCH($A9,Raw_매출!$A$2:$A$155,0),MATCH(EDATE($E9,BD$1-1),Raw_매출!$B$1:$BI$1,0))/(INDEX(요약_월별시즈널리티!$F$7:$F$18,MONTH(EDATE($E9,BD$1-1)))/100))),"")</f>
        <v/>
      </c>
      <c r="BE9" t="str" cm="1">
        <f t="array" ref="BE9">IFERROR(IF($E9&lt;44348,"",IF(INDEX(Raw_매출!$B$2:$BI$155,MATCH($A9,Raw_매출!$A$2:$A$155,0),MATCH(EDATE($E9,BE$1-1),Raw_매출!$B$1:$BI$1,0))=0,"",INDEX(Raw_매출!$B$2:$BI$155,MATCH($A9,Raw_매출!$A$2:$A$155,0),MATCH(EDATE($E9,BE$1-1),Raw_매출!$B$1:$BI$1,0))/(INDEX(요약_월별시즈널리티!$F$7:$F$18,MONTH(EDATE($E9,BE$1-1)))/100))),"")</f>
        <v/>
      </c>
      <c r="BF9" t="str" cm="1">
        <f t="array" ref="BF9">IFERROR(IF($E9&lt;44348,"",IF(INDEX(Raw_매출!$B$2:$BI$155,MATCH($A9,Raw_매출!$A$2:$A$155,0),MATCH(EDATE($E9,BF$1-1),Raw_매출!$B$1:$BI$1,0))=0,"",INDEX(Raw_매출!$B$2:$BI$155,MATCH($A9,Raw_매출!$A$2:$A$155,0),MATCH(EDATE($E9,BF$1-1),Raw_매출!$B$1:$BI$1,0))/(INDEX(요약_월별시즈널리티!$F$7:$F$18,MONTH(EDATE($E9,BF$1-1)))/100))),"")</f>
        <v/>
      </c>
      <c r="BG9" t="str" cm="1">
        <f t="array" ref="BG9">IFERROR(IF($E9&lt;44348,"",IF(INDEX(Raw_매출!$B$2:$BI$155,MATCH($A9,Raw_매출!$A$2:$A$155,0),MATCH(EDATE($E9,BG$1-1),Raw_매출!$B$1:$BI$1,0))=0,"",INDEX(Raw_매출!$B$2:$BI$155,MATCH($A9,Raw_매출!$A$2:$A$155,0),MATCH(EDATE($E9,BG$1-1),Raw_매출!$B$1:$BI$1,0))/(INDEX(요약_월별시즈널리티!$F$7:$F$18,MONTH(EDATE($E9,BG$1-1)))/100))),"")</f>
        <v/>
      </c>
      <c r="BH9" t="str" cm="1">
        <f t="array" ref="BH9">IFERROR(IF($E9&lt;44348,"",IF(INDEX(Raw_매출!$B$2:$BI$155,MATCH($A9,Raw_매출!$A$2:$A$155,0),MATCH(EDATE($E9,BH$1-1),Raw_매출!$B$1:$BI$1,0))=0,"",INDEX(Raw_매출!$B$2:$BI$155,MATCH($A9,Raw_매출!$A$2:$A$155,0),MATCH(EDATE($E9,BH$1-1),Raw_매출!$B$1:$BI$1,0))/(INDEX(요약_월별시즈널리티!$F$7:$F$18,MONTH(EDATE($E9,BH$1-1)))/100))),"")</f>
        <v/>
      </c>
      <c r="BI9" t="str" cm="1">
        <f t="array" ref="BI9">IFERROR(IF($E9&lt;44348,"",IF(INDEX(Raw_매출!$B$2:$BI$155,MATCH($A9,Raw_매출!$A$2:$A$155,0),MATCH(EDATE($E9,BI$1-1),Raw_매출!$B$1:$BI$1,0))=0,"",INDEX(Raw_매출!$B$2:$BI$155,MATCH($A9,Raw_매출!$A$2:$A$155,0),MATCH(EDATE($E9,BI$1-1),Raw_매출!$B$1:$BI$1,0))/(INDEX(요약_월별시즈널리티!$F$7:$F$18,MONTH(EDATE($E9,BI$1-1)))/100))),"")</f>
        <v/>
      </c>
      <c r="BJ9" t="str" cm="1">
        <f t="array" ref="BJ9">IFERROR(IF($E9&lt;44348,"",IF(INDEX(Raw_매출!$B$2:$BI$155,MATCH($A9,Raw_매출!$A$2:$A$155,0),MATCH(EDATE($E9,BJ$1-1),Raw_매출!$B$1:$BI$1,0))=0,"",INDEX(Raw_매출!$B$2:$BI$155,MATCH($A9,Raw_매출!$A$2:$A$155,0),MATCH(EDATE($E9,BJ$1-1),Raw_매출!$B$1:$BI$1,0))/(INDEX(요약_월별시즈널리티!$F$7:$F$18,MONTH(EDATE($E9,BJ$1-1)))/100))),"")</f>
        <v/>
      </c>
      <c r="BK9" t="str" cm="1">
        <f t="array" ref="BK9">IFERROR(IF($E9&lt;44348,"",IF(INDEX(Raw_매출!$B$2:$BI$155,MATCH($A9,Raw_매출!$A$2:$A$155,0),MATCH(EDATE($E9,BK$1-1),Raw_매출!$B$1:$BI$1,0))=0,"",INDEX(Raw_매출!$B$2:$BI$155,MATCH($A9,Raw_매출!$A$2:$A$155,0),MATCH(EDATE($E9,BK$1-1),Raw_매출!$B$1:$BI$1,0))/(INDEX(요약_월별시즈널리티!$F$7:$F$18,MONTH(EDATE($E9,BK$1-1)))/100))),"")</f>
        <v/>
      </c>
      <c r="BL9" t="str" cm="1">
        <f t="array" ref="BL9">IFERROR(IF($E9&lt;44348,"",IF(INDEX(Raw_매출!$B$2:$BI$155,MATCH($A9,Raw_매출!$A$2:$A$155,0),MATCH(EDATE($E9,BL$1-1),Raw_매출!$B$1:$BI$1,0))=0,"",INDEX(Raw_매출!$B$2:$BI$155,MATCH($A9,Raw_매출!$A$2:$A$155,0),MATCH(EDATE($E9,BL$1-1),Raw_매출!$B$1:$BI$1,0))/(INDEX(요약_월별시즈널리티!$F$7:$F$18,MONTH(EDATE($E9,BL$1-1)))/100))),"")</f>
        <v/>
      </c>
      <c r="BM9" t="str" cm="1">
        <f t="array" ref="BM9">IFERROR(IF($E9&lt;44348,"",IF(INDEX(Raw_매출!$B$2:$BI$155,MATCH($A9,Raw_매출!$A$2:$A$155,0),MATCH(EDATE($E9,BM$1-1),Raw_매출!$B$1:$BI$1,0))=0,"",INDEX(Raw_매출!$B$2:$BI$155,MATCH($A9,Raw_매출!$A$2:$A$155,0),MATCH(EDATE($E9,BM$1-1),Raw_매출!$B$1:$BI$1,0))/(INDEX(요약_월별시즈널리티!$F$7:$F$18,MONTH(EDATE($E9,BM$1-1)))/100))),"")</f>
        <v/>
      </c>
      <c r="BN9" t="str" cm="1">
        <f t="array" ref="BN9">IFERROR(IF($E9&lt;44348,"",IF(INDEX(Raw_매출!$B$2:$BI$155,MATCH($A9,Raw_매출!$A$2:$A$155,0),MATCH(EDATE($E9,BN$1-1),Raw_매출!$B$1:$BI$1,0))=0,"",INDEX(Raw_매출!$B$2:$BI$155,MATCH($A9,Raw_매출!$A$2:$A$155,0),MATCH(EDATE($E9,BN$1-1),Raw_매출!$B$1:$BI$1,0))/(INDEX(요약_월별시즈널리티!$F$7:$F$18,MONTH(EDATE($E9,BN$1-1)))/100))),"")</f>
        <v/>
      </c>
    </row>
    <row r="10" spans="1:66" x14ac:dyDescent="0.4">
      <c r="A10" t="str">
        <f>세팅!A11</f>
        <v>(0009) 신원점</v>
      </c>
      <c r="B10" t="str">
        <f>세팅!B11</f>
        <v>150-0</v>
      </c>
      <c r="C10">
        <f t="shared" si="0"/>
        <v>0</v>
      </c>
      <c r="D10" t="str">
        <f t="shared" si="1"/>
        <v>0</v>
      </c>
      <c r="E10" s="1">
        <f>세팅!D11</f>
        <v>43800</v>
      </c>
      <c r="F10" t="str">
        <f t="shared" si="2"/>
        <v/>
      </c>
      <c r="G10" t="str" cm="1">
        <f t="array" ref="G10">IFERROR(IF($E10&lt;44348,"",IF(INDEX(Raw_매출!$B$2:$BI$155,MATCH($A10,Raw_매출!$A$2:$A$155,0),MATCH(EDATE($E10,G$1-1),Raw_매출!$B$1:$BI$1,0))=0,"",INDEX(Raw_매출!$B$2:$BI$155,MATCH($A10,Raw_매출!$A$2:$A$155,0),MATCH(EDATE($E10,G$1-1),Raw_매출!$B$1:$BI$1,0))/(INDEX(요약_월별시즈널리티!$F$7:$F$18,MONTH(EDATE($E10,G$1-1)))/100))),"")</f>
        <v/>
      </c>
      <c r="H10" t="str" cm="1">
        <f t="array" ref="H10">IFERROR(IF($E10&lt;44348,"",IF(INDEX(Raw_매출!$B$2:$BI$155,MATCH($A10,Raw_매출!$A$2:$A$155,0),MATCH(EDATE($E10,H$1-1),Raw_매출!$B$1:$BI$1,0))=0,"",INDEX(Raw_매출!$B$2:$BI$155,MATCH($A10,Raw_매출!$A$2:$A$155,0),MATCH(EDATE($E10,H$1-1),Raw_매출!$B$1:$BI$1,0))/(INDEX(요약_월별시즈널리티!$F$7:$F$18,MONTH(EDATE($E10,H$1-1)))/100))),"")</f>
        <v/>
      </c>
      <c r="I10" t="str" cm="1">
        <f t="array" ref="I10">IFERROR(IF($E10&lt;44348,"",IF(INDEX(Raw_매출!$B$2:$BI$155,MATCH($A10,Raw_매출!$A$2:$A$155,0),MATCH(EDATE($E10,I$1-1),Raw_매출!$B$1:$BI$1,0))=0,"",INDEX(Raw_매출!$B$2:$BI$155,MATCH($A10,Raw_매출!$A$2:$A$155,0),MATCH(EDATE($E10,I$1-1),Raw_매출!$B$1:$BI$1,0))/(INDEX(요약_월별시즈널리티!$F$7:$F$18,MONTH(EDATE($E10,I$1-1)))/100))),"")</f>
        <v/>
      </c>
      <c r="J10" s="30" t="str" cm="1">
        <f t="array" ref="J10">IFERROR(IF($E10&lt;44348,"",IF(INDEX(Raw_매출!$B$2:$BI$155,MATCH($A10,Raw_매출!$A$2:$A$155,0),MATCH(EDATE($E10,J$1-1),Raw_매출!$B$1:$BI$1,0))=0,"",INDEX(Raw_매출!$B$2:$BI$155,MATCH($A10,Raw_매출!$A$2:$A$155,0),MATCH(EDATE($E10,J$1-1),Raw_매출!$B$1:$BI$1,0))/(INDEX(요약_월별시즈널리티!$F$7:$F$18,MONTH(EDATE($E10,J$1-1)))/100))),"")</f>
        <v/>
      </c>
      <c r="K10" s="30" t="str" cm="1">
        <f t="array" ref="K10">IFERROR(IF($E10&lt;44348,"",IF(INDEX(Raw_매출!$B$2:$BI$155,MATCH($A10,Raw_매출!$A$2:$A$155,0),MATCH(EDATE($E10,K$1-1),Raw_매출!$B$1:$BI$1,0))=0,"",INDEX(Raw_매출!$B$2:$BI$155,MATCH($A10,Raw_매출!$A$2:$A$155,0),MATCH(EDATE($E10,K$1-1),Raw_매출!$B$1:$BI$1,0))/(INDEX(요약_월별시즈널리티!$F$7:$F$18,MONTH(EDATE($E10,K$1-1)))/100))),"")</f>
        <v/>
      </c>
      <c r="L10" s="30" t="str" cm="1">
        <f t="array" ref="L10">IFERROR(IF($E10&lt;44348,"",IF(INDEX(Raw_매출!$B$2:$BI$155,MATCH($A10,Raw_매출!$A$2:$A$155,0),MATCH(EDATE($E10,L$1-1),Raw_매출!$B$1:$BI$1,0))=0,"",INDEX(Raw_매출!$B$2:$BI$155,MATCH($A10,Raw_매출!$A$2:$A$155,0),MATCH(EDATE($E10,L$1-1),Raw_매출!$B$1:$BI$1,0))/(INDEX(요약_월별시즈널리티!$F$7:$F$18,MONTH(EDATE($E10,L$1-1)))/100))),"")</f>
        <v/>
      </c>
      <c r="M10" s="30" t="str" cm="1">
        <f t="array" ref="M10">IFERROR(IF($E10&lt;44348,"",IF(INDEX(Raw_매출!$B$2:$BI$155,MATCH($A10,Raw_매출!$A$2:$A$155,0),MATCH(EDATE($E10,M$1-1),Raw_매출!$B$1:$BI$1,0))=0,"",INDEX(Raw_매출!$B$2:$BI$155,MATCH($A10,Raw_매출!$A$2:$A$155,0),MATCH(EDATE($E10,M$1-1),Raw_매출!$B$1:$BI$1,0))/(INDEX(요약_월별시즈널리티!$F$7:$F$18,MONTH(EDATE($E10,M$1-1)))/100))),"")</f>
        <v/>
      </c>
      <c r="N10" s="30" t="str" cm="1">
        <f t="array" ref="N10">IFERROR(IF($E10&lt;44348,"",IF(INDEX(Raw_매출!$B$2:$BI$155,MATCH($A10,Raw_매출!$A$2:$A$155,0),MATCH(EDATE($E10,N$1-1),Raw_매출!$B$1:$BI$1,0))=0,"",INDEX(Raw_매출!$B$2:$BI$155,MATCH($A10,Raw_매출!$A$2:$A$155,0),MATCH(EDATE($E10,N$1-1),Raw_매출!$B$1:$BI$1,0))/(INDEX(요약_월별시즈널리티!$F$7:$F$18,MONTH(EDATE($E10,N$1-1)))/100))),"")</f>
        <v/>
      </c>
      <c r="O10" s="30" t="str" cm="1">
        <f t="array" ref="O10">IFERROR(IF($E10&lt;44348,"",IF(INDEX(Raw_매출!$B$2:$BI$155,MATCH($A10,Raw_매출!$A$2:$A$155,0),MATCH(EDATE($E10,O$1-1),Raw_매출!$B$1:$BI$1,0))=0,"",INDEX(Raw_매출!$B$2:$BI$155,MATCH($A10,Raw_매출!$A$2:$A$155,0),MATCH(EDATE($E10,O$1-1),Raw_매출!$B$1:$BI$1,0))/(INDEX(요약_월별시즈널리티!$F$7:$F$18,MONTH(EDATE($E10,O$1-1)))/100))),"")</f>
        <v/>
      </c>
      <c r="P10" t="str" cm="1">
        <f t="array" ref="P10">IFERROR(IF($E10&lt;44348,"",IF(INDEX(Raw_매출!$B$2:$BI$155,MATCH($A10,Raw_매출!$A$2:$A$155,0),MATCH(EDATE($E10,P$1-1),Raw_매출!$B$1:$BI$1,0))=0,"",INDEX(Raw_매출!$B$2:$BI$155,MATCH($A10,Raw_매출!$A$2:$A$155,0),MATCH(EDATE($E10,P$1-1),Raw_매출!$B$1:$BI$1,0))/(INDEX(요약_월별시즈널리티!$F$7:$F$18,MONTH(EDATE($E10,P$1-1)))/100))),"")</f>
        <v/>
      </c>
      <c r="Q10" t="str" cm="1">
        <f t="array" ref="Q10">IFERROR(IF($E10&lt;44348,"",IF(INDEX(Raw_매출!$B$2:$BI$155,MATCH($A10,Raw_매출!$A$2:$A$155,0),MATCH(EDATE($E10,Q$1-1),Raw_매출!$B$1:$BI$1,0))=0,"",INDEX(Raw_매출!$B$2:$BI$155,MATCH($A10,Raw_매출!$A$2:$A$155,0),MATCH(EDATE($E10,Q$1-1),Raw_매출!$B$1:$BI$1,0))/(INDEX(요약_월별시즈널리티!$F$7:$F$18,MONTH(EDATE($E10,Q$1-1)))/100))),"")</f>
        <v/>
      </c>
      <c r="R10" t="str" cm="1">
        <f t="array" ref="R10">IFERROR(IF($E10&lt;44348,"",IF(INDEX(Raw_매출!$B$2:$BI$155,MATCH($A10,Raw_매출!$A$2:$A$155,0),MATCH(EDATE($E10,R$1-1),Raw_매출!$B$1:$BI$1,0))=0,"",INDEX(Raw_매출!$B$2:$BI$155,MATCH($A10,Raw_매출!$A$2:$A$155,0),MATCH(EDATE($E10,R$1-1),Raw_매출!$B$1:$BI$1,0))/(INDEX(요약_월별시즈널리티!$F$7:$F$18,MONTH(EDATE($E10,R$1-1)))/100))),"")</f>
        <v/>
      </c>
      <c r="S10" t="str" cm="1">
        <f t="array" ref="S10">IFERROR(IF($E10&lt;44348,"",IF(INDEX(Raw_매출!$B$2:$BI$155,MATCH($A10,Raw_매출!$A$2:$A$155,0),MATCH(EDATE($E10,S$1-1),Raw_매출!$B$1:$BI$1,0))=0,"",INDEX(Raw_매출!$B$2:$BI$155,MATCH($A10,Raw_매출!$A$2:$A$155,0),MATCH(EDATE($E10,S$1-1),Raw_매출!$B$1:$BI$1,0))/(INDEX(요약_월별시즈널리티!$F$7:$F$18,MONTH(EDATE($E10,S$1-1)))/100))),"")</f>
        <v/>
      </c>
      <c r="T10" t="str" cm="1">
        <f t="array" ref="T10">IFERROR(IF($E10&lt;44348,"",IF(INDEX(Raw_매출!$B$2:$BI$155,MATCH($A10,Raw_매출!$A$2:$A$155,0),MATCH(EDATE($E10,T$1-1),Raw_매출!$B$1:$BI$1,0))=0,"",INDEX(Raw_매출!$B$2:$BI$155,MATCH($A10,Raw_매출!$A$2:$A$155,0),MATCH(EDATE($E10,T$1-1),Raw_매출!$B$1:$BI$1,0))/(INDEX(요약_월별시즈널리티!$F$7:$F$18,MONTH(EDATE($E10,T$1-1)))/100))),"")</f>
        <v/>
      </c>
      <c r="U10" t="str" cm="1">
        <f t="array" ref="U10">IFERROR(IF($E10&lt;44348,"",IF(INDEX(Raw_매출!$B$2:$BI$155,MATCH($A10,Raw_매출!$A$2:$A$155,0),MATCH(EDATE($E10,U$1-1),Raw_매출!$B$1:$BI$1,0))=0,"",INDEX(Raw_매출!$B$2:$BI$155,MATCH($A10,Raw_매출!$A$2:$A$155,0),MATCH(EDATE($E10,U$1-1),Raw_매출!$B$1:$BI$1,0))/(INDEX(요약_월별시즈널리티!$F$7:$F$18,MONTH(EDATE($E10,U$1-1)))/100))),"")</f>
        <v/>
      </c>
      <c r="V10" t="str" cm="1">
        <f t="array" ref="V10">IFERROR(IF($E10&lt;44348,"",IF(INDEX(Raw_매출!$B$2:$BI$155,MATCH($A10,Raw_매출!$A$2:$A$155,0),MATCH(EDATE($E10,V$1-1),Raw_매출!$B$1:$BI$1,0))=0,"",INDEX(Raw_매출!$B$2:$BI$155,MATCH($A10,Raw_매출!$A$2:$A$155,0),MATCH(EDATE($E10,V$1-1),Raw_매출!$B$1:$BI$1,0))/(INDEX(요약_월별시즈널리티!$F$7:$F$18,MONTH(EDATE($E10,V$1-1)))/100))),"")</f>
        <v/>
      </c>
      <c r="W10" t="str" cm="1">
        <f t="array" ref="W10">IFERROR(IF($E10&lt;44348,"",IF(INDEX(Raw_매출!$B$2:$BI$155,MATCH($A10,Raw_매출!$A$2:$A$155,0),MATCH(EDATE($E10,W$1-1),Raw_매출!$B$1:$BI$1,0))=0,"",INDEX(Raw_매출!$B$2:$BI$155,MATCH($A10,Raw_매출!$A$2:$A$155,0),MATCH(EDATE($E10,W$1-1),Raw_매출!$B$1:$BI$1,0))/(INDEX(요약_월별시즈널리티!$F$7:$F$18,MONTH(EDATE($E10,W$1-1)))/100))),"")</f>
        <v/>
      </c>
      <c r="X10" t="str" cm="1">
        <f t="array" ref="X10">IFERROR(IF($E10&lt;44348,"",IF(INDEX(Raw_매출!$B$2:$BI$155,MATCH($A10,Raw_매출!$A$2:$A$155,0),MATCH(EDATE($E10,X$1-1),Raw_매출!$B$1:$BI$1,0))=0,"",INDEX(Raw_매출!$B$2:$BI$155,MATCH($A10,Raw_매출!$A$2:$A$155,0),MATCH(EDATE($E10,X$1-1),Raw_매출!$B$1:$BI$1,0))/(INDEX(요약_월별시즈널리티!$F$7:$F$18,MONTH(EDATE($E10,X$1-1)))/100))),"")</f>
        <v/>
      </c>
      <c r="Y10" t="str" cm="1">
        <f t="array" ref="Y10">IFERROR(IF($E10&lt;44348,"",IF(INDEX(Raw_매출!$B$2:$BI$155,MATCH($A10,Raw_매출!$A$2:$A$155,0),MATCH(EDATE($E10,Y$1-1),Raw_매출!$B$1:$BI$1,0))=0,"",INDEX(Raw_매출!$B$2:$BI$155,MATCH($A10,Raw_매출!$A$2:$A$155,0),MATCH(EDATE($E10,Y$1-1),Raw_매출!$B$1:$BI$1,0))/(INDEX(요약_월별시즈널리티!$F$7:$F$18,MONTH(EDATE($E10,Y$1-1)))/100))),"")</f>
        <v/>
      </c>
      <c r="Z10" t="str" cm="1">
        <f t="array" ref="Z10">IFERROR(IF($E10&lt;44348,"",IF(INDEX(Raw_매출!$B$2:$BI$155,MATCH($A10,Raw_매출!$A$2:$A$155,0),MATCH(EDATE($E10,Z$1-1),Raw_매출!$B$1:$BI$1,0))=0,"",INDEX(Raw_매출!$B$2:$BI$155,MATCH($A10,Raw_매출!$A$2:$A$155,0),MATCH(EDATE($E10,Z$1-1),Raw_매출!$B$1:$BI$1,0))/(INDEX(요약_월별시즈널리티!$F$7:$F$18,MONTH(EDATE($E10,Z$1-1)))/100))),"")</f>
        <v/>
      </c>
      <c r="AA10" t="str" cm="1">
        <f t="array" ref="AA10">IFERROR(IF($E10&lt;44348,"",IF(INDEX(Raw_매출!$B$2:$BI$155,MATCH($A10,Raw_매출!$A$2:$A$155,0),MATCH(EDATE($E10,AA$1-1),Raw_매출!$B$1:$BI$1,0))=0,"",INDEX(Raw_매출!$B$2:$BI$155,MATCH($A10,Raw_매출!$A$2:$A$155,0),MATCH(EDATE($E10,AA$1-1),Raw_매출!$B$1:$BI$1,0))/(INDEX(요약_월별시즈널리티!$F$7:$F$18,MONTH(EDATE($E10,AA$1-1)))/100))),"")</f>
        <v/>
      </c>
      <c r="AB10" t="str" cm="1">
        <f t="array" ref="AB10">IFERROR(IF($E10&lt;44348,"",IF(INDEX(Raw_매출!$B$2:$BI$155,MATCH($A10,Raw_매출!$A$2:$A$155,0),MATCH(EDATE($E10,AB$1-1),Raw_매출!$B$1:$BI$1,0))=0,"",INDEX(Raw_매출!$B$2:$BI$155,MATCH($A10,Raw_매출!$A$2:$A$155,0),MATCH(EDATE($E10,AB$1-1),Raw_매출!$B$1:$BI$1,0))/(INDEX(요약_월별시즈널리티!$F$7:$F$18,MONTH(EDATE($E10,AB$1-1)))/100))),"")</f>
        <v/>
      </c>
      <c r="AC10" t="str" cm="1">
        <f t="array" ref="AC10">IFERROR(IF($E10&lt;44348,"",IF(INDEX(Raw_매출!$B$2:$BI$155,MATCH($A10,Raw_매출!$A$2:$A$155,0),MATCH(EDATE($E10,AC$1-1),Raw_매출!$B$1:$BI$1,0))=0,"",INDEX(Raw_매출!$B$2:$BI$155,MATCH($A10,Raw_매출!$A$2:$A$155,0),MATCH(EDATE($E10,AC$1-1),Raw_매출!$B$1:$BI$1,0))/(INDEX(요약_월별시즈널리티!$F$7:$F$18,MONTH(EDATE($E10,AC$1-1)))/100))),"")</f>
        <v/>
      </c>
      <c r="AD10" t="str" cm="1">
        <f t="array" ref="AD10">IFERROR(IF($E10&lt;44348,"",IF(INDEX(Raw_매출!$B$2:$BI$155,MATCH($A10,Raw_매출!$A$2:$A$155,0),MATCH(EDATE($E10,AD$1-1),Raw_매출!$B$1:$BI$1,0))=0,"",INDEX(Raw_매출!$B$2:$BI$155,MATCH($A10,Raw_매출!$A$2:$A$155,0),MATCH(EDATE($E10,AD$1-1),Raw_매출!$B$1:$BI$1,0))/(INDEX(요약_월별시즈널리티!$F$7:$F$18,MONTH(EDATE($E10,AD$1-1)))/100))),"")</f>
        <v/>
      </c>
      <c r="AE10" t="str" cm="1">
        <f t="array" ref="AE10">IFERROR(IF($E10&lt;44348,"",IF(INDEX(Raw_매출!$B$2:$BI$155,MATCH($A10,Raw_매출!$A$2:$A$155,0),MATCH(EDATE($E10,AE$1-1),Raw_매출!$B$1:$BI$1,0))=0,"",INDEX(Raw_매출!$B$2:$BI$155,MATCH($A10,Raw_매출!$A$2:$A$155,0),MATCH(EDATE($E10,AE$1-1),Raw_매출!$B$1:$BI$1,0))/(INDEX(요약_월별시즈널리티!$F$7:$F$18,MONTH(EDATE($E10,AE$1-1)))/100))),"")</f>
        <v/>
      </c>
      <c r="AF10" t="str" cm="1">
        <f t="array" ref="AF10">IFERROR(IF($E10&lt;44348,"",IF(INDEX(Raw_매출!$B$2:$BI$155,MATCH($A10,Raw_매출!$A$2:$A$155,0),MATCH(EDATE($E10,AF$1-1),Raw_매출!$B$1:$BI$1,0))=0,"",INDEX(Raw_매출!$B$2:$BI$155,MATCH($A10,Raw_매출!$A$2:$A$155,0),MATCH(EDATE($E10,AF$1-1),Raw_매출!$B$1:$BI$1,0))/(INDEX(요약_월별시즈널리티!$F$7:$F$18,MONTH(EDATE($E10,AF$1-1)))/100))),"")</f>
        <v/>
      </c>
      <c r="AG10" t="str" cm="1">
        <f t="array" ref="AG10">IFERROR(IF($E10&lt;44348,"",IF(INDEX(Raw_매출!$B$2:$BI$155,MATCH($A10,Raw_매출!$A$2:$A$155,0),MATCH(EDATE($E10,AG$1-1),Raw_매출!$B$1:$BI$1,0))=0,"",INDEX(Raw_매출!$B$2:$BI$155,MATCH($A10,Raw_매출!$A$2:$A$155,0),MATCH(EDATE($E10,AG$1-1),Raw_매출!$B$1:$BI$1,0))/(INDEX(요약_월별시즈널리티!$F$7:$F$18,MONTH(EDATE($E10,AG$1-1)))/100))),"")</f>
        <v/>
      </c>
      <c r="AH10" t="str" cm="1">
        <f t="array" ref="AH10">IFERROR(IF($E10&lt;44348,"",IF(INDEX(Raw_매출!$B$2:$BI$155,MATCH($A10,Raw_매출!$A$2:$A$155,0),MATCH(EDATE($E10,AH$1-1),Raw_매출!$B$1:$BI$1,0))=0,"",INDEX(Raw_매출!$B$2:$BI$155,MATCH($A10,Raw_매출!$A$2:$A$155,0),MATCH(EDATE($E10,AH$1-1),Raw_매출!$B$1:$BI$1,0))/(INDEX(요약_월별시즈널리티!$F$7:$F$18,MONTH(EDATE($E10,AH$1-1)))/100))),"")</f>
        <v/>
      </c>
      <c r="AI10" t="str" cm="1">
        <f t="array" ref="AI10">IFERROR(IF($E10&lt;44348,"",IF(INDEX(Raw_매출!$B$2:$BI$155,MATCH($A10,Raw_매출!$A$2:$A$155,0),MATCH(EDATE($E10,AI$1-1),Raw_매출!$B$1:$BI$1,0))=0,"",INDEX(Raw_매출!$B$2:$BI$155,MATCH($A10,Raw_매출!$A$2:$A$155,0),MATCH(EDATE($E10,AI$1-1),Raw_매출!$B$1:$BI$1,0))/(INDEX(요약_월별시즈널리티!$F$7:$F$18,MONTH(EDATE($E10,AI$1-1)))/100))),"")</f>
        <v/>
      </c>
      <c r="AJ10" t="str" cm="1">
        <f t="array" ref="AJ10">IFERROR(IF($E10&lt;44348,"",IF(INDEX(Raw_매출!$B$2:$BI$155,MATCH($A10,Raw_매출!$A$2:$A$155,0),MATCH(EDATE($E10,AJ$1-1),Raw_매출!$B$1:$BI$1,0))=0,"",INDEX(Raw_매출!$B$2:$BI$155,MATCH($A10,Raw_매출!$A$2:$A$155,0),MATCH(EDATE($E10,AJ$1-1),Raw_매출!$B$1:$BI$1,0))/(INDEX(요약_월별시즈널리티!$F$7:$F$18,MONTH(EDATE($E10,AJ$1-1)))/100))),"")</f>
        <v/>
      </c>
      <c r="AK10" t="str" cm="1">
        <f t="array" ref="AK10">IFERROR(IF($E10&lt;44348,"",IF(INDEX(Raw_매출!$B$2:$BI$155,MATCH($A10,Raw_매출!$A$2:$A$155,0),MATCH(EDATE($E10,AK$1-1),Raw_매출!$B$1:$BI$1,0))=0,"",INDEX(Raw_매출!$B$2:$BI$155,MATCH($A10,Raw_매출!$A$2:$A$155,0),MATCH(EDATE($E10,AK$1-1),Raw_매출!$B$1:$BI$1,0))/(INDEX(요약_월별시즈널리티!$F$7:$F$18,MONTH(EDATE($E10,AK$1-1)))/100))),"")</f>
        <v/>
      </c>
      <c r="AL10" t="str" cm="1">
        <f t="array" ref="AL10">IFERROR(IF($E10&lt;44348,"",IF(INDEX(Raw_매출!$B$2:$BI$155,MATCH($A10,Raw_매출!$A$2:$A$155,0),MATCH(EDATE($E10,AL$1-1),Raw_매출!$B$1:$BI$1,0))=0,"",INDEX(Raw_매출!$B$2:$BI$155,MATCH($A10,Raw_매출!$A$2:$A$155,0),MATCH(EDATE($E10,AL$1-1),Raw_매출!$B$1:$BI$1,0))/(INDEX(요약_월별시즈널리티!$F$7:$F$18,MONTH(EDATE($E10,AL$1-1)))/100))),"")</f>
        <v/>
      </c>
      <c r="AM10" t="str" cm="1">
        <f t="array" ref="AM10">IFERROR(IF($E10&lt;44348,"",IF(INDEX(Raw_매출!$B$2:$BI$155,MATCH($A10,Raw_매출!$A$2:$A$155,0),MATCH(EDATE($E10,AM$1-1),Raw_매출!$B$1:$BI$1,0))=0,"",INDEX(Raw_매출!$B$2:$BI$155,MATCH($A10,Raw_매출!$A$2:$A$155,0),MATCH(EDATE($E10,AM$1-1),Raw_매출!$B$1:$BI$1,0))/(INDEX(요약_월별시즈널리티!$F$7:$F$18,MONTH(EDATE($E10,AM$1-1)))/100))),"")</f>
        <v/>
      </c>
      <c r="AN10" t="str" cm="1">
        <f t="array" ref="AN10">IFERROR(IF($E10&lt;44348,"",IF(INDEX(Raw_매출!$B$2:$BI$155,MATCH($A10,Raw_매출!$A$2:$A$155,0),MATCH(EDATE($E10,AN$1-1),Raw_매출!$B$1:$BI$1,0))=0,"",INDEX(Raw_매출!$B$2:$BI$155,MATCH($A10,Raw_매출!$A$2:$A$155,0),MATCH(EDATE($E10,AN$1-1),Raw_매출!$B$1:$BI$1,0))/(INDEX(요약_월별시즈널리티!$F$7:$F$18,MONTH(EDATE($E10,AN$1-1)))/100))),"")</f>
        <v/>
      </c>
      <c r="AO10" t="str" cm="1">
        <f t="array" ref="AO10">IFERROR(IF($E10&lt;44348,"",IF(INDEX(Raw_매출!$B$2:$BI$155,MATCH($A10,Raw_매출!$A$2:$A$155,0),MATCH(EDATE($E10,AO$1-1),Raw_매출!$B$1:$BI$1,0))=0,"",INDEX(Raw_매출!$B$2:$BI$155,MATCH($A10,Raw_매출!$A$2:$A$155,0),MATCH(EDATE($E10,AO$1-1),Raw_매출!$B$1:$BI$1,0))/(INDEX(요약_월별시즈널리티!$F$7:$F$18,MONTH(EDATE($E10,AO$1-1)))/100))),"")</f>
        <v/>
      </c>
      <c r="AP10" t="str" cm="1">
        <f t="array" ref="AP10">IFERROR(IF($E10&lt;44348,"",IF(INDEX(Raw_매출!$B$2:$BI$155,MATCH($A10,Raw_매출!$A$2:$A$155,0),MATCH(EDATE($E10,AP$1-1),Raw_매출!$B$1:$BI$1,0))=0,"",INDEX(Raw_매출!$B$2:$BI$155,MATCH($A10,Raw_매출!$A$2:$A$155,0),MATCH(EDATE($E10,AP$1-1),Raw_매출!$B$1:$BI$1,0))/(INDEX(요약_월별시즈널리티!$F$7:$F$18,MONTH(EDATE($E10,AP$1-1)))/100))),"")</f>
        <v/>
      </c>
      <c r="AQ10" t="str" cm="1">
        <f t="array" ref="AQ10">IFERROR(IF($E10&lt;44348,"",IF(INDEX(Raw_매출!$B$2:$BI$155,MATCH($A10,Raw_매출!$A$2:$A$155,0),MATCH(EDATE($E10,AQ$1-1),Raw_매출!$B$1:$BI$1,0))=0,"",INDEX(Raw_매출!$B$2:$BI$155,MATCH($A10,Raw_매출!$A$2:$A$155,0),MATCH(EDATE($E10,AQ$1-1),Raw_매출!$B$1:$BI$1,0))/(INDEX(요약_월별시즈널리티!$F$7:$F$18,MONTH(EDATE($E10,AQ$1-1)))/100))),"")</f>
        <v/>
      </c>
      <c r="AR10" t="str" cm="1">
        <f t="array" ref="AR10">IFERROR(IF($E10&lt;44348,"",IF(INDEX(Raw_매출!$B$2:$BI$155,MATCH($A10,Raw_매출!$A$2:$A$155,0),MATCH(EDATE($E10,AR$1-1),Raw_매출!$B$1:$BI$1,0))=0,"",INDEX(Raw_매출!$B$2:$BI$155,MATCH($A10,Raw_매출!$A$2:$A$155,0),MATCH(EDATE($E10,AR$1-1),Raw_매출!$B$1:$BI$1,0))/(INDEX(요약_월별시즈널리티!$F$7:$F$18,MONTH(EDATE($E10,AR$1-1)))/100))),"")</f>
        <v/>
      </c>
      <c r="AS10" t="str" cm="1">
        <f t="array" ref="AS10">IFERROR(IF($E10&lt;44348,"",IF(INDEX(Raw_매출!$B$2:$BI$155,MATCH($A10,Raw_매출!$A$2:$A$155,0),MATCH(EDATE($E10,AS$1-1),Raw_매출!$B$1:$BI$1,0))=0,"",INDEX(Raw_매출!$B$2:$BI$155,MATCH($A10,Raw_매출!$A$2:$A$155,0),MATCH(EDATE($E10,AS$1-1),Raw_매출!$B$1:$BI$1,0))/(INDEX(요약_월별시즈널리티!$F$7:$F$18,MONTH(EDATE($E10,AS$1-1)))/100))),"")</f>
        <v/>
      </c>
      <c r="AT10" t="str" cm="1">
        <f t="array" ref="AT10">IFERROR(IF($E10&lt;44348,"",IF(INDEX(Raw_매출!$B$2:$BI$155,MATCH($A10,Raw_매출!$A$2:$A$155,0),MATCH(EDATE($E10,AT$1-1),Raw_매출!$B$1:$BI$1,0))=0,"",INDEX(Raw_매출!$B$2:$BI$155,MATCH($A10,Raw_매출!$A$2:$A$155,0),MATCH(EDATE($E10,AT$1-1),Raw_매출!$B$1:$BI$1,0))/(INDEX(요약_월별시즈널리티!$F$7:$F$18,MONTH(EDATE($E10,AT$1-1)))/100))),"")</f>
        <v/>
      </c>
      <c r="AU10" t="str" cm="1">
        <f t="array" ref="AU10">IFERROR(IF($E10&lt;44348,"",IF(INDEX(Raw_매출!$B$2:$BI$155,MATCH($A10,Raw_매출!$A$2:$A$155,0),MATCH(EDATE($E10,AU$1-1),Raw_매출!$B$1:$BI$1,0))=0,"",INDEX(Raw_매출!$B$2:$BI$155,MATCH($A10,Raw_매출!$A$2:$A$155,0),MATCH(EDATE($E10,AU$1-1),Raw_매출!$B$1:$BI$1,0))/(INDEX(요약_월별시즈널리티!$F$7:$F$18,MONTH(EDATE($E10,AU$1-1)))/100))),"")</f>
        <v/>
      </c>
      <c r="AV10" t="str" cm="1">
        <f t="array" ref="AV10">IFERROR(IF($E10&lt;44348,"",IF(INDEX(Raw_매출!$B$2:$BI$155,MATCH($A10,Raw_매출!$A$2:$A$155,0),MATCH(EDATE($E10,AV$1-1),Raw_매출!$B$1:$BI$1,0))=0,"",INDEX(Raw_매출!$B$2:$BI$155,MATCH($A10,Raw_매출!$A$2:$A$155,0),MATCH(EDATE($E10,AV$1-1),Raw_매출!$B$1:$BI$1,0))/(INDEX(요약_월별시즈널리티!$F$7:$F$18,MONTH(EDATE($E10,AV$1-1)))/100))),"")</f>
        <v/>
      </c>
      <c r="AW10" t="str" cm="1">
        <f t="array" ref="AW10">IFERROR(IF($E10&lt;44348,"",IF(INDEX(Raw_매출!$B$2:$BI$155,MATCH($A10,Raw_매출!$A$2:$A$155,0),MATCH(EDATE($E10,AW$1-1),Raw_매출!$B$1:$BI$1,0))=0,"",INDEX(Raw_매출!$B$2:$BI$155,MATCH($A10,Raw_매출!$A$2:$A$155,0),MATCH(EDATE($E10,AW$1-1),Raw_매출!$B$1:$BI$1,0))/(INDEX(요약_월별시즈널리티!$F$7:$F$18,MONTH(EDATE($E10,AW$1-1)))/100))),"")</f>
        <v/>
      </c>
      <c r="AX10" t="str" cm="1">
        <f t="array" ref="AX10">IFERROR(IF($E10&lt;44348,"",IF(INDEX(Raw_매출!$B$2:$BI$155,MATCH($A10,Raw_매출!$A$2:$A$155,0),MATCH(EDATE($E10,AX$1-1),Raw_매출!$B$1:$BI$1,0))=0,"",INDEX(Raw_매출!$B$2:$BI$155,MATCH($A10,Raw_매출!$A$2:$A$155,0),MATCH(EDATE($E10,AX$1-1),Raw_매출!$B$1:$BI$1,0))/(INDEX(요약_월별시즈널리티!$F$7:$F$18,MONTH(EDATE($E10,AX$1-1)))/100))),"")</f>
        <v/>
      </c>
      <c r="AY10" t="str" cm="1">
        <f t="array" ref="AY10">IFERROR(IF($E10&lt;44348,"",IF(INDEX(Raw_매출!$B$2:$BI$155,MATCH($A10,Raw_매출!$A$2:$A$155,0),MATCH(EDATE($E10,AY$1-1),Raw_매출!$B$1:$BI$1,0))=0,"",INDEX(Raw_매출!$B$2:$BI$155,MATCH($A10,Raw_매출!$A$2:$A$155,0),MATCH(EDATE($E10,AY$1-1),Raw_매출!$B$1:$BI$1,0))/(INDEX(요약_월별시즈널리티!$F$7:$F$18,MONTH(EDATE($E10,AY$1-1)))/100))),"")</f>
        <v/>
      </c>
      <c r="AZ10" t="str" cm="1">
        <f t="array" ref="AZ10">IFERROR(IF($E10&lt;44348,"",IF(INDEX(Raw_매출!$B$2:$BI$155,MATCH($A10,Raw_매출!$A$2:$A$155,0),MATCH(EDATE($E10,AZ$1-1),Raw_매출!$B$1:$BI$1,0))=0,"",INDEX(Raw_매출!$B$2:$BI$155,MATCH($A10,Raw_매출!$A$2:$A$155,0),MATCH(EDATE($E10,AZ$1-1),Raw_매출!$B$1:$BI$1,0))/(INDEX(요약_월별시즈널리티!$F$7:$F$18,MONTH(EDATE($E10,AZ$1-1)))/100))),"")</f>
        <v/>
      </c>
      <c r="BA10" t="str" cm="1">
        <f t="array" ref="BA10">IFERROR(IF($E10&lt;44348,"",IF(INDEX(Raw_매출!$B$2:$BI$155,MATCH($A10,Raw_매출!$A$2:$A$155,0),MATCH(EDATE($E10,BA$1-1),Raw_매출!$B$1:$BI$1,0))=0,"",INDEX(Raw_매출!$B$2:$BI$155,MATCH($A10,Raw_매출!$A$2:$A$155,0),MATCH(EDATE($E10,BA$1-1),Raw_매출!$B$1:$BI$1,0))/(INDEX(요약_월별시즈널리티!$F$7:$F$18,MONTH(EDATE($E10,BA$1-1)))/100))),"")</f>
        <v/>
      </c>
      <c r="BB10" t="str" cm="1">
        <f t="array" ref="BB10">IFERROR(IF($E10&lt;44348,"",IF(INDEX(Raw_매출!$B$2:$BI$155,MATCH($A10,Raw_매출!$A$2:$A$155,0),MATCH(EDATE($E10,BB$1-1),Raw_매출!$B$1:$BI$1,0))=0,"",INDEX(Raw_매출!$B$2:$BI$155,MATCH($A10,Raw_매출!$A$2:$A$155,0),MATCH(EDATE($E10,BB$1-1),Raw_매출!$B$1:$BI$1,0))/(INDEX(요약_월별시즈널리티!$F$7:$F$18,MONTH(EDATE($E10,BB$1-1)))/100))),"")</f>
        <v/>
      </c>
      <c r="BC10" t="str" cm="1">
        <f t="array" ref="BC10">IFERROR(IF($E10&lt;44348,"",IF(INDEX(Raw_매출!$B$2:$BI$155,MATCH($A10,Raw_매출!$A$2:$A$155,0),MATCH(EDATE($E10,BC$1-1),Raw_매출!$B$1:$BI$1,0))=0,"",INDEX(Raw_매출!$B$2:$BI$155,MATCH($A10,Raw_매출!$A$2:$A$155,0),MATCH(EDATE($E10,BC$1-1),Raw_매출!$B$1:$BI$1,0))/(INDEX(요약_월별시즈널리티!$F$7:$F$18,MONTH(EDATE($E10,BC$1-1)))/100))),"")</f>
        <v/>
      </c>
      <c r="BD10" t="str" cm="1">
        <f t="array" ref="BD10">IFERROR(IF($E10&lt;44348,"",IF(INDEX(Raw_매출!$B$2:$BI$155,MATCH($A10,Raw_매출!$A$2:$A$155,0),MATCH(EDATE($E10,BD$1-1),Raw_매출!$B$1:$BI$1,0))=0,"",INDEX(Raw_매출!$B$2:$BI$155,MATCH($A10,Raw_매출!$A$2:$A$155,0),MATCH(EDATE($E10,BD$1-1),Raw_매출!$B$1:$BI$1,0))/(INDEX(요약_월별시즈널리티!$F$7:$F$18,MONTH(EDATE($E10,BD$1-1)))/100))),"")</f>
        <v/>
      </c>
      <c r="BE10" t="str" cm="1">
        <f t="array" ref="BE10">IFERROR(IF($E10&lt;44348,"",IF(INDEX(Raw_매출!$B$2:$BI$155,MATCH($A10,Raw_매출!$A$2:$A$155,0),MATCH(EDATE($E10,BE$1-1),Raw_매출!$B$1:$BI$1,0))=0,"",INDEX(Raw_매출!$B$2:$BI$155,MATCH($A10,Raw_매출!$A$2:$A$155,0),MATCH(EDATE($E10,BE$1-1),Raw_매출!$B$1:$BI$1,0))/(INDEX(요약_월별시즈널리티!$F$7:$F$18,MONTH(EDATE($E10,BE$1-1)))/100))),"")</f>
        <v/>
      </c>
      <c r="BF10" t="str" cm="1">
        <f t="array" ref="BF10">IFERROR(IF($E10&lt;44348,"",IF(INDEX(Raw_매출!$B$2:$BI$155,MATCH($A10,Raw_매출!$A$2:$A$155,0),MATCH(EDATE($E10,BF$1-1),Raw_매출!$B$1:$BI$1,0))=0,"",INDEX(Raw_매출!$B$2:$BI$155,MATCH($A10,Raw_매출!$A$2:$A$155,0),MATCH(EDATE($E10,BF$1-1),Raw_매출!$B$1:$BI$1,0))/(INDEX(요약_월별시즈널리티!$F$7:$F$18,MONTH(EDATE($E10,BF$1-1)))/100))),"")</f>
        <v/>
      </c>
      <c r="BG10" t="str" cm="1">
        <f t="array" ref="BG10">IFERROR(IF($E10&lt;44348,"",IF(INDEX(Raw_매출!$B$2:$BI$155,MATCH($A10,Raw_매출!$A$2:$A$155,0),MATCH(EDATE($E10,BG$1-1),Raw_매출!$B$1:$BI$1,0))=0,"",INDEX(Raw_매출!$B$2:$BI$155,MATCH($A10,Raw_매출!$A$2:$A$155,0),MATCH(EDATE($E10,BG$1-1),Raw_매출!$B$1:$BI$1,0))/(INDEX(요약_월별시즈널리티!$F$7:$F$18,MONTH(EDATE($E10,BG$1-1)))/100))),"")</f>
        <v/>
      </c>
      <c r="BH10" t="str" cm="1">
        <f t="array" ref="BH10">IFERROR(IF($E10&lt;44348,"",IF(INDEX(Raw_매출!$B$2:$BI$155,MATCH($A10,Raw_매출!$A$2:$A$155,0),MATCH(EDATE($E10,BH$1-1),Raw_매출!$B$1:$BI$1,0))=0,"",INDEX(Raw_매출!$B$2:$BI$155,MATCH($A10,Raw_매출!$A$2:$A$155,0),MATCH(EDATE($E10,BH$1-1),Raw_매출!$B$1:$BI$1,0))/(INDEX(요약_월별시즈널리티!$F$7:$F$18,MONTH(EDATE($E10,BH$1-1)))/100))),"")</f>
        <v/>
      </c>
      <c r="BI10" t="str" cm="1">
        <f t="array" ref="BI10">IFERROR(IF($E10&lt;44348,"",IF(INDEX(Raw_매출!$B$2:$BI$155,MATCH($A10,Raw_매출!$A$2:$A$155,0),MATCH(EDATE($E10,BI$1-1),Raw_매출!$B$1:$BI$1,0))=0,"",INDEX(Raw_매출!$B$2:$BI$155,MATCH($A10,Raw_매출!$A$2:$A$155,0),MATCH(EDATE($E10,BI$1-1),Raw_매출!$B$1:$BI$1,0))/(INDEX(요약_월별시즈널리티!$F$7:$F$18,MONTH(EDATE($E10,BI$1-1)))/100))),"")</f>
        <v/>
      </c>
      <c r="BJ10" t="str" cm="1">
        <f t="array" ref="BJ10">IFERROR(IF($E10&lt;44348,"",IF(INDEX(Raw_매출!$B$2:$BI$155,MATCH($A10,Raw_매출!$A$2:$A$155,0),MATCH(EDATE($E10,BJ$1-1),Raw_매출!$B$1:$BI$1,0))=0,"",INDEX(Raw_매출!$B$2:$BI$155,MATCH($A10,Raw_매출!$A$2:$A$155,0),MATCH(EDATE($E10,BJ$1-1),Raw_매출!$B$1:$BI$1,0))/(INDEX(요약_월별시즈널리티!$F$7:$F$18,MONTH(EDATE($E10,BJ$1-1)))/100))),"")</f>
        <v/>
      </c>
      <c r="BK10" t="str" cm="1">
        <f t="array" ref="BK10">IFERROR(IF($E10&lt;44348,"",IF(INDEX(Raw_매출!$B$2:$BI$155,MATCH($A10,Raw_매출!$A$2:$A$155,0),MATCH(EDATE($E10,BK$1-1),Raw_매출!$B$1:$BI$1,0))=0,"",INDEX(Raw_매출!$B$2:$BI$155,MATCH($A10,Raw_매출!$A$2:$A$155,0),MATCH(EDATE($E10,BK$1-1),Raw_매출!$B$1:$BI$1,0))/(INDEX(요약_월별시즈널리티!$F$7:$F$18,MONTH(EDATE($E10,BK$1-1)))/100))),"")</f>
        <v/>
      </c>
      <c r="BL10" t="str" cm="1">
        <f t="array" ref="BL10">IFERROR(IF($E10&lt;44348,"",IF(INDEX(Raw_매출!$B$2:$BI$155,MATCH($A10,Raw_매출!$A$2:$A$155,0),MATCH(EDATE($E10,BL$1-1),Raw_매출!$B$1:$BI$1,0))=0,"",INDEX(Raw_매출!$B$2:$BI$155,MATCH($A10,Raw_매출!$A$2:$A$155,0),MATCH(EDATE($E10,BL$1-1),Raw_매출!$B$1:$BI$1,0))/(INDEX(요약_월별시즈널리티!$F$7:$F$18,MONTH(EDATE($E10,BL$1-1)))/100))),"")</f>
        <v/>
      </c>
      <c r="BM10" t="str" cm="1">
        <f t="array" ref="BM10">IFERROR(IF($E10&lt;44348,"",IF(INDEX(Raw_매출!$B$2:$BI$155,MATCH($A10,Raw_매출!$A$2:$A$155,0),MATCH(EDATE($E10,BM$1-1),Raw_매출!$B$1:$BI$1,0))=0,"",INDEX(Raw_매출!$B$2:$BI$155,MATCH($A10,Raw_매출!$A$2:$A$155,0),MATCH(EDATE($E10,BM$1-1),Raw_매출!$B$1:$BI$1,0))/(INDEX(요약_월별시즈널리티!$F$7:$F$18,MONTH(EDATE($E10,BM$1-1)))/100))),"")</f>
        <v/>
      </c>
      <c r="BN10" t="str" cm="1">
        <f t="array" ref="BN10">IFERROR(IF($E10&lt;44348,"",IF(INDEX(Raw_매출!$B$2:$BI$155,MATCH($A10,Raw_매출!$A$2:$A$155,0),MATCH(EDATE($E10,BN$1-1),Raw_매출!$B$1:$BI$1,0))=0,"",INDEX(Raw_매출!$B$2:$BI$155,MATCH($A10,Raw_매출!$A$2:$A$155,0),MATCH(EDATE($E10,BN$1-1),Raw_매출!$B$1:$BI$1,0))/(INDEX(요약_월별시즈널리티!$F$7:$F$18,MONTH(EDATE($E10,BN$1-1)))/100))),"")</f>
        <v/>
      </c>
    </row>
    <row r="11" spans="1:66" x14ac:dyDescent="0.4">
      <c r="A11" t="str">
        <f>세팅!A12</f>
        <v>(0010) 별빛거리점</v>
      </c>
      <c r="B11" t="str">
        <f>세팅!B12</f>
        <v>150-3</v>
      </c>
      <c r="C11">
        <f t="shared" si="0"/>
        <v>3</v>
      </c>
      <c r="D11" t="str">
        <f t="shared" si="1"/>
        <v>3+</v>
      </c>
      <c r="E11" s="1">
        <f>세팅!D12</f>
        <v>44593</v>
      </c>
      <c r="F11">
        <f>IF(COUNT(J11:O11)&gt;=4,AVERAGE(J11:O11),"")</f>
        <v>5908144.0816670833</v>
      </c>
      <c r="G11" cm="1">
        <f t="array" ref="G11">IFERROR(IF($E11&lt;44348,"",IF(INDEX(Raw_매출!$B$2:$BI$155,MATCH($A11,Raw_매출!$A$2:$A$155,0),MATCH(EDATE($E11,G$1-1),Raw_매출!$B$1:$BI$1,0))=0,"",INDEX(Raw_매출!$B$2:$BI$155,MATCH($A11,Raw_매출!$A$2:$A$155,0),MATCH(EDATE($E11,G$1-1),Raw_매출!$B$1:$BI$1,0))/(INDEX(요약_월별시즈널리티!$F$7:$F$18,MONTH(EDATE($E11,G$1-1)))/100))),"")</f>
        <v>3604318.59344897</v>
      </c>
      <c r="H11" cm="1">
        <f t="array" ref="H11">IFERROR(IF($E11&lt;44348,"",IF(INDEX(Raw_매출!$B$2:$BI$155,MATCH($A11,Raw_매출!$A$2:$A$155,0),MATCH(EDATE($E11,H$1-1),Raw_매출!$B$1:$BI$1,0))=0,"",INDEX(Raw_매출!$B$2:$BI$155,MATCH($A11,Raw_매출!$A$2:$A$155,0),MATCH(EDATE($E11,H$1-1),Raw_매출!$B$1:$BI$1,0))/(INDEX(요약_월별시즈널리티!$F$7:$F$18,MONTH(EDATE($E11,H$1-1)))/100))),"")</f>
        <v>3869957.8656703532</v>
      </c>
      <c r="I11" cm="1">
        <f t="array" ref="I11">IFERROR(IF($E11&lt;44348,"",IF(INDEX(Raw_매출!$B$2:$BI$155,MATCH($A11,Raw_매출!$A$2:$A$155,0),MATCH(EDATE($E11,I$1-1),Raw_매출!$B$1:$BI$1,0))=0,"",INDEX(Raw_매출!$B$2:$BI$155,MATCH($A11,Raw_매출!$A$2:$A$155,0),MATCH(EDATE($E11,I$1-1),Raw_매출!$B$1:$BI$1,0))/(INDEX(요약_월별시즈널리티!$F$7:$F$18,MONTH(EDATE($E11,I$1-1)))/100))),"")</f>
        <v>4376169.661918221</v>
      </c>
      <c r="J11" s="30" cm="1">
        <f t="array" ref="J11">IFERROR(IF($E11&lt;44348,"",IF(INDEX(Raw_매출!$B$2:$BI$155,MATCH($A11,Raw_매출!$A$2:$A$155,0),MATCH(EDATE($E11,J$1-1),Raw_매출!$B$1:$BI$1,0))=0,"",INDEX(Raw_매출!$B$2:$BI$155,MATCH($A11,Raw_매출!$A$2:$A$155,0),MATCH(EDATE($E11,J$1-1),Raw_매출!$B$1:$BI$1,0))/(INDEX(요약_월별시즈널리티!$F$7:$F$18,MONTH(EDATE($E11,J$1-1)))/100))),"")</f>
        <v>4872495.023482658</v>
      </c>
      <c r="K11" s="30" cm="1">
        <f t="array" ref="K11">IFERROR(IF($E11&lt;44348,"",IF(INDEX(Raw_매출!$B$2:$BI$155,MATCH($A11,Raw_매출!$A$2:$A$155,0),MATCH(EDATE($E11,K$1-1),Raw_매출!$B$1:$BI$1,0))=0,"",INDEX(Raw_매출!$B$2:$BI$155,MATCH($A11,Raw_매출!$A$2:$A$155,0),MATCH(EDATE($E11,K$1-1),Raw_매출!$B$1:$BI$1,0))/(INDEX(요약_월별시즈널리티!$F$7:$F$18,MONTH(EDATE($E11,K$1-1)))/100))),"")</f>
        <v>5846201.5495983679</v>
      </c>
      <c r="L11" s="30" cm="1">
        <f t="array" ref="L11">IFERROR(IF($E11&lt;44348,"",IF(INDEX(Raw_매출!$B$2:$BI$155,MATCH($A11,Raw_매출!$A$2:$A$155,0),MATCH(EDATE($E11,L$1-1),Raw_매출!$B$1:$BI$1,0))=0,"",INDEX(Raw_매출!$B$2:$BI$155,MATCH($A11,Raw_매출!$A$2:$A$155,0),MATCH(EDATE($E11,L$1-1),Raw_매출!$B$1:$BI$1,0))/(INDEX(요약_월별시즈널리티!$F$7:$F$18,MONTH(EDATE($E11,L$1-1)))/100))),"")</f>
        <v>6140698.2617920926</v>
      </c>
      <c r="M11" s="30" cm="1">
        <f t="array" ref="M11">IFERROR(IF($E11&lt;44348,"",IF(INDEX(Raw_매출!$B$2:$BI$155,MATCH($A11,Raw_매출!$A$2:$A$155,0),MATCH(EDATE($E11,M$1-1),Raw_매출!$B$1:$BI$1,0))=0,"",INDEX(Raw_매출!$B$2:$BI$155,MATCH($A11,Raw_매출!$A$2:$A$155,0),MATCH(EDATE($E11,M$1-1),Raw_매출!$B$1:$BI$1,0))/(INDEX(요약_월별시즈널리티!$F$7:$F$18,MONTH(EDATE($E11,M$1-1)))/100))),"")</f>
        <v>6895472.5785806319</v>
      </c>
      <c r="N11" s="30" cm="1">
        <f t="array" ref="N11">IFERROR(IF($E11&lt;44348,"",IF(INDEX(Raw_매출!$B$2:$BI$155,MATCH($A11,Raw_매출!$A$2:$A$155,0),MATCH(EDATE($E11,N$1-1),Raw_매출!$B$1:$BI$1,0))=0,"",INDEX(Raw_매출!$B$2:$BI$155,MATCH($A11,Raw_매출!$A$2:$A$155,0),MATCH(EDATE($E11,N$1-1),Raw_매출!$B$1:$BI$1,0))/(INDEX(요약_월별시즈널리티!$F$7:$F$18,MONTH(EDATE($E11,N$1-1)))/100))),"")</f>
        <v>6238290.6728880703</v>
      </c>
      <c r="O11" s="30" cm="1">
        <f t="array" ref="O11">IFERROR(IF($E11&lt;44348,"",IF(INDEX(Raw_매출!$B$2:$BI$155,MATCH($A11,Raw_매출!$A$2:$A$155,0),MATCH(EDATE($E11,O$1-1),Raw_매출!$B$1:$BI$1,0))=0,"",INDEX(Raw_매출!$B$2:$BI$155,MATCH($A11,Raw_매출!$A$2:$A$155,0),MATCH(EDATE($E11,O$1-1),Raw_매출!$B$1:$BI$1,0))/(INDEX(요약_월별시즈널리티!$F$7:$F$18,MONTH(EDATE($E11,O$1-1)))/100))),"")</f>
        <v>5455706.4036606802</v>
      </c>
      <c r="P11" cm="1">
        <f t="array" ref="P11">IFERROR(IF($E11&lt;44348,"",IF(INDEX(Raw_매출!$B$2:$BI$155,MATCH($A11,Raw_매출!$A$2:$A$155,0),MATCH(EDATE($E11,P$1-1),Raw_매출!$B$1:$BI$1,0))=0,"",INDEX(Raw_매출!$B$2:$BI$155,MATCH($A11,Raw_매출!$A$2:$A$155,0),MATCH(EDATE($E11,P$1-1),Raw_매출!$B$1:$BI$1,0))/(INDEX(요약_월별시즈널리티!$F$7:$F$18,MONTH(EDATE($E11,P$1-1)))/100))),"")</f>
        <v>5490214.104607394</v>
      </c>
      <c r="Q11" cm="1">
        <f t="array" ref="Q11">IFERROR(IF($E11&lt;44348,"",IF(INDEX(Raw_매출!$B$2:$BI$155,MATCH($A11,Raw_매출!$A$2:$A$155,0),MATCH(EDATE($E11,Q$1-1),Raw_매출!$B$1:$BI$1,0))=0,"",INDEX(Raw_매출!$B$2:$BI$155,MATCH($A11,Raw_매출!$A$2:$A$155,0),MATCH(EDATE($E11,Q$1-1),Raw_매출!$B$1:$BI$1,0))/(INDEX(요약_월별시즈널리티!$F$7:$F$18,MONTH(EDATE($E11,Q$1-1)))/100))),"")</f>
        <v>5594596.8947668448</v>
      </c>
      <c r="R11" cm="1">
        <f t="array" ref="R11">IFERROR(IF($E11&lt;44348,"",IF(INDEX(Raw_매출!$B$2:$BI$155,MATCH($A11,Raw_매출!$A$2:$A$155,0),MATCH(EDATE($E11,R$1-1),Raw_매출!$B$1:$BI$1,0))=0,"",INDEX(Raw_매출!$B$2:$BI$155,MATCH($A11,Raw_매출!$A$2:$A$155,0),MATCH(EDATE($E11,R$1-1),Raw_매출!$B$1:$BI$1,0))/(INDEX(요약_월별시즈널리티!$F$7:$F$18,MONTH(EDATE($E11,R$1-1)))/100))),"")</f>
        <v>6944389.7706045825</v>
      </c>
      <c r="S11" cm="1">
        <f t="array" ref="S11">IFERROR(IF($E11&lt;44348,"",IF(INDEX(Raw_매출!$B$2:$BI$155,MATCH($A11,Raw_매출!$A$2:$A$155,0),MATCH(EDATE($E11,S$1-1),Raw_매출!$B$1:$BI$1,0))=0,"",INDEX(Raw_매출!$B$2:$BI$155,MATCH($A11,Raw_매출!$A$2:$A$155,0),MATCH(EDATE($E11,S$1-1),Raw_매출!$B$1:$BI$1,0))/(INDEX(요약_월별시즈널리티!$F$7:$F$18,MONTH(EDATE($E11,S$1-1)))/100))),"")</f>
        <v>6714496.7345702583</v>
      </c>
      <c r="T11" cm="1">
        <f t="array" ref="T11">IFERROR(IF($E11&lt;44348,"",IF(INDEX(Raw_매출!$B$2:$BI$155,MATCH($A11,Raw_매출!$A$2:$A$155,0),MATCH(EDATE($E11,T$1-1),Raw_매출!$B$1:$BI$1,0))=0,"",INDEX(Raw_매출!$B$2:$BI$155,MATCH($A11,Raw_매출!$A$2:$A$155,0),MATCH(EDATE($E11,T$1-1),Raw_매출!$B$1:$BI$1,0))/(INDEX(요약_월별시즈널리티!$F$7:$F$18,MONTH(EDATE($E11,T$1-1)))/100))),"")</f>
        <v>7060190.3835743805</v>
      </c>
      <c r="U11" cm="1">
        <f t="array" ref="U11">IFERROR(IF($E11&lt;44348,"",IF(INDEX(Raw_매출!$B$2:$BI$155,MATCH($A11,Raw_매출!$A$2:$A$155,0),MATCH(EDATE($E11,U$1-1),Raw_매출!$B$1:$BI$1,0))=0,"",INDEX(Raw_매출!$B$2:$BI$155,MATCH($A11,Raw_매출!$A$2:$A$155,0),MATCH(EDATE($E11,U$1-1),Raw_매출!$B$1:$BI$1,0))/(INDEX(요약_월별시즈널리티!$F$7:$F$18,MONTH(EDATE($E11,U$1-1)))/100))),"")</f>
        <v>6196378.5208240598</v>
      </c>
      <c r="V11" cm="1">
        <f t="array" ref="V11">IFERROR(IF($E11&lt;44348,"",IF(INDEX(Raw_매출!$B$2:$BI$155,MATCH($A11,Raw_매출!$A$2:$A$155,0),MATCH(EDATE($E11,V$1-1),Raw_매출!$B$1:$BI$1,0))=0,"",INDEX(Raw_매출!$B$2:$BI$155,MATCH($A11,Raw_매출!$A$2:$A$155,0),MATCH(EDATE($E11,V$1-1),Raw_매출!$B$1:$BI$1,0))/(INDEX(요약_월별시즈널리티!$F$7:$F$18,MONTH(EDATE($E11,V$1-1)))/100))),"")</f>
        <v>6424689.3380338633</v>
      </c>
      <c r="W11" cm="1">
        <f t="array" ref="W11">IFERROR(IF($E11&lt;44348,"",IF(INDEX(Raw_매출!$B$2:$BI$155,MATCH($A11,Raw_매출!$A$2:$A$155,0),MATCH(EDATE($E11,W$1-1),Raw_매출!$B$1:$BI$1,0))=0,"",INDEX(Raw_매출!$B$2:$BI$155,MATCH($A11,Raw_매출!$A$2:$A$155,0),MATCH(EDATE($E11,W$1-1),Raw_매출!$B$1:$BI$1,0))/(INDEX(요약_월별시즈널리티!$F$7:$F$18,MONTH(EDATE($E11,W$1-1)))/100))),"")</f>
        <v>6224857.1733466927</v>
      </c>
      <c r="X11" cm="1">
        <f t="array" ref="X11">IFERROR(IF($E11&lt;44348,"",IF(INDEX(Raw_매출!$B$2:$BI$155,MATCH($A11,Raw_매출!$A$2:$A$155,0),MATCH(EDATE($E11,X$1-1),Raw_매출!$B$1:$BI$1,0))=0,"",INDEX(Raw_매출!$B$2:$BI$155,MATCH($A11,Raw_매출!$A$2:$A$155,0),MATCH(EDATE($E11,X$1-1),Raw_매출!$B$1:$BI$1,0))/(INDEX(요약_월별시즈널리티!$F$7:$F$18,MONTH(EDATE($E11,X$1-1)))/100))),"")</f>
        <v>7397210.4621242546</v>
      </c>
      <c r="Y11" cm="1">
        <f t="array" ref="Y11">IFERROR(IF($E11&lt;44348,"",IF(INDEX(Raw_매출!$B$2:$BI$155,MATCH($A11,Raw_매출!$A$2:$A$155,0),MATCH(EDATE($E11,Y$1-1),Raw_매출!$B$1:$BI$1,0))=0,"",INDEX(Raw_매출!$B$2:$BI$155,MATCH($A11,Raw_매출!$A$2:$A$155,0),MATCH(EDATE($E11,Y$1-1),Raw_매출!$B$1:$BI$1,0))/(INDEX(요약_월별시즈널리티!$F$7:$F$18,MONTH(EDATE($E11,Y$1-1)))/100))),"")</f>
        <v>6584335.9987896346</v>
      </c>
      <c r="Z11" cm="1">
        <f t="array" ref="Z11">IFERROR(IF($E11&lt;44348,"",IF(INDEX(Raw_매출!$B$2:$BI$155,MATCH($A11,Raw_매출!$A$2:$A$155,0),MATCH(EDATE($E11,Z$1-1),Raw_매출!$B$1:$BI$1,0))=0,"",INDEX(Raw_매출!$B$2:$BI$155,MATCH($A11,Raw_매출!$A$2:$A$155,0),MATCH(EDATE($E11,Z$1-1),Raw_매출!$B$1:$BI$1,0))/(INDEX(요약_월별시즈널리티!$F$7:$F$18,MONTH(EDATE($E11,Z$1-1)))/100))),"")</f>
        <v>6845839.8589780182</v>
      </c>
      <c r="AA11" cm="1">
        <f t="array" ref="AA11">IFERROR(IF($E11&lt;44348,"",IF(INDEX(Raw_매출!$B$2:$BI$155,MATCH($A11,Raw_매출!$A$2:$A$155,0),MATCH(EDATE($E11,AA$1-1),Raw_매출!$B$1:$BI$1,0))=0,"",INDEX(Raw_매출!$B$2:$BI$155,MATCH($A11,Raw_매출!$A$2:$A$155,0),MATCH(EDATE($E11,AA$1-1),Raw_매출!$B$1:$BI$1,0))/(INDEX(요약_월별시즈널리티!$F$7:$F$18,MONTH(EDATE($E11,AA$1-1)))/100))),"")</f>
        <v>5890718.2113322522</v>
      </c>
      <c r="AB11" cm="1">
        <f t="array" ref="AB11">IFERROR(IF($E11&lt;44348,"",IF(INDEX(Raw_매출!$B$2:$BI$155,MATCH($A11,Raw_매출!$A$2:$A$155,0),MATCH(EDATE($E11,AB$1-1),Raw_매출!$B$1:$BI$1,0))=0,"",INDEX(Raw_매출!$B$2:$BI$155,MATCH($A11,Raw_매출!$A$2:$A$155,0),MATCH(EDATE($E11,AB$1-1),Raw_매출!$B$1:$BI$1,0))/(INDEX(요약_월별시즈널리티!$F$7:$F$18,MONTH(EDATE($E11,AB$1-1)))/100))),"")</f>
        <v>5934589.114316388</v>
      </c>
      <c r="AC11" cm="1">
        <f t="array" ref="AC11">IFERROR(IF($E11&lt;44348,"",IF(INDEX(Raw_매출!$B$2:$BI$155,MATCH($A11,Raw_매출!$A$2:$A$155,0),MATCH(EDATE($E11,AC$1-1),Raw_매출!$B$1:$BI$1,0))=0,"",INDEX(Raw_매출!$B$2:$BI$155,MATCH($A11,Raw_매출!$A$2:$A$155,0),MATCH(EDATE($E11,AC$1-1),Raw_매출!$B$1:$BI$1,0))/(INDEX(요약_월별시즈널리티!$F$7:$F$18,MONTH(EDATE($E11,AC$1-1)))/100))),"")</f>
        <v>4964249.0851480272</v>
      </c>
      <c r="AD11" cm="1">
        <f t="array" ref="AD11">IFERROR(IF($E11&lt;44348,"",IF(INDEX(Raw_매출!$B$2:$BI$155,MATCH($A11,Raw_매출!$A$2:$A$155,0),MATCH(EDATE($E11,AD$1-1),Raw_매출!$B$1:$BI$1,0))=0,"",INDEX(Raw_매출!$B$2:$BI$155,MATCH($A11,Raw_매출!$A$2:$A$155,0),MATCH(EDATE($E11,AD$1-1),Raw_매출!$B$1:$BI$1,0))/(INDEX(요약_월별시즈널리티!$F$7:$F$18,MONTH(EDATE($E11,AD$1-1)))/100))),"")</f>
        <v>6260222.0969302114</v>
      </c>
      <c r="AE11" cm="1">
        <f t="array" ref="AE11">IFERROR(IF($E11&lt;44348,"",IF(INDEX(Raw_매출!$B$2:$BI$155,MATCH($A11,Raw_매출!$A$2:$A$155,0),MATCH(EDATE($E11,AE$1-1),Raw_매출!$B$1:$BI$1,0))=0,"",INDEX(Raw_매출!$B$2:$BI$155,MATCH($A11,Raw_매출!$A$2:$A$155,0),MATCH(EDATE($E11,AE$1-1),Raw_매출!$B$1:$BI$1,0))/(INDEX(요약_월별시즈널리티!$F$7:$F$18,MONTH(EDATE($E11,AE$1-1)))/100))),"")</f>
        <v>5347335.2694086647</v>
      </c>
      <c r="AF11" cm="1">
        <f t="array" ref="AF11">IFERROR(IF($E11&lt;44348,"",IF(INDEX(Raw_매출!$B$2:$BI$155,MATCH($A11,Raw_매출!$A$2:$A$155,0),MATCH(EDATE($E11,AF$1-1),Raw_매출!$B$1:$BI$1,0))=0,"",INDEX(Raw_매출!$B$2:$BI$155,MATCH($A11,Raw_매출!$A$2:$A$155,0),MATCH(EDATE($E11,AF$1-1),Raw_매출!$B$1:$BI$1,0))/(INDEX(요약_월별시즈널리티!$F$7:$F$18,MONTH(EDATE($E11,AF$1-1)))/100))),"")</f>
        <v>4990449.8545393543</v>
      </c>
      <c r="AG11" cm="1">
        <f t="array" ref="AG11">IFERROR(IF($E11&lt;44348,"",IF(INDEX(Raw_매출!$B$2:$BI$155,MATCH($A11,Raw_매출!$A$2:$A$155,0),MATCH(EDATE($E11,AG$1-1),Raw_매출!$B$1:$BI$1,0))=0,"",INDEX(Raw_매출!$B$2:$BI$155,MATCH($A11,Raw_매출!$A$2:$A$155,0),MATCH(EDATE($E11,AG$1-1),Raw_매출!$B$1:$BI$1,0))/(INDEX(요약_월별시즈널리티!$F$7:$F$18,MONTH(EDATE($E11,AG$1-1)))/100))),"")</f>
        <v>5294875.135224781</v>
      </c>
      <c r="AH11" cm="1">
        <f t="array" ref="AH11">IFERROR(IF($E11&lt;44348,"",IF(INDEX(Raw_매출!$B$2:$BI$155,MATCH($A11,Raw_매출!$A$2:$A$155,0),MATCH(EDATE($E11,AH$1-1),Raw_매출!$B$1:$BI$1,0))=0,"",INDEX(Raw_매출!$B$2:$BI$155,MATCH($A11,Raw_매출!$A$2:$A$155,0),MATCH(EDATE($E11,AH$1-1),Raw_매출!$B$1:$BI$1,0))/(INDEX(요약_월별시즈널리티!$F$7:$F$18,MONTH(EDATE($E11,AH$1-1)))/100))),"")</f>
        <v>4575580.3238144564</v>
      </c>
      <c r="AI11" cm="1">
        <f t="array" ref="AI11">IFERROR(IF($E11&lt;44348,"",IF(INDEX(Raw_매출!$B$2:$BI$155,MATCH($A11,Raw_매출!$A$2:$A$155,0),MATCH(EDATE($E11,AI$1-1),Raw_매출!$B$1:$BI$1,0))=0,"",INDEX(Raw_매출!$B$2:$BI$155,MATCH($A11,Raw_매출!$A$2:$A$155,0),MATCH(EDATE($E11,AI$1-1),Raw_매출!$B$1:$BI$1,0))/(INDEX(요약_월별시즈널리티!$F$7:$F$18,MONTH(EDATE($E11,AI$1-1)))/100))),"")</f>
        <v>5018743.6667670468</v>
      </c>
      <c r="AJ11" cm="1">
        <f t="array" ref="AJ11">IFERROR(IF($E11&lt;44348,"",IF(INDEX(Raw_매출!$B$2:$BI$155,MATCH($A11,Raw_매출!$A$2:$A$155,0),MATCH(EDATE($E11,AJ$1-1),Raw_매출!$B$1:$BI$1,0))=0,"",INDEX(Raw_매출!$B$2:$BI$155,MATCH($A11,Raw_매출!$A$2:$A$155,0),MATCH(EDATE($E11,AJ$1-1),Raw_매출!$B$1:$BI$1,0))/(INDEX(요약_월별시즈널리티!$F$7:$F$18,MONTH(EDATE($E11,AJ$1-1)))/100))),"")</f>
        <v>5627938.493276706</v>
      </c>
      <c r="AK11" cm="1">
        <f t="array" ref="AK11">IFERROR(IF($E11&lt;44348,"",IF(INDEX(Raw_매출!$B$2:$BI$155,MATCH($A11,Raw_매출!$A$2:$A$155,0),MATCH(EDATE($E11,AK$1-1),Raw_매출!$B$1:$BI$1,0))=0,"",INDEX(Raw_매출!$B$2:$BI$155,MATCH($A11,Raw_매출!$A$2:$A$155,0),MATCH(EDATE($E11,AK$1-1),Raw_매출!$B$1:$BI$1,0))/(INDEX(요약_월별시즈널리티!$F$7:$F$18,MONTH(EDATE($E11,AK$1-1)))/100))),"")</f>
        <v>5080198.876518134</v>
      </c>
      <c r="AL11" cm="1">
        <f t="array" ref="AL11">IFERROR(IF($E11&lt;44348,"",IF(INDEX(Raw_매출!$B$2:$BI$155,MATCH($A11,Raw_매출!$A$2:$A$155,0),MATCH(EDATE($E11,AL$1-1),Raw_매출!$B$1:$BI$1,0))=0,"",INDEX(Raw_매출!$B$2:$BI$155,MATCH($A11,Raw_매출!$A$2:$A$155,0),MATCH(EDATE($E11,AL$1-1),Raw_매출!$B$1:$BI$1,0))/(INDEX(요약_월별시즈널리티!$F$7:$F$18,MONTH(EDATE($E11,AL$1-1)))/100))),"")</f>
        <v>5203319.6978992354</v>
      </c>
      <c r="AM11" cm="1">
        <f t="array" ref="AM11">IFERROR(IF($E11&lt;44348,"",IF(INDEX(Raw_매출!$B$2:$BI$155,MATCH($A11,Raw_매출!$A$2:$A$155,0),MATCH(EDATE($E11,AM$1-1),Raw_매출!$B$1:$BI$1,0))=0,"",INDEX(Raw_매출!$B$2:$BI$155,MATCH($A11,Raw_매출!$A$2:$A$155,0),MATCH(EDATE($E11,AM$1-1),Raw_매출!$B$1:$BI$1,0))/(INDEX(요약_월별시즈널리티!$F$7:$F$18,MONTH(EDATE($E11,AM$1-1)))/100))),"")</f>
        <v>4724876.1856613867</v>
      </c>
      <c r="AN11" cm="1">
        <f t="array" ref="AN11">IFERROR(IF($E11&lt;44348,"",IF(INDEX(Raw_매출!$B$2:$BI$155,MATCH($A11,Raw_매출!$A$2:$A$155,0),MATCH(EDATE($E11,AN$1-1),Raw_매출!$B$1:$BI$1,0))=0,"",INDEX(Raw_매출!$B$2:$BI$155,MATCH($A11,Raw_매출!$A$2:$A$155,0),MATCH(EDATE($E11,AN$1-1),Raw_매출!$B$1:$BI$1,0))/(INDEX(요약_월별시즈널리티!$F$7:$F$18,MONTH(EDATE($E11,AN$1-1)))/100))),"")</f>
        <v>4877607.6392612439</v>
      </c>
      <c r="AO11" cm="1">
        <f t="array" ref="AO11">IFERROR(IF($E11&lt;44348,"",IF(INDEX(Raw_매출!$B$2:$BI$155,MATCH($A11,Raw_매출!$A$2:$A$155,0),MATCH(EDATE($E11,AO$1-1),Raw_매출!$B$1:$BI$1,0))=0,"",INDEX(Raw_매출!$B$2:$BI$155,MATCH($A11,Raw_매출!$A$2:$A$155,0),MATCH(EDATE($E11,AO$1-1),Raw_매출!$B$1:$BI$1,0))/(INDEX(요약_월별시즈널리티!$F$7:$F$18,MONTH(EDATE($E11,AO$1-1)))/100))),"")</f>
        <v>5169897.2152531911</v>
      </c>
      <c r="AP11" cm="1">
        <f t="array" ref="AP11">IFERROR(IF($E11&lt;44348,"",IF(INDEX(Raw_매출!$B$2:$BI$155,MATCH($A11,Raw_매출!$A$2:$A$155,0),MATCH(EDATE($E11,AP$1-1),Raw_매출!$B$1:$BI$1,0))=0,"",INDEX(Raw_매출!$B$2:$BI$155,MATCH($A11,Raw_매출!$A$2:$A$155,0),MATCH(EDATE($E11,AP$1-1),Raw_매출!$B$1:$BI$1,0))/(INDEX(요약_월별시즈널리티!$F$7:$F$18,MONTH(EDATE($E11,AP$1-1)))/100))),"")</f>
        <v>5547822.070633119</v>
      </c>
      <c r="AQ11" cm="1">
        <f t="array" ref="AQ11">IFERROR(IF($E11&lt;44348,"",IF(INDEX(Raw_매출!$B$2:$BI$155,MATCH($A11,Raw_매출!$A$2:$A$155,0),MATCH(EDATE($E11,AQ$1-1),Raw_매출!$B$1:$BI$1,0))=0,"",INDEX(Raw_매출!$B$2:$BI$155,MATCH($A11,Raw_매출!$A$2:$A$155,0),MATCH(EDATE($E11,AQ$1-1),Raw_매출!$B$1:$BI$1,0))/(INDEX(요약_월별시즈널리티!$F$7:$F$18,MONTH(EDATE($E11,AQ$1-1)))/100))),"")</f>
        <v>5099375.2345071398</v>
      </c>
      <c r="AR11" cm="1">
        <f t="array" ref="AR11">IFERROR(IF($E11&lt;44348,"",IF(INDEX(Raw_매출!$B$2:$BI$155,MATCH($A11,Raw_매출!$A$2:$A$155,0),MATCH(EDATE($E11,AR$1-1),Raw_매출!$B$1:$BI$1,0))=0,"",INDEX(Raw_매출!$B$2:$BI$155,MATCH($A11,Raw_매출!$A$2:$A$155,0),MATCH(EDATE($E11,AR$1-1),Raw_매출!$B$1:$BI$1,0))/(INDEX(요약_월별시즈널리티!$F$7:$F$18,MONTH(EDATE($E11,AR$1-1)))/100))),"")</f>
        <v>4324926.187014021</v>
      </c>
      <c r="AS11" cm="1">
        <f t="array" ref="AS11">IFERROR(IF($E11&lt;44348,"",IF(INDEX(Raw_매출!$B$2:$BI$155,MATCH($A11,Raw_매출!$A$2:$A$155,0),MATCH(EDATE($E11,AS$1-1),Raw_매출!$B$1:$BI$1,0))=0,"",INDEX(Raw_매출!$B$2:$BI$155,MATCH($A11,Raw_매출!$A$2:$A$155,0),MATCH(EDATE($E11,AS$1-1),Raw_매출!$B$1:$BI$1,0))/(INDEX(요약_월별시즈널리티!$F$7:$F$18,MONTH(EDATE($E11,AS$1-1)))/100))),"")</f>
        <v>5748087.9700909741</v>
      </c>
      <c r="AT11" cm="1">
        <f t="array" ref="AT11">IFERROR(IF($E11&lt;44348,"",IF(INDEX(Raw_매출!$B$2:$BI$155,MATCH($A11,Raw_매출!$A$2:$A$155,0),MATCH(EDATE($E11,AT$1-1),Raw_매출!$B$1:$BI$1,0))=0,"",INDEX(Raw_매출!$B$2:$BI$155,MATCH($A11,Raw_매출!$A$2:$A$155,0),MATCH(EDATE($E11,AT$1-1),Raw_매출!$B$1:$BI$1,0))/(INDEX(요약_월별시즈널리티!$F$7:$F$18,MONTH(EDATE($E11,AT$1-1)))/100))),"")</f>
        <v>6034576.5450064875</v>
      </c>
      <c r="AU11" cm="1">
        <f t="array" ref="AU11">IFERROR(IF($E11&lt;44348,"",IF(INDEX(Raw_매출!$B$2:$BI$155,MATCH($A11,Raw_매출!$A$2:$A$155,0),MATCH(EDATE($E11,AU$1-1),Raw_매출!$B$1:$BI$1,0))=0,"",INDEX(Raw_매출!$B$2:$BI$155,MATCH($A11,Raw_매출!$A$2:$A$155,0),MATCH(EDATE($E11,AU$1-1),Raw_매출!$B$1:$BI$1,0))/(INDEX(요약_월별시즈널리티!$F$7:$F$18,MONTH(EDATE($E11,AU$1-1)))/100))),"")</f>
        <v>5583954.3158333087</v>
      </c>
      <c r="AV11" cm="1">
        <f t="array" ref="AV11">IFERROR(IF($E11&lt;44348,"",IF(INDEX(Raw_매출!$B$2:$BI$155,MATCH($A11,Raw_매출!$A$2:$A$155,0),MATCH(EDATE($E11,AV$1-1),Raw_매출!$B$1:$BI$1,0))=0,"",INDEX(Raw_매출!$B$2:$BI$155,MATCH($A11,Raw_매출!$A$2:$A$155,0),MATCH(EDATE($E11,AV$1-1),Raw_매출!$B$1:$BI$1,0))/(INDEX(요약_월별시즈널리티!$F$7:$F$18,MONTH(EDATE($E11,AV$1-1)))/100))),"")</f>
        <v>5830988.4956948617</v>
      </c>
      <c r="AW11" cm="1">
        <f t="array" ref="AW11">IFERROR(IF($E11&lt;44348,"",IF(INDEX(Raw_매출!$B$2:$BI$155,MATCH($A11,Raw_매출!$A$2:$A$155,0),MATCH(EDATE($E11,AW$1-1),Raw_매출!$B$1:$BI$1,0))=0,"",INDEX(Raw_매출!$B$2:$BI$155,MATCH($A11,Raw_매출!$A$2:$A$155,0),MATCH(EDATE($E11,AW$1-1),Raw_매출!$B$1:$BI$1,0))/(INDEX(요약_월별시즈널리티!$F$7:$F$18,MONTH(EDATE($E11,AW$1-1)))/100))),"")</f>
        <v>6185738.1914510895</v>
      </c>
      <c r="AX11" cm="1">
        <f t="array" ref="AX11">IFERROR(IF($E11&lt;44348,"",IF(INDEX(Raw_매출!$B$2:$BI$155,MATCH($A11,Raw_매출!$A$2:$A$155,0),MATCH(EDATE($E11,AX$1-1),Raw_매출!$B$1:$BI$1,0))=0,"",INDEX(Raw_매출!$B$2:$BI$155,MATCH($A11,Raw_매출!$A$2:$A$155,0),MATCH(EDATE($E11,AX$1-1),Raw_매출!$B$1:$BI$1,0))/(INDEX(요약_월별시즈널리티!$F$7:$F$18,MONTH(EDATE($E11,AX$1-1)))/100))),"")</f>
        <v>6224607.5825552866</v>
      </c>
      <c r="AY11" cm="1">
        <f t="array" ref="AY11">IFERROR(IF($E11&lt;44348,"",IF(INDEX(Raw_매출!$B$2:$BI$155,MATCH($A11,Raw_매출!$A$2:$A$155,0),MATCH(EDATE($E11,AY$1-1),Raw_매출!$B$1:$BI$1,0))=0,"",INDEX(Raw_매출!$B$2:$BI$155,MATCH($A11,Raw_매출!$A$2:$A$155,0),MATCH(EDATE($E11,AY$1-1),Raw_매출!$B$1:$BI$1,0))/(INDEX(요약_월별시즈널리티!$F$7:$F$18,MONTH(EDATE($E11,AY$1-1)))/100))),"")</f>
        <v>5819737.3645201763</v>
      </c>
      <c r="AZ11" cm="1">
        <f t="array" ref="AZ11">IFERROR(IF($E11&lt;44348,"",IF(INDEX(Raw_매출!$B$2:$BI$155,MATCH($A11,Raw_매출!$A$2:$A$155,0),MATCH(EDATE($E11,AZ$1-1),Raw_매출!$B$1:$BI$1,0))=0,"",INDEX(Raw_매출!$B$2:$BI$155,MATCH($A11,Raw_매출!$A$2:$A$155,0),MATCH(EDATE($E11,AZ$1-1),Raw_매출!$B$1:$BI$1,0))/(INDEX(요약_월별시즈널리티!$F$7:$F$18,MONTH(EDATE($E11,AZ$1-1)))/100))),"")</f>
        <v>5190106.0925387135</v>
      </c>
      <c r="BA11" cm="1">
        <f t="array" ref="BA11">IFERROR(IF($E11&lt;44348,"",IF(INDEX(Raw_매출!$B$2:$BI$155,MATCH($A11,Raw_매출!$A$2:$A$155,0),MATCH(EDATE($E11,BA$1-1),Raw_매출!$B$1:$BI$1,0))=0,"",INDEX(Raw_매출!$B$2:$BI$155,MATCH($A11,Raw_매출!$A$2:$A$155,0),MATCH(EDATE($E11,BA$1-1),Raw_매출!$B$1:$BI$1,0))/(INDEX(요약_월별시즈널리티!$F$7:$F$18,MONTH(EDATE($E11,BA$1-1)))/100))),"")</f>
        <v>4926796.9315712275</v>
      </c>
      <c r="BB11" cm="1">
        <f t="array" ref="BB11">IFERROR(IF($E11&lt;44348,"",IF(INDEX(Raw_매출!$B$2:$BI$155,MATCH($A11,Raw_매출!$A$2:$A$155,0),MATCH(EDATE($E11,BB$1-1),Raw_매출!$B$1:$BI$1,0))=0,"",INDEX(Raw_매출!$B$2:$BI$155,MATCH($A11,Raw_매출!$A$2:$A$155,0),MATCH(EDATE($E11,BB$1-1),Raw_매출!$B$1:$BI$1,0))/(INDEX(요약_월별시즈널리티!$F$7:$F$18,MONTH(EDATE($E11,BB$1-1)))/100))),"")</f>
        <v>5123348.0996829318</v>
      </c>
      <c r="BC11" cm="1">
        <f t="array" ref="BC11">IFERROR(IF($E11&lt;44348,"",IF(INDEX(Raw_매출!$B$2:$BI$155,MATCH($A11,Raw_매출!$A$2:$A$155,0),MATCH(EDATE($E11,BC$1-1),Raw_매출!$B$1:$BI$1,0))=0,"",INDEX(Raw_매출!$B$2:$BI$155,MATCH($A11,Raw_매출!$A$2:$A$155,0),MATCH(EDATE($E11,BC$1-1),Raw_매출!$B$1:$BI$1,0))/(INDEX(요약_월별시즈널리티!$F$7:$F$18,MONTH(EDATE($E11,BC$1-1)))/100))),"")</f>
        <v>5565635.0130540272</v>
      </c>
      <c r="BD11" cm="1">
        <f t="array" ref="BD11">IFERROR(IF($E11&lt;44348,"",IF(INDEX(Raw_매출!$B$2:$BI$155,MATCH($A11,Raw_매출!$A$2:$A$155,0),MATCH(EDATE($E11,BD$1-1),Raw_매출!$B$1:$BI$1,0))=0,"",INDEX(Raw_매출!$B$2:$BI$155,MATCH($A11,Raw_매출!$A$2:$A$155,0),MATCH(EDATE($E11,BD$1-1),Raw_매출!$B$1:$BI$1,0))/(INDEX(요약_월별시즈널리티!$F$7:$F$18,MONTH(EDATE($E11,BD$1-1)))/100))),"")</f>
        <v>5006040.829586531</v>
      </c>
      <c r="BE11" cm="1">
        <f t="array" ref="BE11">IFERROR(IF($E11&lt;44348,"",IF(INDEX(Raw_매출!$B$2:$BI$155,MATCH($A11,Raw_매출!$A$2:$A$155,0),MATCH(EDATE($E11,BE$1-1),Raw_매출!$B$1:$BI$1,0))=0,"",INDEX(Raw_매출!$B$2:$BI$155,MATCH($A11,Raw_매출!$A$2:$A$155,0),MATCH(EDATE($E11,BE$1-1),Raw_매출!$B$1:$BI$1,0))/(INDEX(요약_월별시즈널리티!$F$7:$F$18,MONTH(EDATE($E11,BE$1-1)))/100))),"")</f>
        <v>5492440.0762725445</v>
      </c>
      <c r="BF11" cm="1">
        <f t="array" ref="BF11">IFERROR(IF($E11&lt;44348,"",IF(INDEX(Raw_매출!$B$2:$BI$155,MATCH($A11,Raw_매출!$A$2:$A$155,0),MATCH(EDATE($E11,BF$1-1),Raw_매출!$B$1:$BI$1,0))=0,"",INDEX(Raw_매출!$B$2:$BI$155,MATCH($A11,Raw_매출!$A$2:$A$155,0),MATCH(EDATE($E11,BF$1-1),Raw_매출!$B$1:$BI$1,0))/(INDEX(요약_월별시즈널리티!$F$7:$F$18,MONTH(EDATE($E11,BF$1-1)))/100))),"")</f>
        <v>5575704.0588643253</v>
      </c>
      <c r="BG11" t="str" cm="1">
        <f t="array" ref="BG11">IFERROR(IF($E11&lt;44348,"",IF(INDEX(Raw_매출!$B$2:$BI$155,MATCH($A11,Raw_매출!$A$2:$A$155,0),MATCH(EDATE($E11,BG$1-1),Raw_매출!$B$1:$BI$1,0))=0,"",INDEX(Raw_매출!$B$2:$BI$155,MATCH($A11,Raw_매출!$A$2:$A$155,0),MATCH(EDATE($E11,BG$1-1),Raw_매출!$B$1:$BI$1,0))/(INDEX(요약_월별시즈널리티!$F$7:$F$18,MONTH(EDATE($E11,BG$1-1)))/100))),"")</f>
        <v/>
      </c>
      <c r="BH11" t="str" cm="1">
        <f t="array" ref="BH11">IFERROR(IF($E11&lt;44348,"",IF(INDEX(Raw_매출!$B$2:$BI$155,MATCH($A11,Raw_매출!$A$2:$A$155,0),MATCH(EDATE($E11,BH$1-1),Raw_매출!$B$1:$BI$1,0))=0,"",INDEX(Raw_매출!$B$2:$BI$155,MATCH($A11,Raw_매출!$A$2:$A$155,0),MATCH(EDATE($E11,BH$1-1),Raw_매출!$B$1:$BI$1,0))/(INDEX(요약_월별시즈널리티!$F$7:$F$18,MONTH(EDATE($E11,BH$1-1)))/100))),"")</f>
        <v/>
      </c>
      <c r="BI11" t="str" cm="1">
        <f t="array" ref="BI11">IFERROR(IF($E11&lt;44348,"",IF(INDEX(Raw_매출!$B$2:$BI$155,MATCH($A11,Raw_매출!$A$2:$A$155,0),MATCH(EDATE($E11,BI$1-1),Raw_매출!$B$1:$BI$1,0))=0,"",INDEX(Raw_매출!$B$2:$BI$155,MATCH($A11,Raw_매출!$A$2:$A$155,0),MATCH(EDATE($E11,BI$1-1),Raw_매출!$B$1:$BI$1,0))/(INDEX(요약_월별시즈널리티!$F$7:$F$18,MONTH(EDATE($E11,BI$1-1)))/100))),"")</f>
        <v/>
      </c>
      <c r="BJ11" t="str" cm="1">
        <f t="array" ref="BJ11">IFERROR(IF($E11&lt;44348,"",IF(INDEX(Raw_매출!$B$2:$BI$155,MATCH($A11,Raw_매출!$A$2:$A$155,0),MATCH(EDATE($E11,BJ$1-1),Raw_매출!$B$1:$BI$1,0))=0,"",INDEX(Raw_매출!$B$2:$BI$155,MATCH($A11,Raw_매출!$A$2:$A$155,0),MATCH(EDATE($E11,BJ$1-1),Raw_매출!$B$1:$BI$1,0))/(INDEX(요약_월별시즈널리티!$F$7:$F$18,MONTH(EDATE($E11,BJ$1-1)))/100))),"")</f>
        <v/>
      </c>
      <c r="BK11" t="str" cm="1">
        <f t="array" ref="BK11">IFERROR(IF($E11&lt;44348,"",IF(INDEX(Raw_매출!$B$2:$BI$155,MATCH($A11,Raw_매출!$A$2:$A$155,0),MATCH(EDATE($E11,BK$1-1),Raw_매출!$B$1:$BI$1,0))=0,"",INDEX(Raw_매출!$B$2:$BI$155,MATCH($A11,Raw_매출!$A$2:$A$155,0),MATCH(EDATE($E11,BK$1-1),Raw_매출!$B$1:$BI$1,0))/(INDEX(요약_월별시즈널리티!$F$7:$F$18,MONTH(EDATE($E11,BK$1-1)))/100))),"")</f>
        <v/>
      </c>
      <c r="BL11" t="str" cm="1">
        <f t="array" ref="BL11">IFERROR(IF($E11&lt;44348,"",IF(INDEX(Raw_매출!$B$2:$BI$155,MATCH($A11,Raw_매출!$A$2:$A$155,0),MATCH(EDATE($E11,BL$1-1),Raw_매출!$B$1:$BI$1,0))=0,"",INDEX(Raw_매출!$B$2:$BI$155,MATCH($A11,Raw_매출!$A$2:$A$155,0),MATCH(EDATE($E11,BL$1-1),Raw_매출!$B$1:$BI$1,0))/(INDEX(요약_월별시즈널리티!$F$7:$F$18,MONTH(EDATE($E11,BL$1-1)))/100))),"")</f>
        <v/>
      </c>
      <c r="BM11" t="str" cm="1">
        <f t="array" ref="BM11">IFERROR(IF($E11&lt;44348,"",IF(INDEX(Raw_매출!$B$2:$BI$155,MATCH($A11,Raw_매출!$A$2:$A$155,0),MATCH(EDATE($E11,BM$1-1),Raw_매출!$B$1:$BI$1,0))=0,"",INDEX(Raw_매출!$B$2:$BI$155,MATCH($A11,Raw_매출!$A$2:$A$155,0),MATCH(EDATE($E11,BM$1-1),Raw_매출!$B$1:$BI$1,0))/(INDEX(요약_월별시즈널리티!$F$7:$F$18,MONTH(EDATE($E11,BM$1-1)))/100))),"")</f>
        <v/>
      </c>
      <c r="BN11" t="str" cm="1">
        <f t="array" ref="BN11">IFERROR(IF($E11&lt;44348,"",IF(INDEX(Raw_매출!$B$2:$BI$155,MATCH($A11,Raw_매출!$A$2:$A$155,0),MATCH(EDATE($E11,BN$1-1),Raw_매출!$B$1:$BI$1,0))=0,"",INDEX(Raw_매출!$B$2:$BI$155,MATCH($A11,Raw_매출!$A$2:$A$155,0),MATCH(EDATE($E11,BN$1-1),Raw_매출!$B$1:$BI$1,0))/(INDEX(요약_월별시즈널리티!$F$7:$F$18,MONTH(EDATE($E11,BN$1-1)))/100))),"")</f>
        <v/>
      </c>
    </row>
    <row r="12" spans="1:66" x14ac:dyDescent="0.4">
      <c r="A12" t="str">
        <f>세팅!A13</f>
        <v>(0011) 천안성정공원점</v>
      </c>
      <c r="B12" t="str">
        <f>세팅!B13</f>
        <v>150-2</v>
      </c>
      <c r="C12">
        <f t="shared" si="0"/>
        <v>2</v>
      </c>
      <c r="D12" t="str">
        <f t="shared" si="1"/>
        <v>2</v>
      </c>
      <c r="E12" s="1">
        <f>세팅!D13</f>
        <v>44896</v>
      </c>
      <c r="F12">
        <f t="shared" si="2"/>
        <v>6437780.4327665046</v>
      </c>
      <c r="G12" cm="1">
        <f t="array" ref="G12">IFERROR(IF($E12&lt;44348,"",IF(INDEX(Raw_매출!$B$2:$BI$155,MATCH($A12,Raw_매출!$A$2:$A$155,0),MATCH(EDATE($E12,G$1-1),Raw_매출!$B$1:$BI$1,0))=0,"",INDEX(Raw_매출!$B$2:$BI$155,MATCH($A12,Raw_매출!$A$2:$A$155,0),MATCH(EDATE($E12,G$1-1),Raw_매출!$B$1:$BI$1,0))/(INDEX(요약_월별시즈널리티!$F$7:$F$18,MONTH(EDATE($E12,G$1-1)))/100))),"")</f>
        <v>3673814.3269074191</v>
      </c>
      <c r="H12" cm="1">
        <f t="array" ref="H12">IFERROR(IF($E12&lt;44348,"",IF(INDEX(Raw_매출!$B$2:$BI$155,MATCH($A12,Raw_매출!$A$2:$A$155,0),MATCH(EDATE($E12,H$1-1),Raw_매출!$B$1:$BI$1,0))=0,"",INDEX(Raw_매출!$B$2:$BI$155,MATCH($A12,Raw_매출!$A$2:$A$155,0),MATCH(EDATE($E12,H$1-1),Raw_매출!$B$1:$BI$1,0))/(INDEX(요약_월별시즈널리티!$F$7:$F$18,MONTH(EDATE($E12,H$1-1)))/100))),"")</f>
        <v>4906749.929775456</v>
      </c>
      <c r="I12" cm="1">
        <f t="array" ref="I12">IFERROR(IF($E12&lt;44348,"",IF(INDEX(Raw_매출!$B$2:$BI$155,MATCH($A12,Raw_매출!$A$2:$A$155,0),MATCH(EDATE($E12,I$1-1),Raw_매출!$B$1:$BI$1,0))=0,"",INDEX(Raw_매출!$B$2:$BI$155,MATCH($A12,Raw_매출!$A$2:$A$155,0),MATCH(EDATE($E12,I$1-1),Raw_매출!$B$1:$BI$1,0))/(INDEX(요약_월별시즈널리티!$F$7:$F$18,MONTH(EDATE($E12,I$1-1)))/100))),"")</f>
        <v>5258176.4338926384</v>
      </c>
      <c r="J12" s="30" cm="1">
        <f t="array" ref="J12">IFERROR(IF($E12&lt;44348,"",IF(INDEX(Raw_매출!$B$2:$BI$155,MATCH($A12,Raw_매출!$A$2:$A$155,0),MATCH(EDATE($E12,J$1-1),Raw_매출!$B$1:$BI$1,0))=0,"",INDEX(Raw_매출!$B$2:$BI$155,MATCH($A12,Raw_매출!$A$2:$A$155,0),MATCH(EDATE($E12,J$1-1),Raw_매출!$B$1:$BI$1,0))/(INDEX(요약_월별시즈널리티!$F$7:$F$18,MONTH(EDATE($E12,J$1-1)))/100))),"")</f>
        <v>5979113.2029104512</v>
      </c>
      <c r="K12" s="30" cm="1">
        <f t="array" ref="K12">IFERROR(IF($E12&lt;44348,"",IF(INDEX(Raw_매출!$B$2:$BI$155,MATCH($A12,Raw_매출!$A$2:$A$155,0),MATCH(EDATE($E12,K$1-1),Raw_매출!$B$1:$BI$1,0))=0,"",INDEX(Raw_매출!$B$2:$BI$155,MATCH($A12,Raw_매출!$A$2:$A$155,0),MATCH(EDATE($E12,K$1-1),Raw_매출!$B$1:$BI$1,0))/(INDEX(요약_월별시즈널리티!$F$7:$F$18,MONTH(EDATE($E12,K$1-1)))/100))),"")</f>
        <v>6324876.0434567519</v>
      </c>
      <c r="L12" s="30" cm="1">
        <f t="array" ref="L12">IFERROR(IF($E12&lt;44348,"",IF(INDEX(Raw_매출!$B$2:$BI$155,MATCH($A12,Raw_매출!$A$2:$A$155,0),MATCH(EDATE($E12,L$1-1),Raw_매출!$B$1:$BI$1,0))=0,"",INDEX(Raw_매출!$B$2:$BI$155,MATCH($A12,Raw_매출!$A$2:$A$155,0),MATCH(EDATE($E12,L$1-1),Raw_매출!$B$1:$BI$1,0))/(INDEX(요약_월별시즈널리티!$F$7:$F$18,MONTH(EDATE($E12,L$1-1)))/100))),"")</f>
        <v>5880401.0840472439</v>
      </c>
      <c r="M12" s="30" cm="1">
        <f t="array" ref="M12">IFERROR(IF($E12&lt;44348,"",IF(INDEX(Raw_매출!$B$2:$BI$155,MATCH($A12,Raw_매출!$A$2:$A$155,0),MATCH(EDATE($E12,M$1-1),Raw_매출!$B$1:$BI$1,0))=0,"",INDEX(Raw_매출!$B$2:$BI$155,MATCH($A12,Raw_매출!$A$2:$A$155,0),MATCH(EDATE($E12,M$1-1),Raw_매출!$B$1:$BI$1,0))/(INDEX(요약_월별시즈널리티!$F$7:$F$18,MONTH(EDATE($E12,M$1-1)))/100))),"")</f>
        <v>6005271.9362449534</v>
      </c>
      <c r="N12" s="30" cm="1">
        <f t="array" ref="N12">IFERROR(IF($E12&lt;44348,"",IF(INDEX(Raw_매출!$B$2:$BI$155,MATCH($A12,Raw_매출!$A$2:$A$155,0),MATCH(EDATE($E12,N$1-1),Raw_매출!$B$1:$BI$1,0))=0,"",INDEX(Raw_매출!$B$2:$BI$155,MATCH($A12,Raw_매출!$A$2:$A$155,0),MATCH(EDATE($E12,N$1-1),Raw_매출!$B$1:$BI$1,0))/(INDEX(요약_월별시즈널리티!$F$7:$F$18,MONTH(EDATE($E12,N$1-1)))/100))),"")</f>
        <v>7507739.2096179295</v>
      </c>
      <c r="O12" s="30" cm="1">
        <f t="array" ref="O12">IFERROR(IF($E12&lt;44348,"",IF(INDEX(Raw_매출!$B$2:$BI$155,MATCH($A12,Raw_매출!$A$2:$A$155,0),MATCH(EDATE($E12,O$1-1),Raw_매출!$B$1:$BI$1,0))=0,"",INDEX(Raw_매출!$B$2:$BI$155,MATCH($A12,Raw_매출!$A$2:$A$155,0),MATCH(EDATE($E12,O$1-1),Raw_매출!$B$1:$BI$1,0))/(INDEX(요약_월별시즈널리티!$F$7:$F$18,MONTH(EDATE($E12,O$1-1)))/100))),"")</f>
        <v>6929281.1203217003</v>
      </c>
      <c r="P12" cm="1">
        <f t="array" ref="P12">IFERROR(IF($E12&lt;44348,"",IF(INDEX(Raw_매출!$B$2:$BI$155,MATCH($A12,Raw_매출!$A$2:$A$155,0),MATCH(EDATE($E12,P$1-1),Raw_매출!$B$1:$BI$1,0))=0,"",INDEX(Raw_매출!$B$2:$BI$155,MATCH($A12,Raw_매출!$A$2:$A$155,0),MATCH(EDATE($E12,P$1-1),Raw_매출!$B$1:$BI$1,0))/(INDEX(요약_월별시즈널리티!$F$7:$F$18,MONTH(EDATE($E12,P$1-1)))/100))),"")</f>
        <v>6961397.0525183883</v>
      </c>
      <c r="Q12" cm="1">
        <f t="array" ref="Q12">IFERROR(IF($E12&lt;44348,"",IF(INDEX(Raw_매출!$B$2:$BI$155,MATCH($A12,Raw_매출!$A$2:$A$155,0),MATCH(EDATE($E12,Q$1-1),Raw_매출!$B$1:$BI$1,0))=0,"",INDEX(Raw_매출!$B$2:$BI$155,MATCH($A12,Raw_매출!$A$2:$A$155,0),MATCH(EDATE($E12,Q$1-1),Raw_매출!$B$1:$BI$1,0))/(INDEX(요약_월별시즈널리티!$F$7:$F$18,MONTH(EDATE($E12,Q$1-1)))/100))),"")</f>
        <v>6192332.7419968517</v>
      </c>
      <c r="R12" cm="1">
        <f t="array" ref="R12">IFERROR(IF($E12&lt;44348,"",IF(INDEX(Raw_매출!$B$2:$BI$155,MATCH($A12,Raw_매출!$A$2:$A$155,0),MATCH(EDATE($E12,R$1-1),Raw_매출!$B$1:$BI$1,0))=0,"",INDEX(Raw_매출!$B$2:$BI$155,MATCH($A12,Raw_매출!$A$2:$A$155,0),MATCH(EDATE($E12,R$1-1),Raw_매출!$B$1:$BI$1,0))/(INDEX(요약_월별시즈널리티!$F$7:$F$18,MONTH(EDATE($E12,R$1-1)))/100))),"")</f>
        <v>6700231.9360808553</v>
      </c>
      <c r="S12" cm="1">
        <f t="array" ref="S12">IFERROR(IF($E12&lt;44348,"",IF(INDEX(Raw_매출!$B$2:$BI$155,MATCH($A12,Raw_매출!$A$2:$A$155,0),MATCH(EDATE($E12,S$1-1),Raw_매출!$B$1:$BI$1,0))=0,"",INDEX(Raw_매출!$B$2:$BI$155,MATCH($A12,Raw_매출!$A$2:$A$155,0),MATCH(EDATE($E12,S$1-1),Raw_매출!$B$1:$BI$1,0))/(INDEX(요약_월별시즈널리티!$F$7:$F$18,MONTH(EDATE($E12,S$1-1)))/100))),"")</f>
        <v>6412418.3785690619</v>
      </c>
      <c r="T12" cm="1">
        <f t="array" ref="T12">IFERROR(IF($E12&lt;44348,"",IF(INDEX(Raw_매출!$B$2:$BI$155,MATCH($A12,Raw_매출!$A$2:$A$155,0),MATCH(EDATE($E12,T$1-1),Raw_매출!$B$1:$BI$1,0))=0,"",INDEX(Raw_매출!$B$2:$BI$155,MATCH($A12,Raw_매출!$A$2:$A$155,0),MATCH(EDATE($E12,T$1-1),Raw_매출!$B$1:$BI$1,0))/(INDEX(요약_월별시즈널리티!$F$7:$F$18,MONTH(EDATE($E12,T$1-1)))/100))),"")</f>
        <v>6888935.717670924</v>
      </c>
      <c r="U12" cm="1">
        <f t="array" ref="U12">IFERROR(IF($E12&lt;44348,"",IF(INDEX(Raw_매출!$B$2:$BI$155,MATCH($A12,Raw_매출!$A$2:$A$155,0),MATCH(EDATE($E12,U$1-1),Raw_매출!$B$1:$BI$1,0))=0,"",INDEX(Raw_매출!$B$2:$BI$155,MATCH($A12,Raw_매출!$A$2:$A$155,0),MATCH(EDATE($E12,U$1-1),Raw_매출!$B$1:$BI$1,0))/(INDEX(요약_월별시즈널리티!$F$7:$F$18,MONTH(EDATE($E12,U$1-1)))/100))),"")</f>
        <v>6813573.9714823468</v>
      </c>
      <c r="V12" cm="1">
        <f t="array" ref="V12">IFERROR(IF($E12&lt;44348,"",IF(INDEX(Raw_매출!$B$2:$BI$155,MATCH($A12,Raw_매출!$A$2:$A$155,0),MATCH(EDATE($E12,V$1-1),Raw_매출!$B$1:$BI$1,0))=0,"",INDEX(Raw_매출!$B$2:$BI$155,MATCH($A12,Raw_매출!$A$2:$A$155,0),MATCH(EDATE($E12,V$1-1),Raw_매출!$B$1:$BI$1,0))/(INDEX(요약_월별시즈널리티!$F$7:$F$18,MONTH(EDATE($E12,V$1-1)))/100))),"")</f>
        <v>6843820.5813520188</v>
      </c>
      <c r="W12" cm="1">
        <f t="array" ref="W12">IFERROR(IF($E12&lt;44348,"",IF(INDEX(Raw_매출!$B$2:$BI$155,MATCH($A12,Raw_매출!$A$2:$A$155,0),MATCH(EDATE($E12,W$1-1),Raw_매출!$B$1:$BI$1,0))=0,"",INDEX(Raw_매출!$B$2:$BI$155,MATCH($A12,Raw_매출!$A$2:$A$155,0),MATCH(EDATE($E12,W$1-1),Raw_매출!$B$1:$BI$1,0))/(INDEX(요약_월별시즈널리티!$F$7:$F$18,MONTH(EDATE($E12,W$1-1)))/100))),"")</f>
        <v>6910555.3163724374</v>
      </c>
      <c r="X12" cm="1">
        <f t="array" ref="X12">IFERROR(IF($E12&lt;44348,"",IF(INDEX(Raw_매출!$B$2:$BI$155,MATCH($A12,Raw_매출!$A$2:$A$155,0),MATCH(EDATE($E12,X$1-1),Raw_매출!$B$1:$BI$1,0))=0,"",INDEX(Raw_매출!$B$2:$BI$155,MATCH($A12,Raw_매출!$A$2:$A$155,0),MATCH(EDATE($E12,X$1-1),Raw_매출!$B$1:$BI$1,0))/(INDEX(요약_월별시즈널리티!$F$7:$F$18,MONTH(EDATE($E12,X$1-1)))/100))),"")</f>
        <v>6422240.752688989</v>
      </c>
      <c r="Y12" cm="1">
        <f t="array" ref="Y12">IFERROR(IF($E12&lt;44348,"",IF(INDEX(Raw_매출!$B$2:$BI$155,MATCH($A12,Raw_매출!$A$2:$A$155,0),MATCH(EDATE($E12,Y$1-1),Raw_매출!$B$1:$BI$1,0))=0,"",INDEX(Raw_매출!$B$2:$BI$155,MATCH($A12,Raw_매출!$A$2:$A$155,0),MATCH(EDATE($E12,Y$1-1),Raw_매출!$B$1:$BI$1,0))/(INDEX(요약_월별시즈널리티!$F$7:$F$18,MONTH(EDATE($E12,Y$1-1)))/100))),"")</f>
        <v>6135116.1796813654</v>
      </c>
      <c r="Z12" cm="1">
        <f t="array" ref="Z12">IFERROR(IF($E12&lt;44348,"",IF(INDEX(Raw_매출!$B$2:$BI$155,MATCH($A12,Raw_매출!$A$2:$A$155,0),MATCH(EDATE($E12,Z$1-1),Raw_매출!$B$1:$BI$1,0))=0,"",INDEX(Raw_매출!$B$2:$BI$155,MATCH($A12,Raw_매출!$A$2:$A$155,0),MATCH(EDATE($E12,Z$1-1),Raw_매출!$B$1:$BI$1,0))/(INDEX(요약_월별시즈널리티!$F$7:$F$18,MONTH(EDATE($E12,Z$1-1)))/100))),"")</f>
        <v>8170988.118951628</v>
      </c>
      <c r="AA12" cm="1">
        <f t="array" ref="AA12">IFERROR(IF($E12&lt;44348,"",IF(INDEX(Raw_매출!$B$2:$BI$155,MATCH($A12,Raw_매출!$A$2:$A$155,0),MATCH(EDATE($E12,AA$1-1),Raw_매출!$B$1:$BI$1,0))=0,"",INDEX(Raw_매출!$B$2:$BI$155,MATCH($A12,Raw_매출!$A$2:$A$155,0),MATCH(EDATE($E12,AA$1-1),Raw_매출!$B$1:$BI$1,0))/(INDEX(요약_월별시즈널리티!$F$7:$F$18,MONTH(EDATE($E12,AA$1-1)))/100))),"")</f>
        <v>7451882.7790200962</v>
      </c>
      <c r="AB12" cm="1">
        <f t="array" ref="AB12">IFERROR(IF($E12&lt;44348,"",IF(INDEX(Raw_매출!$B$2:$BI$155,MATCH($A12,Raw_매출!$A$2:$A$155,0),MATCH(EDATE($E12,AB$1-1),Raw_매출!$B$1:$BI$1,0))=0,"",INDEX(Raw_매출!$B$2:$BI$155,MATCH($A12,Raw_매출!$A$2:$A$155,0),MATCH(EDATE($E12,AB$1-1),Raw_매출!$B$1:$BI$1,0))/(INDEX(요약_월별시즈널리티!$F$7:$F$18,MONTH(EDATE($E12,AB$1-1)))/100))),"")</f>
        <v>7364548.8344766442</v>
      </c>
      <c r="AC12" cm="1">
        <f t="array" ref="AC12">IFERROR(IF($E12&lt;44348,"",IF(INDEX(Raw_매출!$B$2:$BI$155,MATCH($A12,Raw_매출!$A$2:$A$155,0),MATCH(EDATE($E12,AC$1-1),Raw_매출!$B$1:$BI$1,0))=0,"",INDEX(Raw_매출!$B$2:$BI$155,MATCH($A12,Raw_매출!$A$2:$A$155,0),MATCH(EDATE($E12,AC$1-1),Raw_매출!$B$1:$BI$1,0))/(INDEX(요약_월별시즈널리티!$F$7:$F$18,MONTH(EDATE($E12,AC$1-1)))/100))),"")</f>
        <v>6731345.9805489583</v>
      </c>
      <c r="AD12" cm="1">
        <f t="array" ref="AD12">IFERROR(IF($E12&lt;44348,"",IF(INDEX(Raw_매출!$B$2:$BI$155,MATCH($A12,Raw_매출!$A$2:$A$155,0),MATCH(EDATE($E12,AD$1-1),Raw_매출!$B$1:$BI$1,0))=0,"",INDEX(Raw_매출!$B$2:$BI$155,MATCH($A12,Raw_매출!$A$2:$A$155,0),MATCH(EDATE($E12,AD$1-1),Raw_매출!$B$1:$BI$1,0))/(INDEX(요약_월별시즈널리티!$F$7:$F$18,MONTH(EDATE($E12,AD$1-1)))/100))),"")</f>
        <v>6786119.7851420855</v>
      </c>
      <c r="AE12" cm="1">
        <f t="array" ref="AE12">IFERROR(IF($E12&lt;44348,"",IF(INDEX(Raw_매출!$B$2:$BI$155,MATCH($A12,Raw_매출!$A$2:$A$155,0),MATCH(EDATE($E12,AE$1-1),Raw_매출!$B$1:$BI$1,0))=0,"",INDEX(Raw_매출!$B$2:$BI$155,MATCH($A12,Raw_매출!$A$2:$A$155,0),MATCH(EDATE($E12,AE$1-1),Raw_매출!$B$1:$BI$1,0))/(INDEX(요약_월별시즈널리티!$F$7:$F$18,MONTH(EDATE($E12,AE$1-1)))/100))),"")</f>
        <v>6995975.1901145391</v>
      </c>
      <c r="AF12" cm="1">
        <f t="array" ref="AF12">IFERROR(IF($E12&lt;44348,"",IF(INDEX(Raw_매출!$B$2:$BI$155,MATCH($A12,Raw_매출!$A$2:$A$155,0),MATCH(EDATE($E12,AF$1-1),Raw_매출!$B$1:$BI$1,0))=0,"",INDEX(Raw_매출!$B$2:$BI$155,MATCH($A12,Raw_매출!$A$2:$A$155,0),MATCH(EDATE($E12,AF$1-1),Raw_매출!$B$1:$BI$1,0))/(INDEX(요약_월별시즈널리티!$F$7:$F$18,MONTH(EDATE($E12,AF$1-1)))/100))),"")</f>
        <v>8208946.5050245859</v>
      </c>
      <c r="AG12" cm="1">
        <f t="array" ref="AG12">IFERROR(IF($E12&lt;44348,"",IF(INDEX(Raw_매출!$B$2:$BI$155,MATCH($A12,Raw_매출!$A$2:$A$155,0),MATCH(EDATE($E12,AG$1-1),Raw_매출!$B$1:$BI$1,0))=0,"",INDEX(Raw_매출!$B$2:$BI$155,MATCH($A12,Raw_매출!$A$2:$A$155,0),MATCH(EDATE($E12,AG$1-1),Raw_매출!$B$1:$BI$1,0))/(INDEX(요약_월별시즈널리티!$F$7:$F$18,MONTH(EDATE($E12,AG$1-1)))/100))),"")</f>
        <v>6882848.5477402415</v>
      </c>
      <c r="AH12" cm="1">
        <f t="array" ref="AH12">IFERROR(IF($E12&lt;44348,"",IF(INDEX(Raw_매출!$B$2:$BI$155,MATCH($A12,Raw_매출!$A$2:$A$155,0),MATCH(EDATE($E12,AH$1-1),Raw_매출!$B$1:$BI$1,0))=0,"",INDEX(Raw_매출!$B$2:$BI$155,MATCH($A12,Raw_매출!$A$2:$A$155,0),MATCH(EDATE($E12,AH$1-1),Raw_매출!$B$1:$BI$1,0))/(INDEX(요약_월별시즈널리티!$F$7:$F$18,MONTH(EDATE($E12,AH$1-1)))/100))),"")</f>
        <v>6289903.5965901334</v>
      </c>
      <c r="AI12" cm="1">
        <f t="array" ref="AI12">IFERROR(IF($E12&lt;44348,"",IF(INDEX(Raw_매출!$B$2:$BI$155,MATCH($A12,Raw_매출!$A$2:$A$155,0),MATCH(EDATE($E12,AI$1-1),Raw_매출!$B$1:$BI$1,0))=0,"",INDEX(Raw_매출!$B$2:$BI$155,MATCH($A12,Raw_매출!$A$2:$A$155,0),MATCH(EDATE($E12,AI$1-1),Raw_매출!$B$1:$BI$1,0))/(INDEX(요약_월별시즈널리티!$F$7:$F$18,MONTH(EDATE($E12,AI$1-1)))/100))),"")</f>
        <v>7659136.2873353753</v>
      </c>
      <c r="AJ12" cm="1">
        <f t="array" ref="AJ12">IFERROR(IF($E12&lt;44348,"",IF(INDEX(Raw_매출!$B$2:$BI$155,MATCH($A12,Raw_매출!$A$2:$A$155,0),MATCH(EDATE($E12,AJ$1-1),Raw_매출!$B$1:$BI$1,0))=0,"",INDEX(Raw_매출!$B$2:$BI$155,MATCH($A12,Raw_매출!$A$2:$A$155,0),MATCH(EDATE($E12,AJ$1-1),Raw_매출!$B$1:$BI$1,0))/(INDEX(요약_월별시즈널리티!$F$7:$F$18,MONTH(EDATE($E12,AJ$1-1)))/100))),"")</f>
        <v>7083510.6460590279</v>
      </c>
      <c r="AK12" cm="1">
        <f t="array" ref="AK12">IFERROR(IF($E12&lt;44348,"",IF(INDEX(Raw_매출!$B$2:$BI$155,MATCH($A12,Raw_매출!$A$2:$A$155,0),MATCH(EDATE($E12,AK$1-1),Raw_매출!$B$1:$BI$1,0))=0,"",INDEX(Raw_매출!$B$2:$BI$155,MATCH($A12,Raw_매출!$A$2:$A$155,0),MATCH(EDATE($E12,AK$1-1),Raw_매출!$B$1:$BI$1,0))/(INDEX(요약_월별시즈널리티!$F$7:$F$18,MONTH(EDATE($E12,AK$1-1)))/100))),"")</f>
        <v>7118570.0612583356</v>
      </c>
      <c r="AL12" cm="1">
        <f t="array" ref="AL12">IFERROR(IF($E12&lt;44348,"",IF(INDEX(Raw_매출!$B$2:$BI$155,MATCH($A12,Raw_매출!$A$2:$A$155,0),MATCH(EDATE($E12,AL$1-1),Raw_매출!$B$1:$BI$1,0))=0,"",INDEX(Raw_매출!$B$2:$BI$155,MATCH($A12,Raw_매출!$A$2:$A$155,0),MATCH(EDATE($E12,AL$1-1),Raw_매출!$B$1:$BI$1,0))/(INDEX(요약_월별시즈널리티!$F$7:$F$18,MONTH(EDATE($E12,AL$1-1)))/100))),"")</f>
        <v>7109100.1340636015</v>
      </c>
      <c r="AM12" cm="1">
        <f t="array" ref="AM12">IFERROR(IF($E12&lt;44348,"",IF(INDEX(Raw_매출!$B$2:$BI$155,MATCH($A12,Raw_매출!$A$2:$A$155,0),MATCH(EDATE($E12,AM$1-1),Raw_매출!$B$1:$BI$1,0))=0,"",INDEX(Raw_매출!$B$2:$BI$155,MATCH($A12,Raw_매출!$A$2:$A$155,0),MATCH(EDATE($E12,AM$1-1),Raw_매출!$B$1:$BI$1,0))/(INDEX(요약_월별시즈널리티!$F$7:$F$18,MONTH(EDATE($E12,AM$1-1)))/100))),"")</f>
        <v>7416643.4989908552</v>
      </c>
      <c r="AN12" cm="1">
        <f t="array" ref="AN12">IFERROR(IF($E12&lt;44348,"",IF(INDEX(Raw_매출!$B$2:$BI$155,MATCH($A12,Raw_매출!$A$2:$A$155,0),MATCH(EDATE($E12,AN$1-1),Raw_매출!$B$1:$BI$1,0))=0,"",INDEX(Raw_매출!$B$2:$BI$155,MATCH($A12,Raw_매출!$A$2:$A$155,0),MATCH(EDATE($E12,AN$1-1),Raw_매출!$B$1:$BI$1,0))/(INDEX(요약_월별시즈널리티!$F$7:$F$18,MONTH(EDATE($E12,AN$1-1)))/100))),"")</f>
        <v>6910879.4825160382</v>
      </c>
      <c r="AO12" cm="1">
        <f t="array" ref="AO12">IFERROR(IF($E12&lt;44348,"",IF(INDEX(Raw_매출!$B$2:$BI$155,MATCH($A12,Raw_매출!$A$2:$A$155,0),MATCH(EDATE($E12,AO$1-1),Raw_매출!$B$1:$BI$1,0))=0,"",INDEX(Raw_매출!$B$2:$BI$155,MATCH($A12,Raw_매출!$A$2:$A$155,0),MATCH(EDATE($E12,AO$1-1),Raw_매출!$B$1:$BI$1,0))/(INDEX(요약_월별시즈널리티!$F$7:$F$18,MONTH(EDATE($E12,AO$1-1)))/100))),"")</f>
        <v>6985129.5420454936</v>
      </c>
      <c r="AP12" cm="1">
        <f t="array" ref="AP12">IFERROR(IF($E12&lt;44348,"",IF(INDEX(Raw_매출!$B$2:$BI$155,MATCH($A12,Raw_매출!$A$2:$A$155,0),MATCH(EDATE($E12,AP$1-1),Raw_매출!$B$1:$BI$1,0))=0,"",INDEX(Raw_매출!$B$2:$BI$155,MATCH($A12,Raw_매출!$A$2:$A$155,0),MATCH(EDATE($E12,AP$1-1),Raw_매출!$B$1:$BI$1,0))/(INDEX(요약_월별시즈널리티!$F$7:$F$18,MONTH(EDATE($E12,AP$1-1)))/100))),"")</f>
        <v>7595494.1408783467</v>
      </c>
      <c r="AQ12" cm="1">
        <f t="array" ref="AQ12">IFERROR(IF($E12&lt;44348,"",IF(INDEX(Raw_매출!$B$2:$BI$155,MATCH($A12,Raw_매출!$A$2:$A$155,0),MATCH(EDATE($E12,AQ$1-1),Raw_매출!$B$1:$BI$1,0))=0,"",INDEX(Raw_매출!$B$2:$BI$155,MATCH($A12,Raw_매출!$A$2:$A$155,0),MATCH(EDATE($E12,AQ$1-1),Raw_매출!$B$1:$BI$1,0))/(INDEX(요약_월별시즈널리티!$F$7:$F$18,MONTH(EDATE($E12,AQ$1-1)))/100))),"")</f>
        <v>6945313.1684156908</v>
      </c>
      <c r="AR12" cm="1">
        <f t="array" ref="AR12">IFERROR(IF($E12&lt;44348,"",IF(INDEX(Raw_매출!$B$2:$BI$155,MATCH($A12,Raw_매출!$A$2:$A$155,0),MATCH(EDATE($E12,AR$1-1),Raw_매출!$B$1:$BI$1,0))=0,"",INDEX(Raw_매출!$B$2:$BI$155,MATCH($A12,Raw_매출!$A$2:$A$155,0),MATCH(EDATE($E12,AR$1-1),Raw_매출!$B$1:$BI$1,0))/(INDEX(요약_월별시즈널리티!$F$7:$F$18,MONTH(EDATE($E12,AR$1-1)))/100))),"")</f>
        <v>8672023.0001445189</v>
      </c>
      <c r="AS12" cm="1">
        <f t="array" ref="AS12">IFERROR(IF($E12&lt;44348,"",IF(INDEX(Raw_매출!$B$2:$BI$155,MATCH($A12,Raw_매출!$A$2:$A$155,0),MATCH(EDATE($E12,AS$1-1),Raw_매출!$B$1:$BI$1,0))=0,"",INDEX(Raw_매출!$B$2:$BI$155,MATCH($A12,Raw_매출!$A$2:$A$155,0),MATCH(EDATE($E12,AS$1-1),Raw_매출!$B$1:$BI$1,0))/(INDEX(요약_월별시즈널리티!$F$7:$F$18,MONTH(EDATE($E12,AS$1-1)))/100))),"")</f>
        <v>8956304.5965266023</v>
      </c>
      <c r="AT12" cm="1">
        <f t="array" ref="AT12">IFERROR(IF($E12&lt;44348,"",IF(INDEX(Raw_매출!$B$2:$BI$155,MATCH($A12,Raw_매출!$A$2:$A$155,0),MATCH(EDATE($E12,AT$1-1),Raw_매출!$B$1:$BI$1,0))=0,"",INDEX(Raw_매출!$B$2:$BI$155,MATCH($A12,Raw_매출!$A$2:$A$155,0),MATCH(EDATE($E12,AT$1-1),Raw_매출!$B$1:$BI$1,0))/(INDEX(요약_월별시즈널리티!$F$7:$F$18,MONTH(EDATE($E12,AT$1-1)))/100))),"")</f>
        <v>7640164.364256694</v>
      </c>
      <c r="AU12" cm="1">
        <f t="array" ref="AU12">IFERROR(IF($E12&lt;44348,"",IF(INDEX(Raw_매출!$B$2:$BI$155,MATCH($A12,Raw_매출!$A$2:$A$155,0),MATCH(EDATE($E12,AU$1-1),Raw_매출!$B$1:$BI$1,0))=0,"",INDEX(Raw_매출!$B$2:$BI$155,MATCH($A12,Raw_매출!$A$2:$A$155,0),MATCH(EDATE($E12,AU$1-1),Raw_매출!$B$1:$BI$1,0))/(INDEX(요약_월별시즈널리티!$F$7:$F$18,MONTH(EDATE($E12,AU$1-1)))/100))),"")</f>
        <v>8086172.9333168762</v>
      </c>
      <c r="AV12" cm="1">
        <f t="array" ref="AV12">IFERROR(IF($E12&lt;44348,"",IF(INDEX(Raw_매출!$B$2:$BI$155,MATCH($A12,Raw_매출!$A$2:$A$155,0),MATCH(EDATE($E12,AV$1-1),Raw_매출!$B$1:$BI$1,0))=0,"",INDEX(Raw_매출!$B$2:$BI$155,MATCH($A12,Raw_매출!$A$2:$A$155,0),MATCH(EDATE($E12,AV$1-1),Raw_매출!$B$1:$BI$1,0))/(INDEX(요약_월별시즈널리티!$F$7:$F$18,MONTH(EDATE($E12,AV$1-1)))/100))),"")</f>
        <v>7048252.9152210103</v>
      </c>
      <c r="AW12" t="str" cm="1">
        <f t="array" ref="AW12">IFERROR(IF($E12&lt;44348,"",IF(INDEX(Raw_매출!$B$2:$BI$155,MATCH($A12,Raw_매출!$A$2:$A$155,0),MATCH(EDATE($E12,AW$1-1),Raw_매출!$B$1:$BI$1,0))=0,"",INDEX(Raw_매출!$B$2:$BI$155,MATCH($A12,Raw_매출!$A$2:$A$155,0),MATCH(EDATE($E12,AW$1-1),Raw_매출!$B$1:$BI$1,0))/(INDEX(요약_월별시즈널리티!$F$7:$F$18,MONTH(EDATE($E12,AW$1-1)))/100))),"")</f>
        <v/>
      </c>
      <c r="AX12" t="str" cm="1">
        <f t="array" ref="AX12">IFERROR(IF($E12&lt;44348,"",IF(INDEX(Raw_매출!$B$2:$BI$155,MATCH($A12,Raw_매출!$A$2:$A$155,0),MATCH(EDATE($E12,AX$1-1),Raw_매출!$B$1:$BI$1,0))=0,"",INDEX(Raw_매출!$B$2:$BI$155,MATCH($A12,Raw_매출!$A$2:$A$155,0),MATCH(EDATE($E12,AX$1-1),Raw_매출!$B$1:$BI$1,0))/(INDEX(요약_월별시즈널리티!$F$7:$F$18,MONTH(EDATE($E12,AX$1-1)))/100))),"")</f>
        <v/>
      </c>
      <c r="AY12" t="str" cm="1">
        <f t="array" ref="AY12">IFERROR(IF($E12&lt;44348,"",IF(INDEX(Raw_매출!$B$2:$BI$155,MATCH($A12,Raw_매출!$A$2:$A$155,0),MATCH(EDATE($E12,AY$1-1),Raw_매출!$B$1:$BI$1,0))=0,"",INDEX(Raw_매출!$B$2:$BI$155,MATCH($A12,Raw_매출!$A$2:$A$155,0),MATCH(EDATE($E12,AY$1-1),Raw_매출!$B$1:$BI$1,0))/(INDEX(요약_월별시즈널리티!$F$7:$F$18,MONTH(EDATE($E12,AY$1-1)))/100))),"")</f>
        <v/>
      </c>
      <c r="AZ12" t="str" cm="1">
        <f t="array" ref="AZ12">IFERROR(IF($E12&lt;44348,"",IF(INDEX(Raw_매출!$B$2:$BI$155,MATCH($A12,Raw_매출!$A$2:$A$155,0),MATCH(EDATE($E12,AZ$1-1),Raw_매출!$B$1:$BI$1,0))=0,"",INDEX(Raw_매출!$B$2:$BI$155,MATCH($A12,Raw_매출!$A$2:$A$155,0),MATCH(EDATE($E12,AZ$1-1),Raw_매출!$B$1:$BI$1,0))/(INDEX(요약_월별시즈널리티!$F$7:$F$18,MONTH(EDATE($E12,AZ$1-1)))/100))),"")</f>
        <v/>
      </c>
      <c r="BA12" t="str" cm="1">
        <f t="array" ref="BA12">IFERROR(IF($E12&lt;44348,"",IF(INDEX(Raw_매출!$B$2:$BI$155,MATCH($A12,Raw_매출!$A$2:$A$155,0),MATCH(EDATE($E12,BA$1-1),Raw_매출!$B$1:$BI$1,0))=0,"",INDEX(Raw_매출!$B$2:$BI$155,MATCH($A12,Raw_매출!$A$2:$A$155,0),MATCH(EDATE($E12,BA$1-1),Raw_매출!$B$1:$BI$1,0))/(INDEX(요약_월별시즈널리티!$F$7:$F$18,MONTH(EDATE($E12,BA$1-1)))/100))),"")</f>
        <v/>
      </c>
      <c r="BB12" t="str" cm="1">
        <f t="array" ref="BB12">IFERROR(IF($E12&lt;44348,"",IF(INDEX(Raw_매출!$B$2:$BI$155,MATCH($A12,Raw_매출!$A$2:$A$155,0),MATCH(EDATE($E12,BB$1-1),Raw_매출!$B$1:$BI$1,0))=0,"",INDEX(Raw_매출!$B$2:$BI$155,MATCH($A12,Raw_매출!$A$2:$A$155,0),MATCH(EDATE($E12,BB$1-1),Raw_매출!$B$1:$BI$1,0))/(INDEX(요약_월별시즈널리티!$F$7:$F$18,MONTH(EDATE($E12,BB$1-1)))/100))),"")</f>
        <v/>
      </c>
      <c r="BC12" t="str" cm="1">
        <f t="array" ref="BC12">IFERROR(IF($E12&lt;44348,"",IF(INDEX(Raw_매출!$B$2:$BI$155,MATCH($A12,Raw_매출!$A$2:$A$155,0),MATCH(EDATE($E12,BC$1-1),Raw_매출!$B$1:$BI$1,0))=0,"",INDEX(Raw_매출!$B$2:$BI$155,MATCH($A12,Raw_매출!$A$2:$A$155,0),MATCH(EDATE($E12,BC$1-1),Raw_매출!$B$1:$BI$1,0))/(INDEX(요약_월별시즈널리티!$F$7:$F$18,MONTH(EDATE($E12,BC$1-1)))/100))),"")</f>
        <v/>
      </c>
      <c r="BD12" t="str" cm="1">
        <f t="array" ref="BD12">IFERROR(IF($E12&lt;44348,"",IF(INDEX(Raw_매출!$B$2:$BI$155,MATCH($A12,Raw_매출!$A$2:$A$155,0),MATCH(EDATE($E12,BD$1-1),Raw_매출!$B$1:$BI$1,0))=0,"",INDEX(Raw_매출!$B$2:$BI$155,MATCH($A12,Raw_매출!$A$2:$A$155,0),MATCH(EDATE($E12,BD$1-1),Raw_매출!$B$1:$BI$1,0))/(INDEX(요약_월별시즈널리티!$F$7:$F$18,MONTH(EDATE($E12,BD$1-1)))/100))),"")</f>
        <v/>
      </c>
      <c r="BE12" t="str" cm="1">
        <f t="array" ref="BE12">IFERROR(IF($E12&lt;44348,"",IF(INDEX(Raw_매출!$B$2:$BI$155,MATCH($A12,Raw_매출!$A$2:$A$155,0),MATCH(EDATE($E12,BE$1-1),Raw_매출!$B$1:$BI$1,0))=0,"",INDEX(Raw_매출!$B$2:$BI$155,MATCH($A12,Raw_매출!$A$2:$A$155,0),MATCH(EDATE($E12,BE$1-1),Raw_매출!$B$1:$BI$1,0))/(INDEX(요약_월별시즈널리티!$F$7:$F$18,MONTH(EDATE($E12,BE$1-1)))/100))),"")</f>
        <v/>
      </c>
      <c r="BF12" t="str" cm="1">
        <f t="array" ref="BF12">IFERROR(IF($E12&lt;44348,"",IF(INDEX(Raw_매출!$B$2:$BI$155,MATCH($A12,Raw_매출!$A$2:$A$155,0),MATCH(EDATE($E12,BF$1-1),Raw_매출!$B$1:$BI$1,0))=0,"",INDEX(Raw_매출!$B$2:$BI$155,MATCH($A12,Raw_매출!$A$2:$A$155,0),MATCH(EDATE($E12,BF$1-1),Raw_매출!$B$1:$BI$1,0))/(INDEX(요약_월별시즈널리티!$F$7:$F$18,MONTH(EDATE($E12,BF$1-1)))/100))),"")</f>
        <v/>
      </c>
      <c r="BG12" t="str" cm="1">
        <f t="array" ref="BG12">IFERROR(IF($E12&lt;44348,"",IF(INDEX(Raw_매출!$B$2:$BI$155,MATCH($A12,Raw_매출!$A$2:$A$155,0),MATCH(EDATE($E12,BG$1-1),Raw_매출!$B$1:$BI$1,0))=0,"",INDEX(Raw_매출!$B$2:$BI$155,MATCH($A12,Raw_매출!$A$2:$A$155,0),MATCH(EDATE($E12,BG$1-1),Raw_매출!$B$1:$BI$1,0))/(INDEX(요약_월별시즈널리티!$F$7:$F$18,MONTH(EDATE($E12,BG$1-1)))/100))),"")</f>
        <v/>
      </c>
      <c r="BH12" t="str" cm="1">
        <f t="array" ref="BH12">IFERROR(IF($E12&lt;44348,"",IF(INDEX(Raw_매출!$B$2:$BI$155,MATCH($A12,Raw_매출!$A$2:$A$155,0),MATCH(EDATE($E12,BH$1-1),Raw_매출!$B$1:$BI$1,0))=0,"",INDEX(Raw_매출!$B$2:$BI$155,MATCH($A12,Raw_매출!$A$2:$A$155,0),MATCH(EDATE($E12,BH$1-1),Raw_매출!$B$1:$BI$1,0))/(INDEX(요약_월별시즈널리티!$F$7:$F$18,MONTH(EDATE($E12,BH$1-1)))/100))),"")</f>
        <v/>
      </c>
      <c r="BI12" t="str" cm="1">
        <f t="array" ref="BI12">IFERROR(IF($E12&lt;44348,"",IF(INDEX(Raw_매출!$B$2:$BI$155,MATCH($A12,Raw_매출!$A$2:$A$155,0),MATCH(EDATE($E12,BI$1-1),Raw_매출!$B$1:$BI$1,0))=0,"",INDEX(Raw_매출!$B$2:$BI$155,MATCH($A12,Raw_매출!$A$2:$A$155,0),MATCH(EDATE($E12,BI$1-1),Raw_매출!$B$1:$BI$1,0))/(INDEX(요약_월별시즈널리티!$F$7:$F$18,MONTH(EDATE($E12,BI$1-1)))/100))),"")</f>
        <v/>
      </c>
      <c r="BJ12" t="str" cm="1">
        <f t="array" ref="BJ12">IFERROR(IF($E12&lt;44348,"",IF(INDEX(Raw_매출!$B$2:$BI$155,MATCH($A12,Raw_매출!$A$2:$A$155,0),MATCH(EDATE($E12,BJ$1-1),Raw_매출!$B$1:$BI$1,0))=0,"",INDEX(Raw_매출!$B$2:$BI$155,MATCH($A12,Raw_매출!$A$2:$A$155,0),MATCH(EDATE($E12,BJ$1-1),Raw_매출!$B$1:$BI$1,0))/(INDEX(요약_월별시즈널리티!$F$7:$F$18,MONTH(EDATE($E12,BJ$1-1)))/100))),"")</f>
        <v/>
      </c>
      <c r="BK12" t="str" cm="1">
        <f t="array" ref="BK12">IFERROR(IF($E12&lt;44348,"",IF(INDEX(Raw_매출!$B$2:$BI$155,MATCH($A12,Raw_매출!$A$2:$A$155,0),MATCH(EDATE($E12,BK$1-1),Raw_매출!$B$1:$BI$1,0))=0,"",INDEX(Raw_매출!$B$2:$BI$155,MATCH($A12,Raw_매출!$A$2:$A$155,0),MATCH(EDATE($E12,BK$1-1),Raw_매출!$B$1:$BI$1,0))/(INDEX(요약_월별시즈널리티!$F$7:$F$18,MONTH(EDATE($E12,BK$1-1)))/100))),"")</f>
        <v/>
      </c>
      <c r="BL12" t="str" cm="1">
        <f t="array" ref="BL12">IFERROR(IF($E12&lt;44348,"",IF(INDEX(Raw_매출!$B$2:$BI$155,MATCH($A12,Raw_매출!$A$2:$A$155,0),MATCH(EDATE($E12,BL$1-1),Raw_매출!$B$1:$BI$1,0))=0,"",INDEX(Raw_매출!$B$2:$BI$155,MATCH($A12,Raw_매출!$A$2:$A$155,0),MATCH(EDATE($E12,BL$1-1),Raw_매출!$B$1:$BI$1,0))/(INDEX(요약_월별시즈널리티!$F$7:$F$18,MONTH(EDATE($E12,BL$1-1)))/100))),"")</f>
        <v/>
      </c>
      <c r="BM12" t="str" cm="1">
        <f t="array" ref="BM12">IFERROR(IF($E12&lt;44348,"",IF(INDEX(Raw_매출!$B$2:$BI$155,MATCH($A12,Raw_매출!$A$2:$A$155,0),MATCH(EDATE($E12,BM$1-1),Raw_매출!$B$1:$BI$1,0))=0,"",INDEX(Raw_매출!$B$2:$BI$155,MATCH($A12,Raw_매출!$A$2:$A$155,0),MATCH(EDATE($E12,BM$1-1),Raw_매출!$B$1:$BI$1,0))/(INDEX(요약_월별시즈널리티!$F$7:$F$18,MONTH(EDATE($E12,BM$1-1)))/100))),"")</f>
        <v/>
      </c>
      <c r="BN12" t="str" cm="1">
        <f t="array" ref="BN12">IFERROR(IF($E12&lt;44348,"",IF(INDEX(Raw_매출!$B$2:$BI$155,MATCH($A12,Raw_매출!$A$2:$A$155,0),MATCH(EDATE($E12,BN$1-1),Raw_매출!$B$1:$BI$1,0))=0,"",INDEX(Raw_매출!$B$2:$BI$155,MATCH($A12,Raw_매출!$A$2:$A$155,0),MATCH(EDATE($E12,BN$1-1),Raw_매출!$B$1:$BI$1,0))/(INDEX(요약_월별시즈널리티!$F$7:$F$18,MONTH(EDATE($E12,BN$1-1)))/100))),"")</f>
        <v/>
      </c>
    </row>
    <row r="13" spans="1:66" x14ac:dyDescent="0.4">
      <c r="A13" t="str">
        <f>세팅!A14</f>
        <v>(0012) 우송대북문점</v>
      </c>
      <c r="B13" t="str">
        <f>세팅!B14</f>
        <v>150-1</v>
      </c>
      <c r="C13">
        <f t="shared" si="0"/>
        <v>1</v>
      </c>
      <c r="D13" t="str">
        <f t="shared" si="1"/>
        <v>1</v>
      </c>
      <c r="E13" s="1">
        <f>세팅!D14</f>
        <v>45474</v>
      </c>
      <c r="F13">
        <f t="shared" si="2"/>
        <v>4048385.5851593553</v>
      </c>
      <c r="G13" cm="1">
        <f t="array" ref="G13">IFERROR(IF($E13&lt;44348,"",IF(INDEX(Raw_매출!$B$2:$BI$155,MATCH($A13,Raw_매출!$A$2:$A$155,0),MATCH(EDATE($E13,G$1-1),Raw_매출!$B$1:$BI$1,0))=0,"",INDEX(Raw_매출!$B$2:$BI$155,MATCH($A13,Raw_매출!$A$2:$A$155,0),MATCH(EDATE($E13,G$1-1),Raw_매출!$B$1:$BI$1,0))/(INDEX(요약_월별시즈널리티!$F$7:$F$18,MONTH(EDATE($E13,G$1-1)))/100))),"")</f>
        <v>2689220.7894952102</v>
      </c>
      <c r="H13" cm="1">
        <f t="array" ref="H13">IFERROR(IF($E13&lt;44348,"",IF(INDEX(Raw_매출!$B$2:$BI$155,MATCH($A13,Raw_매출!$A$2:$A$155,0),MATCH(EDATE($E13,H$1-1),Raw_매출!$B$1:$BI$1,0))=0,"",INDEX(Raw_매출!$B$2:$BI$155,MATCH($A13,Raw_매출!$A$2:$A$155,0),MATCH(EDATE($E13,H$1-1),Raw_매출!$B$1:$BI$1,0))/(INDEX(요약_월별시즈널리티!$F$7:$F$18,MONTH(EDATE($E13,H$1-1)))/100))),"")</f>
        <v>2920048.6499647847</v>
      </c>
      <c r="I13" cm="1">
        <f t="array" ref="I13">IFERROR(IF($E13&lt;44348,"",IF(INDEX(Raw_매출!$B$2:$BI$155,MATCH($A13,Raw_매출!$A$2:$A$155,0),MATCH(EDATE($E13,I$1-1),Raw_매출!$B$1:$BI$1,0))=0,"",INDEX(Raw_매출!$B$2:$BI$155,MATCH($A13,Raw_매출!$A$2:$A$155,0),MATCH(EDATE($E13,I$1-1),Raw_매출!$B$1:$BI$1,0))/(INDEX(요약_월별시즈널리티!$F$7:$F$18,MONTH(EDATE($E13,I$1-1)))/100))),"")</f>
        <v>4053680.430858803</v>
      </c>
      <c r="J13" s="30" cm="1">
        <f t="array" ref="J13">IFERROR(IF($E13&lt;44348,"",IF(INDEX(Raw_매출!$B$2:$BI$155,MATCH($A13,Raw_매출!$A$2:$A$155,0),MATCH(EDATE($E13,J$1-1),Raw_매출!$B$1:$BI$1,0))=0,"",INDEX(Raw_매출!$B$2:$BI$155,MATCH($A13,Raw_매출!$A$2:$A$155,0),MATCH(EDATE($E13,J$1-1),Raw_매출!$B$1:$BI$1,0))/(INDEX(요약_월별시즈널리티!$F$7:$F$18,MONTH(EDATE($E13,J$1-1)))/100))),"")</f>
        <v>3672032.5537820309</v>
      </c>
      <c r="K13" s="30" cm="1">
        <f t="array" ref="K13">IFERROR(IF($E13&lt;44348,"",IF(INDEX(Raw_매출!$B$2:$BI$155,MATCH($A13,Raw_매출!$A$2:$A$155,0),MATCH(EDATE($E13,K$1-1),Raw_매출!$B$1:$BI$1,0))=0,"",INDEX(Raw_매출!$B$2:$BI$155,MATCH($A13,Raw_매출!$A$2:$A$155,0),MATCH(EDATE($E13,K$1-1),Raw_매출!$B$1:$BI$1,0))/(INDEX(요약_월별시즈널리티!$F$7:$F$18,MONTH(EDATE($E13,K$1-1)))/100))),"")</f>
        <v>3747071.1263945466</v>
      </c>
      <c r="L13" s="30" cm="1">
        <f t="array" ref="L13">IFERROR(IF($E13&lt;44348,"",IF(INDEX(Raw_매출!$B$2:$BI$155,MATCH($A13,Raw_매출!$A$2:$A$155,0),MATCH(EDATE($E13,L$1-1),Raw_매출!$B$1:$BI$1,0))=0,"",INDEX(Raw_매출!$B$2:$BI$155,MATCH($A13,Raw_매출!$A$2:$A$155,0),MATCH(EDATE($E13,L$1-1),Raw_매출!$B$1:$BI$1,0))/(INDEX(요약_월별시즈널리티!$F$7:$F$18,MONTH(EDATE($E13,L$1-1)))/100))),"")</f>
        <v>4003606.1846826561</v>
      </c>
      <c r="M13" s="30" cm="1">
        <f t="array" ref="M13">IFERROR(IF($E13&lt;44348,"",IF(INDEX(Raw_매출!$B$2:$BI$155,MATCH($A13,Raw_매출!$A$2:$A$155,0),MATCH(EDATE($E13,M$1-1),Raw_매출!$B$1:$BI$1,0))=0,"",INDEX(Raw_매출!$B$2:$BI$155,MATCH($A13,Raw_매출!$A$2:$A$155,0),MATCH(EDATE($E13,M$1-1),Raw_매출!$B$1:$BI$1,0))/(INDEX(요약_월별시즈널리티!$F$7:$F$18,MONTH(EDATE($E13,M$1-1)))/100))),"")</f>
        <v>4426810.9205403952</v>
      </c>
      <c r="N13" s="30" cm="1">
        <f t="array" ref="N13">IFERROR(IF($E13&lt;44348,"",IF(INDEX(Raw_매출!$B$2:$BI$155,MATCH($A13,Raw_매출!$A$2:$A$155,0),MATCH(EDATE($E13,N$1-1),Raw_매출!$B$1:$BI$1,0))=0,"",INDEX(Raw_매출!$B$2:$BI$155,MATCH($A13,Raw_매출!$A$2:$A$155,0),MATCH(EDATE($E13,N$1-1),Raw_매출!$B$1:$BI$1,0))/(INDEX(요약_월별시즈널리티!$F$7:$F$18,MONTH(EDATE($E13,N$1-1)))/100))),"")</f>
        <v>4100594.586747095</v>
      </c>
      <c r="O13" s="30" cm="1">
        <f t="array" ref="O13">IFERROR(IF($E13&lt;44348,"",IF(INDEX(Raw_매출!$B$2:$BI$155,MATCH($A13,Raw_매출!$A$2:$A$155,0),MATCH(EDATE($E13,O$1-1),Raw_매출!$B$1:$BI$1,0))=0,"",INDEX(Raw_매출!$B$2:$BI$155,MATCH($A13,Raw_매출!$A$2:$A$155,0),MATCH(EDATE($E13,O$1-1),Raw_매출!$B$1:$BI$1,0))/(INDEX(요약_월별시즈널리티!$F$7:$F$18,MONTH(EDATE($E13,O$1-1)))/100))),"")</f>
        <v>4340198.1388094071</v>
      </c>
      <c r="P13" cm="1">
        <f t="array" ref="P13">IFERROR(IF($E13&lt;44348,"",IF(INDEX(Raw_매출!$B$2:$BI$155,MATCH($A13,Raw_매출!$A$2:$A$155,0),MATCH(EDATE($E13,P$1-1),Raw_매출!$B$1:$BI$1,0))=0,"",INDEX(Raw_매출!$B$2:$BI$155,MATCH($A13,Raw_매출!$A$2:$A$155,0),MATCH(EDATE($E13,P$1-1),Raw_매출!$B$1:$BI$1,0))/(INDEX(요약_월별시즈널리티!$F$7:$F$18,MONTH(EDATE($E13,P$1-1)))/100))),"")</f>
        <v>3736853.036006825</v>
      </c>
      <c r="Q13" cm="1">
        <f t="array" ref="Q13">IFERROR(IF($E13&lt;44348,"",IF(INDEX(Raw_매출!$B$2:$BI$155,MATCH($A13,Raw_매출!$A$2:$A$155,0),MATCH(EDATE($E13,Q$1-1),Raw_매출!$B$1:$BI$1,0))=0,"",INDEX(Raw_매출!$B$2:$BI$155,MATCH($A13,Raw_매출!$A$2:$A$155,0),MATCH(EDATE($E13,Q$1-1),Raw_매출!$B$1:$BI$1,0))/(INDEX(요약_월별시즈널리티!$F$7:$F$18,MONTH(EDATE($E13,Q$1-1)))/100))),"")</f>
        <v>4339576.5572602227</v>
      </c>
      <c r="R13" cm="1">
        <f t="array" ref="R13">IFERROR(IF($E13&lt;44348,"",IF(INDEX(Raw_매출!$B$2:$BI$155,MATCH($A13,Raw_매출!$A$2:$A$155,0),MATCH(EDATE($E13,R$1-1),Raw_매출!$B$1:$BI$1,0))=0,"",INDEX(Raw_매출!$B$2:$BI$155,MATCH($A13,Raw_매출!$A$2:$A$155,0),MATCH(EDATE($E13,R$1-1),Raw_매출!$B$1:$BI$1,0))/(INDEX(요약_월별시즈널리티!$F$7:$F$18,MONTH(EDATE($E13,R$1-1)))/100))),"")</f>
        <v>3776729.8710910142</v>
      </c>
      <c r="S13" cm="1">
        <f t="array" ref="S13">IFERROR(IF($E13&lt;44348,"",IF(INDEX(Raw_매출!$B$2:$BI$155,MATCH($A13,Raw_매출!$A$2:$A$155,0),MATCH(EDATE($E13,S$1-1),Raw_매출!$B$1:$BI$1,0))=0,"",INDEX(Raw_매출!$B$2:$BI$155,MATCH($A13,Raw_매출!$A$2:$A$155,0),MATCH(EDATE($E13,S$1-1),Raw_매출!$B$1:$BI$1,0))/(INDEX(요약_월별시즈널리티!$F$7:$F$18,MONTH(EDATE($E13,S$1-1)))/100))),"")</f>
        <v>3058388.716733377</v>
      </c>
      <c r="T13" cm="1">
        <f t="array" ref="T13">IFERROR(IF($E13&lt;44348,"",IF(INDEX(Raw_매출!$B$2:$BI$155,MATCH($A13,Raw_매출!$A$2:$A$155,0),MATCH(EDATE($E13,T$1-1),Raw_매출!$B$1:$BI$1,0))=0,"",INDEX(Raw_매출!$B$2:$BI$155,MATCH($A13,Raw_매출!$A$2:$A$155,0),MATCH(EDATE($E13,T$1-1),Raw_매출!$B$1:$BI$1,0))/(INDEX(요약_월별시즈널리티!$F$7:$F$18,MONTH(EDATE($E13,T$1-1)))/100))),"")</f>
        <v>3241935.3660717099</v>
      </c>
      <c r="U13" cm="1">
        <f t="array" ref="U13">IFERROR(IF($E13&lt;44348,"",IF(INDEX(Raw_매출!$B$2:$BI$155,MATCH($A13,Raw_매출!$A$2:$A$155,0),MATCH(EDATE($E13,U$1-1),Raw_매출!$B$1:$BI$1,0))=0,"",INDEX(Raw_매출!$B$2:$BI$155,MATCH($A13,Raw_매출!$A$2:$A$155,0),MATCH(EDATE($E13,U$1-1),Raw_매출!$B$1:$BI$1,0))/(INDEX(요약_월별시즈널리티!$F$7:$F$18,MONTH(EDATE($E13,U$1-1)))/100))),"")</f>
        <v>4869192.6146927075</v>
      </c>
      <c r="V13" cm="1">
        <f t="array" ref="V13">IFERROR(IF($E13&lt;44348,"",IF(INDEX(Raw_매출!$B$2:$BI$155,MATCH($A13,Raw_매출!$A$2:$A$155,0),MATCH(EDATE($E13,V$1-1),Raw_매출!$B$1:$BI$1,0))=0,"",INDEX(Raw_매출!$B$2:$BI$155,MATCH($A13,Raw_매출!$A$2:$A$155,0),MATCH(EDATE($E13,V$1-1),Raw_매출!$B$1:$BI$1,0))/(INDEX(요약_월별시즈널리티!$F$7:$F$18,MONTH(EDATE($E13,V$1-1)))/100))),"")</f>
        <v>4387317.0579822622</v>
      </c>
      <c r="W13" cm="1">
        <f t="array" ref="W13">IFERROR(IF($E13&lt;44348,"",IF(INDEX(Raw_매출!$B$2:$BI$155,MATCH($A13,Raw_매출!$A$2:$A$155,0),MATCH(EDATE($E13,W$1-1),Raw_매출!$B$1:$BI$1,0))=0,"",INDEX(Raw_매출!$B$2:$BI$155,MATCH($A13,Raw_매출!$A$2:$A$155,0),MATCH(EDATE($E13,W$1-1),Raw_매출!$B$1:$BI$1,0))/(INDEX(요약_월별시즈널리티!$F$7:$F$18,MONTH(EDATE($E13,W$1-1)))/100))),"")</f>
        <v>4371040.2986786794</v>
      </c>
      <c r="X13" cm="1">
        <f t="array" ref="X13">IFERROR(IF($E13&lt;44348,"",IF(INDEX(Raw_매출!$B$2:$BI$155,MATCH($A13,Raw_매출!$A$2:$A$155,0),MATCH(EDATE($E13,X$1-1),Raw_매출!$B$1:$BI$1,0))=0,"",INDEX(Raw_매출!$B$2:$BI$155,MATCH($A13,Raw_매출!$A$2:$A$155,0),MATCH(EDATE($E13,X$1-1),Raw_매출!$B$1:$BI$1,0))/(INDEX(요약_월별시즈널리티!$F$7:$F$18,MONTH(EDATE($E13,X$1-1)))/100))),"")</f>
        <v>4835585.9373951722</v>
      </c>
      <c r="Y13" cm="1">
        <f t="array" ref="Y13">IFERROR(IF($E13&lt;44348,"",IF(INDEX(Raw_매출!$B$2:$BI$155,MATCH($A13,Raw_매출!$A$2:$A$155,0),MATCH(EDATE($E13,Y$1-1),Raw_매출!$B$1:$BI$1,0))=0,"",INDEX(Raw_매출!$B$2:$BI$155,MATCH($A13,Raw_매출!$A$2:$A$155,0),MATCH(EDATE($E13,Y$1-1),Raw_매출!$B$1:$BI$1,0))/(INDEX(요약_월별시즈널리티!$F$7:$F$18,MONTH(EDATE($E13,Y$1-1)))/100))),"")</f>
        <v>4526074.5541197406</v>
      </c>
      <c r="Z13" cm="1">
        <f t="array" ref="Z13">IFERROR(IF($E13&lt;44348,"",IF(INDEX(Raw_매출!$B$2:$BI$155,MATCH($A13,Raw_매출!$A$2:$A$155,0),MATCH(EDATE($E13,Z$1-1),Raw_매출!$B$1:$BI$1,0))=0,"",INDEX(Raw_매출!$B$2:$BI$155,MATCH($A13,Raw_매출!$A$2:$A$155,0),MATCH(EDATE($E13,Z$1-1),Raw_매출!$B$1:$BI$1,0))/(INDEX(요약_월별시즈널리티!$F$7:$F$18,MONTH(EDATE($E13,Z$1-1)))/100))),"")</f>
        <v>5764062.3615577603</v>
      </c>
      <c r="AA13" cm="1">
        <f t="array" ref="AA13">IFERROR(IF($E13&lt;44348,"",IF(INDEX(Raw_매출!$B$2:$BI$155,MATCH($A13,Raw_매출!$A$2:$A$155,0),MATCH(EDATE($E13,AA$1-1),Raw_매출!$B$1:$BI$1,0))=0,"",INDEX(Raw_매출!$B$2:$BI$155,MATCH($A13,Raw_매출!$A$2:$A$155,0),MATCH(EDATE($E13,AA$1-1),Raw_매출!$B$1:$BI$1,0))/(INDEX(요약_월별시즈널리티!$F$7:$F$18,MONTH(EDATE($E13,AA$1-1)))/100))),"")</f>
        <v>5549975.4738891674</v>
      </c>
      <c r="AB13" cm="1">
        <f t="array" ref="AB13">IFERROR(IF($E13&lt;44348,"",IF(INDEX(Raw_매출!$B$2:$BI$155,MATCH($A13,Raw_매출!$A$2:$A$155,0),MATCH(EDATE($E13,AB$1-1),Raw_매출!$B$1:$BI$1,0))=0,"",INDEX(Raw_매출!$B$2:$BI$155,MATCH($A13,Raw_매출!$A$2:$A$155,0),MATCH(EDATE($E13,AB$1-1),Raw_매출!$B$1:$BI$1,0))/(INDEX(요약_월별시즈널리티!$F$7:$F$18,MONTH(EDATE($E13,AB$1-1)))/100))),"")</f>
        <v>4903631.2669185465</v>
      </c>
      <c r="AC13" cm="1">
        <f t="array" ref="AC13">IFERROR(IF($E13&lt;44348,"",IF(INDEX(Raw_매출!$B$2:$BI$155,MATCH($A13,Raw_매출!$A$2:$A$155,0),MATCH(EDATE($E13,AC$1-1),Raw_매출!$B$1:$BI$1,0))=0,"",INDEX(Raw_매출!$B$2:$BI$155,MATCH($A13,Raw_매출!$A$2:$A$155,0),MATCH(EDATE($E13,AC$1-1),Raw_매출!$B$1:$BI$1,0))/(INDEX(요약_월별시즈널리티!$F$7:$F$18,MONTH(EDATE($E13,AC$1-1)))/100))),"")</f>
        <v>4576576.8411059752</v>
      </c>
      <c r="AD13" t="str" cm="1">
        <f t="array" ref="AD13">IFERROR(IF($E13&lt;44348,"",IF(INDEX(Raw_매출!$B$2:$BI$155,MATCH($A13,Raw_매출!$A$2:$A$155,0),MATCH(EDATE($E13,AD$1-1),Raw_매출!$B$1:$BI$1,0))=0,"",INDEX(Raw_매출!$B$2:$BI$155,MATCH($A13,Raw_매출!$A$2:$A$155,0),MATCH(EDATE($E13,AD$1-1),Raw_매출!$B$1:$BI$1,0))/(INDEX(요약_월별시즈널리티!$F$7:$F$18,MONTH(EDATE($E13,AD$1-1)))/100))),"")</f>
        <v/>
      </c>
      <c r="AE13" t="str" cm="1">
        <f t="array" ref="AE13">IFERROR(IF($E13&lt;44348,"",IF(INDEX(Raw_매출!$B$2:$BI$155,MATCH($A13,Raw_매출!$A$2:$A$155,0),MATCH(EDATE($E13,AE$1-1),Raw_매출!$B$1:$BI$1,0))=0,"",INDEX(Raw_매출!$B$2:$BI$155,MATCH($A13,Raw_매출!$A$2:$A$155,0),MATCH(EDATE($E13,AE$1-1),Raw_매출!$B$1:$BI$1,0))/(INDEX(요약_월별시즈널리티!$F$7:$F$18,MONTH(EDATE($E13,AE$1-1)))/100))),"")</f>
        <v/>
      </c>
      <c r="AF13" t="str" cm="1">
        <f t="array" ref="AF13">IFERROR(IF($E13&lt;44348,"",IF(INDEX(Raw_매출!$B$2:$BI$155,MATCH($A13,Raw_매출!$A$2:$A$155,0),MATCH(EDATE($E13,AF$1-1),Raw_매출!$B$1:$BI$1,0))=0,"",INDEX(Raw_매출!$B$2:$BI$155,MATCH($A13,Raw_매출!$A$2:$A$155,0),MATCH(EDATE($E13,AF$1-1),Raw_매출!$B$1:$BI$1,0))/(INDEX(요약_월별시즈널리티!$F$7:$F$18,MONTH(EDATE($E13,AF$1-1)))/100))),"")</f>
        <v/>
      </c>
      <c r="AG13" t="str" cm="1">
        <f t="array" ref="AG13">IFERROR(IF($E13&lt;44348,"",IF(INDEX(Raw_매출!$B$2:$BI$155,MATCH($A13,Raw_매출!$A$2:$A$155,0),MATCH(EDATE($E13,AG$1-1),Raw_매출!$B$1:$BI$1,0))=0,"",INDEX(Raw_매출!$B$2:$BI$155,MATCH($A13,Raw_매출!$A$2:$A$155,0),MATCH(EDATE($E13,AG$1-1),Raw_매출!$B$1:$BI$1,0))/(INDEX(요약_월별시즈널리티!$F$7:$F$18,MONTH(EDATE($E13,AG$1-1)))/100))),"")</f>
        <v/>
      </c>
      <c r="AH13" t="str" cm="1">
        <f t="array" ref="AH13">IFERROR(IF($E13&lt;44348,"",IF(INDEX(Raw_매출!$B$2:$BI$155,MATCH($A13,Raw_매출!$A$2:$A$155,0),MATCH(EDATE($E13,AH$1-1),Raw_매출!$B$1:$BI$1,0))=0,"",INDEX(Raw_매출!$B$2:$BI$155,MATCH($A13,Raw_매출!$A$2:$A$155,0),MATCH(EDATE($E13,AH$1-1),Raw_매출!$B$1:$BI$1,0))/(INDEX(요약_월별시즈널리티!$F$7:$F$18,MONTH(EDATE($E13,AH$1-1)))/100))),"")</f>
        <v/>
      </c>
      <c r="AI13" t="str" cm="1">
        <f t="array" ref="AI13">IFERROR(IF($E13&lt;44348,"",IF(INDEX(Raw_매출!$B$2:$BI$155,MATCH($A13,Raw_매출!$A$2:$A$155,0),MATCH(EDATE($E13,AI$1-1),Raw_매출!$B$1:$BI$1,0))=0,"",INDEX(Raw_매출!$B$2:$BI$155,MATCH($A13,Raw_매출!$A$2:$A$155,0),MATCH(EDATE($E13,AI$1-1),Raw_매출!$B$1:$BI$1,0))/(INDEX(요약_월별시즈널리티!$F$7:$F$18,MONTH(EDATE($E13,AI$1-1)))/100))),"")</f>
        <v/>
      </c>
      <c r="AJ13" t="str" cm="1">
        <f t="array" ref="AJ13">IFERROR(IF($E13&lt;44348,"",IF(INDEX(Raw_매출!$B$2:$BI$155,MATCH($A13,Raw_매출!$A$2:$A$155,0),MATCH(EDATE($E13,AJ$1-1),Raw_매출!$B$1:$BI$1,0))=0,"",INDEX(Raw_매출!$B$2:$BI$155,MATCH($A13,Raw_매출!$A$2:$A$155,0),MATCH(EDATE($E13,AJ$1-1),Raw_매출!$B$1:$BI$1,0))/(INDEX(요약_월별시즈널리티!$F$7:$F$18,MONTH(EDATE($E13,AJ$1-1)))/100))),"")</f>
        <v/>
      </c>
      <c r="AK13" t="str" cm="1">
        <f t="array" ref="AK13">IFERROR(IF($E13&lt;44348,"",IF(INDEX(Raw_매출!$B$2:$BI$155,MATCH($A13,Raw_매출!$A$2:$A$155,0),MATCH(EDATE($E13,AK$1-1),Raw_매출!$B$1:$BI$1,0))=0,"",INDEX(Raw_매출!$B$2:$BI$155,MATCH($A13,Raw_매출!$A$2:$A$155,0),MATCH(EDATE($E13,AK$1-1),Raw_매출!$B$1:$BI$1,0))/(INDEX(요약_월별시즈널리티!$F$7:$F$18,MONTH(EDATE($E13,AK$1-1)))/100))),"")</f>
        <v/>
      </c>
      <c r="AL13" t="str" cm="1">
        <f t="array" ref="AL13">IFERROR(IF($E13&lt;44348,"",IF(INDEX(Raw_매출!$B$2:$BI$155,MATCH($A13,Raw_매출!$A$2:$A$155,0),MATCH(EDATE($E13,AL$1-1),Raw_매출!$B$1:$BI$1,0))=0,"",INDEX(Raw_매출!$B$2:$BI$155,MATCH($A13,Raw_매출!$A$2:$A$155,0),MATCH(EDATE($E13,AL$1-1),Raw_매출!$B$1:$BI$1,0))/(INDEX(요약_월별시즈널리티!$F$7:$F$18,MONTH(EDATE($E13,AL$1-1)))/100))),"")</f>
        <v/>
      </c>
      <c r="AM13" t="str" cm="1">
        <f t="array" ref="AM13">IFERROR(IF($E13&lt;44348,"",IF(INDEX(Raw_매출!$B$2:$BI$155,MATCH($A13,Raw_매출!$A$2:$A$155,0),MATCH(EDATE($E13,AM$1-1),Raw_매출!$B$1:$BI$1,0))=0,"",INDEX(Raw_매출!$B$2:$BI$155,MATCH($A13,Raw_매출!$A$2:$A$155,0),MATCH(EDATE($E13,AM$1-1),Raw_매출!$B$1:$BI$1,0))/(INDEX(요약_월별시즈널리티!$F$7:$F$18,MONTH(EDATE($E13,AM$1-1)))/100))),"")</f>
        <v/>
      </c>
      <c r="AN13" t="str" cm="1">
        <f t="array" ref="AN13">IFERROR(IF($E13&lt;44348,"",IF(INDEX(Raw_매출!$B$2:$BI$155,MATCH($A13,Raw_매출!$A$2:$A$155,0),MATCH(EDATE($E13,AN$1-1),Raw_매출!$B$1:$BI$1,0))=0,"",INDEX(Raw_매출!$B$2:$BI$155,MATCH($A13,Raw_매출!$A$2:$A$155,0),MATCH(EDATE($E13,AN$1-1),Raw_매출!$B$1:$BI$1,0))/(INDEX(요약_월별시즈널리티!$F$7:$F$18,MONTH(EDATE($E13,AN$1-1)))/100))),"")</f>
        <v/>
      </c>
      <c r="AO13" t="str" cm="1">
        <f t="array" ref="AO13">IFERROR(IF($E13&lt;44348,"",IF(INDEX(Raw_매출!$B$2:$BI$155,MATCH($A13,Raw_매출!$A$2:$A$155,0),MATCH(EDATE($E13,AO$1-1),Raw_매출!$B$1:$BI$1,0))=0,"",INDEX(Raw_매출!$B$2:$BI$155,MATCH($A13,Raw_매출!$A$2:$A$155,0),MATCH(EDATE($E13,AO$1-1),Raw_매출!$B$1:$BI$1,0))/(INDEX(요약_월별시즈널리티!$F$7:$F$18,MONTH(EDATE($E13,AO$1-1)))/100))),"")</f>
        <v/>
      </c>
      <c r="AP13" t="str" cm="1">
        <f t="array" ref="AP13">IFERROR(IF($E13&lt;44348,"",IF(INDEX(Raw_매출!$B$2:$BI$155,MATCH($A13,Raw_매출!$A$2:$A$155,0),MATCH(EDATE($E13,AP$1-1),Raw_매출!$B$1:$BI$1,0))=0,"",INDEX(Raw_매출!$B$2:$BI$155,MATCH($A13,Raw_매출!$A$2:$A$155,0),MATCH(EDATE($E13,AP$1-1),Raw_매출!$B$1:$BI$1,0))/(INDEX(요약_월별시즈널리티!$F$7:$F$18,MONTH(EDATE($E13,AP$1-1)))/100))),"")</f>
        <v/>
      </c>
      <c r="AQ13" t="str" cm="1">
        <f t="array" ref="AQ13">IFERROR(IF($E13&lt;44348,"",IF(INDEX(Raw_매출!$B$2:$BI$155,MATCH($A13,Raw_매출!$A$2:$A$155,0),MATCH(EDATE($E13,AQ$1-1),Raw_매출!$B$1:$BI$1,0))=0,"",INDEX(Raw_매출!$B$2:$BI$155,MATCH($A13,Raw_매출!$A$2:$A$155,0),MATCH(EDATE($E13,AQ$1-1),Raw_매출!$B$1:$BI$1,0))/(INDEX(요약_월별시즈널리티!$F$7:$F$18,MONTH(EDATE($E13,AQ$1-1)))/100))),"")</f>
        <v/>
      </c>
      <c r="AR13" t="str" cm="1">
        <f t="array" ref="AR13">IFERROR(IF($E13&lt;44348,"",IF(INDEX(Raw_매출!$B$2:$BI$155,MATCH($A13,Raw_매출!$A$2:$A$155,0),MATCH(EDATE($E13,AR$1-1),Raw_매출!$B$1:$BI$1,0))=0,"",INDEX(Raw_매출!$B$2:$BI$155,MATCH($A13,Raw_매출!$A$2:$A$155,0),MATCH(EDATE($E13,AR$1-1),Raw_매출!$B$1:$BI$1,0))/(INDEX(요약_월별시즈널리티!$F$7:$F$18,MONTH(EDATE($E13,AR$1-1)))/100))),"")</f>
        <v/>
      </c>
      <c r="AS13" t="str" cm="1">
        <f t="array" ref="AS13">IFERROR(IF($E13&lt;44348,"",IF(INDEX(Raw_매출!$B$2:$BI$155,MATCH($A13,Raw_매출!$A$2:$A$155,0),MATCH(EDATE($E13,AS$1-1),Raw_매출!$B$1:$BI$1,0))=0,"",INDEX(Raw_매출!$B$2:$BI$155,MATCH($A13,Raw_매출!$A$2:$A$155,0),MATCH(EDATE($E13,AS$1-1),Raw_매출!$B$1:$BI$1,0))/(INDEX(요약_월별시즈널리티!$F$7:$F$18,MONTH(EDATE($E13,AS$1-1)))/100))),"")</f>
        <v/>
      </c>
      <c r="AT13" t="str" cm="1">
        <f t="array" ref="AT13">IFERROR(IF($E13&lt;44348,"",IF(INDEX(Raw_매출!$B$2:$BI$155,MATCH($A13,Raw_매출!$A$2:$A$155,0),MATCH(EDATE($E13,AT$1-1),Raw_매출!$B$1:$BI$1,0))=0,"",INDEX(Raw_매출!$B$2:$BI$155,MATCH($A13,Raw_매출!$A$2:$A$155,0),MATCH(EDATE($E13,AT$1-1),Raw_매출!$B$1:$BI$1,0))/(INDEX(요약_월별시즈널리티!$F$7:$F$18,MONTH(EDATE($E13,AT$1-1)))/100))),"")</f>
        <v/>
      </c>
      <c r="AU13" t="str" cm="1">
        <f t="array" ref="AU13">IFERROR(IF($E13&lt;44348,"",IF(INDEX(Raw_매출!$B$2:$BI$155,MATCH($A13,Raw_매출!$A$2:$A$155,0),MATCH(EDATE($E13,AU$1-1),Raw_매출!$B$1:$BI$1,0))=0,"",INDEX(Raw_매출!$B$2:$BI$155,MATCH($A13,Raw_매출!$A$2:$A$155,0),MATCH(EDATE($E13,AU$1-1),Raw_매출!$B$1:$BI$1,0))/(INDEX(요약_월별시즈널리티!$F$7:$F$18,MONTH(EDATE($E13,AU$1-1)))/100))),"")</f>
        <v/>
      </c>
      <c r="AV13" t="str" cm="1">
        <f t="array" ref="AV13">IFERROR(IF($E13&lt;44348,"",IF(INDEX(Raw_매출!$B$2:$BI$155,MATCH($A13,Raw_매출!$A$2:$A$155,0),MATCH(EDATE($E13,AV$1-1),Raw_매출!$B$1:$BI$1,0))=0,"",INDEX(Raw_매출!$B$2:$BI$155,MATCH($A13,Raw_매출!$A$2:$A$155,0),MATCH(EDATE($E13,AV$1-1),Raw_매출!$B$1:$BI$1,0))/(INDEX(요약_월별시즈널리티!$F$7:$F$18,MONTH(EDATE($E13,AV$1-1)))/100))),"")</f>
        <v/>
      </c>
      <c r="AW13" t="str" cm="1">
        <f t="array" ref="AW13">IFERROR(IF($E13&lt;44348,"",IF(INDEX(Raw_매출!$B$2:$BI$155,MATCH($A13,Raw_매출!$A$2:$A$155,0),MATCH(EDATE($E13,AW$1-1),Raw_매출!$B$1:$BI$1,0))=0,"",INDEX(Raw_매출!$B$2:$BI$155,MATCH($A13,Raw_매출!$A$2:$A$155,0),MATCH(EDATE($E13,AW$1-1),Raw_매출!$B$1:$BI$1,0))/(INDEX(요약_월별시즈널리티!$F$7:$F$18,MONTH(EDATE($E13,AW$1-1)))/100))),"")</f>
        <v/>
      </c>
      <c r="AX13" t="str" cm="1">
        <f t="array" ref="AX13">IFERROR(IF($E13&lt;44348,"",IF(INDEX(Raw_매출!$B$2:$BI$155,MATCH($A13,Raw_매출!$A$2:$A$155,0),MATCH(EDATE($E13,AX$1-1),Raw_매출!$B$1:$BI$1,0))=0,"",INDEX(Raw_매출!$B$2:$BI$155,MATCH($A13,Raw_매출!$A$2:$A$155,0),MATCH(EDATE($E13,AX$1-1),Raw_매출!$B$1:$BI$1,0))/(INDEX(요약_월별시즈널리티!$F$7:$F$18,MONTH(EDATE($E13,AX$1-1)))/100))),"")</f>
        <v/>
      </c>
      <c r="AY13" t="str" cm="1">
        <f t="array" ref="AY13">IFERROR(IF($E13&lt;44348,"",IF(INDEX(Raw_매출!$B$2:$BI$155,MATCH($A13,Raw_매출!$A$2:$A$155,0),MATCH(EDATE($E13,AY$1-1),Raw_매출!$B$1:$BI$1,0))=0,"",INDEX(Raw_매출!$B$2:$BI$155,MATCH($A13,Raw_매출!$A$2:$A$155,0),MATCH(EDATE($E13,AY$1-1),Raw_매출!$B$1:$BI$1,0))/(INDEX(요약_월별시즈널리티!$F$7:$F$18,MONTH(EDATE($E13,AY$1-1)))/100))),"")</f>
        <v/>
      </c>
      <c r="AZ13" t="str" cm="1">
        <f t="array" ref="AZ13">IFERROR(IF($E13&lt;44348,"",IF(INDEX(Raw_매출!$B$2:$BI$155,MATCH($A13,Raw_매출!$A$2:$A$155,0),MATCH(EDATE($E13,AZ$1-1),Raw_매출!$B$1:$BI$1,0))=0,"",INDEX(Raw_매출!$B$2:$BI$155,MATCH($A13,Raw_매출!$A$2:$A$155,0),MATCH(EDATE($E13,AZ$1-1),Raw_매출!$B$1:$BI$1,0))/(INDEX(요약_월별시즈널리티!$F$7:$F$18,MONTH(EDATE($E13,AZ$1-1)))/100))),"")</f>
        <v/>
      </c>
      <c r="BA13" t="str" cm="1">
        <f t="array" ref="BA13">IFERROR(IF($E13&lt;44348,"",IF(INDEX(Raw_매출!$B$2:$BI$155,MATCH($A13,Raw_매출!$A$2:$A$155,0),MATCH(EDATE($E13,BA$1-1),Raw_매출!$B$1:$BI$1,0))=0,"",INDEX(Raw_매출!$B$2:$BI$155,MATCH($A13,Raw_매출!$A$2:$A$155,0),MATCH(EDATE($E13,BA$1-1),Raw_매출!$B$1:$BI$1,0))/(INDEX(요약_월별시즈널리티!$F$7:$F$18,MONTH(EDATE($E13,BA$1-1)))/100))),"")</f>
        <v/>
      </c>
      <c r="BB13" t="str" cm="1">
        <f t="array" ref="BB13">IFERROR(IF($E13&lt;44348,"",IF(INDEX(Raw_매출!$B$2:$BI$155,MATCH($A13,Raw_매출!$A$2:$A$155,0),MATCH(EDATE($E13,BB$1-1),Raw_매출!$B$1:$BI$1,0))=0,"",INDEX(Raw_매출!$B$2:$BI$155,MATCH($A13,Raw_매출!$A$2:$A$155,0),MATCH(EDATE($E13,BB$1-1),Raw_매출!$B$1:$BI$1,0))/(INDEX(요약_월별시즈널리티!$F$7:$F$18,MONTH(EDATE($E13,BB$1-1)))/100))),"")</f>
        <v/>
      </c>
      <c r="BC13" t="str" cm="1">
        <f t="array" ref="BC13">IFERROR(IF($E13&lt;44348,"",IF(INDEX(Raw_매출!$B$2:$BI$155,MATCH($A13,Raw_매출!$A$2:$A$155,0),MATCH(EDATE($E13,BC$1-1),Raw_매출!$B$1:$BI$1,0))=0,"",INDEX(Raw_매출!$B$2:$BI$155,MATCH($A13,Raw_매출!$A$2:$A$155,0),MATCH(EDATE($E13,BC$1-1),Raw_매출!$B$1:$BI$1,0))/(INDEX(요약_월별시즈널리티!$F$7:$F$18,MONTH(EDATE($E13,BC$1-1)))/100))),"")</f>
        <v/>
      </c>
      <c r="BD13" t="str" cm="1">
        <f t="array" ref="BD13">IFERROR(IF($E13&lt;44348,"",IF(INDEX(Raw_매출!$B$2:$BI$155,MATCH($A13,Raw_매출!$A$2:$A$155,0),MATCH(EDATE($E13,BD$1-1),Raw_매출!$B$1:$BI$1,0))=0,"",INDEX(Raw_매출!$B$2:$BI$155,MATCH($A13,Raw_매출!$A$2:$A$155,0),MATCH(EDATE($E13,BD$1-1),Raw_매출!$B$1:$BI$1,0))/(INDEX(요약_월별시즈널리티!$F$7:$F$18,MONTH(EDATE($E13,BD$1-1)))/100))),"")</f>
        <v/>
      </c>
      <c r="BE13" t="str" cm="1">
        <f t="array" ref="BE13">IFERROR(IF($E13&lt;44348,"",IF(INDEX(Raw_매출!$B$2:$BI$155,MATCH($A13,Raw_매출!$A$2:$A$155,0),MATCH(EDATE($E13,BE$1-1),Raw_매출!$B$1:$BI$1,0))=0,"",INDEX(Raw_매출!$B$2:$BI$155,MATCH($A13,Raw_매출!$A$2:$A$155,0),MATCH(EDATE($E13,BE$1-1),Raw_매출!$B$1:$BI$1,0))/(INDEX(요약_월별시즈널리티!$F$7:$F$18,MONTH(EDATE($E13,BE$1-1)))/100))),"")</f>
        <v/>
      </c>
      <c r="BF13" t="str" cm="1">
        <f t="array" ref="BF13">IFERROR(IF($E13&lt;44348,"",IF(INDEX(Raw_매출!$B$2:$BI$155,MATCH($A13,Raw_매출!$A$2:$A$155,0),MATCH(EDATE($E13,BF$1-1),Raw_매출!$B$1:$BI$1,0))=0,"",INDEX(Raw_매출!$B$2:$BI$155,MATCH($A13,Raw_매출!$A$2:$A$155,0),MATCH(EDATE($E13,BF$1-1),Raw_매출!$B$1:$BI$1,0))/(INDEX(요약_월별시즈널리티!$F$7:$F$18,MONTH(EDATE($E13,BF$1-1)))/100))),"")</f>
        <v/>
      </c>
      <c r="BG13" t="str" cm="1">
        <f t="array" ref="BG13">IFERROR(IF($E13&lt;44348,"",IF(INDEX(Raw_매출!$B$2:$BI$155,MATCH($A13,Raw_매출!$A$2:$A$155,0),MATCH(EDATE($E13,BG$1-1),Raw_매출!$B$1:$BI$1,0))=0,"",INDEX(Raw_매출!$B$2:$BI$155,MATCH($A13,Raw_매출!$A$2:$A$155,0),MATCH(EDATE($E13,BG$1-1),Raw_매출!$B$1:$BI$1,0))/(INDEX(요약_월별시즈널리티!$F$7:$F$18,MONTH(EDATE($E13,BG$1-1)))/100))),"")</f>
        <v/>
      </c>
      <c r="BH13" t="str" cm="1">
        <f t="array" ref="BH13">IFERROR(IF($E13&lt;44348,"",IF(INDEX(Raw_매출!$B$2:$BI$155,MATCH($A13,Raw_매출!$A$2:$A$155,0),MATCH(EDATE($E13,BH$1-1),Raw_매출!$B$1:$BI$1,0))=0,"",INDEX(Raw_매출!$B$2:$BI$155,MATCH($A13,Raw_매출!$A$2:$A$155,0),MATCH(EDATE($E13,BH$1-1),Raw_매출!$B$1:$BI$1,0))/(INDEX(요약_월별시즈널리티!$F$7:$F$18,MONTH(EDATE($E13,BH$1-1)))/100))),"")</f>
        <v/>
      </c>
      <c r="BI13" t="str" cm="1">
        <f t="array" ref="BI13">IFERROR(IF($E13&lt;44348,"",IF(INDEX(Raw_매출!$B$2:$BI$155,MATCH($A13,Raw_매출!$A$2:$A$155,0),MATCH(EDATE($E13,BI$1-1),Raw_매출!$B$1:$BI$1,0))=0,"",INDEX(Raw_매출!$B$2:$BI$155,MATCH($A13,Raw_매출!$A$2:$A$155,0),MATCH(EDATE($E13,BI$1-1),Raw_매출!$B$1:$BI$1,0))/(INDEX(요약_월별시즈널리티!$F$7:$F$18,MONTH(EDATE($E13,BI$1-1)))/100))),"")</f>
        <v/>
      </c>
      <c r="BJ13" t="str" cm="1">
        <f t="array" ref="BJ13">IFERROR(IF($E13&lt;44348,"",IF(INDEX(Raw_매출!$B$2:$BI$155,MATCH($A13,Raw_매출!$A$2:$A$155,0),MATCH(EDATE($E13,BJ$1-1),Raw_매출!$B$1:$BI$1,0))=0,"",INDEX(Raw_매출!$B$2:$BI$155,MATCH($A13,Raw_매출!$A$2:$A$155,0),MATCH(EDATE($E13,BJ$1-1),Raw_매출!$B$1:$BI$1,0))/(INDEX(요약_월별시즈널리티!$F$7:$F$18,MONTH(EDATE($E13,BJ$1-1)))/100))),"")</f>
        <v/>
      </c>
      <c r="BK13" t="str" cm="1">
        <f t="array" ref="BK13">IFERROR(IF($E13&lt;44348,"",IF(INDEX(Raw_매출!$B$2:$BI$155,MATCH($A13,Raw_매출!$A$2:$A$155,0),MATCH(EDATE($E13,BK$1-1),Raw_매출!$B$1:$BI$1,0))=0,"",INDEX(Raw_매출!$B$2:$BI$155,MATCH($A13,Raw_매출!$A$2:$A$155,0),MATCH(EDATE($E13,BK$1-1),Raw_매출!$B$1:$BI$1,0))/(INDEX(요약_월별시즈널리티!$F$7:$F$18,MONTH(EDATE($E13,BK$1-1)))/100))),"")</f>
        <v/>
      </c>
      <c r="BL13" t="str" cm="1">
        <f t="array" ref="BL13">IFERROR(IF($E13&lt;44348,"",IF(INDEX(Raw_매출!$B$2:$BI$155,MATCH($A13,Raw_매출!$A$2:$A$155,0),MATCH(EDATE($E13,BL$1-1),Raw_매출!$B$1:$BI$1,0))=0,"",INDEX(Raw_매출!$B$2:$BI$155,MATCH($A13,Raw_매출!$A$2:$A$155,0),MATCH(EDATE($E13,BL$1-1),Raw_매출!$B$1:$BI$1,0))/(INDEX(요약_월별시즈널리티!$F$7:$F$18,MONTH(EDATE($E13,BL$1-1)))/100))),"")</f>
        <v/>
      </c>
      <c r="BM13" t="str" cm="1">
        <f t="array" ref="BM13">IFERROR(IF($E13&lt;44348,"",IF(INDEX(Raw_매출!$B$2:$BI$155,MATCH($A13,Raw_매출!$A$2:$A$155,0),MATCH(EDATE($E13,BM$1-1),Raw_매출!$B$1:$BI$1,0))=0,"",INDEX(Raw_매출!$B$2:$BI$155,MATCH($A13,Raw_매출!$A$2:$A$155,0),MATCH(EDATE($E13,BM$1-1),Raw_매출!$B$1:$BI$1,0))/(INDEX(요약_월별시즈널리티!$F$7:$F$18,MONTH(EDATE($E13,BM$1-1)))/100))),"")</f>
        <v/>
      </c>
      <c r="BN13" t="str" cm="1">
        <f t="array" ref="BN13">IFERROR(IF($E13&lt;44348,"",IF(INDEX(Raw_매출!$B$2:$BI$155,MATCH($A13,Raw_매출!$A$2:$A$155,0),MATCH(EDATE($E13,BN$1-1),Raw_매출!$B$1:$BI$1,0))=0,"",INDEX(Raw_매출!$B$2:$BI$155,MATCH($A13,Raw_매출!$A$2:$A$155,0),MATCH(EDATE($E13,BN$1-1),Raw_매출!$B$1:$BI$1,0))/(INDEX(요약_월별시즈널리티!$F$7:$F$18,MONTH(EDATE($E13,BN$1-1)))/100))),"")</f>
        <v/>
      </c>
    </row>
    <row r="14" spans="1:66" x14ac:dyDescent="0.4">
      <c r="A14" t="str">
        <f>세팅!A15</f>
        <v>(0013) 구의역파워점</v>
      </c>
      <c r="B14" t="str">
        <f>세팅!B15</f>
        <v>150-1</v>
      </c>
      <c r="C14">
        <f t="shared" si="0"/>
        <v>1</v>
      </c>
      <c r="D14" t="str">
        <f t="shared" si="1"/>
        <v>1</v>
      </c>
      <c r="E14" s="1">
        <f>세팅!D15</f>
        <v>45839</v>
      </c>
      <c r="F14">
        <f t="shared" si="2"/>
        <v>3804711.3060702174</v>
      </c>
      <c r="G14" cm="1">
        <f t="array" ref="G14">IFERROR(IF($E14&lt;44348,"",IF(INDEX(Raw_매출!$B$2:$BI$155,MATCH($A14,Raw_매출!$A$2:$A$155,0),MATCH(EDATE($E14,G$1-1),Raw_매출!$B$1:$BI$1,0))=0,"",INDEX(Raw_매출!$B$2:$BI$155,MATCH($A14,Raw_매출!$A$2:$A$155,0),MATCH(EDATE($E14,G$1-1),Raw_매출!$B$1:$BI$1,0))/(INDEX(요약_월별시즈널리티!$F$7:$F$18,MONTH(EDATE($E14,G$1-1)))/100))),"")</f>
        <v>2975315.4247536883</v>
      </c>
      <c r="H14" cm="1">
        <f t="array" ref="H14">IFERROR(IF($E14&lt;44348,"",IF(INDEX(Raw_매출!$B$2:$BI$155,MATCH($A14,Raw_매출!$A$2:$A$155,0),MATCH(EDATE($E14,H$1-1),Raw_매출!$B$1:$BI$1,0))=0,"",INDEX(Raw_매출!$B$2:$BI$155,MATCH($A14,Raw_매출!$A$2:$A$155,0),MATCH(EDATE($E14,H$1-1),Raw_매출!$B$1:$BI$1,0))/(INDEX(요약_월별시즈널리티!$F$7:$F$18,MONTH(EDATE($E14,H$1-1)))/100))),"")</f>
        <v>3084524.7556407563</v>
      </c>
      <c r="I14" cm="1">
        <f t="array" ref="I14">IFERROR(IF($E14&lt;44348,"",IF(INDEX(Raw_매출!$B$2:$BI$155,MATCH($A14,Raw_매출!$A$2:$A$155,0),MATCH(EDATE($E14,I$1-1),Raw_매출!$B$1:$BI$1,0))=0,"",INDEX(Raw_매출!$B$2:$BI$155,MATCH($A14,Raw_매출!$A$2:$A$155,0),MATCH(EDATE($E14,I$1-1),Raw_매출!$B$1:$BI$1,0))/(INDEX(요약_월별시즈널리티!$F$7:$F$18,MONTH(EDATE($E14,I$1-1)))/100))),"")</f>
        <v>3015203.7882007658</v>
      </c>
      <c r="J14" s="30" cm="1">
        <f t="array" ref="J14">IFERROR(IF($E14&lt;44348,"",IF(INDEX(Raw_매출!$B$2:$BI$155,MATCH($A14,Raw_매출!$A$2:$A$155,0),MATCH(EDATE($E14,J$1-1),Raw_매출!$B$1:$BI$1,0))=0,"",INDEX(Raw_매출!$B$2:$BI$155,MATCH($A14,Raw_매출!$A$2:$A$155,0),MATCH(EDATE($E14,J$1-1),Raw_매출!$B$1:$BI$1,0))/(INDEX(요약_월별시즈널리티!$F$7:$F$18,MONTH(EDATE($E14,J$1-1)))/100))),"")</f>
        <v>3425161.0820603711</v>
      </c>
      <c r="K14" s="30" cm="1">
        <f t="array" ref="K14">IFERROR(IF($E14&lt;44348,"",IF(INDEX(Raw_매출!$B$2:$BI$155,MATCH($A14,Raw_매출!$A$2:$A$155,0),MATCH(EDATE($E14,K$1-1),Raw_매출!$B$1:$BI$1,0))=0,"",INDEX(Raw_매출!$B$2:$BI$155,MATCH($A14,Raw_매출!$A$2:$A$155,0),MATCH(EDATE($E14,K$1-1),Raw_매출!$B$1:$BI$1,0))/(INDEX(요약_월별시즈널리티!$F$7:$F$18,MONTH(EDATE($E14,K$1-1)))/100))),"")</f>
        <v>3617394.1134024113</v>
      </c>
      <c r="L14" s="30" cm="1">
        <f t="array" ref="L14">IFERROR(IF($E14&lt;44348,"",IF(INDEX(Raw_매출!$B$2:$BI$155,MATCH($A14,Raw_매출!$A$2:$A$155,0),MATCH(EDATE($E14,L$1-1),Raw_매출!$B$1:$BI$1,0))=0,"",INDEX(Raw_매출!$B$2:$BI$155,MATCH($A14,Raw_매출!$A$2:$A$155,0),MATCH(EDATE($E14,L$1-1),Raw_매출!$B$1:$BI$1,0))/(INDEX(요약_월별시즈널리티!$F$7:$F$18,MONTH(EDATE($E14,L$1-1)))/100))),"")</f>
        <v>3609835.9839368197</v>
      </c>
      <c r="M14" s="30" cm="1">
        <f t="array" ref="M14">IFERROR(IF($E14&lt;44348,"",IF(INDEX(Raw_매출!$B$2:$BI$155,MATCH($A14,Raw_매출!$A$2:$A$155,0),MATCH(EDATE($E14,M$1-1),Raw_매출!$B$1:$BI$1,0))=0,"",INDEX(Raw_매출!$B$2:$BI$155,MATCH($A14,Raw_매출!$A$2:$A$155,0),MATCH(EDATE($E14,M$1-1),Raw_매출!$B$1:$BI$1,0))/(INDEX(요약_월별시즈널리티!$F$7:$F$18,MONTH(EDATE($E14,M$1-1)))/100))),"")</f>
        <v>4110070.2889563697</v>
      </c>
      <c r="N14" s="30" cm="1">
        <f t="array" ref="N14">IFERROR(IF($E14&lt;44348,"",IF(INDEX(Raw_매출!$B$2:$BI$155,MATCH($A14,Raw_매출!$A$2:$A$155,0),MATCH(EDATE($E14,N$1-1),Raw_매출!$B$1:$BI$1,0))=0,"",INDEX(Raw_매출!$B$2:$BI$155,MATCH($A14,Raw_매출!$A$2:$A$155,0),MATCH(EDATE($E14,N$1-1),Raw_매출!$B$1:$BI$1,0))/(INDEX(요약_월별시즈널리티!$F$7:$F$18,MONTH(EDATE($E14,N$1-1)))/100))),"")</f>
        <v>4154303.4421537556</v>
      </c>
      <c r="O14" s="30" cm="1">
        <f t="array" ref="O14">IFERROR(IF($E14&lt;44348,"",IF(INDEX(Raw_매출!$B$2:$BI$155,MATCH($A14,Raw_매출!$A$2:$A$155,0),MATCH(EDATE($E14,O$1-1),Raw_매출!$B$1:$BI$1,0))=0,"",INDEX(Raw_매출!$B$2:$BI$155,MATCH($A14,Raw_매출!$A$2:$A$155,0),MATCH(EDATE($E14,O$1-1),Raw_매출!$B$1:$BI$1,0))/(INDEX(요약_월별시즈널리티!$F$7:$F$18,MONTH(EDATE($E14,O$1-1)))/100))),"")</f>
        <v>3911502.9259115742</v>
      </c>
      <c r="P14" cm="1">
        <f t="array" ref="P14">IFERROR(IF($E14&lt;44348,"",IF(INDEX(Raw_매출!$B$2:$BI$155,MATCH($A14,Raw_매출!$A$2:$A$155,0),MATCH(EDATE($E14,P$1-1),Raw_매출!$B$1:$BI$1,0))=0,"",INDEX(Raw_매출!$B$2:$BI$155,MATCH($A14,Raw_매출!$A$2:$A$155,0),MATCH(EDATE($E14,P$1-1),Raw_매출!$B$1:$BI$1,0))/(INDEX(요약_월별시즈널리티!$F$7:$F$18,MONTH(EDATE($E14,P$1-1)))/100))),"")</f>
        <v>4257019.2977867136</v>
      </c>
      <c r="Q14" cm="1">
        <f t="array" ref="Q14">IFERROR(IF($E14&lt;44348,"",IF(INDEX(Raw_매출!$B$2:$BI$155,MATCH($A14,Raw_매출!$A$2:$A$155,0),MATCH(EDATE($E14,Q$1-1),Raw_매출!$B$1:$BI$1,0))=0,"",INDEX(Raw_매출!$B$2:$BI$155,MATCH($A14,Raw_매출!$A$2:$A$155,0),MATCH(EDATE($E14,Q$1-1),Raw_매출!$B$1:$BI$1,0))/(INDEX(요약_월별시즈널리티!$F$7:$F$18,MONTH(EDATE($E14,Q$1-1)))/100))),"")</f>
        <v>4520990.1575209768</v>
      </c>
      <c r="R14" t="str" cm="1">
        <f t="array" ref="R14">IFERROR(IF($E14&lt;44348,"",IF(INDEX(Raw_매출!$B$2:$BI$155,MATCH($A14,Raw_매출!$A$2:$A$155,0),MATCH(EDATE($E14,R$1-1),Raw_매출!$B$1:$BI$1,0))=0,"",INDEX(Raw_매출!$B$2:$BI$155,MATCH($A14,Raw_매출!$A$2:$A$155,0),MATCH(EDATE($E14,R$1-1),Raw_매출!$B$1:$BI$1,0))/(INDEX(요약_월별시즈널리티!$F$7:$F$18,MONTH(EDATE($E14,R$1-1)))/100))),"")</f>
        <v/>
      </c>
      <c r="S14" t="str" cm="1">
        <f t="array" ref="S14">IFERROR(IF($E14&lt;44348,"",IF(INDEX(Raw_매출!$B$2:$BI$155,MATCH($A14,Raw_매출!$A$2:$A$155,0),MATCH(EDATE($E14,S$1-1),Raw_매출!$B$1:$BI$1,0))=0,"",INDEX(Raw_매출!$B$2:$BI$155,MATCH($A14,Raw_매출!$A$2:$A$155,0),MATCH(EDATE($E14,S$1-1),Raw_매출!$B$1:$BI$1,0))/(INDEX(요약_월별시즈널리티!$F$7:$F$18,MONTH(EDATE($E14,S$1-1)))/100))),"")</f>
        <v/>
      </c>
      <c r="T14" t="str" cm="1">
        <f t="array" ref="T14">IFERROR(IF($E14&lt;44348,"",IF(INDEX(Raw_매출!$B$2:$BI$155,MATCH($A14,Raw_매출!$A$2:$A$155,0),MATCH(EDATE($E14,T$1-1),Raw_매출!$B$1:$BI$1,0))=0,"",INDEX(Raw_매출!$B$2:$BI$155,MATCH($A14,Raw_매출!$A$2:$A$155,0),MATCH(EDATE($E14,T$1-1),Raw_매출!$B$1:$BI$1,0))/(INDEX(요약_월별시즈널리티!$F$7:$F$18,MONTH(EDATE($E14,T$1-1)))/100))),"")</f>
        <v/>
      </c>
      <c r="U14" t="str" cm="1">
        <f t="array" ref="U14">IFERROR(IF($E14&lt;44348,"",IF(INDEX(Raw_매출!$B$2:$BI$155,MATCH($A14,Raw_매출!$A$2:$A$155,0),MATCH(EDATE($E14,U$1-1),Raw_매출!$B$1:$BI$1,0))=0,"",INDEX(Raw_매출!$B$2:$BI$155,MATCH($A14,Raw_매출!$A$2:$A$155,0),MATCH(EDATE($E14,U$1-1),Raw_매출!$B$1:$BI$1,0))/(INDEX(요약_월별시즈널리티!$F$7:$F$18,MONTH(EDATE($E14,U$1-1)))/100))),"")</f>
        <v/>
      </c>
      <c r="V14" t="str" cm="1">
        <f t="array" ref="V14">IFERROR(IF($E14&lt;44348,"",IF(INDEX(Raw_매출!$B$2:$BI$155,MATCH($A14,Raw_매출!$A$2:$A$155,0),MATCH(EDATE($E14,V$1-1),Raw_매출!$B$1:$BI$1,0))=0,"",INDEX(Raw_매출!$B$2:$BI$155,MATCH($A14,Raw_매출!$A$2:$A$155,0),MATCH(EDATE($E14,V$1-1),Raw_매출!$B$1:$BI$1,0))/(INDEX(요약_월별시즈널리티!$F$7:$F$18,MONTH(EDATE($E14,V$1-1)))/100))),"")</f>
        <v/>
      </c>
      <c r="W14" t="str" cm="1">
        <f t="array" ref="W14">IFERROR(IF($E14&lt;44348,"",IF(INDEX(Raw_매출!$B$2:$BI$155,MATCH($A14,Raw_매출!$A$2:$A$155,0),MATCH(EDATE($E14,W$1-1),Raw_매출!$B$1:$BI$1,0))=0,"",INDEX(Raw_매출!$B$2:$BI$155,MATCH($A14,Raw_매출!$A$2:$A$155,0),MATCH(EDATE($E14,W$1-1),Raw_매출!$B$1:$BI$1,0))/(INDEX(요약_월별시즈널리티!$F$7:$F$18,MONTH(EDATE($E14,W$1-1)))/100))),"")</f>
        <v/>
      </c>
      <c r="X14" t="str" cm="1">
        <f t="array" ref="X14">IFERROR(IF($E14&lt;44348,"",IF(INDEX(Raw_매출!$B$2:$BI$155,MATCH($A14,Raw_매출!$A$2:$A$155,0),MATCH(EDATE($E14,X$1-1),Raw_매출!$B$1:$BI$1,0))=0,"",INDEX(Raw_매출!$B$2:$BI$155,MATCH($A14,Raw_매출!$A$2:$A$155,0),MATCH(EDATE($E14,X$1-1),Raw_매출!$B$1:$BI$1,0))/(INDEX(요약_월별시즈널리티!$F$7:$F$18,MONTH(EDATE($E14,X$1-1)))/100))),"")</f>
        <v/>
      </c>
      <c r="Y14" t="str" cm="1">
        <f t="array" ref="Y14">IFERROR(IF($E14&lt;44348,"",IF(INDEX(Raw_매출!$B$2:$BI$155,MATCH($A14,Raw_매출!$A$2:$A$155,0),MATCH(EDATE($E14,Y$1-1),Raw_매출!$B$1:$BI$1,0))=0,"",INDEX(Raw_매출!$B$2:$BI$155,MATCH($A14,Raw_매출!$A$2:$A$155,0),MATCH(EDATE($E14,Y$1-1),Raw_매출!$B$1:$BI$1,0))/(INDEX(요약_월별시즈널리티!$F$7:$F$18,MONTH(EDATE($E14,Y$1-1)))/100))),"")</f>
        <v/>
      </c>
      <c r="Z14" t="str" cm="1">
        <f t="array" ref="Z14">IFERROR(IF($E14&lt;44348,"",IF(INDEX(Raw_매출!$B$2:$BI$155,MATCH($A14,Raw_매출!$A$2:$A$155,0),MATCH(EDATE($E14,Z$1-1),Raw_매출!$B$1:$BI$1,0))=0,"",INDEX(Raw_매출!$B$2:$BI$155,MATCH($A14,Raw_매출!$A$2:$A$155,0),MATCH(EDATE($E14,Z$1-1),Raw_매출!$B$1:$BI$1,0))/(INDEX(요약_월별시즈널리티!$F$7:$F$18,MONTH(EDATE($E14,Z$1-1)))/100))),"")</f>
        <v/>
      </c>
      <c r="AA14" t="str" cm="1">
        <f t="array" ref="AA14">IFERROR(IF($E14&lt;44348,"",IF(INDEX(Raw_매출!$B$2:$BI$155,MATCH($A14,Raw_매출!$A$2:$A$155,0),MATCH(EDATE($E14,AA$1-1),Raw_매출!$B$1:$BI$1,0))=0,"",INDEX(Raw_매출!$B$2:$BI$155,MATCH($A14,Raw_매출!$A$2:$A$155,0),MATCH(EDATE($E14,AA$1-1),Raw_매출!$B$1:$BI$1,0))/(INDEX(요약_월별시즈널리티!$F$7:$F$18,MONTH(EDATE($E14,AA$1-1)))/100))),"")</f>
        <v/>
      </c>
      <c r="AB14" t="str" cm="1">
        <f t="array" ref="AB14">IFERROR(IF($E14&lt;44348,"",IF(INDEX(Raw_매출!$B$2:$BI$155,MATCH($A14,Raw_매출!$A$2:$A$155,0),MATCH(EDATE($E14,AB$1-1),Raw_매출!$B$1:$BI$1,0))=0,"",INDEX(Raw_매출!$B$2:$BI$155,MATCH($A14,Raw_매출!$A$2:$A$155,0),MATCH(EDATE($E14,AB$1-1),Raw_매출!$B$1:$BI$1,0))/(INDEX(요약_월별시즈널리티!$F$7:$F$18,MONTH(EDATE($E14,AB$1-1)))/100))),"")</f>
        <v/>
      </c>
      <c r="AC14" t="str" cm="1">
        <f t="array" ref="AC14">IFERROR(IF($E14&lt;44348,"",IF(INDEX(Raw_매출!$B$2:$BI$155,MATCH($A14,Raw_매출!$A$2:$A$155,0),MATCH(EDATE($E14,AC$1-1),Raw_매출!$B$1:$BI$1,0))=0,"",INDEX(Raw_매출!$B$2:$BI$155,MATCH($A14,Raw_매출!$A$2:$A$155,0),MATCH(EDATE($E14,AC$1-1),Raw_매출!$B$1:$BI$1,0))/(INDEX(요약_월별시즈널리티!$F$7:$F$18,MONTH(EDATE($E14,AC$1-1)))/100))),"")</f>
        <v/>
      </c>
      <c r="AD14" t="str" cm="1">
        <f t="array" ref="AD14">IFERROR(IF($E14&lt;44348,"",IF(INDEX(Raw_매출!$B$2:$BI$155,MATCH($A14,Raw_매출!$A$2:$A$155,0),MATCH(EDATE($E14,AD$1-1),Raw_매출!$B$1:$BI$1,0))=0,"",INDEX(Raw_매출!$B$2:$BI$155,MATCH($A14,Raw_매출!$A$2:$A$155,0),MATCH(EDATE($E14,AD$1-1),Raw_매출!$B$1:$BI$1,0))/(INDEX(요약_월별시즈널리티!$F$7:$F$18,MONTH(EDATE($E14,AD$1-1)))/100))),"")</f>
        <v/>
      </c>
      <c r="AE14" t="str" cm="1">
        <f t="array" ref="AE14">IFERROR(IF($E14&lt;44348,"",IF(INDEX(Raw_매출!$B$2:$BI$155,MATCH($A14,Raw_매출!$A$2:$A$155,0),MATCH(EDATE($E14,AE$1-1),Raw_매출!$B$1:$BI$1,0))=0,"",INDEX(Raw_매출!$B$2:$BI$155,MATCH($A14,Raw_매출!$A$2:$A$155,0),MATCH(EDATE($E14,AE$1-1),Raw_매출!$B$1:$BI$1,0))/(INDEX(요약_월별시즈널리티!$F$7:$F$18,MONTH(EDATE($E14,AE$1-1)))/100))),"")</f>
        <v/>
      </c>
      <c r="AF14" t="str" cm="1">
        <f t="array" ref="AF14">IFERROR(IF($E14&lt;44348,"",IF(INDEX(Raw_매출!$B$2:$BI$155,MATCH($A14,Raw_매출!$A$2:$A$155,0),MATCH(EDATE($E14,AF$1-1),Raw_매출!$B$1:$BI$1,0))=0,"",INDEX(Raw_매출!$B$2:$BI$155,MATCH($A14,Raw_매출!$A$2:$A$155,0),MATCH(EDATE($E14,AF$1-1),Raw_매출!$B$1:$BI$1,0))/(INDEX(요약_월별시즈널리티!$F$7:$F$18,MONTH(EDATE($E14,AF$1-1)))/100))),"")</f>
        <v/>
      </c>
      <c r="AG14" t="str" cm="1">
        <f t="array" ref="AG14">IFERROR(IF($E14&lt;44348,"",IF(INDEX(Raw_매출!$B$2:$BI$155,MATCH($A14,Raw_매출!$A$2:$A$155,0),MATCH(EDATE($E14,AG$1-1),Raw_매출!$B$1:$BI$1,0))=0,"",INDEX(Raw_매출!$B$2:$BI$155,MATCH($A14,Raw_매출!$A$2:$A$155,0),MATCH(EDATE($E14,AG$1-1),Raw_매출!$B$1:$BI$1,0))/(INDEX(요약_월별시즈널리티!$F$7:$F$18,MONTH(EDATE($E14,AG$1-1)))/100))),"")</f>
        <v/>
      </c>
      <c r="AH14" t="str" cm="1">
        <f t="array" ref="AH14">IFERROR(IF($E14&lt;44348,"",IF(INDEX(Raw_매출!$B$2:$BI$155,MATCH($A14,Raw_매출!$A$2:$A$155,0),MATCH(EDATE($E14,AH$1-1),Raw_매출!$B$1:$BI$1,0))=0,"",INDEX(Raw_매출!$B$2:$BI$155,MATCH($A14,Raw_매출!$A$2:$A$155,0),MATCH(EDATE($E14,AH$1-1),Raw_매출!$B$1:$BI$1,0))/(INDEX(요약_월별시즈널리티!$F$7:$F$18,MONTH(EDATE($E14,AH$1-1)))/100))),"")</f>
        <v/>
      </c>
      <c r="AI14" t="str" cm="1">
        <f t="array" ref="AI14">IFERROR(IF($E14&lt;44348,"",IF(INDEX(Raw_매출!$B$2:$BI$155,MATCH($A14,Raw_매출!$A$2:$A$155,0),MATCH(EDATE($E14,AI$1-1),Raw_매출!$B$1:$BI$1,0))=0,"",INDEX(Raw_매출!$B$2:$BI$155,MATCH($A14,Raw_매출!$A$2:$A$155,0),MATCH(EDATE($E14,AI$1-1),Raw_매출!$B$1:$BI$1,0))/(INDEX(요약_월별시즈널리티!$F$7:$F$18,MONTH(EDATE($E14,AI$1-1)))/100))),"")</f>
        <v/>
      </c>
      <c r="AJ14" t="str" cm="1">
        <f t="array" ref="AJ14">IFERROR(IF($E14&lt;44348,"",IF(INDEX(Raw_매출!$B$2:$BI$155,MATCH($A14,Raw_매출!$A$2:$A$155,0),MATCH(EDATE($E14,AJ$1-1),Raw_매출!$B$1:$BI$1,0))=0,"",INDEX(Raw_매출!$B$2:$BI$155,MATCH($A14,Raw_매출!$A$2:$A$155,0),MATCH(EDATE($E14,AJ$1-1),Raw_매출!$B$1:$BI$1,0))/(INDEX(요약_월별시즈널리티!$F$7:$F$18,MONTH(EDATE($E14,AJ$1-1)))/100))),"")</f>
        <v/>
      </c>
      <c r="AK14" t="str" cm="1">
        <f t="array" ref="AK14">IFERROR(IF($E14&lt;44348,"",IF(INDEX(Raw_매출!$B$2:$BI$155,MATCH($A14,Raw_매출!$A$2:$A$155,0),MATCH(EDATE($E14,AK$1-1),Raw_매출!$B$1:$BI$1,0))=0,"",INDEX(Raw_매출!$B$2:$BI$155,MATCH($A14,Raw_매출!$A$2:$A$155,0),MATCH(EDATE($E14,AK$1-1),Raw_매출!$B$1:$BI$1,0))/(INDEX(요약_월별시즈널리티!$F$7:$F$18,MONTH(EDATE($E14,AK$1-1)))/100))),"")</f>
        <v/>
      </c>
      <c r="AL14" t="str" cm="1">
        <f t="array" ref="AL14">IFERROR(IF($E14&lt;44348,"",IF(INDEX(Raw_매출!$B$2:$BI$155,MATCH($A14,Raw_매출!$A$2:$A$155,0),MATCH(EDATE($E14,AL$1-1),Raw_매출!$B$1:$BI$1,0))=0,"",INDEX(Raw_매출!$B$2:$BI$155,MATCH($A14,Raw_매출!$A$2:$A$155,0),MATCH(EDATE($E14,AL$1-1),Raw_매출!$B$1:$BI$1,0))/(INDEX(요약_월별시즈널리티!$F$7:$F$18,MONTH(EDATE($E14,AL$1-1)))/100))),"")</f>
        <v/>
      </c>
      <c r="AM14" t="str" cm="1">
        <f t="array" ref="AM14">IFERROR(IF($E14&lt;44348,"",IF(INDEX(Raw_매출!$B$2:$BI$155,MATCH($A14,Raw_매출!$A$2:$A$155,0),MATCH(EDATE($E14,AM$1-1),Raw_매출!$B$1:$BI$1,0))=0,"",INDEX(Raw_매출!$B$2:$BI$155,MATCH($A14,Raw_매출!$A$2:$A$155,0),MATCH(EDATE($E14,AM$1-1),Raw_매출!$B$1:$BI$1,0))/(INDEX(요약_월별시즈널리티!$F$7:$F$18,MONTH(EDATE($E14,AM$1-1)))/100))),"")</f>
        <v/>
      </c>
      <c r="AN14" t="str" cm="1">
        <f t="array" ref="AN14">IFERROR(IF($E14&lt;44348,"",IF(INDEX(Raw_매출!$B$2:$BI$155,MATCH($A14,Raw_매출!$A$2:$A$155,0),MATCH(EDATE($E14,AN$1-1),Raw_매출!$B$1:$BI$1,0))=0,"",INDEX(Raw_매출!$B$2:$BI$155,MATCH($A14,Raw_매출!$A$2:$A$155,0),MATCH(EDATE($E14,AN$1-1),Raw_매출!$B$1:$BI$1,0))/(INDEX(요약_월별시즈널리티!$F$7:$F$18,MONTH(EDATE($E14,AN$1-1)))/100))),"")</f>
        <v/>
      </c>
      <c r="AO14" t="str" cm="1">
        <f t="array" ref="AO14">IFERROR(IF($E14&lt;44348,"",IF(INDEX(Raw_매출!$B$2:$BI$155,MATCH($A14,Raw_매출!$A$2:$A$155,0),MATCH(EDATE($E14,AO$1-1),Raw_매출!$B$1:$BI$1,0))=0,"",INDEX(Raw_매출!$B$2:$BI$155,MATCH($A14,Raw_매출!$A$2:$A$155,0),MATCH(EDATE($E14,AO$1-1),Raw_매출!$B$1:$BI$1,0))/(INDEX(요약_월별시즈널리티!$F$7:$F$18,MONTH(EDATE($E14,AO$1-1)))/100))),"")</f>
        <v/>
      </c>
      <c r="AP14" t="str" cm="1">
        <f t="array" ref="AP14">IFERROR(IF($E14&lt;44348,"",IF(INDEX(Raw_매출!$B$2:$BI$155,MATCH($A14,Raw_매출!$A$2:$A$155,0),MATCH(EDATE($E14,AP$1-1),Raw_매출!$B$1:$BI$1,0))=0,"",INDEX(Raw_매출!$B$2:$BI$155,MATCH($A14,Raw_매출!$A$2:$A$155,0),MATCH(EDATE($E14,AP$1-1),Raw_매출!$B$1:$BI$1,0))/(INDEX(요약_월별시즈널리티!$F$7:$F$18,MONTH(EDATE($E14,AP$1-1)))/100))),"")</f>
        <v/>
      </c>
      <c r="AQ14" t="str" cm="1">
        <f t="array" ref="AQ14">IFERROR(IF($E14&lt;44348,"",IF(INDEX(Raw_매출!$B$2:$BI$155,MATCH($A14,Raw_매출!$A$2:$A$155,0),MATCH(EDATE($E14,AQ$1-1),Raw_매출!$B$1:$BI$1,0))=0,"",INDEX(Raw_매출!$B$2:$BI$155,MATCH($A14,Raw_매출!$A$2:$A$155,0),MATCH(EDATE($E14,AQ$1-1),Raw_매출!$B$1:$BI$1,0))/(INDEX(요약_월별시즈널리티!$F$7:$F$18,MONTH(EDATE($E14,AQ$1-1)))/100))),"")</f>
        <v/>
      </c>
      <c r="AR14" t="str" cm="1">
        <f t="array" ref="AR14">IFERROR(IF($E14&lt;44348,"",IF(INDEX(Raw_매출!$B$2:$BI$155,MATCH($A14,Raw_매출!$A$2:$A$155,0),MATCH(EDATE($E14,AR$1-1),Raw_매출!$B$1:$BI$1,0))=0,"",INDEX(Raw_매출!$B$2:$BI$155,MATCH($A14,Raw_매출!$A$2:$A$155,0),MATCH(EDATE($E14,AR$1-1),Raw_매출!$B$1:$BI$1,0))/(INDEX(요약_월별시즈널리티!$F$7:$F$18,MONTH(EDATE($E14,AR$1-1)))/100))),"")</f>
        <v/>
      </c>
      <c r="AS14" t="str" cm="1">
        <f t="array" ref="AS14">IFERROR(IF($E14&lt;44348,"",IF(INDEX(Raw_매출!$B$2:$BI$155,MATCH($A14,Raw_매출!$A$2:$A$155,0),MATCH(EDATE($E14,AS$1-1),Raw_매출!$B$1:$BI$1,0))=0,"",INDEX(Raw_매출!$B$2:$BI$155,MATCH($A14,Raw_매출!$A$2:$A$155,0),MATCH(EDATE($E14,AS$1-1),Raw_매출!$B$1:$BI$1,0))/(INDEX(요약_월별시즈널리티!$F$7:$F$18,MONTH(EDATE($E14,AS$1-1)))/100))),"")</f>
        <v/>
      </c>
      <c r="AT14" t="str" cm="1">
        <f t="array" ref="AT14">IFERROR(IF($E14&lt;44348,"",IF(INDEX(Raw_매출!$B$2:$BI$155,MATCH($A14,Raw_매출!$A$2:$A$155,0),MATCH(EDATE($E14,AT$1-1),Raw_매출!$B$1:$BI$1,0))=0,"",INDEX(Raw_매출!$B$2:$BI$155,MATCH($A14,Raw_매출!$A$2:$A$155,0),MATCH(EDATE($E14,AT$1-1),Raw_매출!$B$1:$BI$1,0))/(INDEX(요약_월별시즈널리티!$F$7:$F$18,MONTH(EDATE($E14,AT$1-1)))/100))),"")</f>
        <v/>
      </c>
      <c r="AU14" t="str" cm="1">
        <f t="array" ref="AU14">IFERROR(IF($E14&lt;44348,"",IF(INDEX(Raw_매출!$B$2:$BI$155,MATCH($A14,Raw_매출!$A$2:$A$155,0),MATCH(EDATE($E14,AU$1-1),Raw_매출!$B$1:$BI$1,0))=0,"",INDEX(Raw_매출!$B$2:$BI$155,MATCH($A14,Raw_매출!$A$2:$A$155,0),MATCH(EDATE($E14,AU$1-1),Raw_매출!$B$1:$BI$1,0))/(INDEX(요약_월별시즈널리티!$F$7:$F$18,MONTH(EDATE($E14,AU$1-1)))/100))),"")</f>
        <v/>
      </c>
      <c r="AV14" t="str" cm="1">
        <f t="array" ref="AV14">IFERROR(IF($E14&lt;44348,"",IF(INDEX(Raw_매출!$B$2:$BI$155,MATCH($A14,Raw_매출!$A$2:$A$155,0),MATCH(EDATE($E14,AV$1-1),Raw_매출!$B$1:$BI$1,0))=0,"",INDEX(Raw_매출!$B$2:$BI$155,MATCH($A14,Raw_매출!$A$2:$A$155,0),MATCH(EDATE($E14,AV$1-1),Raw_매출!$B$1:$BI$1,0))/(INDEX(요약_월별시즈널리티!$F$7:$F$18,MONTH(EDATE($E14,AV$1-1)))/100))),"")</f>
        <v/>
      </c>
      <c r="AW14" t="str" cm="1">
        <f t="array" ref="AW14">IFERROR(IF($E14&lt;44348,"",IF(INDEX(Raw_매출!$B$2:$BI$155,MATCH($A14,Raw_매출!$A$2:$A$155,0),MATCH(EDATE($E14,AW$1-1),Raw_매출!$B$1:$BI$1,0))=0,"",INDEX(Raw_매출!$B$2:$BI$155,MATCH($A14,Raw_매출!$A$2:$A$155,0),MATCH(EDATE($E14,AW$1-1),Raw_매출!$B$1:$BI$1,0))/(INDEX(요약_월별시즈널리티!$F$7:$F$18,MONTH(EDATE($E14,AW$1-1)))/100))),"")</f>
        <v/>
      </c>
      <c r="AX14" t="str" cm="1">
        <f t="array" ref="AX14">IFERROR(IF($E14&lt;44348,"",IF(INDEX(Raw_매출!$B$2:$BI$155,MATCH($A14,Raw_매출!$A$2:$A$155,0),MATCH(EDATE($E14,AX$1-1),Raw_매출!$B$1:$BI$1,0))=0,"",INDEX(Raw_매출!$B$2:$BI$155,MATCH($A14,Raw_매출!$A$2:$A$155,0),MATCH(EDATE($E14,AX$1-1),Raw_매출!$B$1:$BI$1,0))/(INDEX(요약_월별시즈널리티!$F$7:$F$18,MONTH(EDATE($E14,AX$1-1)))/100))),"")</f>
        <v/>
      </c>
      <c r="AY14" t="str" cm="1">
        <f t="array" ref="AY14">IFERROR(IF($E14&lt;44348,"",IF(INDEX(Raw_매출!$B$2:$BI$155,MATCH($A14,Raw_매출!$A$2:$A$155,0),MATCH(EDATE($E14,AY$1-1),Raw_매출!$B$1:$BI$1,0))=0,"",INDEX(Raw_매출!$B$2:$BI$155,MATCH($A14,Raw_매출!$A$2:$A$155,0),MATCH(EDATE($E14,AY$1-1),Raw_매출!$B$1:$BI$1,0))/(INDEX(요약_월별시즈널리티!$F$7:$F$18,MONTH(EDATE($E14,AY$1-1)))/100))),"")</f>
        <v/>
      </c>
      <c r="AZ14" t="str" cm="1">
        <f t="array" ref="AZ14">IFERROR(IF($E14&lt;44348,"",IF(INDEX(Raw_매출!$B$2:$BI$155,MATCH($A14,Raw_매출!$A$2:$A$155,0),MATCH(EDATE($E14,AZ$1-1),Raw_매출!$B$1:$BI$1,0))=0,"",INDEX(Raw_매출!$B$2:$BI$155,MATCH($A14,Raw_매출!$A$2:$A$155,0),MATCH(EDATE($E14,AZ$1-1),Raw_매출!$B$1:$BI$1,0))/(INDEX(요약_월별시즈널리티!$F$7:$F$18,MONTH(EDATE($E14,AZ$1-1)))/100))),"")</f>
        <v/>
      </c>
      <c r="BA14" t="str" cm="1">
        <f t="array" ref="BA14">IFERROR(IF($E14&lt;44348,"",IF(INDEX(Raw_매출!$B$2:$BI$155,MATCH($A14,Raw_매출!$A$2:$A$155,0),MATCH(EDATE($E14,BA$1-1),Raw_매출!$B$1:$BI$1,0))=0,"",INDEX(Raw_매출!$B$2:$BI$155,MATCH($A14,Raw_매출!$A$2:$A$155,0),MATCH(EDATE($E14,BA$1-1),Raw_매출!$B$1:$BI$1,0))/(INDEX(요약_월별시즈널리티!$F$7:$F$18,MONTH(EDATE($E14,BA$1-1)))/100))),"")</f>
        <v/>
      </c>
      <c r="BB14" t="str" cm="1">
        <f t="array" ref="BB14">IFERROR(IF($E14&lt;44348,"",IF(INDEX(Raw_매출!$B$2:$BI$155,MATCH($A14,Raw_매출!$A$2:$A$155,0),MATCH(EDATE($E14,BB$1-1),Raw_매출!$B$1:$BI$1,0))=0,"",INDEX(Raw_매출!$B$2:$BI$155,MATCH($A14,Raw_매출!$A$2:$A$155,0),MATCH(EDATE($E14,BB$1-1),Raw_매출!$B$1:$BI$1,0))/(INDEX(요약_월별시즈널리티!$F$7:$F$18,MONTH(EDATE($E14,BB$1-1)))/100))),"")</f>
        <v/>
      </c>
      <c r="BC14" t="str" cm="1">
        <f t="array" ref="BC14">IFERROR(IF($E14&lt;44348,"",IF(INDEX(Raw_매출!$B$2:$BI$155,MATCH($A14,Raw_매출!$A$2:$A$155,0),MATCH(EDATE($E14,BC$1-1),Raw_매출!$B$1:$BI$1,0))=0,"",INDEX(Raw_매출!$B$2:$BI$155,MATCH($A14,Raw_매출!$A$2:$A$155,0),MATCH(EDATE($E14,BC$1-1),Raw_매출!$B$1:$BI$1,0))/(INDEX(요약_월별시즈널리티!$F$7:$F$18,MONTH(EDATE($E14,BC$1-1)))/100))),"")</f>
        <v/>
      </c>
      <c r="BD14" t="str" cm="1">
        <f t="array" ref="BD14">IFERROR(IF($E14&lt;44348,"",IF(INDEX(Raw_매출!$B$2:$BI$155,MATCH($A14,Raw_매출!$A$2:$A$155,0),MATCH(EDATE($E14,BD$1-1),Raw_매출!$B$1:$BI$1,0))=0,"",INDEX(Raw_매출!$B$2:$BI$155,MATCH($A14,Raw_매출!$A$2:$A$155,0),MATCH(EDATE($E14,BD$1-1),Raw_매출!$B$1:$BI$1,0))/(INDEX(요약_월별시즈널리티!$F$7:$F$18,MONTH(EDATE($E14,BD$1-1)))/100))),"")</f>
        <v/>
      </c>
      <c r="BE14" t="str" cm="1">
        <f t="array" ref="BE14">IFERROR(IF($E14&lt;44348,"",IF(INDEX(Raw_매출!$B$2:$BI$155,MATCH($A14,Raw_매출!$A$2:$A$155,0),MATCH(EDATE($E14,BE$1-1),Raw_매출!$B$1:$BI$1,0))=0,"",INDEX(Raw_매출!$B$2:$BI$155,MATCH($A14,Raw_매출!$A$2:$A$155,0),MATCH(EDATE($E14,BE$1-1),Raw_매출!$B$1:$BI$1,0))/(INDEX(요약_월별시즈널리티!$F$7:$F$18,MONTH(EDATE($E14,BE$1-1)))/100))),"")</f>
        <v/>
      </c>
      <c r="BF14" t="str" cm="1">
        <f t="array" ref="BF14">IFERROR(IF($E14&lt;44348,"",IF(INDEX(Raw_매출!$B$2:$BI$155,MATCH($A14,Raw_매출!$A$2:$A$155,0),MATCH(EDATE($E14,BF$1-1),Raw_매출!$B$1:$BI$1,0))=0,"",INDEX(Raw_매출!$B$2:$BI$155,MATCH($A14,Raw_매출!$A$2:$A$155,0),MATCH(EDATE($E14,BF$1-1),Raw_매출!$B$1:$BI$1,0))/(INDEX(요약_월별시즈널리티!$F$7:$F$18,MONTH(EDATE($E14,BF$1-1)))/100))),"")</f>
        <v/>
      </c>
      <c r="BG14" t="str" cm="1">
        <f t="array" ref="BG14">IFERROR(IF($E14&lt;44348,"",IF(INDEX(Raw_매출!$B$2:$BI$155,MATCH($A14,Raw_매출!$A$2:$A$155,0),MATCH(EDATE($E14,BG$1-1),Raw_매출!$B$1:$BI$1,0))=0,"",INDEX(Raw_매출!$B$2:$BI$155,MATCH($A14,Raw_매출!$A$2:$A$155,0),MATCH(EDATE($E14,BG$1-1),Raw_매출!$B$1:$BI$1,0))/(INDEX(요약_월별시즈널리티!$F$7:$F$18,MONTH(EDATE($E14,BG$1-1)))/100))),"")</f>
        <v/>
      </c>
      <c r="BH14" t="str" cm="1">
        <f t="array" ref="BH14">IFERROR(IF($E14&lt;44348,"",IF(INDEX(Raw_매출!$B$2:$BI$155,MATCH($A14,Raw_매출!$A$2:$A$155,0),MATCH(EDATE($E14,BH$1-1),Raw_매출!$B$1:$BI$1,0))=0,"",INDEX(Raw_매출!$B$2:$BI$155,MATCH($A14,Raw_매출!$A$2:$A$155,0),MATCH(EDATE($E14,BH$1-1),Raw_매출!$B$1:$BI$1,0))/(INDEX(요약_월별시즈널리티!$F$7:$F$18,MONTH(EDATE($E14,BH$1-1)))/100))),"")</f>
        <v/>
      </c>
      <c r="BI14" t="str" cm="1">
        <f t="array" ref="BI14">IFERROR(IF($E14&lt;44348,"",IF(INDEX(Raw_매출!$B$2:$BI$155,MATCH($A14,Raw_매출!$A$2:$A$155,0),MATCH(EDATE($E14,BI$1-1),Raw_매출!$B$1:$BI$1,0))=0,"",INDEX(Raw_매출!$B$2:$BI$155,MATCH($A14,Raw_매출!$A$2:$A$155,0),MATCH(EDATE($E14,BI$1-1),Raw_매출!$B$1:$BI$1,0))/(INDEX(요약_월별시즈널리티!$F$7:$F$18,MONTH(EDATE($E14,BI$1-1)))/100))),"")</f>
        <v/>
      </c>
      <c r="BJ14" t="str" cm="1">
        <f t="array" ref="BJ14">IFERROR(IF($E14&lt;44348,"",IF(INDEX(Raw_매출!$B$2:$BI$155,MATCH($A14,Raw_매출!$A$2:$A$155,0),MATCH(EDATE($E14,BJ$1-1),Raw_매출!$B$1:$BI$1,0))=0,"",INDEX(Raw_매출!$B$2:$BI$155,MATCH($A14,Raw_매출!$A$2:$A$155,0),MATCH(EDATE($E14,BJ$1-1),Raw_매출!$B$1:$BI$1,0))/(INDEX(요약_월별시즈널리티!$F$7:$F$18,MONTH(EDATE($E14,BJ$1-1)))/100))),"")</f>
        <v/>
      </c>
      <c r="BK14" t="str" cm="1">
        <f t="array" ref="BK14">IFERROR(IF($E14&lt;44348,"",IF(INDEX(Raw_매출!$B$2:$BI$155,MATCH($A14,Raw_매출!$A$2:$A$155,0),MATCH(EDATE($E14,BK$1-1),Raw_매출!$B$1:$BI$1,0))=0,"",INDEX(Raw_매출!$B$2:$BI$155,MATCH($A14,Raw_매출!$A$2:$A$155,0),MATCH(EDATE($E14,BK$1-1),Raw_매출!$B$1:$BI$1,0))/(INDEX(요약_월별시즈널리티!$F$7:$F$18,MONTH(EDATE($E14,BK$1-1)))/100))),"")</f>
        <v/>
      </c>
      <c r="BL14" t="str" cm="1">
        <f t="array" ref="BL14">IFERROR(IF($E14&lt;44348,"",IF(INDEX(Raw_매출!$B$2:$BI$155,MATCH($A14,Raw_매출!$A$2:$A$155,0),MATCH(EDATE($E14,BL$1-1),Raw_매출!$B$1:$BI$1,0))=0,"",INDEX(Raw_매출!$B$2:$BI$155,MATCH($A14,Raw_매출!$A$2:$A$155,0),MATCH(EDATE($E14,BL$1-1),Raw_매출!$B$1:$BI$1,0))/(INDEX(요약_월별시즈널리티!$F$7:$F$18,MONTH(EDATE($E14,BL$1-1)))/100))),"")</f>
        <v/>
      </c>
      <c r="BM14" t="str" cm="1">
        <f t="array" ref="BM14">IFERROR(IF($E14&lt;44348,"",IF(INDEX(Raw_매출!$B$2:$BI$155,MATCH($A14,Raw_매출!$A$2:$A$155,0),MATCH(EDATE($E14,BM$1-1),Raw_매출!$B$1:$BI$1,0))=0,"",INDEX(Raw_매출!$B$2:$BI$155,MATCH($A14,Raw_매출!$A$2:$A$155,0),MATCH(EDATE($E14,BM$1-1),Raw_매출!$B$1:$BI$1,0))/(INDEX(요약_월별시즈널리티!$F$7:$F$18,MONTH(EDATE($E14,BM$1-1)))/100))),"")</f>
        <v/>
      </c>
      <c r="BN14" t="str" cm="1">
        <f t="array" ref="BN14">IFERROR(IF($E14&lt;44348,"",IF(INDEX(Raw_매출!$B$2:$BI$155,MATCH($A14,Raw_매출!$A$2:$A$155,0),MATCH(EDATE($E14,BN$1-1),Raw_매출!$B$1:$BI$1,0))=0,"",INDEX(Raw_매출!$B$2:$BI$155,MATCH($A14,Raw_매출!$A$2:$A$155,0),MATCH(EDATE($E14,BN$1-1),Raw_매출!$B$1:$BI$1,0))/(INDEX(요약_월별시즈널리티!$F$7:$F$18,MONTH(EDATE($E14,BN$1-1)))/100))),"")</f>
        <v/>
      </c>
    </row>
    <row r="15" spans="1:66" x14ac:dyDescent="0.4">
      <c r="A15" t="str">
        <f>세팅!A16</f>
        <v>(0014) 수원서둔골드점</v>
      </c>
      <c r="B15" t="str">
        <f>세팅!B16</f>
        <v>150-1</v>
      </c>
      <c r="C15">
        <f t="shared" si="0"/>
        <v>1</v>
      </c>
      <c r="D15" t="str">
        <f t="shared" si="1"/>
        <v>1</v>
      </c>
      <c r="E15" s="1">
        <f>세팅!D16</f>
        <v>45870</v>
      </c>
      <c r="F15">
        <f t="shared" si="2"/>
        <v>3152134.2674766928</v>
      </c>
      <c r="G15" cm="1">
        <f t="array" ref="G15">IFERROR(IF($E15&lt;44348,"",IF(INDEX(Raw_매출!$B$2:$BI$155,MATCH($A15,Raw_매출!$A$2:$A$155,0),MATCH(EDATE($E15,G$1-1),Raw_매출!$B$1:$BI$1,0))=0,"",INDEX(Raw_매출!$B$2:$BI$155,MATCH($A15,Raw_매출!$A$2:$A$155,0),MATCH(EDATE($E15,G$1-1),Raw_매출!$B$1:$BI$1,0))/(INDEX(요약_월별시즈널리티!$F$7:$F$18,MONTH(EDATE($E15,G$1-1)))/100))),"")</f>
        <v>2525507.8676351681</v>
      </c>
      <c r="H15" cm="1">
        <f t="array" ref="H15">IFERROR(IF($E15&lt;44348,"",IF(INDEX(Raw_매출!$B$2:$BI$155,MATCH($A15,Raw_매출!$A$2:$A$155,0),MATCH(EDATE($E15,H$1-1),Raw_매출!$B$1:$BI$1,0))=0,"",INDEX(Raw_매출!$B$2:$BI$155,MATCH($A15,Raw_매출!$A$2:$A$155,0),MATCH(EDATE($E15,H$1-1),Raw_매출!$B$1:$BI$1,0))/(INDEX(요약_월별시즈널리티!$F$7:$F$18,MONTH(EDATE($E15,H$1-1)))/100))),"")</f>
        <v>2603412.6827842188</v>
      </c>
      <c r="I15" cm="1">
        <f t="array" ref="I15">IFERROR(IF($E15&lt;44348,"",IF(INDEX(Raw_매출!$B$2:$BI$155,MATCH($A15,Raw_매출!$A$2:$A$155,0),MATCH(EDATE($E15,I$1-1),Raw_매출!$B$1:$BI$1,0))=0,"",INDEX(Raw_매출!$B$2:$BI$155,MATCH($A15,Raw_매출!$A$2:$A$155,0),MATCH(EDATE($E15,I$1-1),Raw_매출!$B$1:$BI$1,0))/(INDEX(요약_월별시즈널리티!$F$7:$F$18,MONTH(EDATE($E15,I$1-1)))/100))),"")</f>
        <v>2883223.8305621971</v>
      </c>
      <c r="J15" s="30" cm="1">
        <f t="array" ref="J15">IFERROR(IF($E15&lt;44348,"",IF(INDEX(Raw_매출!$B$2:$BI$155,MATCH($A15,Raw_매출!$A$2:$A$155,0),MATCH(EDATE($E15,J$1-1),Raw_매출!$B$1:$BI$1,0))=0,"",INDEX(Raw_매출!$B$2:$BI$155,MATCH($A15,Raw_매출!$A$2:$A$155,0),MATCH(EDATE($E15,J$1-1),Raw_매출!$B$1:$BI$1,0))/(INDEX(요약_월별시즈널리티!$F$7:$F$18,MONTH(EDATE($E15,J$1-1)))/100))),"")</f>
        <v>3079360.8151454348</v>
      </c>
      <c r="K15" s="30" cm="1">
        <f t="array" ref="K15">IFERROR(IF($E15&lt;44348,"",IF(INDEX(Raw_매출!$B$2:$BI$155,MATCH($A15,Raw_매출!$A$2:$A$155,0),MATCH(EDATE($E15,K$1-1),Raw_매출!$B$1:$BI$1,0))=0,"",INDEX(Raw_매출!$B$2:$BI$155,MATCH($A15,Raw_매출!$A$2:$A$155,0),MATCH(EDATE($E15,K$1-1),Raw_매출!$B$1:$BI$1,0))/(INDEX(요약_월별시즈널리티!$F$7:$F$18,MONTH(EDATE($E15,K$1-1)))/100))),"")</f>
        <v>2964236.3412334966</v>
      </c>
      <c r="L15" s="30" cm="1">
        <f t="array" ref="L15">IFERROR(IF($E15&lt;44348,"",IF(INDEX(Raw_매출!$B$2:$BI$155,MATCH($A15,Raw_매출!$A$2:$A$155,0),MATCH(EDATE($E15,L$1-1),Raw_매출!$B$1:$BI$1,0))=0,"",INDEX(Raw_매출!$B$2:$BI$155,MATCH($A15,Raw_매출!$A$2:$A$155,0),MATCH(EDATE($E15,L$1-1),Raw_매출!$B$1:$BI$1,0))/(INDEX(요약_월별시즈널리티!$F$7:$F$18,MONTH(EDATE($E15,L$1-1)))/100))),"")</f>
        <v>2741119.7619395847</v>
      </c>
      <c r="M15" s="30" cm="1">
        <f t="array" ref="M15">IFERROR(IF($E15&lt;44348,"",IF(INDEX(Raw_매출!$B$2:$BI$155,MATCH($A15,Raw_매출!$A$2:$A$155,0),MATCH(EDATE($E15,M$1-1),Raw_매출!$B$1:$BI$1,0))=0,"",INDEX(Raw_매출!$B$2:$BI$155,MATCH($A15,Raw_매출!$A$2:$A$155,0),MATCH(EDATE($E15,M$1-1),Raw_매출!$B$1:$BI$1,0))/(INDEX(요약_월별시즈널리티!$F$7:$F$18,MONTH(EDATE($E15,M$1-1)))/100))),"")</f>
        <v>3395213.5400930182</v>
      </c>
      <c r="N15" s="30" cm="1">
        <f t="array" ref="N15">IFERROR(IF($E15&lt;44348,"",IF(INDEX(Raw_매출!$B$2:$BI$155,MATCH($A15,Raw_매출!$A$2:$A$155,0),MATCH(EDATE($E15,N$1-1),Raw_매출!$B$1:$BI$1,0))=0,"",INDEX(Raw_매출!$B$2:$BI$155,MATCH($A15,Raw_매출!$A$2:$A$155,0),MATCH(EDATE($E15,N$1-1),Raw_매출!$B$1:$BI$1,0))/(INDEX(요약_월별시즈널리티!$F$7:$F$18,MONTH(EDATE($E15,N$1-1)))/100))),"")</f>
        <v>3220436.8160977317</v>
      </c>
      <c r="O15" s="30" cm="1">
        <f t="array" ref="O15">IFERROR(IF($E15&lt;44348,"",IF(INDEX(Raw_매출!$B$2:$BI$155,MATCH($A15,Raw_매출!$A$2:$A$155,0),MATCH(EDATE($E15,O$1-1),Raw_매출!$B$1:$BI$1,0))=0,"",INDEX(Raw_매출!$B$2:$BI$155,MATCH($A15,Raw_매출!$A$2:$A$155,0),MATCH(EDATE($E15,O$1-1),Raw_매출!$B$1:$BI$1,0))/(INDEX(요약_월별시즈널리티!$F$7:$F$18,MONTH(EDATE($E15,O$1-1)))/100))),"")</f>
        <v>3512438.3303508908</v>
      </c>
      <c r="P15" cm="1">
        <f t="array" ref="P15">IFERROR(IF($E15&lt;44348,"",IF(INDEX(Raw_매출!$B$2:$BI$155,MATCH($A15,Raw_매출!$A$2:$A$155,0),MATCH(EDATE($E15,P$1-1),Raw_매출!$B$1:$BI$1,0))=0,"",INDEX(Raw_매출!$B$2:$BI$155,MATCH($A15,Raw_매출!$A$2:$A$155,0),MATCH(EDATE($E15,P$1-1),Raw_매출!$B$1:$BI$1,0))/(INDEX(요약_월별시즈널리티!$F$7:$F$18,MONTH(EDATE($E15,P$1-1)))/100))),"")</f>
        <v>3384837.0668583759</v>
      </c>
      <c r="Q15" t="str" cm="1">
        <f t="array" ref="Q15">IFERROR(IF($E15&lt;44348,"",IF(INDEX(Raw_매출!$B$2:$BI$155,MATCH($A15,Raw_매출!$A$2:$A$155,0),MATCH(EDATE($E15,Q$1-1),Raw_매출!$B$1:$BI$1,0))=0,"",INDEX(Raw_매출!$B$2:$BI$155,MATCH($A15,Raw_매출!$A$2:$A$155,0),MATCH(EDATE($E15,Q$1-1),Raw_매출!$B$1:$BI$1,0))/(INDEX(요약_월별시즈널리티!$F$7:$F$18,MONTH(EDATE($E15,Q$1-1)))/100))),"")</f>
        <v/>
      </c>
      <c r="R15" t="str" cm="1">
        <f t="array" ref="R15">IFERROR(IF($E15&lt;44348,"",IF(INDEX(Raw_매출!$B$2:$BI$155,MATCH($A15,Raw_매출!$A$2:$A$155,0),MATCH(EDATE($E15,R$1-1),Raw_매출!$B$1:$BI$1,0))=0,"",INDEX(Raw_매출!$B$2:$BI$155,MATCH($A15,Raw_매출!$A$2:$A$155,0),MATCH(EDATE($E15,R$1-1),Raw_매출!$B$1:$BI$1,0))/(INDEX(요약_월별시즈널리티!$F$7:$F$18,MONTH(EDATE($E15,R$1-1)))/100))),"")</f>
        <v/>
      </c>
      <c r="S15" t="str" cm="1">
        <f t="array" ref="S15">IFERROR(IF($E15&lt;44348,"",IF(INDEX(Raw_매출!$B$2:$BI$155,MATCH($A15,Raw_매출!$A$2:$A$155,0),MATCH(EDATE($E15,S$1-1),Raw_매출!$B$1:$BI$1,0))=0,"",INDEX(Raw_매출!$B$2:$BI$155,MATCH($A15,Raw_매출!$A$2:$A$155,0),MATCH(EDATE($E15,S$1-1),Raw_매출!$B$1:$BI$1,0))/(INDEX(요약_월별시즈널리티!$F$7:$F$18,MONTH(EDATE($E15,S$1-1)))/100))),"")</f>
        <v/>
      </c>
      <c r="T15" t="str" cm="1">
        <f t="array" ref="T15">IFERROR(IF($E15&lt;44348,"",IF(INDEX(Raw_매출!$B$2:$BI$155,MATCH($A15,Raw_매출!$A$2:$A$155,0),MATCH(EDATE($E15,T$1-1),Raw_매출!$B$1:$BI$1,0))=0,"",INDEX(Raw_매출!$B$2:$BI$155,MATCH($A15,Raw_매출!$A$2:$A$155,0),MATCH(EDATE($E15,T$1-1),Raw_매출!$B$1:$BI$1,0))/(INDEX(요약_월별시즈널리티!$F$7:$F$18,MONTH(EDATE($E15,T$1-1)))/100))),"")</f>
        <v/>
      </c>
      <c r="U15" t="str" cm="1">
        <f t="array" ref="U15">IFERROR(IF($E15&lt;44348,"",IF(INDEX(Raw_매출!$B$2:$BI$155,MATCH($A15,Raw_매출!$A$2:$A$155,0),MATCH(EDATE($E15,U$1-1),Raw_매출!$B$1:$BI$1,0))=0,"",INDEX(Raw_매출!$B$2:$BI$155,MATCH($A15,Raw_매출!$A$2:$A$155,0),MATCH(EDATE($E15,U$1-1),Raw_매출!$B$1:$BI$1,0))/(INDEX(요약_월별시즈널리티!$F$7:$F$18,MONTH(EDATE($E15,U$1-1)))/100))),"")</f>
        <v/>
      </c>
      <c r="V15" t="str" cm="1">
        <f t="array" ref="V15">IFERROR(IF($E15&lt;44348,"",IF(INDEX(Raw_매출!$B$2:$BI$155,MATCH($A15,Raw_매출!$A$2:$A$155,0),MATCH(EDATE($E15,V$1-1),Raw_매출!$B$1:$BI$1,0))=0,"",INDEX(Raw_매출!$B$2:$BI$155,MATCH($A15,Raw_매출!$A$2:$A$155,0),MATCH(EDATE($E15,V$1-1),Raw_매출!$B$1:$BI$1,0))/(INDEX(요약_월별시즈널리티!$F$7:$F$18,MONTH(EDATE($E15,V$1-1)))/100))),"")</f>
        <v/>
      </c>
      <c r="W15" t="str" cm="1">
        <f t="array" ref="W15">IFERROR(IF($E15&lt;44348,"",IF(INDEX(Raw_매출!$B$2:$BI$155,MATCH($A15,Raw_매출!$A$2:$A$155,0),MATCH(EDATE($E15,W$1-1),Raw_매출!$B$1:$BI$1,0))=0,"",INDEX(Raw_매출!$B$2:$BI$155,MATCH($A15,Raw_매출!$A$2:$A$155,0),MATCH(EDATE($E15,W$1-1),Raw_매출!$B$1:$BI$1,0))/(INDEX(요약_월별시즈널리티!$F$7:$F$18,MONTH(EDATE($E15,W$1-1)))/100))),"")</f>
        <v/>
      </c>
      <c r="X15" t="str" cm="1">
        <f t="array" ref="X15">IFERROR(IF($E15&lt;44348,"",IF(INDEX(Raw_매출!$B$2:$BI$155,MATCH($A15,Raw_매출!$A$2:$A$155,0),MATCH(EDATE($E15,X$1-1),Raw_매출!$B$1:$BI$1,0))=0,"",INDEX(Raw_매출!$B$2:$BI$155,MATCH($A15,Raw_매출!$A$2:$A$155,0),MATCH(EDATE($E15,X$1-1),Raw_매출!$B$1:$BI$1,0))/(INDEX(요약_월별시즈널리티!$F$7:$F$18,MONTH(EDATE($E15,X$1-1)))/100))),"")</f>
        <v/>
      </c>
      <c r="Y15" t="str" cm="1">
        <f t="array" ref="Y15">IFERROR(IF($E15&lt;44348,"",IF(INDEX(Raw_매출!$B$2:$BI$155,MATCH($A15,Raw_매출!$A$2:$A$155,0),MATCH(EDATE($E15,Y$1-1),Raw_매출!$B$1:$BI$1,0))=0,"",INDEX(Raw_매출!$B$2:$BI$155,MATCH($A15,Raw_매출!$A$2:$A$155,0),MATCH(EDATE($E15,Y$1-1),Raw_매출!$B$1:$BI$1,0))/(INDEX(요약_월별시즈널리티!$F$7:$F$18,MONTH(EDATE($E15,Y$1-1)))/100))),"")</f>
        <v/>
      </c>
      <c r="Z15" t="str" cm="1">
        <f t="array" ref="Z15">IFERROR(IF($E15&lt;44348,"",IF(INDEX(Raw_매출!$B$2:$BI$155,MATCH($A15,Raw_매출!$A$2:$A$155,0),MATCH(EDATE($E15,Z$1-1),Raw_매출!$B$1:$BI$1,0))=0,"",INDEX(Raw_매출!$B$2:$BI$155,MATCH($A15,Raw_매출!$A$2:$A$155,0),MATCH(EDATE($E15,Z$1-1),Raw_매출!$B$1:$BI$1,0))/(INDEX(요약_월별시즈널리티!$F$7:$F$18,MONTH(EDATE($E15,Z$1-1)))/100))),"")</f>
        <v/>
      </c>
      <c r="AA15" t="str" cm="1">
        <f t="array" ref="AA15">IFERROR(IF($E15&lt;44348,"",IF(INDEX(Raw_매출!$B$2:$BI$155,MATCH($A15,Raw_매출!$A$2:$A$155,0),MATCH(EDATE($E15,AA$1-1),Raw_매출!$B$1:$BI$1,0))=0,"",INDEX(Raw_매출!$B$2:$BI$155,MATCH($A15,Raw_매출!$A$2:$A$155,0),MATCH(EDATE($E15,AA$1-1),Raw_매출!$B$1:$BI$1,0))/(INDEX(요약_월별시즈널리티!$F$7:$F$18,MONTH(EDATE($E15,AA$1-1)))/100))),"")</f>
        <v/>
      </c>
      <c r="AB15" t="str" cm="1">
        <f t="array" ref="AB15">IFERROR(IF($E15&lt;44348,"",IF(INDEX(Raw_매출!$B$2:$BI$155,MATCH($A15,Raw_매출!$A$2:$A$155,0),MATCH(EDATE($E15,AB$1-1),Raw_매출!$B$1:$BI$1,0))=0,"",INDEX(Raw_매출!$B$2:$BI$155,MATCH($A15,Raw_매출!$A$2:$A$155,0),MATCH(EDATE($E15,AB$1-1),Raw_매출!$B$1:$BI$1,0))/(INDEX(요약_월별시즈널리티!$F$7:$F$18,MONTH(EDATE($E15,AB$1-1)))/100))),"")</f>
        <v/>
      </c>
      <c r="AC15" t="str" cm="1">
        <f t="array" ref="AC15">IFERROR(IF($E15&lt;44348,"",IF(INDEX(Raw_매출!$B$2:$BI$155,MATCH($A15,Raw_매출!$A$2:$A$155,0),MATCH(EDATE($E15,AC$1-1),Raw_매출!$B$1:$BI$1,0))=0,"",INDEX(Raw_매출!$B$2:$BI$155,MATCH($A15,Raw_매출!$A$2:$A$155,0),MATCH(EDATE($E15,AC$1-1),Raw_매출!$B$1:$BI$1,0))/(INDEX(요약_월별시즈널리티!$F$7:$F$18,MONTH(EDATE($E15,AC$1-1)))/100))),"")</f>
        <v/>
      </c>
      <c r="AD15" t="str" cm="1">
        <f t="array" ref="AD15">IFERROR(IF($E15&lt;44348,"",IF(INDEX(Raw_매출!$B$2:$BI$155,MATCH($A15,Raw_매출!$A$2:$A$155,0),MATCH(EDATE($E15,AD$1-1),Raw_매출!$B$1:$BI$1,0))=0,"",INDEX(Raw_매출!$B$2:$BI$155,MATCH($A15,Raw_매출!$A$2:$A$155,0),MATCH(EDATE($E15,AD$1-1),Raw_매출!$B$1:$BI$1,0))/(INDEX(요약_월별시즈널리티!$F$7:$F$18,MONTH(EDATE($E15,AD$1-1)))/100))),"")</f>
        <v/>
      </c>
      <c r="AE15" t="str" cm="1">
        <f t="array" ref="AE15">IFERROR(IF($E15&lt;44348,"",IF(INDEX(Raw_매출!$B$2:$BI$155,MATCH($A15,Raw_매출!$A$2:$A$155,0),MATCH(EDATE($E15,AE$1-1),Raw_매출!$B$1:$BI$1,0))=0,"",INDEX(Raw_매출!$B$2:$BI$155,MATCH($A15,Raw_매출!$A$2:$A$155,0),MATCH(EDATE($E15,AE$1-1),Raw_매출!$B$1:$BI$1,0))/(INDEX(요약_월별시즈널리티!$F$7:$F$18,MONTH(EDATE($E15,AE$1-1)))/100))),"")</f>
        <v/>
      </c>
      <c r="AF15" t="str" cm="1">
        <f t="array" ref="AF15">IFERROR(IF($E15&lt;44348,"",IF(INDEX(Raw_매출!$B$2:$BI$155,MATCH($A15,Raw_매출!$A$2:$A$155,0),MATCH(EDATE($E15,AF$1-1),Raw_매출!$B$1:$BI$1,0))=0,"",INDEX(Raw_매출!$B$2:$BI$155,MATCH($A15,Raw_매출!$A$2:$A$155,0),MATCH(EDATE($E15,AF$1-1),Raw_매출!$B$1:$BI$1,0))/(INDEX(요약_월별시즈널리티!$F$7:$F$18,MONTH(EDATE($E15,AF$1-1)))/100))),"")</f>
        <v/>
      </c>
      <c r="AG15" t="str" cm="1">
        <f t="array" ref="AG15">IFERROR(IF($E15&lt;44348,"",IF(INDEX(Raw_매출!$B$2:$BI$155,MATCH($A15,Raw_매출!$A$2:$A$155,0),MATCH(EDATE($E15,AG$1-1),Raw_매출!$B$1:$BI$1,0))=0,"",INDEX(Raw_매출!$B$2:$BI$155,MATCH($A15,Raw_매출!$A$2:$A$155,0),MATCH(EDATE($E15,AG$1-1),Raw_매출!$B$1:$BI$1,0))/(INDEX(요약_월별시즈널리티!$F$7:$F$18,MONTH(EDATE($E15,AG$1-1)))/100))),"")</f>
        <v/>
      </c>
      <c r="AH15" t="str" cm="1">
        <f t="array" ref="AH15">IFERROR(IF($E15&lt;44348,"",IF(INDEX(Raw_매출!$B$2:$BI$155,MATCH($A15,Raw_매출!$A$2:$A$155,0),MATCH(EDATE($E15,AH$1-1),Raw_매출!$B$1:$BI$1,0))=0,"",INDEX(Raw_매출!$B$2:$BI$155,MATCH($A15,Raw_매출!$A$2:$A$155,0),MATCH(EDATE($E15,AH$1-1),Raw_매출!$B$1:$BI$1,0))/(INDEX(요약_월별시즈널리티!$F$7:$F$18,MONTH(EDATE($E15,AH$1-1)))/100))),"")</f>
        <v/>
      </c>
      <c r="AI15" t="str" cm="1">
        <f t="array" ref="AI15">IFERROR(IF($E15&lt;44348,"",IF(INDEX(Raw_매출!$B$2:$BI$155,MATCH($A15,Raw_매출!$A$2:$A$155,0),MATCH(EDATE($E15,AI$1-1),Raw_매출!$B$1:$BI$1,0))=0,"",INDEX(Raw_매출!$B$2:$BI$155,MATCH($A15,Raw_매출!$A$2:$A$155,0),MATCH(EDATE($E15,AI$1-1),Raw_매출!$B$1:$BI$1,0))/(INDEX(요약_월별시즈널리티!$F$7:$F$18,MONTH(EDATE($E15,AI$1-1)))/100))),"")</f>
        <v/>
      </c>
      <c r="AJ15" t="str" cm="1">
        <f t="array" ref="AJ15">IFERROR(IF($E15&lt;44348,"",IF(INDEX(Raw_매출!$B$2:$BI$155,MATCH($A15,Raw_매출!$A$2:$A$155,0),MATCH(EDATE($E15,AJ$1-1),Raw_매출!$B$1:$BI$1,0))=0,"",INDEX(Raw_매출!$B$2:$BI$155,MATCH($A15,Raw_매출!$A$2:$A$155,0),MATCH(EDATE($E15,AJ$1-1),Raw_매출!$B$1:$BI$1,0))/(INDEX(요약_월별시즈널리티!$F$7:$F$18,MONTH(EDATE($E15,AJ$1-1)))/100))),"")</f>
        <v/>
      </c>
      <c r="AK15" t="str" cm="1">
        <f t="array" ref="AK15">IFERROR(IF($E15&lt;44348,"",IF(INDEX(Raw_매출!$B$2:$BI$155,MATCH($A15,Raw_매출!$A$2:$A$155,0),MATCH(EDATE($E15,AK$1-1),Raw_매출!$B$1:$BI$1,0))=0,"",INDEX(Raw_매출!$B$2:$BI$155,MATCH($A15,Raw_매출!$A$2:$A$155,0),MATCH(EDATE($E15,AK$1-1),Raw_매출!$B$1:$BI$1,0))/(INDEX(요약_월별시즈널리티!$F$7:$F$18,MONTH(EDATE($E15,AK$1-1)))/100))),"")</f>
        <v/>
      </c>
      <c r="AL15" t="str" cm="1">
        <f t="array" ref="AL15">IFERROR(IF($E15&lt;44348,"",IF(INDEX(Raw_매출!$B$2:$BI$155,MATCH($A15,Raw_매출!$A$2:$A$155,0),MATCH(EDATE($E15,AL$1-1),Raw_매출!$B$1:$BI$1,0))=0,"",INDEX(Raw_매출!$B$2:$BI$155,MATCH($A15,Raw_매출!$A$2:$A$155,0),MATCH(EDATE($E15,AL$1-1),Raw_매출!$B$1:$BI$1,0))/(INDEX(요약_월별시즈널리티!$F$7:$F$18,MONTH(EDATE($E15,AL$1-1)))/100))),"")</f>
        <v/>
      </c>
      <c r="AM15" t="str" cm="1">
        <f t="array" ref="AM15">IFERROR(IF($E15&lt;44348,"",IF(INDEX(Raw_매출!$B$2:$BI$155,MATCH($A15,Raw_매출!$A$2:$A$155,0),MATCH(EDATE($E15,AM$1-1),Raw_매출!$B$1:$BI$1,0))=0,"",INDEX(Raw_매출!$B$2:$BI$155,MATCH($A15,Raw_매출!$A$2:$A$155,0),MATCH(EDATE($E15,AM$1-1),Raw_매출!$B$1:$BI$1,0))/(INDEX(요약_월별시즈널리티!$F$7:$F$18,MONTH(EDATE($E15,AM$1-1)))/100))),"")</f>
        <v/>
      </c>
      <c r="AN15" t="str" cm="1">
        <f t="array" ref="AN15">IFERROR(IF($E15&lt;44348,"",IF(INDEX(Raw_매출!$B$2:$BI$155,MATCH($A15,Raw_매출!$A$2:$A$155,0),MATCH(EDATE($E15,AN$1-1),Raw_매출!$B$1:$BI$1,0))=0,"",INDEX(Raw_매출!$B$2:$BI$155,MATCH($A15,Raw_매출!$A$2:$A$155,0),MATCH(EDATE($E15,AN$1-1),Raw_매출!$B$1:$BI$1,0))/(INDEX(요약_월별시즈널리티!$F$7:$F$18,MONTH(EDATE($E15,AN$1-1)))/100))),"")</f>
        <v/>
      </c>
      <c r="AO15" t="str" cm="1">
        <f t="array" ref="AO15">IFERROR(IF($E15&lt;44348,"",IF(INDEX(Raw_매출!$B$2:$BI$155,MATCH($A15,Raw_매출!$A$2:$A$155,0),MATCH(EDATE($E15,AO$1-1),Raw_매출!$B$1:$BI$1,0))=0,"",INDEX(Raw_매출!$B$2:$BI$155,MATCH($A15,Raw_매출!$A$2:$A$155,0),MATCH(EDATE($E15,AO$1-1),Raw_매출!$B$1:$BI$1,0))/(INDEX(요약_월별시즈널리티!$F$7:$F$18,MONTH(EDATE($E15,AO$1-1)))/100))),"")</f>
        <v/>
      </c>
      <c r="AP15" t="str" cm="1">
        <f t="array" ref="AP15">IFERROR(IF($E15&lt;44348,"",IF(INDEX(Raw_매출!$B$2:$BI$155,MATCH($A15,Raw_매출!$A$2:$A$155,0),MATCH(EDATE($E15,AP$1-1),Raw_매출!$B$1:$BI$1,0))=0,"",INDEX(Raw_매출!$B$2:$BI$155,MATCH($A15,Raw_매출!$A$2:$A$155,0),MATCH(EDATE($E15,AP$1-1),Raw_매출!$B$1:$BI$1,0))/(INDEX(요약_월별시즈널리티!$F$7:$F$18,MONTH(EDATE($E15,AP$1-1)))/100))),"")</f>
        <v/>
      </c>
      <c r="AQ15" t="str" cm="1">
        <f t="array" ref="AQ15">IFERROR(IF($E15&lt;44348,"",IF(INDEX(Raw_매출!$B$2:$BI$155,MATCH($A15,Raw_매출!$A$2:$A$155,0),MATCH(EDATE($E15,AQ$1-1),Raw_매출!$B$1:$BI$1,0))=0,"",INDEX(Raw_매출!$B$2:$BI$155,MATCH($A15,Raw_매출!$A$2:$A$155,0),MATCH(EDATE($E15,AQ$1-1),Raw_매출!$B$1:$BI$1,0))/(INDEX(요약_월별시즈널리티!$F$7:$F$18,MONTH(EDATE($E15,AQ$1-1)))/100))),"")</f>
        <v/>
      </c>
      <c r="AR15" t="str" cm="1">
        <f t="array" ref="AR15">IFERROR(IF($E15&lt;44348,"",IF(INDEX(Raw_매출!$B$2:$BI$155,MATCH($A15,Raw_매출!$A$2:$A$155,0),MATCH(EDATE($E15,AR$1-1),Raw_매출!$B$1:$BI$1,0))=0,"",INDEX(Raw_매출!$B$2:$BI$155,MATCH($A15,Raw_매출!$A$2:$A$155,0),MATCH(EDATE($E15,AR$1-1),Raw_매출!$B$1:$BI$1,0))/(INDEX(요약_월별시즈널리티!$F$7:$F$18,MONTH(EDATE($E15,AR$1-1)))/100))),"")</f>
        <v/>
      </c>
      <c r="AS15" t="str" cm="1">
        <f t="array" ref="AS15">IFERROR(IF($E15&lt;44348,"",IF(INDEX(Raw_매출!$B$2:$BI$155,MATCH($A15,Raw_매출!$A$2:$A$155,0),MATCH(EDATE($E15,AS$1-1),Raw_매출!$B$1:$BI$1,0))=0,"",INDEX(Raw_매출!$B$2:$BI$155,MATCH($A15,Raw_매출!$A$2:$A$155,0),MATCH(EDATE($E15,AS$1-1),Raw_매출!$B$1:$BI$1,0))/(INDEX(요약_월별시즈널리티!$F$7:$F$18,MONTH(EDATE($E15,AS$1-1)))/100))),"")</f>
        <v/>
      </c>
      <c r="AT15" t="str" cm="1">
        <f t="array" ref="AT15">IFERROR(IF($E15&lt;44348,"",IF(INDEX(Raw_매출!$B$2:$BI$155,MATCH($A15,Raw_매출!$A$2:$A$155,0),MATCH(EDATE($E15,AT$1-1),Raw_매출!$B$1:$BI$1,0))=0,"",INDEX(Raw_매출!$B$2:$BI$155,MATCH($A15,Raw_매출!$A$2:$A$155,0),MATCH(EDATE($E15,AT$1-1),Raw_매출!$B$1:$BI$1,0))/(INDEX(요약_월별시즈널리티!$F$7:$F$18,MONTH(EDATE($E15,AT$1-1)))/100))),"")</f>
        <v/>
      </c>
      <c r="AU15" t="str" cm="1">
        <f t="array" ref="AU15">IFERROR(IF($E15&lt;44348,"",IF(INDEX(Raw_매출!$B$2:$BI$155,MATCH($A15,Raw_매출!$A$2:$A$155,0),MATCH(EDATE($E15,AU$1-1),Raw_매출!$B$1:$BI$1,0))=0,"",INDEX(Raw_매출!$B$2:$BI$155,MATCH($A15,Raw_매출!$A$2:$A$155,0),MATCH(EDATE($E15,AU$1-1),Raw_매출!$B$1:$BI$1,0))/(INDEX(요약_월별시즈널리티!$F$7:$F$18,MONTH(EDATE($E15,AU$1-1)))/100))),"")</f>
        <v/>
      </c>
      <c r="AV15" t="str" cm="1">
        <f t="array" ref="AV15">IFERROR(IF($E15&lt;44348,"",IF(INDEX(Raw_매출!$B$2:$BI$155,MATCH($A15,Raw_매출!$A$2:$A$155,0),MATCH(EDATE($E15,AV$1-1),Raw_매출!$B$1:$BI$1,0))=0,"",INDEX(Raw_매출!$B$2:$BI$155,MATCH($A15,Raw_매출!$A$2:$A$155,0),MATCH(EDATE($E15,AV$1-1),Raw_매출!$B$1:$BI$1,0))/(INDEX(요약_월별시즈널리티!$F$7:$F$18,MONTH(EDATE($E15,AV$1-1)))/100))),"")</f>
        <v/>
      </c>
      <c r="AW15" t="str" cm="1">
        <f t="array" ref="AW15">IFERROR(IF($E15&lt;44348,"",IF(INDEX(Raw_매출!$B$2:$BI$155,MATCH($A15,Raw_매출!$A$2:$A$155,0),MATCH(EDATE($E15,AW$1-1),Raw_매출!$B$1:$BI$1,0))=0,"",INDEX(Raw_매출!$B$2:$BI$155,MATCH($A15,Raw_매출!$A$2:$A$155,0),MATCH(EDATE($E15,AW$1-1),Raw_매출!$B$1:$BI$1,0))/(INDEX(요약_월별시즈널리티!$F$7:$F$18,MONTH(EDATE($E15,AW$1-1)))/100))),"")</f>
        <v/>
      </c>
      <c r="AX15" t="str" cm="1">
        <f t="array" ref="AX15">IFERROR(IF($E15&lt;44348,"",IF(INDEX(Raw_매출!$B$2:$BI$155,MATCH($A15,Raw_매출!$A$2:$A$155,0),MATCH(EDATE($E15,AX$1-1),Raw_매출!$B$1:$BI$1,0))=0,"",INDEX(Raw_매출!$B$2:$BI$155,MATCH($A15,Raw_매출!$A$2:$A$155,0),MATCH(EDATE($E15,AX$1-1),Raw_매출!$B$1:$BI$1,0))/(INDEX(요약_월별시즈널리티!$F$7:$F$18,MONTH(EDATE($E15,AX$1-1)))/100))),"")</f>
        <v/>
      </c>
      <c r="AY15" t="str" cm="1">
        <f t="array" ref="AY15">IFERROR(IF($E15&lt;44348,"",IF(INDEX(Raw_매출!$B$2:$BI$155,MATCH($A15,Raw_매출!$A$2:$A$155,0),MATCH(EDATE($E15,AY$1-1),Raw_매출!$B$1:$BI$1,0))=0,"",INDEX(Raw_매출!$B$2:$BI$155,MATCH($A15,Raw_매출!$A$2:$A$155,0),MATCH(EDATE($E15,AY$1-1),Raw_매출!$B$1:$BI$1,0))/(INDEX(요약_월별시즈널리티!$F$7:$F$18,MONTH(EDATE($E15,AY$1-1)))/100))),"")</f>
        <v/>
      </c>
      <c r="AZ15" t="str" cm="1">
        <f t="array" ref="AZ15">IFERROR(IF($E15&lt;44348,"",IF(INDEX(Raw_매출!$B$2:$BI$155,MATCH($A15,Raw_매출!$A$2:$A$155,0),MATCH(EDATE($E15,AZ$1-1),Raw_매출!$B$1:$BI$1,0))=0,"",INDEX(Raw_매출!$B$2:$BI$155,MATCH($A15,Raw_매출!$A$2:$A$155,0),MATCH(EDATE($E15,AZ$1-1),Raw_매출!$B$1:$BI$1,0))/(INDEX(요약_월별시즈널리티!$F$7:$F$18,MONTH(EDATE($E15,AZ$1-1)))/100))),"")</f>
        <v/>
      </c>
      <c r="BA15" t="str" cm="1">
        <f t="array" ref="BA15">IFERROR(IF($E15&lt;44348,"",IF(INDEX(Raw_매출!$B$2:$BI$155,MATCH($A15,Raw_매출!$A$2:$A$155,0),MATCH(EDATE($E15,BA$1-1),Raw_매출!$B$1:$BI$1,0))=0,"",INDEX(Raw_매출!$B$2:$BI$155,MATCH($A15,Raw_매출!$A$2:$A$155,0),MATCH(EDATE($E15,BA$1-1),Raw_매출!$B$1:$BI$1,0))/(INDEX(요약_월별시즈널리티!$F$7:$F$18,MONTH(EDATE($E15,BA$1-1)))/100))),"")</f>
        <v/>
      </c>
      <c r="BB15" t="str" cm="1">
        <f t="array" ref="BB15">IFERROR(IF($E15&lt;44348,"",IF(INDEX(Raw_매출!$B$2:$BI$155,MATCH($A15,Raw_매출!$A$2:$A$155,0),MATCH(EDATE($E15,BB$1-1),Raw_매출!$B$1:$BI$1,0))=0,"",INDEX(Raw_매출!$B$2:$BI$155,MATCH($A15,Raw_매출!$A$2:$A$155,0),MATCH(EDATE($E15,BB$1-1),Raw_매출!$B$1:$BI$1,0))/(INDEX(요약_월별시즈널리티!$F$7:$F$18,MONTH(EDATE($E15,BB$1-1)))/100))),"")</f>
        <v/>
      </c>
      <c r="BC15" t="str" cm="1">
        <f t="array" ref="BC15">IFERROR(IF($E15&lt;44348,"",IF(INDEX(Raw_매출!$B$2:$BI$155,MATCH($A15,Raw_매출!$A$2:$A$155,0),MATCH(EDATE($E15,BC$1-1),Raw_매출!$B$1:$BI$1,0))=0,"",INDEX(Raw_매출!$B$2:$BI$155,MATCH($A15,Raw_매출!$A$2:$A$155,0),MATCH(EDATE($E15,BC$1-1),Raw_매출!$B$1:$BI$1,0))/(INDEX(요약_월별시즈널리티!$F$7:$F$18,MONTH(EDATE($E15,BC$1-1)))/100))),"")</f>
        <v/>
      </c>
      <c r="BD15" t="str" cm="1">
        <f t="array" ref="BD15">IFERROR(IF($E15&lt;44348,"",IF(INDEX(Raw_매출!$B$2:$BI$155,MATCH($A15,Raw_매출!$A$2:$A$155,0),MATCH(EDATE($E15,BD$1-1),Raw_매출!$B$1:$BI$1,0))=0,"",INDEX(Raw_매출!$B$2:$BI$155,MATCH($A15,Raw_매출!$A$2:$A$155,0),MATCH(EDATE($E15,BD$1-1),Raw_매출!$B$1:$BI$1,0))/(INDEX(요약_월별시즈널리티!$F$7:$F$18,MONTH(EDATE($E15,BD$1-1)))/100))),"")</f>
        <v/>
      </c>
      <c r="BE15" t="str" cm="1">
        <f t="array" ref="BE15">IFERROR(IF($E15&lt;44348,"",IF(INDEX(Raw_매출!$B$2:$BI$155,MATCH($A15,Raw_매출!$A$2:$A$155,0),MATCH(EDATE($E15,BE$1-1),Raw_매출!$B$1:$BI$1,0))=0,"",INDEX(Raw_매출!$B$2:$BI$155,MATCH($A15,Raw_매출!$A$2:$A$155,0),MATCH(EDATE($E15,BE$1-1),Raw_매출!$B$1:$BI$1,0))/(INDEX(요약_월별시즈널리티!$F$7:$F$18,MONTH(EDATE($E15,BE$1-1)))/100))),"")</f>
        <v/>
      </c>
      <c r="BF15" t="str" cm="1">
        <f t="array" ref="BF15">IFERROR(IF($E15&lt;44348,"",IF(INDEX(Raw_매출!$B$2:$BI$155,MATCH($A15,Raw_매출!$A$2:$A$155,0),MATCH(EDATE($E15,BF$1-1),Raw_매출!$B$1:$BI$1,0))=0,"",INDEX(Raw_매출!$B$2:$BI$155,MATCH($A15,Raw_매출!$A$2:$A$155,0),MATCH(EDATE($E15,BF$1-1),Raw_매출!$B$1:$BI$1,0))/(INDEX(요약_월별시즈널리티!$F$7:$F$18,MONTH(EDATE($E15,BF$1-1)))/100))),"")</f>
        <v/>
      </c>
      <c r="BG15" t="str" cm="1">
        <f t="array" ref="BG15">IFERROR(IF($E15&lt;44348,"",IF(INDEX(Raw_매출!$B$2:$BI$155,MATCH($A15,Raw_매출!$A$2:$A$155,0),MATCH(EDATE($E15,BG$1-1),Raw_매출!$B$1:$BI$1,0))=0,"",INDEX(Raw_매출!$B$2:$BI$155,MATCH($A15,Raw_매출!$A$2:$A$155,0),MATCH(EDATE($E15,BG$1-1),Raw_매출!$B$1:$BI$1,0))/(INDEX(요약_월별시즈널리티!$F$7:$F$18,MONTH(EDATE($E15,BG$1-1)))/100))),"")</f>
        <v/>
      </c>
      <c r="BH15" t="str" cm="1">
        <f t="array" ref="BH15">IFERROR(IF($E15&lt;44348,"",IF(INDEX(Raw_매출!$B$2:$BI$155,MATCH($A15,Raw_매출!$A$2:$A$155,0),MATCH(EDATE($E15,BH$1-1),Raw_매출!$B$1:$BI$1,0))=0,"",INDEX(Raw_매출!$B$2:$BI$155,MATCH($A15,Raw_매출!$A$2:$A$155,0),MATCH(EDATE($E15,BH$1-1),Raw_매출!$B$1:$BI$1,0))/(INDEX(요약_월별시즈널리티!$F$7:$F$18,MONTH(EDATE($E15,BH$1-1)))/100))),"")</f>
        <v/>
      </c>
      <c r="BI15" t="str" cm="1">
        <f t="array" ref="BI15">IFERROR(IF($E15&lt;44348,"",IF(INDEX(Raw_매출!$B$2:$BI$155,MATCH($A15,Raw_매출!$A$2:$A$155,0),MATCH(EDATE($E15,BI$1-1),Raw_매출!$B$1:$BI$1,0))=0,"",INDEX(Raw_매출!$B$2:$BI$155,MATCH($A15,Raw_매출!$A$2:$A$155,0),MATCH(EDATE($E15,BI$1-1),Raw_매출!$B$1:$BI$1,0))/(INDEX(요약_월별시즈널리티!$F$7:$F$18,MONTH(EDATE($E15,BI$1-1)))/100))),"")</f>
        <v/>
      </c>
      <c r="BJ15" t="str" cm="1">
        <f t="array" ref="BJ15">IFERROR(IF($E15&lt;44348,"",IF(INDEX(Raw_매출!$B$2:$BI$155,MATCH($A15,Raw_매출!$A$2:$A$155,0),MATCH(EDATE($E15,BJ$1-1),Raw_매출!$B$1:$BI$1,0))=0,"",INDEX(Raw_매출!$B$2:$BI$155,MATCH($A15,Raw_매출!$A$2:$A$155,0),MATCH(EDATE($E15,BJ$1-1),Raw_매출!$B$1:$BI$1,0))/(INDEX(요약_월별시즈널리티!$F$7:$F$18,MONTH(EDATE($E15,BJ$1-1)))/100))),"")</f>
        <v/>
      </c>
      <c r="BK15" t="str" cm="1">
        <f t="array" ref="BK15">IFERROR(IF($E15&lt;44348,"",IF(INDEX(Raw_매출!$B$2:$BI$155,MATCH($A15,Raw_매출!$A$2:$A$155,0),MATCH(EDATE($E15,BK$1-1),Raw_매출!$B$1:$BI$1,0))=0,"",INDEX(Raw_매출!$B$2:$BI$155,MATCH($A15,Raw_매출!$A$2:$A$155,0),MATCH(EDATE($E15,BK$1-1),Raw_매출!$B$1:$BI$1,0))/(INDEX(요약_월별시즈널리티!$F$7:$F$18,MONTH(EDATE($E15,BK$1-1)))/100))),"")</f>
        <v/>
      </c>
      <c r="BL15" t="str" cm="1">
        <f t="array" ref="BL15">IFERROR(IF($E15&lt;44348,"",IF(INDEX(Raw_매출!$B$2:$BI$155,MATCH($A15,Raw_매출!$A$2:$A$155,0),MATCH(EDATE($E15,BL$1-1),Raw_매출!$B$1:$BI$1,0))=0,"",INDEX(Raw_매출!$B$2:$BI$155,MATCH($A15,Raw_매출!$A$2:$A$155,0),MATCH(EDATE($E15,BL$1-1),Raw_매출!$B$1:$BI$1,0))/(INDEX(요약_월별시즈널리티!$F$7:$F$18,MONTH(EDATE($E15,BL$1-1)))/100))),"")</f>
        <v/>
      </c>
      <c r="BM15" t="str" cm="1">
        <f t="array" ref="BM15">IFERROR(IF($E15&lt;44348,"",IF(INDEX(Raw_매출!$B$2:$BI$155,MATCH($A15,Raw_매출!$A$2:$A$155,0),MATCH(EDATE($E15,BM$1-1),Raw_매출!$B$1:$BI$1,0))=0,"",INDEX(Raw_매출!$B$2:$BI$155,MATCH($A15,Raw_매출!$A$2:$A$155,0),MATCH(EDATE($E15,BM$1-1),Raw_매출!$B$1:$BI$1,0))/(INDEX(요약_월별시즈널리티!$F$7:$F$18,MONTH(EDATE($E15,BM$1-1)))/100))),"")</f>
        <v/>
      </c>
      <c r="BN15" t="str" cm="1">
        <f t="array" ref="BN15">IFERROR(IF($E15&lt;44348,"",IF(INDEX(Raw_매출!$B$2:$BI$155,MATCH($A15,Raw_매출!$A$2:$A$155,0),MATCH(EDATE($E15,BN$1-1),Raw_매출!$B$1:$BI$1,0))=0,"",INDEX(Raw_매출!$B$2:$BI$155,MATCH($A15,Raw_매출!$A$2:$A$155,0),MATCH(EDATE($E15,BN$1-1),Raw_매출!$B$1:$BI$1,0))/(INDEX(요약_월별시즈널리티!$F$7:$F$18,MONTH(EDATE($E15,BN$1-1)))/100))),"")</f>
        <v/>
      </c>
    </row>
    <row r="16" spans="1:66" x14ac:dyDescent="0.4">
      <c r="A16" t="str">
        <f>세팅!A17</f>
        <v>(1001) #화곡점</v>
      </c>
      <c r="B16" t="str">
        <f>세팅!B17</f>
        <v>150-1</v>
      </c>
      <c r="C16">
        <f t="shared" si="0"/>
        <v>1</v>
      </c>
      <c r="D16" t="str">
        <f t="shared" si="1"/>
        <v>1</v>
      </c>
      <c r="E16" s="1">
        <f>세팅!D17</f>
        <v>43647</v>
      </c>
      <c r="F16" t="str">
        <f t="shared" si="2"/>
        <v/>
      </c>
      <c r="G16" t="str" cm="1">
        <f t="array" ref="G16">IFERROR(IF($E16&lt;44348,"",IF(INDEX(Raw_매출!$B$2:$BI$155,MATCH($A16,Raw_매출!$A$2:$A$155,0),MATCH(EDATE($E16,G$1-1),Raw_매출!$B$1:$BI$1,0))=0,"",INDEX(Raw_매출!$B$2:$BI$155,MATCH($A16,Raw_매출!$A$2:$A$155,0),MATCH(EDATE($E16,G$1-1),Raw_매출!$B$1:$BI$1,0))/(INDEX(요약_월별시즈널리티!$F$7:$F$18,MONTH(EDATE($E16,G$1-1)))/100))),"")</f>
        <v/>
      </c>
      <c r="H16" t="str" cm="1">
        <f t="array" ref="H16">IFERROR(IF($E16&lt;44348,"",IF(INDEX(Raw_매출!$B$2:$BI$155,MATCH($A16,Raw_매출!$A$2:$A$155,0),MATCH(EDATE($E16,H$1-1),Raw_매출!$B$1:$BI$1,0))=0,"",INDEX(Raw_매출!$B$2:$BI$155,MATCH($A16,Raw_매출!$A$2:$A$155,0),MATCH(EDATE($E16,H$1-1),Raw_매출!$B$1:$BI$1,0))/(INDEX(요약_월별시즈널리티!$F$7:$F$18,MONTH(EDATE($E16,H$1-1)))/100))),"")</f>
        <v/>
      </c>
      <c r="I16" t="str" cm="1">
        <f t="array" ref="I16">IFERROR(IF($E16&lt;44348,"",IF(INDEX(Raw_매출!$B$2:$BI$155,MATCH($A16,Raw_매출!$A$2:$A$155,0),MATCH(EDATE($E16,I$1-1),Raw_매출!$B$1:$BI$1,0))=0,"",INDEX(Raw_매출!$B$2:$BI$155,MATCH($A16,Raw_매출!$A$2:$A$155,0),MATCH(EDATE($E16,I$1-1),Raw_매출!$B$1:$BI$1,0))/(INDEX(요약_월별시즈널리티!$F$7:$F$18,MONTH(EDATE($E16,I$1-1)))/100))),"")</f>
        <v/>
      </c>
      <c r="J16" s="30" t="str" cm="1">
        <f t="array" ref="J16">IFERROR(IF($E16&lt;44348,"",IF(INDEX(Raw_매출!$B$2:$BI$155,MATCH($A16,Raw_매출!$A$2:$A$155,0),MATCH(EDATE($E16,J$1-1),Raw_매출!$B$1:$BI$1,0))=0,"",INDEX(Raw_매출!$B$2:$BI$155,MATCH($A16,Raw_매출!$A$2:$A$155,0),MATCH(EDATE($E16,J$1-1),Raw_매출!$B$1:$BI$1,0))/(INDEX(요약_월별시즈널리티!$F$7:$F$18,MONTH(EDATE($E16,J$1-1)))/100))),"")</f>
        <v/>
      </c>
      <c r="K16" s="30" t="str" cm="1">
        <f t="array" ref="K16">IFERROR(IF($E16&lt;44348,"",IF(INDEX(Raw_매출!$B$2:$BI$155,MATCH($A16,Raw_매출!$A$2:$A$155,0),MATCH(EDATE($E16,K$1-1),Raw_매출!$B$1:$BI$1,0))=0,"",INDEX(Raw_매출!$B$2:$BI$155,MATCH($A16,Raw_매출!$A$2:$A$155,0),MATCH(EDATE($E16,K$1-1),Raw_매출!$B$1:$BI$1,0))/(INDEX(요약_월별시즈널리티!$F$7:$F$18,MONTH(EDATE($E16,K$1-1)))/100))),"")</f>
        <v/>
      </c>
      <c r="L16" s="30" t="str" cm="1">
        <f t="array" ref="L16">IFERROR(IF($E16&lt;44348,"",IF(INDEX(Raw_매출!$B$2:$BI$155,MATCH($A16,Raw_매출!$A$2:$A$155,0),MATCH(EDATE($E16,L$1-1),Raw_매출!$B$1:$BI$1,0))=0,"",INDEX(Raw_매출!$B$2:$BI$155,MATCH($A16,Raw_매출!$A$2:$A$155,0),MATCH(EDATE($E16,L$1-1),Raw_매출!$B$1:$BI$1,0))/(INDEX(요약_월별시즈널리티!$F$7:$F$18,MONTH(EDATE($E16,L$1-1)))/100))),"")</f>
        <v/>
      </c>
      <c r="M16" s="30" t="str" cm="1">
        <f t="array" ref="M16">IFERROR(IF($E16&lt;44348,"",IF(INDEX(Raw_매출!$B$2:$BI$155,MATCH($A16,Raw_매출!$A$2:$A$155,0),MATCH(EDATE($E16,M$1-1),Raw_매출!$B$1:$BI$1,0))=0,"",INDEX(Raw_매출!$B$2:$BI$155,MATCH($A16,Raw_매출!$A$2:$A$155,0),MATCH(EDATE($E16,M$1-1),Raw_매출!$B$1:$BI$1,0))/(INDEX(요약_월별시즈널리티!$F$7:$F$18,MONTH(EDATE($E16,M$1-1)))/100))),"")</f>
        <v/>
      </c>
      <c r="N16" s="30" t="str" cm="1">
        <f t="array" ref="N16">IFERROR(IF($E16&lt;44348,"",IF(INDEX(Raw_매출!$B$2:$BI$155,MATCH($A16,Raw_매출!$A$2:$A$155,0),MATCH(EDATE($E16,N$1-1),Raw_매출!$B$1:$BI$1,0))=0,"",INDEX(Raw_매출!$B$2:$BI$155,MATCH($A16,Raw_매출!$A$2:$A$155,0),MATCH(EDATE($E16,N$1-1),Raw_매출!$B$1:$BI$1,0))/(INDEX(요약_월별시즈널리티!$F$7:$F$18,MONTH(EDATE($E16,N$1-1)))/100))),"")</f>
        <v/>
      </c>
      <c r="O16" s="30" t="str" cm="1">
        <f t="array" ref="O16">IFERROR(IF($E16&lt;44348,"",IF(INDEX(Raw_매출!$B$2:$BI$155,MATCH($A16,Raw_매출!$A$2:$A$155,0),MATCH(EDATE($E16,O$1-1),Raw_매출!$B$1:$BI$1,0))=0,"",INDEX(Raw_매출!$B$2:$BI$155,MATCH($A16,Raw_매출!$A$2:$A$155,0),MATCH(EDATE($E16,O$1-1),Raw_매출!$B$1:$BI$1,0))/(INDEX(요약_월별시즈널리티!$F$7:$F$18,MONTH(EDATE($E16,O$1-1)))/100))),"")</f>
        <v/>
      </c>
      <c r="P16" t="str" cm="1">
        <f t="array" ref="P16">IFERROR(IF($E16&lt;44348,"",IF(INDEX(Raw_매출!$B$2:$BI$155,MATCH($A16,Raw_매출!$A$2:$A$155,0),MATCH(EDATE($E16,P$1-1),Raw_매출!$B$1:$BI$1,0))=0,"",INDEX(Raw_매출!$B$2:$BI$155,MATCH($A16,Raw_매출!$A$2:$A$155,0),MATCH(EDATE($E16,P$1-1),Raw_매출!$B$1:$BI$1,0))/(INDEX(요약_월별시즈널리티!$F$7:$F$18,MONTH(EDATE($E16,P$1-1)))/100))),"")</f>
        <v/>
      </c>
      <c r="Q16" t="str" cm="1">
        <f t="array" ref="Q16">IFERROR(IF($E16&lt;44348,"",IF(INDEX(Raw_매출!$B$2:$BI$155,MATCH($A16,Raw_매출!$A$2:$A$155,0),MATCH(EDATE($E16,Q$1-1),Raw_매출!$B$1:$BI$1,0))=0,"",INDEX(Raw_매출!$B$2:$BI$155,MATCH($A16,Raw_매출!$A$2:$A$155,0),MATCH(EDATE($E16,Q$1-1),Raw_매출!$B$1:$BI$1,0))/(INDEX(요약_월별시즈널리티!$F$7:$F$18,MONTH(EDATE($E16,Q$1-1)))/100))),"")</f>
        <v/>
      </c>
      <c r="R16" t="str" cm="1">
        <f t="array" ref="R16">IFERROR(IF($E16&lt;44348,"",IF(INDEX(Raw_매출!$B$2:$BI$155,MATCH($A16,Raw_매출!$A$2:$A$155,0),MATCH(EDATE($E16,R$1-1),Raw_매출!$B$1:$BI$1,0))=0,"",INDEX(Raw_매출!$B$2:$BI$155,MATCH($A16,Raw_매출!$A$2:$A$155,0),MATCH(EDATE($E16,R$1-1),Raw_매출!$B$1:$BI$1,0))/(INDEX(요약_월별시즈널리티!$F$7:$F$18,MONTH(EDATE($E16,R$1-1)))/100))),"")</f>
        <v/>
      </c>
      <c r="S16" t="str" cm="1">
        <f t="array" ref="S16">IFERROR(IF($E16&lt;44348,"",IF(INDEX(Raw_매출!$B$2:$BI$155,MATCH($A16,Raw_매출!$A$2:$A$155,0),MATCH(EDATE($E16,S$1-1),Raw_매출!$B$1:$BI$1,0))=0,"",INDEX(Raw_매출!$B$2:$BI$155,MATCH($A16,Raw_매출!$A$2:$A$155,0),MATCH(EDATE($E16,S$1-1),Raw_매출!$B$1:$BI$1,0))/(INDEX(요약_월별시즈널리티!$F$7:$F$18,MONTH(EDATE($E16,S$1-1)))/100))),"")</f>
        <v/>
      </c>
      <c r="T16" t="str" cm="1">
        <f t="array" ref="T16">IFERROR(IF($E16&lt;44348,"",IF(INDEX(Raw_매출!$B$2:$BI$155,MATCH($A16,Raw_매출!$A$2:$A$155,0),MATCH(EDATE($E16,T$1-1),Raw_매출!$B$1:$BI$1,0))=0,"",INDEX(Raw_매출!$B$2:$BI$155,MATCH($A16,Raw_매출!$A$2:$A$155,0),MATCH(EDATE($E16,T$1-1),Raw_매출!$B$1:$BI$1,0))/(INDEX(요약_월별시즈널리티!$F$7:$F$18,MONTH(EDATE($E16,T$1-1)))/100))),"")</f>
        <v/>
      </c>
      <c r="U16" t="str" cm="1">
        <f t="array" ref="U16">IFERROR(IF($E16&lt;44348,"",IF(INDEX(Raw_매출!$B$2:$BI$155,MATCH($A16,Raw_매출!$A$2:$A$155,0),MATCH(EDATE($E16,U$1-1),Raw_매출!$B$1:$BI$1,0))=0,"",INDEX(Raw_매출!$B$2:$BI$155,MATCH($A16,Raw_매출!$A$2:$A$155,0),MATCH(EDATE($E16,U$1-1),Raw_매출!$B$1:$BI$1,0))/(INDEX(요약_월별시즈널리티!$F$7:$F$18,MONTH(EDATE($E16,U$1-1)))/100))),"")</f>
        <v/>
      </c>
      <c r="V16" t="str" cm="1">
        <f t="array" ref="V16">IFERROR(IF($E16&lt;44348,"",IF(INDEX(Raw_매출!$B$2:$BI$155,MATCH($A16,Raw_매출!$A$2:$A$155,0),MATCH(EDATE($E16,V$1-1),Raw_매출!$B$1:$BI$1,0))=0,"",INDEX(Raw_매출!$B$2:$BI$155,MATCH($A16,Raw_매출!$A$2:$A$155,0),MATCH(EDATE($E16,V$1-1),Raw_매출!$B$1:$BI$1,0))/(INDEX(요약_월별시즈널리티!$F$7:$F$18,MONTH(EDATE($E16,V$1-1)))/100))),"")</f>
        <v/>
      </c>
      <c r="W16" t="str" cm="1">
        <f t="array" ref="W16">IFERROR(IF($E16&lt;44348,"",IF(INDEX(Raw_매출!$B$2:$BI$155,MATCH($A16,Raw_매출!$A$2:$A$155,0),MATCH(EDATE($E16,W$1-1),Raw_매출!$B$1:$BI$1,0))=0,"",INDEX(Raw_매출!$B$2:$BI$155,MATCH($A16,Raw_매출!$A$2:$A$155,0),MATCH(EDATE($E16,W$1-1),Raw_매출!$B$1:$BI$1,0))/(INDEX(요약_월별시즈널리티!$F$7:$F$18,MONTH(EDATE($E16,W$1-1)))/100))),"")</f>
        <v/>
      </c>
      <c r="X16" t="str" cm="1">
        <f t="array" ref="X16">IFERROR(IF($E16&lt;44348,"",IF(INDEX(Raw_매출!$B$2:$BI$155,MATCH($A16,Raw_매출!$A$2:$A$155,0),MATCH(EDATE($E16,X$1-1),Raw_매출!$B$1:$BI$1,0))=0,"",INDEX(Raw_매출!$B$2:$BI$155,MATCH($A16,Raw_매출!$A$2:$A$155,0),MATCH(EDATE($E16,X$1-1),Raw_매출!$B$1:$BI$1,0))/(INDEX(요약_월별시즈널리티!$F$7:$F$18,MONTH(EDATE($E16,X$1-1)))/100))),"")</f>
        <v/>
      </c>
      <c r="Y16" t="str" cm="1">
        <f t="array" ref="Y16">IFERROR(IF($E16&lt;44348,"",IF(INDEX(Raw_매출!$B$2:$BI$155,MATCH($A16,Raw_매출!$A$2:$A$155,0),MATCH(EDATE($E16,Y$1-1),Raw_매출!$B$1:$BI$1,0))=0,"",INDEX(Raw_매출!$B$2:$BI$155,MATCH($A16,Raw_매출!$A$2:$A$155,0),MATCH(EDATE($E16,Y$1-1),Raw_매출!$B$1:$BI$1,0))/(INDEX(요약_월별시즈널리티!$F$7:$F$18,MONTH(EDATE($E16,Y$1-1)))/100))),"")</f>
        <v/>
      </c>
      <c r="Z16" t="str" cm="1">
        <f t="array" ref="Z16">IFERROR(IF($E16&lt;44348,"",IF(INDEX(Raw_매출!$B$2:$BI$155,MATCH($A16,Raw_매출!$A$2:$A$155,0),MATCH(EDATE($E16,Z$1-1),Raw_매출!$B$1:$BI$1,0))=0,"",INDEX(Raw_매출!$B$2:$BI$155,MATCH($A16,Raw_매출!$A$2:$A$155,0),MATCH(EDATE($E16,Z$1-1),Raw_매출!$B$1:$BI$1,0))/(INDEX(요약_월별시즈널리티!$F$7:$F$18,MONTH(EDATE($E16,Z$1-1)))/100))),"")</f>
        <v/>
      </c>
      <c r="AA16" t="str" cm="1">
        <f t="array" ref="AA16">IFERROR(IF($E16&lt;44348,"",IF(INDEX(Raw_매출!$B$2:$BI$155,MATCH($A16,Raw_매출!$A$2:$A$155,0),MATCH(EDATE($E16,AA$1-1),Raw_매출!$B$1:$BI$1,0))=0,"",INDEX(Raw_매출!$B$2:$BI$155,MATCH($A16,Raw_매출!$A$2:$A$155,0),MATCH(EDATE($E16,AA$1-1),Raw_매출!$B$1:$BI$1,0))/(INDEX(요약_월별시즈널리티!$F$7:$F$18,MONTH(EDATE($E16,AA$1-1)))/100))),"")</f>
        <v/>
      </c>
      <c r="AB16" t="str" cm="1">
        <f t="array" ref="AB16">IFERROR(IF($E16&lt;44348,"",IF(INDEX(Raw_매출!$B$2:$BI$155,MATCH($A16,Raw_매출!$A$2:$A$155,0),MATCH(EDATE($E16,AB$1-1),Raw_매출!$B$1:$BI$1,0))=0,"",INDEX(Raw_매출!$B$2:$BI$155,MATCH($A16,Raw_매출!$A$2:$A$155,0),MATCH(EDATE($E16,AB$1-1),Raw_매출!$B$1:$BI$1,0))/(INDEX(요약_월별시즈널리티!$F$7:$F$18,MONTH(EDATE($E16,AB$1-1)))/100))),"")</f>
        <v/>
      </c>
      <c r="AC16" t="str" cm="1">
        <f t="array" ref="AC16">IFERROR(IF($E16&lt;44348,"",IF(INDEX(Raw_매출!$B$2:$BI$155,MATCH($A16,Raw_매출!$A$2:$A$155,0),MATCH(EDATE($E16,AC$1-1),Raw_매출!$B$1:$BI$1,0))=0,"",INDEX(Raw_매출!$B$2:$BI$155,MATCH($A16,Raw_매출!$A$2:$A$155,0),MATCH(EDATE($E16,AC$1-1),Raw_매출!$B$1:$BI$1,0))/(INDEX(요약_월별시즈널리티!$F$7:$F$18,MONTH(EDATE($E16,AC$1-1)))/100))),"")</f>
        <v/>
      </c>
      <c r="AD16" t="str" cm="1">
        <f t="array" ref="AD16">IFERROR(IF($E16&lt;44348,"",IF(INDEX(Raw_매출!$B$2:$BI$155,MATCH($A16,Raw_매출!$A$2:$A$155,0),MATCH(EDATE($E16,AD$1-1),Raw_매출!$B$1:$BI$1,0))=0,"",INDEX(Raw_매출!$B$2:$BI$155,MATCH($A16,Raw_매출!$A$2:$A$155,0),MATCH(EDATE($E16,AD$1-1),Raw_매출!$B$1:$BI$1,0))/(INDEX(요약_월별시즈널리티!$F$7:$F$18,MONTH(EDATE($E16,AD$1-1)))/100))),"")</f>
        <v/>
      </c>
      <c r="AE16" t="str" cm="1">
        <f t="array" ref="AE16">IFERROR(IF($E16&lt;44348,"",IF(INDEX(Raw_매출!$B$2:$BI$155,MATCH($A16,Raw_매출!$A$2:$A$155,0),MATCH(EDATE($E16,AE$1-1),Raw_매출!$B$1:$BI$1,0))=0,"",INDEX(Raw_매출!$B$2:$BI$155,MATCH($A16,Raw_매출!$A$2:$A$155,0),MATCH(EDATE($E16,AE$1-1),Raw_매출!$B$1:$BI$1,0))/(INDEX(요약_월별시즈널리티!$F$7:$F$18,MONTH(EDATE($E16,AE$1-1)))/100))),"")</f>
        <v/>
      </c>
      <c r="AF16" t="str" cm="1">
        <f t="array" ref="AF16">IFERROR(IF($E16&lt;44348,"",IF(INDEX(Raw_매출!$B$2:$BI$155,MATCH($A16,Raw_매출!$A$2:$A$155,0),MATCH(EDATE($E16,AF$1-1),Raw_매출!$B$1:$BI$1,0))=0,"",INDEX(Raw_매출!$B$2:$BI$155,MATCH($A16,Raw_매출!$A$2:$A$155,0),MATCH(EDATE($E16,AF$1-1),Raw_매출!$B$1:$BI$1,0))/(INDEX(요약_월별시즈널리티!$F$7:$F$18,MONTH(EDATE($E16,AF$1-1)))/100))),"")</f>
        <v/>
      </c>
      <c r="AG16" t="str" cm="1">
        <f t="array" ref="AG16">IFERROR(IF($E16&lt;44348,"",IF(INDEX(Raw_매출!$B$2:$BI$155,MATCH($A16,Raw_매출!$A$2:$A$155,0),MATCH(EDATE($E16,AG$1-1),Raw_매출!$B$1:$BI$1,0))=0,"",INDEX(Raw_매출!$B$2:$BI$155,MATCH($A16,Raw_매출!$A$2:$A$155,0),MATCH(EDATE($E16,AG$1-1),Raw_매출!$B$1:$BI$1,0))/(INDEX(요약_월별시즈널리티!$F$7:$F$18,MONTH(EDATE($E16,AG$1-1)))/100))),"")</f>
        <v/>
      </c>
      <c r="AH16" t="str" cm="1">
        <f t="array" ref="AH16">IFERROR(IF($E16&lt;44348,"",IF(INDEX(Raw_매출!$B$2:$BI$155,MATCH($A16,Raw_매출!$A$2:$A$155,0),MATCH(EDATE($E16,AH$1-1),Raw_매출!$B$1:$BI$1,0))=0,"",INDEX(Raw_매출!$B$2:$BI$155,MATCH($A16,Raw_매출!$A$2:$A$155,0),MATCH(EDATE($E16,AH$1-1),Raw_매출!$B$1:$BI$1,0))/(INDEX(요약_월별시즈널리티!$F$7:$F$18,MONTH(EDATE($E16,AH$1-1)))/100))),"")</f>
        <v/>
      </c>
      <c r="AI16" t="str" cm="1">
        <f t="array" ref="AI16">IFERROR(IF($E16&lt;44348,"",IF(INDEX(Raw_매출!$B$2:$BI$155,MATCH($A16,Raw_매출!$A$2:$A$155,0),MATCH(EDATE($E16,AI$1-1),Raw_매출!$B$1:$BI$1,0))=0,"",INDEX(Raw_매출!$B$2:$BI$155,MATCH($A16,Raw_매출!$A$2:$A$155,0),MATCH(EDATE($E16,AI$1-1),Raw_매출!$B$1:$BI$1,0))/(INDEX(요약_월별시즈널리티!$F$7:$F$18,MONTH(EDATE($E16,AI$1-1)))/100))),"")</f>
        <v/>
      </c>
      <c r="AJ16" t="str" cm="1">
        <f t="array" ref="AJ16">IFERROR(IF($E16&lt;44348,"",IF(INDEX(Raw_매출!$B$2:$BI$155,MATCH($A16,Raw_매출!$A$2:$A$155,0),MATCH(EDATE($E16,AJ$1-1),Raw_매출!$B$1:$BI$1,0))=0,"",INDEX(Raw_매출!$B$2:$BI$155,MATCH($A16,Raw_매출!$A$2:$A$155,0),MATCH(EDATE($E16,AJ$1-1),Raw_매출!$B$1:$BI$1,0))/(INDEX(요약_월별시즈널리티!$F$7:$F$18,MONTH(EDATE($E16,AJ$1-1)))/100))),"")</f>
        <v/>
      </c>
      <c r="AK16" t="str" cm="1">
        <f t="array" ref="AK16">IFERROR(IF($E16&lt;44348,"",IF(INDEX(Raw_매출!$B$2:$BI$155,MATCH($A16,Raw_매출!$A$2:$A$155,0),MATCH(EDATE($E16,AK$1-1),Raw_매출!$B$1:$BI$1,0))=0,"",INDEX(Raw_매출!$B$2:$BI$155,MATCH($A16,Raw_매출!$A$2:$A$155,0),MATCH(EDATE($E16,AK$1-1),Raw_매출!$B$1:$BI$1,0))/(INDEX(요약_월별시즈널리티!$F$7:$F$18,MONTH(EDATE($E16,AK$1-1)))/100))),"")</f>
        <v/>
      </c>
      <c r="AL16" t="str" cm="1">
        <f t="array" ref="AL16">IFERROR(IF($E16&lt;44348,"",IF(INDEX(Raw_매출!$B$2:$BI$155,MATCH($A16,Raw_매출!$A$2:$A$155,0),MATCH(EDATE($E16,AL$1-1),Raw_매출!$B$1:$BI$1,0))=0,"",INDEX(Raw_매출!$B$2:$BI$155,MATCH($A16,Raw_매출!$A$2:$A$155,0),MATCH(EDATE($E16,AL$1-1),Raw_매출!$B$1:$BI$1,0))/(INDEX(요약_월별시즈널리티!$F$7:$F$18,MONTH(EDATE($E16,AL$1-1)))/100))),"")</f>
        <v/>
      </c>
      <c r="AM16" t="str" cm="1">
        <f t="array" ref="AM16">IFERROR(IF($E16&lt;44348,"",IF(INDEX(Raw_매출!$B$2:$BI$155,MATCH($A16,Raw_매출!$A$2:$A$155,0),MATCH(EDATE($E16,AM$1-1),Raw_매출!$B$1:$BI$1,0))=0,"",INDEX(Raw_매출!$B$2:$BI$155,MATCH($A16,Raw_매출!$A$2:$A$155,0),MATCH(EDATE($E16,AM$1-1),Raw_매출!$B$1:$BI$1,0))/(INDEX(요약_월별시즈널리티!$F$7:$F$18,MONTH(EDATE($E16,AM$1-1)))/100))),"")</f>
        <v/>
      </c>
      <c r="AN16" t="str" cm="1">
        <f t="array" ref="AN16">IFERROR(IF($E16&lt;44348,"",IF(INDEX(Raw_매출!$B$2:$BI$155,MATCH($A16,Raw_매출!$A$2:$A$155,0),MATCH(EDATE($E16,AN$1-1),Raw_매출!$B$1:$BI$1,0))=0,"",INDEX(Raw_매출!$B$2:$BI$155,MATCH($A16,Raw_매출!$A$2:$A$155,0),MATCH(EDATE($E16,AN$1-1),Raw_매출!$B$1:$BI$1,0))/(INDEX(요약_월별시즈널리티!$F$7:$F$18,MONTH(EDATE($E16,AN$1-1)))/100))),"")</f>
        <v/>
      </c>
      <c r="AO16" t="str" cm="1">
        <f t="array" ref="AO16">IFERROR(IF($E16&lt;44348,"",IF(INDEX(Raw_매출!$B$2:$BI$155,MATCH($A16,Raw_매출!$A$2:$A$155,0),MATCH(EDATE($E16,AO$1-1),Raw_매출!$B$1:$BI$1,0))=0,"",INDEX(Raw_매출!$B$2:$BI$155,MATCH($A16,Raw_매출!$A$2:$A$155,0),MATCH(EDATE($E16,AO$1-1),Raw_매출!$B$1:$BI$1,0))/(INDEX(요약_월별시즈널리티!$F$7:$F$18,MONTH(EDATE($E16,AO$1-1)))/100))),"")</f>
        <v/>
      </c>
      <c r="AP16" t="str" cm="1">
        <f t="array" ref="AP16">IFERROR(IF($E16&lt;44348,"",IF(INDEX(Raw_매출!$B$2:$BI$155,MATCH($A16,Raw_매출!$A$2:$A$155,0),MATCH(EDATE($E16,AP$1-1),Raw_매출!$B$1:$BI$1,0))=0,"",INDEX(Raw_매출!$B$2:$BI$155,MATCH($A16,Raw_매출!$A$2:$A$155,0),MATCH(EDATE($E16,AP$1-1),Raw_매출!$B$1:$BI$1,0))/(INDEX(요약_월별시즈널리티!$F$7:$F$18,MONTH(EDATE($E16,AP$1-1)))/100))),"")</f>
        <v/>
      </c>
      <c r="AQ16" t="str" cm="1">
        <f t="array" ref="AQ16">IFERROR(IF($E16&lt;44348,"",IF(INDEX(Raw_매출!$B$2:$BI$155,MATCH($A16,Raw_매출!$A$2:$A$155,0),MATCH(EDATE($E16,AQ$1-1),Raw_매출!$B$1:$BI$1,0))=0,"",INDEX(Raw_매출!$B$2:$BI$155,MATCH($A16,Raw_매출!$A$2:$A$155,0),MATCH(EDATE($E16,AQ$1-1),Raw_매출!$B$1:$BI$1,0))/(INDEX(요약_월별시즈널리티!$F$7:$F$18,MONTH(EDATE($E16,AQ$1-1)))/100))),"")</f>
        <v/>
      </c>
      <c r="AR16" t="str" cm="1">
        <f t="array" ref="AR16">IFERROR(IF($E16&lt;44348,"",IF(INDEX(Raw_매출!$B$2:$BI$155,MATCH($A16,Raw_매출!$A$2:$A$155,0),MATCH(EDATE($E16,AR$1-1),Raw_매출!$B$1:$BI$1,0))=0,"",INDEX(Raw_매출!$B$2:$BI$155,MATCH($A16,Raw_매출!$A$2:$A$155,0),MATCH(EDATE($E16,AR$1-1),Raw_매출!$B$1:$BI$1,0))/(INDEX(요약_월별시즈널리티!$F$7:$F$18,MONTH(EDATE($E16,AR$1-1)))/100))),"")</f>
        <v/>
      </c>
      <c r="AS16" t="str" cm="1">
        <f t="array" ref="AS16">IFERROR(IF($E16&lt;44348,"",IF(INDEX(Raw_매출!$B$2:$BI$155,MATCH($A16,Raw_매출!$A$2:$A$155,0),MATCH(EDATE($E16,AS$1-1),Raw_매출!$B$1:$BI$1,0))=0,"",INDEX(Raw_매출!$B$2:$BI$155,MATCH($A16,Raw_매출!$A$2:$A$155,0),MATCH(EDATE($E16,AS$1-1),Raw_매출!$B$1:$BI$1,0))/(INDEX(요약_월별시즈널리티!$F$7:$F$18,MONTH(EDATE($E16,AS$1-1)))/100))),"")</f>
        <v/>
      </c>
      <c r="AT16" t="str" cm="1">
        <f t="array" ref="AT16">IFERROR(IF($E16&lt;44348,"",IF(INDEX(Raw_매출!$B$2:$BI$155,MATCH($A16,Raw_매출!$A$2:$A$155,0),MATCH(EDATE($E16,AT$1-1),Raw_매출!$B$1:$BI$1,0))=0,"",INDEX(Raw_매출!$B$2:$BI$155,MATCH($A16,Raw_매출!$A$2:$A$155,0),MATCH(EDATE($E16,AT$1-1),Raw_매출!$B$1:$BI$1,0))/(INDEX(요약_월별시즈널리티!$F$7:$F$18,MONTH(EDATE($E16,AT$1-1)))/100))),"")</f>
        <v/>
      </c>
      <c r="AU16" t="str" cm="1">
        <f t="array" ref="AU16">IFERROR(IF($E16&lt;44348,"",IF(INDEX(Raw_매출!$B$2:$BI$155,MATCH($A16,Raw_매출!$A$2:$A$155,0),MATCH(EDATE($E16,AU$1-1),Raw_매출!$B$1:$BI$1,0))=0,"",INDEX(Raw_매출!$B$2:$BI$155,MATCH($A16,Raw_매출!$A$2:$A$155,0),MATCH(EDATE($E16,AU$1-1),Raw_매출!$B$1:$BI$1,0))/(INDEX(요약_월별시즈널리티!$F$7:$F$18,MONTH(EDATE($E16,AU$1-1)))/100))),"")</f>
        <v/>
      </c>
      <c r="AV16" t="str" cm="1">
        <f t="array" ref="AV16">IFERROR(IF($E16&lt;44348,"",IF(INDEX(Raw_매출!$B$2:$BI$155,MATCH($A16,Raw_매출!$A$2:$A$155,0),MATCH(EDATE($E16,AV$1-1),Raw_매출!$B$1:$BI$1,0))=0,"",INDEX(Raw_매출!$B$2:$BI$155,MATCH($A16,Raw_매출!$A$2:$A$155,0),MATCH(EDATE($E16,AV$1-1),Raw_매출!$B$1:$BI$1,0))/(INDEX(요약_월별시즈널리티!$F$7:$F$18,MONTH(EDATE($E16,AV$1-1)))/100))),"")</f>
        <v/>
      </c>
      <c r="AW16" t="str" cm="1">
        <f t="array" ref="AW16">IFERROR(IF($E16&lt;44348,"",IF(INDEX(Raw_매출!$B$2:$BI$155,MATCH($A16,Raw_매출!$A$2:$A$155,0),MATCH(EDATE($E16,AW$1-1),Raw_매출!$B$1:$BI$1,0))=0,"",INDEX(Raw_매출!$B$2:$BI$155,MATCH($A16,Raw_매출!$A$2:$A$155,0),MATCH(EDATE($E16,AW$1-1),Raw_매출!$B$1:$BI$1,0))/(INDEX(요약_월별시즈널리티!$F$7:$F$18,MONTH(EDATE($E16,AW$1-1)))/100))),"")</f>
        <v/>
      </c>
      <c r="AX16" t="str" cm="1">
        <f t="array" ref="AX16">IFERROR(IF($E16&lt;44348,"",IF(INDEX(Raw_매출!$B$2:$BI$155,MATCH($A16,Raw_매출!$A$2:$A$155,0),MATCH(EDATE($E16,AX$1-1),Raw_매출!$B$1:$BI$1,0))=0,"",INDEX(Raw_매출!$B$2:$BI$155,MATCH($A16,Raw_매출!$A$2:$A$155,0),MATCH(EDATE($E16,AX$1-1),Raw_매출!$B$1:$BI$1,0))/(INDEX(요약_월별시즈널리티!$F$7:$F$18,MONTH(EDATE($E16,AX$1-1)))/100))),"")</f>
        <v/>
      </c>
      <c r="AY16" t="str" cm="1">
        <f t="array" ref="AY16">IFERROR(IF($E16&lt;44348,"",IF(INDEX(Raw_매출!$B$2:$BI$155,MATCH($A16,Raw_매출!$A$2:$A$155,0),MATCH(EDATE($E16,AY$1-1),Raw_매출!$B$1:$BI$1,0))=0,"",INDEX(Raw_매출!$B$2:$BI$155,MATCH($A16,Raw_매출!$A$2:$A$155,0),MATCH(EDATE($E16,AY$1-1),Raw_매출!$B$1:$BI$1,0))/(INDEX(요약_월별시즈널리티!$F$7:$F$18,MONTH(EDATE($E16,AY$1-1)))/100))),"")</f>
        <v/>
      </c>
      <c r="AZ16" t="str" cm="1">
        <f t="array" ref="AZ16">IFERROR(IF($E16&lt;44348,"",IF(INDEX(Raw_매출!$B$2:$BI$155,MATCH($A16,Raw_매출!$A$2:$A$155,0),MATCH(EDATE($E16,AZ$1-1),Raw_매출!$B$1:$BI$1,0))=0,"",INDEX(Raw_매출!$B$2:$BI$155,MATCH($A16,Raw_매출!$A$2:$A$155,0),MATCH(EDATE($E16,AZ$1-1),Raw_매출!$B$1:$BI$1,0))/(INDEX(요약_월별시즈널리티!$F$7:$F$18,MONTH(EDATE($E16,AZ$1-1)))/100))),"")</f>
        <v/>
      </c>
      <c r="BA16" t="str" cm="1">
        <f t="array" ref="BA16">IFERROR(IF($E16&lt;44348,"",IF(INDEX(Raw_매출!$B$2:$BI$155,MATCH($A16,Raw_매출!$A$2:$A$155,0),MATCH(EDATE($E16,BA$1-1),Raw_매출!$B$1:$BI$1,0))=0,"",INDEX(Raw_매출!$B$2:$BI$155,MATCH($A16,Raw_매출!$A$2:$A$155,0),MATCH(EDATE($E16,BA$1-1),Raw_매출!$B$1:$BI$1,0))/(INDEX(요약_월별시즈널리티!$F$7:$F$18,MONTH(EDATE($E16,BA$1-1)))/100))),"")</f>
        <v/>
      </c>
      <c r="BB16" t="str" cm="1">
        <f t="array" ref="BB16">IFERROR(IF($E16&lt;44348,"",IF(INDEX(Raw_매출!$B$2:$BI$155,MATCH($A16,Raw_매출!$A$2:$A$155,0),MATCH(EDATE($E16,BB$1-1),Raw_매출!$B$1:$BI$1,0))=0,"",INDEX(Raw_매출!$B$2:$BI$155,MATCH($A16,Raw_매출!$A$2:$A$155,0),MATCH(EDATE($E16,BB$1-1),Raw_매출!$B$1:$BI$1,0))/(INDEX(요약_월별시즈널리티!$F$7:$F$18,MONTH(EDATE($E16,BB$1-1)))/100))),"")</f>
        <v/>
      </c>
      <c r="BC16" t="str" cm="1">
        <f t="array" ref="BC16">IFERROR(IF($E16&lt;44348,"",IF(INDEX(Raw_매출!$B$2:$BI$155,MATCH($A16,Raw_매출!$A$2:$A$155,0),MATCH(EDATE($E16,BC$1-1),Raw_매출!$B$1:$BI$1,0))=0,"",INDEX(Raw_매출!$B$2:$BI$155,MATCH($A16,Raw_매출!$A$2:$A$155,0),MATCH(EDATE($E16,BC$1-1),Raw_매출!$B$1:$BI$1,0))/(INDEX(요약_월별시즈널리티!$F$7:$F$18,MONTH(EDATE($E16,BC$1-1)))/100))),"")</f>
        <v/>
      </c>
      <c r="BD16" t="str" cm="1">
        <f t="array" ref="BD16">IFERROR(IF($E16&lt;44348,"",IF(INDEX(Raw_매출!$B$2:$BI$155,MATCH($A16,Raw_매출!$A$2:$A$155,0),MATCH(EDATE($E16,BD$1-1),Raw_매출!$B$1:$BI$1,0))=0,"",INDEX(Raw_매출!$B$2:$BI$155,MATCH($A16,Raw_매출!$A$2:$A$155,0),MATCH(EDATE($E16,BD$1-1),Raw_매출!$B$1:$BI$1,0))/(INDEX(요약_월별시즈널리티!$F$7:$F$18,MONTH(EDATE($E16,BD$1-1)))/100))),"")</f>
        <v/>
      </c>
      <c r="BE16" t="str" cm="1">
        <f t="array" ref="BE16">IFERROR(IF($E16&lt;44348,"",IF(INDEX(Raw_매출!$B$2:$BI$155,MATCH($A16,Raw_매출!$A$2:$A$155,0),MATCH(EDATE($E16,BE$1-1),Raw_매출!$B$1:$BI$1,0))=0,"",INDEX(Raw_매출!$B$2:$BI$155,MATCH($A16,Raw_매출!$A$2:$A$155,0),MATCH(EDATE($E16,BE$1-1),Raw_매출!$B$1:$BI$1,0))/(INDEX(요약_월별시즈널리티!$F$7:$F$18,MONTH(EDATE($E16,BE$1-1)))/100))),"")</f>
        <v/>
      </c>
      <c r="BF16" t="str" cm="1">
        <f t="array" ref="BF16">IFERROR(IF($E16&lt;44348,"",IF(INDEX(Raw_매출!$B$2:$BI$155,MATCH($A16,Raw_매출!$A$2:$A$155,0),MATCH(EDATE($E16,BF$1-1),Raw_매출!$B$1:$BI$1,0))=0,"",INDEX(Raw_매출!$B$2:$BI$155,MATCH($A16,Raw_매출!$A$2:$A$155,0),MATCH(EDATE($E16,BF$1-1),Raw_매출!$B$1:$BI$1,0))/(INDEX(요약_월별시즈널리티!$F$7:$F$18,MONTH(EDATE($E16,BF$1-1)))/100))),"")</f>
        <v/>
      </c>
      <c r="BG16" t="str" cm="1">
        <f t="array" ref="BG16">IFERROR(IF($E16&lt;44348,"",IF(INDEX(Raw_매출!$B$2:$BI$155,MATCH($A16,Raw_매출!$A$2:$A$155,0),MATCH(EDATE($E16,BG$1-1),Raw_매출!$B$1:$BI$1,0))=0,"",INDEX(Raw_매출!$B$2:$BI$155,MATCH($A16,Raw_매출!$A$2:$A$155,0),MATCH(EDATE($E16,BG$1-1),Raw_매출!$B$1:$BI$1,0))/(INDEX(요약_월별시즈널리티!$F$7:$F$18,MONTH(EDATE($E16,BG$1-1)))/100))),"")</f>
        <v/>
      </c>
      <c r="BH16" t="str" cm="1">
        <f t="array" ref="BH16">IFERROR(IF($E16&lt;44348,"",IF(INDEX(Raw_매출!$B$2:$BI$155,MATCH($A16,Raw_매출!$A$2:$A$155,0),MATCH(EDATE($E16,BH$1-1),Raw_매출!$B$1:$BI$1,0))=0,"",INDEX(Raw_매출!$B$2:$BI$155,MATCH($A16,Raw_매출!$A$2:$A$155,0),MATCH(EDATE($E16,BH$1-1),Raw_매출!$B$1:$BI$1,0))/(INDEX(요약_월별시즈널리티!$F$7:$F$18,MONTH(EDATE($E16,BH$1-1)))/100))),"")</f>
        <v/>
      </c>
      <c r="BI16" t="str" cm="1">
        <f t="array" ref="BI16">IFERROR(IF($E16&lt;44348,"",IF(INDEX(Raw_매출!$B$2:$BI$155,MATCH($A16,Raw_매출!$A$2:$A$155,0),MATCH(EDATE($E16,BI$1-1),Raw_매출!$B$1:$BI$1,0))=0,"",INDEX(Raw_매출!$B$2:$BI$155,MATCH($A16,Raw_매출!$A$2:$A$155,0),MATCH(EDATE($E16,BI$1-1),Raw_매출!$B$1:$BI$1,0))/(INDEX(요약_월별시즈널리티!$F$7:$F$18,MONTH(EDATE($E16,BI$1-1)))/100))),"")</f>
        <v/>
      </c>
      <c r="BJ16" t="str" cm="1">
        <f t="array" ref="BJ16">IFERROR(IF($E16&lt;44348,"",IF(INDEX(Raw_매출!$B$2:$BI$155,MATCH($A16,Raw_매출!$A$2:$A$155,0),MATCH(EDATE($E16,BJ$1-1),Raw_매출!$B$1:$BI$1,0))=0,"",INDEX(Raw_매출!$B$2:$BI$155,MATCH($A16,Raw_매출!$A$2:$A$155,0),MATCH(EDATE($E16,BJ$1-1),Raw_매출!$B$1:$BI$1,0))/(INDEX(요약_월별시즈널리티!$F$7:$F$18,MONTH(EDATE($E16,BJ$1-1)))/100))),"")</f>
        <v/>
      </c>
      <c r="BK16" t="str" cm="1">
        <f t="array" ref="BK16">IFERROR(IF($E16&lt;44348,"",IF(INDEX(Raw_매출!$B$2:$BI$155,MATCH($A16,Raw_매출!$A$2:$A$155,0),MATCH(EDATE($E16,BK$1-1),Raw_매출!$B$1:$BI$1,0))=0,"",INDEX(Raw_매출!$B$2:$BI$155,MATCH($A16,Raw_매출!$A$2:$A$155,0),MATCH(EDATE($E16,BK$1-1),Raw_매출!$B$1:$BI$1,0))/(INDEX(요약_월별시즈널리티!$F$7:$F$18,MONTH(EDATE($E16,BK$1-1)))/100))),"")</f>
        <v/>
      </c>
      <c r="BL16" t="str" cm="1">
        <f t="array" ref="BL16">IFERROR(IF($E16&lt;44348,"",IF(INDEX(Raw_매출!$B$2:$BI$155,MATCH($A16,Raw_매출!$A$2:$A$155,0),MATCH(EDATE($E16,BL$1-1),Raw_매출!$B$1:$BI$1,0))=0,"",INDEX(Raw_매출!$B$2:$BI$155,MATCH($A16,Raw_매출!$A$2:$A$155,0),MATCH(EDATE($E16,BL$1-1),Raw_매출!$B$1:$BI$1,0))/(INDEX(요약_월별시즈널리티!$F$7:$F$18,MONTH(EDATE($E16,BL$1-1)))/100))),"")</f>
        <v/>
      </c>
      <c r="BM16" t="str" cm="1">
        <f t="array" ref="BM16">IFERROR(IF($E16&lt;44348,"",IF(INDEX(Raw_매출!$B$2:$BI$155,MATCH($A16,Raw_매출!$A$2:$A$155,0),MATCH(EDATE($E16,BM$1-1),Raw_매출!$B$1:$BI$1,0))=0,"",INDEX(Raw_매출!$B$2:$BI$155,MATCH($A16,Raw_매출!$A$2:$A$155,0),MATCH(EDATE($E16,BM$1-1),Raw_매출!$B$1:$BI$1,0))/(INDEX(요약_월별시즈널리티!$F$7:$F$18,MONTH(EDATE($E16,BM$1-1)))/100))),"")</f>
        <v/>
      </c>
      <c r="BN16" t="str" cm="1">
        <f t="array" ref="BN16">IFERROR(IF($E16&lt;44348,"",IF(INDEX(Raw_매출!$B$2:$BI$155,MATCH($A16,Raw_매출!$A$2:$A$155,0),MATCH(EDATE($E16,BN$1-1),Raw_매출!$B$1:$BI$1,0))=0,"",INDEX(Raw_매출!$B$2:$BI$155,MATCH($A16,Raw_매출!$A$2:$A$155,0),MATCH(EDATE($E16,BN$1-1),Raw_매출!$B$1:$BI$1,0))/(INDEX(요약_월별시즈널리티!$F$7:$F$18,MONTH(EDATE($E16,BN$1-1)))/100))),"")</f>
        <v/>
      </c>
    </row>
    <row r="17" spans="1:66" x14ac:dyDescent="0.4">
      <c r="A17" t="str">
        <f>세팅!A18</f>
        <v>(1002) #신대방점</v>
      </c>
      <c r="B17" t="str">
        <f>세팅!B18</f>
        <v>150-4</v>
      </c>
      <c r="C17">
        <f t="shared" si="0"/>
        <v>4</v>
      </c>
      <c r="D17" t="str">
        <f t="shared" si="1"/>
        <v>3+</v>
      </c>
      <c r="E17" s="1">
        <f>세팅!D18</f>
        <v>43647</v>
      </c>
      <c r="F17" t="str">
        <f t="shared" si="2"/>
        <v/>
      </c>
      <c r="G17" t="str" cm="1">
        <f t="array" ref="G17">IFERROR(IF($E17&lt;44348,"",IF(INDEX(Raw_매출!$B$2:$BI$155,MATCH($A17,Raw_매출!$A$2:$A$155,0),MATCH(EDATE($E17,G$1-1),Raw_매출!$B$1:$BI$1,0))=0,"",INDEX(Raw_매출!$B$2:$BI$155,MATCH($A17,Raw_매출!$A$2:$A$155,0),MATCH(EDATE($E17,G$1-1),Raw_매출!$B$1:$BI$1,0))/(INDEX(요약_월별시즈널리티!$F$7:$F$18,MONTH(EDATE($E17,G$1-1)))/100))),"")</f>
        <v/>
      </c>
      <c r="H17" t="str" cm="1">
        <f t="array" ref="H17">IFERROR(IF($E17&lt;44348,"",IF(INDEX(Raw_매출!$B$2:$BI$155,MATCH($A17,Raw_매출!$A$2:$A$155,0),MATCH(EDATE($E17,H$1-1),Raw_매출!$B$1:$BI$1,0))=0,"",INDEX(Raw_매출!$B$2:$BI$155,MATCH($A17,Raw_매출!$A$2:$A$155,0),MATCH(EDATE($E17,H$1-1),Raw_매출!$B$1:$BI$1,0))/(INDEX(요약_월별시즈널리티!$F$7:$F$18,MONTH(EDATE($E17,H$1-1)))/100))),"")</f>
        <v/>
      </c>
      <c r="I17" t="str" cm="1">
        <f t="array" ref="I17">IFERROR(IF($E17&lt;44348,"",IF(INDEX(Raw_매출!$B$2:$BI$155,MATCH($A17,Raw_매출!$A$2:$A$155,0),MATCH(EDATE($E17,I$1-1),Raw_매출!$B$1:$BI$1,0))=0,"",INDEX(Raw_매출!$B$2:$BI$155,MATCH($A17,Raw_매출!$A$2:$A$155,0),MATCH(EDATE($E17,I$1-1),Raw_매출!$B$1:$BI$1,0))/(INDEX(요약_월별시즈널리티!$F$7:$F$18,MONTH(EDATE($E17,I$1-1)))/100))),"")</f>
        <v/>
      </c>
      <c r="J17" s="30" t="str" cm="1">
        <f t="array" ref="J17">IFERROR(IF($E17&lt;44348,"",IF(INDEX(Raw_매출!$B$2:$BI$155,MATCH($A17,Raw_매출!$A$2:$A$155,0),MATCH(EDATE($E17,J$1-1),Raw_매출!$B$1:$BI$1,0))=0,"",INDEX(Raw_매출!$B$2:$BI$155,MATCH($A17,Raw_매출!$A$2:$A$155,0),MATCH(EDATE($E17,J$1-1),Raw_매출!$B$1:$BI$1,0))/(INDEX(요약_월별시즈널리티!$F$7:$F$18,MONTH(EDATE($E17,J$1-1)))/100))),"")</f>
        <v/>
      </c>
      <c r="K17" s="30" t="str" cm="1">
        <f t="array" ref="K17">IFERROR(IF($E17&lt;44348,"",IF(INDEX(Raw_매출!$B$2:$BI$155,MATCH($A17,Raw_매출!$A$2:$A$155,0),MATCH(EDATE($E17,K$1-1),Raw_매출!$B$1:$BI$1,0))=0,"",INDEX(Raw_매출!$B$2:$BI$155,MATCH($A17,Raw_매출!$A$2:$A$155,0),MATCH(EDATE($E17,K$1-1),Raw_매출!$B$1:$BI$1,0))/(INDEX(요약_월별시즈널리티!$F$7:$F$18,MONTH(EDATE($E17,K$1-1)))/100))),"")</f>
        <v/>
      </c>
      <c r="L17" s="30" t="str" cm="1">
        <f t="array" ref="L17">IFERROR(IF($E17&lt;44348,"",IF(INDEX(Raw_매출!$B$2:$BI$155,MATCH($A17,Raw_매출!$A$2:$A$155,0),MATCH(EDATE($E17,L$1-1),Raw_매출!$B$1:$BI$1,0))=0,"",INDEX(Raw_매출!$B$2:$BI$155,MATCH($A17,Raw_매출!$A$2:$A$155,0),MATCH(EDATE($E17,L$1-1),Raw_매출!$B$1:$BI$1,0))/(INDEX(요약_월별시즈널리티!$F$7:$F$18,MONTH(EDATE($E17,L$1-1)))/100))),"")</f>
        <v/>
      </c>
      <c r="M17" s="30" t="str" cm="1">
        <f t="array" ref="M17">IFERROR(IF($E17&lt;44348,"",IF(INDEX(Raw_매출!$B$2:$BI$155,MATCH($A17,Raw_매출!$A$2:$A$155,0),MATCH(EDATE($E17,M$1-1),Raw_매출!$B$1:$BI$1,0))=0,"",INDEX(Raw_매출!$B$2:$BI$155,MATCH($A17,Raw_매출!$A$2:$A$155,0),MATCH(EDATE($E17,M$1-1),Raw_매출!$B$1:$BI$1,0))/(INDEX(요약_월별시즈널리티!$F$7:$F$18,MONTH(EDATE($E17,M$1-1)))/100))),"")</f>
        <v/>
      </c>
      <c r="N17" s="30" t="str" cm="1">
        <f t="array" ref="N17">IFERROR(IF($E17&lt;44348,"",IF(INDEX(Raw_매출!$B$2:$BI$155,MATCH($A17,Raw_매출!$A$2:$A$155,0),MATCH(EDATE($E17,N$1-1),Raw_매출!$B$1:$BI$1,0))=0,"",INDEX(Raw_매출!$B$2:$BI$155,MATCH($A17,Raw_매출!$A$2:$A$155,0),MATCH(EDATE($E17,N$1-1),Raw_매출!$B$1:$BI$1,0))/(INDEX(요약_월별시즈널리티!$F$7:$F$18,MONTH(EDATE($E17,N$1-1)))/100))),"")</f>
        <v/>
      </c>
      <c r="O17" s="30" t="str" cm="1">
        <f t="array" ref="O17">IFERROR(IF($E17&lt;44348,"",IF(INDEX(Raw_매출!$B$2:$BI$155,MATCH($A17,Raw_매출!$A$2:$A$155,0),MATCH(EDATE($E17,O$1-1),Raw_매출!$B$1:$BI$1,0))=0,"",INDEX(Raw_매출!$B$2:$BI$155,MATCH($A17,Raw_매출!$A$2:$A$155,0),MATCH(EDATE($E17,O$1-1),Raw_매출!$B$1:$BI$1,0))/(INDEX(요약_월별시즈널리티!$F$7:$F$18,MONTH(EDATE($E17,O$1-1)))/100))),"")</f>
        <v/>
      </c>
      <c r="P17" t="str" cm="1">
        <f t="array" ref="P17">IFERROR(IF($E17&lt;44348,"",IF(INDEX(Raw_매출!$B$2:$BI$155,MATCH($A17,Raw_매출!$A$2:$A$155,0),MATCH(EDATE($E17,P$1-1),Raw_매출!$B$1:$BI$1,0))=0,"",INDEX(Raw_매출!$B$2:$BI$155,MATCH($A17,Raw_매출!$A$2:$A$155,0),MATCH(EDATE($E17,P$1-1),Raw_매출!$B$1:$BI$1,0))/(INDEX(요약_월별시즈널리티!$F$7:$F$18,MONTH(EDATE($E17,P$1-1)))/100))),"")</f>
        <v/>
      </c>
      <c r="Q17" t="str" cm="1">
        <f t="array" ref="Q17">IFERROR(IF($E17&lt;44348,"",IF(INDEX(Raw_매출!$B$2:$BI$155,MATCH($A17,Raw_매출!$A$2:$A$155,0),MATCH(EDATE($E17,Q$1-1),Raw_매출!$B$1:$BI$1,0))=0,"",INDEX(Raw_매출!$B$2:$BI$155,MATCH($A17,Raw_매출!$A$2:$A$155,0),MATCH(EDATE($E17,Q$1-1),Raw_매출!$B$1:$BI$1,0))/(INDEX(요약_월별시즈널리티!$F$7:$F$18,MONTH(EDATE($E17,Q$1-1)))/100))),"")</f>
        <v/>
      </c>
      <c r="R17" t="str" cm="1">
        <f t="array" ref="R17">IFERROR(IF($E17&lt;44348,"",IF(INDEX(Raw_매출!$B$2:$BI$155,MATCH($A17,Raw_매출!$A$2:$A$155,0),MATCH(EDATE($E17,R$1-1),Raw_매출!$B$1:$BI$1,0))=0,"",INDEX(Raw_매출!$B$2:$BI$155,MATCH($A17,Raw_매출!$A$2:$A$155,0),MATCH(EDATE($E17,R$1-1),Raw_매출!$B$1:$BI$1,0))/(INDEX(요약_월별시즈널리티!$F$7:$F$18,MONTH(EDATE($E17,R$1-1)))/100))),"")</f>
        <v/>
      </c>
      <c r="S17" t="str" cm="1">
        <f t="array" ref="S17">IFERROR(IF($E17&lt;44348,"",IF(INDEX(Raw_매출!$B$2:$BI$155,MATCH($A17,Raw_매출!$A$2:$A$155,0),MATCH(EDATE($E17,S$1-1),Raw_매출!$B$1:$BI$1,0))=0,"",INDEX(Raw_매출!$B$2:$BI$155,MATCH($A17,Raw_매출!$A$2:$A$155,0),MATCH(EDATE($E17,S$1-1),Raw_매출!$B$1:$BI$1,0))/(INDEX(요약_월별시즈널리티!$F$7:$F$18,MONTH(EDATE($E17,S$1-1)))/100))),"")</f>
        <v/>
      </c>
      <c r="T17" t="str" cm="1">
        <f t="array" ref="T17">IFERROR(IF($E17&lt;44348,"",IF(INDEX(Raw_매출!$B$2:$BI$155,MATCH($A17,Raw_매출!$A$2:$A$155,0),MATCH(EDATE($E17,T$1-1),Raw_매출!$B$1:$BI$1,0))=0,"",INDEX(Raw_매출!$B$2:$BI$155,MATCH($A17,Raw_매출!$A$2:$A$155,0),MATCH(EDATE($E17,T$1-1),Raw_매출!$B$1:$BI$1,0))/(INDEX(요약_월별시즈널리티!$F$7:$F$18,MONTH(EDATE($E17,T$1-1)))/100))),"")</f>
        <v/>
      </c>
      <c r="U17" t="str" cm="1">
        <f t="array" ref="U17">IFERROR(IF($E17&lt;44348,"",IF(INDEX(Raw_매출!$B$2:$BI$155,MATCH($A17,Raw_매출!$A$2:$A$155,0),MATCH(EDATE($E17,U$1-1),Raw_매출!$B$1:$BI$1,0))=0,"",INDEX(Raw_매출!$B$2:$BI$155,MATCH($A17,Raw_매출!$A$2:$A$155,0),MATCH(EDATE($E17,U$1-1),Raw_매출!$B$1:$BI$1,0))/(INDEX(요약_월별시즈널리티!$F$7:$F$18,MONTH(EDATE($E17,U$1-1)))/100))),"")</f>
        <v/>
      </c>
      <c r="V17" t="str" cm="1">
        <f t="array" ref="V17">IFERROR(IF($E17&lt;44348,"",IF(INDEX(Raw_매출!$B$2:$BI$155,MATCH($A17,Raw_매출!$A$2:$A$155,0),MATCH(EDATE($E17,V$1-1),Raw_매출!$B$1:$BI$1,0))=0,"",INDEX(Raw_매출!$B$2:$BI$155,MATCH($A17,Raw_매출!$A$2:$A$155,0),MATCH(EDATE($E17,V$1-1),Raw_매출!$B$1:$BI$1,0))/(INDEX(요약_월별시즈널리티!$F$7:$F$18,MONTH(EDATE($E17,V$1-1)))/100))),"")</f>
        <v/>
      </c>
      <c r="W17" t="str" cm="1">
        <f t="array" ref="W17">IFERROR(IF($E17&lt;44348,"",IF(INDEX(Raw_매출!$B$2:$BI$155,MATCH($A17,Raw_매출!$A$2:$A$155,0),MATCH(EDATE($E17,W$1-1),Raw_매출!$B$1:$BI$1,0))=0,"",INDEX(Raw_매출!$B$2:$BI$155,MATCH($A17,Raw_매출!$A$2:$A$155,0),MATCH(EDATE($E17,W$1-1),Raw_매출!$B$1:$BI$1,0))/(INDEX(요약_월별시즈널리티!$F$7:$F$18,MONTH(EDATE($E17,W$1-1)))/100))),"")</f>
        <v/>
      </c>
      <c r="X17" t="str" cm="1">
        <f t="array" ref="X17">IFERROR(IF($E17&lt;44348,"",IF(INDEX(Raw_매출!$B$2:$BI$155,MATCH($A17,Raw_매출!$A$2:$A$155,0),MATCH(EDATE($E17,X$1-1),Raw_매출!$B$1:$BI$1,0))=0,"",INDEX(Raw_매출!$B$2:$BI$155,MATCH($A17,Raw_매출!$A$2:$A$155,0),MATCH(EDATE($E17,X$1-1),Raw_매출!$B$1:$BI$1,0))/(INDEX(요약_월별시즈널리티!$F$7:$F$18,MONTH(EDATE($E17,X$1-1)))/100))),"")</f>
        <v/>
      </c>
      <c r="Y17" t="str" cm="1">
        <f t="array" ref="Y17">IFERROR(IF($E17&lt;44348,"",IF(INDEX(Raw_매출!$B$2:$BI$155,MATCH($A17,Raw_매출!$A$2:$A$155,0),MATCH(EDATE($E17,Y$1-1),Raw_매출!$B$1:$BI$1,0))=0,"",INDEX(Raw_매출!$B$2:$BI$155,MATCH($A17,Raw_매출!$A$2:$A$155,0),MATCH(EDATE($E17,Y$1-1),Raw_매출!$B$1:$BI$1,0))/(INDEX(요약_월별시즈널리티!$F$7:$F$18,MONTH(EDATE($E17,Y$1-1)))/100))),"")</f>
        <v/>
      </c>
      <c r="Z17" t="str" cm="1">
        <f t="array" ref="Z17">IFERROR(IF($E17&lt;44348,"",IF(INDEX(Raw_매출!$B$2:$BI$155,MATCH($A17,Raw_매출!$A$2:$A$155,0),MATCH(EDATE($E17,Z$1-1),Raw_매출!$B$1:$BI$1,0))=0,"",INDEX(Raw_매출!$B$2:$BI$155,MATCH($A17,Raw_매출!$A$2:$A$155,0),MATCH(EDATE($E17,Z$1-1),Raw_매출!$B$1:$BI$1,0))/(INDEX(요약_월별시즈널리티!$F$7:$F$18,MONTH(EDATE($E17,Z$1-1)))/100))),"")</f>
        <v/>
      </c>
      <c r="AA17" t="str" cm="1">
        <f t="array" ref="AA17">IFERROR(IF($E17&lt;44348,"",IF(INDEX(Raw_매출!$B$2:$BI$155,MATCH($A17,Raw_매출!$A$2:$A$155,0),MATCH(EDATE($E17,AA$1-1),Raw_매출!$B$1:$BI$1,0))=0,"",INDEX(Raw_매출!$B$2:$BI$155,MATCH($A17,Raw_매출!$A$2:$A$155,0),MATCH(EDATE($E17,AA$1-1),Raw_매출!$B$1:$BI$1,0))/(INDEX(요약_월별시즈널리티!$F$7:$F$18,MONTH(EDATE($E17,AA$1-1)))/100))),"")</f>
        <v/>
      </c>
      <c r="AB17" t="str" cm="1">
        <f t="array" ref="AB17">IFERROR(IF($E17&lt;44348,"",IF(INDEX(Raw_매출!$B$2:$BI$155,MATCH($A17,Raw_매출!$A$2:$A$155,0),MATCH(EDATE($E17,AB$1-1),Raw_매출!$B$1:$BI$1,0))=0,"",INDEX(Raw_매출!$B$2:$BI$155,MATCH($A17,Raw_매출!$A$2:$A$155,0),MATCH(EDATE($E17,AB$1-1),Raw_매출!$B$1:$BI$1,0))/(INDEX(요약_월별시즈널리티!$F$7:$F$18,MONTH(EDATE($E17,AB$1-1)))/100))),"")</f>
        <v/>
      </c>
      <c r="AC17" t="str" cm="1">
        <f t="array" ref="AC17">IFERROR(IF($E17&lt;44348,"",IF(INDEX(Raw_매출!$B$2:$BI$155,MATCH($A17,Raw_매출!$A$2:$A$155,0),MATCH(EDATE($E17,AC$1-1),Raw_매출!$B$1:$BI$1,0))=0,"",INDEX(Raw_매출!$B$2:$BI$155,MATCH($A17,Raw_매출!$A$2:$A$155,0),MATCH(EDATE($E17,AC$1-1),Raw_매출!$B$1:$BI$1,0))/(INDEX(요약_월별시즈널리티!$F$7:$F$18,MONTH(EDATE($E17,AC$1-1)))/100))),"")</f>
        <v/>
      </c>
      <c r="AD17" t="str" cm="1">
        <f t="array" ref="AD17">IFERROR(IF($E17&lt;44348,"",IF(INDEX(Raw_매출!$B$2:$BI$155,MATCH($A17,Raw_매출!$A$2:$A$155,0),MATCH(EDATE($E17,AD$1-1),Raw_매출!$B$1:$BI$1,0))=0,"",INDEX(Raw_매출!$B$2:$BI$155,MATCH($A17,Raw_매출!$A$2:$A$155,0),MATCH(EDATE($E17,AD$1-1),Raw_매출!$B$1:$BI$1,0))/(INDEX(요약_월별시즈널리티!$F$7:$F$18,MONTH(EDATE($E17,AD$1-1)))/100))),"")</f>
        <v/>
      </c>
      <c r="AE17" t="str" cm="1">
        <f t="array" ref="AE17">IFERROR(IF($E17&lt;44348,"",IF(INDEX(Raw_매출!$B$2:$BI$155,MATCH($A17,Raw_매출!$A$2:$A$155,0),MATCH(EDATE($E17,AE$1-1),Raw_매출!$B$1:$BI$1,0))=0,"",INDEX(Raw_매출!$B$2:$BI$155,MATCH($A17,Raw_매출!$A$2:$A$155,0),MATCH(EDATE($E17,AE$1-1),Raw_매출!$B$1:$BI$1,0))/(INDEX(요약_월별시즈널리티!$F$7:$F$18,MONTH(EDATE($E17,AE$1-1)))/100))),"")</f>
        <v/>
      </c>
      <c r="AF17" t="str" cm="1">
        <f t="array" ref="AF17">IFERROR(IF($E17&lt;44348,"",IF(INDEX(Raw_매출!$B$2:$BI$155,MATCH($A17,Raw_매출!$A$2:$A$155,0),MATCH(EDATE($E17,AF$1-1),Raw_매출!$B$1:$BI$1,0))=0,"",INDEX(Raw_매출!$B$2:$BI$155,MATCH($A17,Raw_매출!$A$2:$A$155,0),MATCH(EDATE($E17,AF$1-1),Raw_매출!$B$1:$BI$1,0))/(INDEX(요약_월별시즈널리티!$F$7:$F$18,MONTH(EDATE($E17,AF$1-1)))/100))),"")</f>
        <v/>
      </c>
      <c r="AG17" t="str" cm="1">
        <f t="array" ref="AG17">IFERROR(IF($E17&lt;44348,"",IF(INDEX(Raw_매출!$B$2:$BI$155,MATCH($A17,Raw_매출!$A$2:$A$155,0),MATCH(EDATE($E17,AG$1-1),Raw_매출!$B$1:$BI$1,0))=0,"",INDEX(Raw_매출!$B$2:$BI$155,MATCH($A17,Raw_매출!$A$2:$A$155,0),MATCH(EDATE($E17,AG$1-1),Raw_매출!$B$1:$BI$1,0))/(INDEX(요약_월별시즈널리티!$F$7:$F$18,MONTH(EDATE($E17,AG$1-1)))/100))),"")</f>
        <v/>
      </c>
      <c r="AH17" t="str" cm="1">
        <f t="array" ref="AH17">IFERROR(IF($E17&lt;44348,"",IF(INDEX(Raw_매출!$B$2:$BI$155,MATCH($A17,Raw_매출!$A$2:$A$155,0),MATCH(EDATE($E17,AH$1-1),Raw_매출!$B$1:$BI$1,0))=0,"",INDEX(Raw_매출!$B$2:$BI$155,MATCH($A17,Raw_매출!$A$2:$A$155,0),MATCH(EDATE($E17,AH$1-1),Raw_매출!$B$1:$BI$1,0))/(INDEX(요약_월별시즈널리티!$F$7:$F$18,MONTH(EDATE($E17,AH$1-1)))/100))),"")</f>
        <v/>
      </c>
      <c r="AI17" t="str" cm="1">
        <f t="array" ref="AI17">IFERROR(IF($E17&lt;44348,"",IF(INDEX(Raw_매출!$B$2:$BI$155,MATCH($A17,Raw_매출!$A$2:$A$155,0),MATCH(EDATE($E17,AI$1-1),Raw_매출!$B$1:$BI$1,0))=0,"",INDEX(Raw_매출!$B$2:$BI$155,MATCH($A17,Raw_매출!$A$2:$A$155,0),MATCH(EDATE($E17,AI$1-1),Raw_매출!$B$1:$BI$1,0))/(INDEX(요약_월별시즈널리티!$F$7:$F$18,MONTH(EDATE($E17,AI$1-1)))/100))),"")</f>
        <v/>
      </c>
      <c r="AJ17" t="str" cm="1">
        <f t="array" ref="AJ17">IFERROR(IF($E17&lt;44348,"",IF(INDEX(Raw_매출!$B$2:$BI$155,MATCH($A17,Raw_매출!$A$2:$A$155,0),MATCH(EDATE($E17,AJ$1-1),Raw_매출!$B$1:$BI$1,0))=0,"",INDEX(Raw_매출!$B$2:$BI$155,MATCH($A17,Raw_매출!$A$2:$A$155,0),MATCH(EDATE($E17,AJ$1-1),Raw_매출!$B$1:$BI$1,0))/(INDEX(요약_월별시즈널리티!$F$7:$F$18,MONTH(EDATE($E17,AJ$1-1)))/100))),"")</f>
        <v/>
      </c>
      <c r="AK17" t="str" cm="1">
        <f t="array" ref="AK17">IFERROR(IF($E17&lt;44348,"",IF(INDEX(Raw_매출!$B$2:$BI$155,MATCH($A17,Raw_매출!$A$2:$A$155,0),MATCH(EDATE($E17,AK$1-1),Raw_매출!$B$1:$BI$1,0))=0,"",INDEX(Raw_매출!$B$2:$BI$155,MATCH($A17,Raw_매출!$A$2:$A$155,0),MATCH(EDATE($E17,AK$1-1),Raw_매출!$B$1:$BI$1,0))/(INDEX(요약_월별시즈널리티!$F$7:$F$18,MONTH(EDATE($E17,AK$1-1)))/100))),"")</f>
        <v/>
      </c>
      <c r="AL17" t="str" cm="1">
        <f t="array" ref="AL17">IFERROR(IF($E17&lt;44348,"",IF(INDEX(Raw_매출!$B$2:$BI$155,MATCH($A17,Raw_매출!$A$2:$A$155,0),MATCH(EDATE($E17,AL$1-1),Raw_매출!$B$1:$BI$1,0))=0,"",INDEX(Raw_매출!$B$2:$BI$155,MATCH($A17,Raw_매출!$A$2:$A$155,0),MATCH(EDATE($E17,AL$1-1),Raw_매출!$B$1:$BI$1,0))/(INDEX(요약_월별시즈널리티!$F$7:$F$18,MONTH(EDATE($E17,AL$1-1)))/100))),"")</f>
        <v/>
      </c>
      <c r="AM17" t="str" cm="1">
        <f t="array" ref="AM17">IFERROR(IF($E17&lt;44348,"",IF(INDEX(Raw_매출!$B$2:$BI$155,MATCH($A17,Raw_매출!$A$2:$A$155,0),MATCH(EDATE($E17,AM$1-1),Raw_매출!$B$1:$BI$1,0))=0,"",INDEX(Raw_매출!$B$2:$BI$155,MATCH($A17,Raw_매출!$A$2:$A$155,0),MATCH(EDATE($E17,AM$1-1),Raw_매출!$B$1:$BI$1,0))/(INDEX(요약_월별시즈널리티!$F$7:$F$18,MONTH(EDATE($E17,AM$1-1)))/100))),"")</f>
        <v/>
      </c>
      <c r="AN17" t="str" cm="1">
        <f t="array" ref="AN17">IFERROR(IF($E17&lt;44348,"",IF(INDEX(Raw_매출!$B$2:$BI$155,MATCH($A17,Raw_매출!$A$2:$A$155,0),MATCH(EDATE($E17,AN$1-1),Raw_매출!$B$1:$BI$1,0))=0,"",INDEX(Raw_매출!$B$2:$BI$155,MATCH($A17,Raw_매출!$A$2:$A$155,0),MATCH(EDATE($E17,AN$1-1),Raw_매출!$B$1:$BI$1,0))/(INDEX(요약_월별시즈널리티!$F$7:$F$18,MONTH(EDATE($E17,AN$1-1)))/100))),"")</f>
        <v/>
      </c>
      <c r="AO17" t="str" cm="1">
        <f t="array" ref="AO17">IFERROR(IF($E17&lt;44348,"",IF(INDEX(Raw_매출!$B$2:$BI$155,MATCH($A17,Raw_매출!$A$2:$A$155,0),MATCH(EDATE($E17,AO$1-1),Raw_매출!$B$1:$BI$1,0))=0,"",INDEX(Raw_매출!$B$2:$BI$155,MATCH($A17,Raw_매출!$A$2:$A$155,0),MATCH(EDATE($E17,AO$1-1),Raw_매출!$B$1:$BI$1,0))/(INDEX(요약_월별시즈널리티!$F$7:$F$18,MONTH(EDATE($E17,AO$1-1)))/100))),"")</f>
        <v/>
      </c>
      <c r="AP17" t="str" cm="1">
        <f t="array" ref="AP17">IFERROR(IF($E17&lt;44348,"",IF(INDEX(Raw_매출!$B$2:$BI$155,MATCH($A17,Raw_매출!$A$2:$A$155,0),MATCH(EDATE($E17,AP$1-1),Raw_매출!$B$1:$BI$1,0))=0,"",INDEX(Raw_매출!$B$2:$BI$155,MATCH($A17,Raw_매출!$A$2:$A$155,0),MATCH(EDATE($E17,AP$1-1),Raw_매출!$B$1:$BI$1,0))/(INDEX(요약_월별시즈널리티!$F$7:$F$18,MONTH(EDATE($E17,AP$1-1)))/100))),"")</f>
        <v/>
      </c>
      <c r="AQ17" t="str" cm="1">
        <f t="array" ref="AQ17">IFERROR(IF($E17&lt;44348,"",IF(INDEX(Raw_매출!$B$2:$BI$155,MATCH($A17,Raw_매출!$A$2:$A$155,0),MATCH(EDATE($E17,AQ$1-1),Raw_매출!$B$1:$BI$1,0))=0,"",INDEX(Raw_매출!$B$2:$BI$155,MATCH($A17,Raw_매출!$A$2:$A$155,0),MATCH(EDATE($E17,AQ$1-1),Raw_매출!$B$1:$BI$1,0))/(INDEX(요약_월별시즈널리티!$F$7:$F$18,MONTH(EDATE($E17,AQ$1-1)))/100))),"")</f>
        <v/>
      </c>
      <c r="AR17" t="str" cm="1">
        <f t="array" ref="AR17">IFERROR(IF($E17&lt;44348,"",IF(INDEX(Raw_매출!$B$2:$BI$155,MATCH($A17,Raw_매출!$A$2:$A$155,0),MATCH(EDATE($E17,AR$1-1),Raw_매출!$B$1:$BI$1,0))=0,"",INDEX(Raw_매출!$B$2:$BI$155,MATCH($A17,Raw_매출!$A$2:$A$155,0),MATCH(EDATE($E17,AR$1-1),Raw_매출!$B$1:$BI$1,0))/(INDEX(요약_월별시즈널리티!$F$7:$F$18,MONTH(EDATE($E17,AR$1-1)))/100))),"")</f>
        <v/>
      </c>
      <c r="AS17" t="str" cm="1">
        <f t="array" ref="AS17">IFERROR(IF($E17&lt;44348,"",IF(INDEX(Raw_매출!$B$2:$BI$155,MATCH($A17,Raw_매출!$A$2:$A$155,0),MATCH(EDATE($E17,AS$1-1),Raw_매출!$B$1:$BI$1,0))=0,"",INDEX(Raw_매출!$B$2:$BI$155,MATCH($A17,Raw_매출!$A$2:$A$155,0),MATCH(EDATE($E17,AS$1-1),Raw_매출!$B$1:$BI$1,0))/(INDEX(요약_월별시즈널리티!$F$7:$F$18,MONTH(EDATE($E17,AS$1-1)))/100))),"")</f>
        <v/>
      </c>
      <c r="AT17" t="str" cm="1">
        <f t="array" ref="AT17">IFERROR(IF($E17&lt;44348,"",IF(INDEX(Raw_매출!$B$2:$BI$155,MATCH($A17,Raw_매출!$A$2:$A$155,0),MATCH(EDATE($E17,AT$1-1),Raw_매출!$B$1:$BI$1,0))=0,"",INDEX(Raw_매출!$B$2:$BI$155,MATCH($A17,Raw_매출!$A$2:$A$155,0),MATCH(EDATE($E17,AT$1-1),Raw_매출!$B$1:$BI$1,0))/(INDEX(요약_월별시즈널리티!$F$7:$F$18,MONTH(EDATE($E17,AT$1-1)))/100))),"")</f>
        <v/>
      </c>
      <c r="AU17" t="str" cm="1">
        <f t="array" ref="AU17">IFERROR(IF($E17&lt;44348,"",IF(INDEX(Raw_매출!$B$2:$BI$155,MATCH($A17,Raw_매출!$A$2:$A$155,0),MATCH(EDATE($E17,AU$1-1),Raw_매출!$B$1:$BI$1,0))=0,"",INDEX(Raw_매출!$B$2:$BI$155,MATCH($A17,Raw_매출!$A$2:$A$155,0),MATCH(EDATE($E17,AU$1-1),Raw_매출!$B$1:$BI$1,0))/(INDEX(요약_월별시즈널리티!$F$7:$F$18,MONTH(EDATE($E17,AU$1-1)))/100))),"")</f>
        <v/>
      </c>
      <c r="AV17" t="str" cm="1">
        <f t="array" ref="AV17">IFERROR(IF($E17&lt;44348,"",IF(INDEX(Raw_매출!$B$2:$BI$155,MATCH($A17,Raw_매출!$A$2:$A$155,0),MATCH(EDATE($E17,AV$1-1),Raw_매출!$B$1:$BI$1,0))=0,"",INDEX(Raw_매출!$B$2:$BI$155,MATCH($A17,Raw_매출!$A$2:$A$155,0),MATCH(EDATE($E17,AV$1-1),Raw_매출!$B$1:$BI$1,0))/(INDEX(요약_월별시즈널리티!$F$7:$F$18,MONTH(EDATE($E17,AV$1-1)))/100))),"")</f>
        <v/>
      </c>
      <c r="AW17" t="str" cm="1">
        <f t="array" ref="AW17">IFERROR(IF($E17&lt;44348,"",IF(INDEX(Raw_매출!$B$2:$BI$155,MATCH($A17,Raw_매출!$A$2:$A$155,0),MATCH(EDATE($E17,AW$1-1),Raw_매출!$B$1:$BI$1,0))=0,"",INDEX(Raw_매출!$B$2:$BI$155,MATCH($A17,Raw_매출!$A$2:$A$155,0),MATCH(EDATE($E17,AW$1-1),Raw_매출!$B$1:$BI$1,0))/(INDEX(요약_월별시즈널리티!$F$7:$F$18,MONTH(EDATE($E17,AW$1-1)))/100))),"")</f>
        <v/>
      </c>
      <c r="AX17" t="str" cm="1">
        <f t="array" ref="AX17">IFERROR(IF($E17&lt;44348,"",IF(INDEX(Raw_매출!$B$2:$BI$155,MATCH($A17,Raw_매출!$A$2:$A$155,0),MATCH(EDATE($E17,AX$1-1),Raw_매출!$B$1:$BI$1,0))=0,"",INDEX(Raw_매출!$B$2:$BI$155,MATCH($A17,Raw_매출!$A$2:$A$155,0),MATCH(EDATE($E17,AX$1-1),Raw_매출!$B$1:$BI$1,0))/(INDEX(요약_월별시즈널리티!$F$7:$F$18,MONTH(EDATE($E17,AX$1-1)))/100))),"")</f>
        <v/>
      </c>
      <c r="AY17" t="str" cm="1">
        <f t="array" ref="AY17">IFERROR(IF($E17&lt;44348,"",IF(INDEX(Raw_매출!$B$2:$BI$155,MATCH($A17,Raw_매출!$A$2:$A$155,0),MATCH(EDATE($E17,AY$1-1),Raw_매출!$B$1:$BI$1,0))=0,"",INDEX(Raw_매출!$B$2:$BI$155,MATCH($A17,Raw_매출!$A$2:$A$155,0),MATCH(EDATE($E17,AY$1-1),Raw_매출!$B$1:$BI$1,0))/(INDEX(요약_월별시즈널리티!$F$7:$F$18,MONTH(EDATE($E17,AY$1-1)))/100))),"")</f>
        <v/>
      </c>
      <c r="AZ17" t="str" cm="1">
        <f t="array" ref="AZ17">IFERROR(IF($E17&lt;44348,"",IF(INDEX(Raw_매출!$B$2:$BI$155,MATCH($A17,Raw_매출!$A$2:$A$155,0),MATCH(EDATE($E17,AZ$1-1),Raw_매출!$B$1:$BI$1,0))=0,"",INDEX(Raw_매출!$B$2:$BI$155,MATCH($A17,Raw_매출!$A$2:$A$155,0),MATCH(EDATE($E17,AZ$1-1),Raw_매출!$B$1:$BI$1,0))/(INDEX(요약_월별시즈널리티!$F$7:$F$18,MONTH(EDATE($E17,AZ$1-1)))/100))),"")</f>
        <v/>
      </c>
      <c r="BA17" t="str" cm="1">
        <f t="array" ref="BA17">IFERROR(IF($E17&lt;44348,"",IF(INDEX(Raw_매출!$B$2:$BI$155,MATCH($A17,Raw_매출!$A$2:$A$155,0),MATCH(EDATE($E17,BA$1-1),Raw_매출!$B$1:$BI$1,0))=0,"",INDEX(Raw_매출!$B$2:$BI$155,MATCH($A17,Raw_매출!$A$2:$A$155,0),MATCH(EDATE($E17,BA$1-1),Raw_매출!$B$1:$BI$1,0))/(INDEX(요약_월별시즈널리티!$F$7:$F$18,MONTH(EDATE($E17,BA$1-1)))/100))),"")</f>
        <v/>
      </c>
      <c r="BB17" t="str" cm="1">
        <f t="array" ref="BB17">IFERROR(IF($E17&lt;44348,"",IF(INDEX(Raw_매출!$B$2:$BI$155,MATCH($A17,Raw_매출!$A$2:$A$155,0),MATCH(EDATE($E17,BB$1-1),Raw_매출!$B$1:$BI$1,0))=0,"",INDEX(Raw_매출!$B$2:$BI$155,MATCH($A17,Raw_매출!$A$2:$A$155,0),MATCH(EDATE($E17,BB$1-1),Raw_매출!$B$1:$BI$1,0))/(INDEX(요약_월별시즈널리티!$F$7:$F$18,MONTH(EDATE($E17,BB$1-1)))/100))),"")</f>
        <v/>
      </c>
      <c r="BC17" t="str" cm="1">
        <f t="array" ref="BC17">IFERROR(IF($E17&lt;44348,"",IF(INDEX(Raw_매출!$B$2:$BI$155,MATCH($A17,Raw_매출!$A$2:$A$155,0),MATCH(EDATE($E17,BC$1-1),Raw_매출!$B$1:$BI$1,0))=0,"",INDEX(Raw_매출!$B$2:$BI$155,MATCH($A17,Raw_매출!$A$2:$A$155,0),MATCH(EDATE($E17,BC$1-1),Raw_매출!$B$1:$BI$1,0))/(INDEX(요약_월별시즈널리티!$F$7:$F$18,MONTH(EDATE($E17,BC$1-1)))/100))),"")</f>
        <v/>
      </c>
      <c r="BD17" t="str" cm="1">
        <f t="array" ref="BD17">IFERROR(IF($E17&lt;44348,"",IF(INDEX(Raw_매출!$B$2:$BI$155,MATCH($A17,Raw_매출!$A$2:$A$155,0),MATCH(EDATE($E17,BD$1-1),Raw_매출!$B$1:$BI$1,0))=0,"",INDEX(Raw_매출!$B$2:$BI$155,MATCH($A17,Raw_매출!$A$2:$A$155,0),MATCH(EDATE($E17,BD$1-1),Raw_매출!$B$1:$BI$1,0))/(INDEX(요약_월별시즈널리티!$F$7:$F$18,MONTH(EDATE($E17,BD$1-1)))/100))),"")</f>
        <v/>
      </c>
      <c r="BE17" t="str" cm="1">
        <f t="array" ref="BE17">IFERROR(IF($E17&lt;44348,"",IF(INDEX(Raw_매출!$B$2:$BI$155,MATCH($A17,Raw_매출!$A$2:$A$155,0),MATCH(EDATE($E17,BE$1-1),Raw_매출!$B$1:$BI$1,0))=0,"",INDEX(Raw_매출!$B$2:$BI$155,MATCH($A17,Raw_매출!$A$2:$A$155,0),MATCH(EDATE($E17,BE$1-1),Raw_매출!$B$1:$BI$1,0))/(INDEX(요약_월별시즈널리티!$F$7:$F$18,MONTH(EDATE($E17,BE$1-1)))/100))),"")</f>
        <v/>
      </c>
      <c r="BF17" t="str" cm="1">
        <f t="array" ref="BF17">IFERROR(IF($E17&lt;44348,"",IF(INDEX(Raw_매출!$B$2:$BI$155,MATCH($A17,Raw_매출!$A$2:$A$155,0),MATCH(EDATE($E17,BF$1-1),Raw_매출!$B$1:$BI$1,0))=0,"",INDEX(Raw_매출!$B$2:$BI$155,MATCH($A17,Raw_매출!$A$2:$A$155,0),MATCH(EDATE($E17,BF$1-1),Raw_매출!$B$1:$BI$1,0))/(INDEX(요약_월별시즈널리티!$F$7:$F$18,MONTH(EDATE($E17,BF$1-1)))/100))),"")</f>
        <v/>
      </c>
      <c r="BG17" t="str" cm="1">
        <f t="array" ref="BG17">IFERROR(IF($E17&lt;44348,"",IF(INDEX(Raw_매출!$B$2:$BI$155,MATCH($A17,Raw_매출!$A$2:$A$155,0),MATCH(EDATE($E17,BG$1-1),Raw_매출!$B$1:$BI$1,0))=0,"",INDEX(Raw_매출!$B$2:$BI$155,MATCH($A17,Raw_매출!$A$2:$A$155,0),MATCH(EDATE($E17,BG$1-1),Raw_매출!$B$1:$BI$1,0))/(INDEX(요약_월별시즈널리티!$F$7:$F$18,MONTH(EDATE($E17,BG$1-1)))/100))),"")</f>
        <v/>
      </c>
      <c r="BH17" t="str" cm="1">
        <f t="array" ref="BH17">IFERROR(IF($E17&lt;44348,"",IF(INDEX(Raw_매출!$B$2:$BI$155,MATCH($A17,Raw_매출!$A$2:$A$155,0),MATCH(EDATE($E17,BH$1-1),Raw_매출!$B$1:$BI$1,0))=0,"",INDEX(Raw_매출!$B$2:$BI$155,MATCH($A17,Raw_매출!$A$2:$A$155,0),MATCH(EDATE($E17,BH$1-1),Raw_매출!$B$1:$BI$1,0))/(INDEX(요약_월별시즈널리티!$F$7:$F$18,MONTH(EDATE($E17,BH$1-1)))/100))),"")</f>
        <v/>
      </c>
      <c r="BI17" t="str" cm="1">
        <f t="array" ref="BI17">IFERROR(IF($E17&lt;44348,"",IF(INDEX(Raw_매출!$B$2:$BI$155,MATCH($A17,Raw_매출!$A$2:$A$155,0),MATCH(EDATE($E17,BI$1-1),Raw_매출!$B$1:$BI$1,0))=0,"",INDEX(Raw_매출!$B$2:$BI$155,MATCH($A17,Raw_매출!$A$2:$A$155,0),MATCH(EDATE($E17,BI$1-1),Raw_매출!$B$1:$BI$1,0))/(INDEX(요약_월별시즈널리티!$F$7:$F$18,MONTH(EDATE($E17,BI$1-1)))/100))),"")</f>
        <v/>
      </c>
      <c r="BJ17" t="str" cm="1">
        <f t="array" ref="BJ17">IFERROR(IF($E17&lt;44348,"",IF(INDEX(Raw_매출!$B$2:$BI$155,MATCH($A17,Raw_매출!$A$2:$A$155,0),MATCH(EDATE($E17,BJ$1-1),Raw_매출!$B$1:$BI$1,0))=0,"",INDEX(Raw_매출!$B$2:$BI$155,MATCH($A17,Raw_매출!$A$2:$A$155,0),MATCH(EDATE($E17,BJ$1-1),Raw_매출!$B$1:$BI$1,0))/(INDEX(요약_월별시즈널리티!$F$7:$F$18,MONTH(EDATE($E17,BJ$1-1)))/100))),"")</f>
        <v/>
      </c>
      <c r="BK17" t="str" cm="1">
        <f t="array" ref="BK17">IFERROR(IF($E17&lt;44348,"",IF(INDEX(Raw_매출!$B$2:$BI$155,MATCH($A17,Raw_매출!$A$2:$A$155,0),MATCH(EDATE($E17,BK$1-1),Raw_매출!$B$1:$BI$1,0))=0,"",INDEX(Raw_매출!$B$2:$BI$155,MATCH($A17,Raw_매출!$A$2:$A$155,0),MATCH(EDATE($E17,BK$1-1),Raw_매출!$B$1:$BI$1,0))/(INDEX(요약_월별시즈널리티!$F$7:$F$18,MONTH(EDATE($E17,BK$1-1)))/100))),"")</f>
        <v/>
      </c>
      <c r="BL17" t="str" cm="1">
        <f t="array" ref="BL17">IFERROR(IF($E17&lt;44348,"",IF(INDEX(Raw_매출!$B$2:$BI$155,MATCH($A17,Raw_매출!$A$2:$A$155,0),MATCH(EDATE($E17,BL$1-1),Raw_매출!$B$1:$BI$1,0))=0,"",INDEX(Raw_매출!$B$2:$BI$155,MATCH($A17,Raw_매출!$A$2:$A$155,0),MATCH(EDATE($E17,BL$1-1),Raw_매출!$B$1:$BI$1,0))/(INDEX(요약_월별시즈널리티!$F$7:$F$18,MONTH(EDATE($E17,BL$1-1)))/100))),"")</f>
        <v/>
      </c>
      <c r="BM17" t="str" cm="1">
        <f t="array" ref="BM17">IFERROR(IF($E17&lt;44348,"",IF(INDEX(Raw_매출!$B$2:$BI$155,MATCH($A17,Raw_매출!$A$2:$A$155,0),MATCH(EDATE($E17,BM$1-1),Raw_매출!$B$1:$BI$1,0))=0,"",INDEX(Raw_매출!$B$2:$BI$155,MATCH($A17,Raw_매출!$A$2:$A$155,0),MATCH(EDATE($E17,BM$1-1),Raw_매출!$B$1:$BI$1,0))/(INDEX(요약_월별시즈널리티!$F$7:$F$18,MONTH(EDATE($E17,BM$1-1)))/100))),"")</f>
        <v/>
      </c>
      <c r="BN17" t="str" cm="1">
        <f t="array" ref="BN17">IFERROR(IF($E17&lt;44348,"",IF(INDEX(Raw_매출!$B$2:$BI$155,MATCH($A17,Raw_매출!$A$2:$A$155,0),MATCH(EDATE($E17,BN$1-1),Raw_매출!$B$1:$BI$1,0))=0,"",INDEX(Raw_매출!$B$2:$BI$155,MATCH($A17,Raw_매출!$A$2:$A$155,0),MATCH(EDATE($E17,BN$1-1),Raw_매출!$B$1:$BI$1,0))/(INDEX(요약_월별시즈널리티!$F$7:$F$18,MONTH(EDATE($E17,BN$1-1)))/100))),"")</f>
        <v/>
      </c>
    </row>
    <row r="18" spans="1:66" x14ac:dyDescent="0.4">
      <c r="A18" t="str">
        <f>세팅!A19</f>
        <v>(1003) #샤로수점</v>
      </c>
      <c r="B18" t="str">
        <f>세팅!B19</f>
        <v>150-2</v>
      </c>
      <c r="C18">
        <f t="shared" si="0"/>
        <v>2</v>
      </c>
      <c r="D18" t="str">
        <f t="shared" si="1"/>
        <v>2</v>
      </c>
      <c r="E18" s="1">
        <f>세팅!D19</f>
        <v>43770</v>
      </c>
      <c r="F18" t="str">
        <f t="shared" si="2"/>
        <v/>
      </c>
      <c r="G18" t="str" cm="1">
        <f t="array" ref="G18">IFERROR(IF($E18&lt;44348,"",IF(INDEX(Raw_매출!$B$2:$BI$155,MATCH($A18,Raw_매출!$A$2:$A$155,0),MATCH(EDATE($E18,G$1-1),Raw_매출!$B$1:$BI$1,0))=0,"",INDEX(Raw_매출!$B$2:$BI$155,MATCH($A18,Raw_매출!$A$2:$A$155,0),MATCH(EDATE($E18,G$1-1),Raw_매출!$B$1:$BI$1,0))/(INDEX(요약_월별시즈널리티!$F$7:$F$18,MONTH(EDATE($E18,G$1-1)))/100))),"")</f>
        <v/>
      </c>
      <c r="H18" t="str" cm="1">
        <f t="array" ref="H18">IFERROR(IF($E18&lt;44348,"",IF(INDEX(Raw_매출!$B$2:$BI$155,MATCH($A18,Raw_매출!$A$2:$A$155,0),MATCH(EDATE($E18,H$1-1),Raw_매출!$B$1:$BI$1,0))=0,"",INDEX(Raw_매출!$B$2:$BI$155,MATCH($A18,Raw_매출!$A$2:$A$155,0),MATCH(EDATE($E18,H$1-1),Raw_매출!$B$1:$BI$1,0))/(INDEX(요약_월별시즈널리티!$F$7:$F$18,MONTH(EDATE($E18,H$1-1)))/100))),"")</f>
        <v/>
      </c>
      <c r="I18" t="str" cm="1">
        <f t="array" ref="I18">IFERROR(IF($E18&lt;44348,"",IF(INDEX(Raw_매출!$B$2:$BI$155,MATCH($A18,Raw_매출!$A$2:$A$155,0),MATCH(EDATE($E18,I$1-1),Raw_매출!$B$1:$BI$1,0))=0,"",INDEX(Raw_매출!$B$2:$BI$155,MATCH($A18,Raw_매출!$A$2:$A$155,0),MATCH(EDATE($E18,I$1-1),Raw_매출!$B$1:$BI$1,0))/(INDEX(요약_월별시즈널리티!$F$7:$F$18,MONTH(EDATE($E18,I$1-1)))/100))),"")</f>
        <v/>
      </c>
      <c r="J18" s="30" t="str" cm="1">
        <f t="array" ref="J18">IFERROR(IF($E18&lt;44348,"",IF(INDEX(Raw_매출!$B$2:$BI$155,MATCH($A18,Raw_매출!$A$2:$A$155,0),MATCH(EDATE($E18,J$1-1),Raw_매출!$B$1:$BI$1,0))=0,"",INDEX(Raw_매출!$B$2:$BI$155,MATCH($A18,Raw_매출!$A$2:$A$155,0),MATCH(EDATE($E18,J$1-1),Raw_매출!$B$1:$BI$1,0))/(INDEX(요약_월별시즈널리티!$F$7:$F$18,MONTH(EDATE($E18,J$1-1)))/100))),"")</f>
        <v/>
      </c>
      <c r="K18" s="30" t="str" cm="1">
        <f t="array" ref="K18">IFERROR(IF($E18&lt;44348,"",IF(INDEX(Raw_매출!$B$2:$BI$155,MATCH($A18,Raw_매출!$A$2:$A$155,0),MATCH(EDATE($E18,K$1-1),Raw_매출!$B$1:$BI$1,0))=0,"",INDEX(Raw_매출!$B$2:$BI$155,MATCH($A18,Raw_매출!$A$2:$A$155,0),MATCH(EDATE($E18,K$1-1),Raw_매출!$B$1:$BI$1,0))/(INDEX(요약_월별시즈널리티!$F$7:$F$18,MONTH(EDATE($E18,K$1-1)))/100))),"")</f>
        <v/>
      </c>
      <c r="L18" s="30" t="str" cm="1">
        <f t="array" ref="L18">IFERROR(IF($E18&lt;44348,"",IF(INDEX(Raw_매출!$B$2:$BI$155,MATCH($A18,Raw_매출!$A$2:$A$155,0),MATCH(EDATE($E18,L$1-1),Raw_매출!$B$1:$BI$1,0))=0,"",INDEX(Raw_매출!$B$2:$BI$155,MATCH($A18,Raw_매출!$A$2:$A$155,0),MATCH(EDATE($E18,L$1-1),Raw_매출!$B$1:$BI$1,0))/(INDEX(요약_월별시즈널리티!$F$7:$F$18,MONTH(EDATE($E18,L$1-1)))/100))),"")</f>
        <v/>
      </c>
      <c r="M18" s="30" t="str" cm="1">
        <f t="array" ref="M18">IFERROR(IF($E18&lt;44348,"",IF(INDEX(Raw_매출!$B$2:$BI$155,MATCH($A18,Raw_매출!$A$2:$A$155,0),MATCH(EDATE($E18,M$1-1),Raw_매출!$B$1:$BI$1,0))=0,"",INDEX(Raw_매출!$B$2:$BI$155,MATCH($A18,Raw_매출!$A$2:$A$155,0),MATCH(EDATE($E18,M$1-1),Raw_매출!$B$1:$BI$1,0))/(INDEX(요약_월별시즈널리티!$F$7:$F$18,MONTH(EDATE($E18,M$1-1)))/100))),"")</f>
        <v/>
      </c>
      <c r="N18" s="30" t="str" cm="1">
        <f t="array" ref="N18">IFERROR(IF($E18&lt;44348,"",IF(INDEX(Raw_매출!$B$2:$BI$155,MATCH($A18,Raw_매출!$A$2:$A$155,0),MATCH(EDATE($E18,N$1-1),Raw_매출!$B$1:$BI$1,0))=0,"",INDEX(Raw_매출!$B$2:$BI$155,MATCH($A18,Raw_매출!$A$2:$A$155,0),MATCH(EDATE($E18,N$1-1),Raw_매출!$B$1:$BI$1,0))/(INDEX(요약_월별시즈널리티!$F$7:$F$18,MONTH(EDATE($E18,N$1-1)))/100))),"")</f>
        <v/>
      </c>
      <c r="O18" s="30" t="str" cm="1">
        <f t="array" ref="O18">IFERROR(IF($E18&lt;44348,"",IF(INDEX(Raw_매출!$B$2:$BI$155,MATCH($A18,Raw_매출!$A$2:$A$155,0),MATCH(EDATE($E18,O$1-1),Raw_매출!$B$1:$BI$1,0))=0,"",INDEX(Raw_매출!$B$2:$BI$155,MATCH($A18,Raw_매출!$A$2:$A$155,0),MATCH(EDATE($E18,O$1-1),Raw_매출!$B$1:$BI$1,0))/(INDEX(요약_월별시즈널리티!$F$7:$F$18,MONTH(EDATE($E18,O$1-1)))/100))),"")</f>
        <v/>
      </c>
      <c r="P18" t="str" cm="1">
        <f t="array" ref="P18">IFERROR(IF($E18&lt;44348,"",IF(INDEX(Raw_매출!$B$2:$BI$155,MATCH($A18,Raw_매출!$A$2:$A$155,0),MATCH(EDATE($E18,P$1-1),Raw_매출!$B$1:$BI$1,0))=0,"",INDEX(Raw_매출!$B$2:$BI$155,MATCH($A18,Raw_매출!$A$2:$A$155,0),MATCH(EDATE($E18,P$1-1),Raw_매출!$B$1:$BI$1,0))/(INDEX(요약_월별시즈널리티!$F$7:$F$18,MONTH(EDATE($E18,P$1-1)))/100))),"")</f>
        <v/>
      </c>
      <c r="Q18" t="str" cm="1">
        <f t="array" ref="Q18">IFERROR(IF($E18&lt;44348,"",IF(INDEX(Raw_매출!$B$2:$BI$155,MATCH($A18,Raw_매출!$A$2:$A$155,0),MATCH(EDATE($E18,Q$1-1),Raw_매출!$B$1:$BI$1,0))=0,"",INDEX(Raw_매출!$B$2:$BI$155,MATCH($A18,Raw_매출!$A$2:$A$155,0),MATCH(EDATE($E18,Q$1-1),Raw_매출!$B$1:$BI$1,0))/(INDEX(요약_월별시즈널리티!$F$7:$F$18,MONTH(EDATE($E18,Q$1-1)))/100))),"")</f>
        <v/>
      </c>
      <c r="R18" t="str" cm="1">
        <f t="array" ref="R18">IFERROR(IF($E18&lt;44348,"",IF(INDEX(Raw_매출!$B$2:$BI$155,MATCH($A18,Raw_매출!$A$2:$A$155,0),MATCH(EDATE($E18,R$1-1),Raw_매출!$B$1:$BI$1,0))=0,"",INDEX(Raw_매출!$B$2:$BI$155,MATCH($A18,Raw_매출!$A$2:$A$155,0),MATCH(EDATE($E18,R$1-1),Raw_매출!$B$1:$BI$1,0))/(INDEX(요약_월별시즈널리티!$F$7:$F$18,MONTH(EDATE($E18,R$1-1)))/100))),"")</f>
        <v/>
      </c>
      <c r="S18" t="str" cm="1">
        <f t="array" ref="S18">IFERROR(IF($E18&lt;44348,"",IF(INDEX(Raw_매출!$B$2:$BI$155,MATCH($A18,Raw_매출!$A$2:$A$155,0),MATCH(EDATE($E18,S$1-1),Raw_매출!$B$1:$BI$1,0))=0,"",INDEX(Raw_매출!$B$2:$BI$155,MATCH($A18,Raw_매출!$A$2:$A$155,0),MATCH(EDATE($E18,S$1-1),Raw_매출!$B$1:$BI$1,0))/(INDEX(요약_월별시즈널리티!$F$7:$F$18,MONTH(EDATE($E18,S$1-1)))/100))),"")</f>
        <v/>
      </c>
      <c r="T18" t="str" cm="1">
        <f t="array" ref="T18">IFERROR(IF($E18&lt;44348,"",IF(INDEX(Raw_매출!$B$2:$BI$155,MATCH($A18,Raw_매출!$A$2:$A$155,0),MATCH(EDATE($E18,T$1-1),Raw_매출!$B$1:$BI$1,0))=0,"",INDEX(Raw_매출!$B$2:$BI$155,MATCH($A18,Raw_매출!$A$2:$A$155,0),MATCH(EDATE($E18,T$1-1),Raw_매출!$B$1:$BI$1,0))/(INDEX(요약_월별시즈널리티!$F$7:$F$18,MONTH(EDATE($E18,T$1-1)))/100))),"")</f>
        <v/>
      </c>
      <c r="U18" t="str" cm="1">
        <f t="array" ref="U18">IFERROR(IF($E18&lt;44348,"",IF(INDEX(Raw_매출!$B$2:$BI$155,MATCH($A18,Raw_매출!$A$2:$A$155,0),MATCH(EDATE($E18,U$1-1),Raw_매출!$B$1:$BI$1,0))=0,"",INDEX(Raw_매출!$B$2:$BI$155,MATCH($A18,Raw_매출!$A$2:$A$155,0),MATCH(EDATE($E18,U$1-1),Raw_매출!$B$1:$BI$1,0))/(INDEX(요약_월별시즈널리티!$F$7:$F$18,MONTH(EDATE($E18,U$1-1)))/100))),"")</f>
        <v/>
      </c>
      <c r="V18" t="str" cm="1">
        <f t="array" ref="V18">IFERROR(IF($E18&lt;44348,"",IF(INDEX(Raw_매출!$B$2:$BI$155,MATCH($A18,Raw_매출!$A$2:$A$155,0),MATCH(EDATE($E18,V$1-1),Raw_매출!$B$1:$BI$1,0))=0,"",INDEX(Raw_매출!$B$2:$BI$155,MATCH($A18,Raw_매출!$A$2:$A$155,0),MATCH(EDATE($E18,V$1-1),Raw_매출!$B$1:$BI$1,0))/(INDEX(요약_월별시즈널리티!$F$7:$F$18,MONTH(EDATE($E18,V$1-1)))/100))),"")</f>
        <v/>
      </c>
      <c r="W18" t="str" cm="1">
        <f t="array" ref="W18">IFERROR(IF($E18&lt;44348,"",IF(INDEX(Raw_매출!$B$2:$BI$155,MATCH($A18,Raw_매출!$A$2:$A$155,0),MATCH(EDATE($E18,W$1-1),Raw_매출!$B$1:$BI$1,0))=0,"",INDEX(Raw_매출!$B$2:$BI$155,MATCH($A18,Raw_매출!$A$2:$A$155,0),MATCH(EDATE($E18,W$1-1),Raw_매출!$B$1:$BI$1,0))/(INDEX(요약_월별시즈널리티!$F$7:$F$18,MONTH(EDATE($E18,W$1-1)))/100))),"")</f>
        <v/>
      </c>
      <c r="X18" t="str" cm="1">
        <f t="array" ref="X18">IFERROR(IF($E18&lt;44348,"",IF(INDEX(Raw_매출!$B$2:$BI$155,MATCH($A18,Raw_매출!$A$2:$A$155,0),MATCH(EDATE($E18,X$1-1),Raw_매출!$B$1:$BI$1,0))=0,"",INDEX(Raw_매출!$B$2:$BI$155,MATCH($A18,Raw_매출!$A$2:$A$155,0),MATCH(EDATE($E18,X$1-1),Raw_매출!$B$1:$BI$1,0))/(INDEX(요약_월별시즈널리티!$F$7:$F$18,MONTH(EDATE($E18,X$1-1)))/100))),"")</f>
        <v/>
      </c>
      <c r="Y18" t="str" cm="1">
        <f t="array" ref="Y18">IFERROR(IF($E18&lt;44348,"",IF(INDEX(Raw_매출!$B$2:$BI$155,MATCH($A18,Raw_매출!$A$2:$A$155,0),MATCH(EDATE($E18,Y$1-1),Raw_매출!$B$1:$BI$1,0))=0,"",INDEX(Raw_매출!$B$2:$BI$155,MATCH($A18,Raw_매출!$A$2:$A$155,0),MATCH(EDATE($E18,Y$1-1),Raw_매출!$B$1:$BI$1,0))/(INDEX(요약_월별시즈널리티!$F$7:$F$18,MONTH(EDATE($E18,Y$1-1)))/100))),"")</f>
        <v/>
      </c>
      <c r="Z18" t="str" cm="1">
        <f t="array" ref="Z18">IFERROR(IF($E18&lt;44348,"",IF(INDEX(Raw_매출!$B$2:$BI$155,MATCH($A18,Raw_매출!$A$2:$A$155,0),MATCH(EDATE($E18,Z$1-1),Raw_매출!$B$1:$BI$1,0))=0,"",INDEX(Raw_매출!$B$2:$BI$155,MATCH($A18,Raw_매출!$A$2:$A$155,0),MATCH(EDATE($E18,Z$1-1),Raw_매출!$B$1:$BI$1,0))/(INDEX(요약_월별시즈널리티!$F$7:$F$18,MONTH(EDATE($E18,Z$1-1)))/100))),"")</f>
        <v/>
      </c>
      <c r="AA18" t="str" cm="1">
        <f t="array" ref="AA18">IFERROR(IF($E18&lt;44348,"",IF(INDEX(Raw_매출!$B$2:$BI$155,MATCH($A18,Raw_매출!$A$2:$A$155,0),MATCH(EDATE($E18,AA$1-1),Raw_매출!$B$1:$BI$1,0))=0,"",INDEX(Raw_매출!$B$2:$BI$155,MATCH($A18,Raw_매출!$A$2:$A$155,0),MATCH(EDATE($E18,AA$1-1),Raw_매출!$B$1:$BI$1,0))/(INDEX(요약_월별시즈널리티!$F$7:$F$18,MONTH(EDATE($E18,AA$1-1)))/100))),"")</f>
        <v/>
      </c>
      <c r="AB18" t="str" cm="1">
        <f t="array" ref="AB18">IFERROR(IF($E18&lt;44348,"",IF(INDEX(Raw_매출!$B$2:$BI$155,MATCH($A18,Raw_매출!$A$2:$A$155,0),MATCH(EDATE($E18,AB$1-1),Raw_매출!$B$1:$BI$1,0))=0,"",INDEX(Raw_매출!$B$2:$BI$155,MATCH($A18,Raw_매출!$A$2:$A$155,0),MATCH(EDATE($E18,AB$1-1),Raw_매출!$B$1:$BI$1,0))/(INDEX(요약_월별시즈널리티!$F$7:$F$18,MONTH(EDATE($E18,AB$1-1)))/100))),"")</f>
        <v/>
      </c>
      <c r="AC18" t="str" cm="1">
        <f t="array" ref="AC18">IFERROR(IF($E18&lt;44348,"",IF(INDEX(Raw_매출!$B$2:$BI$155,MATCH($A18,Raw_매출!$A$2:$A$155,0),MATCH(EDATE($E18,AC$1-1),Raw_매출!$B$1:$BI$1,0))=0,"",INDEX(Raw_매출!$B$2:$BI$155,MATCH($A18,Raw_매출!$A$2:$A$155,0),MATCH(EDATE($E18,AC$1-1),Raw_매출!$B$1:$BI$1,0))/(INDEX(요약_월별시즈널리티!$F$7:$F$18,MONTH(EDATE($E18,AC$1-1)))/100))),"")</f>
        <v/>
      </c>
      <c r="AD18" t="str" cm="1">
        <f t="array" ref="AD18">IFERROR(IF($E18&lt;44348,"",IF(INDEX(Raw_매출!$B$2:$BI$155,MATCH($A18,Raw_매출!$A$2:$A$155,0),MATCH(EDATE($E18,AD$1-1),Raw_매출!$B$1:$BI$1,0))=0,"",INDEX(Raw_매출!$B$2:$BI$155,MATCH($A18,Raw_매출!$A$2:$A$155,0),MATCH(EDATE($E18,AD$1-1),Raw_매출!$B$1:$BI$1,0))/(INDEX(요약_월별시즈널리티!$F$7:$F$18,MONTH(EDATE($E18,AD$1-1)))/100))),"")</f>
        <v/>
      </c>
      <c r="AE18" t="str" cm="1">
        <f t="array" ref="AE18">IFERROR(IF($E18&lt;44348,"",IF(INDEX(Raw_매출!$B$2:$BI$155,MATCH($A18,Raw_매출!$A$2:$A$155,0),MATCH(EDATE($E18,AE$1-1),Raw_매출!$B$1:$BI$1,0))=0,"",INDEX(Raw_매출!$B$2:$BI$155,MATCH($A18,Raw_매출!$A$2:$A$155,0),MATCH(EDATE($E18,AE$1-1),Raw_매출!$B$1:$BI$1,0))/(INDEX(요약_월별시즈널리티!$F$7:$F$18,MONTH(EDATE($E18,AE$1-1)))/100))),"")</f>
        <v/>
      </c>
      <c r="AF18" t="str" cm="1">
        <f t="array" ref="AF18">IFERROR(IF($E18&lt;44348,"",IF(INDEX(Raw_매출!$B$2:$BI$155,MATCH($A18,Raw_매출!$A$2:$A$155,0),MATCH(EDATE($E18,AF$1-1),Raw_매출!$B$1:$BI$1,0))=0,"",INDEX(Raw_매출!$B$2:$BI$155,MATCH($A18,Raw_매출!$A$2:$A$155,0),MATCH(EDATE($E18,AF$1-1),Raw_매출!$B$1:$BI$1,0))/(INDEX(요약_월별시즈널리티!$F$7:$F$18,MONTH(EDATE($E18,AF$1-1)))/100))),"")</f>
        <v/>
      </c>
      <c r="AG18" t="str" cm="1">
        <f t="array" ref="AG18">IFERROR(IF($E18&lt;44348,"",IF(INDEX(Raw_매출!$B$2:$BI$155,MATCH($A18,Raw_매출!$A$2:$A$155,0),MATCH(EDATE($E18,AG$1-1),Raw_매출!$B$1:$BI$1,0))=0,"",INDEX(Raw_매출!$B$2:$BI$155,MATCH($A18,Raw_매출!$A$2:$A$155,0),MATCH(EDATE($E18,AG$1-1),Raw_매출!$B$1:$BI$1,0))/(INDEX(요약_월별시즈널리티!$F$7:$F$18,MONTH(EDATE($E18,AG$1-1)))/100))),"")</f>
        <v/>
      </c>
      <c r="AH18" t="str" cm="1">
        <f t="array" ref="AH18">IFERROR(IF($E18&lt;44348,"",IF(INDEX(Raw_매출!$B$2:$BI$155,MATCH($A18,Raw_매출!$A$2:$A$155,0),MATCH(EDATE($E18,AH$1-1),Raw_매출!$B$1:$BI$1,0))=0,"",INDEX(Raw_매출!$B$2:$BI$155,MATCH($A18,Raw_매출!$A$2:$A$155,0),MATCH(EDATE($E18,AH$1-1),Raw_매출!$B$1:$BI$1,0))/(INDEX(요약_월별시즈널리티!$F$7:$F$18,MONTH(EDATE($E18,AH$1-1)))/100))),"")</f>
        <v/>
      </c>
      <c r="AI18" t="str" cm="1">
        <f t="array" ref="AI18">IFERROR(IF($E18&lt;44348,"",IF(INDEX(Raw_매출!$B$2:$BI$155,MATCH($A18,Raw_매출!$A$2:$A$155,0),MATCH(EDATE($E18,AI$1-1),Raw_매출!$B$1:$BI$1,0))=0,"",INDEX(Raw_매출!$B$2:$BI$155,MATCH($A18,Raw_매출!$A$2:$A$155,0),MATCH(EDATE($E18,AI$1-1),Raw_매출!$B$1:$BI$1,0))/(INDEX(요약_월별시즈널리티!$F$7:$F$18,MONTH(EDATE($E18,AI$1-1)))/100))),"")</f>
        <v/>
      </c>
      <c r="AJ18" t="str" cm="1">
        <f t="array" ref="AJ18">IFERROR(IF($E18&lt;44348,"",IF(INDEX(Raw_매출!$B$2:$BI$155,MATCH($A18,Raw_매출!$A$2:$A$155,0),MATCH(EDATE($E18,AJ$1-1),Raw_매출!$B$1:$BI$1,0))=0,"",INDEX(Raw_매출!$B$2:$BI$155,MATCH($A18,Raw_매출!$A$2:$A$155,0),MATCH(EDATE($E18,AJ$1-1),Raw_매출!$B$1:$BI$1,0))/(INDEX(요약_월별시즈널리티!$F$7:$F$18,MONTH(EDATE($E18,AJ$1-1)))/100))),"")</f>
        <v/>
      </c>
      <c r="AK18" t="str" cm="1">
        <f t="array" ref="AK18">IFERROR(IF($E18&lt;44348,"",IF(INDEX(Raw_매출!$B$2:$BI$155,MATCH($A18,Raw_매출!$A$2:$A$155,0),MATCH(EDATE($E18,AK$1-1),Raw_매출!$B$1:$BI$1,0))=0,"",INDEX(Raw_매출!$B$2:$BI$155,MATCH($A18,Raw_매출!$A$2:$A$155,0),MATCH(EDATE($E18,AK$1-1),Raw_매출!$B$1:$BI$1,0))/(INDEX(요약_월별시즈널리티!$F$7:$F$18,MONTH(EDATE($E18,AK$1-1)))/100))),"")</f>
        <v/>
      </c>
      <c r="AL18" t="str" cm="1">
        <f t="array" ref="AL18">IFERROR(IF($E18&lt;44348,"",IF(INDEX(Raw_매출!$B$2:$BI$155,MATCH($A18,Raw_매출!$A$2:$A$155,0),MATCH(EDATE($E18,AL$1-1),Raw_매출!$B$1:$BI$1,0))=0,"",INDEX(Raw_매출!$B$2:$BI$155,MATCH($A18,Raw_매출!$A$2:$A$155,0),MATCH(EDATE($E18,AL$1-1),Raw_매출!$B$1:$BI$1,0))/(INDEX(요약_월별시즈널리티!$F$7:$F$18,MONTH(EDATE($E18,AL$1-1)))/100))),"")</f>
        <v/>
      </c>
      <c r="AM18" t="str" cm="1">
        <f t="array" ref="AM18">IFERROR(IF($E18&lt;44348,"",IF(INDEX(Raw_매출!$B$2:$BI$155,MATCH($A18,Raw_매출!$A$2:$A$155,0),MATCH(EDATE($E18,AM$1-1),Raw_매출!$B$1:$BI$1,0))=0,"",INDEX(Raw_매출!$B$2:$BI$155,MATCH($A18,Raw_매출!$A$2:$A$155,0),MATCH(EDATE($E18,AM$1-1),Raw_매출!$B$1:$BI$1,0))/(INDEX(요약_월별시즈널리티!$F$7:$F$18,MONTH(EDATE($E18,AM$1-1)))/100))),"")</f>
        <v/>
      </c>
      <c r="AN18" t="str" cm="1">
        <f t="array" ref="AN18">IFERROR(IF($E18&lt;44348,"",IF(INDEX(Raw_매출!$B$2:$BI$155,MATCH($A18,Raw_매출!$A$2:$A$155,0),MATCH(EDATE($E18,AN$1-1),Raw_매출!$B$1:$BI$1,0))=0,"",INDEX(Raw_매출!$B$2:$BI$155,MATCH($A18,Raw_매출!$A$2:$A$155,0),MATCH(EDATE($E18,AN$1-1),Raw_매출!$B$1:$BI$1,0))/(INDEX(요약_월별시즈널리티!$F$7:$F$18,MONTH(EDATE($E18,AN$1-1)))/100))),"")</f>
        <v/>
      </c>
      <c r="AO18" t="str" cm="1">
        <f t="array" ref="AO18">IFERROR(IF($E18&lt;44348,"",IF(INDEX(Raw_매출!$B$2:$BI$155,MATCH($A18,Raw_매출!$A$2:$A$155,0),MATCH(EDATE($E18,AO$1-1),Raw_매출!$B$1:$BI$1,0))=0,"",INDEX(Raw_매출!$B$2:$BI$155,MATCH($A18,Raw_매출!$A$2:$A$155,0),MATCH(EDATE($E18,AO$1-1),Raw_매출!$B$1:$BI$1,0))/(INDEX(요약_월별시즈널리티!$F$7:$F$18,MONTH(EDATE($E18,AO$1-1)))/100))),"")</f>
        <v/>
      </c>
      <c r="AP18" t="str" cm="1">
        <f t="array" ref="AP18">IFERROR(IF($E18&lt;44348,"",IF(INDEX(Raw_매출!$B$2:$BI$155,MATCH($A18,Raw_매출!$A$2:$A$155,0),MATCH(EDATE($E18,AP$1-1),Raw_매출!$B$1:$BI$1,0))=0,"",INDEX(Raw_매출!$B$2:$BI$155,MATCH($A18,Raw_매출!$A$2:$A$155,0),MATCH(EDATE($E18,AP$1-1),Raw_매출!$B$1:$BI$1,0))/(INDEX(요약_월별시즈널리티!$F$7:$F$18,MONTH(EDATE($E18,AP$1-1)))/100))),"")</f>
        <v/>
      </c>
      <c r="AQ18" t="str" cm="1">
        <f t="array" ref="AQ18">IFERROR(IF($E18&lt;44348,"",IF(INDEX(Raw_매출!$B$2:$BI$155,MATCH($A18,Raw_매출!$A$2:$A$155,0),MATCH(EDATE($E18,AQ$1-1),Raw_매출!$B$1:$BI$1,0))=0,"",INDEX(Raw_매출!$B$2:$BI$155,MATCH($A18,Raw_매출!$A$2:$A$155,0),MATCH(EDATE($E18,AQ$1-1),Raw_매출!$B$1:$BI$1,0))/(INDEX(요약_월별시즈널리티!$F$7:$F$18,MONTH(EDATE($E18,AQ$1-1)))/100))),"")</f>
        <v/>
      </c>
      <c r="AR18" t="str" cm="1">
        <f t="array" ref="AR18">IFERROR(IF($E18&lt;44348,"",IF(INDEX(Raw_매출!$B$2:$BI$155,MATCH($A18,Raw_매출!$A$2:$A$155,0),MATCH(EDATE($E18,AR$1-1),Raw_매출!$B$1:$BI$1,0))=0,"",INDEX(Raw_매출!$B$2:$BI$155,MATCH($A18,Raw_매출!$A$2:$A$155,0),MATCH(EDATE($E18,AR$1-1),Raw_매출!$B$1:$BI$1,0))/(INDEX(요약_월별시즈널리티!$F$7:$F$18,MONTH(EDATE($E18,AR$1-1)))/100))),"")</f>
        <v/>
      </c>
      <c r="AS18" t="str" cm="1">
        <f t="array" ref="AS18">IFERROR(IF($E18&lt;44348,"",IF(INDEX(Raw_매출!$B$2:$BI$155,MATCH($A18,Raw_매출!$A$2:$A$155,0),MATCH(EDATE($E18,AS$1-1),Raw_매출!$B$1:$BI$1,0))=0,"",INDEX(Raw_매출!$B$2:$BI$155,MATCH($A18,Raw_매출!$A$2:$A$155,0),MATCH(EDATE($E18,AS$1-1),Raw_매출!$B$1:$BI$1,0))/(INDEX(요약_월별시즈널리티!$F$7:$F$18,MONTH(EDATE($E18,AS$1-1)))/100))),"")</f>
        <v/>
      </c>
      <c r="AT18" t="str" cm="1">
        <f t="array" ref="AT18">IFERROR(IF($E18&lt;44348,"",IF(INDEX(Raw_매출!$B$2:$BI$155,MATCH($A18,Raw_매출!$A$2:$A$155,0),MATCH(EDATE($E18,AT$1-1),Raw_매출!$B$1:$BI$1,0))=0,"",INDEX(Raw_매출!$B$2:$BI$155,MATCH($A18,Raw_매출!$A$2:$A$155,0),MATCH(EDATE($E18,AT$1-1),Raw_매출!$B$1:$BI$1,0))/(INDEX(요약_월별시즈널리티!$F$7:$F$18,MONTH(EDATE($E18,AT$1-1)))/100))),"")</f>
        <v/>
      </c>
      <c r="AU18" t="str" cm="1">
        <f t="array" ref="AU18">IFERROR(IF($E18&lt;44348,"",IF(INDEX(Raw_매출!$B$2:$BI$155,MATCH($A18,Raw_매출!$A$2:$A$155,0),MATCH(EDATE($E18,AU$1-1),Raw_매출!$B$1:$BI$1,0))=0,"",INDEX(Raw_매출!$B$2:$BI$155,MATCH($A18,Raw_매출!$A$2:$A$155,0),MATCH(EDATE($E18,AU$1-1),Raw_매출!$B$1:$BI$1,0))/(INDEX(요약_월별시즈널리티!$F$7:$F$18,MONTH(EDATE($E18,AU$1-1)))/100))),"")</f>
        <v/>
      </c>
      <c r="AV18" t="str" cm="1">
        <f t="array" ref="AV18">IFERROR(IF($E18&lt;44348,"",IF(INDEX(Raw_매출!$B$2:$BI$155,MATCH($A18,Raw_매출!$A$2:$A$155,0),MATCH(EDATE($E18,AV$1-1),Raw_매출!$B$1:$BI$1,0))=0,"",INDEX(Raw_매출!$B$2:$BI$155,MATCH($A18,Raw_매출!$A$2:$A$155,0),MATCH(EDATE($E18,AV$1-1),Raw_매출!$B$1:$BI$1,0))/(INDEX(요약_월별시즈널리티!$F$7:$F$18,MONTH(EDATE($E18,AV$1-1)))/100))),"")</f>
        <v/>
      </c>
      <c r="AW18" t="str" cm="1">
        <f t="array" ref="AW18">IFERROR(IF($E18&lt;44348,"",IF(INDEX(Raw_매출!$B$2:$BI$155,MATCH($A18,Raw_매출!$A$2:$A$155,0),MATCH(EDATE($E18,AW$1-1),Raw_매출!$B$1:$BI$1,0))=0,"",INDEX(Raw_매출!$B$2:$BI$155,MATCH($A18,Raw_매출!$A$2:$A$155,0),MATCH(EDATE($E18,AW$1-1),Raw_매출!$B$1:$BI$1,0))/(INDEX(요약_월별시즈널리티!$F$7:$F$18,MONTH(EDATE($E18,AW$1-1)))/100))),"")</f>
        <v/>
      </c>
      <c r="AX18" t="str" cm="1">
        <f t="array" ref="AX18">IFERROR(IF($E18&lt;44348,"",IF(INDEX(Raw_매출!$B$2:$BI$155,MATCH($A18,Raw_매출!$A$2:$A$155,0),MATCH(EDATE($E18,AX$1-1),Raw_매출!$B$1:$BI$1,0))=0,"",INDEX(Raw_매출!$B$2:$BI$155,MATCH($A18,Raw_매출!$A$2:$A$155,0),MATCH(EDATE($E18,AX$1-1),Raw_매출!$B$1:$BI$1,0))/(INDEX(요약_월별시즈널리티!$F$7:$F$18,MONTH(EDATE($E18,AX$1-1)))/100))),"")</f>
        <v/>
      </c>
      <c r="AY18" t="str" cm="1">
        <f t="array" ref="AY18">IFERROR(IF($E18&lt;44348,"",IF(INDEX(Raw_매출!$B$2:$BI$155,MATCH($A18,Raw_매출!$A$2:$A$155,0),MATCH(EDATE($E18,AY$1-1),Raw_매출!$B$1:$BI$1,0))=0,"",INDEX(Raw_매출!$B$2:$BI$155,MATCH($A18,Raw_매출!$A$2:$A$155,0),MATCH(EDATE($E18,AY$1-1),Raw_매출!$B$1:$BI$1,0))/(INDEX(요약_월별시즈널리티!$F$7:$F$18,MONTH(EDATE($E18,AY$1-1)))/100))),"")</f>
        <v/>
      </c>
      <c r="AZ18" t="str" cm="1">
        <f t="array" ref="AZ18">IFERROR(IF($E18&lt;44348,"",IF(INDEX(Raw_매출!$B$2:$BI$155,MATCH($A18,Raw_매출!$A$2:$A$155,0),MATCH(EDATE($E18,AZ$1-1),Raw_매출!$B$1:$BI$1,0))=0,"",INDEX(Raw_매출!$B$2:$BI$155,MATCH($A18,Raw_매출!$A$2:$A$155,0),MATCH(EDATE($E18,AZ$1-1),Raw_매출!$B$1:$BI$1,0))/(INDEX(요약_월별시즈널리티!$F$7:$F$18,MONTH(EDATE($E18,AZ$1-1)))/100))),"")</f>
        <v/>
      </c>
      <c r="BA18" t="str" cm="1">
        <f t="array" ref="BA18">IFERROR(IF($E18&lt;44348,"",IF(INDEX(Raw_매출!$B$2:$BI$155,MATCH($A18,Raw_매출!$A$2:$A$155,0),MATCH(EDATE($E18,BA$1-1),Raw_매출!$B$1:$BI$1,0))=0,"",INDEX(Raw_매출!$B$2:$BI$155,MATCH($A18,Raw_매출!$A$2:$A$155,0),MATCH(EDATE($E18,BA$1-1),Raw_매출!$B$1:$BI$1,0))/(INDEX(요약_월별시즈널리티!$F$7:$F$18,MONTH(EDATE($E18,BA$1-1)))/100))),"")</f>
        <v/>
      </c>
      <c r="BB18" t="str" cm="1">
        <f t="array" ref="BB18">IFERROR(IF($E18&lt;44348,"",IF(INDEX(Raw_매출!$B$2:$BI$155,MATCH($A18,Raw_매출!$A$2:$A$155,0),MATCH(EDATE($E18,BB$1-1),Raw_매출!$B$1:$BI$1,0))=0,"",INDEX(Raw_매출!$B$2:$BI$155,MATCH($A18,Raw_매출!$A$2:$A$155,0),MATCH(EDATE($E18,BB$1-1),Raw_매출!$B$1:$BI$1,0))/(INDEX(요약_월별시즈널리티!$F$7:$F$18,MONTH(EDATE($E18,BB$1-1)))/100))),"")</f>
        <v/>
      </c>
      <c r="BC18" t="str" cm="1">
        <f t="array" ref="BC18">IFERROR(IF($E18&lt;44348,"",IF(INDEX(Raw_매출!$B$2:$BI$155,MATCH($A18,Raw_매출!$A$2:$A$155,0),MATCH(EDATE($E18,BC$1-1),Raw_매출!$B$1:$BI$1,0))=0,"",INDEX(Raw_매출!$B$2:$BI$155,MATCH($A18,Raw_매출!$A$2:$A$155,0),MATCH(EDATE($E18,BC$1-1),Raw_매출!$B$1:$BI$1,0))/(INDEX(요약_월별시즈널리티!$F$7:$F$18,MONTH(EDATE($E18,BC$1-1)))/100))),"")</f>
        <v/>
      </c>
      <c r="BD18" t="str" cm="1">
        <f t="array" ref="BD18">IFERROR(IF($E18&lt;44348,"",IF(INDEX(Raw_매출!$B$2:$BI$155,MATCH($A18,Raw_매출!$A$2:$A$155,0),MATCH(EDATE($E18,BD$1-1),Raw_매출!$B$1:$BI$1,0))=0,"",INDEX(Raw_매출!$B$2:$BI$155,MATCH($A18,Raw_매출!$A$2:$A$155,0),MATCH(EDATE($E18,BD$1-1),Raw_매출!$B$1:$BI$1,0))/(INDEX(요약_월별시즈널리티!$F$7:$F$18,MONTH(EDATE($E18,BD$1-1)))/100))),"")</f>
        <v/>
      </c>
      <c r="BE18" t="str" cm="1">
        <f t="array" ref="BE18">IFERROR(IF($E18&lt;44348,"",IF(INDEX(Raw_매출!$B$2:$BI$155,MATCH($A18,Raw_매출!$A$2:$A$155,0),MATCH(EDATE($E18,BE$1-1),Raw_매출!$B$1:$BI$1,0))=0,"",INDEX(Raw_매출!$B$2:$BI$155,MATCH($A18,Raw_매출!$A$2:$A$155,0),MATCH(EDATE($E18,BE$1-1),Raw_매출!$B$1:$BI$1,0))/(INDEX(요약_월별시즈널리티!$F$7:$F$18,MONTH(EDATE($E18,BE$1-1)))/100))),"")</f>
        <v/>
      </c>
      <c r="BF18" t="str" cm="1">
        <f t="array" ref="BF18">IFERROR(IF($E18&lt;44348,"",IF(INDEX(Raw_매출!$B$2:$BI$155,MATCH($A18,Raw_매출!$A$2:$A$155,0),MATCH(EDATE($E18,BF$1-1),Raw_매출!$B$1:$BI$1,0))=0,"",INDEX(Raw_매출!$B$2:$BI$155,MATCH($A18,Raw_매출!$A$2:$A$155,0),MATCH(EDATE($E18,BF$1-1),Raw_매출!$B$1:$BI$1,0))/(INDEX(요약_월별시즈널리티!$F$7:$F$18,MONTH(EDATE($E18,BF$1-1)))/100))),"")</f>
        <v/>
      </c>
      <c r="BG18" t="str" cm="1">
        <f t="array" ref="BG18">IFERROR(IF($E18&lt;44348,"",IF(INDEX(Raw_매출!$B$2:$BI$155,MATCH($A18,Raw_매출!$A$2:$A$155,0),MATCH(EDATE($E18,BG$1-1),Raw_매출!$B$1:$BI$1,0))=0,"",INDEX(Raw_매출!$B$2:$BI$155,MATCH($A18,Raw_매출!$A$2:$A$155,0),MATCH(EDATE($E18,BG$1-1),Raw_매출!$B$1:$BI$1,0))/(INDEX(요약_월별시즈널리티!$F$7:$F$18,MONTH(EDATE($E18,BG$1-1)))/100))),"")</f>
        <v/>
      </c>
      <c r="BH18" t="str" cm="1">
        <f t="array" ref="BH18">IFERROR(IF($E18&lt;44348,"",IF(INDEX(Raw_매출!$B$2:$BI$155,MATCH($A18,Raw_매출!$A$2:$A$155,0),MATCH(EDATE($E18,BH$1-1),Raw_매출!$B$1:$BI$1,0))=0,"",INDEX(Raw_매출!$B$2:$BI$155,MATCH($A18,Raw_매출!$A$2:$A$155,0),MATCH(EDATE($E18,BH$1-1),Raw_매출!$B$1:$BI$1,0))/(INDEX(요약_월별시즈널리티!$F$7:$F$18,MONTH(EDATE($E18,BH$1-1)))/100))),"")</f>
        <v/>
      </c>
      <c r="BI18" t="str" cm="1">
        <f t="array" ref="BI18">IFERROR(IF($E18&lt;44348,"",IF(INDEX(Raw_매출!$B$2:$BI$155,MATCH($A18,Raw_매출!$A$2:$A$155,0),MATCH(EDATE($E18,BI$1-1),Raw_매출!$B$1:$BI$1,0))=0,"",INDEX(Raw_매출!$B$2:$BI$155,MATCH($A18,Raw_매출!$A$2:$A$155,0),MATCH(EDATE($E18,BI$1-1),Raw_매출!$B$1:$BI$1,0))/(INDEX(요약_월별시즈널리티!$F$7:$F$18,MONTH(EDATE($E18,BI$1-1)))/100))),"")</f>
        <v/>
      </c>
      <c r="BJ18" t="str" cm="1">
        <f t="array" ref="BJ18">IFERROR(IF($E18&lt;44348,"",IF(INDEX(Raw_매출!$B$2:$BI$155,MATCH($A18,Raw_매출!$A$2:$A$155,0),MATCH(EDATE($E18,BJ$1-1),Raw_매출!$B$1:$BI$1,0))=0,"",INDEX(Raw_매출!$B$2:$BI$155,MATCH($A18,Raw_매출!$A$2:$A$155,0),MATCH(EDATE($E18,BJ$1-1),Raw_매출!$B$1:$BI$1,0))/(INDEX(요약_월별시즈널리티!$F$7:$F$18,MONTH(EDATE($E18,BJ$1-1)))/100))),"")</f>
        <v/>
      </c>
      <c r="BK18" t="str" cm="1">
        <f t="array" ref="BK18">IFERROR(IF($E18&lt;44348,"",IF(INDEX(Raw_매출!$B$2:$BI$155,MATCH($A18,Raw_매출!$A$2:$A$155,0),MATCH(EDATE($E18,BK$1-1),Raw_매출!$B$1:$BI$1,0))=0,"",INDEX(Raw_매출!$B$2:$BI$155,MATCH($A18,Raw_매출!$A$2:$A$155,0),MATCH(EDATE($E18,BK$1-1),Raw_매출!$B$1:$BI$1,0))/(INDEX(요약_월별시즈널리티!$F$7:$F$18,MONTH(EDATE($E18,BK$1-1)))/100))),"")</f>
        <v/>
      </c>
      <c r="BL18" t="str" cm="1">
        <f t="array" ref="BL18">IFERROR(IF($E18&lt;44348,"",IF(INDEX(Raw_매출!$B$2:$BI$155,MATCH($A18,Raw_매출!$A$2:$A$155,0),MATCH(EDATE($E18,BL$1-1),Raw_매출!$B$1:$BI$1,0))=0,"",INDEX(Raw_매출!$B$2:$BI$155,MATCH($A18,Raw_매출!$A$2:$A$155,0),MATCH(EDATE($E18,BL$1-1),Raw_매출!$B$1:$BI$1,0))/(INDEX(요약_월별시즈널리티!$F$7:$F$18,MONTH(EDATE($E18,BL$1-1)))/100))),"")</f>
        <v/>
      </c>
      <c r="BM18" t="str" cm="1">
        <f t="array" ref="BM18">IFERROR(IF($E18&lt;44348,"",IF(INDEX(Raw_매출!$B$2:$BI$155,MATCH($A18,Raw_매출!$A$2:$A$155,0),MATCH(EDATE($E18,BM$1-1),Raw_매출!$B$1:$BI$1,0))=0,"",INDEX(Raw_매출!$B$2:$BI$155,MATCH($A18,Raw_매출!$A$2:$A$155,0),MATCH(EDATE($E18,BM$1-1),Raw_매출!$B$1:$BI$1,0))/(INDEX(요약_월별시즈널리티!$F$7:$F$18,MONTH(EDATE($E18,BM$1-1)))/100))),"")</f>
        <v/>
      </c>
      <c r="BN18" t="str" cm="1">
        <f t="array" ref="BN18">IFERROR(IF($E18&lt;44348,"",IF(INDEX(Raw_매출!$B$2:$BI$155,MATCH($A18,Raw_매출!$A$2:$A$155,0),MATCH(EDATE($E18,BN$1-1),Raw_매출!$B$1:$BI$1,0))=0,"",INDEX(Raw_매출!$B$2:$BI$155,MATCH($A18,Raw_매출!$A$2:$A$155,0),MATCH(EDATE($E18,BN$1-1),Raw_매출!$B$1:$BI$1,0))/(INDEX(요약_월별시즈널리티!$F$7:$F$18,MONTH(EDATE($E18,BN$1-1)))/100))),"")</f>
        <v/>
      </c>
    </row>
    <row r="19" spans="1:66" x14ac:dyDescent="0.4">
      <c r="A19" t="str">
        <f>세팅!A20</f>
        <v>(1004) #서울대입구점</v>
      </c>
      <c r="B19" t="str">
        <f>세팅!B20</f>
        <v>150-1</v>
      </c>
      <c r="C19">
        <f t="shared" si="0"/>
        <v>1</v>
      </c>
      <c r="D19" t="str">
        <f t="shared" si="1"/>
        <v>1</v>
      </c>
      <c r="E19" s="1">
        <f>세팅!D20</f>
        <v>43862</v>
      </c>
      <c r="F19" t="str">
        <f t="shared" si="2"/>
        <v/>
      </c>
      <c r="G19" t="str" cm="1">
        <f t="array" ref="G19">IFERROR(IF($E19&lt;44348,"",IF(INDEX(Raw_매출!$B$2:$BI$155,MATCH($A19,Raw_매출!$A$2:$A$155,0),MATCH(EDATE($E19,G$1-1),Raw_매출!$B$1:$BI$1,0))=0,"",INDEX(Raw_매출!$B$2:$BI$155,MATCH($A19,Raw_매출!$A$2:$A$155,0),MATCH(EDATE($E19,G$1-1),Raw_매출!$B$1:$BI$1,0))/(INDEX(요약_월별시즈널리티!$F$7:$F$18,MONTH(EDATE($E19,G$1-1)))/100))),"")</f>
        <v/>
      </c>
      <c r="H19" t="str" cm="1">
        <f t="array" ref="H19">IFERROR(IF($E19&lt;44348,"",IF(INDEX(Raw_매출!$B$2:$BI$155,MATCH($A19,Raw_매출!$A$2:$A$155,0),MATCH(EDATE($E19,H$1-1),Raw_매출!$B$1:$BI$1,0))=0,"",INDEX(Raw_매출!$B$2:$BI$155,MATCH($A19,Raw_매출!$A$2:$A$155,0),MATCH(EDATE($E19,H$1-1),Raw_매출!$B$1:$BI$1,0))/(INDEX(요약_월별시즈널리티!$F$7:$F$18,MONTH(EDATE($E19,H$1-1)))/100))),"")</f>
        <v/>
      </c>
      <c r="I19" t="str" cm="1">
        <f t="array" ref="I19">IFERROR(IF($E19&lt;44348,"",IF(INDEX(Raw_매출!$B$2:$BI$155,MATCH($A19,Raw_매출!$A$2:$A$155,0),MATCH(EDATE($E19,I$1-1),Raw_매출!$B$1:$BI$1,0))=0,"",INDEX(Raw_매출!$B$2:$BI$155,MATCH($A19,Raw_매출!$A$2:$A$155,0),MATCH(EDATE($E19,I$1-1),Raw_매출!$B$1:$BI$1,0))/(INDEX(요약_월별시즈널리티!$F$7:$F$18,MONTH(EDATE($E19,I$1-1)))/100))),"")</f>
        <v/>
      </c>
      <c r="J19" s="30" t="str" cm="1">
        <f t="array" ref="J19">IFERROR(IF($E19&lt;44348,"",IF(INDEX(Raw_매출!$B$2:$BI$155,MATCH($A19,Raw_매출!$A$2:$A$155,0),MATCH(EDATE($E19,J$1-1),Raw_매출!$B$1:$BI$1,0))=0,"",INDEX(Raw_매출!$B$2:$BI$155,MATCH($A19,Raw_매출!$A$2:$A$155,0),MATCH(EDATE($E19,J$1-1),Raw_매출!$B$1:$BI$1,0))/(INDEX(요약_월별시즈널리티!$F$7:$F$18,MONTH(EDATE($E19,J$1-1)))/100))),"")</f>
        <v/>
      </c>
      <c r="K19" s="30" t="str" cm="1">
        <f t="array" ref="K19">IFERROR(IF($E19&lt;44348,"",IF(INDEX(Raw_매출!$B$2:$BI$155,MATCH($A19,Raw_매출!$A$2:$A$155,0),MATCH(EDATE($E19,K$1-1),Raw_매출!$B$1:$BI$1,0))=0,"",INDEX(Raw_매출!$B$2:$BI$155,MATCH($A19,Raw_매출!$A$2:$A$155,0),MATCH(EDATE($E19,K$1-1),Raw_매출!$B$1:$BI$1,0))/(INDEX(요약_월별시즈널리티!$F$7:$F$18,MONTH(EDATE($E19,K$1-1)))/100))),"")</f>
        <v/>
      </c>
      <c r="L19" s="30" t="str" cm="1">
        <f t="array" ref="L19">IFERROR(IF($E19&lt;44348,"",IF(INDEX(Raw_매출!$B$2:$BI$155,MATCH($A19,Raw_매출!$A$2:$A$155,0),MATCH(EDATE($E19,L$1-1),Raw_매출!$B$1:$BI$1,0))=0,"",INDEX(Raw_매출!$B$2:$BI$155,MATCH($A19,Raw_매출!$A$2:$A$155,0),MATCH(EDATE($E19,L$1-1),Raw_매출!$B$1:$BI$1,0))/(INDEX(요약_월별시즈널리티!$F$7:$F$18,MONTH(EDATE($E19,L$1-1)))/100))),"")</f>
        <v/>
      </c>
      <c r="M19" s="30" t="str" cm="1">
        <f t="array" ref="M19">IFERROR(IF($E19&lt;44348,"",IF(INDEX(Raw_매출!$B$2:$BI$155,MATCH($A19,Raw_매출!$A$2:$A$155,0),MATCH(EDATE($E19,M$1-1),Raw_매출!$B$1:$BI$1,0))=0,"",INDEX(Raw_매출!$B$2:$BI$155,MATCH($A19,Raw_매출!$A$2:$A$155,0),MATCH(EDATE($E19,M$1-1),Raw_매출!$B$1:$BI$1,0))/(INDEX(요약_월별시즈널리티!$F$7:$F$18,MONTH(EDATE($E19,M$1-1)))/100))),"")</f>
        <v/>
      </c>
      <c r="N19" s="30" t="str" cm="1">
        <f t="array" ref="N19">IFERROR(IF($E19&lt;44348,"",IF(INDEX(Raw_매출!$B$2:$BI$155,MATCH($A19,Raw_매출!$A$2:$A$155,0),MATCH(EDATE($E19,N$1-1),Raw_매출!$B$1:$BI$1,0))=0,"",INDEX(Raw_매출!$B$2:$BI$155,MATCH($A19,Raw_매출!$A$2:$A$155,0),MATCH(EDATE($E19,N$1-1),Raw_매출!$B$1:$BI$1,0))/(INDEX(요약_월별시즈널리티!$F$7:$F$18,MONTH(EDATE($E19,N$1-1)))/100))),"")</f>
        <v/>
      </c>
      <c r="O19" s="30" t="str" cm="1">
        <f t="array" ref="O19">IFERROR(IF($E19&lt;44348,"",IF(INDEX(Raw_매출!$B$2:$BI$155,MATCH($A19,Raw_매출!$A$2:$A$155,0),MATCH(EDATE($E19,O$1-1),Raw_매출!$B$1:$BI$1,0))=0,"",INDEX(Raw_매출!$B$2:$BI$155,MATCH($A19,Raw_매출!$A$2:$A$155,0),MATCH(EDATE($E19,O$1-1),Raw_매출!$B$1:$BI$1,0))/(INDEX(요약_월별시즈널리티!$F$7:$F$18,MONTH(EDATE($E19,O$1-1)))/100))),"")</f>
        <v/>
      </c>
      <c r="P19" t="str" cm="1">
        <f t="array" ref="P19">IFERROR(IF($E19&lt;44348,"",IF(INDEX(Raw_매출!$B$2:$BI$155,MATCH($A19,Raw_매출!$A$2:$A$155,0),MATCH(EDATE($E19,P$1-1),Raw_매출!$B$1:$BI$1,0))=0,"",INDEX(Raw_매출!$B$2:$BI$155,MATCH($A19,Raw_매출!$A$2:$A$155,0),MATCH(EDATE($E19,P$1-1),Raw_매출!$B$1:$BI$1,0))/(INDEX(요약_월별시즈널리티!$F$7:$F$18,MONTH(EDATE($E19,P$1-1)))/100))),"")</f>
        <v/>
      </c>
      <c r="Q19" s="1"/>
      <c r="R19" t="str" cm="1">
        <f t="array" ref="R19">IFERROR(IF($E19&lt;44348,"",IF(INDEX(Raw_매출!$B$2:$BI$155,MATCH($A19,Raw_매출!$A$2:$A$155,0),MATCH(EDATE($E19,R$1-1),Raw_매출!$B$1:$BI$1,0))=0,"",INDEX(Raw_매출!$B$2:$BI$155,MATCH($A19,Raw_매출!$A$2:$A$155,0),MATCH(EDATE($E19,R$1-1),Raw_매출!$B$1:$BI$1,0))/(INDEX(요약_월별시즈널리티!$F$7:$F$18,MONTH(EDATE($E19,R$1-1)))/100))),"")</f>
        <v/>
      </c>
      <c r="S19" t="str" cm="1">
        <f t="array" ref="S19">IFERROR(IF($E19&lt;44348,"",IF(INDEX(Raw_매출!$B$2:$BI$155,MATCH($A19,Raw_매출!$A$2:$A$155,0),MATCH(EDATE($E19,S$1-1),Raw_매출!$B$1:$BI$1,0))=0,"",INDEX(Raw_매출!$B$2:$BI$155,MATCH($A19,Raw_매출!$A$2:$A$155,0),MATCH(EDATE($E19,S$1-1),Raw_매출!$B$1:$BI$1,0))/(INDEX(요약_월별시즈널리티!$F$7:$F$18,MONTH(EDATE($E19,S$1-1)))/100))),"")</f>
        <v/>
      </c>
      <c r="T19" t="str" cm="1">
        <f t="array" ref="T19">IFERROR(IF($E19&lt;44348,"",IF(INDEX(Raw_매출!$B$2:$BI$155,MATCH($A19,Raw_매출!$A$2:$A$155,0),MATCH(EDATE($E19,T$1-1),Raw_매출!$B$1:$BI$1,0))=0,"",INDEX(Raw_매출!$B$2:$BI$155,MATCH($A19,Raw_매출!$A$2:$A$155,0),MATCH(EDATE($E19,T$1-1),Raw_매출!$B$1:$BI$1,0))/(INDEX(요약_월별시즈널리티!$F$7:$F$18,MONTH(EDATE($E19,T$1-1)))/100))),"")</f>
        <v/>
      </c>
      <c r="U19" t="str" cm="1">
        <f t="array" ref="U19">IFERROR(IF($E19&lt;44348,"",IF(INDEX(Raw_매출!$B$2:$BI$155,MATCH($A19,Raw_매출!$A$2:$A$155,0),MATCH(EDATE($E19,U$1-1),Raw_매출!$B$1:$BI$1,0))=0,"",INDEX(Raw_매출!$B$2:$BI$155,MATCH($A19,Raw_매출!$A$2:$A$155,0),MATCH(EDATE($E19,U$1-1),Raw_매출!$B$1:$BI$1,0))/(INDEX(요약_월별시즈널리티!$F$7:$F$18,MONTH(EDATE($E19,U$1-1)))/100))),"")</f>
        <v/>
      </c>
      <c r="V19" t="str" cm="1">
        <f t="array" ref="V19">IFERROR(IF($E19&lt;44348,"",IF(INDEX(Raw_매출!$B$2:$BI$155,MATCH($A19,Raw_매출!$A$2:$A$155,0),MATCH(EDATE($E19,V$1-1),Raw_매출!$B$1:$BI$1,0))=0,"",INDEX(Raw_매출!$B$2:$BI$155,MATCH($A19,Raw_매출!$A$2:$A$155,0),MATCH(EDATE($E19,V$1-1),Raw_매출!$B$1:$BI$1,0))/(INDEX(요약_월별시즈널리티!$F$7:$F$18,MONTH(EDATE($E19,V$1-1)))/100))),"")</f>
        <v/>
      </c>
      <c r="W19" t="str" cm="1">
        <f t="array" ref="W19">IFERROR(IF($E19&lt;44348,"",IF(INDEX(Raw_매출!$B$2:$BI$155,MATCH($A19,Raw_매출!$A$2:$A$155,0),MATCH(EDATE($E19,W$1-1),Raw_매출!$B$1:$BI$1,0))=0,"",INDEX(Raw_매출!$B$2:$BI$155,MATCH($A19,Raw_매출!$A$2:$A$155,0),MATCH(EDATE($E19,W$1-1),Raw_매출!$B$1:$BI$1,0))/(INDEX(요약_월별시즈널리티!$F$7:$F$18,MONTH(EDATE($E19,W$1-1)))/100))),"")</f>
        <v/>
      </c>
      <c r="X19" t="str" cm="1">
        <f t="array" ref="X19">IFERROR(IF($E19&lt;44348,"",IF(INDEX(Raw_매출!$B$2:$BI$155,MATCH($A19,Raw_매출!$A$2:$A$155,0),MATCH(EDATE($E19,X$1-1),Raw_매출!$B$1:$BI$1,0))=0,"",INDEX(Raw_매출!$B$2:$BI$155,MATCH($A19,Raw_매출!$A$2:$A$155,0),MATCH(EDATE($E19,X$1-1),Raw_매출!$B$1:$BI$1,0))/(INDEX(요약_월별시즈널리티!$F$7:$F$18,MONTH(EDATE($E19,X$1-1)))/100))),"")</f>
        <v/>
      </c>
      <c r="Y19" t="str" cm="1">
        <f t="array" ref="Y19">IFERROR(IF($E19&lt;44348,"",IF(INDEX(Raw_매출!$B$2:$BI$155,MATCH($A19,Raw_매출!$A$2:$A$155,0),MATCH(EDATE($E19,Y$1-1),Raw_매출!$B$1:$BI$1,0))=0,"",INDEX(Raw_매출!$B$2:$BI$155,MATCH($A19,Raw_매출!$A$2:$A$155,0),MATCH(EDATE($E19,Y$1-1),Raw_매출!$B$1:$BI$1,0))/(INDEX(요약_월별시즈널리티!$F$7:$F$18,MONTH(EDATE($E19,Y$1-1)))/100))),"")</f>
        <v/>
      </c>
      <c r="Z19" t="str" cm="1">
        <f t="array" ref="Z19">IFERROR(IF($E19&lt;44348,"",IF(INDEX(Raw_매출!$B$2:$BI$155,MATCH($A19,Raw_매출!$A$2:$A$155,0),MATCH(EDATE($E19,Z$1-1),Raw_매출!$B$1:$BI$1,0))=0,"",INDEX(Raw_매출!$B$2:$BI$155,MATCH($A19,Raw_매출!$A$2:$A$155,0),MATCH(EDATE($E19,Z$1-1),Raw_매출!$B$1:$BI$1,0))/(INDEX(요약_월별시즈널리티!$F$7:$F$18,MONTH(EDATE($E19,Z$1-1)))/100))),"")</f>
        <v/>
      </c>
      <c r="AA19" t="str" cm="1">
        <f t="array" ref="AA19">IFERROR(IF($E19&lt;44348,"",IF(INDEX(Raw_매출!$B$2:$BI$155,MATCH($A19,Raw_매출!$A$2:$A$155,0),MATCH(EDATE($E19,AA$1-1),Raw_매출!$B$1:$BI$1,0))=0,"",INDEX(Raw_매출!$B$2:$BI$155,MATCH($A19,Raw_매출!$A$2:$A$155,0),MATCH(EDATE($E19,AA$1-1),Raw_매출!$B$1:$BI$1,0))/(INDEX(요약_월별시즈널리티!$F$7:$F$18,MONTH(EDATE($E19,AA$1-1)))/100))),"")</f>
        <v/>
      </c>
      <c r="AB19" t="str" cm="1">
        <f t="array" ref="AB19">IFERROR(IF($E19&lt;44348,"",IF(INDEX(Raw_매출!$B$2:$BI$155,MATCH($A19,Raw_매출!$A$2:$A$155,0),MATCH(EDATE($E19,AB$1-1),Raw_매출!$B$1:$BI$1,0))=0,"",INDEX(Raw_매출!$B$2:$BI$155,MATCH($A19,Raw_매출!$A$2:$A$155,0),MATCH(EDATE($E19,AB$1-1),Raw_매출!$B$1:$BI$1,0))/(INDEX(요약_월별시즈널리티!$F$7:$F$18,MONTH(EDATE($E19,AB$1-1)))/100))),"")</f>
        <v/>
      </c>
      <c r="AC19" t="str" cm="1">
        <f t="array" ref="AC19">IFERROR(IF($E19&lt;44348,"",IF(INDEX(Raw_매출!$B$2:$BI$155,MATCH($A19,Raw_매출!$A$2:$A$155,0),MATCH(EDATE($E19,AC$1-1),Raw_매출!$B$1:$BI$1,0))=0,"",INDEX(Raw_매출!$B$2:$BI$155,MATCH($A19,Raw_매출!$A$2:$A$155,0),MATCH(EDATE($E19,AC$1-1),Raw_매출!$B$1:$BI$1,0))/(INDEX(요약_월별시즈널리티!$F$7:$F$18,MONTH(EDATE($E19,AC$1-1)))/100))),"")</f>
        <v/>
      </c>
      <c r="AD19" t="str" cm="1">
        <f t="array" ref="AD19">IFERROR(IF($E19&lt;44348,"",IF(INDEX(Raw_매출!$B$2:$BI$155,MATCH($A19,Raw_매출!$A$2:$A$155,0),MATCH(EDATE($E19,AD$1-1),Raw_매출!$B$1:$BI$1,0))=0,"",INDEX(Raw_매출!$B$2:$BI$155,MATCH($A19,Raw_매출!$A$2:$A$155,0),MATCH(EDATE($E19,AD$1-1),Raw_매출!$B$1:$BI$1,0))/(INDEX(요약_월별시즈널리티!$F$7:$F$18,MONTH(EDATE($E19,AD$1-1)))/100))),"")</f>
        <v/>
      </c>
      <c r="AE19" t="str" cm="1">
        <f t="array" ref="AE19">IFERROR(IF($E19&lt;44348,"",IF(INDEX(Raw_매출!$B$2:$BI$155,MATCH($A19,Raw_매출!$A$2:$A$155,0),MATCH(EDATE($E19,AE$1-1),Raw_매출!$B$1:$BI$1,0))=0,"",INDEX(Raw_매출!$B$2:$BI$155,MATCH($A19,Raw_매출!$A$2:$A$155,0),MATCH(EDATE($E19,AE$1-1),Raw_매출!$B$1:$BI$1,0))/(INDEX(요약_월별시즈널리티!$F$7:$F$18,MONTH(EDATE($E19,AE$1-1)))/100))),"")</f>
        <v/>
      </c>
      <c r="AF19" t="str" cm="1">
        <f t="array" ref="AF19">IFERROR(IF($E19&lt;44348,"",IF(INDEX(Raw_매출!$B$2:$BI$155,MATCH($A19,Raw_매출!$A$2:$A$155,0),MATCH(EDATE($E19,AF$1-1),Raw_매출!$B$1:$BI$1,0))=0,"",INDEX(Raw_매출!$B$2:$BI$155,MATCH($A19,Raw_매출!$A$2:$A$155,0),MATCH(EDATE($E19,AF$1-1),Raw_매출!$B$1:$BI$1,0))/(INDEX(요약_월별시즈널리티!$F$7:$F$18,MONTH(EDATE($E19,AF$1-1)))/100))),"")</f>
        <v/>
      </c>
      <c r="AG19" t="str" cm="1">
        <f t="array" ref="AG19">IFERROR(IF($E19&lt;44348,"",IF(INDEX(Raw_매출!$B$2:$BI$155,MATCH($A19,Raw_매출!$A$2:$A$155,0),MATCH(EDATE($E19,AG$1-1),Raw_매출!$B$1:$BI$1,0))=0,"",INDEX(Raw_매출!$B$2:$BI$155,MATCH($A19,Raw_매출!$A$2:$A$155,0),MATCH(EDATE($E19,AG$1-1),Raw_매출!$B$1:$BI$1,0))/(INDEX(요약_월별시즈널리티!$F$7:$F$18,MONTH(EDATE($E19,AG$1-1)))/100))),"")</f>
        <v/>
      </c>
      <c r="AH19" t="str" cm="1">
        <f t="array" ref="AH19">IFERROR(IF($E19&lt;44348,"",IF(INDEX(Raw_매출!$B$2:$BI$155,MATCH($A19,Raw_매출!$A$2:$A$155,0),MATCH(EDATE($E19,AH$1-1),Raw_매출!$B$1:$BI$1,0))=0,"",INDEX(Raw_매출!$B$2:$BI$155,MATCH($A19,Raw_매출!$A$2:$A$155,0),MATCH(EDATE($E19,AH$1-1),Raw_매출!$B$1:$BI$1,0))/(INDEX(요약_월별시즈널리티!$F$7:$F$18,MONTH(EDATE($E19,AH$1-1)))/100))),"")</f>
        <v/>
      </c>
      <c r="AI19" t="str" cm="1">
        <f t="array" ref="AI19">IFERROR(IF($E19&lt;44348,"",IF(INDEX(Raw_매출!$B$2:$BI$155,MATCH($A19,Raw_매출!$A$2:$A$155,0),MATCH(EDATE($E19,AI$1-1),Raw_매출!$B$1:$BI$1,0))=0,"",INDEX(Raw_매출!$B$2:$BI$155,MATCH($A19,Raw_매출!$A$2:$A$155,0),MATCH(EDATE($E19,AI$1-1),Raw_매출!$B$1:$BI$1,0))/(INDEX(요약_월별시즈널리티!$F$7:$F$18,MONTH(EDATE($E19,AI$1-1)))/100))),"")</f>
        <v/>
      </c>
      <c r="AJ19" t="str" cm="1">
        <f t="array" ref="AJ19">IFERROR(IF($E19&lt;44348,"",IF(INDEX(Raw_매출!$B$2:$BI$155,MATCH($A19,Raw_매출!$A$2:$A$155,0),MATCH(EDATE($E19,AJ$1-1),Raw_매출!$B$1:$BI$1,0))=0,"",INDEX(Raw_매출!$B$2:$BI$155,MATCH($A19,Raw_매출!$A$2:$A$155,0),MATCH(EDATE($E19,AJ$1-1),Raw_매출!$B$1:$BI$1,0))/(INDEX(요약_월별시즈널리티!$F$7:$F$18,MONTH(EDATE($E19,AJ$1-1)))/100))),"")</f>
        <v/>
      </c>
      <c r="AK19" t="str" cm="1">
        <f t="array" ref="AK19">IFERROR(IF($E19&lt;44348,"",IF(INDEX(Raw_매출!$B$2:$BI$155,MATCH($A19,Raw_매출!$A$2:$A$155,0),MATCH(EDATE($E19,AK$1-1),Raw_매출!$B$1:$BI$1,0))=0,"",INDEX(Raw_매출!$B$2:$BI$155,MATCH($A19,Raw_매출!$A$2:$A$155,0),MATCH(EDATE($E19,AK$1-1),Raw_매출!$B$1:$BI$1,0))/(INDEX(요약_월별시즈널리티!$F$7:$F$18,MONTH(EDATE($E19,AK$1-1)))/100))),"")</f>
        <v/>
      </c>
      <c r="AL19" t="str" cm="1">
        <f t="array" ref="AL19">IFERROR(IF($E19&lt;44348,"",IF(INDEX(Raw_매출!$B$2:$BI$155,MATCH($A19,Raw_매출!$A$2:$A$155,0),MATCH(EDATE($E19,AL$1-1),Raw_매출!$B$1:$BI$1,0))=0,"",INDEX(Raw_매출!$B$2:$BI$155,MATCH($A19,Raw_매출!$A$2:$A$155,0),MATCH(EDATE($E19,AL$1-1),Raw_매출!$B$1:$BI$1,0))/(INDEX(요약_월별시즈널리티!$F$7:$F$18,MONTH(EDATE($E19,AL$1-1)))/100))),"")</f>
        <v/>
      </c>
      <c r="AM19" t="str" cm="1">
        <f t="array" ref="AM19">IFERROR(IF($E19&lt;44348,"",IF(INDEX(Raw_매출!$B$2:$BI$155,MATCH($A19,Raw_매출!$A$2:$A$155,0),MATCH(EDATE($E19,AM$1-1),Raw_매출!$B$1:$BI$1,0))=0,"",INDEX(Raw_매출!$B$2:$BI$155,MATCH($A19,Raw_매출!$A$2:$A$155,0),MATCH(EDATE($E19,AM$1-1),Raw_매출!$B$1:$BI$1,0))/(INDEX(요약_월별시즈널리티!$F$7:$F$18,MONTH(EDATE($E19,AM$1-1)))/100))),"")</f>
        <v/>
      </c>
      <c r="AN19" t="str" cm="1">
        <f t="array" ref="AN19">IFERROR(IF($E19&lt;44348,"",IF(INDEX(Raw_매출!$B$2:$BI$155,MATCH($A19,Raw_매출!$A$2:$A$155,0),MATCH(EDATE($E19,AN$1-1),Raw_매출!$B$1:$BI$1,0))=0,"",INDEX(Raw_매출!$B$2:$BI$155,MATCH($A19,Raw_매출!$A$2:$A$155,0),MATCH(EDATE($E19,AN$1-1),Raw_매출!$B$1:$BI$1,0))/(INDEX(요약_월별시즈널리티!$F$7:$F$18,MONTH(EDATE($E19,AN$1-1)))/100))),"")</f>
        <v/>
      </c>
      <c r="AO19" t="str" cm="1">
        <f t="array" ref="AO19">IFERROR(IF($E19&lt;44348,"",IF(INDEX(Raw_매출!$B$2:$BI$155,MATCH($A19,Raw_매출!$A$2:$A$155,0),MATCH(EDATE($E19,AO$1-1),Raw_매출!$B$1:$BI$1,0))=0,"",INDEX(Raw_매출!$B$2:$BI$155,MATCH($A19,Raw_매출!$A$2:$A$155,0),MATCH(EDATE($E19,AO$1-1),Raw_매출!$B$1:$BI$1,0))/(INDEX(요약_월별시즈널리티!$F$7:$F$18,MONTH(EDATE($E19,AO$1-1)))/100))),"")</f>
        <v/>
      </c>
      <c r="AP19" t="str" cm="1">
        <f t="array" ref="AP19">IFERROR(IF($E19&lt;44348,"",IF(INDEX(Raw_매출!$B$2:$BI$155,MATCH($A19,Raw_매출!$A$2:$A$155,0),MATCH(EDATE($E19,AP$1-1),Raw_매출!$B$1:$BI$1,0))=0,"",INDEX(Raw_매출!$B$2:$BI$155,MATCH($A19,Raw_매출!$A$2:$A$155,0),MATCH(EDATE($E19,AP$1-1),Raw_매출!$B$1:$BI$1,0))/(INDEX(요약_월별시즈널리티!$F$7:$F$18,MONTH(EDATE($E19,AP$1-1)))/100))),"")</f>
        <v/>
      </c>
      <c r="AQ19" t="str" cm="1">
        <f t="array" ref="AQ19">IFERROR(IF($E19&lt;44348,"",IF(INDEX(Raw_매출!$B$2:$BI$155,MATCH($A19,Raw_매출!$A$2:$A$155,0),MATCH(EDATE($E19,AQ$1-1),Raw_매출!$B$1:$BI$1,0))=0,"",INDEX(Raw_매출!$B$2:$BI$155,MATCH($A19,Raw_매출!$A$2:$A$155,0),MATCH(EDATE($E19,AQ$1-1),Raw_매출!$B$1:$BI$1,0))/(INDEX(요약_월별시즈널리티!$F$7:$F$18,MONTH(EDATE($E19,AQ$1-1)))/100))),"")</f>
        <v/>
      </c>
      <c r="AR19" t="str" cm="1">
        <f t="array" ref="AR19">IFERROR(IF($E19&lt;44348,"",IF(INDEX(Raw_매출!$B$2:$BI$155,MATCH($A19,Raw_매출!$A$2:$A$155,0),MATCH(EDATE($E19,AR$1-1),Raw_매출!$B$1:$BI$1,0))=0,"",INDEX(Raw_매출!$B$2:$BI$155,MATCH($A19,Raw_매출!$A$2:$A$155,0),MATCH(EDATE($E19,AR$1-1),Raw_매출!$B$1:$BI$1,0))/(INDEX(요약_월별시즈널리티!$F$7:$F$18,MONTH(EDATE($E19,AR$1-1)))/100))),"")</f>
        <v/>
      </c>
      <c r="AS19" t="str" cm="1">
        <f t="array" ref="AS19">IFERROR(IF($E19&lt;44348,"",IF(INDEX(Raw_매출!$B$2:$BI$155,MATCH($A19,Raw_매출!$A$2:$A$155,0),MATCH(EDATE($E19,AS$1-1),Raw_매출!$B$1:$BI$1,0))=0,"",INDEX(Raw_매출!$B$2:$BI$155,MATCH($A19,Raw_매출!$A$2:$A$155,0),MATCH(EDATE($E19,AS$1-1),Raw_매출!$B$1:$BI$1,0))/(INDEX(요약_월별시즈널리티!$F$7:$F$18,MONTH(EDATE($E19,AS$1-1)))/100))),"")</f>
        <v/>
      </c>
      <c r="AT19" t="str" cm="1">
        <f t="array" ref="AT19">IFERROR(IF($E19&lt;44348,"",IF(INDEX(Raw_매출!$B$2:$BI$155,MATCH($A19,Raw_매출!$A$2:$A$155,0),MATCH(EDATE($E19,AT$1-1),Raw_매출!$B$1:$BI$1,0))=0,"",INDEX(Raw_매출!$B$2:$BI$155,MATCH($A19,Raw_매출!$A$2:$A$155,0),MATCH(EDATE($E19,AT$1-1),Raw_매출!$B$1:$BI$1,0))/(INDEX(요약_월별시즈널리티!$F$7:$F$18,MONTH(EDATE($E19,AT$1-1)))/100))),"")</f>
        <v/>
      </c>
      <c r="AU19" t="str" cm="1">
        <f t="array" ref="AU19">IFERROR(IF($E19&lt;44348,"",IF(INDEX(Raw_매출!$B$2:$BI$155,MATCH($A19,Raw_매출!$A$2:$A$155,0),MATCH(EDATE($E19,AU$1-1),Raw_매출!$B$1:$BI$1,0))=0,"",INDEX(Raw_매출!$B$2:$BI$155,MATCH($A19,Raw_매출!$A$2:$A$155,0),MATCH(EDATE($E19,AU$1-1),Raw_매출!$B$1:$BI$1,0))/(INDEX(요약_월별시즈널리티!$F$7:$F$18,MONTH(EDATE($E19,AU$1-1)))/100))),"")</f>
        <v/>
      </c>
      <c r="AV19" t="str" cm="1">
        <f t="array" ref="AV19">IFERROR(IF($E19&lt;44348,"",IF(INDEX(Raw_매출!$B$2:$BI$155,MATCH($A19,Raw_매출!$A$2:$A$155,0),MATCH(EDATE($E19,AV$1-1),Raw_매출!$B$1:$BI$1,0))=0,"",INDEX(Raw_매출!$B$2:$BI$155,MATCH($A19,Raw_매출!$A$2:$A$155,0),MATCH(EDATE($E19,AV$1-1),Raw_매출!$B$1:$BI$1,0))/(INDEX(요약_월별시즈널리티!$F$7:$F$18,MONTH(EDATE($E19,AV$1-1)))/100))),"")</f>
        <v/>
      </c>
      <c r="AW19" t="str" cm="1">
        <f t="array" ref="AW19">IFERROR(IF($E19&lt;44348,"",IF(INDEX(Raw_매출!$B$2:$BI$155,MATCH($A19,Raw_매출!$A$2:$A$155,0),MATCH(EDATE($E19,AW$1-1),Raw_매출!$B$1:$BI$1,0))=0,"",INDEX(Raw_매출!$B$2:$BI$155,MATCH($A19,Raw_매출!$A$2:$A$155,0),MATCH(EDATE($E19,AW$1-1),Raw_매출!$B$1:$BI$1,0))/(INDEX(요약_월별시즈널리티!$F$7:$F$18,MONTH(EDATE($E19,AW$1-1)))/100))),"")</f>
        <v/>
      </c>
      <c r="AX19" t="str" cm="1">
        <f t="array" ref="AX19">IFERROR(IF($E19&lt;44348,"",IF(INDEX(Raw_매출!$B$2:$BI$155,MATCH($A19,Raw_매출!$A$2:$A$155,0),MATCH(EDATE($E19,AX$1-1),Raw_매출!$B$1:$BI$1,0))=0,"",INDEX(Raw_매출!$B$2:$BI$155,MATCH($A19,Raw_매출!$A$2:$A$155,0),MATCH(EDATE($E19,AX$1-1),Raw_매출!$B$1:$BI$1,0))/(INDEX(요약_월별시즈널리티!$F$7:$F$18,MONTH(EDATE($E19,AX$1-1)))/100))),"")</f>
        <v/>
      </c>
      <c r="AY19" t="str" cm="1">
        <f t="array" ref="AY19">IFERROR(IF($E19&lt;44348,"",IF(INDEX(Raw_매출!$B$2:$BI$155,MATCH($A19,Raw_매출!$A$2:$A$155,0),MATCH(EDATE($E19,AY$1-1),Raw_매출!$B$1:$BI$1,0))=0,"",INDEX(Raw_매출!$B$2:$BI$155,MATCH($A19,Raw_매출!$A$2:$A$155,0),MATCH(EDATE($E19,AY$1-1),Raw_매출!$B$1:$BI$1,0))/(INDEX(요약_월별시즈널리티!$F$7:$F$18,MONTH(EDATE($E19,AY$1-1)))/100))),"")</f>
        <v/>
      </c>
      <c r="AZ19" t="str" cm="1">
        <f t="array" ref="AZ19">IFERROR(IF($E19&lt;44348,"",IF(INDEX(Raw_매출!$B$2:$BI$155,MATCH($A19,Raw_매출!$A$2:$A$155,0),MATCH(EDATE($E19,AZ$1-1),Raw_매출!$B$1:$BI$1,0))=0,"",INDEX(Raw_매출!$B$2:$BI$155,MATCH($A19,Raw_매출!$A$2:$A$155,0),MATCH(EDATE($E19,AZ$1-1),Raw_매출!$B$1:$BI$1,0))/(INDEX(요약_월별시즈널리티!$F$7:$F$18,MONTH(EDATE($E19,AZ$1-1)))/100))),"")</f>
        <v/>
      </c>
      <c r="BA19" t="str" cm="1">
        <f t="array" ref="BA19">IFERROR(IF($E19&lt;44348,"",IF(INDEX(Raw_매출!$B$2:$BI$155,MATCH($A19,Raw_매출!$A$2:$A$155,0),MATCH(EDATE($E19,BA$1-1),Raw_매출!$B$1:$BI$1,0))=0,"",INDEX(Raw_매출!$B$2:$BI$155,MATCH($A19,Raw_매출!$A$2:$A$155,0),MATCH(EDATE($E19,BA$1-1),Raw_매출!$B$1:$BI$1,0))/(INDEX(요약_월별시즈널리티!$F$7:$F$18,MONTH(EDATE($E19,BA$1-1)))/100))),"")</f>
        <v/>
      </c>
      <c r="BB19" t="str" cm="1">
        <f t="array" ref="BB19">IFERROR(IF($E19&lt;44348,"",IF(INDEX(Raw_매출!$B$2:$BI$155,MATCH($A19,Raw_매출!$A$2:$A$155,0),MATCH(EDATE($E19,BB$1-1),Raw_매출!$B$1:$BI$1,0))=0,"",INDEX(Raw_매출!$B$2:$BI$155,MATCH($A19,Raw_매출!$A$2:$A$155,0),MATCH(EDATE($E19,BB$1-1),Raw_매출!$B$1:$BI$1,0))/(INDEX(요약_월별시즈널리티!$F$7:$F$18,MONTH(EDATE($E19,BB$1-1)))/100))),"")</f>
        <v/>
      </c>
      <c r="BC19" t="str" cm="1">
        <f t="array" ref="BC19">IFERROR(IF($E19&lt;44348,"",IF(INDEX(Raw_매출!$B$2:$BI$155,MATCH($A19,Raw_매출!$A$2:$A$155,0),MATCH(EDATE($E19,BC$1-1),Raw_매출!$B$1:$BI$1,0))=0,"",INDEX(Raw_매출!$B$2:$BI$155,MATCH($A19,Raw_매출!$A$2:$A$155,0),MATCH(EDATE($E19,BC$1-1),Raw_매출!$B$1:$BI$1,0))/(INDEX(요약_월별시즈널리티!$F$7:$F$18,MONTH(EDATE($E19,BC$1-1)))/100))),"")</f>
        <v/>
      </c>
      <c r="BD19" t="str" cm="1">
        <f t="array" ref="BD19">IFERROR(IF($E19&lt;44348,"",IF(INDEX(Raw_매출!$B$2:$BI$155,MATCH($A19,Raw_매출!$A$2:$A$155,0),MATCH(EDATE($E19,BD$1-1),Raw_매출!$B$1:$BI$1,0))=0,"",INDEX(Raw_매출!$B$2:$BI$155,MATCH($A19,Raw_매출!$A$2:$A$155,0),MATCH(EDATE($E19,BD$1-1),Raw_매출!$B$1:$BI$1,0))/(INDEX(요약_월별시즈널리티!$F$7:$F$18,MONTH(EDATE($E19,BD$1-1)))/100))),"")</f>
        <v/>
      </c>
      <c r="BE19" t="str" cm="1">
        <f t="array" ref="BE19">IFERROR(IF($E19&lt;44348,"",IF(INDEX(Raw_매출!$B$2:$BI$155,MATCH($A19,Raw_매출!$A$2:$A$155,0),MATCH(EDATE($E19,BE$1-1),Raw_매출!$B$1:$BI$1,0))=0,"",INDEX(Raw_매출!$B$2:$BI$155,MATCH($A19,Raw_매출!$A$2:$A$155,0),MATCH(EDATE($E19,BE$1-1),Raw_매출!$B$1:$BI$1,0))/(INDEX(요약_월별시즈널리티!$F$7:$F$18,MONTH(EDATE($E19,BE$1-1)))/100))),"")</f>
        <v/>
      </c>
      <c r="BF19" t="str" cm="1">
        <f t="array" ref="BF19">IFERROR(IF($E19&lt;44348,"",IF(INDEX(Raw_매출!$B$2:$BI$155,MATCH($A19,Raw_매출!$A$2:$A$155,0),MATCH(EDATE($E19,BF$1-1),Raw_매출!$B$1:$BI$1,0))=0,"",INDEX(Raw_매출!$B$2:$BI$155,MATCH($A19,Raw_매출!$A$2:$A$155,0),MATCH(EDATE($E19,BF$1-1),Raw_매출!$B$1:$BI$1,0))/(INDEX(요약_월별시즈널리티!$F$7:$F$18,MONTH(EDATE($E19,BF$1-1)))/100))),"")</f>
        <v/>
      </c>
      <c r="BG19" t="str" cm="1">
        <f t="array" ref="BG19">IFERROR(IF($E19&lt;44348,"",IF(INDEX(Raw_매출!$B$2:$BI$155,MATCH($A19,Raw_매출!$A$2:$A$155,0),MATCH(EDATE($E19,BG$1-1),Raw_매출!$B$1:$BI$1,0))=0,"",INDEX(Raw_매출!$B$2:$BI$155,MATCH($A19,Raw_매출!$A$2:$A$155,0),MATCH(EDATE($E19,BG$1-1),Raw_매출!$B$1:$BI$1,0))/(INDEX(요약_월별시즈널리티!$F$7:$F$18,MONTH(EDATE($E19,BG$1-1)))/100))),"")</f>
        <v/>
      </c>
      <c r="BH19" t="str" cm="1">
        <f t="array" ref="BH19">IFERROR(IF($E19&lt;44348,"",IF(INDEX(Raw_매출!$B$2:$BI$155,MATCH($A19,Raw_매출!$A$2:$A$155,0),MATCH(EDATE($E19,BH$1-1),Raw_매출!$B$1:$BI$1,0))=0,"",INDEX(Raw_매출!$B$2:$BI$155,MATCH($A19,Raw_매출!$A$2:$A$155,0),MATCH(EDATE($E19,BH$1-1),Raw_매출!$B$1:$BI$1,0))/(INDEX(요약_월별시즈널리티!$F$7:$F$18,MONTH(EDATE($E19,BH$1-1)))/100))),"")</f>
        <v/>
      </c>
      <c r="BI19" t="str" cm="1">
        <f t="array" ref="BI19">IFERROR(IF($E19&lt;44348,"",IF(INDEX(Raw_매출!$B$2:$BI$155,MATCH($A19,Raw_매출!$A$2:$A$155,0),MATCH(EDATE($E19,BI$1-1),Raw_매출!$B$1:$BI$1,0))=0,"",INDEX(Raw_매출!$B$2:$BI$155,MATCH($A19,Raw_매출!$A$2:$A$155,0),MATCH(EDATE($E19,BI$1-1),Raw_매출!$B$1:$BI$1,0))/(INDEX(요약_월별시즈널리티!$F$7:$F$18,MONTH(EDATE($E19,BI$1-1)))/100))),"")</f>
        <v/>
      </c>
      <c r="BJ19" t="str" cm="1">
        <f t="array" ref="BJ19">IFERROR(IF($E19&lt;44348,"",IF(INDEX(Raw_매출!$B$2:$BI$155,MATCH($A19,Raw_매출!$A$2:$A$155,0),MATCH(EDATE($E19,BJ$1-1),Raw_매출!$B$1:$BI$1,0))=0,"",INDEX(Raw_매출!$B$2:$BI$155,MATCH($A19,Raw_매출!$A$2:$A$155,0),MATCH(EDATE($E19,BJ$1-1),Raw_매출!$B$1:$BI$1,0))/(INDEX(요약_월별시즈널리티!$F$7:$F$18,MONTH(EDATE($E19,BJ$1-1)))/100))),"")</f>
        <v/>
      </c>
      <c r="BK19" t="str" cm="1">
        <f t="array" ref="BK19">IFERROR(IF($E19&lt;44348,"",IF(INDEX(Raw_매출!$B$2:$BI$155,MATCH($A19,Raw_매출!$A$2:$A$155,0),MATCH(EDATE($E19,BK$1-1),Raw_매출!$B$1:$BI$1,0))=0,"",INDEX(Raw_매출!$B$2:$BI$155,MATCH($A19,Raw_매출!$A$2:$A$155,0),MATCH(EDATE($E19,BK$1-1),Raw_매출!$B$1:$BI$1,0))/(INDEX(요약_월별시즈널리티!$F$7:$F$18,MONTH(EDATE($E19,BK$1-1)))/100))),"")</f>
        <v/>
      </c>
      <c r="BL19" t="str" cm="1">
        <f t="array" ref="BL19">IFERROR(IF($E19&lt;44348,"",IF(INDEX(Raw_매출!$B$2:$BI$155,MATCH($A19,Raw_매출!$A$2:$A$155,0),MATCH(EDATE($E19,BL$1-1),Raw_매출!$B$1:$BI$1,0))=0,"",INDEX(Raw_매출!$B$2:$BI$155,MATCH($A19,Raw_매출!$A$2:$A$155,0),MATCH(EDATE($E19,BL$1-1),Raw_매출!$B$1:$BI$1,0))/(INDEX(요약_월별시즈널리티!$F$7:$F$18,MONTH(EDATE($E19,BL$1-1)))/100))),"")</f>
        <v/>
      </c>
      <c r="BM19" t="str" cm="1">
        <f t="array" ref="BM19">IFERROR(IF($E19&lt;44348,"",IF(INDEX(Raw_매출!$B$2:$BI$155,MATCH($A19,Raw_매출!$A$2:$A$155,0),MATCH(EDATE($E19,BM$1-1),Raw_매출!$B$1:$BI$1,0))=0,"",INDEX(Raw_매출!$B$2:$BI$155,MATCH($A19,Raw_매출!$A$2:$A$155,0),MATCH(EDATE($E19,BM$1-1),Raw_매출!$B$1:$BI$1,0))/(INDEX(요약_월별시즈널리티!$F$7:$F$18,MONTH(EDATE($E19,BM$1-1)))/100))),"")</f>
        <v/>
      </c>
      <c r="BN19" t="str" cm="1">
        <f t="array" ref="BN19">IFERROR(IF($E19&lt;44348,"",IF(INDEX(Raw_매출!$B$2:$BI$155,MATCH($A19,Raw_매출!$A$2:$A$155,0),MATCH(EDATE($E19,BN$1-1),Raw_매출!$B$1:$BI$1,0))=0,"",INDEX(Raw_매출!$B$2:$BI$155,MATCH($A19,Raw_매출!$A$2:$A$155,0),MATCH(EDATE($E19,BN$1-1),Raw_매출!$B$1:$BI$1,0))/(INDEX(요약_월별시즈널리티!$F$7:$F$18,MONTH(EDATE($E19,BN$1-1)))/100))),"")</f>
        <v/>
      </c>
    </row>
    <row r="20" spans="1:66" x14ac:dyDescent="0.4">
      <c r="A20" t="str">
        <f>세팅!A21</f>
        <v>(1005) #쑥고개점</v>
      </c>
      <c r="B20" t="str">
        <f>세팅!B21</f>
        <v>150-1</v>
      </c>
      <c r="C20">
        <f t="shared" si="0"/>
        <v>1</v>
      </c>
      <c r="D20" t="str">
        <f t="shared" si="1"/>
        <v>1</v>
      </c>
      <c r="E20" s="1">
        <f>세팅!D21</f>
        <v>43862</v>
      </c>
      <c r="F20" t="str">
        <f t="shared" si="2"/>
        <v/>
      </c>
      <c r="G20" t="str" cm="1">
        <f t="array" ref="G20">IFERROR(IF($E20&lt;44348,"",IF(INDEX(Raw_매출!$B$2:$BI$155,MATCH($A20,Raw_매출!$A$2:$A$155,0),MATCH(EDATE($E20,G$1-1),Raw_매출!$B$1:$BI$1,0))=0,"",INDEX(Raw_매출!$B$2:$BI$155,MATCH($A20,Raw_매출!$A$2:$A$155,0),MATCH(EDATE($E20,G$1-1),Raw_매출!$B$1:$BI$1,0))/(INDEX(요약_월별시즈널리티!$F$7:$F$18,MONTH(EDATE($E20,G$1-1)))/100))),"")</f>
        <v/>
      </c>
      <c r="H20" t="str" cm="1">
        <f t="array" ref="H20">IFERROR(IF($E20&lt;44348,"",IF(INDEX(Raw_매출!$B$2:$BI$155,MATCH($A20,Raw_매출!$A$2:$A$155,0),MATCH(EDATE($E20,H$1-1),Raw_매출!$B$1:$BI$1,0))=0,"",INDEX(Raw_매출!$B$2:$BI$155,MATCH($A20,Raw_매출!$A$2:$A$155,0),MATCH(EDATE($E20,H$1-1),Raw_매출!$B$1:$BI$1,0))/(INDEX(요약_월별시즈널리티!$F$7:$F$18,MONTH(EDATE($E20,H$1-1)))/100))),"")</f>
        <v/>
      </c>
      <c r="I20" t="str" cm="1">
        <f t="array" ref="I20">IFERROR(IF($E20&lt;44348,"",IF(INDEX(Raw_매출!$B$2:$BI$155,MATCH($A20,Raw_매출!$A$2:$A$155,0),MATCH(EDATE($E20,I$1-1),Raw_매출!$B$1:$BI$1,0))=0,"",INDEX(Raw_매출!$B$2:$BI$155,MATCH($A20,Raw_매출!$A$2:$A$155,0),MATCH(EDATE($E20,I$1-1),Raw_매출!$B$1:$BI$1,0))/(INDEX(요약_월별시즈널리티!$F$7:$F$18,MONTH(EDATE($E20,I$1-1)))/100))),"")</f>
        <v/>
      </c>
      <c r="J20" s="30" t="str" cm="1">
        <f t="array" ref="J20">IFERROR(IF($E20&lt;44348,"",IF(INDEX(Raw_매출!$B$2:$BI$155,MATCH($A20,Raw_매출!$A$2:$A$155,0),MATCH(EDATE($E20,J$1-1),Raw_매출!$B$1:$BI$1,0))=0,"",INDEX(Raw_매출!$B$2:$BI$155,MATCH($A20,Raw_매출!$A$2:$A$155,0),MATCH(EDATE($E20,J$1-1),Raw_매출!$B$1:$BI$1,0))/(INDEX(요약_월별시즈널리티!$F$7:$F$18,MONTH(EDATE($E20,J$1-1)))/100))),"")</f>
        <v/>
      </c>
      <c r="K20" s="30" t="str" cm="1">
        <f t="array" ref="K20">IFERROR(IF($E20&lt;44348,"",IF(INDEX(Raw_매출!$B$2:$BI$155,MATCH($A20,Raw_매출!$A$2:$A$155,0),MATCH(EDATE($E20,K$1-1),Raw_매출!$B$1:$BI$1,0))=0,"",INDEX(Raw_매출!$B$2:$BI$155,MATCH($A20,Raw_매출!$A$2:$A$155,0),MATCH(EDATE($E20,K$1-1),Raw_매출!$B$1:$BI$1,0))/(INDEX(요약_월별시즈널리티!$F$7:$F$18,MONTH(EDATE($E20,K$1-1)))/100))),"")</f>
        <v/>
      </c>
      <c r="L20" s="30" t="str" cm="1">
        <f t="array" ref="L20">IFERROR(IF($E20&lt;44348,"",IF(INDEX(Raw_매출!$B$2:$BI$155,MATCH($A20,Raw_매출!$A$2:$A$155,0),MATCH(EDATE($E20,L$1-1),Raw_매출!$B$1:$BI$1,0))=0,"",INDEX(Raw_매출!$B$2:$BI$155,MATCH($A20,Raw_매출!$A$2:$A$155,0),MATCH(EDATE($E20,L$1-1),Raw_매출!$B$1:$BI$1,0))/(INDEX(요약_월별시즈널리티!$F$7:$F$18,MONTH(EDATE($E20,L$1-1)))/100))),"")</f>
        <v/>
      </c>
      <c r="M20" s="30" t="str" cm="1">
        <f t="array" ref="M20">IFERROR(IF($E20&lt;44348,"",IF(INDEX(Raw_매출!$B$2:$BI$155,MATCH($A20,Raw_매출!$A$2:$A$155,0),MATCH(EDATE($E20,M$1-1),Raw_매출!$B$1:$BI$1,0))=0,"",INDEX(Raw_매출!$B$2:$BI$155,MATCH($A20,Raw_매출!$A$2:$A$155,0),MATCH(EDATE($E20,M$1-1),Raw_매출!$B$1:$BI$1,0))/(INDEX(요약_월별시즈널리티!$F$7:$F$18,MONTH(EDATE($E20,M$1-1)))/100))),"")</f>
        <v/>
      </c>
      <c r="N20" s="30" t="str" cm="1">
        <f t="array" ref="N20">IFERROR(IF($E20&lt;44348,"",IF(INDEX(Raw_매출!$B$2:$BI$155,MATCH($A20,Raw_매출!$A$2:$A$155,0),MATCH(EDATE($E20,N$1-1),Raw_매출!$B$1:$BI$1,0))=0,"",INDEX(Raw_매출!$B$2:$BI$155,MATCH($A20,Raw_매출!$A$2:$A$155,0),MATCH(EDATE($E20,N$1-1),Raw_매출!$B$1:$BI$1,0))/(INDEX(요약_월별시즈널리티!$F$7:$F$18,MONTH(EDATE($E20,N$1-1)))/100))),"")</f>
        <v/>
      </c>
      <c r="O20" s="30" t="str" cm="1">
        <f t="array" ref="O20">IFERROR(IF($E20&lt;44348,"",IF(INDEX(Raw_매출!$B$2:$BI$155,MATCH($A20,Raw_매출!$A$2:$A$155,0),MATCH(EDATE($E20,O$1-1),Raw_매출!$B$1:$BI$1,0))=0,"",INDEX(Raw_매출!$B$2:$BI$155,MATCH($A20,Raw_매출!$A$2:$A$155,0),MATCH(EDATE($E20,O$1-1),Raw_매출!$B$1:$BI$1,0))/(INDEX(요약_월별시즈널리티!$F$7:$F$18,MONTH(EDATE($E20,O$1-1)))/100))),"")</f>
        <v/>
      </c>
      <c r="P20" t="str" cm="1">
        <f t="array" ref="P20">IFERROR(IF($E20&lt;44348,"",IF(INDEX(Raw_매출!$B$2:$BI$155,MATCH($A20,Raw_매출!$A$2:$A$155,0),MATCH(EDATE($E20,P$1-1),Raw_매출!$B$1:$BI$1,0))=0,"",INDEX(Raw_매출!$B$2:$BI$155,MATCH($A20,Raw_매출!$A$2:$A$155,0),MATCH(EDATE($E20,P$1-1),Raw_매출!$B$1:$BI$1,0))/(INDEX(요약_월별시즈널리티!$F$7:$F$18,MONTH(EDATE($E20,P$1-1)))/100))),"")</f>
        <v/>
      </c>
      <c r="Q20" t="str" cm="1">
        <f t="array" ref="Q20">IFERROR(IF($E20&lt;44348,"",IF(INDEX(Raw_매출!$B$2:$BI$155,MATCH($A20,Raw_매출!$A$2:$A$155,0),MATCH(EDATE($E20,Q$1-1),Raw_매출!$B$1:$BI$1,0))=0,"",INDEX(Raw_매출!$B$2:$BI$155,MATCH($A20,Raw_매출!$A$2:$A$155,0),MATCH(EDATE($E20,Q$1-1),Raw_매출!$B$1:$BI$1,0))/(INDEX(요약_월별시즈널리티!$F$7:$F$18,MONTH(EDATE($E20,Q$1-1)))/100))),"")</f>
        <v/>
      </c>
      <c r="R20" t="str" cm="1">
        <f t="array" ref="R20">IFERROR(IF($E20&lt;44348,"",IF(INDEX(Raw_매출!$B$2:$BI$155,MATCH($A20,Raw_매출!$A$2:$A$155,0),MATCH(EDATE($E20,R$1-1),Raw_매출!$B$1:$BI$1,0))=0,"",INDEX(Raw_매출!$B$2:$BI$155,MATCH($A20,Raw_매출!$A$2:$A$155,0),MATCH(EDATE($E20,R$1-1),Raw_매출!$B$1:$BI$1,0))/(INDEX(요약_월별시즈널리티!$F$7:$F$18,MONTH(EDATE($E20,R$1-1)))/100))),"")</f>
        <v/>
      </c>
      <c r="S20" t="str" cm="1">
        <f t="array" ref="S20">IFERROR(IF($E20&lt;44348,"",IF(INDEX(Raw_매출!$B$2:$BI$155,MATCH($A20,Raw_매출!$A$2:$A$155,0),MATCH(EDATE($E20,S$1-1),Raw_매출!$B$1:$BI$1,0))=0,"",INDEX(Raw_매출!$B$2:$BI$155,MATCH($A20,Raw_매출!$A$2:$A$155,0),MATCH(EDATE($E20,S$1-1),Raw_매출!$B$1:$BI$1,0))/(INDEX(요약_월별시즈널리티!$F$7:$F$18,MONTH(EDATE($E20,S$1-1)))/100))),"")</f>
        <v/>
      </c>
      <c r="T20" t="str" cm="1">
        <f t="array" ref="T20">IFERROR(IF($E20&lt;44348,"",IF(INDEX(Raw_매출!$B$2:$BI$155,MATCH($A20,Raw_매출!$A$2:$A$155,0),MATCH(EDATE($E20,T$1-1),Raw_매출!$B$1:$BI$1,0))=0,"",INDEX(Raw_매출!$B$2:$BI$155,MATCH($A20,Raw_매출!$A$2:$A$155,0),MATCH(EDATE($E20,T$1-1),Raw_매출!$B$1:$BI$1,0))/(INDEX(요약_월별시즈널리티!$F$7:$F$18,MONTH(EDATE($E20,T$1-1)))/100))),"")</f>
        <v/>
      </c>
      <c r="U20" t="str" cm="1">
        <f t="array" ref="U20">IFERROR(IF($E20&lt;44348,"",IF(INDEX(Raw_매출!$B$2:$BI$155,MATCH($A20,Raw_매출!$A$2:$A$155,0),MATCH(EDATE($E20,U$1-1),Raw_매출!$B$1:$BI$1,0))=0,"",INDEX(Raw_매출!$B$2:$BI$155,MATCH($A20,Raw_매출!$A$2:$A$155,0),MATCH(EDATE($E20,U$1-1),Raw_매출!$B$1:$BI$1,0))/(INDEX(요약_월별시즈널리티!$F$7:$F$18,MONTH(EDATE($E20,U$1-1)))/100))),"")</f>
        <v/>
      </c>
      <c r="V20" t="str" cm="1">
        <f t="array" ref="V20">IFERROR(IF($E20&lt;44348,"",IF(INDEX(Raw_매출!$B$2:$BI$155,MATCH($A20,Raw_매출!$A$2:$A$155,0),MATCH(EDATE($E20,V$1-1),Raw_매출!$B$1:$BI$1,0))=0,"",INDEX(Raw_매출!$B$2:$BI$155,MATCH($A20,Raw_매출!$A$2:$A$155,0),MATCH(EDATE($E20,V$1-1),Raw_매출!$B$1:$BI$1,0))/(INDEX(요약_월별시즈널리티!$F$7:$F$18,MONTH(EDATE($E20,V$1-1)))/100))),"")</f>
        <v/>
      </c>
      <c r="W20" t="str" cm="1">
        <f t="array" ref="W20">IFERROR(IF($E20&lt;44348,"",IF(INDEX(Raw_매출!$B$2:$BI$155,MATCH($A20,Raw_매출!$A$2:$A$155,0),MATCH(EDATE($E20,W$1-1),Raw_매출!$B$1:$BI$1,0))=0,"",INDEX(Raw_매출!$B$2:$BI$155,MATCH($A20,Raw_매출!$A$2:$A$155,0),MATCH(EDATE($E20,W$1-1),Raw_매출!$B$1:$BI$1,0))/(INDEX(요약_월별시즈널리티!$F$7:$F$18,MONTH(EDATE($E20,W$1-1)))/100))),"")</f>
        <v/>
      </c>
      <c r="X20" t="str" cm="1">
        <f t="array" ref="X20">IFERROR(IF($E20&lt;44348,"",IF(INDEX(Raw_매출!$B$2:$BI$155,MATCH($A20,Raw_매출!$A$2:$A$155,0),MATCH(EDATE($E20,X$1-1),Raw_매출!$B$1:$BI$1,0))=0,"",INDEX(Raw_매출!$B$2:$BI$155,MATCH($A20,Raw_매출!$A$2:$A$155,0),MATCH(EDATE($E20,X$1-1),Raw_매출!$B$1:$BI$1,0))/(INDEX(요약_월별시즈널리티!$F$7:$F$18,MONTH(EDATE($E20,X$1-1)))/100))),"")</f>
        <v/>
      </c>
      <c r="Y20" t="str" cm="1">
        <f t="array" ref="Y20">IFERROR(IF($E20&lt;44348,"",IF(INDEX(Raw_매출!$B$2:$BI$155,MATCH($A20,Raw_매출!$A$2:$A$155,0),MATCH(EDATE($E20,Y$1-1),Raw_매출!$B$1:$BI$1,0))=0,"",INDEX(Raw_매출!$B$2:$BI$155,MATCH($A20,Raw_매출!$A$2:$A$155,0),MATCH(EDATE($E20,Y$1-1),Raw_매출!$B$1:$BI$1,0))/(INDEX(요약_월별시즈널리티!$F$7:$F$18,MONTH(EDATE($E20,Y$1-1)))/100))),"")</f>
        <v/>
      </c>
      <c r="Z20" t="str" cm="1">
        <f t="array" ref="Z20">IFERROR(IF($E20&lt;44348,"",IF(INDEX(Raw_매출!$B$2:$BI$155,MATCH($A20,Raw_매출!$A$2:$A$155,0),MATCH(EDATE($E20,Z$1-1),Raw_매출!$B$1:$BI$1,0))=0,"",INDEX(Raw_매출!$B$2:$BI$155,MATCH($A20,Raw_매출!$A$2:$A$155,0),MATCH(EDATE($E20,Z$1-1),Raw_매출!$B$1:$BI$1,0))/(INDEX(요약_월별시즈널리티!$F$7:$F$18,MONTH(EDATE($E20,Z$1-1)))/100))),"")</f>
        <v/>
      </c>
      <c r="AA20" t="str" cm="1">
        <f t="array" ref="AA20">IFERROR(IF($E20&lt;44348,"",IF(INDEX(Raw_매출!$B$2:$BI$155,MATCH($A20,Raw_매출!$A$2:$A$155,0),MATCH(EDATE($E20,AA$1-1),Raw_매출!$B$1:$BI$1,0))=0,"",INDEX(Raw_매출!$B$2:$BI$155,MATCH($A20,Raw_매출!$A$2:$A$155,0),MATCH(EDATE($E20,AA$1-1),Raw_매출!$B$1:$BI$1,0))/(INDEX(요약_월별시즈널리티!$F$7:$F$18,MONTH(EDATE($E20,AA$1-1)))/100))),"")</f>
        <v/>
      </c>
      <c r="AB20" t="str" cm="1">
        <f t="array" ref="AB20">IFERROR(IF($E20&lt;44348,"",IF(INDEX(Raw_매출!$B$2:$BI$155,MATCH($A20,Raw_매출!$A$2:$A$155,0),MATCH(EDATE($E20,AB$1-1),Raw_매출!$B$1:$BI$1,0))=0,"",INDEX(Raw_매출!$B$2:$BI$155,MATCH($A20,Raw_매출!$A$2:$A$155,0),MATCH(EDATE($E20,AB$1-1),Raw_매출!$B$1:$BI$1,0))/(INDEX(요약_월별시즈널리티!$F$7:$F$18,MONTH(EDATE($E20,AB$1-1)))/100))),"")</f>
        <v/>
      </c>
      <c r="AC20" t="str" cm="1">
        <f t="array" ref="AC20">IFERROR(IF($E20&lt;44348,"",IF(INDEX(Raw_매출!$B$2:$BI$155,MATCH($A20,Raw_매출!$A$2:$A$155,0),MATCH(EDATE($E20,AC$1-1),Raw_매출!$B$1:$BI$1,0))=0,"",INDEX(Raw_매출!$B$2:$BI$155,MATCH($A20,Raw_매출!$A$2:$A$155,0),MATCH(EDATE($E20,AC$1-1),Raw_매출!$B$1:$BI$1,0))/(INDEX(요약_월별시즈널리티!$F$7:$F$18,MONTH(EDATE($E20,AC$1-1)))/100))),"")</f>
        <v/>
      </c>
      <c r="AD20" t="str" cm="1">
        <f t="array" ref="AD20">IFERROR(IF($E20&lt;44348,"",IF(INDEX(Raw_매출!$B$2:$BI$155,MATCH($A20,Raw_매출!$A$2:$A$155,0),MATCH(EDATE($E20,AD$1-1),Raw_매출!$B$1:$BI$1,0))=0,"",INDEX(Raw_매출!$B$2:$BI$155,MATCH($A20,Raw_매출!$A$2:$A$155,0),MATCH(EDATE($E20,AD$1-1),Raw_매출!$B$1:$BI$1,0))/(INDEX(요약_월별시즈널리티!$F$7:$F$18,MONTH(EDATE($E20,AD$1-1)))/100))),"")</f>
        <v/>
      </c>
      <c r="AE20" t="str" cm="1">
        <f t="array" ref="AE20">IFERROR(IF($E20&lt;44348,"",IF(INDEX(Raw_매출!$B$2:$BI$155,MATCH($A20,Raw_매출!$A$2:$A$155,0),MATCH(EDATE($E20,AE$1-1),Raw_매출!$B$1:$BI$1,0))=0,"",INDEX(Raw_매출!$B$2:$BI$155,MATCH($A20,Raw_매출!$A$2:$A$155,0),MATCH(EDATE($E20,AE$1-1),Raw_매출!$B$1:$BI$1,0))/(INDEX(요약_월별시즈널리티!$F$7:$F$18,MONTH(EDATE($E20,AE$1-1)))/100))),"")</f>
        <v/>
      </c>
      <c r="AF20" t="str" cm="1">
        <f t="array" ref="AF20">IFERROR(IF($E20&lt;44348,"",IF(INDEX(Raw_매출!$B$2:$BI$155,MATCH($A20,Raw_매출!$A$2:$A$155,0),MATCH(EDATE($E20,AF$1-1),Raw_매출!$B$1:$BI$1,0))=0,"",INDEX(Raw_매출!$B$2:$BI$155,MATCH($A20,Raw_매출!$A$2:$A$155,0),MATCH(EDATE($E20,AF$1-1),Raw_매출!$B$1:$BI$1,0))/(INDEX(요약_월별시즈널리티!$F$7:$F$18,MONTH(EDATE($E20,AF$1-1)))/100))),"")</f>
        <v/>
      </c>
      <c r="AG20" t="str" cm="1">
        <f t="array" ref="AG20">IFERROR(IF($E20&lt;44348,"",IF(INDEX(Raw_매출!$B$2:$BI$155,MATCH($A20,Raw_매출!$A$2:$A$155,0),MATCH(EDATE($E20,AG$1-1),Raw_매출!$B$1:$BI$1,0))=0,"",INDEX(Raw_매출!$B$2:$BI$155,MATCH($A20,Raw_매출!$A$2:$A$155,0),MATCH(EDATE($E20,AG$1-1),Raw_매출!$B$1:$BI$1,0))/(INDEX(요약_월별시즈널리티!$F$7:$F$18,MONTH(EDATE($E20,AG$1-1)))/100))),"")</f>
        <v/>
      </c>
      <c r="AH20" t="str" cm="1">
        <f t="array" ref="AH20">IFERROR(IF($E20&lt;44348,"",IF(INDEX(Raw_매출!$B$2:$BI$155,MATCH($A20,Raw_매출!$A$2:$A$155,0),MATCH(EDATE($E20,AH$1-1),Raw_매출!$B$1:$BI$1,0))=0,"",INDEX(Raw_매출!$B$2:$BI$155,MATCH($A20,Raw_매출!$A$2:$A$155,0),MATCH(EDATE($E20,AH$1-1),Raw_매출!$B$1:$BI$1,0))/(INDEX(요약_월별시즈널리티!$F$7:$F$18,MONTH(EDATE($E20,AH$1-1)))/100))),"")</f>
        <v/>
      </c>
      <c r="AI20" t="str" cm="1">
        <f t="array" ref="AI20">IFERROR(IF($E20&lt;44348,"",IF(INDEX(Raw_매출!$B$2:$BI$155,MATCH($A20,Raw_매출!$A$2:$A$155,0),MATCH(EDATE($E20,AI$1-1),Raw_매출!$B$1:$BI$1,0))=0,"",INDEX(Raw_매출!$B$2:$BI$155,MATCH($A20,Raw_매출!$A$2:$A$155,0),MATCH(EDATE($E20,AI$1-1),Raw_매출!$B$1:$BI$1,0))/(INDEX(요약_월별시즈널리티!$F$7:$F$18,MONTH(EDATE($E20,AI$1-1)))/100))),"")</f>
        <v/>
      </c>
      <c r="AJ20" t="str" cm="1">
        <f t="array" ref="AJ20">IFERROR(IF($E20&lt;44348,"",IF(INDEX(Raw_매출!$B$2:$BI$155,MATCH($A20,Raw_매출!$A$2:$A$155,0),MATCH(EDATE($E20,AJ$1-1),Raw_매출!$B$1:$BI$1,0))=0,"",INDEX(Raw_매출!$B$2:$BI$155,MATCH($A20,Raw_매출!$A$2:$A$155,0),MATCH(EDATE($E20,AJ$1-1),Raw_매출!$B$1:$BI$1,0))/(INDEX(요약_월별시즈널리티!$F$7:$F$18,MONTH(EDATE($E20,AJ$1-1)))/100))),"")</f>
        <v/>
      </c>
      <c r="AK20" t="str" cm="1">
        <f t="array" ref="AK20">IFERROR(IF($E20&lt;44348,"",IF(INDEX(Raw_매출!$B$2:$BI$155,MATCH($A20,Raw_매출!$A$2:$A$155,0),MATCH(EDATE($E20,AK$1-1),Raw_매출!$B$1:$BI$1,0))=0,"",INDEX(Raw_매출!$B$2:$BI$155,MATCH($A20,Raw_매출!$A$2:$A$155,0),MATCH(EDATE($E20,AK$1-1),Raw_매출!$B$1:$BI$1,0))/(INDEX(요약_월별시즈널리티!$F$7:$F$18,MONTH(EDATE($E20,AK$1-1)))/100))),"")</f>
        <v/>
      </c>
      <c r="AL20" t="str" cm="1">
        <f t="array" ref="AL20">IFERROR(IF($E20&lt;44348,"",IF(INDEX(Raw_매출!$B$2:$BI$155,MATCH($A20,Raw_매출!$A$2:$A$155,0),MATCH(EDATE($E20,AL$1-1),Raw_매출!$B$1:$BI$1,0))=0,"",INDEX(Raw_매출!$B$2:$BI$155,MATCH($A20,Raw_매출!$A$2:$A$155,0),MATCH(EDATE($E20,AL$1-1),Raw_매출!$B$1:$BI$1,0))/(INDEX(요약_월별시즈널리티!$F$7:$F$18,MONTH(EDATE($E20,AL$1-1)))/100))),"")</f>
        <v/>
      </c>
      <c r="AM20" t="str" cm="1">
        <f t="array" ref="AM20">IFERROR(IF($E20&lt;44348,"",IF(INDEX(Raw_매출!$B$2:$BI$155,MATCH($A20,Raw_매출!$A$2:$A$155,0),MATCH(EDATE($E20,AM$1-1),Raw_매출!$B$1:$BI$1,0))=0,"",INDEX(Raw_매출!$B$2:$BI$155,MATCH($A20,Raw_매출!$A$2:$A$155,0),MATCH(EDATE($E20,AM$1-1),Raw_매출!$B$1:$BI$1,0))/(INDEX(요약_월별시즈널리티!$F$7:$F$18,MONTH(EDATE($E20,AM$1-1)))/100))),"")</f>
        <v/>
      </c>
      <c r="AN20" t="str" cm="1">
        <f t="array" ref="AN20">IFERROR(IF($E20&lt;44348,"",IF(INDEX(Raw_매출!$B$2:$BI$155,MATCH($A20,Raw_매출!$A$2:$A$155,0),MATCH(EDATE($E20,AN$1-1),Raw_매출!$B$1:$BI$1,0))=0,"",INDEX(Raw_매출!$B$2:$BI$155,MATCH($A20,Raw_매출!$A$2:$A$155,0),MATCH(EDATE($E20,AN$1-1),Raw_매출!$B$1:$BI$1,0))/(INDEX(요약_월별시즈널리티!$F$7:$F$18,MONTH(EDATE($E20,AN$1-1)))/100))),"")</f>
        <v/>
      </c>
      <c r="AO20" t="str" cm="1">
        <f t="array" ref="AO20">IFERROR(IF($E20&lt;44348,"",IF(INDEX(Raw_매출!$B$2:$BI$155,MATCH($A20,Raw_매출!$A$2:$A$155,0),MATCH(EDATE($E20,AO$1-1),Raw_매출!$B$1:$BI$1,0))=0,"",INDEX(Raw_매출!$B$2:$BI$155,MATCH($A20,Raw_매출!$A$2:$A$155,0),MATCH(EDATE($E20,AO$1-1),Raw_매출!$B$1:$BI$1,0))/(INDEX(요약_월별시즈널리티!$F$7:$F$18,MONTH(EDATE($E20,AO$1-1)))/100))),"")</f>
        <v/>
      </c>
      <c r="AP20" t="str" cm="1">
        <f t="array" ref="AP20">IFERROR(IF($E20&lt;44348,"",IF(INDEX(Raw_매출!$B$2:$BI$155,MATCH($A20,Raw_매출!$A$2:$A$155,0),MATCH(EDATE($E20,AP$1-1),Raw_매출!$B$1:$BI$1,0))=0,"",INDEX(Raw_매출!$B$2:$BI$155,MATCH($A20,Raw_매출!$A$2:$A$155,0),MATCH(EDATE($E20,AP$1-1),Raw_매출!$B$1:$BI$1,0))/(INDEX(요약_월별시즈널리티!$F$7:$F$18,MONTH(EDATE($E20,AP$1-1)))/100))),"")</f>
        <v/>
      </c>
      <c r="AQ20" t="str" cm="1">
        <f t="array" ref="AQ20">IFERROR(IF($E20&lt;44348,"",IF(INDEX(Raw_매출!$B$2:$BI$155,MATCH($A20,Raw_매출!$A$2:$A$155,0),MATCH(EDATE($E20,AQ$1-1),Raw_매출!$B$1:$BI$1,0))=0,"",INDEX(Raw_매출!$B$2:$BI$155,MATCH($A20,Raw_매출!$A$2:$A$155,0),MATCH(EDATE($E20,AQ$1-1),Raw_매출!$B$1:$BI$1,0))/(INDEX(요약_월별시즈널리티!$F$7:$F$18,MONTH(EDATE($E20,AQ$1-1)))/100))),"")</f>
        <v/>
      </c>
      <c r="AR20" t="str" cm="1">
        <f t="array" ref="AR20">IFERROR(IF($E20&lt;44348,"",IF(INDEX(Raw_매출!$B$2:$BI$155,MATCH($A20,Raw_매출!$A$2:$A$155,0),MATCH(EDATE($E20,AR$1-1),Raw_매출!$B$1:$BI$1,0))=0,"",INDEX(Raw_매출!$B$2:$BI$155,MATCH($A20,Raw_매출!$A$2:$A$155,0),MATCH(EDATE($E20,AR$1-1),Raw_매출!$B$1:$BI$1,0))/(INDEX(요약_월별시즈널리티!$F$7:$F$18,MONTH(EDATE($E20,AR$1-1)))/100))),"")</f>
        <v/>
      </c>
      <c r="AS20" t="str" cm="1">
        <f t="array" ref="AS20">IFERROR(IF($E20&lt;44348,"",IF(INDEX(Raw_매출!$B$2:$BI$155,MATCH($A20,Raw_매출!$A$2:$A$155,0),MATCH(EDATE($E20,AS$1-1),Raw_매출!$B$1:$BI$1,0))=0,"",INDEX(Raw_매출!$B$2:$BI$155,MATCH($A20,Raw_매출!$A$2:$A$155,0),MATCH(EDATE($E20,AS$1-1),Raw_매출!$B$1:$BI$1,0))/(INDEX(요약_월별시즈널리티!$F$7:$F$18,MONTH(EDATE($E20,AS$1-1)))/100))),"")</f>
        <v/>
      </c>
      <c r="AT20" t="str" cm="1">
        <f t="array" ref="AT20">IFERROR(IF($E20&lt;44348,"",IF(INDEX(Raw_매출!$B$2:$BI$155,MATCH($A20,Raw_매출!$A$2:$A$155,0),MATCH(EDATE($E20,AT$1-1),Raw_매출!$B$1:$BI$1,0))=0,"",INDEX(Raw_매출!$B$2:$BI$155,MATCH($A20,Raw_매출!$A$2:$A$155,0),MATCH(EDATE($E20,AT$1-1),Raw_매출!$B$1:$BI$1,0))/(INDEX(요약_월별시즈널리티!$F$7:$F$18,MONTH(EDATE($E20,AT$1-1)))/100))),"")</f>
        <v/>
      </c>
      <c r="AU20" t="str" cm="1">
        <f t="array" ref="AU20">IFERROR(IF($E20&lt;44348,"",IF(INDEX(Raw_매출!$B$2:$BI$155,MATCH($A20,Raw_매출!$A$2:$A$155,0),MATCH(EDATE($E20,AU$1-1),Raw_매출!$B$1:$BI$1,0))=0,"",INDEX(Raw_매출!$B$2:$BI$155,MATCH($A20,Raw_매출!$A$2:$A$155,0),MATCH(EDATE($E20,AU$1-1),Raw_매출!$B$1:$BI$1,0))/(INDEX(요약_월별시즈널리티!$F$7:$F$18,MONTH(EDATE($E20,AU$1-1)))/100))),"")</f>
        <v/>
      </c>
      <c r="AV20" t="str" cm="1">
        <f t="array" ref="AV20">IFERROR(IF($E20&lt;44348,"",IF(INDEX(Raw_매출!$B$2:$BI$155,MATCH($A20,Raw_매출!$A$2:$A$155,0),MATCH(EDATE($E20,AV$1-1),Raw_매출!$B$1:$BI$1,0))=0,"",INDEX(Raw_매출!$B$2:$BI$155,MATCH($A20,Raw_매출!$A$2:$A$155,0),MATCH(EDATE($E20,AV$1-1),Raw_매출!$B$1:$BI$1,0))/(INDEX(요약_월별시즈널리티!$F$7:$F$18,MONTH(EDATE($E20,AV$1-1)))/100))),"")</f>
        <v/>
      </c>
      <c r="AW20" t="str" cm="1">
        <f t="array" ref="AW20">IFERROR(IF($E20&lt;44348,"",IF(INDEX(Raw_매출!$B$2:$BI$155,MATCH($A20,Raw_매출!$A$2:$A$155,0),MATCH(EDATE($E20,AW$1-1),Raw_매출!$B$1:$BI$1,0))=0,"",INDEX(Raw_매출!$B$2:$BI$155,MATCH($A20,Raw_매출!$A$2:$A$155,0),MATCH(EDATE($E20,AW$1-1),Raw_매출!$B$1:$BI$1,0))/(INDEX(요약_월별시즈널리티!$F$7:$F$18,MONTH(EDATE($E20,AW$1-1)))/100))),"")</f>
        <v/>
      </c>
      <c r="AX20" t="str" cm="1">
        <f t="array" ref="AX20">IFERROR(IF($E20&lt;44348,"",IF(INDEX(Raw_매출!$B$2:$BI$155,MATCH($A20,Raw_매출!$A$2:$A$155,0),MATCH(EDATE($E20,AX$1-1),Raw_매출!$B$1:$BI$1,0))=0,"",INDEX(Raw_매출!$B$2:$BI$155,MATCH($A20,Raw_매출!$A$2:$A$155,0),MATCH(EDATE($E20,AX$1-1),Raw_매출!$B$1:$BI$1,0))/(INDEX(요약_월별시즈널리티!$F$7:$F$18,MONTH(EDATE($E20,AX$1-1)))/100))),"")</f>
        <v/>
      </c>
      <c r="AY20" t="str" cm="1">
        <f t="array" ref="AY20">IFERROR(IF($E20&lt;44348,"",IF(INDEX(Raw_매출!$B$2:$BI$155,MATCH($A20,Raw_매출!$A$2:$A$155,0),MATCH(EDATE($E20,AY$1-1),Raw_매출!$B$1:$BI$1,0))=0,"",INDEX(Raw_매출!$B$2:$BI$155,MATCH($A20,Raw_매출!$A$2:$A$155,0),MATCH(EDATE($E20,AY$1-1),Raw_매출!$B$1:$BI$1,0))/(INDEX(요약_월별시즈널리티!$F$7:$F$18,MONTH(EDATE($E20,AY$1-1)))/100))),"")</f>
        <v/>
      </c>
      <c r="AZ20" t="str" cm="1">
        <f t="array" ref="AZ20">IFERROR(IF($E20&lt;44348,"",IF(INDEX(Raw_매출!$B$2:$BI$155,MATCH($A20,Raw_매출!$A$2:$A$155,0),MATCH(EDATE($E20,AZ$1-1),Raw_매출!$B$1:$BI$1,0))=0,"",INDEX(Raw_매출!$B$2:$BI$155,MATCH($A20,Raw_매출!$A$2:$A$155,0),MATCH(EDATE($E20,AZ$1-1),Raw_매출!$B$1:$BI$1,0))/(INDEX(요약_월별시즈널리티!$F$7:$F$18,MONTH(EDATE($E20,AZ$1-1)))/100))),"")</f>
        <v/>
      </c>
      <c r="BA20" t="str" cm="1">
        <f t="array" ref="BA20">IFERROR(IF($E20&lt;44348,"",IF(INDEX(Raw_매출!$B$2:$BI$155,MATCH($A20,Raw_매출!$A$2:$A$155,0),MATCH(EDATE($E20,BA$1-1),Raw_매출!$B$1:$BI$1,0))=0,"",INDEX(Raw_매출!$B$2:$BI$155,MATCH($A20,Raw_매출!$A$2:$A$155,0),MATCH(EDATE($E20,BA$1-1),Raw_매출!$B$1:$BI$1,0))/(INDEX(요약_월별시즈널리티!$F$7:$F$18,MONTH(EDATE($E20,BA$1-1)))/100))),"")</f>
        <v/>
      </c>
      <c r="BB20" t="str" cm="1">
        <f t="array" ref="BB20">IFERROR(IF($E20&lt;44348,"",IF(INDEX(Raw_매출!$B$2:$BI$155,MATCH($A20,Raw_매출!$A$2:$A$155,0),MATCH(EDATE($E20,BB$1-1),Raw_매출!$B$1:$BI$1,0))=0,"",INDEX(Raw_매출!$B$2:$BI$155,MATCH($A20,Raw_매출!$A$2:$A$155,0),MATCH(EDATE($E20,BB$1-1),Raw_매출!$B$1:$BI$1,0))/(INDEX(요약_월별시즈널리티!$F$7:$F$18,MONTH(EDATE($E20,BB$1-1)))/100))),"")</f>
        <v/>
      </c>
      <c r="BC20" t="str" cm="1">
        <f t="array" ref="BC20">IFERROR(IF($E20&lt;44348,"",IF(INDEX(Raw_매출!$B$2:$BI$155,MATCH($A20,Raw_매출!$A$2:$A$155,0),MATCH(EDATE($E20,BC$1-1),Raw_매출!$B$1:$BI$1,0))=0,"",INDEX(Raw_매출!$B$2:$BI$155,MATCH($A20,Raw_매출!$A$2:$A$155,0),MATCH(EDATE($E20,BC$1-1),Raw_매출!$B$1:$BI$1,0))/(INDEX(요약_월별시즈널리티!$F$7:$F$18,MONTH(EDATE($E20,BC$1-1)))/100))),"")</f>
        <v/>
      </c>
      <c r="BD20" t="str" cm="1">
        <f t="array" ref="BD20">IFERROR(IF($E20&lt;44348,"",IF(INDEX(Raw_매출!$B$2:$BI$155,MATCH($A20,Raw_매출!$A$2:$A$155,0),MATCH(EDATE($E20,BD$1-1),Raw_매출!$B$1:$BI$1,0))=0,"",INDEX(Raw_매출!$B$2:$BI$155,MATCH($A20,Raw_매출!$A$2:$A$155,0),MATCH(EDATE($E20,BD$1-1),Raw_매출!$B$1:$BI$1,0))/(INDEX(요약_월별시즈널리티!$F$7:$F$18,MONTH(EDATE($E20,BD$1-1)))/100))),"")</f>
        <v/>
      </c>
      <c r="BE20" t="str" cm="1">
        <f t="array" ref="BE20">IFERROR(IF($E20&lt;44348,"",IF(INDEX(Raw_매출!$B$2:$BI$155,MATCH($A20,Raw_매출!$A$2:$A$155,0),MATCH(EDATE($E20,BE$1-1),Raw_매출!$B$1:$BI$1,0))=0,"",INDEX(Raw_매출!$B$2:$BI$155,MATCH($A20,Raw_매출!$A$2:$A$155,0),MATCH(EDATE($E20,BE$1-1),Raw_매출!$B$1:$BI$1,0))/(INDEX(요약_월별시즈널리티!$F$7:$F$18,MONTH(EDATE($E20,BE$1-1)))/100))),"")</f>
        <v/>
      </c>
      <c r="BF20" t="str" cm="1">
        <f t="array" ref="BF20">IFERROR(IF($E20&lt;44348,"",IF(INDEX(Raw_매출!$B$2:$BI$155,MATCH($A20,Raw_매출!$A$2:$A$155,0),MATCH(EDATE($E20,BF$1-1),Raw_매출!$B$1:$BI$1,0))=0,"",INDEX(Raw_매출!$B$2:$BI$155,MATCH($A20,Raw_매출!$A$2:$A$155,0),MATCH(EDATE($E20,BF$1-1),Raw_매출!$B$1:$BI$1,0))/(INDEX(요약_월별시즈널리티!$F$7:$F$18,MONTH(EDATE($E20,BF$1-1)))/100))),"")</f>
        <v/>
      </c>
      <c r="BG20" t="str" cm="1">
        <f t="array" ref="BG20">IFERROR(IF($E20&lt;44348,"",IF(INDEX(Raw_매출!$B$2:$BI$155,MATCH($A20,Raw_매출!$A$2:$A$155,0),MATCH(EDATE($E20,BG$1-1),Raw_매출!$B$1:$BI$1,0))=0,"",INDEX(Raw_매출!$B$2:$BI$155,MATCH($A20,Raw_매출!$A$2:$A$155,0),MATCH(EDATE($E20,BG$1-1),Raw_매출!$B$1:$BI$1,0))/(INDEX(요약_월별시즈널리티!$F$7:$F$18,MONTH(EDATE($E20,BG$1-1)))/100))),"")</f>
        <v/>
      </c>
      <c r="BH20" t="str" cm="1">
        <f t="array" ref="BH20">IFERROR(IF($E20&lt;44348,"",IF(INDEX(Raw_매출!$B$2:$BI$155,MATCH($A20,Raw_매출!$A$2:$A$155,0),MATCH(EDATE($E20,BH$1-1),Raw_매출!$B$1:$BI$1,0))=0,"",INDEX(Raw_매출!$B$2:$BI$155,MATCH($A20,Raw_매출!$A$2:$A$155,0),MATCH(EDATE($E20,BH$1-1),Raw_매출!$B$1:$BI$1,0))/(INDEX(요약_월별시즈널리티!$F$7:$F$18,MONTH(EDATE($E20,BH$1-1)))/100))),"")</f>
        <v/>
      </c>
      <c r="BI20" t="str" cm="1">
        <f t="array" ref="BI20">IFERROR(IF($E20&lt;44348,"",IF(INDEX(Raw_매출!$B$2:$BI$155,MATCH($A20,Raw_매출!$A$2:$A$155,0),MATCH(EDATE($E20,BI$1-1),Raw_매출!$B$1:$BI$1,0))=0,"",INDEX(Raw_매출!$B$2:$BI$155,MATCH($A20,Raw_매출!$A$2:$A$155,0),MATCH(EDATE($E20,BI$1-1),Raw_매출!$B$1:$BI$1,0))/(INDEX(요약_월별시즈널리티!$F$7:$F$18,MONTH(EDATE($E20,BI$1-1)))/100))),"")</f>
        <v/>
      </c>
      <c r="BJ20" t="str" cm="1">
        <f t="array" ref="BJ20">IFERROR(IF($E20&lt;44348,"",IF(INDEX(Raw_매출!$B$2:$BI$155,MATCH($A20,Raw_매출!$A$2:$A$155,0),MATCH(EDATE($E20,BJ$1-1),Raw_매출!$B$1:$BI$1,0))=0,"",INDEX(Raw_매출!$B$2:$BI$155,MATCH($A20,Raw_매출!$A$2:$A$155,0),MATCH(EDATE($E20,BJ$1-1),Raw_매출!$B$1:$BI$1,0))/(INDEX(요약_월별시즈널리티!$F$7:$F$18,MONTH(EDATE($E20,BJ$1-1)))/100))),"")</f>
        <v/>
      </c>
      <c r="BK20" t="str" cm="1">
        <f t="array" ref="BK20">IFERROR(IF($E20&lt;44348,"",IF(INDEX(Raw_매출!$B$2:$BI$155,MATCH($A20,Raw_매출!$A$2:$A$155,0),MATCH(EDATE($E20,BK$1-1),Raw_매출!$B$1:$BI$1,0))=0,"",INDEX(Raw_매출!$B$2:$BI$155,MATCH($A20,Raw_매출!$A$2:$A$155,0),MATCH(EDATE($E20,BK$1-1),Raw_매출!$B$1:$BI$1,0))/(INDEX(요약_월별시즈널리티!$F$7:$F$18,MONTH(EDATE($E20,BK$1-1)))/100))),"")</f>
        <v/>
      </c>
      <c r="BL20" t="str" cm="1">
        <f t="array" ref="BL20">IFERROR(IF($E20&lt;44348,"",IF(INDEX(Raw_매출!$B$2:$BI$155,MATCH($A20,Raw_매출!$A$2:$A$155,0),MATCH(EDATE($E20,BL$1-1),Raw_매출!$B$1:$BI$1,0))=0,"",INDEX(Raw_매출!$B$2:$BI$155,MATCH($A20,Raw_매출!$A$2:$A$155,0),MATCH(EDATE($E20,BL$1-1),Raw_매출!$B$1:$BI$1,0))/(INDEX(요약_월별시즈널리티!$F$7:$F$18,MONTH(EDATE($E20,BL$1-1)))/100))),"")</f>
        <v/>
      </c>
      <c r="BM20" t="str" cm="1">
        <f t="array" ref="BM20">IFERROR(IF($E20&lt;44348,"",IF(INDEX(Raw_매출!$B$2:$BI$155,MATCH($A20,Raw_매출!$A$2:$A$155,0),MATCH(EDATE($E20,BM$1-1),Raw_매출!$B$1:$BI$1,0))=0,"",INDEX(Raw_매출!$B$2:$BI$155,MATCH($A20,Raw_매출!$A$2:$A$155,0),MATCH(EDATE($E20,BM$1-1),Raw_매출!$B$1:$BI$1,0))/(INDEX(요약_월별시즈널리티!$F$7:$F$18,MONTH(EDATE($E20,BM$1-1)))/100))),"")</f>
        <v/>
      </c>
      <c r="BN20" t="str" cm="1">
        <f t="array" ref="BN20">IFERROR(IF($E20&lt;44348,"",IF(INDEX(Raw_매출!$B$2:$BI$155,MATCH($A20,Raw_매출!$A$2:$A$155,0),MATCH(EDATE($E20,BN$1-1),Raw_매출!$B$1:$BI$1,0))=0,"",INDEX(Raw_매출!$B$2:$BI$155,MATCH($A20,Raw_매출!$A$2:$A$155,0),MATCH(EDATE($E20,BN$1-1),Raw_매출!$B$1:$BI$1,0))/(INDEX(요약_월별시즈널리티!$F$7:$F$18,MONTH(EDATE($E20,BN$1-1)))/100))),"")</f>
        <v/>
      </c>
    </row>
    <row r="21" spans="1:66" x14ac:dyDescent="0.4">
      <c r="A21" t="str">
        <f>세팅!A22</f>
        <v>(1006) #회기점</v>
      </c>
      <c r="B21" t="str">
        <f>세팅!B22</f>
        <v>150-1</v>
      </c>
      <c r="C21">
        <f t="shared" si="0"/>
        <v>1</v>
      </c>
      <c r="D21" t="str">
        <f t="shared" si="1"/>
        <v>1</v>
      </c>
      <c r="E21" s="1">
        <f>세팅!D22</f>
        <v>43862</v>
      </c>
      <c r="F21" t="str">
        <f t="shared" si="2"/>
        <v/>
      </c>
      <c r="G21" t="str" cm="1">
        <f t="array" ref="G21">IFERROR(IF($E21&lt;44348,"",IF(INDEX(Raw_매출!$B$2:$BI$155,MATCH($A21,Raw_매출!$A$2:$A$155,0),MATCH(EDATE($E21,G$1-1),Raw_매출!$B$1:$BI$1,0))=0,"",INDEX(Raw_매출!$B$2:$BI$155,MATCH($A21,Raw_매출!$A$2:$A$155,0),MATCH(EDATE($E21,G$1-1),Raw_매출!$B$1:$BI$1,0))/(INDEX(요약_월별시즈널리티!$F$7:$F$18,MONTH(EDATE($E21,G$1-1)))/100))),"")</f>
        <v/>
      </c>
      <c r="H21" t="str" cm="1">
        <f t="array" ref="H21">IFERROR(IF($E21&lt;44348,"",IF(INDEX(Raw_매출!$B$2:$BI$155,MATCH($A21,Raw_매출!$A$2:$A$155,0),MATCH(EDATE($E21,H$1-1),Raw_매출!$B$1:$BI$1,0))=0,"",INDEX(Raw_매출!$B$2:$BI$155,MATCH($A21,Raw_매출!$A$2:$A$155,0),MATCH(EDATE($E21,H$1-1),Raw_매출!$B$1:$BI$1,0))/(INDEX(요약_월별시즈널리티!$F$7:$F$18,MONTH(EDATE($E21,H$1-1)))/100))),"")</f>
        <v/>
      </c>
      <c r="I21" t="str" cm="1">
        <f t="array" ref="I21">IFERROR(IF($E21&lt;44348,"",IF(INDEX(Raw_매출!$B$2:$BI$155,MATCH($A21,Raw_매출!$A$2:$A$155,0),MATCH(EDATE($E21,I$1-1),Raw_매출!$B$1:$BI$1,0))=0,"",INDEX(Raw_매출!$B$2:$BI$155,MATCH($A21,Raw_매출!$A$2:$A$155,0),MATCH(EDATE($E21,I$1-1),Raw_매출!$B$1:$BI$1,0))/(INDEX(요약_월별시즈널리티!$F$7:$F$18,MONTH(EDATE($E21,I$1-1)))/100))),"")</f>
        <v/>
      </c>
      <c r="J21" s="30" t="str" cm="1">
        <f t="array" ref="J21">IFERROR(IF($E21&lt;44348,"",IF(INDEX(Raw_매출!$B$2:$BI$155,MATCH($A21,Raw_매출!$A$2:$A$155,0),MATCH(EDATE($E21,J$1-1),Raw_매출!$B$1:$BI$1,0))=0,"",INDEX(Raw_매출!$B$2:$BI$155,MATCH($A21,Raw_매출!$A$2:$A$155,0),MATCH(EDATE($E21,J$1-1),Raw_매출!$B$1:$BI$1,0))/(INDEX(요약_월별시즈널리티!$F$7:$F$18,MONTH(EDATE($E21,J$1-1)))/100))),"")</f>
        <v/>
      </c>
      <c r="K21" s="30" t="str" cm="1">
        <f t="array" ref="K21">IFERROR(IF($E21&lt;44348,"",IF(INDEX(Raw_매출!$B$2:$BI$155,MATCH($A21,Raw_매출!$A$2:$A$155,0),MATCH(EDATE($E21,K$1-1),Raw_매출!$B$1:$BI$1,0))=0,"",INDEX(Raw_매출!$B$2:$BI$155,MATCH($A21,Raw_매출!$A$2:$A$155,0),MATCH(EDATE($E21,K$1-1),Raw_매출!$B$1:$BI$1,0))/(INDEX(요약_월별시즈널리티!$F$7:$F$18,MONTH(EDATE($E21,K$1-1)))/100))),"")</f>
        <v/>
      </c>
      <c r="L21" s="30" t="str" cm="1">
        <f t="array" ref="L21">IFERROR(IF($E21&lt;44348,"",IF(INDEX(Raw_매출!$B$2:$BI$155,MATCH($A21,Raw_매출!$A$2:$A$155,0),MATCH(EDATE($E21,L$1-1),Raw_매출!$B$1:$BI$1,0))=0,"",INDEX(Raw_매출!$B$2:$BI$155,MATCH($A21,Raw_매출!$A$2:$A$155,0),MATCH(EDATE($E21,L$1-1),Raw_매출!$B$1:$BI$1,0))/(INDEX(요약_월별시즈널리티!$F$7:$F$18,MONTH(EDATE($E21,L$1-1)))/100))),"")</f>
        <v/>
      </c>
      <c r="M21" s="30" t="str" cm="1">
        <f t="array" ref="M21">IFERROR(IF($E21&lt;44348,"",IF(INDEX(Raw_매출!$B$2:$BI$155,MATCH($A21,Raw_매출!$A$2:$A$155,0),MATCH(EDATE($E21,M$1-1),Raw_매출!$B$1:$BI$1,0))=0,"",INDEX(Raw_매출!$B$2:$BI$155,MATCH($A21,Raw_매출!$A$2:$A$155,0),MATCH(EDATE($E21,M$1-1),Raw_매출!$B$1:$BI$1,0))/(INDEX(요약_월별시즈널리티!$F$7:$F$18,MONTH(EDATE($E21,M$1-1)))/100))),"")</f>
        <v/>
      </c>
      <c r="N21" s="30" t="str" cm="1">
        <f t="array" ref="N21">IFERROR(IF($E21&lt;44348,"",IF(INDEX(Raw_매출!$B$2:$BI$155,MATCH($A21,Raw_매출!$A$2:$A$155,0),MATCH(EDATE($E21,N$1-1),Raw_매출!$B$1:$BI$1,0))=0,"",INDEX(Raw_매출!$B$2:$BI$155,MATCH($A21,Raw_매출!$A$2:$A$155,0),MATCH(EDATE($E21,N$1-1),Raw_매출!$B$1:$BI$1,0))/(INDEX(요약_월별시즈널리티!$F$7:$F$18,MONTH(EDATE($E21,N$1-1)))/100))),"")</f>
        <v/>
      </c>
      <c r="O21" s="30" t="str" cm="1">
        <f t="array" ref="O21">IFERROR(IF($E21&lt;44348,"",IF(INDEX(Raw_매출!$B$2:$BI$155,MATCH($A21,Raw_매출!$A$2:$A$155,0),MATCH(EDATE($E21,O$1-1),Raw_매출!$B$1:$BI$1,0))=0,"",INDEX(Raw_매출!$B$2:$BI$155,MATCH($A21,Raw_매출!$A$2:$A$155,0),MATCH(EDATE($E21,O$1-1),Raw_매출!$B$1:$BI$1,0))/(INDEX(요약_월별시즈널리티!$F$7:$F$18,MONTH(EDATE($E21,O$1-1)))/100))),"")</f>
        <v/>
      </c>
      <c r="P21" t="str" cm="1">
        <f t="array" ref="P21">IFERROR(IF($E21&lt;44348,"",IF(INDEX(Raw_매출!$B$2:$BI$155,MATCH($A21,Raw_매출!$A$2:$A$155,0),MATCH(EDATE($E21,P$1-1),Raw_매출!$B$1:$BI$1,0))=0,"",INDEX(Raw_매출!$B$2:$BI$155,MATCH($A21,Raw_매출!$A$2:$A$155,0),MATCH(EDATE($E21,P$1-1),Raw_매출!$B$1:$BI$1,0))/(INDEX(요약_월별시즈널리티!$F$7:$F$18,MONTH(EDATE($E21,P$1-1)))/100))),"")</f>
        <v/>
      </c>
      <c r="Q21" t="str" cm="1">
        <f t="array" ref="Q21">IFERROR(IF($E21&lt;44348,"",IF(INDEX(Raw_매출!$B$2:$BI$155,MATCH($A21,Raw_매출!$A$2:$A$155,0),MATCH(EDATE($E21,Q$1-1),Raw_매출!$B$1:$BI$1,0))=0,"",INDEX(Raw_매출!$B$2:$BI$155,MATCH($A21,Raw_매출!$A$2:$A$155,0),MATCH(EDATE($E21,Q$1-1),Raw_매출!$B$1:$BI$1,0))/(INDEX(요약_월별시즈널리티!$F$7:$F$18,MONTH(EDATE($E21,Q$1-1)))/100))),"")</f>
        <v/>
      </c>
      <c r="R21" t="str" cm="1">
        <f t="array" ref="R21">IFERROR(IF($E21&lt;44348,"",IF(INDEX(Raw_매출!$B$2:$BI$155,MATCH($A21,Raw_매출!$A$2:$A$155,0),MATCH(EDATE($E21,R$1-1),Raw_매출!$B$1:$BI$1,0))=0,"",INDEX(Raw_매출!$B$2:$BI$155,MATCH($A21,Raw_매출!$A$2:$A$155,0),MATCH(EDATE($E21,R$1-1),Raw_매출!$B$1:$BI$1,0))/(INDEX(요약_월별시즈널리티!$F$7:$F$18,MONTH(EDATE($E21,R$1-1)))/100))),"")</f>
        <v/>
      </c>
      <c r="S21" t="str" cm="1">
        <f t="array" ref="S21">IFERROR(IF($E21&lt;44348,"",IF(INDEX(Raw_매출!$B$2:$BI$155,MATCH($A21,Raw_매출!$A$2:$A$155,0),MATCH(EDATE($E21,S$1-1),Raw_매출!$B$1:$BI$1,0))=0,"",INDEX(Raw_매출!$B$2:$BI$155,MATCH($A21,Raw_매출!$A$2:$A$155,0),MATCH(EDATE($E21,S$1-1),Raw_매출!$B$1:$BI$1,0))/(INDEX(요약_월별시즈널리티!$F$7:$F$18,MONTH(EDATE($E21,S$1-1)))/100))),"")</f>
        <v/>
      </c>
      <c r="T21" t="str" cm="1">
        <f t="array" ref="T21">IFERROR(IF($E21&lt;44348,"",IF(INDEX(Raw_매출!$B$2:$BI$155,MATCH($A21,Raw_매출!$A$2:$A$155,0),MATCH(EDATE($E21,T$1-1),Raw_매출!$B$1:$BI$1,0))=0,"",INDEX(Raw_매출!$B$2:$BI$155,MATCH($A21,Raw_매출!$A$2:$A$155,0),MATCH(EDATE($E21,T$1-1),Raw_매출!$B$1:$BI$1,0))/(INDEX(요약_월별시즈널리티!$F$7:$F$18,MONTH(EDATE($E21,T$1-1)))/100))),"")</f>
        <v/>
      </c>
      <c r="U21" t="str" cm="1">
        <f t="array" ref="U21">IFERROR(IF($E21&lt;44348,"",IF(INDEX(Raw_매출!$B$2:$BI$155,MATCH($A21,Raw_매출!$A$2:$A$155,0),MATCH(EDATE($E21,U$1-1),Raw_매출!$B$1:$BI$1,0))=0,"",INDEX(Raw_매출!$B$2:$BI$155,MATCH($A21,Raw_매출!$A$2:$A$155,0),MATCH(EDATE($E21,U$1-1),Raw_매출!$B$1:$BI$1,0))/(INDEX(요약_월별시즈널리티!$F$7:$F$18,MONTH(EDATE($E21,U$1-1)))/100))),"")</f>
        <v/>
      </c>
      <c r="V21" t="str" cm="1">
        <f t="array" ref="V21">IFERROR(IF($E21&lt;44348,"",IF(INDEX(Raw_매출!$B$2:$BI$155,MATCH($A21,Raw_매출!$A$2:$A$155,0),MATCH(EDATE($E21,V$1-1),Raw_매출!$B$1:$BI$1,0))=0,"",INDEX(Raw_매출!$B$2:$BI$155,MATCH($A21,Raw_매출!$A$2:$A$155,0),MATCH(EDATE($E21,V$1-1),Raw_매출!$B$1:$BI$1,0))/(INDEX(요약_월별시즈널리티!$F$7:$F$18,MONTH(EDATE($E21,V$1-1)))/100))),"")</f>
        <v/>
      </c>
      <c r="W21" t="str" cm="1">
        <f t="array" ref="W21">IFERROR(IF($E21&lt;44348,"",IF(INDEX(Raw_매출!$B$2:$BI$155,MATCH($A21,Raw_매출!$A$2:$A$155,0),MATCH(EDATE($E21,W$1-1),Raw_매출!$B$1:$BI$1,0))=0,"",INDEX(Raw_매출!$B$2:$BI$155,MATCH($A21,Raw_매출!$A$2:$A$155,0),MATCH(EDATE($E21,W$1-1),Raw_매출!$B$1:$BI$1,0))/(INDEX(요약_월별시즈널리티!$F$7:$F$18,MONTH(EDATE($E21,W$1-1)))/100))),"")</f>
        <v/>
      </c>
      <c r="X21" t="str" cm="1">
        <f t="array" ref="X21">IFERROR(IF($E21&lt;44348,"",IF(INDEX(Raw_매출!$B$2:$BI$155,MATCH($A21,Raw_매출!$A$2:$A$155,0),MATCH(EDATE($E21,X$1-1),Raw_매출!$B$1:$BI$1,0))=0,"",INDEX(Raw_매출!$B$2:$BI$155,MATCH($A21,Raw_매출!$A$2:$A$155,0),MATCH(EDATE($E21,X$1-1),Raw_매출!$B$1:$BI$1,0))/(INDEX(요약_월별시즈널리티!$F$7:$F$18,MONTH(EDATE($E21,X$1-1)))/100))),"")</f>
        <v/>
      </c>
      <c r="Y21" t="str" cm="1">
        <f t="array" ref="Y21">IFERROR(IF($E21&lt;44348,"",IF(INDEX(Raw_매출!$B$2:$BI$155,MATCH($A21,Raw_매출!$A$2:$A$155,0),MATCH(EDATE($E21,Y$1-1),Raw_매출!$B$1:$BI$1,0))=0,"",INDEX(Raw_매출!$B$2:$BI$155,MATCH($A21,Raw_매출!$A$2:$A$155,0),MATCH(EDATE($E21,Y$1-1),Raw_매출!$B$1:$BI$1,0))/(INDEX(요약_월별시즈널리티!$F$7:$F$18,MONTH(EDATE($E21,Y$1-1)))/100))),"")</f>
        <v/>
      </c>
      <c r="Z21" t="str" cm="1">
        <f t="array" ref="Z21">IFERROR(IF($E21&lt;44348,"",IF(INDEX(Raw_매출!$B$2:$BI$155,MATCH($A21,Raw_매출!$A$2:$A$155,0),MATCH(EDATE($E21,Z$1-1),Raw_매출!$B$1:$BI$1,0))=0,"",INDEX(Raw_매출!$B$2:$BI$155,MATCH($A21,Raw_매출!$A$2:$A$155,0),MATCH(EDATE($E21,Z$1-1),Raw_매출!$B$1:$BI$1,0))/(INDEX(요약_월별시즈널리티!$F$7:$F$18,MONTH(EDATE($E21,Z$1-1)))/100))),"")</f>
        <v/>
      </c>
      <c r="AA21" t="str" cm="1">
        <f t="array" ref="AA21">IFERROR(IF($E21&lt;44348,"",IF(INDEX(Raw_매출!$B$2:$BI$155,MATCH($A21,Raw_매출!$A$2:$A$155,0),MATCH(EDATE($E21,AA$1-1),Raw_매출!$B$1:$BI$1,0))=0,"",INDEX(Raw_매출!$B$2:$BI$155,MATCH($A21,Raw_매출!$A$2:$A$155,0),MATCH(EDATE($E21,AA$1-1),Raw_매출!$B$1:$BI$1,0))/(INDEX(요약_월별시즈널리티!$F$7:$F$18,MONTH(EDATE($E21,AA$1-1)))/100))),"")</f>
        <v/>
      </c>
      <c r="AB21" t="str" cm="1">
        <f t="array" ref="AB21">IFERROR(IF($E21&lt;44348,"",IF(INDEX(Raw_매출!$B$2:$BI$155,MATCH($A21,Raw_매출!$A$2:$A$155,0),MATCH(EDATE($E21,AB$1-1),Raw_매출!$B$1:$BI$1,0))=0,"",INDEX(Raw_매출!$B$2:$BI$155,MATCH($A21,Raw_매출!$A$2:$A$155,0),MATCH(EDATE($E21,AB$1-1),Raw_매출!$B$1:$BI$1,0))/(INDEX(요약_월별시즈널리티!$F$7:$F$18,MONTH(EDATE($E21,AB$1-1)))/100))),"")</f>
        <v/>
      </c>
      <c r="AC21" t="str" cm="1">
        <f t="array" ref="AC21">IFERROR(IF($E21&lt;44348,"",IF(INDEX(Raw_매출!$B$2:$BI$155,MATCH($A21,Raw_매출!$A$2:$A$155,0),MATCH(EDATE($E21,AC$1-1),Raw_매출!$B$1:$BI$1,0))=0,"",INDEX(Raw_매출!$B$2:$BI$155,MATCH($A21,Raw_매출!$A$2:$A$155,0),MATCH(EDATE($E21,AC$1-1),Raw_매출!$B$1:$BI$1,0))/(INDEX(요약_월별시즈널리티!$F$7:$F$18,MONTH(EDATE($E21,AC$1-1)))/100))),"")</f>
        <v/>
      </c>
      <c r="AD21" t="str" cm="1">
        <f t="array" ref="AD21">IFERROR(IF($E21&lt;44348,"",IF(INDEX(Raw_매출!$B$2:$BI$155,MATCH($A21,Raw_매출!$A$2:$A$155,0),MATCH(EDATE($E21,AD$1-1),Raw_매출!$B$1:$BI$1,0))=0,"",INDEX(Raw_매출!$B$2:$BI$155,MATCH($A21,Raw_매출!$A$2:$A$155,0),MATCH(EDATE($E21,AD$1-1),Raw_매출!$B$1:$BI$1,0))/(INDEX(요약_월별시즈널리티!$F$7:$F$18,MONTH(EDATE($E21,AD$1-1)))/100))),"")</f>
        <v/>
      </c>
      <c r="AE21" t="str" cm="1">
        <f t="array" ref="AE21">IFERROR(IF($E21&lt;44348,"",IF(INDEX(Raw_매출!$B$2:$BI$155,MATCH($A21,Raw_매출!$A$2:$A$155,0),MATCH(EDATE($E21,AE$1-1),Raw_매출!$B$1:$BI$1,0))=0,"",INDEX(Raw_매출!$B$2:$BI$155,MATCH($A21,Raw_매출!$A$2:$A$155,0),MATCH(EDATE($E21,AE$1-1),Raw_매출!$B$1:$BI$1,0))/(INDEX(요약_월별시즈널리티!$F$7:$F$18,MONTH(EDATE($E21,AE$1-1)))/100))),"")</f>
        <v/>
      </c>
      <c r="AF21" t="str" cm="1">
        <f t="array" ref="AF21">IFERROR(IF($E21&lt;44348,"",IF(INDEX(Raw_매출!$B$2:$BI$155,MATCH($A21,Raw_매출!$A$2:$A$155,0),MATCH(EDATE($E21,AF$1-1),Raw_매출!$B$1:$BI$1,0))=0,"",INDEX(Raw_매출!$B$2:$BI$155,MATCH($A21,Raw_매출!$A$2:$A$155,0),MATCH(EDATE($E21,AF$1-1),Raw_매출!$B$1:$BI$1,0))/(INDEX(요약_월별시즈널리티!$F$7:$F$18,MONTH(EDATE($E21,AF$1-1)))/100))),"")</f>
        <v/>
      </c>
      <c r="AG21" t="str" cm="1">
        <f t="array" ref="AG21">IFERROR(IF($E21&lt;44348,"",IF(INDEX(Raw_매출!$B$2:$BI$155,MATCH($A21,Raw_매출!$A$2:$A$155,0),MATCH(EDATE($E21,AG$1-1),Raw_매출!$B$1:$BI$1,0))=0,"",INDEX(Raw_매출!$B$2:$BI$155,MATCH($A21,Raw_매출!$A$2:$A$155,0),MATCH(EDATE($E21,AG$1-1),Raw_매출!$B$1:$BI$1,0))/(INDEX(요약_월별시즈널리티!$F$7:$F$18,MONTH(EDATE($E21,AG$1-1)))/100))),"")</f>
        <v/>
      </c>
      <c r="AH21" t="str" cm="1">
        <f t="array" ref="AH21">IFERROR(IF($E21&lt;44348,"",IF(INDEX(Raw_매출!$B$2:$BI$155,MATCH($A21,Raw_매출!$A$2:$A$155,0),MATCH(EDATE($E21,AH$1-1),Raw_매출!$B$1:$BI$1,0))=0,"",INDEX(Raw_매출!$B$2:$BI$155,MATCH($A21,Raw_매출!$A$2:$A$155,0),MATCH(EDATE($E21,AH$1-1),Raw_매출!$B$1:$BI$1,0))/(INDEX(요약_월별시즈널리티!$F$7:$F$18,MONTH(EDATE($E21,AH$1-1)))/100))),"")</f>
        <v/>
      </c>
      <c r="AI21" t="str" cm="1">
        <f t="array" ref="AI21">IFERROR(IF($E21&lt;44348,"",IF(INDEX(Raw_매출!$B$2:$BI$155,MATCH($A21,Raw_매출!$A$2:$A$155,0),MATCH(EDATE($E21,AI$1-1),Raw_매출!$B$1:$BI$1,0))=0,"",INDEX(Raw_매출!$B$2:$BI$155,MATCH($A21,Raw_매출!$A$2:$A$155,0),MATCH(EDATE($E21,AI$1-1),Raw_매출!$B$1:$BI$1,0))/(INDEX(요약_월별시즈널리티!$F$7:$F$18,MONTH(EDATE($E21,AI$1-1)))/100))),"")</f>
        <v/>
      </c>
      <c r="AJ21" t="str" cm="1">
        <f t="array" ref="AJ21">IFERROR(IF($E21&lt;44348,"",IF(INDEX(Raw_매출!$B$2:$BI$155,MATCH($A21,Raw_매출!$A$2:$A$155,0),MATCH(EDATE($E21,AJ$1-1),Raw_매출!$B$1:$BI$1,0))=0,"",INDEX(Raw_매출!$B$2:$BI$155,MATCH($A21,Raw_매출!$A$2:$A$155,0),MATCH(EDATE($E21,AJ$1-1),Raw_매출!$B$1:$BI$1,0))/(INDEX(요약_월별시즈널리티!$F$7:$F$18,MONTH(EDATE($E21,AJ$1-1)))/100))),"")</f>
        <v/>
      </c>
      <c r="AK21" t="str" cm="1">
        <f t="array" ref="AK21">IFERROR(IF($E21&lt;44348,"",IF(INDEX(Raw_매출!$B$2:$BI$155,MATCH($A21,Raw_매출!$A$2:$A$155,0),MATCH(EDATE($E21,AK$1-1),Raw_매출!$B$1:$BI$1,0))=0,"",INDEX(Raw_매출!$B$2:$BI$155,MATCH($A21,Raw_매출!$A$2:$A$155,0),MATCH(EDATE($E21,AK$1-1),Raw_매출!$B$1:$BI$1,0))/(INDEX(요약_월별시즈널리티!$F$7:$F$18,MONTH(EDATE($E21,AK$1-1)))/100))),"")</f>
        <v/>
      </c>
      <c r="AL21" t="str" cm="1">
        <f t="array" ref="AL21">IFERROR(IF($E21&lt;44348,"",IF(INDEX(Raw_매출!$B$2:$BI$155,MATCH($A21,Raw_매출!$A$2:$A$155,0),MATCH(EDATE($E21,AL$1-1),Raw_매출!$B$1:$BI$1,0))=0,"",INDEX(Raw_매출!$B$2:$BI$155,MATCH($A21,Raw_매출!$A$2:$A$155,0),MATCH(EDATE($E21,AL$1-1),Raw_매출!$B$1:$BI$1,0))/(INDEX(요약_월별시즈널리티!$F$7:$F$18,MONTH(EDATE($E21,AL$1-1)))/100))),"")</f>
        <v/>
      </c>
      <c r="AM21" t="str" cm="1">
        <f t="array" ref="AM21">IFERROR(IF($E21&lt;44348,"",IF(INDEX(Raw_매출!$B$2:$BI$155,MATCH($A21,Raw_매출!$A$2:$A$155,0),MATCH(EDATE($E21,AM$1-1),Raw_매출!$B$1:$BI$1,0))=0,"",INDEX(Raw_매출!$B$2:$BI$155,MATCH($A21,Raw_매출!$A$2:$A$155,0),MATCH(EDATE($E21,AM$1-1),Raw_매출!$B$1:$BI$1,0))/(INDEX(요약_월별시즈널리티!$F$7:$F$18,MONTH(EDATE($E21,AM$1-1)))/100))),"")</f>
        <v/>
      </c>
      <c r="AN21" t="str" cm="1">
        <f t="array" ref="AN21">IFERROR(IF($E21&lt;44348,"",IF(INDEX(Raw_매출!$B$2:$BI$155,MATCH($A21,Raw_매출!$A$2:$A$155,0),MATCH(EDATE($E21,AN$1-1),Raw_매출!$B$1:$BI$1,0))=0,"",INDEX(Raw_매출!$B$2:$BI$155,MATCH($A21,Raw_매출!$A$2:$A$155,0),MATCH(EDATE($E21,AN$1-1),Raw_매출!$B$1:$BI$1,0))/(INDEX(요약_월별시즈널리티!$F$7:$F$18,MONTH(EDATE($E21,AN$1-1)))/100))),"")</f>
        <v/>
      </c>
      <c r="AO21" t="str" cm="1">
        <f t="array" ref="AO21">IFERROR(IF($E21&lt;44348,"",IF(INDEX(Raw_매출!$B$2:$BI$155,MATCH($A21,Raw_매출!$A$2:$A$155,0),MATCH(EDATE($E21,AO$1-1),Raw_매출!$B$1:$BI$1,0))=0,"",INDEX(Raw_매출!$B$2:$BI$155,MATCH($A21,Raw_매출!$A$2:$A$155,0),MATCH(EDATE($E21,AO$1-1),Raw_매출!$B$1:$BI$1,0))/(INDEX(요약_월별시즈널리티!$F$7:$F$18,MONTH(EDATE($E21,AO$1-1)))/100))),"")</f>
        <v/>
      </c>
      <c r="AP21" t="str" cm="1">
        <f t="array" ref="AP21">IFERROR(IF($E21&lt;44348,"",IF(INDEX(Raw_매출!$B$2:$BI$155,MATCH($A21,Raw_매출!$A$2:$A$155,0),MATCH(EDATE($E21,AP$1-1),Raw_매출!$B$1:$BI$1,0))=0,"",INDEX(Raw_매출!$B$2:$BI$155,MATCH($A21,Raw_매출!$A$2:$A$155,0),MATCH(EDATE($E21,AP$1-1),Raw_매출!$B$1:$BI$1,0))/(INDEX(요약_월별시즈널리티!$F$7:$F$18,MONTH(EDATE($E21,AP$1-1)))/100))),"")</f>
        <v/>
      </c>
      <c r="AQ21" t="str" cm="1">
        <f t="array" ref="AQ21">IFERROR(IF($E21&lt;44348,"",IF(INDEX(Raw_매출!$B$2:$BI$155,MATCH($A21,Raw_매출!$A$2:$A$155,0),MATCH(EDATE($E21,AQ$1-1),Raw_매출!$B$1:$BI$1,0))=0,"",INDEX(Raw_매출!$B$2:$BI$155,MATCH($A21,Raw_매출!$A$2:$A$155,0),MATCH(EDATE($E21,AQ$1-1),Raw_매출!$B$1:$BI$1,0))/(INDEX(요약_월별시즈널리티!$F$7:$F$18,MONTH(EDATE($E21,AQ$1-1)))/100))),"")</f>
        <v/>
      </c>
      <c r="AR21" t="str" cm="1">
        <f t="array" ref="AR21">IFERROR(IF($E21&lt;44348,"",IF(INDEX(Raw_매출!$B$2:$BI$155,MATCH($A21,Raw_매출!$A$2:$A$155,0),MATCH(EDATE($E21,AR$1-1),Raw_매출!$B$1:$BI$1,0))=0,"",INDEX(Raw_매출!$B$2:$BI$155,MATCH($A21,Raw_매출!$A$2:$A$155,0),MATCH(EDATE($E21,AR$1-1),Raw_매출!$B$1:$BI$1,0))/(INDEX(요약_월별시즈널리티!$F$7:$F$18,MONTH(EDATE($E21,AR$1-1)))/100))),"")</f>
        <v/>
      </c>
      <c r="AS21" t="str" cm="1">
        <f t="array" ref="AS21">IFERROR(IF($E21&lt;44348,"",IF(INDEX(Raw_매출!$B$2:$BI$155,MATCH($A21,Raw_매출!$A$2:$A$155,0),MATCH(EDATE($E21,AS$1-1),Raw_매출!$B$1:$BI$1,0))=0,"",INDEX(Raw_매출!$B$2:$BI$155,MATCH($A21,Raw_매출!$A$2:$A$155,0),MATCH(EDATE($E21,AS$1-1),Raw_매출!$B$1:$BI$1,0))/(INDEX(요약_월별시즈널리티!$F$7:$F$18,MONTH(EDATE($E21,AS$1-1)))/100))),"")</f>
        <v/>
      </c>
      <c r="AT21" t="str" cm="1">
        <f t="array" ref="AT21">IFERROR(IF($E21&lt;44348,"",IF(INDEX(Raw_매출!$B$2:$BI$155,MATCH($A21,Raw_매출!$A$2:$A$155,0),MATCH(EDATE($E21,AT$1-1),Raw_매출!$B$1:$BI$1,0))=0,"",INDEX(Raw_매출!$B$2:$BI$155,MATCH($A21,Raw_매출!$A$2:$A$155,0),MATCH(EDATE($E21,AT$1-1),Raw_매출!$B$1:$BI$1,0))/(INDEX(요약_월별시즈널리티!$F$7:$F$18,MONTH(EDATE($E21,AT$1-1)))/100))),"")</f>
        <v/>
      </c>
      <c r="AU21" t="str" cm="1">
        <f t="array" ref="AU21">IFERROR(IF($E21&lt;44348,"",IF(INDEX(Raw_매출!$B$2:$BI$155,MATCH($A21,Raw_매출!$A$2:$A$155,0),MATCH(EDATE($E21,AU$1-1),Raw_매출!$B$1:$BI$1,0))=0,"",INDEX(Raw_매출!$B$2:$BI$155,MATCH($A21,Raw_매출!$A$2:$A$155,0),MATCH(EDATE($E21,AU$1-1),Raw_매출!$B$1:$BI$1,0))/(INDEX(요약_월별시즈널리티!$F$7:$F$18,MONTH(EDATE($E21,AU$1-1)))/100))),"")</f>
        <v/>
      </c>
      <c r="AV21" t="str" cm="1">
        <f t="array" ref="AV21">IFERROR(IF($E21&lt;44348,"",IF(INDEX(Raw_매출!$B$2:$BI$155,MATCH($A21,Raw_매출!$A$2:$A$155,0),MATCH(EDATE($E21,AV$1-1),Raw_매출!$B$1:$BI$1,0))=0,"",INDEX(Raw_매출!$B$2:$BI$155,MATCH($A21,Raw_매출!$A$2:$A$155,0),MATCH(EDATE($E21,AV$1-1),Raw_매출!$B$1:$BI$1,0))/(INDEX(요약_월별시즈널리티!$F$7:$F$18,MONTH(EDATE($E21,AV$1-1)))/100))),"")</f>
        <v/>
      </c>
      <c r="AW21" t="str" cm="1">
        <f t="array" ref="AW21">IFERROR(IF($E21&lt;44348,"",IF(INDEX(Raw_매출!$B$2:$BI$155,MATCH($A21,Raw_매출!$A$2:$A$155,0),MATCH(EDATE($E21,AW$1-1),Raw_매출!$B$1:$BI$1,0))=0,"",INDEX(Raw_매출!$B$2:$BI$155,MATCH($A21,Raw_매출!$A$2:$A$155,0),MATCH(EDATE($E21,AW$1-1),Raw_매출!$B$1:$BI$1,0))/(INDEX(요약_월별시즈널리티!$F$7:$F$18,MONTH(EDATE($E21,AW$1-1)))/100))),"")</f>
        <v/>
      </c>
      <c r="AX21" t="str" cm="1">
        <f t="array" ref="AX21">IFERROR(IF($E21&lt;44348,"",IF(INDEX(Raw_매출!$B$2:$BI$155,MATCH($A21,Raw_매출!$A$2:$A$155,0),MATCH(EDATE($E21,AX$1-1),Raw_매출!$B$1:$BI$1,0))=0,"",INDEX(Raw_매출!$B$2:$BI$155,MATCH($A21,Raw_매출!$A$2:$A$155,0),MATCH(EDATE($E21,AX$1-1),Raw_매출!$B$1:$BI$1,0))/(INDEX(요약_월별시즈널리티!$F$7:$F$18,MONTH(EDATE($E21,AX$1-1)))/100))),"")</f>
        <v/>
      </c>
      <c r="AY21" t="str" cm="1">
        <f t="array" ref="AY21">IFERROR(IF($E21&lt;44348,"",IF(INDEX(Raw_매출!$B$2:$BI$155,MATCH($A21,Raw_매출!$A$2:$A$155,0),MATCH(EDATE($E21,AY$1-1),Raw_매출!$B$1:$BI$1,0))=0,"",INDEX(Raw_매출!$B$2:$BI$155,MATCH($A21,Raw_매출!$A$2:$A$155,0),MATCH(EDATE($E21,AY$1-1),Raw_매출!$B$1:$BI$1,0))/(INDEX(요약_월별시즈널리티!$F$7:$F$18,MONTH(EDATE($E21,AY$1-1)))/100))),"")</f>
        <v/>
      </c>
      <c r="AZ21" t="str" cm="1">
        <f t="array" ref="AZ21">IFERROR(IF($E21&lt;44348,"",IF(INDEX(Raw_매출!$B$2:$BI$155,MATCH($A21,Raw_매출!$A$2:$A$155,0),MATCH(EDATE($E21,AZ$1-1),Raw_매출!$B$1:$BI$1,0))=0,"",INDEX(Raw_매출!$B$2:$BI$155,MATCH($A21,Raw_매출!$A$2:$A$155,0),MATCH(EDATE($E21,AZ$1-1),Raw_매출!$B$1:$BI$1,0))/(INDEX(요약_월별시즈널리티!$F$7:$F$18,MONTH(EDATE($E21,AZ$1-1)))/100))),"")</f>
        <v/>
      </c>
      <c r="BA21" t="str" cm="1">
        <f t="array" ref="BA21">IFERROR(IF($E21&lt;44348,"",IF(INDEX(Raw_매출!$B$2:$BI$155,MATCH($A21,Raw_매출!$A$2:$A$155,0),MATCH(EDATE($E21,BA$1-1),Raw_매출!$B$1:$BI$1,0))=0,"",INDEX(Raw_매출!$B$2:$BI$155,MATCH($A21,Raw_매출!$A$2:$A$155,0),MATCH(EDATE($E21,BA$1-1),Raw_매출!$B$1:$BI$1,0))/(INDEX(요약_월별시즈널리티!$F$7:$F$18,MONTH(EDATE($E21,BA$1-1)))/100))),"")</f>
        <v/>
      </c>
      <c r="BB21" t="str" cm="1">
        <f t="array" ref="BB21">IFERROR(IF($E21&lt;44348,"",IF(INDEX(Raw_매출!$B$2:$BI$155,MATCH($A21,Raw_매출!$A$2:$A$155,0),MATCH(EDATE($E21,BB$1-1),Raw_매출!$B$1:$BI$1,0))=0,"",INDEX(Raw_매출!$B$2:$BI$155,MATCH($A21,Raw_매출!$A$2:$A$155,0),MATCH(EDATE($E21,BB$1-1),Raw_매출!$B$1:$BI$1,0))/(INDEX(요약_월별시즈널리티!$F$7:$F$18,MONTH(EDATE($E21,BB$1-1)))/100))),"")</f>
        <v/>
      </c>
      <c r="BC21" t="str" cm="1">
        <f t="array" ref="BC21">IFERROR(IF($E21&lt;44348,"",IF(INDEX(Raw_매출!$B$2:$BI$155,MATCH($A21,Raw_매출!$A$2:$A$155,0),MATCH(EDATE($E21,BC$1-1),Raw_매출!$B$1:$BI$1,0))=0,"",INDEX(Raw_매출!$B$2:$BI$155,MATCH($A21,Raw_매출!$A$2:$A$155,0),MATCH(EDATE($E21,BC$1-1),Raw_매출!$B$1:$BI$1,0))/(INDEX(요약_월별시즈널리티!$F$7:$F$18,MONTH(EDATE($E21,BC$1-1)))/100))),"")</f>
        <v/>
      </c>
      <c r="BD21" t="str" cm="1">
        <f t="array" ref="BD21">IFERROR(IF($E21&lt;44348,"",IF(INDEX(Raw_매출!$B$2:$BI$155,MATCH($A21,Raw_매출!$A$2:$A$155,0),MATCH(EDATE($E21,BD$1-1),Raw_매출!$B$1:$BI$1,0))=0,"",INDEX(Raw_매출!$B$2:$BI$155,MATCH($A21,Raw_매출!$A$2:$A$155,0),MATCH(EDATE($E21,BD$1-1),Raw_매출!$B$1:$BI$1,0))/(INDEX(요약_월별시즈널리티!$F$7:$F$18,MONTH(EDATE($E21,BD$1-1)))/100))),"")</f>
        <v/>
      </c>
      <c r="BE21" t="str" cm="1">
        <f t="array" ref="BE21">IFERROR(IF($E21&lt;44348,"",IF(INDEX(Raw_매출!$B$2:$BI$155,MATCH($A21,Raw_매출!$A$2:$A$155,0),MATCH(EDATE($E21,BE$1-1),Raw_매출!$B$1:$BI$1,0))=0,"",INDEX(Raw_매출!$B$2:$BI$155,MATCH($A21,Raw_매출!$A$2:$A$155,0),MATCH(EDATE($E21,BE$1-1),Raw_매출!$B$1:$BI$1,0))/(INDEX(요약_월별시즈널리티!$F$7:$F$18,MONTH(EDATE($E21,BE$1-1)))/100))),"")</f>
        <v/>
      </c>
      <c r="BF21" t="str" cm="1">
        <f t="array" ref="BF21">IFERROR(IF($E21&lt;44348,"",IF(INDEX(Raw_매출!$B$2:$BI$155,MATCH($A21,Raw_매출!$A$2:$A$155,0),MATCH(EDATE($E21,BF$1-1),Raw_매출!$B$1:$BI$1,0))=0,"",INDEX(Raw_매출!$B$2:$BI$155,MATCH($A21,Raw_매출!$A$2:$A$155,0),MATCH(EDATE($E21,BF$1-1),Raw_매출!$B$1:$BI$1,0))/(INDEX(요약_월별시즈널리티!$F$7:$F$18,MONTH(EDATE($E21,BF$1-1)))/100))),"")</f>
        <v/>
      </c>
      <c r="BG21" t="str" cm="1">
        <f t="array" ref="BG21">IFERROR(IF($E21&lt;44348,"",IF(INDEX(Raw_매출!$B$2:$BI$155,MATCH($A21,Raw_매출!$A$2:$A$155,0),MATCH(EDATE($E21,BG$1-1),Raw_매출!$B$1:$BI$1,0))=0,"",INDEX(Raw_매출!$B$2:$BI$155,MATCH($A21,Raw_매출!$A$2:$A$155,0),MATCH(EDATE($E21,BG$1-1),Raw_매출!$B$1:$BI$1,0))/(INDEX(요약_월별시즈널리티!$F$7:$F$18,MONTH(EDATE($E21,BG$1-1)))/100))),"")</f>
        <v/>
      </c>
      <c r="BH21" t="str" cm="1">
        <f t="array" ref="BH21">IFERROR(IF($E21&lt;44348,"",IF(INDEX(Raw_매출!$B$2:$BI$155,MATCH($A21,Raw_매출!$A$2:$A$155,0),MATCH(EDATE($E21,BH$1-1),Raw_매출!$B$1:$BI$1,0))=0,"",INDEX(Raw_매출!$B$2:$BI$155,MATCH($A21,Raw_매출!$A$2:$A$155,0),MATCH(EDATE($E21,BH$1-1),Raw_매출!$B$1:$BI$1,0))/(INDEX(요약_월별시즈널리티!$F$7:$F$18,MONTH(EDATE($E21,BH$1-1)))/100))),"")</f>
        <v/>
      </c>
      <c r="BI21" t="str" cm="1">
        <f t="array" ref="BI21">IFERROR(IF($E21&lt;44348,"",IF(INDEX(Raw_매출!$B$2:$BI$155,MATCH($A21,Raw_매출!$A$2:$A$155,0),MATCH(EDATE($E21,BI$1-1),Raw_매출!$B$1:$BI$1,0))=0,"",INDEX(Raw_매출!$B$2:$BI$155,MATCH($A21,Raw_매출!$A$2:$A$155,0),MATCH(EDATE($E21,BI$1-1),Raw_매출!$B$1:$BI$1,0))/(INDEX(요약_월별시즈널리티!$F$7:$F$18,MONTH(EDATE($E21,BI$1-1)))/100))),"")</f>
        <v/>
      </c>
      <c r="BJ21" t="str" cm="1">
        <f t="array" ref="BJ21">IFERROR(IF($E21&lt;44348,"",IF(INDEX(Raw_매출!$B$2:$BI$155,MATCH($A21,Raw_매출!$A$2:$A$155,0),MATCH(EDATE($E21,BJ$1-1),Raw_매출!$B$1:$BI$1,0))=0,"",INDEX(Raw_매출!$B$2:$BI$155,MATCH($A21,Raw_매출!$A$2:$A$155,0),MATCH(EDATE($E21,BJ$1-1),Raw_매출!$B$1:$BI$1,0))/(INDEX(요약_월별시즈널리티!$F$7:$F$18,MONTH(EDATE($E21,BJ$1-1)))/100))),"")</f>
        <v/>
      </c>
      <c r="BK21" t="str" cm="1">
        <f t="array" ref="BK21">IFERROR(IF($E21&lt;44348,"",IF(INDEX(Raw_매출!$B$2:$BI$155,MATCH($A21,Raw_매출!$A$2:$A$155,0),MATCH(EDATE($E21,BK$1-1),Raw_매출!$B$1:$BI$1,0))=0,"",INDEX(Raw_매출!$B$2:$BI$155,MATCH($A21,Raw_매출!$A$2:$A$155,0),MATCH(EDATE($E21,BK$1-1),Raw_매출!$B$1:$BI$1,0))/(INDEX(요약_월별시즈널리티!$F$7:$F$18,MONTH(EDATE($E21,BK$1-1)))/100))),"")</f>
        <v/>
      </c>
      <c r="BL21" t="str" cm="1">
        <f t="array" ref="BL21">IFERROR(IF($E21&lt;44348,"",IF(INDEX(Raw_매출!$B$2:$BI$155,MATCH($A21,Raw_매출!$A$2:$A$155,0),MATCH(EDATE($E21,BL$1-1),Raw_매출!$B$1:$BI$1,0))=0,"",INDEX(Raw_매출!$B$2:$BI$155,MATCH($A21,Raw_매출!$A$2:$A$155,0),MATCH(EDATE($E21,BL$1-1),Raw_매출!$B$1:$BI$1,0))/(INDEX(요약_월별시즈널리티!$F$7:$F$18,MONTH(EDATE($E21,BL$1-1)))/100))),"")</f>
        <v/>
      </c>
      <c r="BM21" t="str" cm="1">
        <f t="array" ref="BM21">IFERROR(IF($E21&lt;44348,"",IF(INDEX(Raw_매출!$B$2:$BI$155,MATCH($A21,Raw_매출!$A$2:$A$155,0),MATCH(EDATE($E21,BM$1-1),Raw_매출!$B$1:$BI$1,0))=0,"",INDEX(Raw_매출!$B$2:$BI$155,MATCH($A21,Raw_매출!$A$2:$A$155,0),MATCH(EDATE($E21,BM$1-1),Raw_매출!$B$1:$BI$1,0))/(INDEX(요약_월별시즈널리티!$F$7:$F$18,MONTH(EDATE($E21,BM$1-1)))/100))),"")</f>
        <v/>
      </c>
      <c r="BN21" t="str" cm="1">
        <f t="array" ref="BN21">IFERROR(IF($E21&lt;44348,"",IF(INDEX(Raw_매출!$B$2:$BI$155,MATCH($A21,Raw_매출!$A$2:$A$155,0),MATCH(EDATE($E21,BN$1-1),Raw_매출!$B$1:$BI$1,0))=0,"",INDEX(Raw_매출!$B$2:$BI$155,MATCH($A21,Raw_매출!$A$2:$A$155,0),MATCH(EDATE($E21,BN$1-1),Raw_매출!$B$1:$BI$1,0))/(INDEX(요약_월별시즈널리티!$F$7:$F$18,MONTH(EDATE($E21,BN$1-1)))/100))),"")</f>
        <v/>
      </c>
    </row>
    <row r="22" spans="1:66" x14ac:dyDescent="0.4">
      <c r="A22" t="str">
        <f>세팅!A23</f>
        <v>(1007) #구의점</v>
      </c>
      <c r="B22" t="str">
        <f>세팅!B23</f>
        <v>150-2</v>
      </c>
      <c r="C22">
        <f t="shared" si="0"/>
        <v>2</v>
      </c>
      <c r="D22" t="str">
        <f t="shared" si="1"/>
        <v>2</v>
      </c>
      <c r="E22" s="1">
        <f>세팅!D23</f>
        <v>43952</v>
      </c>
      <c r="F22" t="str">
        <f t="shared" si="2"/>
        <v/>
      </c>
      <c r="G22" t="str" cm="1">
        <f t="array" ref="G22">IFERROR(IF($E22&lt;44348,"",IF(INDEX(Raw_매출!$B$2:$BI$155,MATCH($A22,Raw_매출!$A$2:$A$155,0),MATCH(EDATE($E22,G$1-1),Raw_매출!$B$1:$BI$1,0))=0,"",INDEX(Raw_매출!$B$2:$BI$155,MATCH($A22,Raw_매출!$A$2:$A$155,0),MATCH(EDATE($E22,G$1-1),Raw_매출!$B$1:$BI$1,0))/(INDEX(요약_월별시즈널리티!$F$7:$F$18,MONTH(EDATE($E22,G$1-1)))/100))),"")</f>
        <v/>
      </c>
      <c r="H22" t="str" cm="1">
        <f t="array" ref="H22">IFERROR(IF($E22&lt;44348,"",IF(INDEX(Raw_매출!$B$2:$BI$155,MATCH($A22,Raw_매출!$A$2:$A$155,0),MATCH(EDATE($E22,H$1-1),Raw_매출!$B$1:$BI$1,0))=0,"",INDEX(Raw_매출!$B$2:$BI$155,MATCH($A22,Raw_매출!$A$2:$A$155,0),MATCH(EDATE($E22,H$1-1),Raw_매출!$B$1:$BI$1,0))/(INDEX(요약_월별시즈널리티!$F$7:$F$18,MONTH(EDATE($E22,H$1-1)))/100))),"")</f>
        <v/>
      </c>
      <c r="I22" t="str" cm="1">
        <f t="array" ref="I22">IFERROR(IF($E22&lt;44348,"",IF(INDEX(Raw_매출!$B$2:$BI$155,MATCH($A22,Raw_매출!$A$2:$A$155,0),MATCH(EDATE($E22,I$1-1),Raw_매출!$B$1:$BI$1,0))=0,"",INDEX(Raw_매출!$B$2:$BI$155,MATCH($A22,Raw_매출!$A$2:$A$155,0),MATCH(EDATE($E22,I$1-1),Raw_매출!$B$1:$BI$1,0))/(INDEX(요약_월별시즈널리티!$F$7:$F$18,MONTH(EDATE($E22,I$1-1)))/100))),"")</f>
        <v/>
      </c>
      <c r="J22" s="30" t="str" cm="1">
        <f t="array" ref="J22">IFERROR(IF($E22&lt;44348,"",IF(INDEX(Raw_매출!$B$2:$BI$155,MATCH($A22,Raw_매출!$A$2:$A$155,0),MATCH(EDATE($E22,J$1-1),Raw_매출!$B$1:$BI$1,0))=0,"",INDEX(Raw_매출!$B$2:$BI$155,MATCH($A22,Raw_매출!$A$2:$A$155,0),MATCH(EDATE($E22,J$1-1),Raw_매출!$B$1:$BI$1,0))/(INDEX(요약_월별시즈널리티!$F$7:$F$18,MONTH(EDATE($E22,J$1-1)))/100))),"")</f>
        <v/>
      </c>
      <c r="K22" s="30" t="str" cm="1">
        <f t="array" ref="K22">IFERROR(IF($E22&lt;44348,"",IF(INDEX(Raw_매출!$B$2:$BI$155,MATCH($A22,Raw_매출!$A$2:$A$155,0),MATCH(EDATE($E22,K$1-1),Raw_매출!$B$1:$BI$1,0))=0,"",INDEX(Raw_매출!$B$2:$BI$155,MATCH($A22,Raw_매출!$A$2:$A$155,0),MATCH(EDATE($E22,K$1-1),Raw_매출!$B$1:$BI$1,0))/(INDEX(요약_월별시즈널리티!$F$7:$F$18,MONTH(EDATE($E22,K$1-1)))/100))),"")</f>
        <v/>
      </c>
      <c r="L22" s="30" t="str" cm="1">
        <f t="array" ref="L22">IFERROR(IF($E22&lt;44348,"",IF(INDEX(Raw_매출!$B$2:$BI$155,MATCH($A22,Raw_매출!$A$2:$A$155,0),MATCH(EDATE($E22,L$1-1),Raw_매출!$B$1:$BI$1,0))=0,"",INDEX(Raw_매출!$B$2:$BI$155,MATCH($A22,Raw_매출!$A$2:$A$155,0),MATCH(EDATE($E22,L$1-1),Raw_매출!$B$1:$BI$1,0))/(INDEX(요약_월별시즈널리티!$F$7:$F$18,MONTH(EDATE($E22,L$1-1)))/100))),"")</f>
        <v/>
      </c>
      <c r="M22" s="30" t="str" cm="1">
        <f t="array" ref="M22">IFERROR(IF($E22&lt;44348,"",IF(INDEX(Raw_매출!$B$2:$BI$155,MATCH($A22,Raw_매출!$A$2:$A$155,0),MATCH(EDATE($E22,M$1-1),Raw_매출!$B$1:$BI$1,0))=0,"",INDEX(Raw_매출!$B$2:$BI$155,MATCH($A22,Raw_매출!$A$2:$A$155,0),MATCH(EDATE($E22,M$1-1),Raw_매출!$B$1:$BI$1,0))/(INDEX(요약_월별시즈널리티!$F$7:$F$18,MONTH(EDATE($E22,M$1-1)))/100))),"")</f>
        <v/>
      </c>
      <c r="N22" s="30" t="str" cm="1">
        <f t="array" ref="N22">IFERROR(IF($E22&lt;44348,"",IF(INDEX(Raw_매출!$B$2:$BI$155,MATCH($A22,Raw_매출!$A$2:$A$155,0),MATCH(EDATE($E22,N$1-1),Raw_매출!$B$1:$BI$1,0))=0,"",INDEX(Raw_매출!$B$2:$BI$155,MATCH($A22,Raw_매출!$A$2:$A$155,0),MATCH(EDATE($E22,N$1-1),Raw_매출!$B$1:$BI$1,0))/(INDEX(요약_월별시즈널리티!$F$7:$F$18,MONTH(EDATE($E22,N$1-1)))/100))),"")</f>
        <v/>
      </c>
      <c r="O22" s="30" t="str" cm="1">
        <f t="array" ref="O22">IFERROR(IF($E22&lt;44348,"",IF(INDEX(Raw_매출!$B$2:$BI$155,MATCH($A22,Raw_매출!$A$2:$A$155,0),MATCH(EDATE($E22,O$1-1),Raw_매출!$B$1:$BI$1,0))=0,"",INDEX(Raw_매출!$B$2:$BI$155,MATCH($A22,Raw_매출!$A$2:$A$155,0),MATCH(EDATE($E22,O$1-1),Raw_매출!$B$1:$BI$1,0))/(INDEX(요약_월별시즈널리티!$F$7:$F$18,MONTH(EDATE($E22,O$1-1)))/100))),"")</f>
        <v/>
      </c>
      <c r="P22" t="str" cm="1">
        <f t="array" ref="P22">IFERROR(IF($E22&lt;44348,"",IF(INDEX(Raw_매출!$B$2:$BI$155,MATCH($A22,Raw_매출!$A$2:$A$155,0),MATCH(EDATE($E22,P$1-1),Raw_매출!$B$1:$BI$1,0))=0,"",INDEX(Raw_매출!$B$2:$BI$155,MATCH($A22,Raw_매출!$A$2:$A$155,0),MATCH(EDATE($E22,P$1-1),Raw_매출!$B$1:$BI$1,0))/(INDEX(요약_월별시즈널리티!$F$7:$F$18,MONTH(EDATE($E22,P$1-1)))/100))),"")</f>
        <v/>
      </c>
      <c r="Q22" t="str" cm="1">
        <f t="array" ref="Q22">IFERROR(IF($E22&lt;44348,"",IF(INDEX(Raw_매출!$B$2:$BI$155,MATCH($A22,Raw_매출!$A$2:$A$155,0),MATCH(EDATE($E22,Q$1-1),Raw_매출!$B$1:$BI$1,0))=0,"",INDEX(Raw_매출!$B$2:$BI$155,MATCH($A22,Raw_매출!$A$2:$A$155,0),MATCH(EDATE($E22,Q$1-1),Raw_매출!$B$1:$BI$1,0))/(INDEX(요약_월별시즈널리티!$F$7:$F$18,MONTH(EDATE($E22,Q$1-1)))/100))),"")</f>
        <v/>
      </c>
      <c r="R22" t="str" cm="1">
        <f t="array" ref="R22">IFERROR(IF($E22&lt;44348,"",IF(INDEX(Raw_매출!$B$2:$BI$155,MATCH($A22,Raw_매출!$A$2:$A$155,0),MATCH(EDATE($E22,R$1-1),Raw_매출!$B$1:$BI$1,0))=0,"",INDEX(Raw_매출!$B$2:$BI$155,MATCH($A22,Raw_매출!$A$2:$A$155,0),MATCH(EDATE($E22,R$1-1),Raw_매출!$B$1:$BI$1,0))/(INDEX(요약_월별시즈널리티!$F$7:$F$18,MONTH(EDATE($E22,R$1-1)))/100))),"")</f>
        <v/>
      </c>
      <c r="S22" t="str" cm="1">
        <f t="array" ref="S22">IFERROR(IF($E22&lt;44348,"",IF(INDEX(Raw_매출!$B$2:$BI$155,MATCH($A22,Raw_매출!$A$2:$A$155,0),MATCH(EDATE($E22,S$1-1),Raw_매출!$B$1:$BI$1,0))=0,"",INDEX(Raw_매출!$B$2:$BI$155,MATCH($A22,Raw_매출!$A$2:$A$155,0),MATCH(EDATE($E22,S$1-1),Raw_매출!$B$1:$BI$1,0))/(INDEX(요약_월별시즈널리티!$F$7:$F$18,MONTH(EDATE($E22,S$1-1)))/100))),"")</f>
        <v/>
      </c>
      <c r="T22" t="str" cm="1">
        <f t="array" ref="T22">IFERROR(IF($E22&lt;44348,"",IF(INDEX(Raw_매출!$B$2:$BI$155,MATCH($A22,Raw_매출!$A$2:$A$155,0),MATCH(EDATE($E22,T$1-1),Raw_매출!$B$1:$BI$1,0))=0,"",INDEX(Raw_매출!$B$2:$BI$155,MATCH($A22,Raw_매출!$A$2:$A$155,0),MATCH(EDATE($E22,T$1-1),Raw_매출!$B$1:$BI$1,0))/(INDEX(요약_월별시즈널리티!$F$7:$F$18,MONTH(EDATE($E22,T$1-1)))/100))),"")</f>
        <v/>
      </c>
      <c r="U22" t="str" cm="1">
        <f t="array" ref="U22">IFERROR(IF($E22&lt;44348,"",IF(INDEX(Raw_매출!$B$2:$BI$155,MATCH($A22,Raw_매출!$A$2:$A$155,0),MATCH(EDATE($E22,U$1-1),Raw_매출!$B$1:$BI$1,0))=0,"",INDEX(Raw_매출!$B$2:$BI$155,MATCH($A22,Raw_매출!$A$2:$A$155,0),MATCH(EDATE($E22,U$1-1),Raw_매출!$B$1:$BI$1,0))/(INDEX(요약_월별시즈널리티!$F$7:$F$18,MONTH(EDATE($E22,U$1-1)))/100))),"")</f>
        <v/>
      </c>
      <c r="V22" t="str" cm="1">
        <f t="array" ref="V22">IFERROR(IF($E22&lt;44348,"",IF(INDEX(Raw_매출!$B$2:$BI$155,MATCH($A22,Raw_매출!$A$2:$A$155,0),MATCH(EDATE($E22,V$1-1),Raw_매출!$B$1:$BI$1,0))=0,"",INDEX(Raw_매출!$B$2:$BI$155,MATCH($A22,Raw_매출!$A$2:$A$155,0),MATCH(EDATE($E22,V$1-1),Raw_매출!$B$1:$BI$1,0))/(INDEX(요약_월별시즈널리티!$F$7:$F$18,MONTH(EDATE($E22,V$1-1)))/100))),"")</f>
        <v/>
      </c>
      <c r="W22" t="str" cm="1">
        <f t="array" ref="W22">IFERROR(IF($E22&lt;44348,"",IF(INDEX(Raw_매출!$B$2:$BI$155,MATCH($A22,Raw_매출!$A$2:$A$155,0),MATCH(EDATE($E22,W$1-1),Raw_매출!$B$1:$BI$1,0))=0,"",INDEX(Raw_매출!$B$2:$BI$155,MATCH($A22,Raw_매출!$A$2:$A$155,0),MATCH(EDATE($E22,W$1-1),Raw_매출!$B$1:$BI$1,0))/(INDEX(요약_월별시즈널리티!$F$7:$F$18,MONTH(EDATE($E22,W$1-1)))/100))),"")</f>
        <v/>
      </c>
      <c r="X22" t="str" cm="1">
        <f t="array" ref="X22">IFERROR(IF($E22&lt;44348,"",IF(INDEX(Raw_매출!$B$2:$BI$155,MATCH($A22,Raw_매출!$A$2:$A$155,0),MATCH(EDATE($E22,X$1-1),Raw_매출!$B$1:$BI$1,0))=0,"",INDEX(Raw_매출!$B$2:$BI$155,MATCH($A22,Raw_매출!$A$2:$A$155,0),MATCH(EDATE($E22,X$1-1),Raw_매출!$B$1:$BI$1,0))/(INDEX(요약_월별시즈널리티!$F$7:$F$18,MONTH(EDATE($E22,X$1-1)))/100))),"")</f>
        <v/>
      </c>
      <c r="Y22" t="str" cm="1">
        <f t="array" ref="Y22">IFERROR(IF($E22&lt;44348,"",IF(INDEX(Raw_매출!$B$2:$BI$155,MATCH($A22,Raw_매출!$A$2:$A$155,0),MATCH(EDATE($E22,Y$1-1),Raw_매출!$B$1:$BI$1,0))=0,"",INDEX(Raw_매출!$B$2:$BI$155,MATCH($A22,Raw_매출!$A$2:$A$155,0),MATCH(EDATE($E22,Y$1-1),Raw_매출!$B$1:$BI$1,0))/(INDEX(요약_월별시즈널리티!$F$7:$F$18,MONTH(EDATE($E22,Y$1-1)))/100))),"")</f>
        <v/>
      </c>
      <c r="Z22" t="str" cm="1">
        <f t="array" ref="Z22">IFERROR(IF($E22&lt;44348,"",IF(INDEX(Raw_매출!$B$2:$BI$155,MATCH($A22,Raw_매출!$A$2:$A$155,0),MATCH(EDATE($E22,Z$1-1),Raw_매출!$B$1:$BI$1,0))=0,"",INDEX(Raw_매출!$B$2:$BI$155,MATCH($A22,Raw_매출!$A$2:$A$155,0),MATCH(EDATE($E22,Z$1-1),Raw_매출!$B$1:$BI$1,0))/(INDEX(요약_월별시즈널리티!$F$7:$F$18,MONTH(EDATE($E22,Z$1-1)))/100))),"")</f>
        <v/>
      </c>
      <c r="AA22" t="str" cm="1">
        <f t="array" ref="AA22">IFERROR(IF($E22&lt;44348,"",IF(INDEX(Raw_매출!$B$2:$BI$155,MATCH($A22,Raw_매출!$A$2:$A$155,0),MATCH(EDATE($E22,AA$1-1),Raw_매출!$B$1:$BI$1,0))=0,"",INDEX(Raw_매출!$B$2:$BI$155,MATCH($A22,Raw_매출!$A$2:$A$155,0),MATCH(EDATE($E22,AA$1-1),Raw_매출!$B$1:$BI$1,0))/(INDEX(요약_월별시즈널리티!$F$7:$F$18,MONTH(EDATE($E22,AA$1-1)))/100))),"")</f>
        <v/>
      </c>
      <c r="AB22" t="str" cm="1">
        <f t="array" ref="AB22">IFERROR(IF($E22&lt;44348,"",IF(INDEX(Raw_매출!$B$2:$BI$155,MATCH($A22,Raw_매출!$A$2:$A$155,0),MATCH(EDATE($E22,AB$1-1),Raw_매출!$B$1:$BI$1,0))=0,"",INDEX(Raw_매출!$B$2:$BI$155,MATCH($A22,Raw_매출!$A$2:$A$155,0),MATCH(EDATE($E22,AB$1-1),Raw_매출!$B$1:$BI$1,0))/(INDEX(요약_월별시즈널리티!$F$7:$F$18,MONTH(EDATE($E22,AB$1-1)))/100))),"")</f>
        <v/>
      </c>
      <c r="AC22" t="str" cm="1">
        <f t="array" ref="AC22">IFERROR(IF($E22&lt;44348,"",IF(INDEX(Raw_매출!$B$2:$BI$155,MATCH($A22,Raw_매출!$A$2:$A$155,0),MATCH(EDATE($E22,AC$1-1),Raw_매출!$B$1:$BI$1,0))=0,"",INDEX(Raw_매출!$B$2:$BI$155,MATCH($A22,Raw_매출!$A$2:$A$155,0),MATCH(EDATE($E22,AC$1-1),Raw_매출!$B$1:$BI$1,0))/(INDEX(요약_월별시즈널리티!$F$7:$F$18,MONTH(EDATE($E22,AC$1-1)))/100))),"")</f>
        <v/>
      </c>
      <c r="AD22" t="str" cm="1">
        <f t="array" ref="AD22">IFERROR(IF($E22&lt;44348,"",IF(INDEX(Raw_매출!$B$2:$BI$155,MATCH($A22,Raw_매출!$A$2:$A$155,0),MATCH(EDATE($E22,AD$1-1),Raw_매출!$B$1:$BI$1,0))=0,"",INDEX(Raw_매출!$B$2:$BI$155,MATCH($A22,Raw_매출!$A$2:$A$155,0),MATCH(EDATE($E22,AD$1-1),Raw_매출!$B$1:$BI$1,0))/(INDEX(요약_월별시즈널리티!$F$7:$F$18,MONTH(EDATE($E22,AD$1-1)))/100))),"")</f>
        <v/>
      </c>
      <c r="AE22" t="str" cm="1">
        <f t="array" ref="AE22">IFERROR(IF($E22&lt;44348,"",IF(INDEX(Raw_매출!$B$2:$BI$155,MATCH($A22,Raw_매출!$A$2:$A$155,0),MATCH(EDATE($E22,AE$1-1),Raw_매출!$B$1:$BI$1,0))=0,"",INDEX(Raw_매출!$B$2:$BI$155,MATCH($A22,Raw_매출!$A$2:$A$155,0),MATCH(EDATE($E22,AE$1-1),Raw_매출!$B$1:$BI$1,0))/(INDEX(요약_월별시즈널리티!$F$7:$F$18,MONTH(EDATE($E22,AE$1-1)))/100))),"")</f>
        <v/>
      </c>
      <c r="AF22" t="str" cm="1">
        <f t="array" ref="AF22">IFERROR(IF($E22&lt;44348,"",IF(INDEX(Raw_매출!$B$2:$BI$155,MATCH($A22,Raw_매출!$A$2:$A$155,0),MATCH(EDATE($E22,AF$1-1),Raw_매출!$B$1:$BI$1,0))=0,"",INDEX(Raw_매출!$B$2:$BI$155,MATCH($A22,Raw_매출!$A$2:$A$155,0),MATCH(EDATE($E22,AF$1-1),Raw_매출!$B$1:$BI$1,0))/(INDEX(요약_월별시즈널리티!$F$7:$F$18,MONTH(EDATE($E22,AF$1-1)))/100))),"")</f>
        <v/>
      </c>
      <c r="AG22" t="str" cm="1">
        <f t="array" ref="AG22">IFERROR(IF($E22&lt;44348,"",IF(INDEX(Raw_매출!$B$2:$BI$155,MATCH($A22,Raw_매출!$A$2:$A$155,0),MATCH(EDATE($E22,AG$1-1),Raw_매출!$B$1:$BI$1,0))=0,"",INDEX(Raw_매출!$B$2:$BI$155,MATCH($A22,Raw_매출!$A$2:$A$155,0),MATCH(EDATE($E22,AG$1-1),Raw_매출!$B$1:$BI$1,0))/(INDEX(요약_월별시즈널리티!$F$7:$F$18,MONTH(EDATE($E22,AG$1-1)))/100))),"")</f>
        <v/>
      </c>
      <c r="AH22" t="str" cm="1">
        <f t="array" ref="AH22">IFERROR(IF($E22&lt;44348,"",IF(INDEX(Raw_매출!$B$2:$BI$155,MATCH($A22,Raw_매출!$A$2:$A$155,0),MATCH(EDATE($E22,AH$1-1),Raw_매출!$B$1:$BI$1,0))=0,"",INDEX(Raw_매출!$B$2:$BI$155,MATCH($A22,Raw_매출!$A$2:$A$155,0),MATCH(EDATE($E22,AH$1-1),Raw_매출!$B$1:$BI$1,0))/(INDEX(요약_월별시즈널리티!$F$7:$F$18,MONTH(EDATE($E22,AH$1-1)))/100))),"")</f>
        <v/>
      </c>
      <c r="AI22" t="str" cm="1">
        <f t="array" ref="AI22">IFERROR(IF($E22&lt;44348,"",IF(INDEX(Raw_매출!$B$2:$BI$155,MATCH($A22,Raw_매출!$A$2:$A$155,0),MATCH(EDATE($E22,AI$1-1),Raw_매출!$B$1:$BI$1,0))=0,"",INDEX(Raw_매출!$B$2:$BI$155,MATCH($A22,Raw_매출!$A$2:$A$155,0),MATCH(EDATE($E22,AI$1-1),Raw_매출!$B$1:$BI$1,0))/(INDEX(요약_월별시즈널리티!$F$7:$F$18,MONTH(EDATE($E22,AI$1-1)))/100))),"")</f>
        <v/>
      </c>
      <c r="AJ22" t="str" cm="1">
        <f t="array" ref="AJ22">IFERROR(IF($E22&lt;44348,"",IF(INDEX(Raw_매출!$B$2:$BI$155,MATCH($A22,Raw_매출!$A$2:$A$155,0),MATCH(EDATE($E22,AJ$1-1),Raw_매출!$B$1:$BI$1,0))=0,"",INDEX(Raw_매출!$B$2:$BI$155,MATCH($A22,Raw_매출!$A$2:$A$155,0),MATCH(EDATE($E22,AJ$1-1),Raw_매출!$B$1:$BI$1,0))/(INDEX(요약_월별시즈널리티!$F$7:$F$18,MONTH(EDATE($E22,AJ$1-1)))/100))),"")</f>
        <v/>
      </c>
      <c r="AK22" t="str" cm="1">
        <f t="array" ref="AK22">IFERROR(IF($E22&lt;44348,"",IF(INDEX(Raw_매출!$B$2:$BI$155,MATCH($A22,Raw_매출!$A$2:$A$155,0),MATCH(EDATE($E22,AK$1-1),Raw_매출!$B$1:$BI$1,0))=0,"",INDEX(Raw_매출!$B$2:$BI$155,MATCH($A22,Raw_매출!$A$2:$A$155,0),MATCH(EDATE($E22,AK$1-1),Raw_매출!$B$1:$BI$1,0))/(INDEX(요약_월별시즈널리티!$F$7:$F$18,MONTH(EDATE($E22,AK$1-1)))/100))),"")</f>
        <v/>
      </c>
      <c r="AL22" t="str" cm="1">
        <f t="array" ref="AL22">IFERROR(IF($E22&lt;44348,"",IF(INDEX(Raw_매출!$B$2:$BI$155,MATCH($A22,Raw_매출!$A$2:$A$155,0),MATCH(EDATE($E22,AL$1-1),Raw_매출!$B$1:$BI$1,0))=0,"",INDEX(Raw_매출!$B$2:$BI$155,MATCH($A22,Raw_매출!$A$2:$A$155,0),MATCH(EDATE($E22,AL$1-1),Raw_매출!$B$1:$BI$1,0))/(INDEX(요약_월별시즈널리티!$F$7:$F$18,MONTH(EDATE($E22,AL$1-1)))/100))),"")</f>
        <v/>
      </c>
      <c r="AM22" t="str" cm="1">
        <f t="array" ref="AM22">IFERROR(IF($E22&lt;44348,"",IF(INDEX(Raw_매출!$B$2:$BI$155,MATCH($A22,Raw_매출!$A$2:$A$155,0),MATCH(EDATE($E22,AM$1-1),Raw_매출!$B$1:$BI$1,0))=0,"",INDEX(Raw_매출!$B$2:$BI$155,MATCH($A22,Raw_매출!$A$2:$A$155,0),MATCH(EDATE($E22,AM$1-1),Raw_매출!$B$1:$BI$1,0))/(INDEX(요약_월별시즈널리티!$F$7:$F$18,MONTH(EDATE($E22,AM$1-1)))/100))),"")</f>
        <v/>
      </c>
      <c r="AN22" t="str" cm="1">
        <f t="array" ref="AN22">IFERROR(IF($E22&lt;44348,"",IF(INDEX(Raw_매출!$B$2:$BI$155,MATCH($A22,Raw_매출!$A$2:$A$155,0),MATCH(EDATE($E22,AN$1-1),Raw_매출!$B$1:$BI$1,0))=0,"",INDEX(Raw_매출!$B$2:$BI$155,MATCH($A22,Raw_매출!$A$2:$A$155,0),MATCH(EDATE($E22,AN$1-1),Raw_매출!$B$1:$BI$1,0))/(INDEX(요약_월별시즈널리티!$F$7:$F$18,MONTH(EDATE($E22,AN$1-1)))/100))),"")</f>
        <v/>
      </c>
      <c r="AO22" t="str" cm="1">
        <f t="array" ref="AO22">IFERROR(IF($E22&lt;44348,"",IF(INDEX(Raw_매출!$B$2:$BI$155,MATCH($A22,Raw_매출!$A$2:$A$155,0),MATCH(EDATE($E22,AO$1-1),Raw_매출!$B$1:$BI$1,0))=0,"",INDEX(Raw_매출!$B$2:$BI$155,MATCH($A22,Raw_매출!$A$2:$A$155,0),MATCH(EDATE($E22,AO$1-1),Raw_매출!$B$1:$BI$1,0))/(INDEX(요약_월별시즈널리티!$F$7:$F$18,MONTH(EDATE($E22,AO$1-1)))/100))),"")</f>
        <v/>
      </c>
      <c r="AP22" t="str" cm="1">
        <f t="array" ref="AP22">IFERROR(IF($E22&lt;44348,"",IF(INDEX(Raw_매출!$B$2:$BI$155,MATCH($A22,Raw_매출!$A$2:$A$155,0),MATCH(EDATE($E22,AP$1-1),Raw_매출!$B$1:$BI$1,0))=0,"",INDEX(Raw_매출!$B$2:$BI$155,MATCH($A22,Raw_매출!$A$2:$A$155,0),MATCH(EDATE($E22,AP$1-1),Raw_매출!$B$1:$BI$1,0))/(INDEX(요약_월별시즈널리티!$F$7:$F$18,MONTH(EDATE($E22,AP$1-1)))/100))),"")</f>
        <v/>
      </c>
      <c r="AQ22" t="str" cm="1">
        <f t="array" ref="AQ22">IFERROR(IF($E22&lt;44348,"",IF(INDEX(Raw_매출!$B$2:$BI$155,MATCH($A22,Raw_매출!$A$2:$A$155,0),MATCH(EDATE($E22,AQ$1-1),Raw_매출!$B$1:$BI$1,0))=0,"",INDEX(Raw_매출!$B$2:$BI$155,MATCH($A22,Raw_매출!$A$2:$A$155,0),MATCH(EDATE($E22,AQ$1-1),Raw_매출!$B$1:$BI$1,0))/(INDEX(요약_월별시즈널리티!$F$7:$F$18,MONTH(EDATE($E22,AQ$1-1)))/100))),"")</f>
        <v/>
      </c>
      <c r="AR22" t="str" cm="1">
        <f t="array" ref="AR22">IFERROR(IF($E22&lt;44348,"",IF(INDEX(Raw_매출!$B$2:$BI$155,MATCH($A22,Raw_매출!$A$2:$A$155,0),MATCH(EDATE($E22,AR$1-1),Raw_매출!$B$1:$BI$1,0))=0,"",INDEX(Raw_매출!$B$2:$BI$155,MATCH($A22,Raw_매출!$A$2:$A$155,0),MATCH(EDATE($E22,AR$1-1),Raw_매출!$B$1:$BI$1,0))/(INDEX(요약_월별시즈널리티!$F$7:$F$18,MONTH(EDATE($E22,AR$1-1)))/100))),"")</f>
        <v/>
      </c>
      <c r="AS22" t="str" cm="1">
        <f t="array" ref="AS22">IFERROR(IF($E22&lt;44348,"",IF(INDEX(Raw_매출!$B$2:$BI$155,MATCH($A22,Raw_매출!$A$2:$A$155,0),MATCH(EDATE($E22,AS$1-1),Raw_매출!$B$1:$BI$1,0))=0,"",INDEX(Raw_매출!$B$2:$BI$155,MATCH($A22,Raw_매출!$A$2:$A$155,0),MATCH(EDATE($E22,AS$1-1),Raw_매출!$B$1:$BI$1,0))/(INDEX(요약_월별시즈널리티!$F$7:$F$18,MONTH(EDATE($E22,AS$1-1)))/100))),"")</f>
        <v/>
      </c>
      <c r="AT22" t="str" cm="1">
        <f t="array" ref="AT22">IFERROR(IF($E22&lt;44348,"",IF(INDEX(Raw_매출!$B$2:$BI$155,MATCH($A22,Raw_매출!$A$2:$A$155,0),MATCH(EDATE($E22,AT$1-1),Raw_매출!$B$1:$BI$1,0))=0,"",INDEX(Raw_매출!$B$2:$BI$155,MATCH($A22,Raw_매출!$A$2:$A$155,0),MATCH(EDATE($E22,AT$1-1),Raw_매출!$B$1:$BI$1,0))/(INDEX(요약_월별시즈널리티!$F$7:$F$18,MONTH(EDATE($E22,AT$1-1)))/100))),"")</f>
        <v/>
      </c>
      <c r="AU22" t="str" cm="1">
        <f t="array" ref="AU22">IFERROR(IF($E22&lt;44348,"",IF(INDEX(Raw_매출!$B$2:$BI$155,MATCH($A22,Raw_매출!$A$2:$A$155,0),MATCH(EDATE($E22,AU$1-1),Raw_매출!$B$1:$BI$1,0))=0,"",INDEX(Raw_매출!$B$2:$BI$155,MATCH($A22,Raw_매출!$A$2:$A$155,0),MATCH(EDATE($E22,AU$1-1),Raw_매출!$B$1:$BI$1,0))/(INDEX(요약_월별시즈널리티!$F$7:$F$18,MONTH(EDATE($E22,AU$1-1)))/100))),"")</f>
        <v/>
      </c>
      <c r="AV22" t="str" cm="1">
        <f t="array" ref="AV22">IFERROR(IF($E22&lt;44348,"",IF(INDEX(Raw_매출!$B$2:$BI$155,MATCH($A22,Raw_매출!$A$2:$A$155,0),MATCH(EDATE($E22,AV$1-1),Raw_매출!$B$1:$BI$1,0))=0,"",INDEX(Raw_매출!$B$2:$BI$155,MATCH($A22,Raw_매출!$A$2:$A$155,0),MATCH(EDATE($E22,AV$1-1),Raw_매출!$B$1:$BI$1,0))/(INDEX(요약_월별시즈널리티!$F$7:$F$18,MONTH(EDATE($E22,AV$1-1)))/100))),"")</f>
        <v/>
      </c>
      <c r="AW22" t="str" cm="1">
        <f t="array" ref="AW22">IFERROR(IF($E22&lt;44348,"",IF(INDEX(Raw_매출!$B$2:$BI$155,MATCH($A22,Raw_매출!$A$2:$A$155,0),MATCH(EDATE($E22,AW$1-1),Raw_매출!$B$1:$BI$1,0))=0,"",INDEX(Raw_매출!$B$2:$BI$155,MATCH($A22,Raw_매출!$A$2:$A$155,0),MATCH(EDATE($E22,AW$1-1),Raw_매출!$B$1:$BI$1,0))/(INDEX(요약_월별시즈널리티!$F$7:$F$18,MONTH(EDATE($E22,AW$1-1)))/100))),"")</f>
        <v/>
      </c>
      <c r="AX22" t="str" cm="1">
        <f t="array" ref="AX22">IFERROR(IF($E22&lt;44348,"",IF(INDEX(Raw_매출!$B$2:$BI$155,MATCH($A22,Raw_매출!$A$2:$A$155,0),MATCH(EDATE($E22,AX$1-1),Raw_매출!$B$1:$BI$1,0))=0,"",INDEX(Raw_매출!$B$2:$BI$155,MATCH($A22,Raw_매출!$A$2:$A$155,0),MATCH(EDATE($E22,AX$1-1),Raw_매출!$B$1:$BI$1,0))/(INDEX(요약_월별시즈널리티!$F$7:$F$18,MONTH(EDATE($E22,AX$1-1)))/100))),"")</f>
        <v/>
      </c>
      <c r="AY22" t="str" cm="1">
        <f t="array" ref="AY22">IFERROR(IF($E22&lt;44348,"",IF(INDEX(Raw_매출!$B$2:$BI$155,MATCH($A22,Raw_매출!$A$2:$A$155,0),MATCH(EDATE($E22,AY$1-1),Raw_매출!$B$1:$BI$1,0))=0,"",INDEX(Raw_매출!$B$2:$BI$155,MATCH($A22,Raw_매출!$A$2:$A$155,0),MATCH(EDATE($E22,AY$1-1),Raw_매출!$B$1:$BI$1,0))/(INDEX(요약_월별시즈널리티!$F$7:$F$18,MONTH(EDATE($E22,AY$1-1)))/100))),"")</f>
        <v/>
      </c>
      <c r="AZ22" t="str" cm="1">
        <f t="array" ref="AZ22">IFERROR(IF($E22&lt;44348,"",IF(INDEX(Raw_매출!$B$2:$BI$155,MATCH($A22,Raw_매출!$A$2:$A$155,0),MATCH(EDATE($E22,AZ$1-1),Raw_매출!$B$1:$BI$1,0))=0,"",INDEX(Raw_매출!$B$2:$BI$155,MATCH($A22,Raw_매출!$A$2:$A$155,0),MATCH(EDATE($E22,AZ$1-1),Raw_매출!$B$1:$BI$1,0))/(INDEX(요약_월별시즈널리티!$F$7:$F$18,MONTH(EDATE($E22,AZ$1-1)))/100))),"")</f>
        <v/>
      </c>
      <c r="BA22" t="str" cm="1">
        <f t="array" ref="BA22">IFERROR(IF($E22&lt;44348,"",IF(INDEX(Raw_매출!$B$2:$BI$155,MATCH($A22,Raw_매출!$A$2:$A$155,0),MATCH(EDATE($E22,BA$1-1),Raw_매출!$B$1:$BI$1,0))=0,"",INDEX(Raw_매출!$B$2:$BI$155,MATCH($A22,Raw_매출!$A$2:$A$155,0),MATCH(EDATE($E22,BA$1-1),Raw_매출!$B$1:$BI$1,0))/(INDEX(요약_월별시즈널리티!$F$7:$F$18,MONTH(EDATE($E22,BA$1-1)))/100))),"")</f>
        <v/>
      </c>
      <c r="BB22" t="str" cm="1">
        <f t="array" ref="BB22">IFERROR(IF($E22&lt;44348,"",IF(INDEX(Raw_매출!$B$2:$BI$155,MATCH($A22,Raw_매출!$A$2:$A$155,0),MATCH(EDATE($E22,BB$1-1),Raw_매출!$B$1:$BI$1,0))=0,"",INDEX(Raw_매출!$B$2:$BI$155,MATCH($A22,Raw_매출!$A$2:$A$155,0),MATCH(EDATE($E22,BB$1-1),Raw_매출!$B$1:$BI$1,0))/(INDEX(요약_월별시즈널리티!$F$7:$F$18,MONTH(EDATE($E22,BB$1-1)))/100))),"")</f>
        <v/>
      </c>
      <c r="BC22" t="str" cm="1">
        <f t="array" ref="BC22">IFERROR(IF($E22&lt;44348,"",IF(INDEX(Raw_매출!$B$2:$BI$155,MATCH($A22,Raw_매출!$A$2:$A$155,0),MATCH(EDATE($E22,BC$1-1),Raw_매출!$B$1:$BI$1,0))=0,"",INDEX(Raw_매출!$B$2:$BI$155,MATCH($A22,Raw_매출!$A$2:$A$155,0),MATCH(EDATE($E22,BC$1-1),Raw_매출!$B$1:$BI$1,0))/(INDEX(요약_월별시즈널리티!$F$7:$F$18,MONTH(EDATE($E22,BC$1-1)))/100))),"")</f>
        <v/>
      </c>
      <c r="BD22" t="str" cm="1">
        <f t="array" ref="BD22">IFERROR(IF($E22&lt;44348,"",IF(INDEX(Raw_매출!$B$2:$BI$155,MATCH($A22,Raw_매출!$A$2:$A$155,0),MATCH(EDATE($E22,BD$1-1),Raw_매출!$B$1:$BI$1,0))=0,"",INDEX(Raw_매출!$B$2:$BI$155,MATCH($A22,Raw_매출!$A$2:$A$155,0),MATCH(EDATE($E22,BD$1-1),Raw_매출!$B$1:$BI$1,0))/(INDEX(요약_월별시즈널리티!$F$7:$F$18,MONTH(EDATE($E22,BD$1-1)))/100))),"")</f>
        <v/>
      </c>
      <c r="BE22" t="str" cm="1">
        <f t="array" ref="BE22">IFERROR(IF($E22&lt;44348,"",IF(INDEX(Raw_매출!$B$2:$BI$155,MATCH($A22,Raw_매출!$A$2:$A$155,0),MATCH(EDATE($E22,BE$1-1),Raw_매출!$B$1:$BI$1,0))=0,"",INDEX(Raw_매출!$B$2:$BI$155,MATCH($A22,Raw_매출!$A$2:$A$155,0),MATCH(EDATE($E22,BE$1-1),Raw_매출!$B$1:$BI$1,0))/(INDEX(요약_월별시즈널리티!$F$7:$F$18,MONTH(EDATE($E22,BE$1-1)))/100))),"")</f>
        <v/>
      </c>
      <c r="BF22" t="str" cm="1">
        <f t="array" ref="BF22">IFERROR(IF($E22&lt;44348,"",IF(INDEX(Raw_매출!$B$2:$BI$155,MATCH($A22,Raw_매출!$A$2:$A$155,0),MATCH(EDATE($E22,BF$1-1),Raw_매출!$B$1:$BI$1,0))=0,"",INDEX(Raw_매출!$B$2:$BI$155,MATCH($A22,Raw_매출!$A$2:$A$155,0),MATCH(EDATE($E22,BF$1-1),Raw_매출!$B$1:$BI$1,0))/(INDEX(요약_월별시즈널리티!$F$7:$F$18,MONTH(EDATE($E22,BF$1-1)))/100))),"")</f>
        <v/>
      </c>
      <c r="BG22" t="str" cm="1">
        <f t="array" ref="BG22">IFERROR(IF($E22&lt;44348,"",IF(INDEX(Raw_매출!$B$2:$BI$155,MATCH($A22,Raw_매출!$A$2:$A$155,0),MATCH(EDATE($E22,BG$1-1),Raw_매출!$B$1:$BI$1,0))=0,"",INDEX(Raw_매출!$B$2:$BI$155,MATCH($A22,Raw_매출!$A$2:$A$155,0),MATCH(EDATE($E22,BG$1-1),Raw_매출!$B$1:$BI$1,0))/(INDEX(요약_월별시즈널리티!$F$7:$F$18,MONTH(EDATE($E22,BG$1-1)))/100))),"")</f>
        <v/>
      </c>
      <c r="BH22" t="str" cm="1">
        <f t="array" ref="BH22">IFERROR(IF($E22&lt;44348,"",IF(INDEX(Raw_매출!$B$2:$BI$155,MATCH($A22,Raw_매출!$A$2:$A$155,0),MATCH(EDATE($E22,BH$1-1),Raw_매출!$B$1:$BI$1,0))=0,"",INDEX(Raw_매출!$B$2:$BI$155,MATCH($A22,Raw_매출!$A$2:$A$155,0),MATCH(EDATE($E22,BH$1-1),Raw_매출!$B$1:$BI$1,0))/(INDEX(요약_월별시즈널리티!$F$7:$F$18,MONTH(EDATE($E22,BH$1-1)))/100))),"")</f>
        <v/>
      </c>
      <c r="BI22" t="str" cm="1">
        <f t="array" ref="BI22">IFERROR(IF($E22&lt;44348,"",IF(INDEX(Raw_매출!$B$2:$BI$155,MATCH($A22,Raw_매출!$A$2:$A$155,0),MATCH(EDATE($E22,BI$1-1),Raw_매출!$B$1:$BI$1,0))=0,"",INDEX(Raw_매출!$B$2:$BI$155,MATCH($A22,Raw_매출!$A$2:$A$155,0),MATCH(EDATE($E22,BI$1-1),Raw_매출!$B$1:$BI$1,0))/(INDEX(요약_월별시즈널리티!$F$7:$F$18,MONTH(EDATE($E22,BI$1-1)))/100))),"")</f>
        <v/>
      </c>
      <c r="BJ22" t="str" cm="1">
        <f t="array" ref="BJ22">IFERROR(IF($E22&lt;44348,"",IF(INDEX(Raw_매출!$B$2:$BI$155,MATCH($A22,Raw_매출!$A$2:$A$155,0),MATCH(EDATE($E22,BJ$1-1),Raw_매출!$B$1:$BI$1,0))=0,"",INDEX(Raw_매출!$B$2:$BI$155,MATCH($A22,Raw_매출!$A$2:$A$155,0),MATCH(EDATE($E22,BJ$1-1),Raw_매출!$B$1:$BI$1,0))/(INDEX(요약_월별시즈널리티!$F$7:$F$18,MONTH(EDATE($E22,BJ$1-1)))/100))),"")</f>
        <v/>
      </c>
      <c r="BK22" t="str" cm="1">
        <f t="array" ref="BK22">IFERROR(IF($E22&lt;44348,"",IF(INDEX(Raw_매출!$B$2:$BI$155,MATCH($A22,Raw_매출!$A$2:$A$155,0),MATCH(EDATE($E22,BK$1-1),Raw_매출!$B$1:$BI$1,0))=0,"",INDEX(Raw_매출!$B$2:$BI$155,MATCH($A22,Raw_매출!$A$2:$A$155,0),MATCH(EDATE($E22,BK$1-1),Raw_매출!$B$1:$BI$1,0))/(INDEX(요약_월별시즈널리티!$F$7:$F$18,MONTH(EDATE($E22,BK$1-1)))/100))),"")</f>
        <v/>
      </c>
      <c r="BL22" t="str" cm="1">
        <f t="array" ref="BL22">IFERROR(IF($E22&lt;44348,"",IF(INDEX(Raw_매출!$B$2:$BI$155,MATCH($A22,Raw_매출!$A$2:$A$155,0),MATCH(EDATE($E22,BL$1-1),Raw_매출!$B$1:$BI$1,0))=0,"",INDEX(Raw_매출!$B$2:$BI$155,MATCH($A22,Raw_매출!$A$2:$A$155,0),MATCH(EDATE($E22,BL$1-1),Raw_매출!$B$1:$BI$1,0))/(INDEX(요약_월별시즈널리티!$F$7:$F$18,MONTH(EDATE($E22,BL$1-1)))/100))),"")</f>
        <v/>
      </c>
      <c r="BM22" t="str" cm="1">
        <f t="array" ref="BM22">IFERROR(IF($E22&lt;44348,"",IF(INDEX(Raw_매출!$B$2:$BI$155,MATCH($A22,Raw_매출!$A$2:$A$155,0),MATCH(EDATE($E22,BM$1-1),Raw_매출!$B$1:$BI$1,0))=0,"",INDEX(Raw_매출!$B$2:$BI$155,MATCH($A22,Raw_매출!$A$2:$A$155,0),MATCH(EDATE($E22,BM$1-1),Raw_매출!$B$1:$BI$1,0))/(INDEX(요약_월별시즈널리티!$F$7:$F$18,MONTH(EDATE($E22,BM$1-1)))/100))),"")</f>
        <v/>
      </c>
      <c r="BN22" t="str" cm="1">
        <f t="array" ref="BN22">IFERROR(IF($E22&lt;44348,"",IF(INDEX(Raw_매출!$B$2:$BI$155,MATCH($A22,Raw_매출!$A$2:$A$155,0),MATCH(EDATE($E22,BN$1-1),Raw_매출!$B$1:$BI$1,0))=0,"",INDEX(Raw_매출!$B$2:$BI$155,MATCH($A22,Raw_매출!$A$2:$A$155,0),MATCH(EDATE($E22,BN$1-1),Raw_매출!$B$1:$BI$1,0))/(INDEX(요약_월별시즈널리티!$F$7:$F$18,MONTH(EDATE($E22,BN$1-1)))/100))),"")</f>
        <v/>
      </c>
    </row>
    <row r="23" spans="1:66" x14ac:dyDescent="0.4">
      <c r="A23" t="str">
        <f>세팅!A24</f>
        <v>(1008) #개포드림웍스점</v>
      </c>
      <c r="B23" t="str">
        <f>세팅!B24</f>
        <v>150-0</v>
      </c>
      <c r="C23">
        <f t="shared" si="0"/>
        <v>0</v>
      </c>
      <c r="D23" t="str">
        <f t="shared" si="1"/>
        <v>0</v>
      </c>
      <c r="E23" s="1">
        <f>세팅!D24</f>
        <v>44044</v>
      </c>
      <c r="F23" t="str">
        <f t="shared" si="2"/>
        <v/>
      </c>
      <c r="G23" t="str" cm="1">
        <f t="array" ref="G23">IFERROR(IF($E23&lt;44348,"",IF(INDEX(Raw_매출!$B$2:$BI$155,MATCH($A23,Raw_매출!$A$2:$A$155,0),MATCH(EDATE($E23,G$1-1),Raw_매출!$B$1:$BI$1,0))=0,"",INDEX(Raw_매출!$B$2:$BI$155,MATCH($A23,Raw_매출!$A$2:$A$155,0),MATCH(EDATE($E23,G$1-1),Raw_매출!$B$1:$BI$1,0))/(INDEX(요약_월별시즈널리티!$F$7:$F$18,MONTH(EDATE($E23,G$1-1)))/100))),"")</f>
        <v/>
      </c>
      <c r="H23" t="str" cm="1">
        <f t="array" ref="H23">IFERROR(IF($E23&lt;44348,"",IF(INDEX(Raw_매출!$B$2:$BI$155,MATCH($A23,Raw_매출!$A$2:$A$155,0),MATCH(EDATE($E23,H$1-1),Raw_매출!$B$1:$BI$1,0))=0,"",INDEX(Raw_매출!$B$2:$BI$155,MATCH($A23,Raw_매출!$A$2:$A$155,0),MATCH(EDATE($E23,H$1-1),Raw_매출!$B$1:$BI$1,0))/(INDEX(요약_월별시즈널리티!$F$7:$F$18,MONTH(EDATE($E23,H$1-1)))/100))),"")</f>
        <v/>
      </c>
      <c r="I23" t="str" cm="1">
        <f t="array" ref="I23">IFERROR(IF($E23&lt;44348,"",IF(INDEX(Raw_매출!$B$2:$BI$155,MATCH($A23,Raw_매출!$A$2:$A$155,0),MATCH(EDATE($E23,I$1-1),Raw_매출!$B$1:$BI$1,0))=0,"",INDEX(Raw_매출!$B$2:$BI$155,MATCH($A23,Raw_매출!$A$2:$A$155,0),MATCH(EDATE($E23,I$1-1),Raw_매출!$B$1:$BI$1,0))/(INDEX(요약_월별시즈널리티!$F$7:$F$18,MONTH(EDATE($E23,I$1-1)))/100))),"")</f>
        <v/>
      </c>
      <c r="J23" s="30" t="str" cm="1">
        <f t="array" ref="J23">IFERROR(IF($E23&lt;44348,"",IF(INDEX(Raw_매출!$B$2:$BI$155,MATCH($A23,Raw_매출!$A$2:$A$155,0),MATCH(EDATE($E23,J$1-1),Raw_매출!$B$1:$BI$1,0))=0,"",INDEX(Raw_매출!$B$2:$BI$155,MATCH($A23,Raw_매출!$A$2:$A$155,0),MATCH(EDATE($E23,J$1-1),Raw_매출!$B$1:$BI$1,0))/(INDEX(요약_월별시즈널리티!$F$7:$F$18,MONTH(EDATE($E23,J$1-1)))/100))),"")</f>
        <v/>
      </c>
      <c r="K23" s="30" t="str" cm="1">
        <f t="array" ref="K23">IFERROR(IF($E23&lt;44348,"",IF(INDEX(Raw_매출!$B$2:$BI$155,MATCH($A23,Raw_매출!$A$2:$A$155,0),MATCH(EDATE($E23,K$1-1),Raw_매출!$B$1:$BI$1,0))=0,"",INDEX(Raw_매출!$B$2:$BI$155,MATCH($A23,Raw_매출!$A$2:$A$155,0),MATCH(EDATE($E23,K$1-1),Raw_매출!$B$1:$BI$1,0))/(INDEX(요약_월별시즈널리티!$F$7:$F$18,MONTH(EDATE($E23,K$1-1)))/100))),"")</f>
        <v/>
      </c>
      <c r="L23" s="30" t="str" cm="1">
        <f t="array" ref="L23">IFERROR(IF($E23&lt;44348,"",IF(INDEX(Raw_매출!$B$2:$BI$155,MATCH($A23,Raw_매출!$A$2:$A$155,0),MATCH(EDATE($E23,L$1-1),Raw_매출!$B$1:$BI$1,0))=0,"",INDEX(Raw_매출!$B$2:$BI$155,MATCH($A23,Raw_매출!$A$2:$A$155,0),MATCH(EDATE($E23,L$1-1),Raw_매출!$B$1:$BI$1,0))/(INDEX(요약_월별시즈널리티!$F$7:$F$18,MONTH(EDATE($E23,L$1-1)))/100))),"")</f>
        <v/>
      </c>
      <c r="M23" s="30" t="str" cm="1">
        <f t="array" ref="M23">IFERROR(IF($E23&lt;44348,"",IF(INDEX(Raw_매출!$B$2:$BI$155,MATCH($A23,Raw_매출!$A$2:$A$155,0),MATCH(EDATE($E23,M$1-1),Raw_매출!$B$1:$BI$1,0))=0,"",INDEX(Raw_매출!$B$2:$BI$155,MATCH($A23,Raw_매출!$A$2:$A$155,0),MATCH(EDATE($E23,M$1-1),Raw_매출!$B$1:$BI$1,0))/(INDEX(요약_월별시즈널리티!$F$7:$F$18,MONTH(EDATE($E23,M$1-1)))/100))),"")</f>
        <v/>
      </c>
      <c r="N23" s="30" t="str" cm="1">
        <f t="array" ref="N23">IFERROR(IF($E23&lt;44348,"",IF(INDEX(Raw_매출!$B$2:$BI$155,MATCH($A23,Raw_매출!$A$2:$A$155,0),MATCH(EDATE($E23,N$1-1),Raw_매출!$B$1:$BI$1,0))=0,"",INDEX(Raw_매출!$B$2:$BI$155,MATCH($A23,Raw_매출!$A$2:$A$155,0),MATCH(EDATE($E23,N$1-1),Raw_매출!$B$1:$BI$1,0))/(INDEX(요약_월별시즈널리티!$F$7:$F$18,MONTH(EDATE($E23,N$1-1)))/100))),"")</f>
        <v/>
      </c>
      <c r="O23" s="30" t="str" cm="1">
        <f t="array" ref="O23">IFERROR(IF($E23&lt;44348,"",IF(INDEX(Raw_매출!$B$2:$BI$155,MATCH($A23,Raw_매출!$A$2:$A$155,0),MATCH(EDATE($E23,O$1-1),Raw_매출!$B$1:$BI$1,0))=0,"",INDEX(Raw_매출!$B$2:$BI$155,MATCH($A23,Raw_매출!$A$2:$A$155,0),MATCH(EDATE($E23,O$1-1),Raw_매출!$B$1:$BI$1,0))/(INDEX(요약_월별시즈널리티!$F$7:$F$18,MONTH(EDATE($E23,O$1-1)))/100))),"")</f>
        <v/>
      </c>
      <c r="P23" t="str" cm="1">
        <f t="array" ref="P23">IFERROR(IF($E23&lt;44348,"",IF(INDEX(Raw_매출!$B$2:$BI$155,MATCH($A23,Raw_매출!$A$2:$A$155,0),MATCH(EDATE($E23,P$1-1),Raw_매출!$B$1:$BI$1,0))=0,"",INDEX(Raw_매출!$B$2:$BI$155,MATCH($A23,Raw_매출!$A$2:$A$155,0),MATCH(EDATE($E23,P$1-1),Raw_매출!$B$1:$BI$1,0))/(INDEX(요약_월별시즈널리티!$F$7:$F$18,MONTH(EDATE($E23,P$1-1)))/100))),"")</f>
        <v/>
      </c>
      <c r="Q23" t="str" cm="1">
        <f t="array" ref="Q23">IFERROR(IF($E23&lt;44348,"",IF(INDEX(Raw_매출!$B$2:$BI$155,MATCH($A23,Raw_매출!$A$2:$A$155,0),MATCH(EDATE($E23,Q$1-1),Raw_매출!$B$1:$BI$1,0))=0,"",INDEX(Raw_매출!$B$2:$BI$155,MATCH($A23,Raw_매출!$A$2:$A$155,0),MATCH(EDATE($E23,Q$1-1),Raw_매출!$B$1:$BI$1,0))/(INDEX(요약_월별시즈널리티!$F$7:$F$18,MONTH(EDATE($E23,Q$1-1)))/100))),"")</f>
        <v/>
      </c>
      <c r="R23" t="str" cm="1">
        <f t="array" ref="R23">IFERROR(IF($E23&lt;44348,"",IF(INDEX(Raw_매출!$B$2:$BI$155,MATCH($A23,Raw_매출!$A$2:$A$155,0),MATCH(EDATE($E23,R$1-1),Raw_매출!$B$1:$BI$1,0))=0,"",INDEX(Raw_매출!$B$2:$BI$155,MATCH($A23,Raw_매출!$A$2:$A$155,0),MATCH(EDATE($E23,R$1-1),Raw_매출!$B$1:$BI$1,0))/(INDEX(요약_월별시즈널리티!$F$7:$F$18,MONTH(EDATE($E23,R$1-1)))/100))),"")</f>
        <v/>
      </c>
      <c r="S23" t="str" cm="1">
        <f t="array" ref="S23">IFERROR(IF($E23&lt;44348,"",IF(INDEX(Raw_매출!$B$2:$BI$155,MATCH($A23,Raw_매출!$A$2:$A$155,0),MATCH(EDATE($E23,S$1-1),Raw_매출!$B$1:$BI$1,0))=0,"",INDEX(Raw_매출!$B$2:$BI$155,MATCH($A23,Raw_매출!$A$2:$A$155,0),MATCH(EDATE($E23,S$1-1),Raw_매출!$B$1:$BI$1,0))/(INDEX(요약_월별시즈널리티!$F$7:$F$18,MONTH(EDATE($E23,S$1-1)))/100))),"")</f>
        <v/>
      </c>
      <c r="T23" t="str" cm="1">
        <f t="array" ref="T23">IFERROR(IF($E23&lt;44348,"",IF(INDEX(Raw_매출!$B$2:$BI$155,MATCH($A23,Raw_매출!$A$2:$A$155,0),MATCH(EDATE($E23,T$1-1),Raw_매출!$B$1:$BI$1,0))=0,"",INDEX(Raw_매출!$B$2:$BI$155,MATCH($A23,Raw_매출!$A$2:$A$155,0),MATCH(EDATE($E23,T$1-1),Raw_매출!$B$1:$BI$1,0))/(INDEX(요약_월별시즈널리티!$F$7:$F$18,MONTH(EDATE($E23,T$1-1)))/100))),"")</f>
        <v/>
      </c>
      <c r="U23" t="str" cm="1">
        <f t="array" ref="U23">IFERROR(IF($E23&lt;44348,"",IF(INDEX(Raw_매출!$B$2:$BI$155,MATCH($A23,Raw_매출!$A$2:$A$155,0),MATCH(EDATE($E23,U$1-1),Raw_매출!$B$1:$BI$1,0))=0,"",INDEX(Raw_매출!$B$2:$BI$155,MATCH($A23,Raw_매출!$A$2:$A$155,0),MATCH(EDATE($E23,U$1-1),Raw_매출!$B$1:$BI$1,0))/(INDEX(요약_월별시즈널리티!$F$7:$F$18,MONTH(EDATE($E23,U$1-1)))/100))),"")</f>
        <v/>
      </c>
      <c r="V23" t="str" cm="1">
        <f t="array" ref="V23">IFERROR(IF($E23&lt;44348,"",IF(INDEX(Raw_매출!$B$2:$BI$155,MATCH($A23,Raw_매출!$A$2:$A$155,0),MATCH(EDATE($E23,V$1-1),Raw_매출!$B$1:$BI$1,0))=0,"",INDEX(Raw_매출!$B$2:$BI$155,MATCH($A23,Raw_매출!$A$2:$A$155,0),MATCH(EDATE($E23,V$1-1),Raw_매출!$B$1:$BI$1,0))/(INDEX(요약_월별시즈널리티!$F$7:$F$18,MONTH(EDATE($E23,V$1-1)))/100))),"")</f>
        <v/>
      </c>
      <c r="W23" t="str" cm="1">
        <f t="array" ref="W23">IFERROR(IF($E23&lt;44348,"",IF(INDEX(Raw_매출!$B$2:$BI$155,MATCH($A23,Raw_매출!$A$2:$A$155,0),MATCH(EDATE($E23,W$1-1),Raw_매출!$B$1:$BI$1,0))=0,"",INDEX(Raw_매출!$B$2:$BI$155,MATCH($A23,Raw_매출!$A$2:$A$155,0),MATCH(EDATE($E23,W$1-1),Raw_매출!$B$1:$BI$1,0))/(INDEX(요약_월별시즈널리티!$F$7:$F$18,MONTH(EDATE($E23,W$1-1)))/100))),"")</f>
        <v/>
      </c>
      <c r="X23" t="str" cm="1">
        <f t="array" ref="X23">IFERROR(IF($E23&lt;44348,"",IF(INDEX(Raw_매출!$B$2:$BI$155,MATCH($A23,Raw_매출!$A$2:$A$155,0),MATCH(EDATE($E23,X$1-1),Raw_매출!$B$1:$BI$1,0))=0,"",INDEX(Raw_매출!$B$2:$BI$155,MATCH($A23,Raw_매출!$A$2:$A$155,0),MATCH(EDATE($E23,X$1-1),Raw_매출!$B$1:$BI$1,0))/(INDEX(요약_월별시즈널리티!$F$7:$F$18,MONTH(EDATE($E23,X$1-1)))/100))),"")</f>
        <v/>
      </c>
      <c r="Y23" t="str" cm="1">
        <f t="array" ref="Y23">IFERROR(IF($E23&lt;44348,"",IF(INDEX(Raw_매출!$B$2:$BI$155,MATCH($A23,Raw_매출!$A$2:$A$155,0),MATCH(EDATE($E23,Y$1-1),Raw_매출!$B$1:$BI$1,0))=0,"",INDEX(Raw_매출!$B$2:$BI$155,MATCH($A23,Raw_매출!$A$2:$A$155,0),MATCH(EDATE($E23,Y$1-1),Raw_매출!$B$1:$BI$1,0))/(INDEX(요약_월별시즈널리티!$F$7:$F$18,MONTH(EDATE($E23,Y$1-1)))/100))),"")</f>
        <v/>
      </c>
      <c r="Z23" t="str" cm="1">
        <f t="array" ref="Z23">IFERROR(IF($E23&lt;44348,"",IF(INDEX(Raw_매출!$B$2:$BI$155,MATCH($A23,Raw_매출!$A$2:$A$155,0),MATCH(EDATE($E23,Z$1-1),Raw_매출!$B$1:$BI$1,0))=0,"",INDEX(Raw_매출!$B$2:$BI$155,MATCH($A23,Raw_매출!$A$2:$A$155,0),MATCH(EDATE($E23,Z$1-1),Raw_매출!$B$1:$BI$1,0))/(INDEX(요약_월별시즈널리티!$F$7:$F$18,MONTH(EDATE($E23,Z$1-1)))/100))),"")</f>
        <v/>
      </c>
      <c r="AA23" t="str" cm="1">
        <f t="array" ref="AA23">IFERROR(IF($E23&lt;44348,"",IF(INDEX(Raw_매출!$B$2:$BI$155,MATCH($A23,Raw_매출!$A$2:$A$155,0),MATCH(EDATE($E23,AA$1-1),Raw_매출!$B$1:$BI$1,0))=0,"",INDEX(Raw_매출!$B$2:$BI$155,MATCH($A23,Raw_매출!$A$2:$A$155,0),MATCH(EDATE($E23,AA$1-1),Raw_매출!$B$1:$BI$1,0))/(INDEX(요약_월별시즈널리티!$F$7:$F$18,MONTH(EDATE($E23,AA$1-1)))/100))),"")</f>
        <v/>
      </c>
      <c r="AB23" t="str" cm="1">
        <f t="array" ref="AB23">IFERROR(IF($E23&lt;44348,"",IF(INDEX(Raw_매출!$B$2:$BI$155,MATCH($A23,Raw_매출!$A$2:$A$155,0),MATCH(EDATE($E23,AB$1-1),Raw_매출!$B$1:$BI$1,0))=0,"",INDEX(Raw_매출!$B$2:$BI$155,MATCH($A23,Raw_매출!$A$2:$A$155,0),MATCH(EDATE($E23,AB$1-1),Raw_매출!$B$1:$BI$1,0))/(INDEX(요약_월별시즈널리티!$F$7:$F$18,MONTH(EDATE($E23,AB$1-1)))/100))),"")</f>
        <v/>
      </c>
      <c r="AC23" t="str" cm="1">
        <f t="array" ref="AC23">IFERROR(IF($E23&lt;44348,"",IF(INDEX(Raw_매출!$B$2:$BI$155,MATCH($A23,Raw_매출!$A$2:$A$155,0),MATCH(EDATE($E23,AC$1-1),Raw_매출!$B$1:$BI$1,0))=0,"",INDEX(Raw_매출!$B$2:$BI$155,MATCH($A23,Raw_매출!$A$2:$A$155,0),MATCH(EDATE($E23,AC$1-1),Raw_매출!$B$1:$BI$1,0))/(INDEX(요약_월별시즈널리티!$F$7:$F$18,MONTH(EDATE($E23,AC$1-1)))/100))),"")</f>
        <v/>
      </c>
      <c r="AD23" t="str" cm="1">
        <f t="array" ref="AD23">IFERROR(IF($E23&lt;44348,"",IF(INDEX(Raw_매출!$B$2:$BI$155,MATCH($A23,Raw_매출!$A$2:$A$155,0),MATCH(EDATE($E23,AD$1-1),Raw_매출!$B$1:$BI$1,0))=0,"",INDEX(Raw_매출!$B$2:$BI$155,MATCH($A23,Raw_매출!$A$2:$A$155,0),MATCH(EDATE($E23,AD$1-1),Raw_매출!$B$1:$BI$1,0))/(INDEX(요약_월별시즈널리티!$F$7:$F$18,MONTH(EDATE($E23,AD$1-1)))/100))),"")</f>
        <v/>
      </c>
      <c r="AE23" t="str" cm="1">
        <f t="array" ref="AE23">IFERROR(IF($E23&lt;44348,"",IF(INDEX(Raw_매출!$B$2:$BI$155,MATCH($A23,Raw_매출!$A$2:$A$155,0),MATCH(EDATE($E23,AE$1-1),Raw_매출!$B$1:$BI$1,0))=0,"",INDEX(Raw_매출!$B$2:$BI$155,MATCH($A23,Raw_매출!$A$2:$A$155,0),MATCH(EDATE($E23,AE$1-1),Raw_매출!$B$1:$BI$1,0))/(INDEX(요약_월별시즈널리티!$F$7:$F$18,MONTH(EDATE($E23,AE$1-1)))/100))),"")</f>
        <v/>
      </c>
      <c r="AF23" t="str" cm="1">
        <f t="array" ref="AF23">IFERROR(IF($E23&lt;44348,"",IF(INDEX(Raw_매출!$B$2:$BI$155,MATCH($A23,Raw_매출!$A$2:$A$155,0),MATCH(EDATE($E23,AF$1-1),Raw_매출!$B$1:$BI$1,0))=0,"",INDEX(Raw_매출!$B$2:$BI$155,MATCH($A23,Raw_매출!$A$2:$A$155,0),MATCH(EDATE($E23,AF$1-1),Raw_매출!$B$1:$BI$1,0))/(INDEX(요약_월별시즈널리티!$F$7:$F$18,MONTH(EDATE($E23,AF$1-1)))/100))),"")</f>
        <v/>
      </c>
      <c r="AG23" t="str" cm="1">
        <f t="array" ref="AG23">IFERROR(IF($E23&lt;44348,"",IF(INDEX(Raw_매출!$B$2:$BI$155,MATCH($A23,Raw_매출!$A$2:$A$155,0),MATCH(EDATE($E23,AG$1-1),Raw_매출!$B$1:$BI$1,0))=0,"",INDEX(Raw_매출!$B$2:$BI$155,MATCH($A23,Raw_매출!$A$2:$A$155,0),MATCH(EDATE($E23,AG$1-1),Raw_매출!$B$1:$BI$1,0))/(INDEX(요약_월별시즈널리티!$F$7:$F$18,MONTH(EDATE($E23,AG$1-1)))/100))),"")</f>
        <v/>
      </c>
      <c r="AH23" t="str" cm="1">
        <f t="array" ref="AH23">IFERROR(IF($E23&lt;44348,"",IF(INDEX(Raw_매출!$B$2:$BI$155,MATCH($A23,Raw_매출!$A$2:$A$155,0),MATCH(EDATE($E23,AH$1-1),Raw_매출!$B$1:$BI$1,0))=0,"",INDEX(Raw_매출!$B$2:$BI$155,MATCH($A23,Raw_매출!$A$2:$A$155,0),MATCH(EDATE($E23,AH$1-1),Raw_매출!$B$1:$BI$1,0))/(INDEX(요약_월별시즈널리티!$F$7:$F$18,MONTH(EDATE($E23,AH$1-1)))/100))),"")</f>
        <v/>
      </c>
      <c r="AI23" t="str" cm="1">
        <f t="array" ref="AI23">IFERROR(IF($E23&lt;44348,"",IF(INDEX(Raw_매출!$B$2:$BI$155,MATCH($A23,Raw_매출!$A$2:$A$155,0),MATCH(EDATE($E23,AI$1-1),Raw_매출!$B$1:$BI$1,0))=0,"",INDEX(Raw_매출!$B$2:$BI$155,MATCH($A23,Raw_매출!$A$2:$A$155,0),MATCH(EDATE($E23,AI$1-1),Raw_매출!$B$1:$BI$1,0))/(INDEX(요약_월별시즈널리티!$F$7:$F$18,MONTH(EDATE($E23,AI$1-1)))/100))),"")</f>
        <v/>
      </c>
      <c r="AJ23" t="str" cm="1">
        <f t="array" ref="AJ23">IFERROR(IF($E23&lt;44348,"",IF(INDEX(Raw_매출!$B$2:$BI$155,MATCH($A23,Raw_매출!$A$2:$A$155,0),MATCH(EDATE($E23,AJ$1-1),Raw_매출!$B$1:$BI$1,0))=0,"",INDEX(Raw_매출!$B$2:$BI$155,MATCH($A23,Raw_매출!$A$2:$A$155,0),MATCH(EDATE($E23,AJ$1-1),Raw_매출!$B$1:$BI$1,0))/(INDEX(요약_월별시즈널리티!$F$7:$F$18,MONTH(EDATE($E23,AJ$1-1)))/100))),"")</f>
        <v/>
      </c>
      <c r="AK23" t="str" cm="1">
        <f t="array" ref="AK23">IFERROR(IF($E23&lt;44348,"",IF(INDEX(Raw_매출!$B$2:$BI$155,MATCH($A23,Raw_매출!$A$2:$A$155,0),MATCH(EDATE($E23,AK$1-1),Raw_매출!$B$1:$BI$1,0))=0,"",INDEX(Raw_매출!$B$2:$BI$155,MATCH($A23,Raw_매출!$A$2:$A$155,0),MATCH(EDATE($E23,AK$1-1),Raw_매출!$B$1:$BI$1,0))/(INDEX(요약_월별시즈널리티!$F$7:$F$18,MONTH(EDATE($E23,AK$1-1)))/100))),"")</f>
        <v/>
      </c>
      <c r="AL23" t="str" cm="1">
        <f t="array" ref="AL23">IFERROR(IF($E23&lt;44348,"",IF(INDEX(Raw_매출!$B$2:$BI$155,MATCH($A23,Raw_매출!$A$2:$A$155,0),MATCH(EDATE($E23,AL$1-1),Raw_매출!$B$1:$BI$1,0))=0,"",INDEX(Raw_매출!$B$2:$BI$155,MATCH($A23,Raw_매출!$A$2:$A$155,0),MATCH(EDATE($E23,AL$1-1),Raw_매출!$B$1:$BI$1,0))/(INDEX(요약_월별시즈널리티!$F$7:$F$18,MONTH(EDATE($E23,AL$1-1)))/100))),"")</f>
        <v/>
      </c>
      <c r="AM23" t="str" cm="1">
        <f t="array" ref="AM23">IFERROR(IF($E23&lt;44348,"",IF(INDEX(Raw_매출!$B$2:$BI$155,MATCH($A23,Raw_매출!$A$2:$A$155,0),MATCH(EDATE($E23,AM$1-1),Raw_매출!$B$1:$BI$1,0))=0,"",INDEX(Raw_매출!$B$2:$BI$155,MATCH($A23,Raw_매출!$A$2:$A$155,0),MATCH(EDATE($E23,AM$1-1),Raw_매출!$B$1:$BI$1,0))/(INDEX(요약_월별시즈널리티!$F$7:$F$18,MONTH(EDATE($E23,AM$1-1)))/100))),"")</f>
        <v/>
      </c>
      <c r="AN23" t="str" cm="1">
        <f t="array" ref="AN23">IFERROR(IF($E23&lt;44348,"",IF(INDEX(Raw_매출!$B$2:$BI$155,MATCH($A23,Raw_매출!$A$2:$A$155,0),MATCH(EDATE($E23,AN$1-1),Raw_매출!$B$1:$BI$1,0))=0,"",INDEX(Raw_매출!$B$2:$BI$155,MATCH($A23,Raw_매출!$A$2:$A$155,0),MATCH(EDATE($E23,AN$1-1),Raw_매출!$B$1:$BI$1,0))/(INDEX(요약_월별시즈널리티!$F$7:$F$18,MONTH(EDATE($E23,AN$1-1)))/100))),"")</f>
        <v/>
      </c>
      <c r="AO23" t="str" cm="1">
        <f t="array" ref="AO23">IFERROR(IF($E23&lt;44348,"",IF(INDEX(Raw_매출!$B$2:$BI$155,MATCH($A23,Raw_매출!$A$2:$A$155,0),MATCH(EDATE($E23,AO$1-1),Raw_매출!$B$1:$BI$1,0))=0,"",INDEX(Raw_매출!$B$2:$BI$155,MATCH($A23,Raw_매출!$A$2:$A$155,0),MATCH(EDATE($E23,AO$1-1),Raw_매출!$B$1:$BI$1,0))/(INDEX(요약_월별시즈널리티!$F$7:$F$18,MONTH(EDATE($E23,AO$1-1)))/100))),"")</f>
        <v/>
      </c>
      <c r="AP23" t="str" cm="1">
        <f t="array" ref="AP23">IFERROR(IF($E23&lt;44348,"",IF(INDEX(Raw_매출!$B$2:$BI$155,MATCH($A23,Raw_매출!$A$2:$A$155,0),MATCH(EDATE($E23,AP$1-1),Raw_매출!$B$1:$BI$1,0))=0,"",INDEX(Raw_매출!$B$2:$BI$155,MATCH($A23,Raw_매출!$A$2:$A$155,0),MATCH(EDATE($E23,AP$1-1),Raw_매출!$B$1:$BI$1,0))/(INDEX(요약_월별시즈널리티!$F$7:$F$18,MONTH(EDATE($E23,AP$1-1)))/100))),"")</f>
        <v/>
      </c>
      <c r="AQ23" t="str" cm="1">
        <f t="array" ref="AQ23">IFERROR(IF($E23&lt;44348,"",IF(INDEX(Raw_매출!$B$2:$BI$155,MATCH($A23,Raw_매출!$A$2:$A$155,0),MATCH(EDATE($E23,AQ$1-1),Raw_매출!$B$1:$BI$1,0))=0,"",INDEX(Raw_매출!$B$2:$BI$155,MATCH($A23,Raw_매출!$A$2:$A$155,0),MATCH(EDATE($E23,AQ$1-1),Raw_매출!$B$1:$BI$1,0))/(INDEX(요약_월별시즈널리티!$F$7:$F$18,MONTH(EDATE($E23,AQ$1-1)))/100))),"")</f>
        <v/>
      </c>
      <c r="AR23" t="str" cm="1">
        <f t="array" ref="AR23">IFERROR(IF($E23&lt;44348,"",IF(INDEX(Raw_매출!$B$2:$BI$155,MATCH($A23,Raw_매출!$A$2:$A$155,0),MATCH(EDATE($E23,AR$1-1),Raw_매출!$B$1:$BI$1,0))=0,"",INDEX(Raw_매출!$B$2:$BI$155,MATCH($A23,Raw_매출!$A$2:$A$155,0),MATCH(EDATE($E23,AR$1-1),Raw_매출!$B$1:$BI$1,0))/(INDEX(요약_월별시즈널리티!$F$7:$F$18,MONTH(EDATE($E23,AR$1-1)))/100))),"")</f>
        <v/>
      </c>
      <c r="AS23" t="str" cm="1">
        <f t="array" ref="AS23">IFERROR(IF($E23&lt;44348,"",IF(INDEX(Raw_매출!$B$2:$BI$155,MATCH($A23,Raw_매출!$A$2:$A$155,0),MATCH(EDATE($E23,AS$1-1),Raw_매출!$B$1:$BI$1,0))=0,"",INDEX(Raw_매출!$B$2:$BI$155,MATCH($A23,Raw_매출!$A$2:$A$155,0),MATCH(EDATE($E23,AS$1-1),Raw_매출!$B$1:$BI$1,0))/(INDEX(요약_월별시즈널리티!$F$7:$F$18,MONTH(EDATE($E23,AS$1-1)))/100))),"")</f>
        <v/>
      </c>
      <c r="AT23" t="str" cm="1">
        <f t="array" ref="AT23">IFERROR(IF($E23&lt;44348,"",IF(INDEX(Raw_매출!$B$2:$BI$155,MATCH($A23,Raw_매출!$A$2:$A$155,0),MATCH(EDATE($E23,AT$1-1),Raw_매출!$B$1:$BI$1,0))=0,"",INDEX(Raw_매출!$B$2:$BI$155,MATCH($A23,Raw_매출!$A$2:$A$155,0),MATCH(EDATE($E23,AT$1-1),Raw_매출!$B$1:$BI$1,0))/(INDEX(요약_월별시즈널리티!$F$7:$F$18,MONTH(EDATE($E23,AT$1-1)))/100))),"")</f>
        <v/>
      </c>
      <c r="AU23" t="str" cm="1">
        <f t="array" ref="AU23">IFERROR(IF($E23&lt;44348,"",IF(INDEX(Raw_매출!$B$2:$BI$155,MATCH($A23,Raw_매출!$A$2:$A$155,0),MATCH(EDATE($E23,AU$1-1),Raw_매출!$B$1:$BI$1,0))=0,"",INDEX(Raw_매출!$B$2:$BI$155,MATCH($A23,Raw_매출!$A$2:$A$155,0),MATCH(EDATE($E23,AU$1-1),Raw_매출!$B$1:$BI$1,0))/(INDEX(요약_월별시즈널리티!$F$7:$F$18,MONTH(EDATE($E23,AU$1-1)))/100))),"")</f>
        <v/>
      </c>
      <c r="AV23" t="str" cm="1">
        <f t="array" ref="AV23">IFERROR(IF($E23&lt;44348,"",IF(INDEX(Raw_매출!$B$2:$BI$155,MATCH($A23,Raw_매출!$A$2:$A$155,0),MATCH(EDATE($E23,AV$1-1),Raw_매출!$B$1:$BI$1,0))=0,"",INDEX(Raw_매출!$B$2:$BI$155,MATCH($A23,Raw_매출!$A$2:$A$155,0),MATCH(EDATE($E23,AV$1-1),Raw_매출!$B$1:$BI$1,0))/(INDEX(요약_월별시즈널리티!$F$7:$F$18,MONTH(EDATE($E23,AV$1-1)))/100))),"")</f>
        <v/>
      </c>
      <c r="AW23" t="str" cm="1">
        <f t="array" ref="AW23">IFERROR(IF($E23&lt;44348,"",IF(INDEX(Raw_매출!$B$2:$BI$155,MATCH($A23,Raw_매출!$A$2:$A$155,0),MATCH(EDATE($E23,AW$1-1),Raw_매출!$B$1:$BI$1,0))=0,"",INDEX(Raw_매출!$B$2:$BI$155,MATCH($A23,Raw_매출!$A$2:$A$155,0),MATCH(EDATE($E23,AW$1-1),Raw_매출!$B$1:$BI$1,0))/(INDEX(요약_월별시즈널리티!$F$7:$F$18,MONTH(EDATE($E23,AW$1-1)))/100))),"")</f>
        <v/>
      </c>
      <c r="AX23" t="str" cm="1">
        <f t="array" ref="AX23">IFERROR(IF($E23&lt;44348,"",IF(INDEX(Raw_매출!$B$2:$BI$155,MATCH($A23,Raw_매출!$A$2:$A$155,0),MATCH(EDATE($E23,AX$1-1),Raw_매출!$B$1:$BI$1,0))=0,"",INDEX(Raw_매출!$B$2:$BI$155,MATCH($A23,Raw_매출!$A$2:$A$155,0),MATCH(EDATE($E23,AX$1-1),Raw_매출!$B$1:$BI$1,0))/(INDEX(요약_월별시즈널리티!$F$7:$F$18,MONTH(EDATE($E23,AX$1-1)))/100))),"")</f>
        <v/>
      </c>
      <c r="AY23" t="str" cm="1">
        <f t="array" ref="AY23">IFERROR(IF($E23&lt;44348,"",IF(INDEX(Raw_매출!$B$2:$BI$155,MATCH($A23,Raw_매출!$A$2:$A$155,0),MATCH(EDATE($E23,AY$1-1),Raw_매출!$B$1:$BI$1,0))=0,"",INDEX(Raw_매출!$B$2:$BI$155,MATCH($A23,Raw_매출!$A$2:$A$155,0),MATCH(EDATE($E23,AY$1-1),Raw_매출!$B$1:$BI$1,0))/(INDEX(요약_월별시즈널리티!$F$7:$F$18,MONTH(EDATE($E23,AY$1-1)))/100))),"")</f>
        <v/>
      </c>
      <c r="AZ23" t="str" cm="1">
        <f t="array" ref="AZ23">IFERROR(IF($E23&lt;44348,"",IF(INDEX(Raw_매출!$B$2:$BI$155,MATCH($A23,Raw_매출!$A$2:$A$155,0),MATCH(EDATE($E23,AZ$1-1),Raw_매출!$B$1:$BI$1,0))=0,"",INDEX(Raw_매출!$B$2:$BI$155,MATCH($A23,Raw_매출!$A$2:$A$155,0),MATCH(EDATE($E23,AZ$1-1),Raw_매출!$B$1:$BI$1,0))/(INDEX(요약_월별시즈널리티!$F$7:$F$18,MONTH(EDATE($E23,AZ$1-1)))/100))),"")</f>
        <v/>
      </c>
      <c r="BA23" t="str" cm="1">
        <f t="array" ref="BA23">IFERROR(IF($E23&lt;44348,"",IF(INDEX(Raw_매출!$B$2:$BI$155,MATCH($A23,Raw_매출!$A$2:$A$155,0),MATCH(EDATE($E23,BA$1-1),Raw_매출!$B$1:$BI$1,0))=0,"",INDEX(Raw_매출!$B$2:$BI$155,MATCH($A23,Raw_매출!$A$2:$A$155,0),MATCH(EDATE($E23,BA$1-1),Raw_매출!$B$1:$BI$1,0))/(INDEX(요약_월별시즈널리티!$F$7:$F$18,MONTH(EDATE($E23,BA$1-1)))/100))),"")</f>
        <v/>
      </c>
      <c r="BB23" t="str" cm="1">
        <f t="array" ref="BB23">IFERROR(IF($E23&lt;44348,"",IF(INDEX(Raw_매출!$B$2:$BI$155,MATCH($A23,Raw_매출!$A$2:$A$155,0),MATCH(EDATE($E23,BB$1-1),Raw_매출!$B$1:$BI$1,0))=0,"",INDEX(Raw_매출!$B$2:$BI$155,MATCH($A23,Raw_매출!$A$2:$A$155,0),MATCH(EDATE($E23,BB$1-1),Raw_매출!$B$1:$BI$1,0))/(INDEX(요약_월별시즈널리티!$F$7:$F$18,MONTH(EDATE($E23,BB$1-1)))/100))),"")</f>
        <v/>
      </c>
      <c r="BC23" t="str" cm="1">
        <f t="array" ref="BC23">IFERROR(IF($E23&lt;44348,"",IF(INDEX(Raw_매출!$B$2:$BI$155,MATCH($A23,Raw_매출!$A$2:$A$155,0),MATCH(EDATE($E23,BC$1-1),Raw_매출!$B$1:$BI$1,0))=0,"",INDEX(Raw_매출!$B$2:$BI$155,MATCH($A23,Raw_매출!$A$2:$A$155,0),MATCH(EDATE($E23,BC$1-1),Raw_매출!$B$1:$BI$1,0))/(INDEX(요약_월별시즈널리티!$F$7:$F$18,MONTH(EDATE($E23,BC$1-1)))/100))),"")</f>
        <v/>
      </c>
      <c r="BD23" t="str" cm="1">
        <f t="array" ref="BD23">IFERROR(IF($E23&lt;44348,"",IF(INDEX(Raw_매출!$B$2:$BI$155,MATCH($A23,Raw_매출!$A$2:$A$155,0),MATCH(EDATE($E23,BD$1-1),Raw_매출!$B$1:$BI$1,0))=0,"",INDEX(Raw_매출!$B$2:$BI$155,MATCH($A23,Raw_매출!$A$2:$A$155,0),MATCH(EDATE($E23,BD$1-1),Raw_매출!$B$1:$BI$1,0))/(INDEX(요약_월별시즈널리티!$F$7:$F$18,MONTH(EDATE($E23,BD$1-1)))/100))),"")</f>
        <v/>
      </c>
      <c r="BE23" t="str" cm="1">
        <f t="array" ref="BE23">IFERROR(IF($E23&lt;44348,"",IF(INDEX(Raw_매출!$B$2:$BI$155,MATCH($A23,Raw_매출!$A$2:$A$155,0),MATCH(EDATE($E23,BE$1-1),Raw_매출!$B$1:$BI$1,0))=0,"",INDEX(Raw_매출!$B$2:$BI$155,MATCH($A23,Raw_매출!$A$2:$A$155,0),MATCH(EDATE($E23,BE$1-1),Raw_매출!$B$1:$BI$1,0))/(INDEX(요약_월별시즈널리티!$F$7:$F$18,MONTH(EDATE($E23,BE$1-1)))/100))),"")</f>
        <v/>
      </c>
      <c r="BF23" t="str" cm="1">
        <f t="array" ref="BF23">IFERROR(IF($E23&lt;44348,"",IF(INDEX(Raw_매출!$B$2:$BI$155,MATCH($A23,Raw_매출!$A$2:$A$155,0),MATCH(EDATE($E23,BF$1-1),Raw_매출!$B$1:$BI$1,0))=0,"",INDEX(Raw_매출!$B$2:$BI$155,MATCH($A23,Raw_매출!$A$2:$A$155,0),MATCH(EDATE($E23,BF$1-1),Raw_매출!$B$1:$BI$1,0))/(INDEX(요약_월별시즈널리티!$F$7:$F$18,MONTH(EDATE($E23,BF$1-1)))/100))),"")</f>
        <v/>
      </c>
      <c r="BG23" t="str" cm="1">
        <f t="array" ref="BG23">IFERROR(IF($E23&lt;44348,"",IF(INDEX(Raw_매출!$B$2:$BI$155,MATCH($A23,Raw_매출!$A$2:$A$155,0),MATCH(EDATE($E23,BG$1-1),Raw_매출!$B$1:$BI$1,0))=0,"",INDEX(Raw_매출!$B$2:$BI$155,MATCH($A23,Raw_매출!$A$2:$A$155,0),MATCH(EDATE($E23,BG$1-1),Raw_매출!$B$1:$BI$1,0))/(INDEX(요약_월별시즈널리티!$F$7:$F$18,MONTH(EDATE($E23,BG$1-1)))/100))),"")</f>
        <v/>
      </c>
      <c r="BH23" t="str" cm="1">
        <f t="array" ref="BH23">IFERROR(IF($E23&lt;44348,"",IF(INDEX(Raw_매출!$B$2:$BI$155,MATCH($A23,Raw_매출!$A$2:$A$155,0),MATCH(EDATE($E23,BH$1-1),Raw_매출!$B$1:$BI$1,0))=0,"",INDEX(Raw_매출!$B$2:$BI$155,MATCH($A23,Raw_매출!$A$2:$A$155,0),MATCH(EDATE($E23,BH$1-1),Raw_매출!$B$1:$BI$1,0))/(INDEX(요약_월별시즈널리티!$F$7:$F$18,MONTH(EDATE($E23,BH$1-1)))/100))),"")</f>
        <v/>
      </c>
      <c r="BI23" t="str" cm="1">
        <f t="array" ref="BI23">IFERROR(IF($E23&lt;44348,"",IF(INDEX(Raw_매출!$B$2:$BI$155,MATCH($A23,Raw_매출!$A$2:$A$155,0),MATCH(EDATE($E23,BI$1-1),Raw_매출!$B$1:$BI$1,0))=0,"",INDEX(Raw_매출!$B$2:$BI$155,MATCH($A23,Raw_매출!$A$2:$A$155,0),MATCH(EDATE($E23,BI$1-1),Raw_매출!$B$1:$BI$1,0))/(INDEX(요약_월별시즈널리티!$F$7:$F$18,MONTH(EDATE($E23,BI$1-1)))/100))),"")</f>
        <v/>
      </c>
      <c r="BJ23" t="str" cm="1">
        <f t="array" ref="BJ23">IFERROR(IF($E23&lt;44348,"",IF(INDEX(Raw_매출!$B$2:$BI$155,MATCH($A23,Raw_매출!$A$2:$A$155,0),MATCH(EDATE($E23,BJ$1-1),Raw_매출!$B$1:$BI$1,0))=0,"",INDEX(Raw_매출!$B$2:$BI$155,MATCH($A23,Raw_매출!$A$2:$A$155,0),MATCH(EDATE($E23,BJ$1-1),Raw_매출!$B$1:$BI$1,0))/(INDEX(요약_월별시즈널리티!$F$7:$F$18,MONTH(EDATE($E23,BJ$1-1)))/100))),"")</f>
        <v/>
      </c>
      <c r="BK23" t="str" cm="1">
        <f t="array" ref="BK23">IFERROR(IF($E23&lt;44348,"",IF(INDEX(Raw_매출!$B$2:$BI$155,MATCH($A23,Raw_매출!$A$2:$A$155,0),MATCH(EDATE($E23,BK$1-1),Raw_매출!$B$1:$BI$1,0))=0,"",INDEX(Raw_매출!$B$2:$BI$155,MATCH($A23,Raw_매출!$A$2:$A$155,0),MATCH(EDATE($E23,BK$1-1),Raw_매출!$B$1:$BI$1,0))/(INDEX(요약_월별시즈널리티!$F$7:$F$18,MONTH(EDATE($E23,BK$1-1)))/100))),"")</f>
        <v/>
      </c>
      <c r="BL23" t="str" cm="1">
        <f t="array" ref="BL23">IFERROR(IF($E23&lt;44348,"",IF(INDEX(Raw_매출!$B$2:$BI$155,MATCH($A23,Raw_매출!$A$2:$A$155,0),MATCH(EDATE($E23,BL$1-1),Raw_매출!$B$1:$BI$1,0))=0,"",INDEX(Raw_매출!$B$2:$BI$155,MATCH($A23,Raw_매출!$A$2:$A$155,0),MATCH(EDATE($E23,BL$1-1),Raw_매출!$B$1:$BI$1,0))/(INDEX(요약_월별시즈널리티!$F$7:$F$18,MONTH(EDATE($E23,BL$1-1)))/100))),"")</f>
        <v/>
      </c>
      <c r="BM23" t="str" cm="1">
        <f t="array" ref="BM23">IFERROR(IF($E23&lt;44348,"",IF(INDEX(Raw_매출!$B$2:$BI$155,MATCH($A23,Raw_매출!$A$2:$A$155,0),MATCH(EDATE($E23,BM$1-1),Raw_매출!$B$1:$BI$1,0))=0,"",INDEX(Raw_매출!$B$2:$BI$155,MATCH($A23,Raw_매출!$A$2:$A$155,0),MATCH(EDATE($E23,BM$1-1),Raw_매출!$B$1:$BI$1,0))/(INDEX(요약_월별시즈널리티!$F$7:$F$18,MONTH(EDATE($E23,BM$1-1)))/100))),"")</f>
        <v/>
      </c>
      <c r="BN23" t="str" cm="1">
        <f t="array" ref="BN23">IFERROR(IF($E23&lt;44348,"",IF(INDEX(Raw_매출!$B$2:$BI$155,MATCH($A23,Raw_매출!$A$2:$A$155,0),MATCH(EDATE($E23,BN$1-1),Raw_매출!$B$1:$BI$1,0))=0,"",INDEX(Raw_매출!$B$2:$BI$155,MATCH($A23,Raw_매출!$A$2:$A$155,0),MATCH(EDATE($E23,BN$1-1),Raw_매출!$B$1:$BI$1,0))/(INDEX(요약_월별시즈널리티!$F$7:$F$18,MONTH(EDATE($E23,BN$1-1)))/100))),"")</f>
        <v/>
      </c>
    </row>
    <row r="24" spans="1:66" x14ac:dyDescent="0.4">
      <c r="A24" t="str">
        <f>세팅!A25</f>
        <v>(1009) #진시스장항점</v>
      </c>
      <c r="B24" t="str">
        <f>세팅!B25</f>
        <v>150-3</v>
      </c>
      <c r="C24">
        <f t="shared" si="0"/>
        <v>3</v>
      </c>
      <c r="D24" t="str">
        <f t="shared" si="1"/>
        <v>3+</v>
      </c>
      <c r="E24" s="1">
        <f>세팅!D25</f>
        <v>44044</v>
      </c>
      <c r="F24" t="str">
        <f t="shared" si="2"/>
        <v/>
      </c>
      <c r="G24" t="str" cm="1">
        <f t="array" ref="G24">IFERROR(IF($E24&lt;44348,"",IF(INDEX(Raw_매출!$B$2:$BI$155,MATCH($A24,Raw_매출!$A$2:$A$155,0),MATCH(EDATE($E24,G$1-1),Raw_매출!$B$1:$BI$1,0))=0,"",INDEX(Raw_매출!$B$2:$BI$155,MATCH($A24,Raw_매출!$A$2:$A$155,0),MATCH(EDATE($E24,G$1-1),Raw_매출!$B$1:$BI$1,0))/(INDEX(요약_월별시즈널리티!$F$7:$F$18,MONTH(EDATE($E24,G$1-1)))/100))),"")</f>
        <v/>
      </c>
      <c r="H24" t="str" cm="1">
        <f t="array" ref="H24">IFERROR(IF($E24&lt;44348,"",IF(INDEX(Raw_매출!$B$2:$BI$155,MATCH($A24,Raw_매출!$A$2:$A$155,0),MATCH(EDATE($E24,H$1-1),Raw_매출!$B$1:$BI$1,0))=0,"",INDEX(Raw_매출!$B$2:$BI$155,MATCH($A24,Raw_매출!$A$2:$A$155,0),MATCH(EDATE($E24,H$1-1),Raw_매출!$B$1:$BI$1,0))/(INDEX(요약_월별시즈널리티!$F$7:$F$18,MONTH(EDATE($E24,H$1-1)))/100))),"")</f>
        <v/>
      </c>
      <c r="I24" t="str" cm="1">
        <f t="array" ref="I24">IFERROR(IF($E24&lt;44348,"",IF(INDEX(Raw_매출!$B$2:$BI$155,MATCH($A24,Raw_매출!$A$2:$A$155,0),MATCH(EDATE($E24,I$1-1),Raw_매출!$B$1:$BI$1,0))=0,"",INDEX(Raw_매출!$B$2:$BI$155,MATCH($A24,Raw_매출!$A$2:$A$155,0),MATCH(EDATE($E24,I$1-1),Raw_매출!$B$1:$BI$1,0))/(INDEX(요약_월별시즈널리티!$F$7:$F$18,MONTH(EDATE($E24,I$1-1)))/100))),"")</f>
        <v/>
      </c>
      <c r="J24" s="30" t="str" cm="1">
        <f t="array" ref="J24">IFERROR(IF($E24&lt;44348,"",IF(INDEX(Raw_매출!$B$2:$BI$155,MATCH($A24,Raw_매출!$A$2:$A$155,0),MATCH(EDATE($E24,J$1-1),Raw_매출!$B$1:$BI$1,0))=0,"",INDEX(Raw_매출!$B$2:$BI$155,MATCH($A24,Raw_매출!$A$2:$A$155,0),MATCH(EDATE($E24,J$1-1),Raw_매출!$B$1:$BI$1,0))/(INDEX(요약_월별시즈널리티!$F$7:$F$18,MONTH(EDATE($E24,J$1-1)))/100))),"")</f>
        <v/>
      </c>
      <c r="K24" s="30" t="str" cm="1">
        <f t="array" ref="K24">IFERROR(IF($E24&lt;44348,"",IF(INDEX(Raw_매출!$B$2:$BI$155,MATCH($A24,Raw_매출!$A$2:$A$155,0),MATCH(EDATE($E24,K$1-1),Raw_매출!$B$1:$BI$1,0))=0,"",INDEX(Raw_매출!$B$2:$BI$155,MATCH($A24,Raw_매출!$A$2:$A$155,0),MATCH(EDATE($E24,K$1-1),Raw_매출!$B$1:$BI$1,0))/(INDEX(요약_월별시즈널리티!$F$7:$F$18,MONTH(EDATE($E24,K$1-1)))/100))),"")</f>
        <v/>
      </c>
      <c r="L24" s="30" t="str" cm="1">
        <f t="array" ref="L24">IFERROR(IF($E24&lt;44348,"",IF(INDEX(Raw_매출!$B$2:$BI$155,MATCH($A24,Raw_매출!$A$2:$A$155,0),MATCH(EDATE($E24,L$1-1),Raw_매출!$B$1:$BI$1,0))=0,"",INDEX(Raw_매출!$B$2:$BI$155,MATCH($A24,Raw_매출!$A$2:$A$155,0),MATCH(EDATE($E24,L$1-1),Raw_매출!$B$1:$BI$1,0))/(INDEX(요약_월별시즈널리티!$F$7:$F$18,MONTH(EDATE($E24,L$1-1)))/100))),"")</f>
        <v/>
      </c>
      <c r="M24" s="30" t="str" cm="1">
        <f t="array" ref="M24">IFERROR(IF($E24&lt;44348,"",IF(INDEX(Raw_매출!$B$2:$BI$155,MATCH($A24,Raw_매출!$A$2:$A$155,0),MATCH(EDATE($E24,M$1-1),Raw_매출!$B$1:$BI$1,0))=0,"",INDEX(Raw_매출!$B$2:$BI$155,MATCH($A24,Raw_매출!$A$2:$A$155,0),MATCH(EDATE($E24,M$1-1),Raw_매출!$B$1:$BI$1,0))/(INDEX(요약_월별시즈널리티!$F$7:$F$18,MONTH(EDATE($E24,M$1-1)))/100))),"")</f>
        <v/>
      </c>
      <c r="N24" s="30" t="str" cm="1">
        <f t="array" ref="N24">IFERROR(IF($E24&lt;44348,"",IF(INDEX(Raw_매출!$B$2:$BI$155,MATCH($A24,Raw_매출!$A$2:$A$155,0),MATCH(EDATE($E24,N$1-1),Raw_매출!$B$1:$BI$1,0))=0,"",INDEX(Raw_매출!$B$2:$BI$155,MATCH($A24,Raw_매출!$A$2:$A$155,0),MATCH(EDATE($E24,N$1-1),Raw_매출!$B$1:$BI$1,0))/(INDEX(요약_월별시즈널리티!$F$7:$F$18,MONTH(EDATE($E24,N$1-1)))/100))),"")</f>
        <v/>
      </c>
      <c r="O24" s="30" t="str" cm="1">
        <f t="array" ref="O24">IFERROR(IF($E24&lt;44348,"",IF(INDEX(Raw_매출!$B$2:$BI$155,MATCH($A24,Raw_매출!$A$2:$A$155,0),MATCH(EDATE($E24,O$1-1),Raw_매출!$B$1:$BI$1,0))=0,"",INDEX(Raw_매출!$B$2:$BI$155,MATCH($A24,Raw_매출!$A$2:$A$155,0),MATCH(EDATE($E24,O$1-1),Raw_매출!$B$1:$BI$1,0))/(INDEX(요약_월별시즈널리티!$F$7:$F$18,MONTH(EDATE($E24,O$1-1)))/100))),"")</f>
        <v/>
      </c>
      <c r="P24" t="str" cm="1">
        <f t="array" ref="P24">IFERROR(IF($E24&lt;44348,"",IF(INDEX(Raw_매출!$B$2:$BI$155,MATCH($A24,Raw_매출!$A$2:$A$155,0),MATCH(EDATE($E24,P$1-1),Raw_매출!$B$1:$BI$1,0))=0,"",INDEX(Raw_매출!$B$2:$BI$155,MATCH($A24,Raw_매출!$A$2:$A$155,0),MATCH(EDATE($E24,P$1-1),Raw_매출!$B$1:$BI$1,0))/(INDEX(요약_월별시즈널리티!$F$7:$F$18,MONTH(EDATE($E24,P$1-1)))/100))),"")</f>
        <v/>
      </c>
      <c r="Q24" t="str" cm="1">
        <f t="array" ref="Q24">IFERROR(IF($E24&lt;44348,"",IF(INDEX(Raw_매출!$B$2:$BI$155,MATCH($A24,Raw_매출!$A$2:$A$155,0),MATCH(EDATE($E24,Q$1-1),Raw_매출!$B$1:$BI$1,0))=0,"",INDEX(Raw_매출!$B$2:$BI$155,MATCH($A24,Raw_매출!$A$2:$A$155,0),MATCH(EDATE($E24,Q$1-1),Raw_매출!$B$1:$BI$1,0))/(INDEX(요약_월별시즈널리티!$F$7:$F$18,MONTH(EDATE($E24,Q$1-1)))/100))),"")</f>
        <v/>
      </c>
      <c r="R24" t="str" cm="1">
        <f t="array" ref="R24">IFERROR(IF($E24&lt;44348,"",IF(INDEX(Raw_매출!$B$2:$BI$155,MATCH($A24,Raw_매출!$A$2:$A$155,0),MATCH(EDATE($E24,R$1-1),Raw_매출!$B$1:$BI$1,0))=0,"",INDEX(Raw_매출!$B$2:$BI$155,MATCH($A24,Raw_매출!$A$2:$A$155,0),MATCH(EDATE($E24,R$1-1),Raw_매출!$B$1:$BI$1,0))/(INDEX(요약_월별시즈널리티!$F$7:$F$18,MONTH(EDATE($E24,R$1-1)))/100))),"")</f>
        <v/>
      </c>
      <c r="S24" t="str" cm="1">
        <f t="array" ref="S24">IFERROR(IF($E24&lt;44348,"",IF(INDEX(Raw_매출!$B$2:$BI$155,MATCH($A24,Raw_매출!$A$2:$A$155,0),MATCH(EDATE($E24,S$1-1),Raw_매출!$B$1:$BI$1,0))=0,"",INDEX(Raw_매출!$B$2:$BI$155,MATCH($A24,Raw_매출!$A$2:$A$155,0),MATCH(EDATE($E24,S$1-1),Raw_매출!$B$1:$BI$1,0))/(INDEX(요약_월별시즈널리티!$F$7:$F$18,MONTH(EDATE($E24,S$1-1)))/100))),"")</f>
        <v/>
      </c>
      <c r="T24" t="str" cm="1">
        <f t="array" ref="T24">IFERROR(IF($E24&lt;44348,"",IF(INDEX(Raw_매출!$B$2:$BI$155,MATCH($A24,Raw_매출!$A$2:$A$155,0),MATCH(EDATE($E24,T$1-1),Raw_매출!$B$1:$BI$1,0))=0,"",INDEX(Raw_매출!$B$2:$BI$155,MATCH($A24,Raw_매출!$A$2:$A$155,0),MATCH(EDATE($E24,T$1-1),Raw_매출!$B$1:$BI$1,0))/(INDEX(요약_월별시즈널리티!$F$7:$F$18,MONTH(EDATE($E24,T$1-1)))/100))),"")</f>
        <v/>
      </c>
      <c r="U24" t="str" cm="1">
        <f t="array" ref="U24">IFERROR(IF($E24&lt;44348,"",IF(INDEX(Raw_매출!$B$2:$BI$155,MATCH($A24,Raw_매출!$A$2:$A$155,0),MATCH(EDATE($E24,U$1-1),Raw_매출!$B$1:$BI$1,0))=0,"",INDEX(Raw_매출!$B$2:$BI$155,MATCH($A24,Raw_매출!$A$2:$A$155,0),MATCH(EDATE($E24,U$1-1),Raw_매출!$B$1:$BI$1,0))/(INDEX(요약_월별시즈널리티!$F$7:$F$18,MONTH(EDATE($E24,U$1-1)))/100))),"")</f>
        <v/>
      </c>
      <c r="V24" t="str" cm="1">
        <f t="array" ref="V24">IFERROR(IF($E24&lt;44348,"",IF(INDEX(Raw_매출!$B$2:$BI$155,MATCH($A24,Raw_매출!$A$2:$A$155,0),MATCH(EDATE($E24,V$1-1),Raw_매출!$B$1:$BI$1,0))=0,"",INDEX(Raw_매출!$B$2:$BI$155,MATCH($A24,Raw_매출!$A$2:$A$155,0),MATCH(EDATE($E24,V$1-1),Raw_매출!$B$1:$BI$1,0))/(INDEX(요약_월별시즈널리티!$F$7:$F$18,MONTH(EDATE($E24,V$1-1)))/100))),"")</f>
        <v/>
      </c>
      <c r="W24" t="str" cm="1">
        <f t="array" ref="W24">IFERROR(IF($E24&lt;44348,"",IF(INDEX(Raw_매출!$B$2:$BI$155,MATCH($A24,Raw_매출!$A$2:$A$155,0),MATCH(EDATE($E24,W$1-1),Raw_매출!$B$1:$BI$1,0))=0,"",INDEX(Raw_매출!$B$2:$BI$155,MATCH($A24,Raw_매출!$A$2:$A$155,0),MATCH(EDATE($E24,W$1-1),Raw_매출!$B$1:$BI$1,0))/(INDEX(요약_월별시즈널리티!$F$7:$F$18,MONTH(EDATE($E24,W$1-1)))/100))),"")</f>
        <v/>
      </c>
      <c r="X24" t="str" cm="1">
        <f t="array" ref="X24">IFERROR(IF($E24&lt;44348,"",IF(INDEX(Raw_매출!$B$2:$BI$155,MATCH($A24,Raw_매출!$A$2:$A$155,0),MATCH(EDATE($E24,X$1-1),Raw_매출!$B$1:$BI$1,0))=0,"",INDEX(Raw_매출!$B$2:$BI$155,MATCH($A24,Raw_매출!$A$2:$A$155,0),MATCH(EDATE($E24,X$1-1),Raw_매출!$B$1:$BI$1,0))/(INDEX(요약_월별시즈널리티!$F$7:$F$18,MONTH(EDATE($E24,X$1-1)))/100))),"")</f>
        <v/>
      </c>
      <c r="Y24" t="str" cm="1">
        <f t="array" ref="Y24">IFERROR(IF($E24&lt;44348,"",IF(INDEX(Raw_매출!$B$2:$BI$155,MATCH($A24,Raw_매출!$A$2:$A$155,0),MATCH(EDATE($E24,Y$1-1),Raw_매출!$B$1:$BI$1,0))=0,"",INDEX(Raw_매출!$B$2:$BI$155,MATCH($A24,Raw_매출!$A$2:$A$155,0),MATCH(EDATE($E24,Y$1-1),Raw_매출!$B$1:$BI$1,0))/(INDEX(요약_월별시즈널리티!$F$7:$F$18,MONTH(EDATE($E24,Y$1-1)))/100))),"")</f>
        <v/>
      </c>
      <c r="Z24" t="str" cm="1">
        <f t="array" ref="Z24">IFERROR(IF($E24&lt;44348,"",IF(INDEX(Raw_매출!$B$2:$BI$155,MATCH($A24,Raw_매출!$A$2:$A$155,0),MATCH(EDATE($E24,Z$1-1),Raw_매출!$B$1:$BI$1,0))=0,"",INDEX(Raw_매출!$B$2:$BI$155,MATCH($A24,Raw_매출!$A$2:$A$155,0),MATCH(EDATE($E24,Z$1-1),Raw_매출!$B$1:$BI$1,0))/(INDEX(요약_월별시즈널리티!$F$7:$F$18,MONTH(EDATE($E24,Z$1-1)))/100))),"")</f>
        <v/>
      </c>
      <c r="AA24" t="str" cm="1">
        <f t="array" ref="AA24">IFERROR(IF($E24&lt;44348,"",IF(INDEX(Raw_매출!$B$2:$BI$155,MATCH($A24,Raw_매출!$A$2:$A$155,0),MATCH(EDATE($E24,AA$1-1),Raw_매출!$B$1:$BI$1,0))=0,"",INDEX(Raw_매출!$B$2:$BI$155,MATCH($A24,Raw_매출!$A$2:$A$155,0),MATCH(EDATE($E24,AA$1-1),Raw_매출!$B$1:$BI$1,0))/(INDEX(요약_월별시즈널리티!$F$7:$F$18,MONTH(EDATE($E24,AA$1-1)))/100))),"")</f>
        <v/>
      </c>
      <c r="AB24" t="str" cm="1">
        <f t="array" ref="AB24">IFERROR(IF($E24&lt;44348,"",IF(INDEX(Raw_매출!$B$2:$BI$155,MATCH($A24,Raw_매출!$A$2:$A$155,0),MATCH(EDATE($E24,AB$1-1),Raw_매출!$B$1:$BI$1,0))=0,"",INDEX(Raw_매출!$B$2:$BI$155,MATCH($A24,Raw_매출!$A$2:$A$155,0),MATCH(EDATE($E24,AB$1-1),Raw_매출!$B$1:$BI$1,0))/(INDEX(요약_월별시즈널리티!$F$7:$F$18,MONTH(EDATE($E24,AB$1-1)))/100))),"")</f>
        <v/>
      </c>
      <c r="AC24" t="str" cm="1">
        <f t="array" ref="AC24">IFERROR(IF($E24&lt;44348,"",IF(INDEX(Raw_매출!$B$2:$BI$155,MATCH($A24,Raw_매출!$A$2:$A$155,0),MATCH(EDATE($E24,AC$1-1),Raw_매출!$B$1:$BI$1,0))=0,"",INDEX(Raw_매출!$B$2:$BI$155,MATCH($A24,Raw_매출!$A$2:$A$155,0),MATCH(EDATE($E24,AC$1-1),Raw_매출!$B$1:$BI$1,0))/(INDEX(요약_월별시즈널리티!$F$7:$F$18,MONTH(EDATE($E24,AC$1-1)))/100))),"")</f>
        <v/>
      </c>
      <c r="AD24" t="str" cm="1">
        <f t="array" ref="AD24">IFERROR(IF($E24&lt;44348,"",IF(INDEX(Raw_매출!$B$2:$BI$155,MATCH($A24,Raw_매출!$A$2:$A$155,0),MATCH(EDATE($E24,AD$1-1),Raw_매출!$B$1:$BI$1,0))=0,"",INDEX(Raw_매출!$B$2:$BI$155,MATCH($A24,Raw_매출!$A$2:$A$155,0),MATCH(EDATE($E24,AD$1-1),Raw_매출!$B$1:$BI$1,0))/(INDEX(요약_월별시즈널리티!$F$7:$F$18,MONTH(EDATE($E24,AD$1-1)))/100))),"")</f>
        <v/>
      </c>
      <c r="AE24" t="str" cm="1">
        <f t="array" ref="AE24">IFERROR(IF($E24&lt;44348,"",IF(INDEX(Raw_매출!$B$2:$BI$155,MATCH($A24,Raw_매출!$A$2:$A$155,0),MATCH(EDATE($E24,AE$1-1),Raw_매출!$B$1:$BI$1,0))=0,"",INDEX(Raw_매출!$B$2:$BI$155,MATCH($A24,Raw_매출!$A$2:$A$155,0),MATCH(EDATE($E24,AE$1-1),Raw_매출!$B$1:$BI$1,0))/(INDEX(요약_월별시즈널리티!$F$7:$F$18,MONTH(EDATE($E24,AE$1-1)))/100))),"")</f>
        <v/>
      </c>
      <c r="AF24" t="str" cm="1">
        <f t="array" ref="AF24">IFERROR(IF($E24&lt;44348,"",IF(INDEX(Raw_매출!$B$2:$BI$155,MATCH($A24,Raw_매출!$A$2:$A$155,0),MATCH(EDATE($E24,AF$1-1),Raw_매출!$B$1:$BI$1,0))=0,"",INDEX(Raw_매출!$B$2:$BI$155,MATCH($A24,Raw_매출!$A$2:$A$155,0),MATCH(EDATE($E24,AF$1-1),Raw_매출!$B$1:$BI$1,0))/(INDEX(요약_월별시즈널리티!$F$7:$F$18,MONTH(EDATE($E24,AF$1-1)))/100))),"")</f>
        <v/>
      </c>
      <c r="AG24" t="str" cm="1">
        <f t="array" ref="AG24">IFERROR(IF($E24&lt;44348,"",IF(INDEX(Raw_매출!$B$2:$BI$155,MATCH($A24,Raw_매출!$A$2:$A$155,0),MATCH(EDATE($E24,AG$1-1),Raw_매출!$B$1:$BI$1,0))=0,"",INDEX(Raw_매출!$B$2:$BI$155,MATCH($A24,Raw_매출!$A$2:$A$155,0),MATCH(EDATE($E24,AG$1-1),Raw_매출!$B$1:$BI$1,0))/(INDEX(요약_월별시즈널리티!$F$7:$F$18,MONTH(EDATE($E24,AG$1-1)))/100))),"")</f>
        <v/>
      </c>
      <c r="AH24" t="str" cm="1">
        <f t="array" ref="AH24">IFERROR(IF($E24&lt;44348,"",IF(INDEX(Raw_매출!$B$2:$BI$155,MATCH($A24,Raw_매출!$A$2:$A$155,0),MATCH(EDATE($E24,AH$1-1),Raw_매출!$B$1:$BI$1,0))=0,"",INDEX(Raw_매출!$B$2:$BI$155,MATCH($A24,Raw_매출!$A$2:$A$155,0),MATCH(EDATE($E24,AH$1-1),Raw_매출!$B$1:$BI$1,0))/(INDEX(요약_월별시즈널리티!$F$7:$F$18,MONTH(EDATE($E24,AH$1-1)))/100))),"")</f>
        <v/>
      </c>
      <c r="AI24" t="str" cm="1">
        <f t="array" ref="AI24">IFERROR(IF($E24&lt;44348,"",IF(INDEX(Raw_매출!$B$2:$BI$155,MATCH($A24,Raw_매출!$A$2:$A$155,0),MATCH(EDATE($E24,AI$1-1),Raw_매출!$B$1:$BI$1,0))=0,"",INDEX(Raw_매출!$B$2:$BI$155,MATCH($A24,Raw_매출!$A$2:$A$155,0),MATCH(EDATE($E24,AI$1-1),Raw_매출!$B$1:$BI$1,0))/(INDEX(요약_월별시즈널리티!$F$7:$F$18,MONTH(EDATE($E24,AI$1-1)))/100))),"")</f>
        <v/>
      </c>
      <c r="AJ24" t="str" cm="1">
        <f t="array" ref="AJ24">IFERROR(IF($E24&lt;44348,"",IF(INDEX(Raw_매출!$B$2:$BI$155,MATCH($A24,Raw_매출!$A$2:$A$155,0),MATCH(EDATE($E24,AJ$1-1),Raw_매출!$B$1:$BI$1,0))=0,"",INDEX(Raw_매출!$B$2:$BI$155,MATCH($A24,Raw_매출!$A$2:$A$155,0),MATCH(EDATE($E24,AJ$1-1),Raw_매출!$B$1:$BI$1,0))/(INDEX(요약_월별시즈널리티!$F$7:$F$18,MONTH(EDATE($E24,AJ$1-1)))/100))),"")</f>
        <v/>
      </c>
      <c r="AK24" t="str" cm="1">
        <f t="array" ref="AK24">IFERROR(IF($E24&lt;44348,"",IF(INDEX(Raw_매출!$B$2:$BI$155,MATCH($A24,Raw_매출!$A$2:$A$155,0),MATCH(EDATE($E24,AK$1-1),Raw_매출!$B$1:$BI$1,0))=0,"",INDEX(Raw_매출!$B$2:$BI$155,MATCH($A24,Raw_매출!$A$2:$A$155,0),MATCH(EDATE($E24,AK$1-1),Raw_매출!$B$1:$BI$1,0))/(INDEX(요약_월별시즈널리티!$F$7:$F$18,MONTH(EDATE($E24,AK$1-1)))/100))),"")</f>
        <v/>
      </c>
      <c r="AL24" t="str" cm="1">
        <f t="array" ref="AL24">IFERROR(IF($E24&lt;44348,"",IF(INDEX(Raw_매출!$B$2:$BI$155,MATCH($A24,Raw_매출!$A$2:$A$155,0),MATCH(EDATE($E24,AL$1-1),Raw_매출!$B$1:$BI$1,0))=0,"",INDEX(Raw_매출!$B$2:$BI$155,MATCH($A24,Raw_매출!$A$2:$A$155,0),MATCH(EDATE($E24,AL$1-1),Raw_매출!$B$1:$BI$1,0))/(INDEX(요약_월별시즈널리티!$F$7:$F$18,MONTH(EDATE($E24,AL$1-1)))/100))),"")</f>
        <v/>
      </c>
      <c r="AM24" t="str" cm="1">
        <f t="array" ref="AM24">IFERROR(IF($E24&lt;44348,"",IF(INDEX(Raw_매출!$B$2:$BI$155,MATCH($A24,Raw_매출!$A$2:$A$155,0),MATCH(EDATE($E24,AM$1-1),Raw_매출!$B$1:$BI$1,0))=0,"",INDEX(Raw_매출!$B$2:$BI$155,MATCH($A24,Raw_매출!$A$2:$A$155,0),MATCH(EDATE($E24,AM$1-1),Raw_매출!$B$1:$BI$1,0))/(INDEX(요약_월별시즈널리티!$F$7:$F$18,MONTH(EDATE($E24,AM$1-1)))/100))),"")</f>
        <v/>
      </c>
      <c r="AN24" t="str" cm="1">
        <f t="array" ref="AN24">IFERROR(IF($E24&lt;44348,"",IF(INDEX(Raw_매출!$B$2:$BI$155,MATCH($A24,Raw_매출!$A$2:$A$155,0),MATCH(EDATE($E24,AN$1-1),Raw_매출!$B$1:$BI$1,0))=0,"",INDEX(Raw_매출!$B$2:$BI$155,MATCH($A24,Raw_매출!$A$2:$A$155,0),MATCH(EDATE($E24,AN$1-1),Raw_매출!$B$1:$BI$1,0))/(INDEX(요약_월별시즈널리티!$F$7:$F$18,MONTH(EDATE($E24,AN$1-1)))/100))),"")</f>
        <v/>
      </c>
      <c r="AO24" t="str" cm="1">
        <f t="array" ref="AO24">IFERROR(IF($E24&lt;44348,"",IF(INDEX(Raw_매출!$B$2:$BI$155,MATCH($A24,Raw_매출!$A$2:$A$155,0),MATCH(EDATE($E24,AO$1-1),Raw_매출!$B$1:$BI$1,0))=0,"",INDEX(Raw_매출!$B$2:$BI$155,MATCH($A24,Raw_매출!$A$2:$A$155,0),MATCH(EDATE($E24,AO$1-1),Raw_매출!$B$1:$BI$1,0))/(INDEX(요약_월별시즈널리티!$F$7:$F$18,MONTH(EDATE($E24,AO$1-1)))/100))),"")</f>
        <v/>
      </c>
      <c r="AP24" t="str" cm="1">
        <f t="array" ref="AP24">IFERROR(IF($E24&lt;44348,"",IF(INDEX(Raw_매출!$B$2:$BI$155,MATCH($A24,Raw_매출!$A$2:$A$155,0),MATCH(EDATE($E24,AP$1-1),Raw_매출!$B$1:$BI$1,0))=0,"",INDEX(Raw_매출!$B$2:$BI$155,MATCH($A24,Raw_매출!$A$2:$A$155,0),MATCH(EDATE($E24,AP$1-1),Raw_매출!$B$1:$BI$1,0))/(INDEX(요약_월별시즈널리티!$F$7:$F$18,MONTH(EDATE($E24,AP$1-1)))/100))),"")</f>
        <v/>
      </c>
      <c r="AQ24" t="str" cm="1">
        <f t="array" ref="AQ24">IFERROR(IF($E24&lt;44348,"",IF(INDEX(Raw_매출!$B$2:$BI$155,MATCH($A24,Raw_매출!$A$2:$A$155,0),MATCH(EDATE($E24,AQ$1-1),Raw_매출!$B$1:$BI$1,0))=0,"",INDEX(Raw_매출!$B$2:$BI$155,MATCH($A24,Raw_매출!$A$2:$A$155,0),MATCH(EDATE($E24,AQ$1-1),Raw_매출!$B$1:$BI$1,0))/(INDEX(요약_월별시즈널리티!$F$7:$F$18,MONTH(EDATE($E24,AQ$1-1)))/100))),"")</f>
        <v/>
      </c>
      <c r="AR24" t="str" cm="1">
        <f t="array" ref="AR24">IFERROR(IF($E24&lt;44348,"",IF(INDEX(Raw_매출!$B$2:$BI$155,MATCH($A24,Raw_매출!$A$2:$A$155,0),MATCH(EDATE($E24,AR$1-1),Raw_매출!$B$1:$BI$1,0))=0,"",INDEX(Raw_매출!$B$2:$BI$155,MATCH($A24,Raw_매출!$A$2:$A$155,0),MATCH(EDATE($E24,AR$1-1),Raw_매출!$B$1:$BI$1,0))/(INDEX(요약_월별시즈널리티!$F$7:$F$18,MONTH(EDATE($E24,AR$1-1)))/100))),"")</f>
        <v/>
      </c>
      <c r="AS24" t="str" cm="1">
        <f t="array" ref="AS24">IFERROR(IF($E24&lt;44348,"",IF(INDEX(Raw_매출!$B$2:$BI$155,MATCH($A24,Raw_매출!$A$2:$A$155,0),MATCH(EDATE($E24,AS$1-1),Raw_매출!$B$1:$BI$1,0))=0,"",INDEX(Raw_매출!$B$2:$BI$155,MATCH($A24,Raw_매출!$A$2:$A$155,0),MATCH(EDATE($E24,AS$1-1),Raw_매출!$B$1:$BI$1,0))/(INDEX(요약_월별시즈널리티!$F$7:$F$18,MONTH(EDATE($E24,AS$1-1)))/100))),"")</f>
        <v/>
      </c>
      <c r="AT24" t="str" cm="1">
        <f t="array" ref="AT24">IFERROR(IF($E24&lt;44348,"",IF(INDEX(Raw_매출!$B$2:$BI$155,MATCH($A24,Raw_매출!$A$2:$A$155,0),MATCH(EDATE($E24,AT$1-1),Raw_매출!$B$1:$BI$1,0))=0,"",INDEX(Raw_매출!$B$2:$BI$155,MATCH($A24,Raw_매출!$A$2:$A$155,0),MATCH(EDATE($E24,AT$1-1),Raw_매출!$B$1:$BI$1,0))/(INDEX(요약_월별시즈널리티!$F$7:$F$18,MONTH(EDATE($E24,AT$1-1)))/100))),"")</f>
        <v/>
      </c>
      <c r="AU24" t="str" cm="1">
        <f t="array" ref="AU24">IFERROR(IF($E24&lt;44348,"",IF(INDEX(Raw_매출!$B$2:$BI$155,MATCH($A24,Raw_매출!$A$2:$A$155,0),MATCH(EDATE($E24,AU$1-1),Raw_매출!$B$1:$BI$1,0))=0,"",INDEX(Raw_매출!$B$2:$BI$155,MATCH($A24,Raw_매출!$A$2:$A$155,0),MATCH(EDATE($E24,AU$1-1),Raw_매출!$B$1:$BI$1,0))/(INDEX(요약_월별시즈널리티!$F$7:$F$18,MONTH(EDATE($E24,AU$1-1)))/100))),"")</f>
        <v/>
      </c>
      <c r="AV24" t="str" cm="1">
        <f t="array" ref="AV24">IFERROR(IF($E24&lt;44348,"",IF(INDEX(Raw_매출!$B$2:$BI$155,MATCH($A24,Raw_매출!$A$2:$A$155,0),MATCH(EDATE($E24,AV$1-1),Raw_매출!$B$1:$BI$1,0))=0,"",INDEX(Raw_매출!$B$2:$BI$155,MATCH($A24,Raw_매출!$A$2:$A$155,0),MATCH(EDATE($E24,AV$1-1),Raw_매출!$B$1:$BI$1,0))/(INDEX(요약_월별시즈널리티!$F$7:$F$18,MONTH(EDATE($E24,AV$1-1)))/100))),"")</f>
        <v/>
      </c>
      <c r="AW24" t="str" cm="1">
        <f t="array" ref="AW24">IFERROR(IF($E24&lt;44348,"",IF(INDEX(Raw_매출!$B$2:$BI$155,MATCH($A24,Raw_매출!$A$2:$A$155,0),MATCH(EDATE($E24,AW$1-1),Raw_매출!$B$1:$BI$1,0))=0,"",INDEX(Raw_매출!$B$2:$BI$155,MATCH($A24,Raw_매출!$A$2:$A$155,0),MATCH(EDATE($E24,AW$1-1),Raw_매출!$B$1:$BI$1,0))/(INDEX(요약_월별시즈널리티!$F$7:$F$18,MONTH(EDATE($E24,AW$1-1)))/100))),"")</f>
        <v/>
      </c>
      <c r="AX24" t="str" cm="1">
        <f t="array" ref="AX24">IFERROR(IF($E24&lt;44348,"",IF(INDEX(Raw_매출!$B$2:$BI$155,MATCH($A24,Raw_매출!$A$2:$A$155,0),MATCH(EDATE($E24,AX$1-1),Raw_매출!$B$1:$BI$1,0))=0,"",INDEX(Raw_매출!$B$2:$BI$155,MATCH($A24,Raw_매출!$A$2:$A$155,0),MATCH(EDATE($E24,AX$1-1),Raw_매출!$B$1:$BI$1,0))/(INDEX(요약_월별시즈널리티!$F$7:$F$18,MONTH(EDATE($E24,AX$1-1)))/100))),"")</f>
        <v/>
      </c>
      <c r="AY24" t="str" cm="1">
        <f t="array" ref="AY24">IFERROR(IF($E24&lt;44348,"",IF(INDEX(Raw_매출!$B$2:$BI$155,MATCH($A24,Raw_매출!$A$2:$A$155,0),MATCH(EDATE($E24,AY$1-1),Raw_매출!$B$1:$BI$1,0))=0,"",INDEX(Raw_매출!$B$2:$BI$155,MATCH($A24,Raw_매출!$A$2:$A$155,0),MATCH(EDATE($E24,AY$1-1),Raw_매출!$B$1:$BI$1,0))/(INDEX(요약_월별시즈널리티!$F$7:$F$18,MONTH(EDATE($E24,AY$1-1)))/100))),"")</f>
        <v/>
      </c>
      <c r="AZ24" t="str" cm="1">
        <f t="array" ref="AZ24">IFERROR(IF($E24&lt;44348,"",IF(INDEX(Raw_매출!$B$2:$BI$155,MATCH($A24,Raw_매출!$A$2:$A$155,0),MATCH(EDATE($E24,AZ$1-1),Raw_매출!$B$1:$BI$1,0))=0,"",INDEX(Raw_매출!$B$2:$BI$155,MATCH($A24,Raw_매출!$A$2:$A$155,0),MATCH(EDATE($E24,AZ$1-1),Raw_매출!$B$1:$BI$1,0))/(INDEX(요약_월별시즈널리티!$F$7:$F$18,MONTH(EDATE($E24,AZ$1-1)))/100))),"")</f>
        <v/>
      </c>
      <c r="BA24" t="str" cm="1">
        <f t="array" ref="BA24">IFERROR(IF($E24&lt;44348,"",IF(INDEX(Raw_매출!$B$2:$BI$155,MATCH($A24,Raw_매출!$A$2:$A$155,0),MATCH(EDATE($E24,BA$1-1),Raw_매출!$B$1:$BI$1,0))=0,"",INDEX(Raw_매출!$B$2:$BI$155,MATCH($A24,Raw_매출!$A$2:$A$155,0),MATCH(EDATE($E24,BA$1-1),Raw_매출!$B$1:$BI$1,0))/(INDEX(요약_월별시즈널리티!$F$7:$F$18,MONTH(EDATE($E24,BA$1-1)))/100))),"")</f>
        <v/>
      </c>
      <c r="BB24" t="str" cm="1">
        <f t="array" ref="BB24">IFERROR(IF($E24&lt;44348,"",IF(INDEX(Raw_매출!$B$2:$BI$155,MATCH($A24,Raw_매출!$A$2:$A$155,0),MATCH(EDATE($E24,BB$1-1),Raw_매출!$B$1:$BI$1,0))=0,"",INDEX(Raw_매출!$B$2:$BI$155,MATCH($A24,Raw_매출!$A$2:$A$155,0),MATCH(EDATE($E24,BB$1-1),Raw_매출!$B$1:$BI$1,0))/(INDEX(요약_월별시즈널리티!$F$7:$F$18,MONTH(EDATE($E24,BB$1-1)))/100))),"")</f>
        <v/>
      </c>
      <c r="BC24" t="str" cm="1">
        <f t="array" ref="BC24">IFERROR(IF($E24&lt;44348,"",IF(INDEX(Raw_매출!$B$2:$BI$155,MATCH($A24,Raw_매출!$A$2:$A$155,0),MATCH(EDATE($E24,BC$1-1),Raw_매출!$B$1:$BI$1,0))=0,"",INDEX(Raw_매출!$B$2:$BI$155,MATCH($A24,Raw_매출!$A$2:$A$155,0),MATCH(EDATE($E24,BC$1-1),Raw_매출!$B$1:$BI$1,0))/(INDEX(요약_월별시즈널리티!$F$7:$F$18,MONTH(EDATE($E24,BC$1-1)))/100))),"")</f>
        <v/>
      </c>
      <c r="BD24" t="str" cm="1">
        <f t="array" ref="BD24">IFERROR(IF($E24&lt;44348,"",IF(INDEX(Raw_매출!$B$2:$BI$155,MATCH($A24,Raw_매출!$A$2:$A$155,0),MATCH(EDATE($E24,BD$1-1),Raw_매출!$B$1:$BI$1,0))=0,"",INDEX(Raw_매출!$B$2:$BI$155,MATCH($A24,Raw_매출!$A$2:$A$155,0),MATCH(EDATE($E24,BD$1-1),Raw_매출!$B$1:$BI$1,0))/(INDEX(요약_월별시즈널리티!$F$7:$F$18,MONTH(EDATE($E24,BD$1-1)))/100))),"")</f>
        <v/>
      </c>
      <c r="BE24" t="str" cm="1">
        <f t="array" ref="BE24">IFERROR(IF($E24&lt;44348,"",IF(INDEX(Raw_매출!$B$2:$BI$155,MATCH($A24,Raw_매출!$A$2:$A$155,0),MATCH(EDATE($E24,BE$1-1),Raw_매출!$B$1:$BI$1,0))=0,"",INDEX(Raw_매출!$B$2:$BI$155,MATCH($A24,Raw_매출!$A$2:$A$155,0),MATCH(EDATE($E24,BE$1-1),Raw_매출!$B$1:$BI$1,0))/(INDEX(요약_월별시즈널리티!$F$7:$F$18,MONTH(EDATE($E24,BE$1-1)))/100))),"")</f>
        <v/>
      </c>
      <c r="BF24" t="str" cm="1">
        <f t="array" ref="BF24">IFERROR(IF($E24&lt;44348,"",IF(INDEX(Raw_매출!$B$2:$BI$155,MATCH($A24,Raw_매출!$A$2:$A$155,0),MATCH(EDATE($E24,BF$1-1),Raw_매출!$B$1:$BI$1,0))=0,"",INDEX(Raw_매출!$B$2:$BI$155,MATCH($A24,Raw_매출!$A$2:$A$155,0),MATCH(EDATE($E24,BF$1-1),Raw_매출!$B$1:$BI$1,0))/(INDEX(요약_월별시즈널리티!$F$7:$F$18,MONTH(EDATE($E24,BF$1-1)))/100))),"")</f>
        <v/>
      </c>
      <c r="BG24" t="str" cm="1">
        <f t="array" ref="BG24">IFERROR(IF($E24&lt;44348,"",IF(INDEX(Raw_매출!$B$2:$BI$155,MATCH($A24,Raw_매출!$A$2:$A$155,0),MATCH(EDATE($E24,BG$1-1),Raw_매출!$B$1:$BI$1,0))=0,"",INDEX(Raw_매출!$B$2:$BI$155,MATCH($A24,Raw_매출!$A$2:$A$155,0),MATCH(EDATE($E24,BG$1-1),Raw_매출!$B$1:$BI$1,0))/(INDEX(요약_월별시즈널리티!$F$7:$F$18,MONTH(EDATE($E24,BG$1-1)))/100))),"")</f>
        <v/>
      </c>
      <c r="BH24" t="str" cm="1">
        <f t="array" ref="BH24">IFERROR(IF($E24&lt;44348,"",IF(INDEX(Raw_매출!$B$2:$BI$155,MATCH($A24,Raw_매출!$A$2:$A$155,0),MATCH(EDATE($E24,BH$1-1),Raw_매출!$B$1:$BI$1,0))=0,"",INDEX(Raw_매출!$B$2:$BI$155,MATCH($A24,Raw_매출!$A$2:$A$155,0),MATCH(EDATE($E24,BH$1-1),Raw_매출!$B$1:$BI$1,0))/(INDEX(요약_월별시즈널리티!$F$7:$F$18,MONTH(EDATE($E24,BH$1-1)))/100))),"")</f>
        <v/>
      </c>
      <c r="BI24" t="str" cm="1">
        <f t="array" ref="BI24">IFERROR(IF($E24&lt;44348,"",IF(INDEX(Raw_매출!$B$2:$BI$155,MATCH($A24,Raw_매출!$A$2:$A$155,0),MATCH(EDATE($E24,BI$1-1),Raw_매출!$B$1:$BI$1,0))=0,"",INDEX(Raw_매출!$B$2:$BI$155,MATCH($A24,Raw_매출!$A$2:$A$155,0),MATCH(EDATE($E24,BI$1-1),Raw_매출!$B$1:$BI$1,0))/(INDEX(요약_월별시즈널리티!$F$7:$F$18,MONTH(EDATE($E24,BI$1-1)))/100))),"")</f>
        <v/>
      </c>
      <c r="BJ24" t="str" cm="1">
        <f t="array" ref="BJ24">IFERROR(IF($E24&lt;44348,"",IF(INDEX(Raw_매출!$B$2:$BI$155,MATCH($A24,Raw_매출!$A$2:$A$155,0),MATCH(EDATE($E24,BJ$1-1),Raw_매출!$B$1:$BI$1,0))=0,"",INDEX(Raw_매출!$B$2:$BI$155,MATCH($A24,Raw_매출!$A$2:$A$155,0),MATCH(EDATE($E24,BJ$1-1),Raw_매출!$B$1:$BI$1,0))/(INDEX(요약_월별시즈널리티!$F$7:$F$18,MONTH(EDATE($E24,BJ$1-1)))/100))),"")</f>
        <v/>
      </c>
      <c r="BK24" t="str" cm="1">
        <f t="array" ref="BK24">IFERROR(IF($E24&lt;44348,"",IF(INDEX(Raw_매출!$B$2:$BI$155,MATCH($A24,Raw_매출!$A$2:$A$155,0),MATCH(EDATE($E24,BK$1-1),Raw_매출!$B$1:$BI$1,0))=0,"",INDEX(Raw_매출!$B$2:$BI$155,MATCH($A24,Raw_매출!$A$2:$A$155,0),MATCH(EDATE($E24,BK$1-1),Raw_매출!$B$1:$BI$1,0))/(INDEX(요약_월별시즈널리티!$F$7:$F$18,MONTH(EDATE($E24,BK$1-1)))/100))),"")</f>
        <v/>
      </c>
      <c r="BL24" t="str" cm="1">
        <f t="array" ref="BL24">IFERROR(IF($E24&lt;44348,"",IF(INDEX(Raw_매출!$B$2:$BI$155,MATCH($A24,Raw_매출!$A$2:$A$155,0),MATCH(EDATE($E24,BL$1-1),Raw_매출!$B$1:$BI$1,0))=0,"",INDEX(Raw_매출!$B$2:$BI$155,MATCH($A24,Raw_매출!$A$2:$A$155,0),MATCH(EDATE($E24,BL$1-1),Raw_매출!$B$1:$BI$1,0))/(INDEX(요약_월별시즈널리티!$F$7:$F$18,MONTH(EDATE($E24,BL$1-1)))/100))),"")</f>
        <v/>
      </c>
      <c r="BM24" t="str" cm="1">
        <f t="array" ref="BM24">IFERROR(IF($E24&lt;44348,"",IF(INDEX(Raw_매출!$B$2:$BI$155,MATCH($A24,Raw_매출!$A$2:$A$155,0),MATCH(EDATE($E24,BM$1-1),Raw_매출!$B$1:$BI$1,0))=0,"",INDEX(Raw_매출!$B$2:$BI$155,MATCH($A24,Raw_매출!$A$2:$A$155,0),MATCH(EDATE($E24,BM$1-1),Raw_매출!$B$1:$BI$1,0))/(INDEX(요약_월별시즈널리티!$F$7:$F$18,MONTH(EDATE($E24,BM$1-1)))/100))),"")</f>
        <v/>
      </c>
      <c r="BN24" t="str" cm="1">
        <f t="array" ref="BN24">IFERROR(IF($E24&lt;44348,"",IF(INDEX(Raw_매출!$B$2:$BI$155,MATCH($A24,Raw_매출!$A$2:$A$155,0),MATCH(EDATE($E24,BN$1-1),Raw_매출!$B$1:$BI$1,0))=0,"",INDEX(Raw_매출!$B$2:$BI$155,MATCH($A24,Raw_매출!$A$2:$A$155,0),MATCH(EDATE($E24,BN$1-1),Raw_매출!$B$1:$BI$1,0))/(INDEX(요약_월별시즈널리티!$F$7:$F$18,MONTH(EDATE($E24,BN$1-1)))/100))),"")</f>
        <v/>
      </c>
    </row>
    <row r="25" spans="1:66" x14ac:dyDescent="0.4">
      <c r="A25" t="str">
        <f>세팅!A26</f>
        <v>(1010) #삼전엠케이점</v>
      </c>
      <c r="B25" t="str">
        <f>세팅!B26</f>
        <v>150-0</v>
      </c>
      <c r="C25">
        <f t="shared" si="0"/>
        <v>0</v>
      </c>
      <c r="D25" t="str">
        <f t="shared" si="1"/>
        <v>0</v>
      </c>
      <c r="E25" s="1">
        <f>세팅!D26</f>
        <v>44044</v>
      </c>
      <c r="F25" t="str">
        <f t="shared" si="2"/>
        <v/>
      </c>
      <c r="G25" t="str" cm="1">
        <f t="array" ref="G25">IFERROR(IF($E25&lt;44348,"",IF(INDEX(Raw_매출!$B$2:$BI$155,MATCH($A25,Raw_매출!$A$2:$A$155,0),MATCH(EDATE($E25,G$1-1),Raw_매출!$B$1:$BI$1,0))=0,"",INDEX(Raw_매출!$B$2:$BI$155,MATCH($A25,Raw_매출!$A$2:$A$155,0),MATCH(EDATE($E25,G$1-1),Raw_매출!$B$1:$BI$1,0))/(INDEX(요약_월별시즈널리티!$F$7:$F$18,MONTH(EDATE($E25,G$1-1)))/100))),"")</f>
        <v/>
      </c>
      <c r="H25" t="str" cm="1">
        <f t="array" ref="H25">IFERROR(IF($E25&lt;44348,"",IF(INDEX(Raw_매출!$B$2:$BI$155,MATCH($A25,Raw_매출!$A$2:$A$155,0),MATCH(EDATE($E25,H$1-1),Raw_매출!$B$1:$BI$1,0))=0,"",INDEX(Raw_매출!$B$2:$BI$155,MATCH($A25,Raw_매출!$A$2:$A$155,0),MATCH(EDATE($E25,H$1-1),Raw_매출!$B$1:$BI$1,0))/(INDEX(요약_월별시즈널리티!$F$7:$F$18,MONTH(EDATE($E25,H$1-1)))/100))),"")</f>
        <v/>
      </c>
      <c r="I25" t="str" cm="1">
        <f t="array" ref="I25">IFERROR(IF($E25&lt;44348,"",IF(INDEX(Raw_매출!$B$2:$BI$155,MATCH($A25,Raw_매출!$A$2:$A$155,0),MATCH(EDATE($E25,I$1-1),Raw_매출!$B$1:$BI$1,0))=0,"",INDEX(Raw_매출!$B$2:$BI$155,MATCH($A25,Raw_매출!$A$2:$A$155,0),MATCH(EDATE($E25,I$1-1),Raw_매출!$B$1:$BI$1,0))/(INDEX(요약_월별시즈널리티!$F$7:$F$18,MONTH(EDATE($E25,I$1-1)))/100))),"")</f>
        <v/>
      </c>
      <c r="J25" s="30" t="str" cm="1">
        <f t="array" ref="J25">IFERROR(IF($E25&lt;44348,"",IF(INDEX(Raw_매출!$B$2:$BI$155,MATCH($A25,Raw_매출!$A$2:$A$155,0),MATCH(EDATE($E25,J$1-1),Raw_매출!$B$1:$BI$1,0))=0,"",INDEX(Raw_매출!$B$2:$BI$155,MATCH($A25,Raw_매출!$A$2:$A$155,0),MATCH(EDATE($E25,J$1-1),Raw_매출!$B$1:$BI$1,0))/(INDEX(요약_월별시즈널리티!$F$7:$F$18,MONTH(EDATE($E25,J$1-1)))/100))),"")</f>
        <v/>
      </c>
      <c r="K25" s="30" t="str" cm="1">
        <f t="array" ref="K25">IFERROR(IF($E25&lt;44348,"",IF(INDEX(Raw_매출!$B$2:$BI$155,MATCH($A25,Raw_매출!$A$2:$A$155,0),MATCH(EDATE($E25,K$1-1),Raw_매출!$B$1:$BI$1,0))=0,"",INDEX(Raw_매출!$B$2:$BI$155,MATCH($A25,Raw_매출!$A$2:$A$155,0),MATCH(EDATE($E25,K$1-1),Raw_매출!$B$1:$BI$1,0))/(INDEX(요약_월별시즈널리티!$F$7:$F$18,MONTH(EDATE($E25,K$1-1)))/100))),"")</f>
        <v/>
      </c>
      <c r="L25" s="30" t="str" cm="1">
        <f t="array" ref="L25">IFERROR(IF($E25&lt;44348,"",IF(INDEX(Raw_매출!$B$2:$BI$155,MATCH($A25,Raw_매출!$A$2:$A$155,0),MATCH(EDATE($E25,L$1-1),Raw_매출!$B$1:$BI$1,0))=0,"",INDEX(Raw_매출!$B$2:$BI$155,MATCH($A25,Raw_매출!$A$2:$A$155,0),MATCH(EDATE($E25,L$1-1),Raw_매출!$B$1:$BI$1,0))/(INDEX(요약_월별시즈널리티!$F$7:$F$18,MONTH(EDATE($E25,L$1-1)))/100))),"")</f>
        <v/>
      </c>
      <c r="M25" s="30" t="str" cm="1">
        <f t="array" ref="M25">IFERROR(IF($E25&lt;44348,"",IF(INDEX(Raw_매출!$B$2:$BI$155,MATCH($A25,Raw_매출!$A$2:$A$155,0),MATCH(EDATE($E25,M$1-1),Raw_매출!$B$1:$BI$1,0))=0,"",INDEX(Raw_매출!$B$2:$BI$155,MATCH($A25,Raw_매출!$A$2:$A$155,0),MATCH(EDATE($E25,M$1-1),Raw_매출!$B$1:$BI$1,0))/(INDEX(요약_월별시즈널리티!$F$7:$F$18,MONTH(EDATE($E25,M$1-1)))/100))),"")</f>
        <v/>
      </c>
      <c r="N25" s="30" t="str" cm="1">
        <f t="array" ref="N25">IFERROR(IF($E25&lt;44348,"",IF(INDEX(Raw_매출!$B$2:$BI$155,MATCH($A25,Raw_매출!$A$2:$A$155,0),MATCH(EDATE($E25,N$1-1),Raw_매출!$B$1:$BI$1,0))=0,"",INDEX(Raw_매출!$B$2:$BI$155,MATCH($A25,Raw_매출!$A$2:$A$155,0),MATCH(EDATE($E25,N$1-1),Raw_매출!$B$1:$BI$1,0))/(INDEX(요약_월별시즈널리티!$F$7:$F$18,MONTH(EDATE($E25,N$1-1)))/100))),"")</f>
        <v/>
      </c>
      <c r="O25" s="30" t="str" cm="1">
        <f t="array" ref="O25">IFERROR(IF($E25&lt;44348,"",IF(INDEX(Raw_매출!$B$2:$BI$155,MATCH($A25,Raw_매출!$A$2:$A$155,0),MATCH(EDATE($E25,O$1-1),Raw_매출!$B$1:$BI$1,0))=0,"",INDEX(Raw_매출!$B$2:$BI$155,MATCH($A25,Raw_매출!$A$2:$A$155,0),MATCH(EDATE($E25,O$1-1),Raw_매출!$B$1:$BI$1,0))/(INDEX(요약_월별시즈널리티!$F$7:$F$18,MONTH(EDATE($E25,O$1-1)))/100))),"")</f>
        <v/>
      </c>
      <c r="P25" t="str" cm="1">
        <f t="array" ref="P25">IFERROR(IF($E25&lt;44348,"",IF(INDEX(Raw_매출!$B$2:$BI$155,MATCH($A25,Raw_매출!$A$2:$A$155,0),MATCH(EDATE($E25,P$1-1),Raw_매출!$B$1:$BI$1,0))=0,"",INDEX(Raw_매출!$B$2:$BI$155,MATCH($A25,Raw_매출!$A$2:$A$155,0),MATCH(EDATE($E25,P$1-1),Raw_매출!$B$1:$BI$1,0))/(INDEX(요약_월별시즈널리티!$F$7:$F$18,MONTH(EDATE($E25,P$1-1)))/100))),"")</f>
        <v/>
      </c>
      <c r="Q25" t="str" cm="1">
        <f t="array" ref="Q25">IFERROR(IF($E25&lt;44348,"",IF(INDEX(Raw_매출!$B$2:$BI$155,MATCH($A25,Raw_매출!$A$2:$A$155,0),MATCH(EDATE($E25,Q$1-1),Raw_매출!$B$1:$BI$1,0))=0,"",INDEX(Raw_매출!$B$2:$BI$155,MATCH($A25,Raw_매출!$A$2:$A$155,0),MATCH(EDATE($E25,Q$1-1),Raw_매출!$B$1:$BI$1,0))/(INDEX(요약_월별시즈널리티!$F$7:$F$18,MONTH(EDATE($E25,Q$1-1)))/100))),"")</f>
        <v/>
      </c>
      <c r="R25" t="str" cm="1">
        <f t="array" ref="R25">IFERROR(IF($E25&lt;44348,"",IF(INDEX(Raw_매출!$B$2:$BI$155,MATCH($A25,Raw_매출!$A$2:$A$155,0),MATCH(EDATE($E25,R$1-1),Raw_매출!$B$1:$BI$1,0))=0,"",INDEX(Raw_매출!$B$2:$BI$155,MATCH($A25,Raw_매출!$A$2:$A$155,0),MATCH(EDATE($E25,R$1-1),Raw_매출!$B$1:$BI$1,0))/(INDEX(요약_월별시즈널리티!$F$7:$F$18,MONTH(EDATE($E25,R$1-1)))/100))),"")</f>
        <v/>
      </c>
      <c r="S25" t="str" cm="1">
        <f t="array" ref="S25">IFERROR(IF($E25&lt;44348,"",IF(INDEX(Raw_매출!$B$2:$BI$155,MATCH($A25,Raw_매출!$A$2:$A$155,0),MATCH(EDATE($E25,S$1-1),Raw_매출!$B$1:$BI$1,0))=0,"",INDEX(Raw_매출!$B$2:$BI$155,MATCH($A25,Raw_매출!$A$2:$A$155,0),MATCH(EDATE($E25,S$1-1),Raw_매출!$B$1:$BI$1,0))/(INDEX(요약_월별시즈널리티!$F$7:$F$18,MONTH(EDATE($E25,S$1-1)))/100))),"")</f>
        <v/>
      </c>
      <c r="T25" t="str" cm="1">
        <f t="array" ref="T25">IFERROR(IF($E25&lt;44348,"",IF(INDEX(Raw_매출!$B$2:$BI$155,MATCH($A25,Raw_매출!$A$2:$A$155,0),MATCH(EDATE($E25,T$1-1),Raw_매출!$B$1:$BI$1,0))=0,"",INDEX(Raw_매출!$B$2:$BI$155,MATCH($A25,Raw_매출!$A$2:$A$155,0),MATCH(EDATE($E25,T$1-1),Raw_매출!$B$1:$BI$1,0))/(INDEX(요약_월별시즈널리티!$F$7:$F$18,MONTH(EDATE($E25,T$1-1)))/100))),"")</f>
        <v/>
      </c>
      <c r="U25" t="str" cm="1">
        <f t="array" ref="U25">IFERROR(IF($E25&lt;44348,"",IF(INDEX(Raw_매출!$B$2:$BI$155,MATCH($A25,Raw_매출!$A$2:$A$155,0),MATCH(EDATE($E25,U$1-1),Raw_매출!$B$1:$BI$1,0))=0,"",INDEX(Raw_매출!$B$2:$BI$155,MATCH($A25,Raw_매출!$A$2:$A$155,0),MATCH(EDATE($E25,U$1-1),Raw_매출!$B$1:$BI$1,0))/(INDEX(요약_월별시즈널리티!$F$7:$F$18,MONTH(EDATE($E25,U$1-1)))/100))),"")</f>
        <v/>
      </c>
      <c r="V25" t="str" cm="1">
        <f t="array" ref="V25">IFERROR(IF($E25&lt;44348,"",IF(INDEX(Raw_매출!$B$2:$BI$155,MATCH($A25,Raw_매출!$A$2:$A$155,0),MATCH(EDATE($E25,V$1-1),Raw_매출!$B$1:$BI$1,0))=0,"",INDEX(Raw_매출!$B$2:$BI$155,MATCH($A25,Raw_매출!$A$2:$A$155,0),MATCH(EDATE($E25,V$1-1),Raw_매출!$B$1:$BI$1,0))/(INDEX(요약_월별시즈널리티!$F$7:$F$18,MONTH(EDATE($E25,V$1-1)))/100))),"")</f>
        <v/>
      </c>
      <c r="W25" t="str" cm="1">
        <f t="array" ref="W25">IFERROR(IF($E25&lt;44348,"",IF(INDEX(Raw_매출!$B$2:$BI$155,MATCH($A25,Raw_매출!$A$2:$A$155,0),MATCH(EDATE($E25,W$1-1),Raw_매출!$B$1:$BI$1,0))=0,"",INDEX(Raw_매출!$B$2:$BI$155,MATCH($A25,Raw_매출!$A$2:$A$155,0),MATCH(EDATE($E25,W$1-1),Raw_매출!$B$1:$BI$1,0))/(INDEX(요약_월별시즈널리티!$F$7:$F$18,MONTH(EDATE($E25,W$1-1)))/100))),"")</f>
        <v/>
      </c>
      <c r="X25" t="str" cm="1">
        <f t="array" ref="X25">IFERROR(IF($E25&lt;44348,"",IF(INDEX(Raw_매출!$B$2:$BI$155,MATCH($A25,Raw_매출!$A$2:$A$155,0),MATCH(EDATE($E25,X$1-1),Raw_매출!$B$1:$BI$1,0))=0,"",INDEX(Raw_매출!$B$2:$BI$155,MATCH($A25,Raw_매출!$A$2:$A$155,0),MATCH(EDATE($E25,X$1-1),Raw_매출!$B$1:$BI$1,0))/(INDEX(요약_월별시즈널리티!$F$7:$F$18,MONTH(EDATE($E25,X$1-1)))/100))),"")</f>
        <v/>
      </c>
      <c r="Y25" t="str" cm="1">
        <f t="array" ref="Y25">IFERROR(IF($E25&lt;44348,"",IF(INDEX(Raw_매출!$B$2:$BI$155,MATCH($A25,Raw_매출!$A$2:$A$155,0),MATCH(EDATE($E25,Y$1-1),Raw_매출!$B$1:$BI$1,0))=0,"",INDEX(Raw_매출!$B$2:$BI$155,MATCH($A25,Raw_매출!$A$2:$A$155,0),MATCH(EDATE($E25,Y$1-1),Raw_매출!$B$1:$BI$1,0))/(INDEX(요약_월별시즈널리티!$F$7:$F$18,MONTH(EDATE($E25,Y$1-1)))/100))),"")</f>
        <v/>
      </c>
      <c r="Z25" t="str" cm="1">
        <f t="array" ref="Z25">IFERROR(IF($E25&lt;44348,"",IF(INDEX(Raw_매출!$B$2:$BI$155,MATCH($A25,Raw_매출!$A$2:$A$155,0),MATCH(EDATE($E25,Z$1-1),Raw_매출!$B$1:$BI$1,0))=0,"",INDEX(Raw_매출!$B$2:$BI$155,MATCH($A25,Raw_매출!$A$2:$A$155,0),MATCH(EDATE($E25,Z$1-1),Raw_매출!$B$1:$BI$1,0))/(INDEX(요약_월별시즈널리티!$F$7:$F$18,MONTH(EDATE($E25,Z$1-1)))/100))),"")</f>
        <v/>
      </c>
      <c r="AA25" t="str" cm="1">
        <f t="array" ref="AA25">IFERROR(IF($E25&lt;44348,"",IF(INDEX(Raw_매출!$B$2:$BI$155,MATCH($A25,Raw_매출!$A$2:$A$155,0),MATCH(EDATE($E25,AA$1-1),Raw_매출!$B$1:$BI$1,0))=0,"",INDEX(Raw_매출!$B$2:$BI$155,MATCH($A25,Raw_매출!$A$2:$A$155,0),MATCH(EDATE($E25,AA$1-1),Raw_매출!$B$1:$BI$1,0))/(INDEX(요약_월별시즈널리티!$F$7:$F$18,MONTH(EDATE($E25,AA$1-1)))/100))),"")</f>
        <v/>
      </c>
      <c r="AB25" t="str" cm="1">
        <f t="array" ref="AB25">IFERROR(IF($E25&lt;44348,"",IF(INDEX(Raw_매출!$B$2:$BI$155,MATCH($A25,Raw_매출!$A$2:$A$155,0),MATCH(EDATE($E25,AB$1-1),Raw_매출!$B$1:$BI$1,0))=0,"",INDEX(Raw_매출!$B$2:$BI$155,MATCH($A25,Raw_매출!$A$2:$A$155,0),MATCH(EDATE($E25,AB$1-1),Raw_매출!$B$1:$BI$1,0))/(INDEX(요약_월별시즈널리티!$F$7:$F$18,MONTH(EDATE($E25,AB$1-1)))/100))),"")</f>
        <v/>
      </c>
      <c r="AC25" t="str" cm="1">
        <f t="array" ref="AC25">IFERROR(IF($E25&lt;44348,"",IF(INDEX(Raw_매출!$B$2:$BI$155,MATCH($A25,Raw_매출!$A$2:$A$155,0),MATCH(EDATE($E25,AC$1-1),Raw_매출!$B$1:$BI$1,0))=0,"",INDEX(Raw_매출!$B$2:$BI$155,MATCH($A25,Raw_매출!$A$2:$A$155,0),MATCH(EDATE($E25,AC$1-1),Raw_매출!$B$1:$BI$1,0))/(INDEX(요약_월별시즈널리티!$F$7:$F$18,MONTH(EDATE($E25,AC$1-1)))/100))),"")</f>
        <v/>
      </c>
      <c r="AD25" t="str" cm="1">
        <f t="array" ref="AD25">IFERROR(IF($E25&lt;44348,"",IF(INDEX(Raw_매출!$B$2:$BI$155,MATCH($A25,Raw_매출!$A$2:$A$155,0),MATCH(EDATE($E25,AD$1-1),Raw_매출!$B$1:$BI$1,0))=0,"",INDEX(Raw_매출!$B$2:$BI$155,MATCH($A25,Raw_매출!$A$2:$A$155,0),MATCH(EDATE($E25,AD$1-1),Raw_매출!$B$1:$BI$1,0))/(INDEX(요약_월별시즈널리티!$F$7:$F$18,MONTH(EDATE($E25,AD$1-1)))/100))),"")</f>
        <v/>
      </c>
      <c r="AE25" t="str" cm="1">
        <f t="array" ref="AE25">IFERROR(IF($E25&lt;44348,"",IF(INDEX(Raw_매출!$B$2:$BI$155,MATCH($A25,Raw_매출!$A$2:$A$155,0),MATCH(EDATE($E25,AE$1-1),Raw_매출!$B$1:$BI$1,0))=0,"",INDEX(Raw_매출!$B$2:$BI$155,MATCH($A25,Raw_매출!$A$2:$A$155,0),MATCH(EDATE($E25,AE$1-1),Raw_매출!$B$1:$BI$1,0))/(INDEX(요약_월별시즈널리티!$F$7:$F$18,MONTH(EDATE($E25,AE$1-1)))/100))),"")</f>
        <v/>
      </c>
      <c r="AF25" t="str" cm="1">
        <f t="array" ref="AF25">IFERROR(IF($E25&lt;44348,"",IF(INDEX(Raw_매출!$B$2:$BI$155,MATCH($A25,Raw_매출!$A$2:$A$155,0),MATCH(EDATE($E25,AF$1-1),Raw_매출!$B$1:$BI$1,0))=0,"",INDEX(Raw_매출!$B$2:$BI$155,MATCH($A25,Raw_매출!$A$2:$A$155,0),MATCH(EDATE($E25,AF$1-1),Raw_매출!$B$1:$BI$1,0))/(INDEX(요약_월별시즈널리티!$F$7:$F$18,MONTH(EDATE($E25,AF$1-1)))/100))),"")</f>
        <v/>
      </c>
      <c r="AG25" t="str" cm="1">
        <f t="array" ref="AG25">IFERROR(IF($E25&lt;44348,"",IF(INDEX(Raw_매출!$B$2:$BI$155,MATCH($A25,Raw_매출!$A$2:$A$155,0),MATCH(EDATE($E25,AG$1-1),Raw_매출!$B$1:$BI$1,0))=0,"",INDEX(Raw_매출!$B$2:$BI$155,MATCH($A25,Raw_매출!$A$2:$A$155,0),MATCH(EDATE($E25,AG$1-1),Raw_매출!$B$1:$BI$1,0))/(INDEX(요약_월별시즈널리티!$F$7:$F$18,MONTH(EDATE($E25,AG$1-1)))/100))),"")</f>
        <v/>
      </c>
      <c r="AH25" t="str" cm="1">
        <f t="array" ref="AH25">IFERROR(IF($E25&lt;44348,"",IF(INDEX(Raw_매출!$B$2:$BI$155,MATCH($A25,Raw_매출!$A$2:$A$155,0),MATCH(EDATE($E25,AH$1-1),Raw_매출!$B$1:$BI$1,0))=0,"",INDEX(Raw_매출!$B$2:$BI$155,MATCH($A25,Raw_매출!$A$2:$A$155,0),MATCH(EDATE($E25,AH$1-1),Raw_매출!$B$1:$BI$1,0))/(INDEX(요약_월별시즈널리티!$F$7:$F$18,MONTH(EDATE($E25,AH$1-1)))/100))),"")</f>
        <v/>
      </c>
      <c r="AI25" t="str" cm="1">
        <f t="array" ref="AI25">IFERROR(IF($E25&lt;44348,"",IF(INDEX(Raw_매출!$B$2:$BI$155,MATCH($A25,Raw_매출!$A$2:$A$155,0),MATCH(EDATE($E25,AI$1-1),Raw_매출!$B$1:$BI$1,0))=0,"",INDEX(Raw_매출!$B$2:$BI$155,MATCH($A25,Raw_매출!$A$2:$A$155,0),MATCH(EDATE($E25,AI$1-1),Raw_매출!$B$1:$BI$1,0))/(INDEX(요약_월별시즈널리티!$F$7:$F$18,MONTH(EDATE($E25,AI$1-1)))/100))),"")</f>
        <v/>
      </c>
      <c r="AJ25" t="str" cm="1">
        <f t="array" ref="AJ25">IFERROR(IF($E25&lt;44348,"",IF(INDEX(Raw_매출!$B$2:$BI$155,MATCH($A25,Raw_매출!$A$2:$A$155,0),MATCH(EDATE($E25,AJ$1-1),Raw_매출!$B$1:$BI$1,0))=0,"",INDEX(Raw_매출!$B$2:$BI$155,MATCH($A25,Raw_매출!$A$2:$A$155,0),MATCH(EDATE($E25,AJ$1-1),Raw_매출!$B$1:$BI$1,0))/(INDEX(요약_월별시즈널리티!$F$7:$F$18,MONTH(EDATE($E25,AJ$1-1)))/100))),"")</f>
        <v/>
      </c>
      <c r="AK25" t="str" cm="1">
        <f t="array" ref="AK25">IFERROR(IF($E25&lt;44348,"",IF(INDEX(Raw_매출!$B$2:$BI$155,MATCH($A25,Raw_매출!$A$2:$A$155,0),MATCH(EDATE($E25,AK$1-1),Raw_매출!$B$1:$BI$1,0))=0,"",INDEX(Raw_매출!$B$2:$BI$155,MATCH($A25,Raw_매출!$A$2:$A$155,0),MATCH(EDATE($E25,AK$1-1),Raw_매출!$B$1:$BI$1,0))/(INDEX(요약_월별시즈널리티!$F$7:$F$18,MONTH(EDATE($E25,AK$1-1)))/100))),"")</f>
        <v/>
      </c>
      <c r="AL25" t="str" cm="1">
        <f t="array" ref="AL25">IFERROR(IF($E25&lt;44348,"",IF(INDEX(Raw_매출!$B$2:$BI$155,MATCH($A25,Raw_매출!$A$2:$A$155,0),MATCH(EDATE($E25,AL$1-1),Raw_매출!$B$1:$BI$1,0))=0,"",INDEX(Raw_매출!$B$2:$BI$155,MATCH($A25,Raw_매출!$A$2:$A$155,0),MATCH(EDATE($E25,AL$1-1),Raw_매출!$B$1:$BI$1,0))/(INDEX(요약_월별시즈널리티!$F$7:$F$18,MONTH(EDATE($E25,AL$1-1)))/100))),"")</f>
        <v/>
      </c>
      <c r="AM25" t="str" cm="1">
        <f t="array" ref="AM25">IFERROR(IF($E25&lt;44348,"",IF(INDEX(Raw_매출!$B$2:$BI$155,MATCH($A25,Raw_매출!$A$2:$A$155,0),MATCH(EDATE($E25,AM$1-1),Raw_매출!$B$1:$BI$1,0))=0,"",INDEX(Raw_매출!$B$2:$BI$155,MATCH($A25,Raw_매출!$A$2:$A$155,0),MATCH(EDATE($E25,AM$1-1),Raw_매출!$B$1:$BI$1,0))/(INDEX(요약_월별시즈널리티!$F$7:$F$18,MONTH(EDATE($E25,AM$1-1)))/100))),"")</f>
        <v/>
      </c>
      <c r="AN25" t="str" cm="1">
        <f t="array" ref="AN25">IFERROR(IF($E25&lt;44348,"",IF(INDEX(Raw_매출!$B$2:$BI$155,MATCH($A25,Raw_매출!$A$2:$A$155,0),MATCH(EDATE($E25,AN$1-1),Raw_매출!$B$1:$BI$1,0))=0,"",INDEX(Raw_매출!$B$2:$BI$155,MATCH($A25,Raw_매출!$A$2:$A$155,0),MATCH(EDATE($E25,AN$1-1),Raw_매출!$B$1:$BI$1,0))/(INDEX(요약_월별시즈널리티!$F$7:$F$18,MONTH(EDATE($E25,AN$1-1)))/100))),"")</f>
        <v/>
      </c>
      <c r="AO25" t="str" cm="1">
        <f t="array" ref="AO25">IFERROR(IF($E25&lt;44348,"",IF(INDEX(Raw_매출!$B$2:$BI$155,MATCH($A25,Raw_매출!$A$2:$A$155,0),MATCH(EDATE($E25,AO$1-1),Raw_매출!$B$1:$BI$1,0))=0,"",INDEX(Raw_매출!$B$2:$BI$155,MATCH($A25,Raw_매출!$A$2:$A$155,0),MATCH(EDATE($E25,AO$1-1),Raw_매출!$B$1:$BI$1,0))/(INDEX(요약_월별시즈널리티!$F$7:$F$18,MONTH(EDATE($E25,AO$1-1)))/100))),"")</f>
        <v/>
      </c>
      <c r="AP25" t="str" cm="1">
        <f t="array" ref="AP25">IFERROR(IF($E25&lt;44348,"",IF(INDEX(Raw_매출!$B$2:$BI$155,MATCH($A25,Raw_매출!$A$2:$A$155,0),MATCH(EDATE($E25,AP$1-1),Raw_매출!$B$1:$BI$1,0))=0,"",INDEX(Raw_매출!$B$2:$BI$155,MATCH($A25,Raw_매출!$A$2:$A$155,0),MATCH(EDATE($E25,AP$1-1),Raw_매출!$B$1:$BI$1,0))/(INDEX(요약_월별시즈널리티!$F$7:$F$18,MONTH(EDATE($E25,AP$1-1)))/100))),"")</f>
        <v/>
      </c>
      <c r="AQ25" t="str" cm="1">
        <f t="array" ref="AQ25">IFERROR(IF($E25&lt;44348,"",IF(INDEX(Raw_매출!$B$2:$BI$155,MATCH($A25,Raw_매출!$A$2:$A$155,0),MATCH(EDATE($E25,AQ$1-1),Raw_매출!$B$1:$BI$1,0))=0,"",INDEX(Raw_매출!$B$2:$BI$155,MATCH($A25,Raw_매출!$A$2:$A$155,0),MATCH(EDATE($E25,AQ$1-1),Raw_매출!$B$1:$BI$1,0))/(INDEX(요약_월별시즈널리티!$F$7:$F$18,MONTH(EDATE($E25,AQ$1-1)))/100))),"")</f>
        <v/>
      </c>
      <c r="AR25" t="str" cm="1">
        <f t="array" ref="AR25">IFERROR(IF($E25&lt;44348,"",IF(INDEX(Raw_매출!$B$2:$BI$155,MATCH($A25,Raw_매출!$A$2:$A$155,0),MATCH(EDATE($E25,AR$1-1),Raw_매출!$B$1:$BI$1,0))=0,"",INDEX(Raw_매출!$B$2:$BI$155,MATCH($A25,Raw_매출!$A$2:$A$155,0),MATCH(EDATE($E25,AR$1-1),Raw_매출!$B$1:$BI$1,0))/(INDEX(요약_월별시즈널리티!$F$7:$F$18,MONTH(EDATE($E25,AR$1-1)))/100))),"")</f>
        <v/>
      </c>
      <c r="AS25" t="str" cm="1">
        <f t="array" ref="AS25">IFERROR(IF($E25&lt;44348,"",IF(INDEX(Raw_매출!$B$2:$BI$155,MATCH($A25,Raw_매출!$A$2:$A$155,0),MATCH(EDATE($E25,AS$1-1),Raw_매출!$B$1:$BI$1,0))=0,"",INDEX(Raw_매출!$B$2:$BI$155,MATCH($A25,Raw_매출!$A$2:$A$155,0),MATCH(EDATE($E25,AS$1-1),Raw_매출!$B$1:$BI$1,0))/(INDEX(요약_월별시즈널리티!$F$7:$F$18,MONTH(EDATE($E25,AS$1-1)))/100))),"")</f>
        <v/>
      </c>
      <c r="AT25" t="str" cm="1">
        <f t="array" ref="AT25">IFERROR(IF($E25&lt;44348,"",IF(INDEX(Raw_매출!$B$2:$BI$155,MATCH($A25,Raw_매출!$A$2:$A$155,0),MATCH(EDATE($E25,AT$1-1),Raw_매출!$B$1:$BI$1,0))=0,"",INDEX(Raw_매출!$B$2:$BI$155,MATCH($A25,Raw_매출!$A$2:$A$155,0),MATCH(EDATE($E25,AT$1-1),Raw_매출!$B$1:$BI$1,0))/(INDEX(요약_월별시즈널리티!$F$7:$F$18,MONTH(EDATE($E25,AT$1-1)))/100))),"")</f>
        <v/>
      </c>
      <c r="AU25" t="str" cm="1">
        <f t="array" ref="AU25">IFERROR(IF($E25&lt;44348,"",IF(INDEX(Raw_매출!$B$2:$BI$155,MATCH($A25,Raw_매출!$A$2:$A$155,0),MATCH(EDATE($E25,AU$1-1),Raw_매출!$B$1:$BI$1,0))=0,"",INDEX(Raw_매출!$B$2:$BI$155,MATCH($A25,Raw_매출!$A$2:$A$155,0),MATCH(EDATE($E25,AU$1-1),Raw_매출!$B$1:$BI$1,0))/(INDEX(요약_월별시즈널리티!$F$7:$F$18,MONTH(EDATE($E25,AU$1-1)))/100))),"")</f>
        <v/>
      </c>
      <c r="AV25" t="str" cm="1">
        <f t="array" ref="AV25">IFERROR(IF($E25&lt;44348,"",IF(INDEX(Raw_매출!$B$2:$BI$155,MATCH($A25,Raw_매출!$A$2:$A$155,0),MATCH(EDATE($E25,AV$1-1),Raw_매출!$B$1:$BI$1,0))=0,"",INDEX(Raw_매출!$B$2:$BI$155,MATCH($A25,Raw_매출!$A$2:$A$155,0),MATCH(EDATE($E25,AV$1-1),Raw_매출!$B$1:$BI$1,0))/(INDEX(요약_월별시즈널리티!$F$7:$F$18,MONTH(EDATE($E25,AV$1-1)))/100))),"")</f>
        <v/>
      </c>
      <c r="AW25" t="str" cm="1">
        <f t="array" ref="AW25">IFERROR(IF($E25&lt;44348,"",IF(INDEX(Raw_매출!$B$2:$BI$155,MATCH($A25,Raw_매출!$A$2:$A$155,0),MATCH(EDATE($E25,AW$1-1),Raw_매출!$B$1:$BI$1,0))=0,"",INDEX(Raw_매출!$B$2:$BI$155,MATCH($A25,Raw_매출!$A$2:$A$155,0),MATCH(EDATE($E25,AW$1-1),Raw_매출!$B$1:$BI$1,0))/(INDEX(요약_월별시즈널리티!$F$7:$F$18,MONTH(EDATE($E25,AW$1-1)))/100))),"")</f>
        <v/>
      </c>
      <c r="AX25" t="str" cm="1">
        <f t="array" ref="AX25">IFERROR(IF($E25&lt;44348,"",IF(INDEX(Raw_매출!$B$2:$BI$155,MATCH($A25,Raw_매출!$A$2:$A$155,0),MATCH(EDATE($E25,AX$1-1),Raw_매출!$B$1:$BI$1,0))=0,"",INDEX(Raw_매출!$B$2:$BI$155,MATCH($A25,Raw_매출!$A$2:$A$155,0),MATCH(EDATE($E25,AX$1-1),Raw_매출!$B$1:$BI$1,0))/(INDEX(요약_월별시즈널리티!$F$7:$F$18,MONTH(EDATE($E25,AX$1-1)))/100))),"")</f>
        <v/>
      </c>
      <c r="AY25" t="str" cm="1">
        <f t="array" ref="AY25">IFERROR(IF($E25&lt;44348,"",IF(INDEX(Raw_매출!$B$2:$BI$155,MATCH($A25,Raw_매출!$A$2:$A$155,0),MATCH(EDATE($E25,AY$1-1),Raw_매출!$B$1:$BI$1,0))=0,"",INDEX(Raw_매출!$B$2:$BI$155,MATCH($A25,Raw_매출!$A$2:$A$155,0),MATCH(EDATE($E25,AY$1-1),Raw_매출!$B$1:$BI$1,0))/(INDEX(요약_월별시즈널리티!$F$7:$F$18,MONTH(EDATE($E25,AY$1-1)))/100))),"")</f>
        <v/>
      </c>
      <c r="AZ25" t="str" cm="1">
        <f t="array" ref="AZ25">IFERROR(IF($E25&lt;44348,"",IF(INDEX(Raw_매출!$B$2:$BI$155,MATCH($A25,Raw_매출!$A$2:$A$155,0),MATCH(EDATE($E25,AZ$1-1),Raw_매출!$B$1:$BI$1,0))=0,"",INDEX(Raw_매출!$B$2:$BI$155,MATCH($A25,Raw_매출!$A$2:$A$155,0),MATCH(EDATE($E25,AZ$1-1),Raw_매출!$B$1:$BI$1,0))/(INDEX(요약_월별시즈널리티!$F$7:$F$18,MONTH(EDATE($E25,AZ$1-1)))/100))),"")</f>
        <v/>
      </c>
      <c r="BA25" t="str" cm="1">
        <f t="array" ref="BA25">IFERROR(IF($E25&lt;44348,"",IF(INDEX(Raw_매출!$B$2:$BI$155,MATCH($A25,Raw_매출!$A$2:$A$155,0),MATCH(EDATE($E25,BA$1-1),Raw_매출!$B$1:$BI$1,0))=0,"",INDEX(Raw_매출!$B$2:$BI$155,MATCH($A25,Raw_매출!$A$2:$A$155,0),MATCH(EDATE($E25,BA$1-1),Raw_매출!$B$1:$BI$1,0))/(INDEX(요약_월별시즈널리티!$F$7:$F$18,MONTH(EDATE($E25,BA$1-1)))/100))),"")</f>
        <v/>
      </c>
      <c r="BB25" t="str" cm="1">
        <f t="array" ref="BB25">IFERROR(IF($E25&lt;44348,"",IF(INDEX(Raw_매출!$B$2:$BI$155,MATCH($A25,Raw_매출!$A$2:$A$155,0),MATCH(EDATE($E25,BB$1-1),Raw_매출!$B$1:$BI$1,0))=0,"",INDEX(Raw_매출!$B$2:$BI$155,MATCH($A25,Raw_매출!$A$2:$A$155,0),MATCH(EDATE($E25,BB$1-1),Raw_매출!$B$1:$BI$1,0))/(INDEX(요약_월별시즈널리티!$F$7:$F$18,MONTH(EDATE($E25,BB$1-1)))/100))),"")</f>
        <v/>
      </c>
      <c r="BC25" t="str" cm="1">
        <f t="array" ref="BC25">IFERROR(IF($E25&lt;44348,"",IF(INDEX(Raw_매출!$B$2:$BI$155,MATCH($A25,Raw_매출!$A$2:$A$155,0),MATCH(EDATE($E25,BC$1-1),Raw_매출!$B$1:$BI$1,0))=0,"",INDEX(Raw_매출!$B$2:$BI$155,MATCH($A25,Raw_매출!$A$2:$A$155,0),MATCH(EDATE($E25,BC$1-1),Raw_매출!$B$1:$BI$1,0))/(INDEX(요약_월별시즈널리티!$F$7:$F$18,MONTH(EDATE($E25,BC$1-1)))/100))),"")</f>
        <v/>
      </c>
      <c r="BD25" t="str" cm="1">
        <f t="array" ref="BD25">IFERROR(IF($E25&lt;44348,"",IF(INDEX(Raw_매출!$B$2:$BI$155,MATCH($A25,Raw_매출!$A$2:$A$155,0),MATCH(EDATE($E25,BD$1-1),Raw_매출!$B$1:$BI$1,0))=0,"",INDEX(Raw_매출!$B$2:$BI$155,MATCH($A25,Raw_매출!$A$2:$A$155,0),MATCH(EDATE($E25,BD$1-1),Raw_매출!$B$1:$BI$1,0))/(INDEX(요약_월별시즈널리티!$F$7:$F$18,MONTH(EDATE($E25,BD$1-1)))/100))),"")</f>
        <v/>
      </c>
      <c r="BE25" t="str" cm="1">
        <f t="array" ref="BE25">IFERROR(IF($E25&lt;44348,"",IF(INDEX(Raw_매출!$B$2:$BI$155,MATCH($A25,Raw_매출!$A$2:$A$155,0),MATCH(EDATE($E25,BE$1-1),Raw_매출!$B$1:$BI$1,0))=0,"",INDEX(Raw_매출!$B$2:$BI$155,MATCH($A25,Raw_매출!$A$2:$A$155,0),MATCH(EDATE($E25,BE$1-1),Raw_매출!$B$1:$BI$1,0))/(INDEX(요약_월별시즈널리티!$F$7:$F$18,MONTH(EDATE($E25,BE$1-1)))/100))),"")</f>
        <v/>
      </c>
      <c r="BF25" t="str" cm="1">
        <f t="array" ref="BF25">IFERROR(IF($E25&lt;44348,"",IF(INDEX(Raw_매출!$B$2:$BI$155,MATCH($A25,Raw_매출!$A$2:$A$155,0),MATCH(EDATE($E25,BF$1-1),Raw_매출!$B$1:$BI$1,0))=0,"",INDEX(Raw_매출!$B$2:$BI$155,MATCH($A25,Raw_매출!$A$2:$A$155,0),MATCH(EDATE($E25,BF$1-1),Raw_매출!$B$1:$BI$1,0))/(INDEX(요약_월별시즈널리티!$F$7:$F$18,MONTH(EDATE($E25,BF$1-1)))/100))),"")</f>
        <v/>
      </c>
      <c r="BG25" t="str" cm="1">
        <f t="array" ref="BG25">IFERROR(IF($E25&lt;44348,"",IF(INDEX(Raw_매출!$B$2:$BI$155,MATCH($A25,Raw_매출!$A$2:$A$155,0),MATCH(EDATE($E25,BG$1-1),Raw_매출!$B$1:$BI$1,0))=0,"",INDEX(Raw_매출!$B$2:$BI$155,MATCH($A25,Raw_매출!$A$2:$A$155,0),MATCH(EDATE($E25,BG$1-1),Raw_매출!$B$1:$BI$1,0))/(INDEX(요약_월별시즈널리티!$F$7:$F$18,MONTH(EDATE($E25,BG$1-1)))/100))),"")</f>
        <v/>
      </c>
      <c r="BH25" t="str" cm="1">
        <f t="array" ref="BH25">IFERROR(IF($E25&lt;44348,"",IF(INDEX(Raw_매출!$B$2:$BI$155,MATCH($A25,Raw_매출!$A$2:$A$155,0),MATCH(EDATE($E25,BH$1-1),Raw_매출!$B$1:$BI$1,0))=0,"",INDEX(Raw_매출!$B$2:$BI$155,MATCH($A25,Raw_매출!$A$2:$A$155,0),MATCH(EDATE($E25,BH$1-1),Raw_매출!$B$1:$BI$1,0))/(INDEX(요약_월별시즈널리티!$F$7:$F$18,MONTH(EDATE($E25,BH$1-1)))/100))),"")</f>
        <v/>
      </c>
      <c r="BI25" t="str" cm="1">
        <f t="array" ref="BI25">IFERROR(IF($E25&lt;44348,"",IF(INDEX(Raw_매출!$B$2:$BI$155,MATCH($A25,Raw_매출!$A$2:$A$155,0),MATCH(EDATE($E25,BI$1-1),Raw_매출!$B$1:$BI$1,0))=0,"",INDEX(Raw_매출!$B$2:$BI$155,MATCH($A25,Raw_매출!$A$2:$A$155,0),MATCH(EDATE($E25,BI$1-1),Raw_매출!$B$1:$BI$1,0))/(INDEX(요약_월별시즈널리티!$F$7:$F$18,MONTH(EDATE($E25,BI$1-1)))/100))),"")</f>
        <v/>
      </c>
      <c r="BJ25" t="str" cm="1">
        <f t="array" ref="BJ25">IFERROR(IF($E25&lt;44348,"",IF(INDEX(Raw_매출!$B$2:$BI$155,MATCH($A25,Raw_매출!$A$2:$A$155,0),MATCH(EDATE($E25,BJ$1-1),Raw_매출!$B$1:$BI$1,0))=0,"",INDEX(Raw_매출!$B$2:$BI$155,MATCH($A25,Raw_매출!$A$2:$A$155,0),MATCH(EDATE($E25,BJ$1-1),Raw_매출!$B$1:$BI$1,0))/(INDEX(요약_월별시즈널리티!$F$7:$F$18,MONTH(EDATE($E25,BJ$1-1)))/100))),"")</f>
        <v/>
      </c>
      <c r="BK25" t="str" cm="1">
        <f t="array" ref="BK25">IFERROR(IF($E25&lt;44348,"",IF(INDEX(Raw_매출!$B$2:$BI$155,MATCH($A25,Raw_매출!$A$2:$A$155,0),MATCH(EDATE($E25,BK$1-1),Raw_매출!$B$1:$BI$1,0))=0,"",INDEX(Raw_매출!$B$2:$BI$155,MATCH($A25,Raw_매출!$A$2:$A$155,0),MATCH(EDATE($E25,BK$1-1),Raw_매출!$B$1:$BI$1,0))/(INDEX(요약_월별시즈널리티!$F$7:$F$18,MONTH(EDATE($E25,BK$1-1)))/100))),"")</f>
        <v/>
      </c>
      <c r="BL25" t="str" cm="1">
        <f t="array" ref="BL25">IFERROR(IF($E25&lt;44348,"",IF(INDEX(Raw_매출!$B$2:$BI$155,MATCH($A25,Raw_매출!$A$2:$A$155,0),MATCH(EDATE($E25,BL$1-1),Raw_매출!$B$1:$BI$1,0))=0,"",INDEX(Raw_매출!$B$2:$BI$155,MATCH($A25,Raw_매출!$A$2:$A$155,0),MATCH(EDATE($E25,BL$1-1),Raw_매출!$B$1:$BI$1,0))/(INDEX(요약_월별시즈널리티!$F$7:$F$18,MONTH(EDATE($E25,BL$1-1)))/100))),"")</f>
        <v/>
      </c>
      <c r="BM25" t="str" cm="1">
        <f t="array" ref="BM25">IFERROR(IF($E25&lt;44348,"",IF(INDEX(Raw_매출!$B$2:$BI$155,MATCH($A25,Raw_매출!$A$2:$A$155,0),MATCH(EDATE($E25,BM$1-1),Raw_매출!$B$1:$BI$1,0))=0,"",INDEX(Raw_매출!$B$2:$BI$155,MATCH($A25,Raw_매출!$A$2:$A$155,0),MATCH(EDATE($E25,BM$1-1),Raw_매출!$B$1:$BI$1,0))/(INDEX(요약_월별시즈널리티!$F$7:$F$18,MONTH(EDATE($E25,BM$1-1)))/100))),"")</f>
        <v/>
      </c>
      <c r="BN25" t="str" cm="1">
        <f t="array" ref="BN25">IFERROR(IF($E25&lt;44348,"",IF(INDEX(Raw_매출!$B$2:$BI$155,MATCH($A25,Raw_매출!$A$2:$A$155,0),MATCH(EDATE($E25,BN$1-1),Raw_매출!$B$1:$BI$1,0))=0,"",INDEX(Raw_매출!$B$2:$BI$155,MATCH($A25,Raw_매출!$A$2:$A$155,0),MATCH(EDATE($E25,BN$1-1),Raw_매출!$B$1:$BI$1,0))/(INDEX(요약_월별시즈널리티!$F$7:$F$18,MONTH(EDATE($E25,BN$1-1)))/100))),"")</f>
        <v/>
      </c>
    </row>
    <row r="26" spans="1:66" x14ac:dyDescent="0.4">
      <c r="A26" t="str">
        <f>세팅!A27</f>
        <v>(1011) #신길점</v>
      </c>
      <c r="B26" t="str">
        <f>세팅!B27</f>
        <v>150-1</v>
      </c>
      <c r="C26">
        <f t="shared" si="0"/>
        <v>1</v>
      </c>
      <c r="D26" t="str">
        <f t="shared" si="1"/>
        <v>1</v>
      </c>
      <c r="E26" s="1">
        <f>세팅!D27</f>
        <v>44075</v>
      </c>
      <c r="F26" t="str">
        <f t="shared" si="2"/>
        <v/>
      </c>
      <c r="G26" t="str" cm="1">
        <f t="array" ref="G26">IFERROR(IF($E26&lt;44348,"",IF(INDEX(Raw_매출!$B$2:$BI$155,MATCH($A26,Raw_매출!$A$2:$A$155,0),MATCH(EDATE($E26,G$1-1),Raw_매출!$B$1:$BI$1,0))=0,"",INDEX(Raw_매출!$B$2:$BI$155,MATCH($A26,Raw_매출!$A$2:$A$155,0),MATCH(EDATE($E26,G$1-1),Raw_매출!$B$1:$BI$1,0))/(INDEX(요약_월별시즈널리티!$F$7:$F$18,MONTH(EDATE($E26,G$1-1)))/100))),"")</f>
        <v/>
      </c>
      <c r="H26" t="str" cm="1">
        <f t="array" ref="H26">IFERROR(IF($E26&lt;44348,"",IF(INDEX(Raw_매출!$B$2:$BI$155,MATCH($A26,Raw_매출!$A$2:$A$155,0),MATCH(EDATE($E26,H$1-1),Raw_매출!$B$1:$BI$1,0))=0,"",INDEX(Raw_매출!$B$2:$BI$155,MATCH($A26,Raw_매출!$A$2:$A$155,0),MATCH(EDATE($E26,H$1-1),Raw_매출!$B$1:$BI$1,0))/(INDEX(요약_월별시즈널리티!$F$7:$F$18,MONTH(EDATE($E26,H$1-1)))/100))),"")</f>
        <v/>
      </c>
      <c r="I26" t="str" cm="1">
        <f t="array" ref="I26">IFERROR(IF($E26&lt;44348,"",IF(INDEX(Raw_매출!$B$2:$BI$155,MATCH($A26,Raw_매출!$A$2:$A$155,0),MATCH(EDATE($E26,I$1-1),Raw_매출!$B$1:$BI$1,0))=0,"",INDEX(Raw_매출!$B$2:$BI$155,MATCH($A26,Raw_매출!$A$2:$A$155,0),MATCH(EDATE($E26,I$1-1),Raw_매출!$B$1:$BI$1,0))/(INDEX(요약_월별시즈널리티!$F$7:$F$18,MONTH(EDATE($E26,I$1-1)))/100))),"")</f>
        <v/>
      </c>
      <c r="J26" s="30" t="str" cm="1">
        <f t="array" ref="J26">IFERROR(IF($E26&lt;44348,"",IF(INDEX(Raw_매출!$B$2:$BI$155,MATCH($A26,Raw_매출!$A$2:$A$155,0),MATCH(EDATE($E26,J$1-1),Raw_매출!$B$1:$BI$1,0))=0,"",INDEX(Raw_매출!$B$2:$BI$155,MATCH($A26,Raw_매출!$A$2:$A$155,0),MATCH(EDATE($E26,J$1-1),Raw_매출!$B$1:$BI$1,0))/(INDEX(요약_월별시즈널리티!$F$7:$F$18,MONTH(EDATE($E26,J$1-1)))/100))),"")</f>
        <v/>
      </c>
      <c r="K26" s="30" t="str" cm="1">
        <f t="array" ref="K26">IFERROR(IF($E26&lt;44348,"",IF(INDEX(Raw_매출!$B$2:$BI$155,MATCH($A26,Raw_매출!$A$2:$A$155,0),MATCH(EDATE($E26,K$1-1),Raw_매출!$B$1:$BI$1,0))=0,"",INDEX(Raw_매출!$B$2:$BI$155,MATCH($A26,Raw_매출!$A$2:$A$155,0),MATCH(EDATE($E26,K$1-1),Raw_매출!$B$1:$BI$1,0))/(INDEX(요약_월별시즈널리티!$F$7:$F$18,MONTH(EDATE($E26,K$1-1)))/100))),"")</f>
        <v/>
      </c>
      <c r="L26" s="30" t="str" cm="1">
        <f t="array" ref="L26">IFERROR(IF($E26&lt;44348,"",IF(INDEX(Raw_매출!$B$2:$BI$155,MATCH($A26,Raw_매출!$A$2:$A$155,0),MATCH(EDATE($E26,L$1-1),Raw_매출!$B$1:$BI$1,0))=0,"",INDEX(Raw_매출!$B$2:$BI$155,MATCH($A26,Raw_매출!$A$2:$A$155,0),MATCH(EDATE($E26,L$1-1),Raw_매출!$B$1:$BI$1,0))/(INDEX(요약_월별시즈널리티!$F$7:$F$18,MONTH(EDATE($E26,L$1-1)))/100))),"")</f>
        <v/>
      </c>
      <c r="M26" s="30" t="str" cm="1">
        <f t="array" ref="M26">IFERROR(IF($E26&lt;44348,"",IF(INDEX(Raw_매출!$B$2:$BI$155,MATCH($A26,Raw_매출!$A$2:$A$155,0),MATCH(EDATE($E26,M$1-1),Raw_매출!$B$1:$BI$1,0))=0,"",INDEX(Raw_매출!$B$2:$BI$155,MATCH($A26,Raw_매출!$A$2:$A$155,0),MATCH(EDATE($E26,M$1-1),Raw_매출!$B$1:$BI$1,0))/(INDEX(요약_월별시즈널리티!$F$7:$F$18,MONTH(EDATE($E26,M$1-1)))/100))),"")</f>
        <v/>
      </c>
      <c r="N26" s="30" t="str" cm="1">
        <f t="array" ref="N26">IFERROR(IF($E26&lt;44348,"",IF(INDEX(Raw_매출!$B$2:$BI$155,MATCH($A26,Raw_매출!$A$2:$A$155,0),MATCH(EDATE($E26,N$1-1),Raw_매출!$B$1:$BI$1,0))=0,"",INDEX(Raw_매출!$B$2:$BI$155,MATCH($A26,Raw_매출!$A$2:$A$155,0),MATCH(EDATE($E26,N$1-1),Raw_매출!$B$1:$BI$1,0))/(INDEX(요약_월별시즈널리티!$F$7:$F$18,MONTH(EDATE($E26,N$1-1)))/100))),"")</f>
        <v/>
      </c>
      <c r="O26" s="30" t="str" cm="1">
        <f t="array" ref="O26">IFERROR(IF($E26&lt;44348,"",IF(INDEX(Raw_매출!$B$2:$BI$155,MATCH($A26,Raw_매출!$A$2:$A$155,0),MATCH(EDATE($E26,O$1-1),Raw_매출!$B$1:$BI$1,0))=0,"",INDEX(Raw_매출!$B$2:$BI$155,MATCH($A26,Raw_매출!$A$2:$A$155,0),MATCH(EDATE($E26,O$1-1),Raw_매출!$B$1:$BI$1,0))/(INDEX(요약_월별시즈널리티!$F$7:$F$18,MONTH(EDATE($E26,O$1-1)))/100))),"")</f>
        <v/>
      </c>
      <c r="P26" t="str" cm="1">
        <f t="array" ref="P26">IFERROR(IF($E26&lt;44348,"",IF(INDEX(Raw_매출!$B$2:$BI$155,MATCH($A26,Raw_매출!$A$2:$A$155,0),MATCH(EDATE($E26,P$1-1),Raw_매출!$B$1:$BI$1,0))=0,"",INDEX(Raw_매출!$B$2:$BI$155,MATCH($A26,Raw_매출!$A$2:$A$155,0),MATCH(EDATE($E26,P$1-1),Raw_매출!$B$1:$BI$1,0))/(INDEX(요약_월별시즈널리티!$F$7:$F$18,MONTH(EDATE($E26,P$1-1)))/100))),"")</f>
        <v/>
      </c>
      <c r="Q26" t="str" cm="1">
        <f t="array" ref="Q26">IFERROR(IF($E26&lt;44348,"",IF(INDEX(Raw_매출!$B$2:$BI$155,MATCH($A26,Raw_매출!$A$2:$A$155,0),MATCH(EDATE($E26,Q$1-1),Raw_매출!$B$1:$BI$1,0))=0,"",INDEX(Raw_매출!$B$2:$BI$155,MATCH($A26,Raw_매출!$A$2:$A$155,0),MATCH(EDATE($E26,Q$1-1),Raw_매출!$B$1:$BI$1,0))/(INDEX(요약_월별시즈널리티!$F$7:$F$18,MONTH(EDATE($E26,Q$1-1)))/100))),"")</f>
        <v/>
      </c>
      <c r="R26" t="str" cm="1">
        <f t="array" ref="R26">IFERROR(IF($E26&lt;44348,"",IF(INDEX(Raw_매출!$B$2:$BI$155,MATCH($A26,Raw_매출!$A$2:$A$155,0),MATCH(EDATE($E26,R$1-1),Raw_매출!$B$1:$BI$1,0))=0,"",INDEX(Raw_매출!$B$2:$BI$155,MATCH($A26,Raw_매출!$A$2:$A$155,0),MATCH(EDATE($E26,R$1-1),Raw_매출!$B$1:$BI$1,0))/(INDEX(요약_월별시즈널리티!$F$7:$F$18,MONTH(EDATE($E26,R$1-1)))/100))),"")</f>
        <v/>
      </c>
      <c r="S26" t="str" cm="1">
        <f t="array" ref="S26">IFERROR(IF($E26&lt;44348,"",IF(INDEX(Raw_매출!$B$2:$BI$155,MATCH($A26,Raw_매출!$A$2:$A$155,0),MATCH(EDATE($E26,S$1-1),Raw_매출!$B$1:$BI$1,0))=0,"",INDEX(Raw_매출!$B$2:$BI$155,MATCH($A26,Raw_매출!$A$2:$A$155,0),MATCH(EDATE($E26,S$1-1),Raw_매출!$B$1:$BI$1,0))/(INDEX(요약_월별시즈널리티!$F$7:$F$18,MONTH(EDATE($E26,S$1-1)))/100))),"")</f>
        <v/>
      </c>
      <c r="T26" t="str" cm="1">
        <f t="array" ref="T26">IFERROR(IF($E26&lt;44348,"",IF(INDEX(Raw_매출!$B$2:$BI$155,MATCH($A26,Raw_매출!$A$2:$A$155,0),MATCH(EDATE($E26,T$1-1),Raw_매출!$B$1:$BI$1,0))=0,"",INDEX(Raw_매출!$B$2:$BI$155,MATCH($A26,Raw_매출!$A$2:$A$155,0),MATCH(EDATE($E26,T$1-1),Raw_매출!$B$1:$BI$1,0))/(INDEX(요약_월별시즈널리티!$F$7:$F$18,MONTH(EDATE($E26,T$1-1)))/100))),"")</f>
        <v/>
      </c>
      <c r="U26" t="str" cm="1">
        <f t="array" ref="U26">IFERROR(IF($E26&lt;44348,"",IF(INDEX(Raw_매출!$B$2:$BI$155,MATCH($A26,Raw_매출!$A$2:$A$155,0),MATCH(EDATE($E26,U$1-1),Raw_매출!$B$1:$BI$1,0))=0,"",INDEX(Raw_매출!$B$2:$BI$155,MATCH($A26,Raw_매출!$A$2:$A$155,0),MATCH(EDATE($E26,U$1-1),Raw_매출!$B$1:$BI$1,0))/(INDEX(요약_월별시즈널리티!$F$7:$F$18,MONTH(EDATE($E26,U$1-1)))/100))),"")</f>
        <v/>
      </c>
      <c r="V26" t="str" cm="1">
        <f t="array" ref="V26">IFERROR(IF($E26&lt;44348,"",IF(INDEX(Raw_매출!$B$2:$BI$155,MATCH($A26,Raw_매출!$A$2:$A$155,0),MATCH(EDATE($E26,V$1-1),Raw_매출!$B$1:$BI$1,0))=0,"",INDEX(Raw_매출!$B$2:$BI$155,MATCH($A26,Raw_매출!$A$2:$A$155,0),MATCH(EDATE($E26,V$1-1),Raw_매출!$B$1:$BI$1,0))/(INDEX(요약_월별시즈널리티!$F$7:$F$18,MONTH(EDATE($E26,V$1-1)))/100))),"")</f>
        <v/>
      </c>
      <c r="W26" t="str" cm="1">
        <f t="array" ref="W26">IFERROR(IF($E26&lt;44348,"",IF(INDEX(Raw_매출!$B$2:$BI$155,MATCH($A26,Raw_매출!$A$2:$A$155,0),MATCH(EDATE($E26,W$1-1),Raw_매출!$B$1:$BI$1,0))=0,"",INDEX(Raw_매출!$B$2:$BI$155,MATCH($A26,Raw_매출!$A$2:$A$155,0),MATCH(EDATE($E26,W$1-1),Raw_매출!$B$1:$BI$1,0))/(INDEX(요약_월별시즈널리티!$F$7:$F$18,MONTH(EDATE($E26,W$1-1)))/100))),"")</f>
        <v/>
      </c>
      <c r="X26" t="str" cm="1">
        <f t="array" ref="X26">IFERROR(IF($E26&lt;44348,"",IF(INDEX(Raw_매출!$B$2:$BI$155,MATCH($A26,Raw_매출!$A$2:$A$155,0),MATCH(EDATE($E26,X$1-1),Raw_매출!$B$1:$BI$1,0))=0,"",INDEX(Raw_매출!$B$2:$BI$155,MATCH($A26,Raw_매출!$A$2:$A$155,0),MATCH(EDATE($E26,X$1-1),Raw_매출!$B$1:$BI$1,0))/(INDEX(요약_월별시즈널리티!$F$7:$F$18,MONTH(EDATE($E26,X$1-1)))/100))),"")</f>
        <v/>
      </c>
      <c r="Y26" t="str" cm="1">
        <f t="array" ref="Y26">IFERROR(IF($E26&lt;44348,"",IF(INDEX(Raw_매출!$B$2:$BI$155,MATCH($A26,Raw_매출!$A$2:$A$155,0),MATCH(EDATE($E26,Y$1-1),Raw_매출!$B$1:$BI$1,0))=0,"",INDEX(Raw_매출!$B$2:$BI$155,MATCH($A26,Raw_매출!$A$2:$A$155,0),MATCH(EDATE($E26,Y$1-1),Raw_매출!$B$1:$BI$1,0))/(INDEX(요약_월별시즈널리티!$F$7:$F$18,MONTH(EDATE($E26,Y$1-1)))/100))),"")</f>
        <v/>
      </c>
      <c r="Z26" t="str" cm="1">
        <f t="array" ref="Z26">IFERROR(IF($E26&lt;44348,"",IF(INDEX(Raw_매출!$B$2:$BI$155,MATCH($A26,Raw_매출!$A$2:$A$155,0),MATCH(EDATE($E26,Z$1-1),Raw_매출!$B$1:$BI$1,0))=0,"",INDEX(Raw_매출!$B$2:$BI$155,MATCH($A26,Raw_매출!$A$2:$A$155,0),MATCH(EDATE($E26,Z$1-1),Raw_매출!$B$1:$BI$1,0))/(INDEX(요약_월별시즈널리티!$F$7:$F$18,MONTH(EDATE($E26,Z$1-1)))/100))),"")</f>
        <v/>
      </c>
      <c r="AA26" t="str" cm="1">
        <f t="array" ref="AA26">IFERROR(IF($E26&lt;44348,"",IF(INDEX(Raw_매출!$B$2:$BI$155,MATCH($A26,Raw_매출!$A$2:$A$155,0),MATCH(EDATE($E26,AA$1-1),Raw_매출!$B$1:$BI$1,0))=0,"",INDEX(Raw_매출!$B$2:$BI$155,MATCH($A26,Raw_매출!$A$2:$A$155,0),MATCH(EDATE($E26,AA$1-1),Raw_매출!$B$1:$BI$1,0))/(INDEX(요약_월별시즈널리티!$F$7:$F$18,MONTH(EDATE($E26,AA$1-1)))/100))),"")</f>
        <v/>
      </c>
      <c r="AB26" t="str" cm="1">
        <f t="array" ref="AB26">IFERROR(IF($E26&lt;44348,"",IF(INDEX(Raw_매출!$B$2:$BI$155,MATCH($A26,Raw_매출!$A$2:$A$155,0),MATCH(EDATE($E26,AB$1-1),Raw_매출!$B$1:$BI$1,0))=0,"",INDEX(Raw_매출!$B$2:$BI$155,MATCH($A26,Raw_매출!$A$2:$A$155,0),MATCH(EDATE($E26,AB$1-1),Raw_매출!$B$1:$BI$1,0))/(INDEX(요약_월별시즈널리티!$F$7:$F$18,MONTH(EDATE($E26,AB$1-1)))/100))),"")</f>
        <v/>
      </c>
      <c r="AC26" t="str" cm="1">
        <f t="array" ref="AC26">IFERROR(IF($E26&lt;44348,"",IF(INDEX(Raw_매출!$B$2:$BI$155,MATCH($A26,Raw_매출!$A$2:$A$155,0),MATCH(EDATE($E26,AC$1-1),Raw_매출!$B$1:$BI$1,0))=0,"",INDEX(Raw_매출!$B$2:$BI$155,MATCH($A26,Raw_매출!$A$2:$A$155,0),MATCH(EDATE($E26,AC$1-1),Raw_매출!$B$1:$BI$1,0))/(INDEX(요약_월별시즈널리티!$F$7:$F$18,MONTH(EDATE($E26,AC$1-1)))/100))),"")</f>
        <v/>
      </c>
      <c r="AD26" t="str" cm="1">
        <f t="array" ref="AD26">IFERROR(IF($E26&lt;44348,"",IF(INDEX(Raw_매출!$B$2:$BI$155,MATCH($A26,Raw_매출!$A$2:$A$155,0),MATCH(EDATE($E26,AD$1-1),Raw_매출!$B$1:$BI$1,0))=0,"",INDEX(Raw_매출!$B$2:$BI$155,MATCH($A26,Raw_매출!$A$2:$A$155,0),MATCH(EDATE($E26,AD$1-1),Raw_매출!$B$1:$BI$1,0))/(INDEX(요약_월별시즈널리티!$F$7:$F$18,MONTH(EDATE($E26,AD$1-1)))/100))),"")</f>
        <v/>
      </c>
      <c r="AE26" t="str" cm="1">
        <f t="array" ref="AE26">IFERROR(IF($E26&lt;44348,"",IF(INDEX(Raw_매출!$B$2:$BI$155,MATCH($A26,Raw_매출!$A$2:$A$155,0),MATCH(EDATE($E26,AE$1-1),Raw_매출!$B$1:$BI$1,0))=0,"",INDEX(Raw_매출!$B$2:$BI$155,MATCH($A26,Raw_매출!$A$2:$A$155,0),MATCH(EDATE($E26,AE$1-1),Raw_매출!$B$1:$BI$1,0))/(INDEX(요약_월별시즈널리티!$F$7:$F$18,MONTH(EDATE($E26,AE$1-1)))/100))),"")</f>
        <v/>
      </c>
      <c r="AF26" t="str" cm="1">
        <f t="array" ref="AF26">IFERROR(IF($E26&lt;44348,"",IF(INDEX(Raw_매출!$B$2:$BI$155,MATCH($A26,Raw_매출!$A$2:$A$155,0),MATCH(EDATE($E26,AF$1-1),Raw_매출!$B$1:$BI$1,0))=0,"",INDEX(Raw_매출!$B$2:$BI$155,MATCH($A26,Raw_매출!$A$2:$A$155,0),MATCH(EDATE($E26,AF$1-1),Raw_매출!$B$1:$BI$1,0))/(INDEX(요약_월별시즈널리티!$F$7:$F$18,MONTH(EDATE($E26,AF$1-1)))/100))),"")</f>
        <v/>
      </c>
      <c r="AG26" t="str" cm="1">
        <f t="array" ref="AG26">IFERROR(IF($E26&lt;44348,"",IF(INDEX(Raw_매출!$B$2:$BI$155,MATCH($A26,Raw_매출!$A$2:$A$155,0),MATCH(EDATE($E26,AG$1-1),Raw_매출!$B$1:$BI$1,0))=0,"",INDEX(Raw_매출!$B$2:$BI$155,MATCH($A26,Raw_매출!$A$2:$A$155,0),MATCH(EDATE($E26,AG$1-1),Raw_매출!$B$1:$BI$1,0))/(INDEX(요약_월별시즈널리티!$F$7:$F$18,MONTH(EDATE($E26,AG$1-1)))/100))),"")</f>
        <v/>
      </c>
      <c r="AH26" t="str" cm="1">
        <f t="array" ref="AH26">IFERROR(IF($E26&lt;44348,"",IF(INDEX(Raw_매출!$B$2:$BI$155,MATCH($A26,Raw_매출!$A$2:$A$155,0),MATCH(EDATE($E26,AH$1-1),Raw_매출!$B$1:$BI$1,0))=0,"",INDEX(Raw_매출!$B$2:$BI$155,MATCH($A26,Raw_매출!$A$2:$A$155,0),MATCH(EDATE($E26,AH$1-1),Raw_매출!$B$1:$BI$1,0))/(INDEX(요약_월별시즈널리티!$F$7:$F$18,MONTH(EDATE($E26,AH$1-1)))/100))),"")</f>
        <v/>
      </c>
      <c r="AI26" t="str" cm="1">
        <f t="array" ref="AI26">IFERROR(IF($E26&lt;44348,"",IF(INDEX(Raw_매출!$B$2:$BI$155,MATCH($A26,Raw_매출!$A$2:$A$155,0),MATCH(EDATE($E26,AI$1-1),Raw_매출!$B$1:$BI$1,0))=0,"",INDEX(Raw_매출!$B$2:$BI$155,MATCH($A26,Raw_매출!$A$2:$A$155,0),MATCH(EDATE($E26,AI$1-1),Raw_매출!$B$1:$BI$1,0))/(INDEX(요약_월별시즈널리티!$F$7:$F$18,MONTH(EDATE($E26,AI$1-1)))/100))),"")</f>
        <v/>
      </c>
      <c r="AJ26" t="str" cm="1">
        <f t="array" ref="AJ26">IFERROR(IF($E26&lt;44348,"",IF(INDEX(Raw_매출!$B$2:$BI$155,MATCH($A26,Raw_매출!$A$2:$A$155,0),MATCH(EDATE($E26,AJ$1-1),Raw_매출!$B$1:$BI$1,0))=0,"",INDEX(Raw_매출!$B$2:$BI$155,MATCH($A26,Raw_매출!$A$2:$A$155,0),MATCH(EDATE($E26,AJ$1-1),Raw_매출!$B$1:$BI$1,0))/(INDEX(요약_월별시즈널리티!$F$7:$F$18,MONTH(EDATE($E26,AJ$1-1)))/100))),"")</f>
        <v/>
      </c>
      <c r="AK26" t="str" cm="1">
        <f t="array" ref="AK26">IFERROR(IF($E26&lt;44348,"",IF(INDEX(Raw_매출!$B$2:$BI$155,MATCH($A26,Raw_매출!$A$2:$A$155,0),MATCH(EDATE($E26,AK$1-1),Raw_매출!$B$1:$BI$1,0))=0,"",INDEX(Raw_매출!$B$2:$BI$155,MATCH($A26,Raw_매출!$A$2:$A$155,0),MATCH(EDATE($E26,AK$1-1),Raw_매출!$B$1:$BI$1,0))/(INDEX(요약_월별시즈널리티!$F$7:$F$18,MONTH(EDATE($E26,AK$1-1)))/100))),"")</f>
        <v/>
      </c>
      <c r="AL26" t="str" cm="1">
        <f t="array" ref="AL26">IFERROR(IF($E26&lt;44348,"",IF(INDEX(Raw_매출!$B$2:$BI$155,MATCH($A26,Raw_매출!$A$2:$A$155,0),MATCH(EDATE($E26,AL$1-1),Raw_매출!$B$1:$BI$1,0))=0,"",INDEX(Raw_매출!$B$2:$BI$155,MATCH($A26,Raw_매출!$A$2:$A$155,0),MATCH(EDATE($E26,AL$1-1),Raw_매출!$B$1:$BI$1,0))/(INDEX(요약_월별시즈널리티!$F$7:$F$18,MONTH(EDATE($E26,AL$1-1)))/100))),"")</f>
        <v/>
      </c>
      <c r="AM26" t="str" cm="1">
        <f t="array" ref="AM26">IFERROR(IF($E26&lt;44348,"",IF(INDEX(Raw_매출!$B$2:$BI$155,MATCH($A26,Raw_매출!$A$2:$A$155,0),MATCH(EDATE($E26,AM$1-1),Raw_매출!$B$1:$BI$1,0))=0,"",INDEX(Raw_매출!$B$2:$BI$155,MATCH($A26,Raw_매출!$A$2:$A$155,0),MATCH(EDATE($E26,AM$1-1),Raw_매출!$B$1:$BI$1,0))/(INDEX(요약_월별시즈널리티!$F$7:$F$18,MONTH(EDATE($E26,AM$1-1)))/100))),"")</f>
        <v/>
      </c>
      <c r="AN26" t="str" cm="1">
        <f t="array" ref="AN26">IFERROR(IF($E26&lt;44348,"",IF(INDEX(Raw_매출!$B$2:$BI$155,MATCH($A26,Raw_매출!$A$2:$A$155,0),MATCH(EDATE($E26,AN$1-1),Raw_매출!$B$1:$BI$1,0))=0,"",INDEX(Raw_매출!$B$2:$BI$155,MATCH($A26,Raw_매출!$A$2:$A$155,0),MATCH(EDATE($E26,AN$1-1),Raw_매출!$B$1:$BI$1,0))/(INDEX(요약_월별시즈널리티!$F$7:$F$18,MONTH(EDATE($E26,AN$1-1)))/100))),"")</f>
        <v/>
      </c>
      <c r="AO26" t="str" cm="1">
        <f t="array" ref="AO26">IFERROR(IF($E26&lt;44348,"",IF(INDEX(Raw_매출!$B$2:$BI$155,MATCH($A26,Raw_매출!$A$2:$A$155,0),MATCH(EDATE($E26,AO$1-1),Raw_매출!$B$1:$BI$1,0))=0,"",INDEX(Raw_매출!$B$2:$BI$155,MATCH($A26,Raw_매출!$A$2:$A$155,0),MATCH(EDATE($E26,AO$1-1),Raw_매출!$B$1:$BI$1,0))/(INDEX(요약_월별시즈널리티!$F$7:$F$18,MONTH(EDATE($E26,AO$1-1)))/100))),"")</f>
        <v/>
      </c>
      <c r="AP26" t="str" cm="1">
        <f t="array" ref="AP26">IFERROR(IF($E26&lt;44348,"",IF(INDEX(Raw_매출!$B$2:$BI$155,MATCH($A26,Raw_매출!$A$2:$A$155,0),MATCH(EDATE($E26,AP$1-1),Raw_매출!$B$1:$BI$1,0))=0,"",INDEX(Raw_매출!$B$2:$BI$155,MATCH($A26,Raw_매출!$A$2:$A$155,0),MATCH(EDATE($E26,AP$1-1),Raw_매출!$B$1:$BI$1,0))/(INDEX(요약_월별시즈널리티!$F$7:$F$18,MONTH(EDATE($E26,AP$1-1)))/100))),"")</f>
        <v/>
      </c>
      <c r="AQ26" t="str" cm="1">
        <f t="array" ref="AQ26">IFERROR(IF($E26&lt;44348,"",IF(INDEX(Raw_매출!$B$2:$BI$155,MATCH($A26,Raw_매출!$A$2:$A$155,0),MATCH(EDATE($E26,AQ$1-1),Raw_매출!$B$1:$BI$1,0))=0,"",INDEX(Raw_매출!$B$2:$BI$155,MATCH($A26,Raw_매출!$A$2:$A$155,0),MATCH(EDATE($E26,AQ$1-1),Raw_매출!$B$1:$BI$1,0))/(INDEX(요약_월별시즈널리티!$F$7:$F$18,MONTH(EDATE($E26,AQ$1-1)))/100))),"")</f>
        <v/>
      </c>
      <c r="AR26" t="str" cm="1">
        <f t="array" ref="AR26">IFERROR(IF($E26&lt;44348,"",IF(INDEX(Raw_매출!$B$2:$BI$155,MATCH($A26,Raw_매출!$A$2:$A$155,0),MATCH(EDATE($E26,AR$1-1),Raw_매출!$B$1:$BI$1,0))=0,"",INDEX(Raw_매출!$B$2:$BI$155,MATCH($A26,Raw_매출!$A$2:$A$155,0),MATCH(EDATE($E26,AR$1-1),Raw_매출!$B$1:$BI$1,0))/(INDEX(요약_월별시즈널리티!$F$7:$F$18,MONTH(EDATE($E26,AR$1-1)))/100))),"")</f>
        <v/>
      </c>
      <c r="AS26" t="str" cm="1">
        <f t="array" ref="AS26">IFERROR(IF($E26&lt;44348,"",IF(INDEX(Raw_매출!$B$2:$BI$155,MATCH($A26,Raw_매출!$A$2:$A$155,0),MATCH(EDATE($E26,AS$1-1),Raw_매출!$B$1:$BI$1,0))=0,"",INDEX(Raw_매출!$B$2:$BI$155,MATCH($A26,Raw_매출!$A$2:$A$155,0),MATCH(EDATE($E26,AS$1-1),Raw_매출!$B$1:$BI$1,0))/(INDEX(요약_월별시즈널리티!$F$7:$F$18,MONTH(EDATE($E26,AS$1-1)))/100))),"")</f>
        <v/>
      </c>
      <c r="AT26" t="str" cm="1">
        <f t="array" ref="AT26">IFERROR(IF($E26&lt;44348,"",IF(INDEX(Raw_매출!$B$2:$BI$155,MATCH($A26,Raw_매출!$A$2:$A$155,0),MATCH(EDATE($E26,AT$1-1),Raw_매출!$B$1:$BI$1,0))=0,"",INDEX(Raw_매출!$B$2:$BI$155,MATCH($A26,Raw_매출!$A$2:$A$155,0),MATCH(EDATE($E26,AT$1-1),Raw_매출!$B$1:$BI$1,0))/(INDEX(요약_월별시즈널리티!$F$7:$F$18,MONTH(EDATE($E26,AT$1-1)))/100))),"")</f>
        <v/>
      </c>
      <c r="AU26" t="str" cm="1">
        <f t="array" ref="AU26">IFERROR(IF($E26&lt;44348,"",IF(INDEX(Raw_매출!$B$2:$BI$155,MATCH($A26,Raw_매출!$A$2:$A$155,0),MATCH(EDATE($E26,AU$1-1),Raw_매출!$B$1:$BI$1,0))=0,"",INDEX(Raw_매출!$B$2:$BI$155,MATCH($A26,Raw_매출!$A$2:$A$155,0),MATCH(EDATE($E26,AU$1-1),Raw_매출!$B$1:$BI$1,0))/(INDEX(요약_월별시즈널리티!$F$7:$F$18,MONTH(EDATE($E26,AU$1-1)))/100))),"")</f>
        <v/>
      </c>
      <c r="AV26" t="str" cm="1">
        <f t="array" ref="AV26">IFERROR(IF($E26&lt;44348,"",IF(INDEX(Raw_매출!$B$2:$BI$155,MATCH($A26,Raw_매출!$A$2:$A$155,0),MATCH(EDATE($E26,AV$1-1),Raw_매출!$B$1:$BI$1,0))=0,"",INDEX(Raw_매출!$B$2:$BI$155,MATCH($A26,Raw_매출!$A$2:$A$155,0),MATCH(EDATE($E26,AV$1-1),Raw_매출!$B$1:$BI$1,0))/(INDEX(요약_월별시즈널리티!$F$7:$F$18,MONTH(EDATE($E26,AV$1-1)))/100))),"")</f>
        <v/>
      </c>
      <c r="AW26" t="str" cm="1">
        <f t="array" ref="AW26">IFERROR(IF($E26&lt;44348,"",IF(INDEX(Raw_매출!$B$2:$BI$155,MATCH($A26,Raw_매출!$A$2:$A$155,0),MATCH(EDATE($E26,AW$1-1),Raw_매출!$B$1:$BI$1,0))=0,"",INDEX(Raw_매출!$B$2:$BI$155,MATCH($A26,Raw_매출!$A$2:$A$155,0),MATCH(EDATE($E26,AW$1-1),Raw_매출!$B$1:$BI$1,0))/(INDEX(요약_월별시즈널리티!$F$7:$F$18,MONTH(EDATE($E26,AW$1-1)))/100))),"")</f>
        <v/>
      </c>
      <c r="AX26" t="str" cm="1">
        <f t="array" ref="AX26">IFERROR(IF($E26&lt;44348,"",IF(INDEX(Raw_매출!$B$2:$BI$155,MATCH($A26,Raw_매출!$A$2:$A$155,0),MATCH(EDATE($E26,AX$1-1),Raw_매출!$B$1:$BI$1,0))=0,"",INDEX(Raw_매출!$B$2:$BI$155,MATCH($A26,Raw_매출!$A$2:$A$155,0),MATCH(EDATE($E26,AX$1-1),Raw_매출!$B$1:$BI$1,0))/(INDEX(요약_월별시즈널리티!$F$7:$F$18,MONTH(EDATE($E26,AX$1-1)))/100))),"")</f>
        <v/>
      </c>
      <c r="AY26" t="str" cm="1">
        <f t="array" ref="AY26">IFERROR(IF($E26&lt;44348,"",IF(INDEX(Raw_매출!$B$2:$BI$155,MATCH($A26,Raw_매출!$A$2:$A$155,0),MATCH(EDATE($E26,AY$1-1),Raw_매출!$B$1:$BI$1,0))=0,"",INDEX(Raw_매출!$B$2:$BI$155,MATCH($A26,Raw_매출!$A$2:$A$155,0),MATCH(EDATE($E26,AY$1-1),Raw_매출!$B$1:$BI$1,0))/(INDEX(요약_월별시즈널리티!$F$7:$F$18,MONTH(EDATE($E26,AY$1-1)))/100))),"")</f>
        <v/>
      </c>
      <c r="AZ26" t="str" cm="1">
        <f t="array" ref="AZ26">IFERROR(IF($E26&lt;44348,"",IF(INDEX(Raw_매출!$B$2:$BI$155,MATCH($A26,Raw_매출!$A$2:$A$155,0),MATCH(EDATE($E26,AZ$1-1),Raw_매출!$B$1:$BI$1,0))=0,"",INDEX(Raw_매출!$B$2:$BI$155,MATCH($A26,Raw_매출!$A$2:$A$155,0),MATCH(EDATE($E26,AZ$1-1),Raw_매출!$B$1:$BI$1,0))/(INDEX(요약_월별시즈널리티!$F$7:$F$18,MONTH(EDATE($E26,AZ$1-1)))/100))),"")</f>
        <v/>
      </c>
      <c r="BA26" t="str" cm="1">
        <f t="array" ref="BA26">IFERROR(IF($E26&lt;44348,"",IF(INDEX(Raw_매출!$B$2:$BI$155,MATCH($A26,Raw_매출!$A$2:$A$155,0),MATCH(EDATE($E26,BA$1-1),Raw_매출!$B$1:$BI$1,0))=0,"",INDEX(Raw_매출!$B$2:$BI$155,MATCH($A26,Raw_매출!$A$2:$A$155,0),MATCH(EDATE($E26,BA$1-1),Raw_매출!$B$1:$BI$1,0))/(INDEX(요약_월별시즈널리티!$F$7:$F$18,MONTH(EDATE($E26,BA$1-1)))/100))),"")</f>
        <v/>
      </c>
      <c r="BB26" t="str" cm="1">
        <f t="array" ref="BB26">IFERROR(IF($E26&lt;44348,"",IF(INDEX(Raw_매출!$B$2:$BI$155,MATCH($A26,Raw_매출!$A$2:$A$155,0),MATCH(EDATE($E26,BB$1-1),Raw_매출!$B$1:$BI$1,0))=0,"",INDEX(Raw_매출!$B$2:$BI$155,MATCH($A26,Raw_매출!$A$2:$A$155,0),MATCH(EDATE($E26,BB$1-1),Raw_매출!$B$1:$BI$1,0))/(INDEX(요약_월별시즈널리티!$F$7:$F$18,MONTH(EDATE($E26,BB$1-1)))/100))),"")</f>
        <v/>
      </c>
      <c r="BC26" t="str" cm="1">
        <f t="array" ref="BC26">IFERROR(IF($E26&lt;44348,"",IF(INDEX(Raw_매출!$B$2:$BI$155,MATCH($A26,Raw_매출!$A$2:$A$155,0),MATCH(EDATE($E26,BC$1-1),Raw_매출!$B$1:$BI$1,0))=0,"",INDEX(Raw_매출!$B$2:$BI$155,MATCH($A26,Raw_매출!$A$2:$A$155,0),MATCH(EDATE($E26,BC$1-1),Raw_매출!$B$1:$BI$1,0))/(INDEX(요약_월별시즈널리티!$F$7:$F$18,MONTH(EDATE($E26,BC$1-1)))/100))),"")</f>
        <v/>
      </c>
      <c r="BD26" t="str" cm="1">
        <f t="array" ref="BD26">IFERROR(IF($E26&lt;44348,"",IF(INDEX(Raw_매출!$B$2:$BI$155,MATCH($A26,Raw_매출!$A$2:$A$155,0),MATCH(EDATE($E26,BD$1-1),Raw_매출!$B$1:$BI$1,0))=0,"",INDEX(Raw_매출!$B$2:$BI$155,MATCH($A26,Raw_매출!$A$2:$A$155,0),MATCH(EDATE($E26,BD$1-1),Raw_매출!$B$1:$BI$1,0))/(INDEX(요약_월별시즈널리티!$F$7:$F$18,MONTH(EDATE($E26,BD$1-1)))/100))),"")</f>
        <v/>
      </c>
      <c r="BE26" t="str" cm="1">
        <f t="array" ref="BE26">IFERROR(IF($E26&lt;44348,"",IF(INDEX(Raw_매출!$B$2:$BI$155,MATCH($A26,Raw_매출!$A$2:$A$155,0),MATCH(EDATE($E26,BE$1-1),Raw_매출!$B$1:$BI$1,0))=0,"",INDEX(Raw_매출!$B$2:$BI$155,MATCH($A26,Raw_매출!$A$2:$A$155,0),MATCH(EDATE($E26,BE$1-1),Raw_매출!$B$1:$BI$1,0))/(INDEX(요약_월별시즈널리티!$F$7:$F$18,MONTH(EDATE($E26,BE$1-1)))/100))),"")</f>
        <v/>
      </c>
      <c r="BF26" t="str" cm="1">
        <f t="array" ref="BF26">IFERROR(IF($E26&lt;44348,"",IF(INDEX(Raw_매출!$B$2:$BI$155,MATCH($A26,Raw_매출!$A$2:$A$155,0),MATCH(EDATE($E26,BF$1-1),Raw_매출!$B$1:$BI$1,0))=0,"",INDEX(Raw_매출!$B$2:$BI$155,MATCH($A26,Raw_매출!$A$2:$A$155,0),MATCH(EDATE($E26,BF$1-1),Raw_매출!$B$1:$BI$1,0))/(INDEX(요약_월별시즈널리티!$F$7:$F$18,MONTH(EDATE($E26,BF$1-1)))/100))),"")</f>
        <v/>
      </c>
      <c r="BG26" t="str" cm="1">
        <f t="array" ref="BG26">IFERROR(IF($E26&lt;44348,"",IF(INDEX(Raw_매출!$B$2:$BI$155,MATCH($A26,Raw_매출!$A$2:$A$155,0),MATCH(EDATE($E26,BG$1-1),Raw_매출!$B$1:$BI$1,0))=0,"",INDEX(Raw_매출!$B$2:$BI$155,MATCH($A26,Raw_매출!$A$2:$A$155,0),MATCH(EDATE($E26,BG$1-1),Raw_매출!$B$1:$BI$1,0))/(INDEX(요약_월별시즈널리티!$F$7:$F$18,MONTH(EDATE($E26,BG$1-1)))/100))),"")</f>
        <v/>
      </c>
      <c r="BH26" t="str" cm="1">
        <f t="array" ref="BH26">IFERROR(IF($E26&lt;44348,"",IF(INDEX(Raw_매출!$B$2:$BI$155,MATCH($A26,Raw_매출!$A$2:$A$155,0),MATCH(EDATE($E26,BH$1-1),Raw_매출!$B$1:$BI$1,0))=0,"",INDEX(Raw_매출!$B$2:$BI$155,MATCH($A26,Raw_매출!$A$2:$A$155,0),MATCH(EDATE($E26,BH$1-1),Raw_매출!$B$1:$BI$1,0))/(INDEX(요약_월별시즈널리티!$F$7:$F$18,MONTH(EDATE($E26,BH$1-1)))/100))),"")</f>
        <v/>
      </c>
      <c r="BI26" t="str" cm="1">
        <f t="array" ref="BI26">IFERROR(IF($E26&lt;44348,"",IF(INDEX(Raw_매출!$B$2:$BI$155,MATCH($A26,Raw_매출!$A$2:$A$155,0),MATCH(EDATE($E26,BI$1-1),Raw_매출!$B$1:$BI$1,0))=0,"",INDEX(Raw_매출!$B$2:$BI$155,MATCH($A26,Raw_매출!$A$2:$A$155,0),MATCH(EDATE($E26,BI$1-1),Raw_매출!$B$1:$BI$1,0))/(INDEX(요약_월별시즈널리티!$F$7:$F$18,MONTH(EDATE($E26,BI$1-1)))/100))),"")</f>
        <v/>
      </c>
      <c r="BJ26" t="str" cm="1">
        <f t="array" ref="BJ26">IFERROR(IF($E26&lt;44348,"",IF(INDEX(Raw_매출!$B$2:$BI$155,MATCH($A26,Raw_매출!$A$2:$A$155,0),MATCH(EDATE($E26,BJ$1-1),Raw_매출!$B$1:$BI$1,0))=0,"",INDEX(Raw_매출!$B$2:$BI$155,MATCH($A26,Raw_매출!$A$2:$A$155,0),MATCH(EDATE($E26,BJ$1-1),Raw_매출!$B$1:$BI$1,0))/(INDEX(요약_월별시즈널리티!$F$7:$F$18,MONTH(EDATE($E26,BJ$1-1)))/100))),"")</f>
        <v/>
      </c>
      <c r="BK26" t="str" cm="1">
        <f t="array" ref="BK26">IFERROR(IF($E26&lt;44348,"",IF(INDEX(Raw_매출!$B$2:$BI$155,MATCH($A26,Raw_매출!$A$2:$A$155,0),MATCH(EDATE($E26,BK$1-1),Raw_매출!$B$1:$BI$1,0))=0,"",INDEX(Raw_매출!$B$2:$BI$155,MATCH($A26,Raw_매출!$A$2:$A$155,0),MATCH(EDATE($E26,BK$1-1),Raw_매출!$B$1:$BI$1,0))/(INDEX(요약_월별시즈널리티!$F$7:$F$18,MONTH(EDATE($E26,BK$1-1)))/100))),"")</f>
        <v/>
      </c>
      <c r="BL26" t="str" cm="1">
        <f t="array" ref="BL26">IFERROR(IF($E26&lt;44348,"",IF(INDEX(Raw_매출!$B$2:$BI$155,MATCH($A26,Raw_매출!$A$2:$A$155,0),MATCH(EDATE($E26,BL$1-1),Raw_매출!$B$1:$BI$1,0))=0,"",INDEX(Raw_매출!$B$2:$BI$155,MATCH($A26,Raw_매출!$A$2:$A$155,0),MATCH(EDATE($E26,BL$1-1),Raw_매출!$B$1:$BI$1,0))/(INDEX(요약_월별시즈널리티!$F$7:$F$18,MONTH(EDATE($E26,BL$1-1)))/100))),"")</f>
        <v/>
      </c>
      <c r="BM26" t="str" cm="1">
        <f t="array" ref="BM26">IFERROR(IF($E26&lt;44348,"",IF(INDEX(Raw_매출!$B$2:$BI$155,MATCH($A26,Raw_매출!$A$2:$A$155,0),MATCH(EDATE($E26,BM$1-1),Raw_매출!$B$1:$BI$1,0))=0,"",INDEX(Raw_매출!$B$2:$BI$155,MATCH($A26,Raw_매출!$A$2:$A$155,0),MATCH(EDATE($E26,BM$1-1),Raw_매출!$B$1:$BI$1,0))/(INDEX(요약_월별시즈널리티!$F$7:$F$18,MONTH(EDATE($E26,BM$1-1)))/100))),"")</f>
        <v/>
      </c>
      <c r="BN26" t="str" cm="1">
        <f t="array" ref="BN26">IFERROR(IF($E26&lt;44348,"",IF(INDEX(Raw_매출!$B$2:$BI$155,MATCH($A26,Raw_매출!$A$2:$A$155,0),MATCH(EDATE($E26,BN$1-1),Raw_매출!$B$1:$BI$1,0))=0,"",INDEX(Raw_매출!$B$2:$BI$155,MATCH($A26,Raw_매출!$A$2:$A$155,0),MATCH(EDATE($E26,BN$1-1),Raw_매출!$B$1:$BI$1,0))/(INDEX(요약_월별시즈널리티!$F$7:$F$18,MONTH(EDATE($E26,BN$1-1)))/100))),"")</f>
        <v/>
      </c>
    </row>
    <row r="27" spans="1:66" x14ac:dyDescent="0.4">
      <c r="A27" t="str">
        <f>세팅!A28</f>
        <v>(1012) #석촌점</v>
      </c>
      <c r="B27" t="str">
        <f>세팅!B28</f>
        <v>150-0</v>
      </c>
      <c r="C27">
        <f t="shared" si="0"/>
        <v>0</v>
      </c>
      <c r="D27" t="str">
        <f t="shared" si="1"/>
        <v>0</v>
      </c>
      <c r="E27" s="1">
        <f>세팅!D28</f>
        <v>44105</v>
      </c>
      <c r="F27" t="str">
        <f t="shared" si="2"/>
        <v/>
      </c>
      <c r="G27" t="str" cm="1">
        <f t="array" ref="G27">IFERROR(IF($E27&lt;44348,"",IF(INDEX(Raw_매출!$B$2:$BI$155,MATCH($A27,Raw_매출!$A$2:$A$155,0),MATCH(EDATE($E27,G$1-1),Raw_매출!$B$1:$BI$1,0))=0,"",INDEX(Raw_매출!$B$2:$BI$155,MATCH($A27,Raw_매출!$A$2:$A$155,0),MATCH(EDATE($E27,G$1-1),Raw_매출!$B$1:$BI$1,0))/(INDEX(요약_월별시즈널리티!$F$7:$F$18,MONTH(EDATE($E27,G$1-1)))/100))),"")</f>
        <v/>
      </c>
      <c r="H27" t="str" cm="1">
        <f t="array" ref="H27">IFERROR(IF($E27&lt;44348,"",IF(INDEX(Raw_매출!$B$2:$BI$155,MATCH($A27,Raw_매출!$A$2:$A$155,0),MATCH(EDATE($E27,H$1-1),Raw_매출!$B$1:$BI$1,0))=0,"",INDEX(Raw_매출!$B$2:$BI$155,MATCH($A27,Raw_매출!$A$2:$A$155,0),MATCH(EDATE($E27,H$1-1),Raw_매출!$B$1:$BI$1,0))/(INDEX(요약_월별시즈널리티!$F$7:$F$18,MONTH(EDATE($E27,H$1-1)))/100))),"")</f>
        <v/>
      </c>
      <c r="I27" t="str" cm="1">
        <f t="array" ref="I27">IFERROR(IF($E27&lt;44348,"",IF(INDEX(Raw_매출!$B$2:$BI$155,MATCH($A27,Raw_매출!$A$2:$A$155,0),MATCH(EDATE($E27,I$1-1),Raw_매출!$B$1:$BI$1,0))=0,"",INDEX(Raw_매출!$B$2:$BI$155,MATCH($A27,Raw_매출!$A$2:$A$155,0),MATCH(EDATE($E27,I$1-1),Raw_매출!$B$1:$BI$1,0))/(INDEX(요약_월별시즈널리티!$F$7:$F$18,MONTH(EDATE($E27,I$1-1)))/100))),"")</f>
        <v/>
      </c>
      <c r="J27" s="30" t="str" cm="1">
        <f t="array" ref="J27">IFERROR(IF($E27&lt;44348,"",IF(INDEX(Raw_매출!$B$2:$BI$155,MATCH($A27,Raw_매출!$A$2:$A$155,0),MATCH(EDATE($E27,J$1-1),Raw_매출!$B$1:$BI$1,0))=0,"",INDEX(Raw_매출!$B$2:$BI$155,MATCH($A27,Raw_매출!$A$2:$A$155,0),MATCH(EDATE($E27,J$1-1),Raw_매출!$B$1:$BI$1,0))/(INDEX(요약_월별시즈널리티!$F$7:$F$18,MONTH(EDATE($E27,J$1-1)))/100))),"")</f>
        <v/>
      </c>
      <c r="K27" s="30" t="str" cm="1">
        <f t="array" ref="K27">IFERROR(IF($E27&lt;44348,"",IF(INDEX(Raw_매출!$B$2:$BI$155,MATCH($A27,Raw_매출!$A$2:$A$155,0),MATCH(EDATE($E27,K$1-1),Raw_매출!$B$1:$BI$1,0))=0,"",INDEX(Raw_매출!$B$2:$BI$155,MATCH($A27,Raw_매출!$A$2:$A$155,0),MATCH(EDATE($E27,K$1-1),Raw_매출!$B$1:$BI$1,0))/(INDEX(요약_월별시즈널리티!$F$7:$F$18,MONTH(EDATE($E27,K$1-1)))/100))),"")</f>
        <v/>
      </c>
      <c r="L27" s="30" t="str" cm="1">
        <f t="array" ref="L27">IFERROR(IF($E27&lt;44348,"",IF(INDEX(Raw_매출!$B$2:$BI$155,MATCH($A27,Raw_매출!$A$2:$A$155,0),MATCH(EDATE($E27,L$1-1),Raw_매출!$B$1:$BI$1,0))=0,"",INDEX(Raw_매출!$B$2:$BI$155,MATCH($A27,Raw_매출!$A$2:$A$155,0),MATCH(EDATE($E27,L$1-1),Raw_매출!$B$1:$BI$1,0))/(INDEX(요약_월별시즈널리티!$F$7:$F$18,MONTH(EDATE($E27,L$1-1)))/100))),"")</f>
        <v/>
      </c>
      <c r="M27" s="30" t="str" cm="1">
        <f t="array" ref="M27">IFERROR(IF($E27&lt;44348,"",IF(INDEX(Raw_매출!$B$2:$BI$155,MATCH($A27,Raw_매출!$A$2:$A$155,0),MATCH(EDATE($E27,M$1-1),Raw_매출!$B$1:$BI$1,0))=0,"",INDEX(Raw_매출!$B$2:$BI$155,MATCH($A27,Raw_매출!$A$2:$A$155,0),MATCH(EDATE($E27,M$1-1),Raw_매출!$B$1:$BI$1,0))/(INDEX(요약_월별시즈널리티!$F$7:$F$18,MONTH(EDATE($E27,M$1-1)))/100))),"")</f>
        <v/>
      </c>
      <c r="N27" s="30" t="str" cm="1">
        <f t="array" ref="N27">IFERROR(IF($E27&lt;44348,"",IF(INDEX(Raw_매출!$B$2:$BI$155,MATCH($A27,Raw_매출!$A$2:$A$155,0),MATCH(EDATE($E27,N$1-1),Raw_매출!$B$1:$BI$1,0))=0,"",INDEX(Raw_매출!$B$2:$BI$155,MATCH($A27,Raw_매출!$A$2:$A$155,0),MATCH(EDATE($E27,N$1-1),Raw_매출!$B$1:$BI$1,0))/(INDEX(요약_월별시즈널리티!$F$7:$F$18,MONTH(EDATE($E27,N$1-1)))/100))),"")</f>
        <v/>
      </c>
      <c r="O27" s="30" t="str" cm="1">
        <f t="array" ref="O27">IFERROR(IF($E27&lt;44348,"",IF(INDEX(Raw_매출!$B$2:$BI$155,MATCH($A27,Raw_매출!$A$2:$A$155,0),MATCH(EDATE($E27,O$1-1),Raw_매출!$B$1:$BI$1,0))=0,"",INDEX(Raw_매출!$B$2:$BI$155,MATCH($A27,Raw_매출!$A$2:$A$155,0),MATCH(EDATE($E27,O$1-1),Raw_매출!$B$1:$BI$1,0))/(INDEX(요약_월별시즈널리티!$F$7:$F$18,MONTH(EDATE($E27,O$1-1)))/100))),"")</f>
        <v/>
      </c>
      <c r="P27" t="str" cm="1">
        <f t="array" ref="P27">IFERROR(IF($E27&lt;44348,"",IF(INDEX(Raw_매출!$B$2:$BI$155,MATCH($A27,Raw_매출!$A$2:$A$155,0),MATCH(EDATE($E27,P$1-1),Raw_매출!$B$1:$BI$1,0))=0,"",INDEX(Raw_매출!$B$2:$BI$155,MATCH($A27,Raw_매출!$A$2:$A$155,0),MATCH(EDATE($E27,P$1-1),Raw_매출!$B$1:$BI$1,0))/(INDEX(요약_월별시즈널리티!$F$7:$F$18,MONTH(EDATE($E27,P$1-1)))/100))),"")</f>
        <v/>
      </c>
      <c r="Q27" t="str" cm="1">
        <f t="array" ref="Q27">IFERROR(IF($E27&lt;44348,"",IF(INDEX(Raw_매출!$B$2:$BI$155,MATCH($A27,Raw_매출!$A$2:$A$155,0),MATCH(EDATE($E27,Q$1-1),Raw_매출!$B$1:$BI$1,0))=0,"",INDEX(Raw_매출!$B$2:$BI$155,MATCH($A27,Raw_매출!$A$2:$A$155,0),MATCH(EDATE($E27,Q$1-1),Raw_매출!$B$1:$BI$1,0))/(INDEX(요약_월별시즈널리티!$F$7:$F$18,MONTH(EDATE($E27,Q$1-1)))/100))),"")</f>
        <v/>
      </c>
      <c r="R27" t="str" cm="1">
        <f t="array" ref="R27">IFERROR(IF($E27&lt;44348,"",IF(INDEX(Raw_매출!$B$2:$BI$155,MATCH($A27,Raw_매출!$A$2:$A$155,0),MATCH(EDATE($E27,R$1-1),Raw_매출!$B$1:$BI$1,0))=0,"",INDEX(Raw_매출!$B$2:$BI$155,MATCH($A27,Raw_매출!$A$2:$A$155,0),MATCH(EDATE($E27,R$1-1),Raw_매출!$B$1:$BI$1,0))/(INDEX(요약_월별시즈널리티!$F$7:$F$18,MONTH(EDATE($E27,R$1-1)))/100))),"")</f>
        <v/>
      </c>
      <c r="S27" t="str" cm="1">
        <f t="array" ref="S27">IFERROR(IF($E27&lt;44348,"",IF(INDEX(Raw_매출!$B$2:$BI$155,MATCH($A27,Raw_매출!$A$2:$A$155,0),MATCH(EDATE($E27,S$1-1),Raw_매출!$B$1:$BI$1,0))=0,"",INDEX(Raw_매출!$B$2:$BI$155,MATCH($A27,Raw_매출!$A$2:$A$155,0),MATCH(EDATE($E27,S$1-1),Raw_매출!$B$1:$BI$1,0))/(INDEX(요약_월별시즈널리티!$F$7:$F$18,MONTH(EDATE($E27,S$1-1)))/100))),"")</f>
        <v/>
      </c>
      <c r="T27" t="str" cm="1">
        <f t="array" ref="T27">IFERROR(IF($E27&lt;44348,"",IF(INDEX(Raw_매출!$B$2:$BI$155,MATCH($A27,Raw_매출!$A$2:$A$155,0),MATCH(EDATE($E27,T$1-1),Raw_매출!$B$1:$BI$1,0))=0,"",INDEX(Raw_매출!$B$2:$BI$155,MATCH($A27,Raw_매출!$A$2:$A$155,0),MATCH(EDATE($E27,T$1-1),Raw_매출!$B$1:$BI$1,0))/(INDEX(요약_월별시즈널리티!$F$7:$F$18,MONTH(EDATE($E27,T$1-1)))/100))),"")</f>
        <v/>
      </c>
      <c r="U27" t="str" cm="1">
        <f t="array" ref="U27">IFERROR(IF($E27&lt;44348,"",IF(INDEX(Raw_매출!$B$2:$BI$155,MATCH($A27,Raw_매출!$A$2:$A$155,0),MATCH(EDATE($E27,U$1-1),Raw_매출!$B$1:$BI$1,0))=0,"",INDEX(Raw_매출!$B$2:$BI$155,MATCH($A27,Raw_매출!$A$2:$A$155,0),MATCH(EDATE($E27,U$1-1),Raw_매출!$B$1:$BI$1,0))/(INDEX(요약_월별시즈널리티!$F$7:$F$18,MONTH(EDATE($E27,U$1-1)))/100))),"")</f>
        <v/>
      </c>
      <c r="V27" t="str" cm="1">
        <f t="array" ref="V27">IFERROR(IF($E27&lt;44348,"",IF(INDEX(Raw_매출!$B$2:$BI$155,MATCH($A27,Raw_매출!$A$2:$A$155,0),MATCH(EDATE($E27,V$1-1),Raw_매출!$B$1:$BI$1,0))=0,"",INDEX(Raw_매출!$B$2:$BI$155,MATCH($A27,Raw_매출!$A$2:$A$155,0),MATCH(EDATE($E27,V$1-1),Raw_매출!$B$1:$BI$1,0))/(INDEX(요약_월별시즈널리티!$F$7:$F$18,MONTH(EDATE($E27,V$1-1)))/100))),"")</f>
        <v/>
      </c>
      <c r="W27" t="str" cm="1">
        <f t="array" ref="W27">IFERROR(IF($E27&lt;44348,"",IF(INDEX(Raw_매출!$B$2:$BI$155,MATCH($A27,Raw_매출!$A$2:$A$155,0),MATCH(EDATE($E27,W$1-1),Raw_매출!$B$1:$BI$1,0))=0,"",INDEX(Raw_매출!$B$2:$BI$155,MATCH($A27,Raw_매출!$A$2:$A$155,0),MATCH(EDATE($E27,W$1-1),Raw_매출!$B$1:$BI$1,0))/(INDEX(요약_월별시즈널리티!$F$7:$F$18,MONTH(EDATE($E27,W$1-1)))/100))),"")</f>
        <v/>
      </c>
      <c r="X27" t="str" cm="1">
        <f t="array" ref="X27">IFERROR(IF($E27&lt;44348,"",IF(INDEX(Raw_매출!$B$2:$BI$155,MATCH($A27,Raw_매출!$A$2:$A$155,0),MATCH(EDATE($E27,X$1-1),Raw_매출!$B$1:$BI$1,0))=0,"",INDEX(Raw_매출!$B$2:$BI$155,MATCH($A27,Raw_매출!$A$2:$A$155,0),MATCH(EDATE($E27,X$1-1),Raw_매출!$B$1:$BI$1,0))/(INDEX(요약_월별시즈널리티!$F$7:$F$18,MONTH(EDATE($E27,X$1-1)))/100))),"")</f>
        <v/>
      </c>
      <c r="Y27" t="str" cm="1">
        <f t="array" ref="Y27">IFERROR(IF($E27&lt;44348,"",IF(INDEX(Raw_매출!$B$2:$BI$155,MATCH($A27,Raw_매출!$A$2:$A$155,0),MATCH(EDATE($E27,Y$1-1),Raw_매출!$B$1:$BI$1,0))=0,"",INDEX(Raw_매출!$B$2:$BI$155,MATCH($A27,Raw_매출!$A$2:$A$155,0),MATCH(EDATE($E27,Y$1-1),Raw_매출!$B$1:$BI$1,0))/(INDEX(요약_월별시즈널리티!$F$7:$F$18,MONTH(EDATE($E27,Y$1-1)))/100))),"")</f>
        <v/>
      </c>
      <c r="Z27" t="str" cm="1">
        <f t="array" ref="Z27">IFERROR(IF($E27&lt;44348,"",IF(INDEX(Raw_매출!$B$2:$BI$155,MATCH($A27,Raw_매출!$A$2:$A$155,0),MATCH(EDATE($E27,Z$1-1),Raw_매출!$B$1:$BI$1,0))=0,"",INDEX(Raw_매출!$B$2:$BI$155,MATCH($A27,Raw_매출!$A$2:$A$155,0),MATCH(EDATE($E27,Z$1-1),Raw_매출!$B$1:$BI$1,0))/(INDEX(요약_월별시즈널리티!$F$7:$F$18,MONTH(EDATE($E27,Z$1-1)))/100))),"")</f>
        <v/>
      </c>
      <c r="AA27" t="str" cm="1">
        <f t="array" ref="AA27">IFERROR(IF($E27&lt;44348,"",IF(INDEX(Raw_매출!$B$2:$BI$155,MATCH($A27,Raw_매출!$A$2:$A$155,0),MATCH(EDATE($E27,AA$1-1),Raw_매출!$B$1:$BI$1,0))=0,"",INDEX(Raw_매출!$B$2:$BI$155,MATCH($A27,Raw_매출!$A$2:$A$155,0),MATCH(EDATE($E27,AA$1-1),Raw_매출!$B$1:$BI$1,0))/(INDEX(요약_월별시즈널리티!$F$7:$F$18,MONTH(EDATE($E27,AA$1-1)))/100))),"")</f>
        <v/>
      </c>
      <c r="AB27" t="str" cm="1">
        <f t="array" ref="AB27">IFERROR(IF($E27&lt;44348,"",IF(INDEX(Raw_매출!$B$2:$BI$155,MATCH($A27,Raw_매출!$A$2:$A$155,0),MATCH(EDATE($E27,AB$1-1),Raw_매출!$B$1:$BI$1,0))=0,"",INDEX(Raw_매출!$B$2:$BI$155,MATCH($A27,Raw_매출!$A$2:$A$155,0),MATCH(EDATE($E27,AB$1-1),Raw_매출!$B$1:$BI$1,0))/(INDEX(요약_월별시즈널리티!$F$7:$F$18,MONTH(EDATE($E27,AB$1-1)))/100))),"")</f>
        <v/>
      </c>
      <c r="AC27" t="str" cm="1">
        <f t="array" ref="AC27">IFERROR(IF($E27&lt;44348,"",IF(INDEX(Raw_매출!$B$2:$BI$155,MATCH($A27,Raw_매출!$A$2:$A$155,0),MATCH(EDATE($E27,AC$1-1),Raw_매출!$B$1:$BI$1,0))=0,"",INDEX(Raw_매출!$B$2:$BI$155,MATCH($A27,Raw_매출!$A$2:$A$155,0),MATCH(EDATE($E27,AC$1-1),Raw_매출!$B$1:$BI$1,0))/(INDEX(요약_월별시즈널리티!$F$7:$F$18,MONTH(EDATE($E27,AC$1-1)))/100))),"")</f>
        <v/>
      </c>
      <c r="AD27" t="str" cm="1">
        <f t="array" ref="AD27">IFERROR(IF($E27&lt;44348,"",IF(INDEX(Raw_매출!$B$2:$BI$155,MATCH($A27,Raw_매출!$A$2:$A$155,0),MATCH(EDATE($E27,AD$1-1),Raw_매출!$B$1:$BI$1,0))=0,"",INDEX(Raw_매출!$B$2:$BI$155,MATCH($A27,Raw_매출!$A$2:$A$155,0),MATCH(EDATE($E27,AD$1-1),Raw_매출!$B$1:$BI$1,0))/(INDEX(요약_월별시즈널리티!$F$7:$F$18,MONTH(EDATE($E27,AD$1-1)))/100))),"")</f>
        <v/>
      </c>
      <c r="AE27" t="str" cm="1">
        <f t="array" ref="AE27">IFERROR(IF($E27&lt;44348,"",IF(INDEX(Raw_매출!$B$2:$BI$155,MATCH($A27,Raw_매출!$A$2:$A$155,0),MATCH(EDATE($E27,AE$1-1),Raw_매출!$B$1:$BI$1,0))=0,"",INDEX(Raw_매출!$B$2:$BI$155,MATCH($A27,Raw_매출!$A$2:$A$155,0),MATCH(EDATE($E27,AE$1-1),Raw_매출!$B$1:$BI$1,0))/(INDEX(요약_월별시즈널리티!$F$7:$F$18,MONTH(EDATE($E27,AE$1-1)))/100))),"")</f>
        <v/>
      </c>
      <c r="AF27" t="str" cm="1">
        <f t="array" ref="AF27">IFERROR(IF($E27&lt;44348,"",IF(INDEX(Raw_매출!$B$2:$BI$155,MATCH($A27,Raw_매출!$A$2:$A$155,0),MATCH(EDATE($E27,AF$1-1),Raw_매출!$B$1:$BI$1,0))=0,"",INDEX(Raw_매출!$B$2:$BI$155,MATCH($A27,Raw_매출!$A$2:$A$155,0),MATCH(EDATE($E27,AF$1-1),Raw_매출!$B$1:$BI$1,0))/(INDEX(요약_월별시즈널리티!$F$7:$F$18,MONTH(EDATE($E27,AF$1-1)))/100))),"")</f>
        <v/>
      </c>
      <c r="AG27" t="str" cm="1">
        <f t="array" ref="AG27">IFERROR(IF($E27&lt;44348,"",IF(INDEX(Raw_매출!$B$2:$BI$155,MATCH($A27,Raw_매출!$A$2:$A$155,0),MATCH(EDATE($E27,AG$1-1),Raw_매출!$B$1:$BI$1,0))=0,"",INDEX(Raw_매출!$B$2:$BI$155,MATCH($A27,Raw_매출!$A$2:$A$155,0),MATCH(EDATE($E27,AG$1-1),Raw_매출!$B$1:$BI$1,0))/(INDEX(요약_월별시즈널리티!$F$7:$F$18,MONTH(EDATE($E27,AG$1-1)))/100))),"")</f>
        <v/>
      </c>
      <c r="AH27" t="str" cm="1">
        <f t="array" ref="AH27">IFERROR(IF($E27&lt;44348,"",IF(INDEX(Raw_매출!$B$2:$BI$155,MATCH($A27,Raw_매출!$A$2:$A$155,0),MATCH(EDATE($E27,AH$1-1),Raw_매출!$B$1:$BI$1,0))=0,"",INDEX(Raw_매출!$B$2:$BI$155,MATCH($A27,Raw_매출!$A$2:$A$155,0),MATCH(EDATE($E27,AH$1-1),Raw_매출!$B$1:$BI$1,0))/(INDEX(요약_월별시즈널리티!$F$7:$F$18,MONTH(EDATE($E27,AH$1-1)))/100))),"")</f>
        <v/>
      </c>
      <c r="AI27" t="str" cm="1">
        <f t="array" ref="AI27">IFERROR(IF($E27&lt;44348,"",IF(INDEX(Raw_매출!$B$2:$BI$155,MATCH($A27,Raw_매출!$A$2:$A$155,0),MATCH(EDATE($E27,AI$1-1),Raw_매출!$B$1:$BI$1,0))=0,"",INDEX(Raw_매출!$B$2:$BI$155,MATCH($A27,Raw_매출!$A$2:$A$155,0),MATCH(EDATE($E27,AI$1-1),Raw_매출!$B$1:$BI$1,0))/(INDEX(요약_월별시즈널리티!$F$7:$F$18,MONTH(EDATE($E27,AI$1-1)))/100))),"")</f>
        <v/>
      </c>
      <c r="AJ27" t="str" cm="1">
        <f t="array" ref="AJ27">IFERROR(IF($E27&lt;44348,"",IF(INDEX(Raw_매출!$B$2:$BI$155,MATCH($A27,Raw_매출!$A$2:$A$155,0),MATCH(EDATE($E27,AJ$1-1),Raw_매출!$B$1:$BI$1,0))=0,"",INDEX(Raw_매출!$B$2:$BI$155,MATCH($A27,Raw_매출!$A$2:$A$155,0),MATCH(EDATE($E27,AJ$1-1),Raw_매출!$B$1:$BI$1,0))/(INDEX(요약_월별시즈널리티!$F$7:$F$18,MONTH(EDATE($E27,AJ$1-1)))/100))),"")</f>
        <v/>
      </c>
      <c r="AK27" t="str" cm="1">
        <f t="array" ref="AK27">IFERROR(IF($E27&lt;44348,"",IF(INDEX(Raw_매출!$B$2:$BI$155,MATCH($A27,Raw_매출!$A$2:$A$155,0),MATCH(EDATE($E27,AK$1-1),Raw_매출!$B$1:$BI$1,0))=0,"",INDEX(Raw_매출!$B$2:$BI$155,MATCH($A27,Raw_매출!$A$2:$A$155,0),MATCH(EDATE($E27,AK$1-1),Raw_매출!$B$1:$BI$1,0))/(INDEX(요약_월별시즈널리티!$F$7:$F$18,MONTH(EDATE($E27,AK$1-1)))/100))),"")</f>
        <v/>
      </c>
      <c r="AL27" t="str" cm="1">
        <f t="array" ref="AL27">IFERROR(IF($E27&lt;44348,"",IF(INDEX(Raw_매출!$B$2:$BI$155,MATCH($A27,Raw_매출!$A$2:$A$155,0),MATCH(EDATE($E27,AL$1-1),Raw_매출!$B$1:$BI$1,0))=0,"",INDEX(Raw_매출!$B$2:$BI$155,MATCH($A27,Raw_매출!$A$2:$A$155,0),MATCH(EDATE($E27,AL$1-1),Raw_매출!$B$1:$BI$1,0))/(INDEX(요약_월별시즈널리티!$F$7:$F$18,MONTH(EDATE($E27,AL$1-1)))/100))),"")</f>
        <v/>
      </c>
      <c r="AM27" t="str" cm="1">
        <f t="array" ref="AM27">IFERROR(IF($E27&lt;44348,"",IF(INDEX(Raw_매출!$B$2:$BI$155,MATCH($A27,Raw_매출!$A$2:$A$155,0),MATCH(EDATE($E27,AM$1-1),Raw_매출!$B$1:$BI$1,0))=0,"",INDEX(Raw_매출!$B$2:$BI$155,MATCH($A27,Raw_매출!$A$2:$A$155,0),MATCH(EDATE($E27,AM$1-1),Raw_매출!$B$1:$BI$1,0))/(INDEX(요약_월별시즈널리티!$F$7:$F$18,MONTH(EDATE($E27,AM$1-1)))/100))),"")</f>
        <v/>
      </c>
      <c r="AN27" t="str" cm="1">
        <f t="array" ref="AN27">IFERROR(IF($E27&lt;44348,"",IF(INDEX(Raw_매출!$B$2:$BI$155,MATCH($A27,Raw_매출!$A$2:$A$155,0),MATCH(EDATE($E27,AN$1-1),Raw_매출!$B$1:$BI$1,0))=0,"",INDEX(Raw_매출!$B$2:$BI$155,MATCH($A27,Raw_매출!$A$2:$A$155,0),MATCH(EDATE($E27,AN$1-1),Raw_매출!$B$1:$BI$1,0))/(INDEX(요약_월별시즈널리티!$F$7:$F$18,MONTH(EDATE($E27,AN$1-1)))/100))),"")</f>
        <v/>
      </c>
      <c r="AO27" t="str" cm="1">
        <f t="array" ref="AO27">IFERROR(IF($E27&lt;44348,"",IF(INDEX(Raw_매출!$B$2:$BI$155,MATCH($A27,Raw_매출!$A$2:$A$155,0),MATCH(EDATE($E27,AO$1-1),Raw_매출!$B$1:$BI$1,0))=0,"",INDEX(Raw_매출!$B$2:$BI$155,MATCH($A27,Raw_매출!$A$2:$A$155,0),MATCH(EDATE($E27,AO$1-1),Raw_매출!$B$1:$BI$1,0))/(INDEX(요약_월별시즈널리티!$F$7:$F$18,MONTH(EDATE($E27,AO$1-1)))/100))),"")</f>
        <v/>
      </c>
      <c r="AP27" t="str" cm="1">
        <f t="array" ref="AP27">IFERROR(IF($E27&lt;44348,"",IF(INDEX(Raw_매출!$B$2:$BI$155,MATCH($A27,Raw_매출!$A$2:$A$155,0),MATCH(EDATE($E27,AP$1-1),Raw_매출!$B$1:$BI$1,0))=0,"",INDEX(Raw_매출!$B$2:$BI$155,MATCH($A27,Raw_매출!$A$2:$A$155,0),MATCH(EDATE($E27,AP$1-1),Raw_매출!$B$1:$BI$1,0))/(INDEX(요약_월별시즈널리티!$F$7:$F$18,MONTH(EDATE($E27,AP$1-1)))/100))),"")</f>
        <v/>
      </c>
      <c r="AQ27" t="str" cm="1">
        <f t="array" ref="AQ27">IFERROR(IF($E27&lt;44348,"",IF(INDEX(Raw_매출!$B$2:$BI$155,MATCH($A27,Raw_매출!$A$2:$A$155,0),MATCH(EDATE($E27,AQ$1-1),Raw_매출!$B$1:$BI$1,0))=0,"",INDEX(Raw_매출!$B$2:$BI$155,MATCH($A27,Raw_매출!$A$2:$A$155,0),MATCH(EDATE($E27,AQ$1-1),Raw_매출!$B$1:$BI$1,0))/(INDEX(요약_월별시즈널리티!$F$7:$F$18,MONTH(EDATE($E27,AQ$1-1)))/100))),"")</f>
        <v/>
      </c>
      <c r="AR27" t="str" cm="1">
        <f t="array" ref="AR27">IFERROR(IF($E27&lt;44348,"",IF(INDEX(Raw_매출!$B$2:$BI$155,MATCH($A27,Raw_매출!$A$2:$A$155,0),MATCH(EDATE($E27,AR$1-1),Raw_매출!$B$1:$BI$1,0))=0,"",INDEX(Raw_매출!$B$2:$BI$155,MATCH($A27,Raw_매출!$A$2:$A$155,0),MATCH(EDATE($E27,AR$1-1),Raw_매출!$B$1:$BI$1,0))/(INDEX(요약_월별시즈널리티!$F$7:$F$18,MONTH(EDATE($E27,AR$1-1)))/100))),"")</f>
        <v/>
      </c>
      <c r="AS27" t="str" cm="1">
        <f t="array" ref="AS27">IFERROR(IF($E27&lt;44348,"",IF(INDEX(Raw_매출!$B$2:$BI$155,MATCH($A27,Raw_매출!$A$2:$A$155,0),MATCH(EDATE($E27,AS$1-1),Raw_매출!$B$1:$BI$1,0))=0,"",INDEX(Raw_매출!$B$2:$BI$155,MATCH($A27,Raw_매출!$A$2:$A$155,0),MATCH(EDATE($E27,AS$1-1),Raw_매출!$B$1:$BI$1,0))/(INDEX(요약_월별시즈널리티!$F$7:$F$18,MONTH(EDATE($E27,AS$1-1)))/100))),"")</f>
        <v/>
      </c>
      <c r="AT27" t="str" cm="1">
        <f t="array" ref="AT27">IFERROR(IF($E27&lt;44348,"",IF(INDEX(Raw_매출!$B$2:$BI$155,MATCH($A27,Raw_매출!$A$2:$A$155,0),MATCH(EDATE($E27,AT$1-1),Raw_매출!$B$1:$BI$1,0))=0,"",INDEX(Raw_매출!$B$2:$BI$155,MATCH($A27,Raw_매출!$A$2:$A$155,0),MATCH(EDATE($E27,AT$1-1),Raw_매출!$B$1:$BI$1,0))/(INDEX(요약_월별시즈널리티!$F$7:$F$18,MONTH(EDATE($E27,AT$1-1)))/100))),"")</f>
        <v/>
      </c>
      <c r="AU27" t="str" cm="1">
        <f t="array" ref="AU27">IFERROR(IF($E27&lt;44348,"",IF(INDEX(Raw_매출!$B$2:$BI$155,MATCH($A27,Raw_매출!$A$2:$A$155,0),MATCH(EDATE($E27,AU$1-1),Raw_매출!$B$1:$BI$1,0))=0,"",INDEX(Raw_매출!$B$2:$BI$155,MATCH($A27,Raw_매출!$A$2:$A$155,0),MATCH(EDATE($E27,AU$1-1),Raw_매출!$B$1:$BI$1,0))/(INDEX(요약_월별시즈널리티!$F$7:$F$18,MONTH(EDATE($E27,AU$1-1)))/100))),"")</f>
        <v/>
      </c>
      <c r="AV27" t="str" cm="1">
        <f t="array" ref="AV27">IFERROR(IF($E27&lt;44348,"",IF(INDEX(Raw_매출!$B$2:$BI$155,MATCH($A27,Raw_매출!$A$2:$A$155,0),MATCH(EDATE($E27,AV$1-1),Raw_매출!$B$1:$BI$1,0))=0,"",INDEX(Raw_매출!$B$2:$BI$155,MATCH($A27,Raw_매출!$A$2:$A$155,0),MATCH(EDATE($E27,AV$1-1),Raw_매출!$B$1:$BI$1,0))/(INDEX(요약_월별시즈널리티!$F$7:$F$18,MONTH(EDATE($E27,AV$1-1)))/100))),"")</f>
        <v/>
      </c>
      <c r="AW27" t="str" cm="1">
        <f t="array" ref="AW27">IFERROR(IF($E27&lt;44348,"",IF(INDEX(Raw_매출!$B$2:$BI$155,MATCH($A27,Raw_매출!$A$2:$A$155,0),MATCH(EDATE($E27,AW$1-1),Raw_매출!$B$1:$BI$1,0))=0,"",INDEX(Raw_매출!$B$2:$BI$155,MATCH($A27,Raw_매출!$A$2:$A$155,0),MATCH(EDATE($E27,AW$1-1),Raw_매출!$B$1:$BI$1,0))/(INDEX(요약_월별시즈널리티!$F$7:$F$18,MONTH(EDATE($E27,AW$1-1)))/100))),"")</f>
        <v/>
      </c>
      <c r="AX27" t="str" cm="1">
        <f t="array" ref="AX27">IFERROR(IF($E27&lt;44348,"",IF(INDEX(Raw_매출!$B$2:$BI$155,MATCH($A27,Raw_매출!$A$2:$A$155,0),MATCH(EDATE($E27,AX$1-1),Raw_매출!$B$1:$BI$1,0))=0,"",INDEX(Raw_매출!$B$2:$BI$155,MATCH($A27,Raw_매출!$A$2:$A$155,0),MATCH(EDATE($E27,AX$1-1),Raw_매출!$B$1:$BI$1,0))/(INDEX(요약_월별시즈널리티!$F$7:$F$18,MONTH(EDATE($E27,AX$1-1)))/100))),"")</f>
        <v/>
      </c>
      <c r="AY27" t="str" cm="1">
        <f t="array" ref="AY27">IFERROR(IF($E27&lt;44348,"",IF(INDEX(Raw_매출!$B$2:$BI$155,MATCH($A27,Raw_매출!$A$2:$A$155,0),MATCH(EDATE($E27,AY$1-1),Raw_매출!$B$1:$BI$1,0))=0,"",INDEX(Raw_매출!$B$2:$BI$155,MATCH($A27,Raw_매출!$A$2:$A$155,0),MATCH(EDATE($E27,AY$1-1),Raw_매출!$B$1:$BI$1,0))/(INDEX(요약_월별시즈널리티!$F$7:$F$18,MONTH(EDATE($E27,AY$1-1)))/100))),"")</f>
        <v/>
      </c>
      <c r="AZ27" t="str" cm="1">
        <f t="array" ref="AZ27">IFERROR(IF($E27&lt;44348,"",IF(INDEX(Raw_매출!$B$2:$BI$155,MATCH($A27,Raw_매출!$A$2:$A$155,0),MATCH(EDATE($E27,AZ$1-1),Raw_매출!$B$1:$BI$1,0))=0,"",INDEX(Raw_매출!$B$2:$BI$155,MATCH($A27,Raw_매출!$A$2:$A$155,0),MATCH(EDATE($E27,AZ$1-1),Raw_매출!$B$1:$BI$1,0))/(INDEX(요약_월별시즈널리티!$F$7:$F$18,MONTH(EDATE($E27,AZ$1-1)))/100))),"")</f>
        <v/>
      </c>
      <c r="BA27" t="str" cm="1">
        <f t="array" ref="BA27">IFERROR(IF($E27&lt;44348,"",IF(INDEX(Raw_매출!$B$2:$BI$155,MATCH($A27,Raw_매출!$A$2:$A$155,0),MATCH(EDATE($E27,BA$1-1),Raw_매출!$B$1:$BI$1,0))=0,"",INDEX(Raw_매출!$B$2:$BI$155,MATCH($A27,Raw_매출!$A$2:$A$155,0),MATCH(EDATE($E27,BA$1-1),Raw_매출!$B$1:$BI$1,0))/(INDEX(요약_월별시즈널리티!$F$7:$F$18,MONTH(EDATE($E27,BA$1-1)))/100))),"")</f>
        <v/>
      </c>
      <c r="BB27" t="str" cm="1">
        <f t="array" ref="BB27">IFERROR(IF($E27&lt;44348,"",IF(INDEX(Raw_매출!$B$2:$BI$155,MATCH($A27,Raw_매출!$A$2:$A$155,0),MATCH(EDATE($E27,BB$1-1),Raw_매출!$B$1:$BI$1,0))=0,"",INDEX(Raw_매출!$B$2:$BI$155,MATCH($A27,Raw_매출!$A$2:$A$155,0),MATCH(EDATE($E27,BB$1-1),Raw_매출!$B$1:$BI$1,0))/(INDEX(요약_월별시즈널리티!$F$7:$F$18,MONTH(EDATE($E27,BB$1-1)))/100))),"")</f>
        <v/>
      </c>
      <c r="BC27" t="str" cm="1">
        <f t="array" ref="BC27">IFERROR(IF($E27&lt;44348,"",IF(INDEX(Raw_매출!$B$2:$BI$155,MATCH($A27,Raw_매출!$A$2:$A$155,0),MATCH(EDATE($E27,BC$1-1),Raw_매출!$B$1:$BI$1,0))=0,"",INDEX(Raw_매출!$B$2:$BI$155,MATCH($A27,Raw_매출!$A$2:$A$155,0),MATCH(EDATE($E27,BC$1-1),Raw_매출!$B$1:$BI$1,0))/(INDEX(요약_월별시즈널리티!$F$7:$F$18,MONTH(EDATE($E27,BC$1-1)))/100))),"")</f>
        <v/>
      </c>
      <c r="BD27" t="str" cm="1">
        <f t="array" ref="BD27">IFERROR(IF($E27&lt;44348,"",IF(INDEX(Raw_매출!$B$2:$BI$155,MATCH($A27,Raw_매출!$A$2:$A$155,0),MATCH(EDATE($E27,BD$1-1),Raw_매출!$B$1:$BI$1,0))=0,"",INDEX(Raw_매출!$B$2:$BI$155,MATCH($A27,Raw_매출!$A$2:$A$155,0),MATCH(EDATE($E27,BD$1-1),Raw_매출!$B$1:$BI$1,0))/(INDEX(요약_월별시즈널리티!$F$7:$F$18,MONTH(EDATE($E27,BD$1-1)))/100))),"")</f>
        <v/>
      </c>
      <c r="BE27" t="str" cm="1">
        <f t="array" ref="BE27">IFERROR(IF($E27&lt;44348,"",IF(INDEX(Raw_매출!$B$2:$BI$155,MATCH($A27,Raw_매출!$A$2:$A$155,0),MATCH(EDATE($E27,BE$1-1),Raw_매출!$B$1:$BI$1,0))=0,"",INDEX(Raw_매출!$B$2:$BI$155,MATCH($A27,Raw_매출!$A$2:$A$155,0),MATCH(EDATE($E27,BE$1-1),Raw_매출!$B$1:$BI$1,0))/(INDEX(요약_월별시즈널리티!$F$7:$F$18,MONTH(EDATE($E27,BE$1-1)))/100))),"")</f>
        <v/>
      </c>
      <c r="BF27" t="str" cm="1">
        <f t="array" ref="BF27">IFERROR(IF($E27&lt;44348,"",IF(INDEX(Raw_매출!$B$2:$BI$155,MATCH($A27,Raw_매출!$A$2:$A$155,0),MATCH(EDATE($E27,BF$1-1),Raw_매출!$B$1:$BI$1,0))=0,"",INDEX(Raw_매출!$B$2:$BI$155,MATCH($A27,Raw_매출!$A$2:$A$155,0),MATCH(EDATE($E27,BF$1-1),Raw_매출!$B$1:$BI$1,0))/(INDEX(요약_월별시즈널리티!$F$7:$F$18,MONTH(EDATE($E27,BF$1-1)))/100))),"")</f>
        <v/>
      </c>
      <c r="BG27" t="str" cm="1">
        <f t="array" ref="BG27">IFERROR(IF($E27&lt;44348,"",IF(INDEX(Raw_매출!$B$2:$BI$155,MATCH($A27,Raw_매출!$A$2:$A$155,0),MATCH(EDATE($E27,BG$1-1),Raw_매출!$B$1:$BI$1,0))=0,"",INDEX(Raw_매출!$B$2:$BI$155,MATCH($A27,Raw_매출!$A$2:$A$155,0),MATCH(EDATE($E27,BG$1-1),Raw_매출!$B$1:$BI$1,0))/(INDEX(요약_월별시즈널리티!$F$7:$F$18,MONTH(EDATE($E27,BG$1-1)))/100))),"")</f>
        <v/>
      </c>
      <c r="BH27" t="str" cm="1">
        <f t="array" ref="BH27">IFERROR(IF($E27&lt;44348,"",IF(INDEX(Raw_매출!$B$2:$BI$155,MATCH($A27,Raw_매출!$A$2:$A$155,0),MATCH(EDATE($E27,BH$1-1),Raw_매출!$B$1:$BI$1,0))=0,"",INDEX(Raw_매출!$B$2:$BI$155,MATCH($A27,Raw_매출!$A$2:$A$155,0),MATCH(EDATE($E27,BH$1-1),Raw_매출!$B$1:$BI$1,0))/(INDEX(요약_월별시즈널리티!$F$7:$F$18,MONTH(EDATE($E27,BH$1-1)))/100))),"")</f>
        <v/>
      </c>
      <c r="BI27" t="str" cm="1">
        <f t="array" ref="BI27">IFERROR(IF($E27&lt;44348,"",IF(INDEX(Raw_매출!$B$2:$BI$155,MATCH($A27,Raw_매출!$A$2:$A$155,0),MATCH(EDATE($E27,BI$1-1),Raw_매출!$B$1:$BI$1,0))=0,"",INDEX(Raw_매출!$B$2:$BI$155,MATCH($A27,Raw_매출!$A$2:$A$155,0),MATCH(EDATE($E27,BI$1-1),Raw_매출!$B$1:$BI$1,0))/(INDEX(요약_월별시즈널리티!$F$7:$F$18,MONTH(EDATE($E27,BI$1-1)))/100))),"")</f>
        <v/>
      </c>
      <c r="BJ27" t="str" cm="1">
        <f t="array" ref="BJ27">IFERROR(IF($E27&lt;44348,"",IF(INDEX(Raw_매출!$B$2:$BI$155,MATCH($A27,Raw_매출!$A$2:$A$155,0),MATCH(EDATE($E27,BJ$1-1),Raw_매출!$B$1:$BI$1,0))=0,"",INDEX(Raw_매출!$B$2:$BI$155,MATCH($A27,Raw_매출!$A$2:$A$155,0),MATCH(EDATE($E27,BJ$1-1),Raw_매출!$B$1:$BI$1,0))/(INDEX(요약_월별시즈널리티!$F$7:$F$18,MONTH(EDATE($E27,BJ$1-1)))/100))),"")</f>
        <v/>
      </c>
      <c r="BK27" t="str" cm="1">
        <f t="array" ref="BK27">IFERROR(IF($E27&lt;44348,"",IF(INDEX(Raw_매출!$B$2:$BI$155,MATCH($A27,Raw_매출!$A$2:$A$155,0),MATCH(EDATE($E27,BK$1-1),Raw_매출!$B$1:$BI$1,0))=0,"",INDEX(Raw_매출!$B$2:$BI$155,MATCH($A27,Raw_매출!$A$2:$A$155,0),MATCH(EDATE($E27,BK$1-1),Raw_매출!$B$1:$BI$1,0))/(INDEX(요약_월별시즈널리티!$F$7:$F$18,MONTH(EDATE($E27,BK$1-1)))/100))),"")</f>
        <v/>
      </c>
      <c r="BL27" t="str" cm="1">
        <f t="array" ref="BL27">IFERROR(IF($E27&lt;44348,"",IF(INDEX(Raw_매출!$B$2:$BI$155,MATCH($A27,Raw_매출!$A$2:$A$155,0),MATCH(EDATE($E27,BL$1-1),Raw_매출!$B$1:$BI$1,0))=0,"",INDEX(Raw_매출!$B$2:$BI$155,MATCH($A27,Raw_매출!$A$2:$A$155,0),MATCH(EDATE($E27,BL$1-1),Raw_매출!$B$1:$BI$1,0))/(INDEX(요약_월별시즈널리티!$F$7:$F$18,MONTH(EDATE($E27,BL$1-1)))/100))),"")</f>
        <v/>
      </c>
      <c r="BM27" t="str" cm="1">
        <f t="array" ref="BM27">IFERROR(IF($E27&lt;44348,"",IF(INDEX(Raw_매출!$B$2:$BI$155,MATCH($A27,Raw_매출!$A$2:$A$155,0),MATCH(EDATE($E27,BM$1-1),Raw_매출!$B$1:$BI$1,0))=0,"",INDEX(Raw_매출!$B$2:$BI$155,MATCH($A27,Raw_매출!$A$2:$A$155,0),MATCH(EDATE($E27,BM$1-1),Raw_매출!$B$1:$BI$1,0))/(INDEX(요약_월별시즈널리티!$F$7:$F$18,MONTH(EDATE($E27,BM$1-1)))/100))),"")</f>
        <v/>
      </c>
      <c r="BN27" t="str" cm="1">
        <f t="array" ref="BN27">IFERROR(IF($E27&lt;44348,"",IF(INDEX(Raw_매출!$B$2:$BI$155,MATCH($A27,Raw_매출!$A$2:$A$155,0),MATCH(EDATE($E27,BN$1-1),Raw_매출!$B$1:$BI$1,0))=0,"",INDEX(Raw_매출!$B$2:$BI$155,MATCH($A27,Raw_매출!$A$2:$A$155,0),MATCH(EDATE($E27,BN$1-1),Raw_매출!$B$1:$BI$1,0))/(INDEX(요약_월별시즈널리티!$F$7:$F$18,MONTH(EDATE($E27,BN$1-1)))/100))),"")</f>
        <v/>
      </c>
    </row>
    <row r="28" spans="1:66" x14ac:dyDescent="0.4">
      <c r="A28" t="str">
        <f>세팅!A29</f>
        <v>(1014) #자곡점</v>
      </c>
      <c r="B28" t="str">
        <f>세팅!B29</f>
        <v>150-2</v>
      </c>
      <c r="C28">
        <f t="shared" si="0"/>
        <v>2</v>
      </c>
      <c r="D28" t="str">
        <f t="shared" si="1"/>
        <v>2</v>
      </c>
      <c r="E28" s="1">
        <f>세팅!D29</f>
        <v>44166</v>
      </c>
      <c r="F28" t="str">
        <f t="shared" si="2"/>
        <v/>
      </c>
      <c r="G28" t="str" cm="1">
        <f t="array" ref="G28">IFERROR(IF($E28&lt;44348,"",IF(INDEX(Raw_매출!$B$2:$BI$155,MATCH($A28,Raw_매출!$A$2:$A$155,0),MATCH(EDATE($E28,G$1-1),Raw_매출!$B$1:$BI$1,0))=0,"",INDEX(Raw_매출!$B$2:$BI$155,MATCH($A28,Raw_매출!$A$2:$A$155,0),MATCH(EDATE($E28,G$1-1),Raw_매출!$B$1:$BI$1,0))/(INDEX(요약_월별시즈널리티!$F$7:$F$18,MONTH(EDATE($E28,G$1-1)))/100))),"")</f>
        <v/>
      </c>
      <c r="H28" t="str" cm="1">
        <f t="array" ref="H28">IFERROR(IF($E28&lt;44348,"",IF(INDEX(Raw_매출!$B$2:$BI$155,MATCH($A28,Raw_매출!$A$2:$A$155,0),MATCH(EDATE($E28,H$1-1),Raw_매출!$B$1:$BI$1,0))=0,"",INDEX(Raw_매출!$B$2:$BI$155,MATCH($A28,Raw_매출!$A$2:$A$155,0),MATCH(EDATE($E28,H$1-1),Raw_매출!$B$1:$BI$1,0))/(INDEX(요약_월별시즈널리티!$F$7:$F$18,MONTH(EDATE($E28,H$1-1)))/100))),"")</f>
        <v/>
      </c>
      <c r="I28" t="str" cm="1">
        <f t="array" ref="I28">IFERROR(IF($E28&lt;44348,"",IF(INDEX(Raw_매출!$B$2:$BI$155,MATCH($A28,Raw_매출!$A$2:$A$155,0),MATCH(EDATE($E28,I$1-1),Raw_매출!$B$1:$BI$1,0))=0,"",INDEX(Raw_매출!$B$2:$BI$155,MATCH($A28,Raw_매출!$A$2:$A$155,0),MATCH(EDATE($E28,I$1-1),Raw_매출!$B$1:$BI$1,0))/(INDEX(요약_월별시즈널리티!$F$7:$F$18,MONTH(EDATE($E28,I$1-1)))/100))),"")</f>
        <v/>
      </c>
      <c r="J28" s="30" t="str" cm="1">
        <f t="array" ref="J28">IFERROR(IF($E28&lt;44348,"",IF(INDEX(Raw_매출!$B$2:$BI$155,MATCH($A28,Raw_매출!$A$2:$A$155,0),MATCH(EDATE($E28,J$1-1),Raw_매출!$B$1:$BI$1,0))=0,"",INDEX(Raw_매출!$B$2:$BI$155,MATCH($A28,Raw_매출!$A$2:$A$155,0),MATCH(EDATE($E28,J$1-1),Raw_매출!$B$1:$BI$1,0))/(INDEX(요약_월별시즈널리티!$F$7:$F$18,MONTH(EDATE($E28,J$1-1)))/100))),"")</f>
        <v/>
      </c>
      <c r="K28" s="30" t="str" cm="1">
        <f t="array" ref="K28">IFERROR(IF($E28&lt;44348,"",IF(INDEX(Raw_매출!$B$2:$BI$155,MATCH($A28,Raw_매출!$A$2:$A$155,0),MATCH(EDATE($E28,K$1-1),Raw_매출!$B$1:$BI$1,0))=0,"",INDEX(Raw_매출!$B$2:$BI$155,MATCH($A28,Raw_매출!$A$2:$A$155,0),MATCH(EDATE($E28,K$1-1),Raw_매출!$B$1:$BI$1,0))/(INDEX(요약_월별시즈널리티!$F$7:$F$18,MONTH(EDATE($E28,K$1-1)))/100))),"")</f>
        <v/>
      </c>
      <c r="L28" s="30" t="str" cm="1">
        <f t="array" ref="L28">IFERROR(IF($E28&lt;44348,"",IF(INDEX(Raw_매출!$B$2:$BI$155,MATCH($A28,Raw_매출!$A$2:$A$155,0),MATCH(EDATE($E28,L$1-1),Raw_매출!$B$1:$BI$1,0))=0,"",INDEX(Raw_매출!$B$2:$BI$155,MATCH($A28,Raw_매출!$A$2:$A$155,0),MATCH(EDATE($E28,L$1-1),Raw_매출!$B$1:$BI$1,0))/(INDEX(요약_월별시즈널리티!$F$7:$F$18,MONTH(EDATE($E28,L$1-1)))/100))),"")</f>
        <v/>
      </c>
      <c r="M28" s="30" t="str" cm="1">
        <f t="array" ref="M28">IFERROR(IF($E28&lt;44348,"",IF(INDEX(Raw_매출!$B$2:$BI$155,MATCH($A28,Raw_매출!$A$2:$A$155,0),MATCH(EDATE($E28,M$1-1),Raw_매출!$B$1:$BI$1,0))=0,"",INDEX(Raw_매출!$B$2:$BI$155,MATCH($A28,Raw_매출!$A$2:$A$155,0),MATCH(EDATE($E28,M$1-1),Raw_매출!$B$1:$BI$1,0))/(INDEX(요약_월별시즈널리티!$F$7:$F$18,MONTH(EDATE($E28,M$1-1)))/100))),"")</f>
        <v/>
      </c>
      <c r="N28" s="30" t="str" cm="1">
        <f t="array" ref="N28">IFERROR(IF($E28&lt;44348,"",IF(INDEX(Raw_매출!$B$2:$BI$155,MATCH($A28,Raw_매출!$A$2:$A$155,0),MATCH(EDATE($E28,N$1-1),Raw_매출!$B$1:$BI$1,0))=0,"",INDEX(Raw_매출!$B$2:$BI$155,MATCH($A28,Raw_매출!$A$2:$A$155,0),MATCH(EDATE($E28,N$1-1),Raw_매출!$B$1:$BI$1,0))/(INDEX(요약_월별시즈널리티!$F$7:$F$18,MONTH(EDATE($E28,N$1-1)))/100))),"")</f>
        <v/>
      </c>
      <c r="O28" s="30" t="str" cm="1">
        <f t="array" ref="O28">IFERROR(IF($E28&lt;44348,"",IF(INDEX(Raw_매출!$B$2:$BI$155,MATCH($A28,Raw_매출!$A$2:$A$155,0),MATCH(EDATE($E28,O$1-1),Raw_매출!$B$1:$BI$1,0))=0,"",INDEX(Raw_매출!$B$2:$BI$155,MATCH($A28,Raw_매출!$A$2:$A$155,0),MATCH(EDATE($E28,O$1-1),Raw_매출!$B$1:$BI$1,0))/(INDEX(요약_월별시즈널리티!$F$7:$F$18,MONTH(EDATE($E28,O$1-1)))/100))),"")</f>
        <v/>
      </c>
      <c r="P28" t="str" cm="1">
        <f t="array" ref="P28">IFERROR(IF($E28&lt;44348,"",IF(INDEX(Raw_매출!$B$2:$BI$155,MATCH($A28,Raw_매출!$A$2:$A$155,0),MATCH(EDATE($E28,P$1-1),Raw_매출!$B$1:$BI$1,0))=0,"",INDEX(Raw_매출!$B$2:$BI$155,MATCH($A28,Raw_매출!$A$2:$A$155,0),MATCH(EDATE($E28,P$1-1),Raw_매출!$B$1:$BI$1,0))/(INDEX(요약_월별시즈널리티!$F$7:$F$18,MONTH(EDATE($E28,P$1-1)))/100))),"")</f>
        <v/>
      </c>
      <c r="Q28" t="str" cm="1">
        <f t="array" ref="Q28">IFERROR(IF($E28&lt;44348,"",IF(INDEX(Raw_매출!$B$2:$BI$155,MATCH($A28,Raw_매출!$A$2:$A$155,0),MATCH(EDATE($E28,Q$1-1),Raw_매출!$B$1:$BI$1,0))=0,"",INDEX(Raw_매출!$B$2:$BI$155,MATCH($A28,Raw_매출!$A$2:$A$155,0),MATCH(EDATE($E28,Q$1-1),Raw_매출!$B$1:$BI$1,0))/(INDEX(요약_월별시즈널리티!$F$7:$F$18,MONTH(EDATE($E28,Q$1-1)))/100))),"")</f>
        <v/>
      </c>
      <c r="R28" t="str" cm="1">
        <f t="array" ref="R28">IFERROR(IF($E28&lt;44348,"",IF(INDEX(Raw_매출!$B$2:$BI$155,MATCH($A28,Raw_매출!$A$2:$A$155,0),MATCH(EDATE($E28,R$1-1),Raw_매출!$B$1:$BI$1,0))=0,"",INDEX(Raw_매출!$B$2:$BI$155,MATCH($A28,Raw_매출!$A$2:$A$155,0),MATCH(EDATE($E28,R$1-1),Raw_매출!$B$1:$BI$1,0))/(INDEX(요약_월별시즈널리티!$F$7:$F$18,MONTH(EDATE($E28,R$1-1)))/100))),"")</f>
        <v/>
      </c>
      <c r="S28" t="str" cm="1">
        <f t="array" ref="S28">IFERROR(IF($E28&lt;44348,"",IF(INDEX(Raw_매출!$B$2:$BI$155,MATCH($A28,Raw_매출!$A$2:$A$155,0),MATCH(EDATE($E28,S$1-1),Raw_매출!$B$1:$BI$1,0))=0,"",INDEX(Raw_매출!$B$2:$BI$155,MATCH($A28,Raw_매출!$A$2:$A$155,0),MATCH(EDATE($E28,S$1-1),Raw_매출!$B$1:$BI$1,0))/(INDEX(요약_월별시즈널리티!$F$7:$F$18,MONTH(EDATE($E28,S$1-1)))/100))),"")</f>
        <v/>
      </c>
      <c r="T28" t="str" cm="1">
        <f t="array" ref="T28">IFERROR(IF($E28&lt;44348,"",IF(INDEX(Raw_매출!$B$2:$BI$155,MATCH($A28,Raw_매출!$A$2:$A$155,0),MATCH(EDATE($E28,T$1-1),Raw_매출!$B$1:$BI$1,0))=0,"",INDEX(Raw_매출!$B$2:$BI$155,MATCH($A28,Raw_매출!$A$2:$A$155,0),MATCH(EDATE($E28,T$1-1),Raw_매출!$B$1:$BI$1,0))/(INDEX(요약_월별시즈널리티!$F$7:$F$18,MONTH(EDATE($E28,T$1-1)))/100))),"")</f>
        <v/>
      </c>
      <c r="U28" t="str" cm="1">
        <f t="array" ref="U28">IFERROR(IF($E28&lt;44348,"",IF(INDEX(Raw_매출!$B$2:$BI$155,MATCH($A28,Raw_매출!$A$2:$A$155,0),MATCH(EDATE($E28,U$1-1),Raw_매출!$B$1:$BI$1,0))=0,"",INDEX(Raw_매출!$B$2:$BI$155,MATCH($A28,Raw_매출!$A$2:$A$155,0),MATCH(EDATE($E28,U$1-1),Raw_매출!$B$1:$BI$1,0))/(INDEX(요약_월별시즈널리티!$F$7:$F$18,MONTH(EDATE($E28,U$1-1)))/100))),"")</f>
        <v/>
      </c>
      <c r="V28" t="str" cm="1">
        <f t="array" ref="V28">IFERROR(IF($E28&lt;44348,"",IF(INDEX(Raw_매출!$B$2:$BI$155,MATCH($A28,Raw_매출!$A$2:$A$155,0),MATCH(EDATE($E28,V$1-1),Raw_매출!$B$1:$BI$1,0))=0,"",INDEX(Raw_매출!$B$2:$BI$155,MATCH($A28,Raw_매출!$A$2:$A$155,0),MATCH(EDATE($E28,V$1-1),Raw_매출!$B$1:$BI$1,0))/(INDEX(요약_월별시즈널리티!$F$7:$F$18,MONTH(EDATE($E28,V$1-1)))/100))),"")</f>
        <v/>
      </c>
      <c r="W28" t="str" cm="1">
        <f t="array" ref="W28">IFERROR(IF($E28&lt;44348,"",IF(INDEX(Raw_매출!$B$2:$BI$155,MATCH($A28,Raw_매출!$A$2:$A$155,0),MATCH(EDATE($E28,W$1-1),Raw_매출!$B$1:$BI$1,0))=0,"",INDEX(Raw_매출!$B$2:$BI$155,MATCH($A28,Raw_매출!$A$2:$A$155,0),MATCH(EDATE($E28,W$1-1),Raw_매출!$B$1:$BI$1,0))/(INDEX(요약_월별시즈널리티!$F$7:$F$18,MONTH(EDATE($E28,W$1-1)))/100))),"")</f>
        <v/>
      </c>
      <c r="X28" t="str" cm="1">
        <f t="array" ref="X28">IFERROR(IF($E28&lt;44348,"",IF(INDEX(Raw_매출!$B$2:$BI$155,MATCH($A28,Raw_매출!$A$2:$A$155,0),MATCH(EDATE($E28,X$1-1),Raw_매출!$B$1:$BI$1,0))=0,"",INDEX(Raw_매출!$B$2:$BI$155,MATCH($A28,Raw_매출!$A$2:$A$155,0),MATCH(EDATE($E28,X$1-1),Raw_매출!$B$1:$BI$1,0))/(INDEX(요약_월별시즈널리티!$F$7:$F$18,MONTH(EDATE($E28,X$1-1)))/100))),"")</f>
        <v/>
      </c>
      <c r="Y28" t="str" cm="1">
        <f t="array" ref="Y28">IFERROR(IF($E28&lt;44348,"",IF(INDEX(Raw_매출!$B$2:$BI$155,MATCH($A28,Raw_매출!$A$2:$A$155,0),MATCH(EDATE($E28,Y$1-1),Raw_매출!$B$1:$BI$1,0))=0,"",INDEX(Raw_매출!$B$2:$BI$155,MATCH($A28,Raw_매출!$A$2:$A$155,0),MATCH(EDATE($E28,Y$1-1),Raw_매출!$B$1:$BI$1,0))/(INDEX(요약_월별시즈널리티!$F$7:$F$18,MONTH(EDATE($E28,Y$1-1)))/100))),"")</f>
        <v/>
      </c>
      <c r="Z28" t="str" cm="1">
        <f t="array" ref="Z28">IFERROR(IF($E28&lt;44348,"",IF(INDEX(Raw_매출!$B$2:$BI$155,MATCH($A28,Raw_매출!$A$2:$A$155,0),MATCH(EDATE($E28,Z$1-1),Raw_매출!$B$1:$BI$1,0))=0,"",INDEX(Raw_매출!$B$2:$BI$155,MATCH($A28,Raw_매출!$A$2:$A$155,0),MATCH(EDATE($E28,Z$1-1),Raw_매출!$B$1:$BI$1,0))/(INDEX(요약_월별시즈널리티!$F$7:$F$18,MONTH(EDATE($E28,Z$1-1)))/100))),"")</f>
        <v/>
      </c>
      <c r="AA28" t="str" cm="1">
        <f t="array" ref="AA28">IFERROR(IF($E28&lt;44348,"",IF(INDEX(Raw_매출!$B$2:$BI$155,MATCH($A28,Raw_매출!$A$2:$A$155,0),MATCH(EDATE($E28,AA$1-1),Raw_매출!$B$1:$BI$1,0))=0,"",INDEX(Raw_매출!$B$2:$BI$155,MATCH($A28,Raw_매출!$A$2:$A$155,0),MATCH(EDATE($E28,AA$1-1),Raw_매출!$B$1:$BI$1,0))/(INDEX(요약_월별시즈널리티!$F$7:$F$18,MONTH(EDATE($E28,AA$1-1)))/100))),"")</f>
        <v/>
      </c>
      <c r="AB28" t="str" cm="1">
        <f t="array" ref="AB28">IFERROR(IF($E28&lt;44348,"",IF(INDEX(Raw_매출!$B$2:$BI$155,MATCH($A28,Raw_매출!$A$2:$A$155,0),MATCH(EDATE($E28,AB$1-1),Raw_매출!$B$1:$BI$1,0))=0,"",INDEX(Raw_매출!$B$2:$BI$155,MATCH($A28,Raw_매출!$A$2:$A$155,0),MATCH(EDATE($E28,AB$1-1),Raw_매출!$B$1:$BI$1,0))/(INDEX(요약_월별시즈널리티!$F$7:$F$18,MONTH(EDATE($E28,AB$1-1)))/100))),"")</f>
        <v/>
      </c>
      <c r="AC28" t="str" cm="1">
        <f t="array" ref="AC28">IFERROR(IF($E28&lt;44348,"",IF(INDEX(Raw_매출!$B$2:$BI$155,MATCH($A28,Raw_매출!$A$2:$A$155,0),MATCH(EDATE($E28,AC$1-1),Raw_매출!$B$1:$BI$1,0))=0,"",INDEX(Raw_매출!$B$2:$BI$155,MATCH($A28,Raw_매출!$A$2:$A$155,0),MATCH(EDATE($E28,AC$1-1),Raw_매출!$B$1:$BI$1,0))/(INDEX(요약_월별시즈널리티!$F$7:$F$18,MONTH(EDATE($E28,AC$1-1)))/100))),"")</f>
        <v/>
      </c>
      <c r="AD28" t="str" cm="1">
        <f t="array" ref="AD28">IFERROR(IF($E28&lt;44348,"",IF(INDEX(Raw_매출!$B$2:$BI$155,MATCH($A28,Raw_매출!$A$2:$A$155,0),MATCH(EDATE($E28,AD$1-1),Raw_매출!$B$1:$BI$1,0))=0,"",INDEX(Raw_매출!$B$2:$BI$155,MATCH($A28,Raw_매출!$A$2:$A$155,0),MATCH(EDATE($E28,AD$1-1),Raw_매출!$B$1:$BI$1,0))/(INDEX(요약_월별시즈널리티!$F$7:$F$18,MONTH(EDATE($E28,AD$1-1)))/100))),"")</f>
        <v/>
      </c>
      <c r="AE28" t="str" cm="1">
        <f t="array" ref="AE28">IFERROR(IF($E28&lt;44348,"",IF(INDEX(Raw_매출!$B$2:$BI$155,MATCH($A28,Raw_매출!$A$2:$A$155,0),MATCH(EDATE($E28,AE$1-1),Raw_매출!$B$1:$BI$1,0))=0,"",INDEX(Raw_매출!$B$2:$BI$155,MATCH($A28,Raw_매출!$A$2:$A$155,0),MATCH(EDATE($E28,AE$1-1),Raw_매출!$B$1:$BI$1,0))/(INDEX(요약_월별시즈널리티!$F$7:$F$18,MONTH(EDATE($E28,AE$1-1)))/100))),"")</f>
        <v/>
      </c>
      <c r="AF28" t="str" cm="1">
        <f t="array" ref="AF28">IFERROR(IF($E28&lt;44348,"",IF(INDEX(Raw_매출!$B$2:$BI$155,MATCH($A28,Raw_매출!$A$2:$A$155,0),MATCH(EDATE($E28,AF$1-1),Raw_매출!$B$1:$BI$1,0))=0,"",INDEX(Raw_매출!$B$2:$BI$155,MATCH($A28,Raw_매출!$A$2:$A$155,0),MATCH(EDATE($E28,AF$1-1),Raw_매출!$B$1:$BI$1,0))/(INDEX(요약_월별시즈널리티!$F$7:$F$18,MONTH(EDATE($E28,AF$1-1)))/100))),"")</f>
        <v/>
      </c>
      <c r="AG28" t="str" cm="1">
        <f t="array" ref="AG28">IFERROR(IF($E28&lt;44348,"",IF(INDEX(Raw_매출!$B$2:$BI$155,MATCH($A28,Raw_매출!$A$2:$A$155,0),MATCH(EDATE($E28,AG$1-1),Raw_매출!$B$1:$BI$1,0))=0,"",INDEX(Raw_매출!$B$2:$BI$155,MATCH($A28,Raw_매출!$A$2:$A$155,0),MATCH(EDATE($E28,AG$1-1),Raw_매출!$B$1:$BI$1,0))/(INDEX(요약_월별시즈널리티!$F$7:$F$18,MONTH(EDATE($E28,AG$1-1)))/100))),"")</f>
        <v/>
      </c>
      <c r="AH28" t="str" cm="1">
        <f t="array" ref="AH28">IFERROR(IF($E28&lt;44348,"",IF(INDEX(Raw_매출!$B$2:$BI$155,MATCH($A28,Raw_매출!$A$2:$A$155,0),MATCH(EDATE($E28,AH$1-1),Raw_매출!$B$1:$BI$1,0))=0,"",INDEX(Raw_매출!$B$2:$BI$155,MATCH($A28,Raw_매출!$A$2:$A$155,0),MATCH(EDATE($E28,AH$1-1),Raw_매출!$B$1:$BI$1,0))/(INDEX(요약_월별시즈널리티!$F$7:$F$18,MONTH(EDATE($E28,AH$1-1)))/100))),"")</f>
        <v/>
      </c>
      <c r="AI28" t="str" cm="1">
        <f t="array" ref="AI28">IFERROR(IF($E28&lt;44348,"",IF(INDEX(Raw_매출!$B$2:$BI$155,MATCH($A28,Raw_매출!$A$2:$A$155,0),MATCH(EDATE($E28,AI$1-1),Raw_매출!$B$1:$BI$1,0))=0,"",INDEX(Raw_매출!$B$2:$BI$155,MATCH($A28,Raw_매출!$A$2:$A$155,0),MATCH(EDATE($E28,AI$1-1),Raw_매출!$B$1:$BI$1,0))/(INDEX(요약_월별시즈널리티!$F$7:$F$18,MONTH(EDATE($E28,AI$1-1)))/100))),"")</f>
        <v/>
      </c>
      <c r="AJ28" t="str" cm="1">
        <f t="array" ref="AJ28">IFERROR(IF($E28&lt;44348,"",IF(INDEX(Raw_매출!$B$2:$BI$155,MATCH($A28,Raw_매출!$A$2:$A$155,0),MATCH(EDATE($E28,AJ$1-1),Raw_매출!$B$1:$BI$1,0))=0,"",INDEX(Raw_매출!$B$2:$BI$155,MATCH($A28,Raw_매출!$A$2:$A$155,0),MATCH(EDATE($E28,AJ$1-1),Raw_매출!$B$1:$BI$1,0))/(INDEX(요약_월별시즈널리티!$F$7:$F$18,MONTH(EDATE($E28,AJ$1-1)))/100))),"")</f>
        <v/>
      </c>
      <c r="AK28" t="str" cm="1">
        <f t="array" ref="AK28">IFERROR(IF($E28&lt;44348,"",IF(INDEX(Raw_매출!$B$2:$BI$155,MATCH($A28,Raw_매출!$A$2:$A$155,0),MATCH(EDATE($E28,AK$1-1),Raw_매출!$B$1:$BI$1,0))=0,"",INDEX(Raw_매출!$B$2:$BI$155,MATCH($A28,Raw_매출!$A$2:$A$155,0),MATCH(EDATE($E28,AK$1-1),Raw_매출!$B$1:$BI$1,0))/(INDEX(요약_월별시즈널리티!$F$7:$F$18,MONTH(EDATE($E28,AK$1-1)))/100))),"")</f>
        <v/>
      </c>
      <c r="AL28" t="str" cm="1">
        <f t="array" ref="AL28">IFERROR(IF($E28&lt;44348,"",IF(INDEX(Raw_매출!$B$2:$BI$155,MATCH($A28,Raw_매출!$A$2:$A$155,0),MATCH(EDATE($E28,AL$1-1),Raw_매출!$B$1:$BI$1,0))=0,"",INDEX(Raw_매출!$B$2:$BI$155,MATCH($A28,Raw_매출!$A$2:$A$155,0),MATCH(EDATE($E28,AL$1-1),Raw_매출!$B$1:$BI$1,0))/(INDEX(요약_월별시즈널리티!$F$7:$F$18,MONTH(EDATE($E28,AL$1-1)))/100))),"")</f>
        <v/>
      </c>
      <c r="AM28" t="str" cm="1">
        <f t="array" ref="AM28">IFERROR(IF($E28&lt;44348,"",IF(INDEX(Raw_매출!$B$2:$BI$155,MATCH($A28,Raw_매출!$A$2:$A$155,0),MATCH(EDATE($E28,AM$1-1),Raw_매출!$B$1:$BI$1,0))=0,"",INDEX(Raw_매출!$B$2:$BI$155,MATCH($A28,Raw_매출!$A$2:$A$155,0),MATCH(EDATE($E28,AM$1-1),Raw_매출!$B$1:$BI$1,0))/(INDEX(요약_월별시즈널리티!$F$7:$F$18,MONTH(EDATE($E28,AM$1-1)))/100))),"")</f>
        <v/>
      </c>
      <c r="AN28" t="str" cm="1">
        <f t="array" ref="AN28">IFERROR(IF($E28&lt;44348,"",IF(INDEX(Raw_매출!$B$2:$BI$155,MATCH($A28,Raw_매출!$A$2:$A$155,0),MATCH(EDATE($E28,AN$1-1),Raw_매출!$B$1:$BI$1,0))=0,"",INDEX(Raw_매출!$B$2:$BI$155,MATCH($A28,Raw_매출!$A$2:$A$155,0),MATCH(EDATE($E28,AN$1-1),Raw_매출!$B$1:$BI$1,0))/(INDEX(요약_월별시즈널리티!$F$7:$F$18,MONTH(EDATE($E28,AN$1-1)))/100))),"")</f>
        <v/>
      </c>
      <c r="AO28" t="str" cm="1">
        <f t="array" ref="AO28">IFERROR(IF($E28&lt;44348,"",IF(INDEX(Raw_매출!$B$2:$BI$155,MATCH($A28,Raw_매출!$A$2:$A$155,0),MATCH(EDATE($E28,AO$1-1),Raw_매출!$B$1:$BI$1,0))=0,"",INDEX(Raw_매출!$B$2:$BI$155,MATCH($A28,Raw_매출!$A$2:$A$155,0),MATCH(EDATE($E28,AO$1-1),Raw_매출!$B$1:$BI$1,0))/(INDEX(요약_월별시즈널리티!$F$7:$F$18,MONTH(EDATE($E28,AO$1-1)))/100))),"")</f>
        <v/>
      </c>
      <c r="AP28" t="str" cm="1">
        <f t="array" ref="AP28">IFERROR(IF($E28&lt;44348,"",IF(INDEX(Raw_매출!$B$2:$BI$155,MATCH($A28,Raw_매출!$A$2:$A$155,0),MATCH(EDATE($E28,AP$1-1),Raw_매출!$B$1:$BI$1,0))=0,"",INDEX(Raw_매출!$B$2:$BI$155,MATCH($A28,Raw_매출!$A$2:$A$155,0),MATCH(EDATE($E28,AP$1-1),Raw_매출!$B$1:$BI$1,0))/(INDEX(요약_월별시즈널리티!$F$7:$F$18,MONTH(EDATE($E28,AP$1-1)))/100))),"")</f>
        <v/>
      </c>
      <c r="AQ28" t="str" cm="1">
        <f t="array" ref="AQ28">IFERROR(IF($E28&lt;44348,"",IF(INDEX(Raw_매출!$B$2:$BI$155,MATCH($A28,Raw_매출!$A$2:$A$155,0),MATCH(EDATE($E28,AQ$1-1),Raw_매출!$B$1:$BI$1,0))=0,"",INDEX(Raw_매출!$B$2:$BI$155,MATCH($A28,Raw_매출!$A$2:$A$155,0),MATCH(EDATE($E28,AQ$1-1),Raw_매출!$B$1:$BI$1,0))/(INDEX(요약_월별시즈널리티!$F$7:$F$18,MONTH(EDATE($E28,AQ$1-1)))/100))),"")</f>
        <v/>
      </c>
      <c r="AR28" t="str" cm="1">
        <f t="array" ref="AR28">IFERROR(IF($E28&lt;44348,"",IF(INDEX(Raw_매출!$B$2:$BI$155,MATCH($A28,Raw_매출!$A$2:$A$155,0),MATCH(EDATE($E28,AR$1-1),Raw_매출!$B$1:$BI$1,0))=0,"",INDEX(Raw_매출!$B$2:$BI$155,MATCH($A28,Raw_매출!$A$2:$A$155,0),MATCH(EDATE($E28,AR$1-1),Raw_매출!$B$1:$BI$1,0))/(INDEX(요약_월별시즈널리티!$F$7:$F$18,MONTH(EDATE($E28,AR$1-1)))/100))),"")</f>
        <v/>
      </c>
      <c r="AS28" t="str" cm="1">
        <f t="array" ref="AS28">IFERROR(IF($E28&lt;44348,"",IF(INDEX(Raw_매출!$B$2:$BI$155,MATCH($A28,Raw_매출!$A$2:$A$155,0),MATCH(EDATE($E28,AS$1-1),Raw_매출!$B$1:$BI$1,0))=0,"",INDEX(Raw_매출!$B$2:$BI$155,MATCH($A28,Raw_매출!$A$2:$A$155,0),MATCH(EDATE($E28,AS$1-1),Raw_매출!$B$1:$BI$1,0))/(INDEX(요약_월별시즈널리티!$F$7:$F$18,MONTH(EDATE($E28,AS$1-1)))/100))),"")</f>
        <v/>
      </c>
      <c r="AT28" t="str" cm="1">
        <f t="array" ref="AT28">IFERROR(IF($E28&lt;44348,"",IF(INDEX(Raw_매출!$B$2:$BI$155,MATCH($A28,Raw_매출!$A$2:$A$155,0),MATCH(EDATE($E28,AT$1-1),Raw_매출!$B$1:$BI$1,0))=0,"",INDEX(Raw_매출!$B$2:$BI$155,MATCH($A28,Raw_매출!$A$2:$A$155,0),MATCH(EDATE($E28,AT$1-1),Raw_매출!$B$1:$BI$1,0))/(INDEX(요약_월별시즈널리티!$F$7:$F$18,MONTH(EDATE($E28,AT$1-1)))/100))),"")</f>
        <v/>
      </c>
      <c r="AU28" t="str" cm="1">
        <f t="array" ref="AU28">IFERROR(IF($E28&lt;44348,"",IF(INDEX(Raw_매출!$B$2:$BI$155,MATCH($A28,Raw_매출!$A$2:$A$155,0),MATCH(EDATE($E28,AU$1-1),Raw_매출!$B$1:$BI$1,0))=0,"",INDEX(Raw_매출!$B$2:$BI$155,MATCH($A28,Raw_매출!$A$2:$A$155,0),MATCH(EDATE($E28,AU$1-1),Raw_매출!$B$1:$BI$1,0))/(INDEX(요약_월별시즈널리티!$F$7:$F$18,MONTH(EDATE($E28,AU$1-1)))/100))),"")</f>
        <v/>
      </c>
      <c r="AV28" t="str" cm="1">
        <f t="array" ref="AV28">IFERROR(IF($E28&lt;44348,"",IF(INDEX(Raw_매출!$B$2:$BI$155,MATCH($A28,Raw_매출!$A$2:$A$155,0),MATCH(EDATE($E28,AV$1-1),Raw_매출!$B$1:$BI$1,0))=0,"",INDEX(Raw_매출!$B$2:$BI$155,MATCH($A28,Raw_매출!$A$2:$A$155,0),MATCH(EDATE($E28,AV$1-1),Raw_매출!$B$1:$BI$1,0))/(INDEX(요약_월별시즈널리티!$F$7:$F$18,MONTH(EDATE($E28,AV$1-1)))/100))),"")</f>
        <v/>
      </c>
      <c r="AW28" t="str" cm="1">
        <f t="array" ref="AW28">IFERROR(IF($E28&lt;44348,"",IF(INDEX(Raw_매출!$B$2:$BI$155,MATCH($A28,Raw_매출!$A$2:$A$155,0),MATCH(EDATE($E28,AW$1-1),Raw_매출!$B$1:$BI$1,0))=0,"",INDEX(Raw_매출!$B$2:$BI$155,MATCH($A28,Raw_매출!$A$2:$A$155,0),MATCH(EDATE($E28,AW$1-1),Raw_매출!$B$1:$BI$1,0))/(INDEX(요약_월별시즈널리티!$F$7:$F$18,MONTH(EDATE($E28,AW$1-1)))/100))),"")</f>
        <v/>
      </c>
      <c r="AX28" t="str" cm="1">
        <f t="array" ref="AX28">IFERROR(IF($E28&lt;44348,"",IF(INDEX(Raw_매출!$B$2:$BI$155,MATCH($A28,Raw_매출!$A$2:$A$155,0),MATCH(EDATE($E28,AX$1-1),Raw_매출!$B$1:$BI$1,0))=0,"",INDEX(Raw_매출!$B$2:$BI$155,MATCH($A28,Raw_매출!$A$2:$A$155,0),MATCH(EDATE($E28,AX$1-1),Raw_매출!$B$1:$BI$1,0))/(INDEX(요약_월별시즈널리티!$F$7:$F$18,MONTH(EDATE($E28,AX$1-1)))/100))),"")</f>
        <v/>
      </c>
      <c r="AY28" t="str" cm="1">
        <f t="array" ref="AY28">IFERROR(IF($E28&lt;44348,"",IF(INDEX(Raw_매출!$B$2:$BI$155,MATCH($A28,Raw_매출!$A$2:$A$155,0),MATCH(EDATE($E28,AY$1-1),Raw_매출!$B$1:$BI$1,0))=0,"",INDEX(Raw_매출!$B$2:$BI$155,MATCH($A28,Raw_매출!$A$2:$A$155,0),MATCH(EDATE($E28,AY$1-1),Raw_매출!$B$1:$BI$1,0))/(INDEX(요약_월별시즈널리티!$F$7:$F$18,MONTH(EDATE($E28,AY$1-1)))/100))),"")</f>
        <v/>
      </c>
      <c r="AZ28" t="str" cm="1">
        <f t="array" ref="AZ28">IFERROR(IF($E28&lt;44348,"",IF(INDEX(Raw_매출!$B$2:$BI$155,MATCH($A28,Raw_매출!$A$2:$A$155,0),MATCH(EDATE($E28,AZ$1-1),Raw_매출!$B$1:$BI$1,0))=0,"",INDEX(Raw_매출!$B$2:$BI$155,MATCH($A28,Raw_매출!$A$2:$A$155,0),MATCH(EDATE($E28,AZ$1-1),Raw_매출!$B$1:$BI$1,0))/(INDEX(요약_월별시즈널리티!$F$7:$F$18,MONTH(EDATE($E28,AZ$1-1)))/100))),"")</f>
        <v/>
      </c>
      <c r="BA28" t="str" cm="1">
        <f t="array" ref="BA28">IFERROR(IF($E28&lt;44348,"",IF(INDEX(Raw_매출!$B$2:$BI$155,MATCH($A28,Raw_매출!$A$2:$A$155,0),MATCH(EDATE($E28,BA$1-1),Raw_매출!$B$1:$BI$1,0))=0,"",INDEX(Raw_매출!$B$2:$BI$155,MATCH($A28,Raw_매출!$A$2:$A$155,0),MATCH(EDATE($E28,BA$1-1),Raw_매출!$B$1:$BI$1,0))/(INDEX(요약_월별시즈널리티!$F$7:$F$18,MONTH(EDATE($E28,BA$1-1)))/100))),"")</f>
        <v/>
      </c>
      <c r="BB28" t="str" cm="1">
        <f t="array" ref="BB28">IFERROR(IF($E28&lt;44348,"",IF(INDEX(Raw_매출!$B$2:$BI$155,MATCH($A28,Raw_매출!$A$2:$A$155,0),MATCH(EDATE($E28,BB$1-1),Raw_매출!$B$1:$BI$1,0))=0,"",INDEX(Raw_매출!$B$2:$BI$155,MATCH($A28,Raw_매출!$A$2:$A$155,0),MATCH(EDATE($E28,BB$1-1),Raw_매출!$B$1:$BI$1,0))/(INDEX(요약_월별시즈널리티!$F$7:$F$18,MONTH(EDATE($E28,BB$1-1)))/100))),"")</f>
        <v/>
      </c>
      <c r="BC28" t="str" cm="1">
        <f t="array" ref="BC28">IFERROR(IF($E28&lt;44348,"",IF(INDEX(Raw_매출!$B$2:$BI$155,MATCH($A28,Raw_매출!$A$2:$A$155,0),MATCH(EDATE($E28,BC$1-1),Raw_매출!$B$1:$BI$1,0))=0,"",INDEX(Raw_매출!$B$2:$BI$155,MATCH($A28,Raw_매출!$A$2:$A$155,0),MATCH(EDATE($E28,BC$1-1),Raw_매출!$B$1:$BI$1,0))/(INDEX(요약_월별시즈널리티!$F$7:$F$18,MONTH(EDATE($E28,BC$1-1)))/100))),"")</f>
        <v/>
      </c>
      <c r="BD28" t="str" cm="1">
        <f t="array" ref="BD28">IFERROR(IF($E28&lt;44348,"",IF(INDEX(Raw_매출!$B$2:$BI$155,MATCH($A28,Raw_매출!$A$2:$A$155,0),MATCH(EDATE($E28,BD$1-1),Raw_매출!$B$1:$BI$1,0))=0,"",INDEX(Raw_매출!$B$2:$BI$155,MATCH($A28,Raw_매출!$A$2:$A$155,0),MATCH(EDATE($E28,BD$1-1),Raw_매출!$B$1:$BI$1,0))/(INDEX(요약_월별시즈널리티!$F$7:$F$18,MONTH(EDATE($E28,BD$1-1)))/100))),"")</f>
        <v/>
      </c>
      <c r="BE28" t="str" cm="1">
        <f t="array" ref="BE28">IFERROR(IF($E28&lt;44348,"",IF(INDEX(Raw_매출!$B$2:$BI$155,MATCH($A28,Raw_매출!$A$2:$A$155,0),MATCH(EDATE($E28,BE$1-1),Raw_매출!$B$1:$BI$1,0))=0,"",INDEX(Raw_매출!$B$2:$BI$155,MATCH($A28,Raw_매출!$A$2:$A$155,0),MATCH(EDATE($E28,BE$1-1),Raw_매출!$B$1:$BI$1,0))/(INDEX(요약_월별시즈널리티!$F$7:$F$18,MONTH(EDATE($E28,BE$1-1)))/100))),"")</f>
        <v/>
      </c>
      <c r="BF28" t="str" cm="1">
        <f t="array" ref="BF28">IFERROR(IF($E28&lt;44348,"",IF(INDEX(Raw_매출!$B$2:$BI$155,MATCH($A28,Raw_매출!$A$2:$A$155,0),MATCH(EDATE($E28,BF$1-1),Raw_매출!$B$1:$BI$1,0))=0,"",INDEX(Raw_매출!$B$2:$BI$155,MATCH($A28,Raw_매출!$A$2:$A$155,0),MATCH(EDATE($E28,BF$1-1),Raw_매출!$B$1:$BI$1,0))/(INDEX(요약_월별시즈널리티!$F$7:$F$18,MONTH(EDATE($E28,BF$1-1)))/100))),"")</f>
        <v/>
      </c>
      <c r="BG28" t="str" cm="1">
        <f t="array" ref="BG28">IFERROR(IF($E28&lt;44348,"",IF(INDEX(Raw_매출!$B$2:$BI$155,MATCH($A28,Raw_매출!$A$2:$A$155,0),MATCH(EDATE($E28,BG$1-1),Raw_매출!$B$1:$BI$1,0))=0,"",INDEX(Raw_매출!$B$2:$BI$155,MATCH($A28,Raw_매출!$A$2:$A$155,0),MATCH(EDATE($E28,BG$1-1),Raw_매출!$B$1:$BI$1,0))/(INDEX(요약_월별시즈널리티!$F$7:$F$18,MONTH(EDATE($E28,BG$1-1)))/100))),"")</f>
        <v/>
      </c>
      <c r="BH28" t="str" cm="1">
        <f t="array" ref="BH28">IFERROR(IF($E28&lt;44348,"",IF(INDEX(Raw_매출!$B$2:$BI$155,MATCH($A28,Raw_매출!$A$2:$A$155,0),MATCH(EDATE($E28,BH$1-1),Raw_매출!$B$1:$BI$1,0))=0,"",INDEX(Raw_매출!$B$2:$BI$155,MATCH($A28,Raw_매출!$A$2:$A$155,0),MATCH(EDATE($E28,BH$1-1),Raw_매출!$B$1:$BI$1,0))/(INDEX(요약_월별시즈널리티!$F$7:$F$18,MONTH(EDATE($E28,BH$1-1)))/100))),"")</f>
        <v/>
      </c>
      <c r="BI28" t="str" cm="1">
        <f t="array" ref="BI28">IFERROR(IF($E28&lt;44348,"",IF(INDEX(Raw_매출!$B$2:$BI$155,MATCH($A28,Raw_매출!$A$2:$A$155,0),MATCH(EDATE($E28,BI$1-1),Raw_매출!$B$1:$BI$1,0))=0,"",INDEX(Raw_매출!$B$2:$BI$155,MATCH($A28,Raw_매출!$A$2:$A$155,0),MATCH(EDATE($E28,BI$1-1),Raw_매출!$B$1:$BI$1,0))/(INDEX(요약_월별시즈널리티!$F$7:$F$18,MONTH(EDATE($E28,BI$1-1)))/100))),"")</f>
        <v/>
      </c>
      <c r="BJ28" t="str" cm="1">
        <f t="array" ref="BJ28">IFERROR(IF($E28&lt;44348,"",IF(INDEX(Raw_매출!$B$2:$BI$155,MATCH($A28,Raw_매출!$A$2:$A$155,0),MATCH(EDATE($E28,BJ$1-1),Raw_매출!$B$1:$BI$1,0))=0,"",INDEX(Raw_매출!$B$2:$BI$155,MATCH($A28,Raw_매출!$A$2:$A$155,0),MATCH(EDATE($E28,BJ$1-1),Raw_매출!$B$1:$BI$1,0))/(INDEX(요약_월별시즈널리티!$F$7:$F$18,MONTH(EDATE($E28,BJ$1-1)))/100))),"")</f>
        <v/>
      </c>
      <c r="BK28" t="str" cm="1">
        <f t="array" ref="BK28">IFERROR(IF($E28&lt;44348,"",IF(INDEX(Raw_매출!$B$2:$BI$155,MATCH($A28,Raw_매출!$A$2:$A$155,0),MATCH(EDATE($E28,BK$1-1),Raw_매출!$B$1:$BI$1,0))=0,"",INDEX(Raw_매출!$B$2:$BI$155,MATCH($A28,Raw_매출!$A$2:$A$155,0),MATCH(EDATE($E28,BK$1-1),Raw_매출!$B$1:$BI$1,0))/(INDEX(요약_월별시즈널리티!$F$7:$F$18,MONTH(EDATE($E28,BK$1-1)))/100))),"")</f>
        <v/>
      </c>
      <c r="BL28" t="str" cm="1">
        <f t="array" ref="BL28">IFERROR(IF($E28&lt;44348,"",IF(INDEX(Raw_매출!$B$2:$BI$155,MATCH($A28,Raw_매출!$A$2:$A$155,0),MATCH(EDATE($E28,BL$1-1),Raw_매출!$B$1:$BI$1,0))=0,"",INDEX(Raw_매출!$B$2:$BI$155,MATCH($A28,Raw_매출!$A$2:$A$155,0),MATCH(EDATE($E28,BL$1-1),Raw_매출!$B$1:$BI$1,0))/(INDEX(요약_월별시즈널리티!$F$7:$F$18,MONTH(EDATE($E28,BL$1-1)))/100))),"")</f>
        <v/>
      </c>
      <c r="BM28" t="str" cm="1">
        <f t="array" ref="BM28">IFERROR(IF($E28&lt;44348,"",IF(INDEX(Raw_매출!$B$2:$BI$155,MATCH($A28,Raw_매출!$A$2:$A$155,0),MATCH(EDATE($E28,BM$1-1),Raw_매출!$B$1:$BI$1,0))=0,"",INDEX(Raw_매출!$B$2:$BI$155,MATCH($A28,Raw_매출!$A$2:$A$155,0),MATCH(EDATE($E28,BM$1-1),Raw_매출!$B$1:$BI$1,0))/(INDEX(요약_월별시즈널리티!$F$7:$F$18,MONTH(EDATE($E28,BM$1-1)))/100))),"")</f>
        <v/>
      </c>
      <c r="BN28" t="str" cm="1">
        <f t="array" ref="BN28">IFERROR(IF($E28&lt;44348,"",IF(INDEX(Raw_매출!$B$2:$BI$155,MATCH($A28,Raw_매출!$A$2:$A$155,0),MATCH(EDATE($E28,BN$1-1),Raw_매출!$B$1:$BI$1,0))=0,"",INDEX(Raw_매출!$B$2:$BI$155,MATCH($A28,Raw_매출!$A$2:$A$155,0),MATCH(EDATE($E28,BN$1-1),Raw_매출!$B$1:$BI$1,0))/(INDEX(요약_월별시즈널리티!$F$7:$F$18,MONTH(EDATE($E28,BN$1-1)))/100))),"")</f>
        <v/>
      </c>
    </row>
    <row r="29" spans="1:66" x14ac:dyDescent="0.4">
      <c r="A29" t="str">
        <f>세팅!A30</f>
        <v>(1015) #사당점</v>
      </c>
      <c r="B29" t="str">
        <f>세팅!B30</f>
        <v>150-1</v>
      </c>
      <c r="C29">
        <f t="shared" si="0"/>
        <v>1</v>
      </c>
      <c r="D29" t="str">
        <f t="shared" si="1"/>
        <v>1</v>
      </c>
      <c r="E29" s="1">
        <f>세팅!D30</f>
        <v>44166</v>
      </c>
      <c r="F29" t="str">
        <f t="shared" si="2"/>
        <v/>
      </c>
      <c r="G29" t="str" cm="1">
        <f t="array" ref="G29">IFERROR(IF($E29&lt;44348,"",IF(INDEX(Raw_매출!$B$2:$BI$155,MATCH($A29,Raw_매출!$A$2:$A$155,0),MATCH(EDATE($E29,G$1-1),Raw_매출!$B$1:$BI$1,0))=0,"",INDEX(Raw_매출!$B$2:$BI$155,MATCH($A29,Raw_매출!$A$2:$A$155,0),MATCH(EDATE($E29,G$1-1),Raw_매출!$B$1:$BI$1,0))/(INDEX(요약_월별시즈널리티!$F$7:$F$18,MONTH(EDATE($E29,G$1-1)))/100))),"")</f>
        <v/>
      </c>
      <c r="H29" t="str" cm="1">
        <f t="array" ref="H29">IFERROR(IF($E29&lt;44348,"",IF(INDEX(Raw_매출!$B$2:$BI$155,MATCH($A29,Raw_매출!$A$2:$A$155,0),MATCH(EDATE($E29,H$1-1),Raw_매출!$B$1:$BI$1,0))=0,"",INDEX(Raw_매출!$B$2:$BI$155,MATCH($A29,Raw_매출!$A$2:$A$155,0),MATCH(EDATE($E29,H$1-1),Raw_매출!$B$1:$BI$1,0))/(INDEX(요약_월별시즈널리티!$F$7:$F$18,MONTH(EDATE($E29,H$1-1)))/100))),"")</f>
        <v/>
      </c>
      <c r="I29" t="str" cm="1">
        <f t="array" ref="I29">IFERROR(IF($E29&lt;44348,"",IF(INDEX(Raw_매출!$B$2:$BI$155,MATCH($A29,Raw_매출!$A$2:$A$155,0),MATCH(EDATE($E29,I$1-1),Raw_매출!$B$1:$BI$1,0))=0,"",INDEX(Raw_매출!$B$2:$BI$155,MATCH($A29,Raw_매출!$A$2:$A$155,0),MATCH(EDATE($E29,I$1-1),Raw_매출!$B$1:$BI$1,0))/(INDEX(요약_월별시즈널리티!$F$7:$F$18,MONTH(EDATE($E29,I$1-1)))/100))),"")</f>
        <v/>
      </c>
      <c r="J29" s="30" t="str" cm="1">
        <f t="array" ref="J29">IFERROR(IF($E29&lt;44348,"",IF(INDEX(Raw_매출!$B$2:$BI$155,MATCH($A29,Raw_매출!$A$2:$A$155,0),MATCH(EDATE($E29,J$1-1),Raw_매출!$B$1:$BI$1,0))=0,"",INDEX(Raw_매출!$B$2:$BI$155,MATCH($A29,Raw_매출!$A$2:$A$155,0),MATCH(EDATE($E29,J$1-1),Raw_매출!$B$1:$BI$1,0))/(INDEX(요약_월별시즈널리티!$F$7:$F$18,MONTH(EDATE($E29,J$1-1)))/100))),"")</f>
        <v/>
      </c>
      <c r="K29" s="30" t="str" cm="1">
        <f t="array" ref="K29">IFERROR(IF($E29&lt;44348,"",IF(INDEX(Raw_매출!$B$2:$BI$155,MATCH($A29,Raw_매출!$A$2:$A$155,0),MATCH(EDATE($E29,K$1-1),Raw_매출!$B$1:$BI$1,0))=0,"",INDEX(Raw_매출!$B$2:$BI$155,MATCH($A29,Raw_매출!$A$2:$A$155,0),MATCH(EDATE($E29,K$1-1),Raw_매출!$B$1:$BI$1,0))/(INDEX(요약_월별시즈널리티!$F$7:$F$18,MONTH(EDATE($E29,K$1-1)))/100))),"")</f>
        <v/>
      </c>
      <c r="L29" s="30" t="str" cm="1">
        <f t="array" ref="L29">IFERROR(IF($E29&lt;44348,"",IF(INDEX(Raw_매출!$B$2:$BI$155,MATCH($A29,Raw_매출!$A$2:$A$155,0),MATCH(EDATE($E29,L$1-1),Raw_매출!$B$1:$BI$1,0))=0,"",INDEX(Raw_매출!$B$2:$BI$155,MATCH($A29,Raw_매출!$A$2:$A$155,0),MATCH(EDATE($E29,L$1-1),Raw_매출!$B$1:$BI$1,0))/(INDEX(요약_월별시즈널리티!$F$7:$F$18,MONTH(EDATE($E29,L$1-1)))/100))),"")</f>
        <v/>
      </c>
      <c r="M29" s="30" t="str" cm="1">
        <f t="array" ref="M29">IFERROR(IF($E29&lt;44348,"",IF(INDEX(Raw_매출!$B$2:$BI$155,MATCH($A29,Raw_매출!$A$2:$A$155,0),MATCH(EDATE($E29,M$1-1),Raw_매출!$B$1:$BI$1,0))=0,"",INDEX(Raw_매출!$B$2:$BI$155,MATCH($A29,Raw_매출!$A$2:$A$155,0),MATCH(EDATE($E29,M$1-1),Raw_매출!$B$1:$BI$1,0))/(INDEX(요약_월별시즈널리티!$F$7:$F$18,MONTH(EDATE($E29,M$1-1)))/100))),"")</f>
        <v/>
      </c>
      <c r="N29" s="30" t="str" cm="1">
        <f t="array" ref="N29">IFERROR(IF($E29&lt;44348,"",IF(INDEX(Raw_매출!$B$2:$BI$155,MATCH($A29,Raw_매출!$A$2:$A$155,0),MATCH(EDATE($E29,N$1-1),Raw_매출!$B$1:$BI$1,0))=0,"",INDEX(Raw_매출!$B$2:$BI$155,MATCH($A29,Raw_매출!$A$2:$A$155,0),MATCH(EDATE($E29,N$1-1),Raw_매출!$B$1:$BI$1,0))/(INDEX(요약_월별시즈널리티!$F$7:$F$18,MONTH(EDATE($E29,N$1-1)))/100))),"")</f>
        <v/>
      </c>
      <c r="O29" s="30" t="str" cm="1">
        <f t="array" ref="O29">IFERROR(IF($E29&lt;44348,"",IF(INDEX(Raw_매출!$B$2:$BI$155,MATCH($A29,Raw_매출!$A$2:$A$155,0),MATCH(EDATE($E29,O$1-1),Raw_매출!$B$1:$BI$1,0))=0,"",INDEX(Raw_매출!$B$2:$BI$155,MATCH($A29,Raw_매출!$A$2:$A$155,0),MATCH(EDATE($E29,O$1-1),Raw_매출!$B$1:$BI$1,0))/(INDEX(요약_월별시즈널리티!$F$7:$F$18,MONTH(EDATE($E29,O$1-1)))/100))),"")</f>
        <v/>
      </c>
      <c r="P29" t="str" cm="1">
        <f t="array" ref="P29">IFERROR(IF($E29&lt;44348,"",IF(INDEX(Raw_매출!$B$2:$BI$155,MATCH($A29,Raw_매출!$A$2:$A$155,0),MATCH(EDATE($E29,P$1-1),Raw_매출!$B$1:$BI$1,0))=0,"",INDEX(Raw_매출!$B$2:$BI$155,MATCH($A29,Raw_매출!$A$2:$A$155,0),MATCH(EDATE($E29,P$1-1),Raw_매출!$B$1:$BI$1,0))/(INDEX(요약_월별시즈널리티!$F$7:$F$18,MONTH(EDATE($E29,P$1-1)))/100))),"")</f>
        <v/>
      </c>
      <c r="Q29" t="str" cm="1">
        <f t="array" ref="Q29">IFERROR(IF($E29&lt;44348,"",IF(INDEX(Raw_매출!$B$2:$BI$155,MATCH($A29,Raw_매출!$A$2:$A$155,0),MATCH(EDATE($E29,Q$1-1),Raw_매출!$B$1:$BI$1,0))=0,"",INDEX(Raw_매출!$B$2:$BI$155,MATCH($A29,Raw_매출!$A$2:$A$155,0),MATCH(EDATE($E29,Q$1-1),Raw_매출!$B$1:$BI$1,0))/(INDEX(요약_월별시즈널리티!$F$7:$F$18,MONTH(EDATE($E29,Q$1-1)))/100))),"")</f>
        <v/>
      </c>
      <c r="R29" t="str" cm="1">
        <f t="array" ref="R29">IFERROR(IF($E29&lt;44348,"",IF(INDEX(Raw_매출!$B$2:$BI$155,MATCH($A29,Raw_매출!$A$2:$A$155,0),MATCH(EDATE($E29,R$1-1),Raw_매출!$B$1:$BI$1,0))=0,"",INDEX(Raw_매출!$B$2:$BI$155,MATCH($A29,Raw_매출!$A$2:$A$155,0),MATCH(EDATE($E29,R$1-1),Raw_매출!$B$1:$BI$1,0))/(INDEX(요약_월별시즈널리티!$F$7:$F$18,MONTH(EDATE($E29,R$1-1)))/100))),"")</f>
        <v/>
      </c>
      <c r="S29" t="str" cm="1">
        <f t="array" ref="S29">IFERROR(IF($E29&lt;44348,"",IF(INDEX(Raw_매출!$B$2:$BI$155,MATCH($A29,Raw_매출!$A$2:$A$155,0),MATCH(EDATE($E29,S$1-1),Raw_매출!$B$1:$BI$1,0))=0,"",INDEX(Raw_매출!$B$2:$BI$155,MATCH($A29,Raw_매출!$A$2:$A$155,0),MATCH(EDATE($E29,S$1-1),Raw_매출!$B$1:$BI$1,0))/(INDEX(요약_월별시즈널리티!$F$7:$F$18,MONTH(EDATE($E29,S$1-1)))/100))),"")</f>
        <v/>
      </c>
      <c r="T29" t="str" cm="1">
        <f t="array" ref="T29">IFERROR(IF($E29&lt;44348,"",IF(INDEX(Raw_매출!$B$2:$BI$155,MATCH($A29,Raw_매출!$A$2:$A$155,0),MATCH(EDATE($E29,T$1-1),Raw_매출!$B$1:$BI$1,0))=0,"",INDEX(Raw_매출!$B$2:$BI$155,MATCH($A29,Raw_매출!$A$2:$A$155,0),MATCH(EDATE($E29,T$1-1),Raw_매출!$B$1:$BI$1,0))/(INDEX(요약_월별시즈널리티!$F$7:$F$18,MONTH(EDATE($E29,T$1-1)))/100))),"")</f>
        <v/>
      </c>
      <c r="U29" t="str" cm="1">
        <f t="array" ref="U29">IFERROR(IF($E29&lt;44348,"",IF(INDEX(Raw_매출!$B$2:$BI$155,MATCH($A29,Raw_매출!$A$2:$A$155,0),MATCH(EDATE($E29,U$1-1),Raw_매출!$B$1:$BI$1,0))=0,"",INDEX(Raw_매출!$B$2:$BI$155,MATCH($A29,Raw_매출!$A$2:$A$155,0),MATCH(EDATE($E29,U$1-1),Raw_매출!$B$1:$BI$1,0))/(INDEX(요약_월별시즈널리티!$F$7:$F$18,MONTH(EDATE($E29,U$1-1)))/100))),"")</f>
        <v/>
      </c>
      <c r="V29" t="str" cm="1">
        <f t="array" ref="V29">IFERROR(IF($E29&lt;44348,"",IF(INDEX(Raw_매출!$B$2:$BI$155,MATCH($A29,Raw_매출!$A$2:$A$155,0),MATCH(EDATE($E29,V$1-1),Raw_매출!$B$1:$BI$1,0))=0,"",INDEX(Raw_매출!$B$2:$BI$155,MATCH($A29,Raw_매출!$A$2:$A$155,0),MATCH(EDATE($E29,V$1-1),Raw_매출!$B$1:$BI$1,0))/(INDEX(요약_월별시즈널리티!$F$7:$F$18,MONTH(EDATE($E29,V$1-1)))/100))),"")</f>
        <v/>
      </c>
      <c r="W29" t="str" cm="1">
        <f t="array" ref="W29">IFERROR(IF($E29&lt;44348,"",IF(INDEX(Raw_매출!$B$2:$BI$155,MATCH($A29,Raw_매출!$A$2:$A$155,0),MATCH(EDATE($E29,W$1-1),Raw_매출!$B$1:$BI$1,0))=0,"",INDEX(Raw_매출!$B$2:$BI$155,MATCH($A29,Raw_매출!$A$2:$A$155,0),MATCH(EDATE($E29,W$1-1),Raw_매출!$B$1:$BI$1,0))/(INDEX(요약_월별시즈널리티!$F$7:$F$18,MONTH(EDATE($E29,W$1-1)))/100))),"")</f>
        <v/>
      </c>
      <c r="X29" t="str" cm="1">
        <f t="array" ref="X29">IFERROR(IF($E29&lt;44348,"",IF(INDEX(Raw_매출!$B$2:$BI$155,MATCH($A29,Raw_매출!$A$2:$A$155,0),MATCH(EDATE($E29,X$1-1),Raw_매출!$B$1:$BI$1,0))=0,"",INDEX(Raw_매출!$B$2:$BI$155,MATCH($A29,Raw_매출!$A$2:$A$155,0),MATCH(EDATE($E29,X$1-1),Raw_매출!$B$1:$BI$1,0))/(INDEX(요약_월별시즈널리티!$F$7:$F$18,MONTH(EDATE($E29,X$1-1)))/100))),"")</f>
        <v/>
      </c>
      <c r="Y29" t="str" cm="1">
        <f t="array" ref="Y29">IFERROR(IF($E29&lt;44348,"",IF(INDEX(Raw_매출!$B$2:$BI$155,MATCH($A29,Raw_매출!$A$2:$A$155,0),MATCH(EDATE($E29,Y$1-1),Raw_매출!$B$1:$BI$1,0))=0,"",INDEX(Raw_매출!$B$2:$BI$155,MATCH($A29,Raw_매출!$A$2:$A$155,0),MATCH(EDATE($E29,Y$1-1),Raw_매출!$B$1:$BI$1,0))/(INDEX(요약_월별시즈널리티!$F$7:$F$18,MONTH(EDATE($E29,Y$1-1)))/100))),"")</f>
        <v/>
      </c>
      <c r="Z29" t="str" cm="1">
        <f t="array" ref="Z29">IFERROR(IF($E29&lt;44348,"",IF(INDEX(Raw_매출!$B$2:$BI$155,MATCH($A29,Raw_매출!$A$2:$A$155,0),MATCH(EDATE($E29,Z$1-1),Raw_매출!$B$1:$BI$1,0))=0,"",INDEX(Raw_매출!$B$2:$BI$155,MATCH($A29,Raw_매출!$A$2:$A$155,0),MATCH(EDATE($E29,Z$1-1),Raw_매출!$B$1:$BI$1,0))/(INDEX(요약_월별시즈널리티!$F$7:$F$18,MONTH(EDATE($E29,Z$1-1)))/100))),"")</f>
        <v/>
      </c>
      <c r="AA29" t="str" cm="1">
        <f t="array" ref="AA29">IFERROR(IF($E29&lt;44348,"",IF(INDEX(Raw_매출!$B$2:$BI$155,MATCH($A29,Raw_매출!$A$2:$A$155,0),MATCH(EDATE($E29,AA$1-1),Raw_매출!$B$1:$BI$1,0))=0,"",INDEX(Raw_매출!$B$2:$BI$155,MATCH($A29,Raw_매출!$A$2:$A$155,0),MATCH(EDATE($E29,AA$1-1),Raw_매출!$B$1:$BI$1,0))/(INDEX(요약_월별시즈널리티!$F$7:$F$18,MONTH(EDATE($E29,AA$1-1)))/100))),"")</f>
        <v/>
      </c>
      <c r="AB29" t="str" cm="1">
        <f t="array" ref="AB29">IFERROR(IF($E29&lt;44348,"",IF(INDEX(Raw_매출!$B$2:$BI$155,MATCH($A29,Raw_매출!$A$2:$A$155,0),MATCH(EDATE($E29,AB$1-1),Raw_매출!$B$1:$BI$1,0))=0,"",INDEX(Raw_매출!$B$2:$BI$155,MATCH($A29,Raw_매출!$A$2:$A$155,0),MATCH(EDATE($E29,AB$1-1),Raw_매출!$B$1:$BI$1,0))/(INDEX(요약_월별시즈널리티!$F$7:$F$18,MONTH(EDATE($E29,AB$1-1)))/100))),"")</f>
        <v/>
      </c>
      <c r="AC29" t="str" cm="1">
        <f t="array" ref="AC29">IFERROR(IF($E29&lt;44348,"",IF(INDEX(Raw_매출!$B$2:$BI$155,MATCH($A29,Raw_매출!$A$2:$A$155,0),MATCH(EDATE($E29,AC$1-1),Raw_매출!$B$1:$BI$1,0))=0,"",INDEX(Raw_매출!$B$2:$BI$155,MATCH($A29,Raw_매출!$A$2:$A$155,0),MATCH(EDATE($E29,AC$1-1),Raw_매출!$B$1:$BI$1,0))/(INDEX(요약_월별시즈널리티!$F$7:$F$18,MONTH(EDATE($E29,AC$1-1)))/100))),"")</f>
        <v/>
      </c>
      <c r="AD29" t="str" cm="1">
        <f t="array" ref="AD29">IFERROR(IF($E29&lt;44348,"",IF(INDEX(Raw_매출!$B$2:$BI$155,MATCH($A29,Raw_매출!$A$2:$A$155,0),MATCH(EDATE($E29,AD$1-1),Raw_매출!$B$1:$BI$1,0))=0,"",INDEX(Raw_매출!$B$2:$BI$155,MATCH($A29,Raw_매출!$A$2:$A$155,0),MATCH(EDATE($E29,AD$1-1),Raw_매출!$B$1:$BI$1,0))/(INDEX(요약_월별시즈널리티!$F$7:$F$18,MONTH(EDATE($E29,AD$1-1)))/100))),"")</f>
        <v/>
      </c>
      <c r="AE29" t="str" cm="1">
        <f t="array" ref="AE29">IFERROR(IF($E29&lt;44348,"",IF(INDEX(Raw_매출!$B$2:$BI$155,MATCH($A29,Raw_매출!$A$2:$A$155,0),MATCH(EDATE($E29,AE$1-1),Raw_매출!$B$1:$BI$1,0))=0,"",INDEX(Raw_매출!$B$2:$BI$155,MATCH($A29,Raw_매출!$A$2:$A$155,0),MATCH(EDATE($E29,AE$1-1),Raw_매출!$B$1:$BI$1,0))/(INDEX(요약_월별시즈널리티!$F$7:$F$18,MONTH(EDATE($E29,AE$1-1)))/100))),"")</f>
        <v/>
      </c>
      <c r="AF29" t="str" cm="1">
        <f t="array" ref="AF29">IFERROR(IF($E29&lt;44348,"",IF(INDEX(Raw_매출!$B$2:$BI$155,MATCH($A29,Raw_매출!$A$2:$A$155,0),MATCH(EDATE($E29,AF$1-1),Raw_매출!$B$1:$BI$1,0))=0,"",INDEX(Raw_매출!$B$2:$BI$155,MATCH($A29,Raw_매출!$A$2:$A$155,0),MATCH(EDATE($E29,AF$1-1),Raw_매출!$B$1:$BI$1,0))/(INDEX(요약_월별시즈널리티!$F$7:$F$18,MONTH(EDATE($E29,AF$1-1)))/100))),"")</f>
        <v/>
      </c>
      <c r="AG29" t="str" cm="1">
        <f t="array" ref="AG29">IFERROR(IF($E29&lt;44348,"",IF(INDEX(Raw_매출!$B$2:$BI$155,MATCH($A29,Raw_매출!$A$2:$A$155,0),MATCH(EDATE($E29,AG$1-1),Raw_매출!$B$1:$BI$1,0))=0,"",INDEX(Raw_매출!$B$2:$BI$155,MATCH($A29,Raw_매출!$A$2:$A$155,0),MATCH(EDATE($E29,AG$1-1),Raw_매출!$B$1:$BI$1,0))/(INDEX(요약_월별시즈널리티!$F$7:$F$18,MONTH(EDATE($E29,AG$1-1)))/100))),"")</f>
        <v/>
      </c>
      <c r="AH29" t="str" cm="1">
        <f t="array" ref="AH29">IFERROR(IF($E29&lt;44348,"",IF(INDEX(Raw_매출!$B$2:$BI$155,MATCH($A29,Raw_매출!$A$2:$A$155,0),MATCH(EDATE($E29,AH$1-1),Raw_매출!$B$1:$BI$1,0))=0,"",INDEX(Raw_매출!$B$2:$BI$155,MATCH($A29,Raw_매출!$A$2:$A$155,0),MATCH(EDATE($E29,AH$1-1),Raw_매출!$B$1:$BI$1,0))/(INDEX(요약_월별시즈널리티!$F$7:$F$18,MONTH(EDATE($E29,AH$1-1)))/100))),"")</f>
        <v/>
      </c>
      <c r="AI29" t="str" cm="1">
        <f t="array" ref="AI29">IFERROR(IF($E29&lt;44348,"",IF(INDEX(Raw_매출!$B$2:$BI$155,MATCH($A29,Raw_매출!$A$2:$A$155,0),MATCH(EDATE($E29,AI$1-1),Raw_매출!$B$1:$BI$1,0))=0,"",INDEX(Raw_매출!$B$2:$BI$155,MATCH($A29,Raw_매출!$A$2:$A$155,0),MATCH(EDATE($E29,AI$1-1),Raw_매출!$B$1:$BI$1,0))/(INDEX(요약_월별시즈널리티!$F$7:$F$18,MONTH(EDATE($E29,AI$1-1)))/100))),"")</f>
        <v/>
      </c>
      <c r="AJ29" t="str" cm="1">
        <f t="array" ref="AJ29">IFERROR(IF($E29&lt;44348,"",IF(INDEX(Raw_매출!$B$2:$BI$155,MATCH($A29,Raw_매출!$A$2:$A$155,0),MATCH(EDATE($E29,AJ$1-1),Raw_매출!$B$1:$BI$1,0))=0,"",INDEX(Raw_매출!$B$2:$BI$155,MATCH($A29,Raw_매출!$A$2:$A$155,0),MATCH(EDATE($E29,AJ$1-1),Raw_매출!$B$1:$BI$1,0))/(INDEX(요약_월별시즈널리티!$F$7:$F$18,MONTH(EDATE($E29,AJ$1-1)))/100))),"")</f>
        <v/>
      </c>
      <c r="AK29" t="str" cm="1">
        <f t="array" ref="AK29">IFERROR(IF($E29&lt;44348,"",IF(INDEX(Raw_매출!$B$2:$BI$155,MATCH($A29,Raw_매출!$A$2:$A$155,0),MATCH(EDATE($E29,AK$1-1),Raw_매출!$B$1:$BI$1,0))=0,"",INDEX(Raw_매출!$B$2:$BI$155,MATCH($A29,Raw_매출!$A$2:$A$155,0),MATCH(EDATE($E29,AK$1-1),Raw_매출!$B$1:$BI$1,0))/(INDEX(요약_월별시즈널리티!$F$7:$F$18,MONTH(EDATE($E29,AK$1-1)))/100))),"")</f>
        <v/>
      </c>
      <c r="AL29" t="str" cm="1">
        <f t="array" ref="AL29">IFERROR(IF($E29&lt;44348,"",IF(INDEX(Raw_매출!$B$2:$BI$155,MATCH($A29,Raw_매출!$A$2:$A$155,0),MATCH(EDATE($E29,AL$1-1),Raw_매출!$B$1:$BI$1,0))=0,"",INDEX(Raw_매출!$B$2:$BI$155,MATCH($A29,Raw_매출!$A$2:$A$155,0),MATCH(EDATE($E29,AL$1-1),Raw_매출!$B$1:$BI$1,0))/(INDEX(요약_월별시즈널리티!$F$7:$F$18,MONTH(EDATE($E29,AL$1-1)))/100))),"")</f>
        <v/>
      </c>
      <c r="AM29" t="str" cm="1">
        <f t="array" ref="AM29">IFERROR(IF($E29&lt;44348,"",IF(INDEX(Raw_매출!$B$2:$BI$155,MATCH($A29,Raw_매출!$A$2:$A$155,0),MATCH(EDATE($E29,AM$1-1),Raw_매출!$B$1:$BI$1,0))=0,"",INDEX(Raw_매출!$B$2:$BI$155,MATCH($A29,Raw_매출!$A$2:$A$155,0),MATCH(EDATE($E29,AM$1-1),Raw_매출!$B$1:$BI$1,0))/(INDEX(요약_월별시즈널리티!$F$7:$F$18,MONTH(EDATE($E29,AM$1-1)))/100))),"")</f>
        <v/>
      </c>
      <c r="AN29" t="str" cm="1">
        <f t="array" ref="AN29">IFERROR(IF($E29&lt;44348,"",IF(INDEX(Raw_매출!$B$2:$BI$155,MATCH($A29,Raw_매출!$A$2:$A$155,0),MATCH(EDATE($E29,AN$1-1),Raw_매출!$B$1:$BI$1,0))=0,"",INDEX(Raw_매출!$B$2:$BI$155,MATCH($A29,Raw_매출!$A$2:$A$155,0),MATCH(EDATE($E29,AN$1-1),Raw_매출!$B$1:$BI$1,0))/(INDEX(요약_월별시즈널리티!$F$7:$F$18,MONTH(EDATE($E29,AN$1-1)))/100))),"")</f>
        <v/>
      </c>
      <c r="AO29" t="str" cm="1">
        <f t="array" ref="AO29">IFERROR(IF($E29&lt;44348,"",IF(INDEX(Raw_매출!$B$2:$BI$155,MATCH($A29,Raw_매출!$A$2:$A$155,0),MATCH(EDATE($E29,AO$1-1),Raw_매출!$B$1:$BI$1,0))=0,"",INDEX(Raw_매출!$B$2:$BI$155,MATCH($A29,Raw_매출!$A$2:$A$155,0),MATCH(EDATE($E29,AO$1-1),Raw_매출!$B$1:$BI$1,0))/(INDEX(요약_월별시즈널리티!$F$7:$F$18,MONTH(EDATE($E29,AO$1-1)))/100))),"")</f>
        <v/>
      </c>
      <c r="AP29" t="str" cm="1">
        <f t="array" ref="AP29">IFERROR(IF($E29&lt;44348,"",IF(INDEX(Raw_매출!$B$2:$BI$155,MATCH($A29,Raw_매출!$A$2:$A$155,0),MATCH(EDATE($E29,AP$1-1),Raw_매출!$B$1:$BI$1,0))=0,"",INDEX(Raw_매출!$B$2:$BI$155,MATCH($A29,Raw_매출!$A$2:$A$155,0),MATCH(EDATE($E29,AP$1-1),Raw_매출!$B$1:$BI$1,0))/(INDEX(요약_월별시즈널리티!$F$7:$F$18,MONTH(EDATE($E29,AP$1-1)))/100))),"")</f>
        <v/>
      </c>
      <c r="AQ29" t="str" cm="1">
        <f t="array" ref="AQ29">IFERROR(IF($E29&lt;44348,"",IF(INDEX(Raw_매출!$B$2:$BI$155,MATCH($A29,Raw_매출!$A$2:$A$155,0),MATCH(EDATE($E29,AQ$1-1),Raw_매출!$B$1:$BI$1,0))=0,"",INDEX(Raw_매출!$B$2:$BI$155,MATCH($A29,Raw_매출!$A$2:$A$155,0),MATCH(EDATE($E29,AQ$1-1),Raw_매출!$B$1:$BI$1,0))/(INDEX(요약_월별시즈널리티!$F$7:$F$18,MONTH(EDATE($E29,AQ$1-1)))/100))),"")</f>
        <v/>
      </c>
      <c r="AR29" t="str" cm="1">
        <f t="array" ref="AR29">IFERROR(IF($E29&lt;44348,"",IF(INDEX(Raw_매출!$B$2:$BI$155,MATCH($A29,Raw_매출!$A$2:$A$155,0),MATCH(EDATE($E29,AR$1-1),Raw_매출!$B$1:$BI$1,0))=0,"",INDEX(Raw_매출!$B$2:$BI$155,MATCH($A29,Raw_매출!$A$2:$A$155,0),MATCH(EDATE($E29,AR$1-1),Raw_매출!$B$1:$BI$1,0))/(INDEX(요약_월별시즈널리티!$F$7:$F$18,MONTH(EDATE($E29,AR$1-1)))/100))),"")</f>
        <v/>
      </c>
      <c r="AS29" t="str" cm="1">
        <f t="array" ref="AS29">IFERROR(IF($E29&lt;44348,"",IF(INDEX(Raw_매출!$B$2:$BI$155,MATCH($A29,Raw_매출!$A$2:$A$155,0),MATCH(EDATE($E29,AS$1-1),Raw_매출!$B$1:$BI$1,0))=0,"",INDEX(Raw_매출!$B$2:$BI$155,MATCH($A29,Raw_매출!$A$2:$A$155,0),MATCH(EDATE($E29,AS$1-1),Raw_매출!$B$1:$BI$1,0))/(INDEX(요약_월별시즈널리티!$F$7:$F$18,MONTH(EDATE($E29,AS$1-1)))/100))),"")</f>
        <v/>
      </c>
      <c r="AT29" t="str" cm="1">
        <f t="array" ref="AT29">IFERROR(IF($E29&lt;44348,"",IF(INDEX(Raw_매출!$B$2:$BI$155,MATCH($A29,Raw_매출!$A$2:$A$155,0),MATCH(EDATE($E29,AT$1-1),Raw_매출!$B$1:$BI$1,0))=0,"",INDEX(Raw_매출!$B$2:$BI$155,MATCH($A29,Raw_매출!$A$2:$A$155,0),MATCH(EDATE($E29,AT$1-1),Raw_매출!$B$1:$BI$1,0))/(INDEX(요약_월별시즈널리티!$F$7:$F$18,MONTH(EDATE($E29,AT$1-1)))/100))),"")</f>
        <v/>
      </c>
      <c r="AU29" t="str" cm="1">
        <f t="array" ref="AU29">IFERROR(IF($E29&lt;44348,"",IF(INDEX(Raw_매출!$B$2:$BI$155,MATCH($A29,Raw_매출!$A$2:$A$155,0),MATCH(EDATE($E29,AU$1-1),Raw_매출!$B$1:$BI$1,0))=0,"",INDEX(Raw_매출!$B$2:$BI$155,MATCH($A29,Raw_매출!$A$2:$A$155,0),MATCH(EDATE($E29,AU$1-1),Raw_매출!$B$1:$BI$1,0))/(INDEX(요약_월별시즈널리티!$F$7:$F$18,MONTH(EDATE($E29,AU$1-1)))/100))),"")</f>
        <v/>
      </c>
      <c r="AV29" t="str" cm="1">
        <f t="array" ref="AV29">IFERROR(IF($E29&lt;44348,"",IF(INDEX(Raw_매출!$B$2:$BI$155,MATCH($A29,Raw_매출!$A$2:$A$155,0),MATCH(EDATE($E29,AV$1-1),Raw_매출!$B$1:$BI$1,0))=0,"",INDEX(Raw_매출!$B$2:$BI$155,MATCH($A29,Raw_매출!$A$2:$A$155,0),MATCH(EDATE($E29,AV$1-1),Raw_매출!$B$1:$BI$1,0))/(INDEX(요약_월별시즈널리티!$F$7:$F$18,MONTH(EDATE($E29,AV$1-1)))/100))),"")</f>
        <v/>
      </c>
      <c r="AW29" t="str" cm="1">
        <f t="array" ref="AW29">IFERROR(IF($E29&lt;44348,"",IF(INDEX(Raw_매출!$B$2:$BI$155,MATCH($A29,Raw_매출!$A$2:$A$155,0),MATCH(EDATE($E29,AW$1-1),Raw_매출!$B$1:$BI$1,0))=0,"",INDEX(Raw_매출!$B$2:$BI$155,MATCH($A29,Raw_매출!$A$2:$A$155,0),MATCH(EDATE($E29,AW$1-1),Raw_매출!$B$1:$BI$1,0))/(INDEX(요약_월별시즈널리티!$F$7:$F$18,MONTH(EDATE($E29,AW$1-1)))/100))),"")</f>
        <v/>
      </c>
      <c r="AX29" t="str" cm="1">
        <f t="array" ref="AX29">IFERROR(IF($E29&lt;44348,"",IF(INDEX(Raw_매출!$B$2:$BI$155,MATCH($A29,Raw_매출!$A$2:$A$155,0),MATCH(EDATE($E29,AX$1-1),Raw_매출!$B$1:$BI$1,0))=0,"",INDEX(Raw_매출!$B$2:$BI$155,MATCH($A29,Raw_매출!$A$2:$A$155,0),MATCH(EDATE($E29,AX$1-1),Raw_매출!$B$1:$BI$1,0))/(INDEX(요약_월별시즈널리티!$F$7:$F$18,MONTH(EDATE($E29,AX$1-1)))/100))),"")</f>
        <v/>
      </c>
      <c r="AY29" t="str" cm="1">
        <f t="array" ref="AY29">IFERROR(IF($E29&lt;44348,"",IF(INDEX(Raw_매출!$B$2:$BI$155,MATCH($A29,Raw_매출!$A$2:$A$155,0),MATCH(EDATE($E29,AY$1-1),Raw_매출!$B$1:$BI$1,0))=0,"",INDEX(Raw_매출!$B$2:$BI$155,MATCH($A29,Raw_매출!$A$2:$A$155,0),MATCH(EDATE($E29,AY$1-1),Raw_매출!$B$1:$BI$1,0))/(INDEX(요약_월별시즈널리티!$F$7:$F$18,MONTH(EDATE($E29,AY$1-1)))/100))),"")</f>
        <v/>
      </c>
      <c r="AZ29" t="str" cm="1">
        <f t="array" ref="AZ29">IFERROR(IF($E29&lt;44348,"",IF(INDEX(Raw_매출!$B$2:$BI$155,MATCH($A29,Raw_매출!$A$2:$A$155,0),MATCH(EDATE($E29,AZ$1-1),Raw_매출!$B$1:$BI$1,0))=0,"",INDEX(Raw_매출!$B$2:$BI$155,MATCH($A29,Raw_매출!$A$2:$A$155,0),MATCH(EDATE($E29,AZ$1-1),Raw_매출!$B$1:$BI$1,0))/(INDEX(요약_월별시즈널리티!$F$7:$F$18,MONTH(EDATE($E29,AZ$1-1)))/100))),"")</f>
        <v/>
      </c>
      <c r="BA29" t="str" cm="1">
        <f t="array" ref="BA29">IFERROR(IF($E29&lt;44348,"",IF(INDEX(Raw_매출!$B$2:$BI$155,MATCH($A29,Raw_매출!$A$2:$A$155,0),MATCH(EDATE($E29,BA$1-1),Raw_매출!$B$1:$BI$1,0))=0,"",INDEX(Raw_매출!$B$2:$BI$155,MATCH($A29,Raw_매출!$A$2:$A$155,0),MATCH(EDATE($E29,BA$1-1),Raw_매출!$B$1:$BI$1,0))/(INDEX(요약_월별시즈널리티!$F$7:$F$18,MONTH(EDATE($E29,BA$1-1)))/100))),"")</f>
        <v/>
      </c>
      <c r="BB29" t="str" cm="1">
        <f t="array" ref="BB29">IFERROR(IF($E29&lt;44348,"",IF(INDEX(Raw_매출!$B$2:$BI$155,MATCH($A29,Raw_매출!$A$2:$A$155,0),MATCH(EDATE($E29,BB$1-1),Raw_매출!$B$1:$BI$1,0))=0,"",INDEX(Raw_매출!$B$2:$BI$155,MATCH($A29,Raw_매출!$A$2:$A$155,0),MATCH(EDATE($E29,BB$1-1),Raw_매출!$B$1:$BI$1,0))/(INDEX(요약_월별시즈널리티!$F$7:$F$18,MONTH(EDATE($E29,BB$1-1)))/100))),"")</f>
        <v/>
      </c>
      <c r="BC29" t="str" cm="1">
        <f t="array" ref="BC29">IFERROR(IF($E29&lt;44348,"",IF(INDEX(Raw_매출!$B$2:$BI$155,MATCH($A29,Raw_매출!$A$2:$A$155,0),MATCH(EDATE($E29,BC$1-1),Raw_매출!$B$1:$BI$1,0))=0,"",INDEX(Raw_매출!$B$2:$BI$155,MATCH($A29,Raw_매출!$A$2:$A$155,0),MATCH(EDATE($E29,BC$1-1),Raw_매출!$B$1:$BI$1,0))/(INDEX(요약_월별시즈널리티!$F$7:$F$18,MONTH(EDATE($E29,BC$1-1)))/100))),"")</f>
        <v/>
      </c>
      <c r="BD29" t="str" cm="1">
        <f t="array" ref="BD29">IFERROR(IF($E29&lt;44348,"",IF(INDEX(Raw_매출!$B$2:$BI$155,MATCH($A29,Raw_매출!$A$2:$A$155,0),MATCH(EDATE($E29,BD$1-1),Raw_매출!$B$1:$BI$1,0))=0,"",INDEX(Raw_매출!$B$2:$BI$155,MATCH($A29,Raw_매출!$A$2:$A$155,0),MATCH(EDATE($E29,BD$1-1),Raw_매출!$B$1:$BI$1,0))/(INDEX(요약_월별시즈널리티!$F$7:$F$18,MONTH(EDATE($E29,BD$1-1)))/100))),"")</f>
        <v/>
      </c>
      <c r="BE29" t="str" cm="1">
        <f t="array" ref="BE29">IFERROR(IF($E29&lt;44348,"",IF(INDEX(Raw_매출!$B$2:$BI$155,MATCH($A29,Raw_매출!$A$2:$A$155,0),MATCH(EDATE($E29,BE$1-1),Raw_매출!$B$1:$BI$1,0))=0,"",INDEX(Raw_매출!$B$2:$BI$155,MATCH($A29,Raw_매출!$A$2:$A$155,0),MATCH(EDATE($E29,BE$1-1),Raw_매출!$B$1:$BI$1,0))/(INDEX(요약_월별시즈널리티!$F$7:$F$18,MONTH(EDATE($E29,BE$1-1)))/100))),"")</f>
        <v/>
      </c>
      <c r="BF29" t="str" cm="1">
        <f t="array" ref="BF29">IFERROR(IF($E29&lt;44348,"",IF(INDEX(Raw_매출!$B$2:$BI$155,MATCH($A29,Raw_매출!$A$2:$A$155,0),MATCH(EDATE($E29,BF$1-1),Raw_매출!$B$1:$BI$1,0))=0,"",INDEX(Raw_매출!$B$2:$BI$155,MATCH($A29,Raw_매출!$A$2:$A$155,0),MATCH(EDATE($E29,BF$1-1),Raw_매출!$B$1:$BI$1,0))/(INDEX(요약_월별시즈널리티!$F$7:$F$18,MONTH(EDATE($E29,BF$1-1)))/100))),"")</f>
        <v/>
      </c>
      <c r="BG29" t="str" cm="1">
        <f t="array" ref="BG29">IFERROR(IF($E29&lt;44348,"",IF(INDEX(Raw_매출!$B$2:$BI$155,MATCH($A29,Raw_매출!$A$2:$A$155,0),MATCH(EDATE($E29,BG$1-1),Raw_매출!$B$1:$BI$1,0))=0,"",INDEX(Raw_매출!$B$2:$BI$155,MATCH($A29,Raw_매출!$A$2:$A$155,0),MATCH(EDATE($E29,BG$1-1),Raw_매출!$B$1:$BI$1,0))/(INDEX(요약_월별시즈널리티!$F$7:$F$18,MONTH(EDATE($E29,BG$1-1)))/100))),"")</f>
        <v/>
      </c>
      <c r="BH29" t="str" cm="1">
        <f t="array" ref="BH29">IFERROR(IF($E29&lt;44348,"",IF(INDEX(Raw_매출!$B$2:$BI$155,MATCH($A29,Raw_매출!$A$2:$A$155,0),MATCH(EDATE($E29,BH$1-1),Raw_매출!$B$1:$BI$1,0))=0,"",INDEX(Raw_매출!$B$2:$BI$155,MATCH($A29,Raw_매출!$A$2:$A$155,0),MATCH(EDATE($E29,BH$1-1),Raw_매출!$B$1:$BI$1,0))/(INDEX(요약_월별시즈널리티!$F$7:$F$18,MONTH(EDATE($E29,BH$1-1)))/100))),"")</f>
        <v/>
      </c>
      <c r="BI29" t="str" cm="1">
        <f t="array" ref="BI29">IFERROR(IF($E29&lt;44348,"",IF(INDEX(Raw_매출!$B$2:$BI$155,MATCH($A29,Raw_매출!$A$2:$A$155,0),MATCH(EDATE($E29,BI$1-1),Raw_매출!$B$1:$BI$1,0))=0,"",INDEX(Raw_매출!$B$2:$BI$155,MATCH($A29,Raw_매출!$A$2:$A$155,0),MATCH(EDATE($E29,BI$1-1),Raw_매출!$B$1:$BI$1,0))/(INDEX(요약_월별시즈널리티!$F$7:$F$18,MONTH(EDATE($E29,BI$1-1)))/100))),"")</f>
        <v/>
      </c>
      <c r="BJ29" t="str" cm="1">
        <f t="array" ref="BJ29">IFERROR(IF($E29&lt;44348,"",IF(INDEX(Raw_매출!$B$2:$BI$155,MATCH($A29,Raw_매출!$A$2:$A$155,0),MATCH(EDATE($E29,BJ$1-1),Raw_매출!$B$1:$BI$1,0))=0,"",INDEX(Raw_매출!$B$2:$BI$155,MATCH($A29,Raw_매출!$A$2:$A$155,0),MATCH(EDATE($E29,BJ$1-1),Raw_매출!$B$1:$BI$1,0))/(INDEX(요약_월별시즈널리티!$F$7:$F$18,MONTH(EDATE($E29,BJ$1-1)))/100))),"")</f>
        <v/>
      </c>
      <c r="BK29" t="str" cm="1">
        <f t="array" ref="BK29">IFERROR(IF($E29&lt;44348,"",IF(INDEX(Raw_매출!$B$2:$BI$155,MATCH($A29,Raw_매출!$A$2:$A$155,0),MATCH(EDATE($E29,BK$1-1),Raw_매출!$B$1:$BI$1,0))=0,"",INDEX(Raw_매출!$B$2:$BI$155,MATCH($A29,Raw_매출!$A$2:$A$155,0),MATCH(EDATE($E29,BK$1-1),Raw_매출!$B$1:$BI$1,0))/(INDEX(요약_월별시즈널리티!$F$7:$F$18,MONTH(EDATE($E29,BK$1-1)))/100))),"")</f>
        <v/>
      </c>
      <c r="BL29" t="str" cm="1">
        <f t="array" ref="BL29">IFERROR(IF($E29&lt;44348,"",IF(INDEX(Raw_매출!$B$2:$BI$155,MATCH($A29,Raw_매출!$A$2:$A$155,0),MATCH(EDATE($E29,BL$1-1),Raw_매출!$B$1:$BI$1,0))=0,"",INDEX(Raw_매출!$B$2:$BI$155,MATCH($A29,Raw_매출!$A$2:$A$155,0),MATCH(EDATE($E29,BL$1-1),Raw_매출!$B$1:$BI$1,0))/(INDEX(요약_월별시즈널리티!$F$7:$F$18,MONTH(EDATE($E29,BL$1-1)))/100))),"")</f>
        <v/>
      </c>
      <c r="BM29" t="str" cm="1">
        <f t="array" ref="BM29">IFERROR(IF($E29&lt;44348,"",IF(INDEX(Raw_매출!$B$2:$BI$155,MATCH($A29,Raw_매출!$A$2:$A$155,0),MATCH(EDATE($E29,BM$1-1),Raw_매출!$B$1:$BI$1,0))=0,"",INDEX(Raw_매출!$B$2:$BI$155,MATCH($A29,Raw_매출!$A$2:$A$155,0),MATCH(EDATE($E29,BM$1-1),Raw_매출!$B$1:$BI$1,0))/(INDEX(요약_월별시즈널리티!$F$7:$F$18,MONTH(EDATE($E29,BM$1-1)))/100))),"")</f>
        <v/>
      </c>
      <c r="BN29" t="str" cm="1">
        <f t="array" ref="BN29">IFERROR(IF($E29&lt;44348,"",IF(INDEX(Raw_매출!$B$2:$BI$155,MATCH($A29,Raw_매출!$A$2:$A$155,0),MATCH(EDATE($E29,BN$1-1),Raw_매출!$B$1:$BI$1,0))=0,"",INDEX(Raw_매출!$B$2:$BI$155,MATCH($A29,Raw_매출!$A$2:$A$155,0),MATCH(EDATE($E29,BN$1-1),Raw_매출!$B$1:$BI$1,0))/(INDEX(요약_월별시즈널리티!$F$7:$F$18,MONTH(EDATE($E29,BN$1-1)))/100))),"")</f>
        <v/>
      </c>
    </row>
    <row r="30" spans="1:66" x14ac:dyDescent="0.4">
      <c r="A30" t="str">
        <f>세팅!A31</f>
        <v>(1016) #가산점</v>
      </c>
      <c r="B30" t="str">
        <f>세팅!B31</f>
        <v>150-2</v>
      </c>
      <c r="C30">
        <f t="shared" si="0"/>
        <v>2</v>
      </c>
      <c r="D30" t="str">
        <f t="shared" si="1"/>
        <v>2</v>
      </c>
      <c r="E30" s="1">
        <f>세팅!D31</f>
        <v>44197</v>
      </c>
      <c r="F30" t="str">
        <f t="shared" si="2"/>
        <v/>
      </c>
      <c r="G30" t="str" cm="1">
        <f t="array" ref="G30">IFERROR(IF($E30&lt;44348,"",IF(INDEX(Raw_매출!$B$2:$BI$155,MATCH($A30,Raw_매출!$A$2:$A$155,0),MATCH(EDATE($E30,G$1-1),Raw_매출!$B$1:$BI$1,0))=0,"",INDEX(Raw_매출!$B$2:$BI$155,MATCH($A30,Raw_매출!$A$2:$A$155,0),MATCH(EDATE($E30,G$1-1),Raw_매출!$B$1:$BI$1,0))/(INDEX(요약_월별시즈널리티!$F$7:$F$18,MONTH(EDATE($E30,G$1-1)))/100))),"")</f>
        <v/>
      </c>
      <c r="H30" t="str" cm="1">
        <f t="array" ref="H30">IFERROR(IF($E30&lt;44348,"",IF(INDEX(Raw_매출!$B$2:$BI$155,MATCH($A30,Raw_매출!$A$2:$A$155,0),MATCH(EDATE($E30,H$1-1),Raw_매출!$B$1:$BI$1,0))=0,"",INDEX(Raw_매출!$B$2:$BI$155,MATCH($A30,Raw_매출!$A$2:$A$155,0),MATCH(EDATE($E30,H$1-1),Raw_매출!$B$1:$BI$1,0))/(INDEX(요약_월별시즈널리티!$F$7:$F$18,MONTH(EDATE($E30,H$1-1)))/100))),"")</f>
        <v/>
      </c>
      <c r="I30" t="str" cm="1">
        <f t="array" ref="I30">IFERROR(IF($E30&lt;44348,"",IF(INDEX(Raw_매출!$B$2:$BI$155,MATCH($A30,Raw_매출!$A$2:$A$155,0),MATCH(EDATE($E30,I$1-1),Raw_매출!$B$1:$BI$1,0))=0,"",INDEX(Raw_매출!$B$2:$BI$155,MATCH($A30,Raw_매출!$A$2:$A$155,0),MATCH(EDATE($E30,I$1-1),Raw_매출!$B$1:$BI$1,0))/(INDEX(요약_월별시즈널리티!$F$7:$F$18,MONTH(EDATE($E30,I$1-1)))/100))),"")</f>
        <v/>
      </c>
      <c r="J30" s="30" t="str" cm="1">
        <f t="array" ref="J30">IFERROR(IF($E30&lt;44348,"",IF(INDEX(Raw_매출!$B$2:$BI$155,MATCH($A30,Raw_매출!$A$2:$A$155,0),MATCH(EDATE($E30,J$1-1),Raw_매출!$B$1:$BI$1,0))=0,"",INDEX(Raw_매출!$B$2:$BI$155,MATCH($A30,Raw_매출!$A$2:$A$155,0),MATCH(EDATE($E30,J$1-1),Raw_매출!$B$1:$BI$1,0))/(INDEX(요약_월별시즈널리티!$F$7:$F$18,MONTH(EDATE($E30,J$1-1)))/100))),"")</f>
        <v/>
      </c>
      <c r="K30" s="30" t="str" cm="1">
        <f t="array" ref="K30">IFERROR(IF($E30&lt;44348,"",IF(INDEX(Raw_매출!$B$2:$BI$155,MATCH($A30,Raw_매출!$A$2:$A$155,0),MATCH(EDATE($E30,K$1-1),Raw_매출!$B$1:$BI$1,0))=0,"",INDEX(Raw_매출!$B$2:$BI$155,MATCH($A30,Raw_매출!$A$2:$A$155,0),MATCH(EDATE($E30,K$1-1),Raw_매출!$B$1:$BI$1,0))/(INDEX(요약_월별시즈널리티!$F$7:$F$18,MONTH(EDATE($E30,K$1-1)))/100))),"")</f>
        <v/>
      </c>
      <c r="L30" s="30" t="str" cm="1">
        <f t="array" ref="L30">IFERROR(IF($E30&lt;44348,"",IF(INDEX(Raw_매출!$B$2:$BI$155,MATCH($A30,Raw_매출!$A$2:$A$155,0),MATCH(EDATE($E30,L$1-1),Raw_매출!$B$1:$BI$1,0))=0,"",INDEX(Raw_매출!$B$2:$BI$155,MATCH($A30,Raw_매출!$A$2:$A$155,0),MATCH(EDATE($E30,L$1-1),Raw_매출!$B$1:$BI$1,0))/(INDEX(요약_월별시즈널리티!$F$7:$F$18,MONTH(EDATE($E30,L$1-1)))/100))),"")</f>
        <v/>
      </c>
      <c r="M30" s="30" t="str" cm="1">
        <f t="array" ref="M30">IFERROR(IF($E30&lt;44348,"",IF(INDEX(Raw_매출!$B$2:$BI$155,MATCH($A30,Raw_매출!$A$2:$A$155,0),MATCH(EDATE($E30,M$1-1),Raw_매출!$B$1:$BI$1,0))=0,"",INDEX(Raw_매출!$B$2:$BI$155,MATCH($A30,Raw_매출!$A$2:$A$155,0),MATCH(EDATE($E30,M$1-1),Raw_매출!$B$1:$BI$1,0))/(INDEX(요약_월별시즈널리티!$F$7:$F$18,MONTH(EDATE($E30,M$1-1)))/100))),"")</f>
        <v/>
      </c>
      <c r="N30" s="30" t="str" cm="1">
        <f t="array" ref="N30">IFERROR(IF($E30&lt;44348,"",IF(INDEX(Raw_매출!$B$2:$BI$155,MATCH($A30,Raw_매출!$A$2:$A$155,0),MATCH(EDATE($E30,N$1-1),Raw_매출!$B$1:$BI$1,0))=0,"",INDEX(Raw_매출!$B$2:$BI$155,MATCH($A30,Raw_매출!$A$2:$A$155,0),MATCH(EDATE($E30,N$1-1),Raw_매출!$B$1:$BI$1,0))/(INDEX(요약_월별시즈널리티!$F$7:$F$18,MONTH(EDATE($E30,N$1-1)))/100))),"")</f>
        <v/>
      </c>
      <c r="O30" s="30" t="str" cm="1">
        <f t="array" ref="O30">IFERROR(IF($E30&lt;44348,"",IF(INDEX(Raw_매출!$B$2:$BI$155,MATCH($A30,Raw_매출!$A$2:$A$155,0),MATCH(EDATE($E30,O$1-1),Raw_매출!$B$1:$BI$1,0))=0,"",INDEX(Raw_매출!$B$2:$BI$155,MATCH($A30,Raw_매출!$A$2:$A$155,0),MATCH(EDATE($E30,O$1-1),Raw_매출!$B$1:$BI$1,0))/(INDEX(요약_월별시즈널리티!$F$7:$F$18,MONTH(EDATE($E30,O$1-1)))/100))),"")</f>
        <v/>
      </c>
      <c r="P30" t="str" cm="1">
        <f t="array" ref="P30">IFERROR(IF($E30&lt;44348,"",IF(INDEX(Raw_매출!$B$2:$BI$155,MATCH($A30,Raw_매출!$A$2:$A$155,0),MATCH(EDATE($E30,P$1-1),Raw_매출!$B$1:$BI$1,0))=0,"",INDEX(Raw_매출!$B$2:$BI$155,MATCH($A30,Raw_매출!$A$2:$A$155,0),MATCH(EDATE($E30,P$1-1),Raw_매출!$B$1:$BI$1,0))/(INDEX(요약_월별시즈널리티!$F$7:$F$18,MONTH(EDATE($E30,P$1-1)))/100))),"")</f>
        <v/>
      </c>
      <c r="Q30" t="str" cm="1">
        <f t="array" ref="Q30">IFERROR(IF($E30&lt;44348,"",IF(INDEX(Raw_매출!$B$2:$BI$155,MATCH($A30,Raw_매출!$A$2:$A$155,0),MATCH(EDATE($E30,Q$1-1),Raw_매출!$B$1:$BI$1,0))=0,"",INDEX(Raw_매출!$B$2:$BI$155,MATCH($A30,Raw_매출!$A$2:$A$155,0),MATCH(EDATE($E30,Q$1-1),Raw_매출!$B$1:$BI$1,0))/(INDEX(요약_월별시즈널리티!$F$7:$F$18,MONTH(EDATE($E30,Q$1-1)))/100))),"")</f>
        <v/>
      </c>
      <c r="R30" t="str" cm="1">
        <f t="array" ref="R30">IFERROR(IF($E30&lt;44348,"",IF(INDEX(Raw_매출!$B$2:$BI$155,MATCH($A30,Raw_매출!$A$2:$A$155,0),MATCH(EDATE($E30,R$1-1),Raw_매출!$B$1:$BI$1,0))=0,"",INDEX(Raw_매출!$B$2:$BI$155,MATCH($A30,Raw_매출!$A$2:$A$155,0),MATCH(EDATE($E30,R$1-1),Raw_매출!$B$1:$BI$1,0))/(INDEX(요약_월별시즈널리티!$F$7:$F$18,MONTH(EDATE($E30,R$1-1)))/100))),"")</f>
        <v/>
      </c>
      <c r="S30" t="str" cm="1">
        <f t="array" ref="S30">IFERROR(IF($E30&lt;44348,"",IF(INDEX(Raw_매출!$B$2:$BI$155,MATCH($A30,Raw_매출!$A$2:$A$155,0),MATCH(EDATE($E30,S$1-1),Raw_매출!$B$1:$BI$1,0))=0,"",INDEX(Raw_매출!$B$2:$BI$155,MATCH($A30,Raw_매출!$A$2:$A$155,0),MATCH(EDATE($E30,S$1-1),Raw_매출!$B$1:$BI$1,0))/(INDEX(요약_월별시즈널리티!$F$7:$F$18,MONTH(EDATE($E30,S$1-1)))/100))),"")</f>
        <v/>
      </c>
      <c r="T30" t="str" cm="1">
        <f t="array" ref="T30">IFERROR(IF($E30&lt;44348,"",IF(INDEX(Raw_매출!$B$2:$BI$155,MATCH($A30,Raw_매출!$A$2:$A$155,0),MATCH(EDATE($E30,T$1-1),Raw_매출!$B$1:$BI$1,0))=0,"",INDEX(Raw_매출!$B$2:$BI$155,MATCH($A30,Raw_매출!$A$2:$A$155,0),MATCH(EDATE($E30,T$1-1),Raw_매출!$B$1:$BI$1,0))/(INDEX(요약_월별시즈널리티!$F$7:$F$18,MONTH(EDATE($E30,T$1-1)))/100))),"")</f>
        <v/>
      </c>
      <c r="U30" t="str" cm="1">
        <f t="array" ref="U30">IFERROR(IF($E30&lt;44348,"",IF(INDEX(Raw_매출!$B$2:$BI$155,MATCH($A30,Raw_매출!$A$2:$A$155,0),MATCH(EDATE($E30,U$1-1),Raw_매출!$B$1:$BI$1,0))=0,"",INDEX(Raw_매출!$B$2:$BI$155,MATCH($A30,Raw_매출!$A$2:$A$155,0),MATCH(EDATE($E30,U$1-1),Raw_매출!$B$1:$BI$1,0))/(INDEX(요약_월별시즈널리티!$F$7:$F$18,MONTH(EDATE($E30,U$1-1)))/100))),"")</f>
        <v/>
      </c>
      <c r="V30" t="str" cm="1">
        <f t="array" ref="V30">IFERROR(IF($E30&lt;44348,"",IF(INDEX(Raw_매출!$B$2:$BI$155,MATCH($A30,Raw_매출!$A$2:$A$155,0),MATCH(EDATE($E30,V$1-1),Raw_매출!$B$1:$BI$1,0))=0,"",INDEX(Raw_매출!$B$2:$BI$155,MATCH($A30,Raw_매출!$A$2:$A$155,0),MATCH(EDATE($E30,V$1-1),Raw_매출!$B$1:$BI$1,0))/(INDEX(요약_월별시즈널리티!$F$7:$F$18,MONTH(EDATE($E30,V$1-1)))/100))),"")</f>
        <v/>
      </c>
      <c r="W30" t="str" cm="1">
        <f t="array" ref="W30">IFERROR(IF($E30&lt;44348,"",IF(INDEX(Raw_매출!$B$2:$BI$155,MATCH($A30,Raw_매출!$A$2:$A$155,0),MATCH(EDATE($E30,W$1-1),Raw_매출!$B$1:$BI$1,0))=0,"",INDEX(Raw_매출!$B$2:$BI$155,MATCH($A30,Raw_매출!$A$2:$A$155,0),MATCH(EDATE($E30,W$1-1),Raw_매출!$B$1:$BI$1,0))/(INDEX(요약_월별시즈널리티!$F$7:$F$18,MONTH(EDATE($E30,W$1-1)))/100))),"")</f>
        <v/>
      </c>
      <c r="X30" t="str" cm="1">
        <f t="array" ref="X30">IFERROR(IF($E30&lt;44348,"",IF(INDEX(Raw_매출!$B$2:$BI$155,MATCH($A30,Raw_매출!$A$2:$A$155,0),MATCH(EDATE($E30,X$1-1),Raw_매출!$B$1:$BI$1,0))=0,"",INDEX(Raw_매출!$B$2:$BI$155,MATCH($A30,Raw_매출!$A$2:$A$155,0),MATCH(EDATE($E30,X$1-1),Raw_매출!$B$1:$BI$1,0))/(INDEX(요약_월별시즈널리티!$F$7:$F$18,MONTH(EDATE($E30,X$1-1)))/100))),"")</f>
        <v/>
      </c>
      <c r="Y30" t="str" cm="1">
        <f t="array" ref="Y30">IFERROR(IF($E30&lt;44348,"",IF(INDEX(Raw_매출!$B$2:$BI$155,MATCH($A30,Raw_매출!$A$2:$A$155,0),MATCH(EDATE($E30,Y$1-1),Raw_매출!$B$1:$BI$1,0))=0,"",INDEX(Raw_매출!$B$2:$BI$155,MATCH($A30,Raw_매출!$A$2:$A$155,0),MATCH(EDATE($E30,Y$1-1),Raw_매출!$B$1:$BI$1,0))/(INDEX(요약_월별시즈널리티!$F$7:$F$18,MONTH(EDATE($E30,Y$1-1)))/100))),"")</f>
        <v/>
      </c>
      <c r="Z30" t="str" cm="1">
        <f t="array" ref="Z30">IFERROR(IF($E30&lt;44348,"",IF(INDEX(Raw_매출!$B$2:$BI$155,MATCH($A30,Raw_매출!$A$2:$A$155,0),MATCH(EDATE($E30,Z$1-1),Raw_매출!$B$1:$BI$1,0))=0,"",INDEX(Raw_매출!$B$2:$BI$155,MATCH($A30,Raw_매출!$A$2:$A$155,0),MATCH(EDATE($E30,Z$1-1),Raw_매출!$B$1:$BI$1,0))/(INDEX(요약_월별시즈널리티!$F$7:$F$18,MONTH(EDATE($E30,Z$1-1)))/100))),"")</f>
        <v/>
      </c>
      <c r="AA30" t="str" cm="1">
        <f t="array" ref="AA30">IFERROR(IF($E30&lt;44348,"",IF(INDEX(Raw_매출!$B$2:$BI$155,MATCH($A30,Raw_매출!$A$2:$A$155,0),MATCH(EDATE($E30,AA$1-1),Raw_매출!$B$1:$BI$1,0))=0,"",INDEX(Raw_매출!$B$2:$BI$155,MATCH($A30,Raw_매출!$A$2:$A$155,0),MATCH(EDATE($E30,AA$1-1),Raw_매출!$B$1:$BI$1,0))/(INDEX(요약_월별시즈널리티!$F$7:$F$18,MONTH(EDATE($E30,AA$1-1)))/100))),"")</f>
        <v/>
      </c>
      <c r="AB30" t="str" cm="1">
        <f t="array" ref="AB30">IFERROR(IF($E30&lt;44348,"",IF(INDEX(Raw_매출!$B$2:$BI$155,MATCH($A30,Raw_매출!$A$2:$A$155,0),MATCH(EDATE($E30,AB$1-1),Raw_매출!$B$1:$BI$1,0))=0,"",INDEX(Raw_매출!$B$2:$BI$155,MATCH($A30,Raw_매출!$A$2:$A$155,0),MATCH(EDATE($E30,AB$1-1),Raw_매출!$B$1:$BI$1,0))/(INDEX(요약_월별시즈널리티!$F$7:$F$18,MONTH(EDATE($E30,AB$1-1)))/100))),"")</f>
        <v/>
      </c>
      <c r="AC30" t="str" cm="1">
        <f t="array" ref="AC30">IFERROR(IF($E30&lt;44348,"",IF(INDEX(Raw_매출!$B$2:$BI$155,MATCH($A30,Raw_매출!$A$2:$A$155,0),MATCH(EDATE($E30,AC$1-1),Raw_매출!$B$1:$BI$1,0))=0,"",INDEX(Raw_매출!$B$2:$BI$155,MATCH($A30,Raw_매출!$A$2:$A$155,0),MATCH(EDATE($E30,AC$1-1),Raw_매출!$B$1:$BI$1,0))/(INDEX(요약_월별시즈널리티!$F$7:$F$18,MONTH(EDATE($E30,AC$1-1)))/100))),"")</f>
        <v/>
      </c>
      <c r="AD30" t="str" cm="1">
        <f t="array" ref="AD30">IFERROR(IF($E30&lt;44348,"",IF(INDEX(Raw_매출!$B$2:$BI$155,MATCH($A30,Raw_매출!$A$2:$A$155,0),MATCH(EDATE($E30,AD$1-1),Raw_매출!$B$1:$BI$1,0))=0,"",INDEX(Raw_매출!$B$2:$BI$155,MATCH($A30,Raw_매출!$A$2:$A$155,0),MATCH(EDATE($E30,AD$1-1),Raw_매출!$B$1:$BI$1,0))/(INDEX(요약_월별시즈널리티!$F$7:$F$18,MONTH(EDATE($E30,AD$1-1)))/100))),"")</f>
        <v/>
      </c>
      <c r="AE30" t="str" cm="1">
        <f t="array" ref="AE30">IFERROR(IF($E30&lt;44348,"",IF(INDEX(Raw_매출!$B$2:$BI$155,MATCH($A30,Raw_매출!$A$2:$A$155,0),MATCH(EDATE($E30,AE$1-1),Raw_매출!$B$1:$BI$1,0))=0,"",INDEX(Raw_매출!$B$2:$BI$155,MATCH($A30,Raw_매출!$A$2:$A$155,0),MATCH(EDATE($E30,AE$1-1),Raw_매출!$B$1:$BI$1,0))/(INDEX(요약_월별시즈널리티!$F$7:$F$18,MONTH(EDATE($E30,AE$1-1)))/100))),"")</f>
        <v/>
      </c>
      <c r="AF30" t="str" cm="1">
        <f t="array" ref="AF30">IFERROR(IF($E30&lt;44348,"",IF(INDEX(Raw_매출!$B$2:$BI$155,MATCH($A30,Raw_매출!$A$2:$A$155,0),MATCH(EDATE($E30,AF$1-1),Raw_매출!$B$1:$BI$1,0))=0,"",INDEX(Raw_매출!$B$2:$BI$155,MATCH($A30,Raw_매출!$A$2:$A$155,0),MATCH(EDATE($E30,AF$1-1),Raw_매출!$B$1:$BI$1,0))/(INDEX(요약_월별시즈널리티!$F$7:$F$18,MONTH(EDATE($E30,AF$1-1)))/100))),"")</f>
        <v/>
      </c>
      <c r="AG30" t="str" cm="1">
        <f t="array" ref="AG30">IFERROR(IF($E30&lt;44348,"",IF(INDEX(Raw_매출!$B$2:$BI$155,MATCH($A30,Raw_매출!$A$2:$A$155,0),MATCH(EDATE($E30,AG$1-1),Raw_매출!$B$1:$BI$1,0))=0,"",INDEX(Raw_매출!$B$2:$BI$155,MATCH($A30,Raw_매출!$A$2:$A$155,0),MATCH(EDATE($E30,AG$1-1),Raw_매출!$B$1:$BI$1,0))/(INDEX(요약_월별시즈널리티!$F$7:$F$18,MONTH(EDATE($E30,AG$1-1)))/100))),"")</f>
        <v/>
      </c>
      <c r="AH30" t="str" cm="1">
        <f t="array" ref="AH30">IFERROR(IF($E30&lt;44348,"",IF(INDEX(Raw_매출!$B$2:$BI$155,MATCH($A30,Raw_매출!$A$2:$A$155,0),MATCH(EDATE($E30,AH$1-1),Raw_매출!$B$1:$BI$1,0))=0,"",INDEX(Raw_매출!$B$2:$BI$155,MATCH($A30,Raw_매출!$A$2:$A$155,0),MATCH(EDATE($E30,AH$1-1),Raw_매출!$B$1:$BI$1,0))/(INDEX(요약_월별시즈널리티!$F$7:$F$18,MONTH(EDATE($E30,AH$1-1)))/100))),"")</f>
        <v/>
      </c>
      <c r="AI30" t="str" cm="1">
        <f t="array" ref="AI30">IFERROR(IF($E30&lt;44348,"",IF(INDEX(Raw_매출!$B$2:$BI$155,MATCH($A30,Raw_매출!$A$2:$A$155,0),MATCH(EDATE($E30,AI$1-1),Raw_매출!$B$1:$BI$1,0))=0,"",INDEX(Raw_매출!$B$2:$BI$155,MATCH($A30,Raw_매출!$A$2:$A$155,0),MATCH(EDATE($E30,AI$1-1),Raw_매출!$B$1:$BI$1,0))/(INDEX(요약_월별시즈널리티!$F$7:$F$18,MONTH(EDATE($E30,AI$1-1)))/100))),"")</f>
        <v/>
      </c>
      <c r="AJ30" t="str" cm="1">
        <f t="array" ref="AJ30">IFERROR(IF($E30&lt;44348,"",IF(INDEX(Raw_매출!$B$2:$BI$155,MATCH($A30,Raw_매출!$A$2:$A$155,0),MATCH(EDATE($E30,AJ$1-1),Raw_매출!$B$1:$BI$1,0))=0,"",INDEX(Raw_매출!$B$2:$BI$155,MATCH($A30,Raw_매출!$A$2:$A$155,0),MATCH(EDATE($E30,AJ$1-1),Raw_매출!$B$1:$BI$1,0))/(INDEX(요약_월별시즈널리티!$F$7:$F$18,MONTH(EDATE($E30,AJ$1-1)))/100))),"")</f>
        <v/>
      </c>
      <c r="AK30" t="str" cm="1">
        <f t="array" ref="AK30">IFERROR(IF($E30&lt;44348,"",IF(INDEX(Raw_매출!$B$2:$BI$155,MATCH($A30,Raw_매출!$A$2:$A$155,0),MATCH(EDATE($E30,AK$1-1),Raw_매출!$B$1:$BI$1,0))=0,"",INDEX(Raw_매출!$B$2:$BI$155,MATCH($A30,Raw_매출!$A$2:$A$155,0),MATCH(EDATE($E30,AK$1-1),Raw_매출!$B$1:$BI$1,0))/(INDEX(요약_월별시즈널리티!$F$7:$F$18,MONTH(EDATE($E30,AK$1-1)))/100))),"")</f>
        <v/>
      </c>
      <c r="AL30" t="str" cm="1">
        <f t="array" ref="AL30">IFERROR(IF($E30&lt;44348,"",IF(INDEX(Raw_매출!$B$2:$BI$155,MATCH($A30,Raw_매출!$A$2:$A$155,0),MATCH(EDATE($E30,AL$1-1),Raw_매출!$B$1:$BI$1,0))=0,"",INDEX(Raw_매출!$B$2:$BI$155,MATCH($A30,Raw_매출!$A$2:$A$155,0),MATCH(EDATE($E30,AL$1-1),Raw_매출!$B$1:$BI$1,0))/(INDEX(요약_월별시즈널리티!$F$7:$F$18,MONTH(EDATE($E30,AL$1-1)))/100))),"")</f>
        <v/>
      </c>
      <c r="AM30" t="str" cm="1">
        <f t="array" ref="AM30">IFERROR(IF($E30&lt;44348,"",IF(INDEX(Raw_매출!$B$2:$BI$155,MATCH($A30,Raw_매출!$A$2:$A$155,0),MATCH(EDATE($E30,AM$1-1),Raw_매출!$B$1:$BI$1,0))=0,"",INDEX(Raw_매출!$B$2:$BI$155,MATCH($A30,Raw_매출!$A$2:$A$155,0),MATCH(EDATE($E30,AM$1-1),Raw_매출!$B$1:$BI$1,0))/(INDEX(요약_월별시즈널리티!$F$7:$F$18,MONTH(EDATE($E30,AM$1-1)))/100))),"")</f>
        <v/>
      </c>
      <c r="AN30" t="str" cm="1">
        <f t="array" ref="AN30">IFERROR(IF($E30&lt;44348,"",IF(INDEX(Raw_매출!$B$2:$BI$155,MATCH($A30,Raw_매출!$A$2:$A$155,0),MATCH(EDATE($E30,AN$1-1),Raw_매출!$B$1:$BI$1,0))=0,"",INDEX(Raw_매출!$B$2:$BI$155,MATCH($A30,Raw_매출!$A$2:$A$155,0),MATCH(EDATE($E30,AN$1-1),Raw_매출!$B$1:$BI$1,0))/(INDEX(요약_월별시즈널리티!$F$7:$F$18,MONTH(EDATE($E30,AN$1-1)))/100))),"")</f>
        <v/>
      </c>
      <c r="AO30" t="str" cm="1">
        <f t="array" ref="AO30">IFERROR(IF($E30&lt;44348,"",IF(INDEX(Raw_매출!$B$2:$BI$155,MATCH($A30,Raw_매출!$A$2:$A$155,0),MATCH(EDATE($E30,AO$1-1),Raw_매출!$B$1:$BI$1,0))=0,"",INDEX(Raw_매출!$B$2:$BI$155,MATCH($A30,Raw_매출!$A$2:$A$155,0),MATCH(EDATE($E30,AO$1-1),Raw_매출!$B$1:$BI$1,0))/(INDEX(요약_월별시즈널리티!$F$7:$F$18,MONTH(EDATE($E30,AO$1-1)))/100))),"")</f>
        <v/>
      </c>
      <c r="AP30" t="str" cm="1">
        <f t="array" ref="AP30">IFERROR(IF($E30&lt;44348,"",IF(INDEX(Raw_매출!$B$2:$BI$155,MATCH($A30,Raw_매출!$A$2:$A$155,0),MATCH(EDATE($E30,AP$1-1),Raw_매출!$B$1:$BI$1,0))=0,"",INDEX(Raw_매출!$B$2:$BI$155,MATCH($A30,Raw_매출!$A$2:$A$155,0),MATCH(EDATE($E30,AP$1-1),Raw_매출!$B$1:$BI$1,0))/(INDEX(요약_월별시즈널리티!$F$7:$F$18,MONTH(EDATE($E30,AP$1-1)))/100))),"")</f>
        <v/>
      </c>
      <c r="AQ30" t="str" cm="1">
        <f t="array" ref="AQ30">IFERROR(IF($E30&lt;44348,"",IF(INDEX(Raw_매출!$B$2:$BI$155,MATCH($A30,Raw_매출!$A$2:$A$155,0),MATCH(EDATE($E30,AQ$1-1),Raw_매출!$B$1:$BI$1,0))=0,"",INDEX(Raw_매출!$B$2:$BI$155,MATCH($A30,Raw_매출!$A$2:$A$155,0),MATCH(EDATE($E30,AQ$1-1),Raw_매출!$B$1:$BI$1,0))/(INDEX(요약_월별시즈널리티!$F$7:$F$18,MONTH(EDATE($E30,AQ$1-1)))/100))),"")</f>
        <v/>
      </c>
      <c r="AR30" t="str" cm="1">
        <f t="array" ref="AR30">IFERROR(IF($E30&lt;44348,"",IF(INDEX(Raw_매출!$B$2:$BI$155,MATCH($A30,Raw_매출!$A$2:$A$155,0),MATCH(EDATE($E30,AR$1-1),Raw_매출!$B$1:$BI$1,0))=0,"",INDEX(Raw_매출!$B$2:$BI$155,MATCH($A30,Raw_매출!$A$2:$A$155,0),MATCH(EDATE($E30,AR$1-1),Raw_매출!$B$1:$BI$1,0))/(INDEX(요약_월별시즈널리티!$F$7:$F$18,MONTH(EDATE($E30,AR$1-1)))/100))),"")</f>
        <v/>
      </c>
      <c r="AS30" t="str" cm="1">
        <f t="array" ref="AS30">IFERROR(IF($E30&lt;44348,"",IF(INDEX(Raw_매출!$B$2:$BI$155,MATCH($A30,Raw_매출!$A$2:$A$155,0),MATCH(EDATE($E30,AS$1-1),Raw_매출!$B$1:$BI$1,0))=0,"",INDEX(Raw_매출!$B$2:$BI$155,MATCH($A30,Raw_매출!$A$2:$A$155,0),MATCH(EDATE($E30,AS$1-1),Raw_매출!$B$1:$BI$1,0))/(INDEX(요약_월별시즈널리티!$F$7:$F$18,MONTH(EDATE($E30,AS$1-1)))/100))),"")</f>
        <v/>
      </c>
      <c r="AT30" t="str" cm="1">
        <f t="array" ref="AT30">IFERROR(IF($E30&lt;44348,"",IF(INDEX(Raw_매출!$B$2:$BI$155,MATCH($A30,Raw_매출!$A$2:$A$155,0),MATCH(EDATE($E30,AT$1-1),Raw_매출!$B$1:$BI$1,0))=0,"",INDEX(Raw_매출!$B$2:$BI$155,MATCH($A30,Raw_매출!$A$2:$A$155,0),MATCH(EDATE($E30,AT$1-1),Raw_매출!$B$1:$BI$1,0))/(INDEX(요약_월별시즈널리티!$F$7:$F$18,MONTH(EDATE($E30,AT$1-1)))/100))),"")</f>
        <v/>
      </c>
      <c r="AU30" t="str" cm="1">
        <f t="array" ref="AU30">IFERROR(IF($E30&lt;44348,"",IF(INDEX(Raw_매출!$B$2:$BI$155,MATCH($A30,Raw_매출!$A$2:$A$155,0),MATCH(EDATE($E30,AU$1-1),Raw_매출!$B$1:$BI$1,0))=0,"",INDEX(Raw_매출!$B$2:$BI$155,MATCH($A30,Raw_매출!$A$2:$A$155,0),MATCH(EDATE($E30,AU$1-1),Raw_매출!$B$1:$BI$1,0))/(INDEX(요약_월별시즈널리티!$F$7:$F$18,MONTH(EDATE($E30,AU$1-1)))/100))),"")</f>
        <v/>
      </c>
      <c r="AV30" t="str" cm="1">
        <f t="array" ref="AV30">IFERROR(IF($E30&lt;44348,"",IF(INDEX(Raw_매출!$B$2:$BI$155,MATCH($A30,Raw_매출!$A$2:$A$155,0),MATCH(EDATE($E30,AV$1-1),Raw_매출!$B$1:$BI$1,0))=0,"",INDEX(Raw_매출!$B$2:$BI$155,MATCH($A30,Raw_매출!$A$2:$A$155,0),MATCH(EDATE($E30,AV$1-1),Raw_매출!$B$1:$BI$1,0))/(INDEX(요약_월별시즈널리티!$F$7:$F$18,MONTH(EDATE($E30,AV$1-1)))/100))),"")</f>
        <v/>
      </c>
      <c r="AW30" t="str" cm="1">
        <f t="array" ref="AW30">IFERROR(IF($E30&lt;44348,"",IF(INDEX(Raw_매출!$B$2:$BI$155,MATCH($A30,Raw_매출!$A$2:$A$155,0),MATCH(EDATE($E30,AW$1-1),Raw_매출!$B$1:$BI$1,0))=0,"",INDEX(Raw_매출!$B$2:$BI$155,MATCH($A30,Raw_매출!$A$2:$A$155,0),MATCH(EDATE($E30,AW$1-1),Raw_매출!$B$1:$BI$1,0))/(INDEX(요약_월별시즈널리티!$F$7:$F$18,MONTH(EDATE($E30,AW$1-1)))/100))),"")</f>
        <v/>
      </c>
      <c r="AX30" t="str" cm="1">
        <f t="array" ref="AX30">IFERROR(IF($E30&lt;44348,"",IF(INDEX(Raw_매출!$B$2:$BI$155,MATCH($A30,Raw_매출!$A$2:$A$155,0),MATCH(EDATE($E30,AX$1-1),Raw_매출!$B$1:$BI$1,0))=0,"",INDEX(Raw_매출!$B$2:$BI$155,MATCH($A30,Raw_매출!$A$2:$A$155,0),MATCH(EDATE($E30,AX$1-1),Raw_매출!$B$1:$BI$1,0))/(INDEX(요약_월별시즈널리티!$F$7:$F$18,MONTH(EDATE($E30,AX$1-1)))/100))),"")</f>
        <v/>
      </c>
      <c r="AY30" t="str" cm="1">
        <f t="array" ref="AY30">IFERROR(IF($E30&lt;44348,"",IF(INDEX(Raw_매출!$B$2:$BI$155,MATCH($A30,Raw_매출!$A$2:$A$155,0),MATCH(EDATE($E30,AY$1-1),Raw_매출!$B$1:$BI$1,0))=0,"",INDEX(Raw_매출!$B$2:$BI$155,MATCH($A30,Raw_매출!$A$2:$A$155,0),MATCH(EDATE($E30,AY$1-1),Raw_매출!$B$1:$BI$1,0))/(INDEX(요약_월별시즈널리티!$F$7:$F$18,MONTH(EDATE($E30,AY$1-1)))/100))),"")</f>
        <v/>
      </c>
      <c r="AZ30" t="str" cm="1">
        <f t="array" ref="AZ30">IFERROR(IF($E30&lt;44348,"",IF(INDEX(Raw_매출!$B$2:$BI$155,MATCH($A30,Raw_매출!$A$2:$A$155,0),MATCH(EDATE($E30,AZ$1-1),Raw_매출!$B$1:$BI$1,0))=0,"",INDEX(Raw_매출!$B$2:$BI$155,MATCH($A30,Raw_매출!$A$2:$A$155,0),MATCH(EDATE($E30,AZ$1-1),Raw_매출!$B$1:$BI$1,0))/(INDEX(요약_월별시즈널리티!$F$7:$F$18,MONTH(EDATE($E30,AZ$1-1)))/100))),"")</f>
        <v/>
      </c>
      <c r="BA30" t="str" cm="1">
        <f t="array" ref="BA30">IFERROR(IF($E30&lt;44348,"",IF(INDEX(Raw_매출!$B$2:$BI$155,MATCH($A30,Raw_매출!$A$2:$A$155,0),MATCH(EDATE($E30,BA$1-1),Raw_매출!$B$1:$BI$1,0))=0,"",INDEX(Raw_매출!$B$2:$BI$155,MATCH($A30,Raw_매출!$A$2:$A$155,0),MATCH(EDATE($E30,BA$1-1),Raw_매출!$B$1:$BI$1,0))/(INDEX(요약_월별시즈널리티!$F$7:$F$18,MONTH(EDATE($E30,BA$1-1)))/100))),"")</f>
        <v/>
      </c>
      <c r="BB30" t="str" cm="1">
        <f t="array" ref="BB30">IFERROR(IF($E30&lt;44348,"",IF(INDEX(Raw_매출!$B$2:$BI$155,MATCH($A30,Raw_매출!$A$2:$A$155,0),MATCH(EDATE($E30,BB$1-1),Raw_매출!$B$1:$BI$1,0))=0,"",INDEX(Raw_매출!$B$2:$BI$155,MATCH($A30,Raw_매출!$A$2:$A$155,0),MATCH(EDATE($E30,BB$1-1),Raw_매출!$B$1:$BI$1,0))/(INDEX(요약_월별시즈널리티!$F$7:$F$18,MONTH(EDATE($E30,BB$1-1)))/100))),"")</f>
        <v/>
      </c>
      <c r="BC30" t="str" cm="1">
        <f t="array" ref="BC30">IFERROR(IF($E30&lt;44348,"",IF(INDEX(Raw_매출!$B$2:$BI$155,MATCH($A30,Raw_매출!$A$2:$A$155,0),MATCH(EDATE($E30,BC$1-1),Raw_매출!$B$1:$BI$1,0))=0,"",INDEX(Raw_매출!$B$2:$BI$155,MATCH($A30,Raw_매출!$A$2:$A$155,0),MATCH(EDATE($E30,BC$1-1),Raw_매출!$B$1:$BI$1,0))/(INDEX(요약_월별시즈널리티!$F$7:$F$18,MONTH(EDATE($E30,BC$1-1)))/100))),"")</f>
        <v/>
      </c>
      <c r="BD30" t="str" cm="1">
        <f t="array" ref="BD30">IFERROR(IF($E30&lt;44348,"",IF(INDEX(Raw_매출!$B$2:$BI$155,MATCH($A30,Raw_매출!$A$2:$A$155,0),MATCH(EDATE($E30,BD$1-1),Raw_매출!$B$1:$BI$1,0))=0,"",INDEX(Raw_매출!$B$2:$BI$155,MATCH($A30,Raw_매출!$A$2:$A$155,0),MATCH(EDATE($E30,BD$1-1),Raw_매출!$B$1:$BI$1,0))/(INDEX(요약_월별시즈널리티!$F$7:$F$18,MONTH(EDATE($E30,BD$1-1)))/100))),"")</f>
        <v/>
      </c>
      <c r="BE30" t="str" cm="1">
        <f t="array" ref="BE30">IFERROR(IF($E30&lt;44348,"",IF(INDEX(Raw_매출!$B$2:$BI$155,MATCH($A30,Raw_매출!$A$2:$A$155,0),MATCH(EDATE($E30,BE$1-1),Raw_매출!$B$1:$BI$1,0))=0,"",INDEX(Raw_매출!$B$2:$BI$155,MATCH($A30,Raw_매출!$A$2:$A$155,0),MATCH(EDATE($E30,BE$1-1),Raw_매출!$B$1:$BI$1,0))/(INDEX(요약_월별시즈널리티!$F$7:$F$18,MONTH(EDATE($E30,BE$1-1)))/100))),"")</f>
        <v/>
      </c>
      <c r="BF30" t="str" cm="1">
        <f t="array" ref="BF30">IFERROR(IF($E30&lt;44348,"",IF(INDEX(Raw_매출!$B$2:$BI$155,MATCH($A30,Raw_매출!$A$2:$A$155,0),MATCH(EDATE($E30,BF$1-1),Raw_매출!$B$1:$BI$1,0))=0,"",INDEX(Raw_매출!$B$2:$BI$155,MATCH($A30,Raw_매출!$A$2:$A$155,0),MATCH(EDATE($E30,BF$1-1),Raw_매출!$B$1:$BI$1,0))/(INDEX(요약_월별시즈널리티!$F$7:$F$18,MONTH(EDATE($E30,BF$1-1)))/100))),"")</f>
        <v/>
      </c>
      <c r="BG30" t="str" cm="1">
        <f t="array" ref="BG30">IFERROR(IF($E30&lt;44348,"",IF(INDEX(Raw_매출!$B$2:$BI$155,MATCH($A30,Raw_매출!$A$2:$A$155,0),MATCH(EDATE($E30,BG$1-1),Raw_매출!$B$1:$BI$1,0))=0,"",INDEX(Raw_매출!$B$2:$BI$155,MATCH($A30,Raw_매출!$A$2:$A$155,0),MATCH(EDATE($E30,BG$1-1),Raw_매출!$B$1:$BI$1,0))/(INDEX(요약_월별시즈널리티!$F$7:$F$18,MONTH(EDATE($E30,BG$1-1)))/100))),"")</f>
        <v/>
      </c>
      <c r="BH30" t="str" cm="1">
        <f t="array" ref="BH30">IFERROR(IF($E30&lt;44348,"",IF(INDEX(Raw_매출!$B$2:$BI$155,MATCH($A30,Raw_매출!$A$2:$A$155,0),MATCH(EDATE($E30,BH$1-1),Raw_매출!$B$1:$BI$1,0))=0,"",INDEX(Raw_매출!$B$2:$BI$155,MATCH($A30,Raw_매출!$A$2:$A$155,0),MATCH(EDATE($E30,BH$1-1),Raw_매출!$B$1:$BI$1,0))/(INDEX(요약_월별시즈널리티!$F$7:$F$18,MONTH(EDATE($E30,BH$1-1)))/100))),"")</f>
        <v/>
      </c>
      <c r="BI30" t="str" cm="1">
        <f t="array" ref="BI30">IFERROR(IF($E30&lt;44348,"",IF(INDEX(Raw_매출!$B$2:$BI$155,MATCH($A30,Raw_매출!$A$2:$A$155,0),MATCH(EDATE($E30,BI$1-1),Raw_매출!$B$1:$BI$1,0))=0,"",INDEX(Raw_매출!$B$2:$BI$155,MATCH($A30,Raw_매출!$A$2:$A$155,0),MATCH(EDATE($E30,BI$1-1),Raw_매출!$B$1:$BI$1,0))/(INDEX(요약_월별시즈널리티!$F$7:$F$18,MONTH(EDATE($E30,BI$1-1)))/100))),"")</f>
        <v/>
      </c>
      <c r="BJ30" t="str" cm="1">
        <f t="array" ref="BJ30">IFERROR(IF($E30&lt;44348,"",IF(INDEX(Raw_매출!$B$2:$BI$155,MATCH($A30,Raw_매출!$A$2:$A$155,0),MATCH(EDATE($E30,BJ$1-1),Raw_매출!$B$1:$BI$1,0))=0,"",INDEX(Raw_매출!$B$2:$BI$155,MATCH($A30,Raw_매출!$A$2:$A$155,0),MATCH(EDATE($E30,BJ$1-1),Raw_매출!$B$1:$BI$1,0))/(INDEX(요약_월별시즈널리티!$F$7:$F$18,MONTH(EDATE($E30,BJ$1-1)))/100))),"")</f>
        <v/>
      </c>
      <c r="BK30" t="str" cm="1">
        <f t="array" ref="BK30">IFERROR(IF($E30&lt;44348,"",IF(INDEX(Raw_매출!$B$2:$BI$155,MATCH($A30,Raw_매출!$A$2:$A$155,0),MATCH(EDATE($E30,BK$1-1),Raw_매출!$B$1:$BI$1,0))=0,"",INDEX(Raw_매출!$B$2:$BI$155,MATCH($A30,Raw_매출!$A$2:$A$155,0),MATCH(EDATE($E30,BK$1-1),Raw_매출!$B$1:$BI$1,0))/(INDEX(요약_월별시즈널리티!$F$7:$F$18,MONTH(EDATE($E30,BK$1-1)))/100))),"")</f>
        <v/>
      </c>
      <c r="BL30" t="str" cm="1">
        <f t="array" ref="BL30">IFERROR(IF($E30&lt;44348,"",IF(INDEX(Raw_매출!$B$2:$BI$155,MATCH($A30,Raw_매출!$A$2:$A$155,0),MATCH(EDATE($E30,BL$1-1),Raw_매출!$B$1:$BI$1,0))=0,"",INDEX(Raw_매출!$B$2:$BI$155,MATCH($A30,Raw_매출!$A$2:$A$155,0),MATCH(EDATE($E30,BL$1-1),Raw_매출!$B$1:$BI$1,0))/(INDEX(요약_월별시즈널리티!$F$7:$F$18,MONTH(EDATE($E30,BL$1-1)))/100))),"")</f>
        <v/>
      </c>
      <c r="BM30" t="str" cm="1">
        <f t="array" ref="BM30">IFERROR(IF($E30&lt;44348,"",IF(INDEX(Raw_매출!$B$2:$BI$155,MATCH($A30,Raw_매출!$A$2:$A$155,0),MATCH(EDATE($E30,BM$1-1),Raw_매출!$B$1:$BI$1,0))=0,"",INDEX(Raw_매출!$B$2:$BI$155,MATCH($A30,Raw_매출!$A$2:$A$155,0),MATCH(EDATE($E30,BM$1-1),Raw_매출!$B$1:$BI$1,0))/(INDEX(요약_월별시즈널리티!$F$7:$F$18,MONTH(EDATE($E30,BM$1-1)))/100))),"")</f>
        <v/>
      </c>
      <c r="BN30" t="str" cm="1">
        <f t="array" ref="BN30">IFERROR(IF($E30&lt;44348,"",IF(INDEX(Raw_매출!$B$2:$BI$155,MATCH($A30,Raw_매출!$A$2:$A$155,0),MATCH(EDATE($E30,BN$1-1),Raw_매출!$B$1:$BI$1,0))=0,"",INDEX(Raw_매출!$B$2:$BI$155,MATCH($A30,Raw_매출!$A$2:$A$155,0),MATCH(EDATE($E30,BN$1-1),Raw_매출!$B$1:$BI$1,0))/(INDEX(요약_월별시즈널리티!$F$7:$F$18,MONTH(EDATE($E30,BN$1-1)))/100))),"")</f>
        <v/>
      </c>
    </row>
    <row r="31" spans="1:66" x14ac:dyDescent="0.4">
      <c r="A31" t="str">
        <f>세팅!A32</f>
        <v>(1019) #청룡점</v>
      </c>
      <c r="B31" t="str">
        <f>세팅!B32</f>
        <v>150-3</v>
      </c>
      <c r="C31">
        <f t="shared" si="0"/>
        <v>3</v>
      </c>
      <c r="D31" t="str">
        <f t="shared" si="1"/>
        <v>3+</v>
      </c>
      <c r="E31" s="1">
        <f>세팅!D32</f>
        <v>44256</v>
      </c>
      <c r="F31" t="str">
        <f t="shared" si="2"/>
        <v/>
      </c>
      <c r="G31" t="str" cm="1">
        <f t="array" ref="G31">IFERROR(IF($E31&lt;44348,"",IF(INDEX(Raw_매출!$B$2:$BI$155,MATCH($A31,Raw_매출!$A$2:$A$155,0),MATCH(EDATE($E31,G$1-1),Raw_매출!$B$1:$BI$1,0))=0,"",INDEX(Raw_매출!$B$2:$BI$155,MATCH($A31,Raw_매출!$A$2:$A$155,0),MATCH(EDATE($E31,G$1-1),Raw_매출!$B$1:$BI$1,0))/(INDEX(요약_월별시즈널리티!$F$7:$F$18,MONTH(EDATE($E31,G$1-1)))/100))),"")</f>
        <v/>
      </c>
      <c r="H31" t="str" cm="1">
        <f t="array" ref="H31">IFERROR(IF($E31&lt;44348,"",IF(INDEX(Raw_매출!$B$2:$BI$155,MATCH($A31,Raw_매출!$A$2:$A$155,0),MATCH(EDATE($E31,H$1-1),Raw_매출!$B$1:$BI$1,0))=0,"",INDEX(Raw_매출!$B$2:$BI$155,MATCH($A31,Raw_매출!$A$2:$A$155,0),MATCH(EDATE($E31,H$1-1),Raw_매출!$B$1:$BI$1,0))/(INDEX(요약_월별시즈널리티!$F$7:$F$18,MONTH(EDATE($E31,H$1-1)))/100))),"")</f>
        <v/>
      </c>
      <c r="I31" t="str" cm="1">
        <f t="array" ref="I31">IFERROR(IF($E31&lt;44348,"",IF(INDEX(Raw_매출!$B$2:$BI$155,MATCH($A31,Raw_매출!$A$2:$A$155,0),MATCH(EDATE($E31,I$1-1),Raw_매출!$B$1:$BI$1,0))=0,"",INDEX(Raw_매출!$B$2:$BI$155,MATCH($A31,Raw_매출!$A$2:$A$155,0),MATCH(EDATE($E31,I$1-1),Raw_매출!$B$1:$BI$1,0))/(INDEX(요약_월별시즈널리티!$F$7:$F$18,MONTH(EDATE($E31,I$1-1)))/100))),"")</f>
        <v/>
      </c>
      <c r="J31" s="30" t="str" cm="1">
        <f t="array" ref="J31">IFERROR(IF($E31&lt;44348,"",IF(INDEX(Raw_매출!$B$2:$BI$155,MATCH($A31,Raw_매출!$A$2:$A$155,0),MATCH(EDATE($E31,J$1-1),Raw_매출!$B$1:$BI$1,0))=0,"",INDEX(Raw_매출!$B$2:$BI$155,MATCH($A31,Raw_매출!$A$2:$A$155,0),MATCH(EDATE($E31,J$1-1),Raw_매출!$B$1:$BI$1,0))/(INDEX(요약_월별시즈널리티!$F$7:$F$18,MONTH(EDATE($E31,J$1-1)))/100))),"")</f>
        <v/>
      </c>
      <c r="K31" s="30" t="str" cm="1">
        <f t="array" ref="K31">IFERROR(IF($E31&lt;44348,"",IF(INDEX(Raw_매출!$B$2:$BI$155,MATCH($A31,Raw_매출!$A$2:$A$155,0),MATCH(EDATE($E31,K$1-1),Raw_매출!$B$1:$BI$1,0))=0,"",INDEX(Raw_매출!$B$2:$BI$155,MATCH($A31,Raw_매출!$A$2:$A$155,0),MATCH(EDATE($E31,K$1-1),Raw_매출!$B$1:$BI$1,0))/(INDEX(요약_월별시즈널리티!$F$7:$F$18,MONTH(EDATE($E31,K$1-1)))/100))),"")</f>
        <v/>
      </c>
      <c r="L31" s="30" t="str" cm="1">
        <f t="array" ref="L31">IFERROR(IF($E31&lt;44348,"",IF(INDEX(Raw_매출!$B$2:$BI$155,MATCH($A31,Raw_매출!$A$2:$A$155,0),MATCH(EDATE($E31,L$1-1),Raw_매출!$B$1:$BI$1,0))=0,"",INDEX(Raw_매출!$B$2:$BI$155,MATCH($A31,Raw_매출!$A$2:$A$155,0),MATCH(EDATE($E31,L$1-1),Raw_매출!$B$1:$BI$1,0))/(INDEX(요약_월별시즈널리티!$F$7:$F$18,MONTH(EDATE($E31,L$1-1)))/100))),"")</f>
        <v/>
      </c>
      <c r="M31" s="30" t="str" cm="1">
        <f t="array" ref="M31">IFERROR(IF($E31&lt;44348,"",IF(INDEX(Raw_매출!$B$2:$BI$155,MATCH($A31,Raw_매출!$A$2:$A$155,0),MATCH(EDATE($E31,M$1-1),Raw_매출!$B$1:$BI$1,0))=0,"",INDEX(Raw_매출!$B$2:$BI$155,MATCH($A31,Raw_매출!$A$2:$A$155,0),MATCH(EDATE($E31,M$1-1),Raw_매출!$B$1:$BI$1,0))/(INDEX(요약_월별시즈널리티!$F$7:$F$18,MONTH(EDATE($E31,M$1-1)))/100))),"")</f>
        <v/>
      </c>
      <c r="N31" s="30" t="str" cm="1">
        <f t="array" ref="N31">IFERROR(IF($E31&lt;44348,"",IF(INDEX(Raw_매출!$B$2:$BI$155,MATCH($A31,Raw_매출!$A$2:$A$155,0),MATCH(EDATE($E31,N$1-1),Raw_매출!$B$1:$BI$1,0))=0,"",INDEX(Raw_매출!$B$2:$BI$155,MATCH($A31,Raw_매출!$A$2:$A$155,0),MATCH(EDATE($E31,N$1-1),Raw_매출!$B$1:$BI$1,0))/(INDEX(요약_월별시즈널리티!$F$7:$F$18,MONTH(EDATE($E31,N$1-1)))/100))),"")</f>
        <v/>
      </c>
      <c r="O31" s="30" t="str" cm="1">
        <f t="array" ref="O31">IFERROR(IF($E31&lt;44348,"",IF(INDEX(Raw_매출!$B$2:$BI$155,MATCH($A31,Raw_매출!$A$2:$A$155,0),MATCH(EDATE($E31,O$1-1),Raw_매출!$B$1:$BI$1,0))=0,"",INDEX(Raw_매출!$B$2:$BI$155,MATCH($A31,Raw_매출!$A$2:$A$155,0),MATCH(EDATE($E31,O$1-1),Raw_매출!$B$1:$BI$1,0))/(INDEX(요약_월별시즈널리티!$F$7:$F$18,MONTH(EDATE($E31,O$1-1)))/100))),"")</f>
        <v/>
      </c>
      <c r="P31" t="str" cm="1">
        <f t="array" ref="P31">IFERROR(IF($E31&lt;44348,"",IF(INDEX(Raw_매출!$B$2:$BI$155,MATCH($A31,Raw_매출!$A$2:$A$155,0),MATCH(EDATE($E31,P$1-1),Raw_매출!$B$1:$BI$1,0))=0,"",INDEX(Raw_매출!$B$2:$BI$155,MATCH($A31,Raw_매출!$A$2:$A$155,0),MATCH(EDATE($E31,P$1-1),Raw_매출!$B$1:$BI$1,0))/(INDEX(요약_월별시즈널리티!$F$7:$F$18,MONTH(EDATE($E31,P$1-1)))/100))),"")</f>
        <v/>
      </c>
      <c r="Q31" t="str" cm="1">
        <f t="array" ref="Q31">IFERROR(IF($E31&lt;44348,"",IF(INDEX(Raw_매출!$B$2:$BI$155,MATCH($A31,Raw_매출!$A$2:$A$155,0),MATCH(EDATE($E31,Q$1-1),Raw_매출!$B$1:$BI$1,0))=0,"",INDEX(Raw_매출!$B$2:$BI$155,MATCH($A31,Raw_매출!$A$2:$A$155,0),MATCH(EDATE($E31,Q$1-1),Raw_매출!$B$1:$BI$1,0))/(INDEX(요약_월별시즈널리티!$F$7:$F$18,MONTH(EDATE($E31,Q$1-1)))/100))),"")</f>
        <v/>
      </c>
      <c r="R31" t="str" cm="1">
        <f t="array" ref="R31">IFERROR(IF($E31&lt;44348,"",IF(INDEX(Raw_매출!$B$2:$BI$155,MATCH($A31,Raw_매출!$A$2:$A$155,0),MATCH(EDATE($E31,R$1-1),Raw_매출!$B$1:$BI$1,0))=0,"",INDEX(Raw_매출!$B$2:$BI$155,MATCH($A31,Raw_매출!$A$2:$A$155,0),MATCH(EDATE($E31,R$1-1),Raw_매출!$B$1:$BI$1,0))/(INDEX(요약_월별시즈널리티!$F$7:$F$18,MONTH(EDATE($E31,R$1-1)))/100))),"")</f>
        <v/>
      </c>
      <c r="S31" t="str" cm="1">
        <f t="array" ref="S31">IFERROR(IF($E31&lt;44348,"",IF(INDEX(Raw_매출!$B$2:$BI$155,MATCH($A31,Raw_매출!$A$2:$A$155,0),MATCH(EDATE($E31,S$1-1),Raw_매출!$B$1:$BI$1,0))=0,"",INDEX(Raw_매출!$B$2:$BI$155,MATCH($A31,Raw_매출!$A$2:$A$155,0),MATCH(EDATE($E31,S$1-1),Raw_매출!$B$1:$BI$1,0))/(INDEX(요약_월별시즈널리티!$F$7:$F$18,MONTH(EDATE($E31,S$1-1)))/100))),"")</f>
        <v/>
      </c>
      <c r="T31" t="str" cm="1">
        <f t="array" ref="T31">IFERROR(IF($E31&lt;44348,"",IF(INDEX(Raw_매출!$B$2:$BI$155,MATCH($A31,Raw_매출!$A$2:$A$155,0),MATCH(EDATE($E31,T$1-1),Raw_매출!$B$1:$BI$1,0))=0,"",INDEX(Raw_매출!$B$2:$BI$155,MATCH($A31,Raw_매출!$A$2:$A$155,0),MATCH(EDATE($E31,T$1-1),Raw_매출!$B$1:$BI$1,0))/(INDEX(요약_월별시즈널리티!$F$7:$F$18,MONTH(EDATE($E31,T$1-1)))/100))),"")</f>
        <v/>
      </c>
      <c r="U31" t="str" cm="1">
        <f t="array" ref="U31">IFERROR(IF($E31&lt;44348,"",IF(INDEX(Raw_매출!$B$2:$BI$155,MATCH($A31,Raw_매출!$A$2:$A$155,0),MATCH(EDATE($E31,U$1-1),Raw_매출!$B$1:$BI$1,0))=0,"",INDEX(Raw_매출!$B$2:$BI$155,MATCH($A31,Raw_매출!$A$2:$A$155,0),MATCH(EDATE($E31,U$1-1),Raw_매출!$B$1:$BI$1,0))/(INDEX(요약_월별시즈널리티!$F$7:$F$18,MONTH(EDATE($E31,U$1-1)))/100))),"")</f>
        <v/>
      </c>
      <c r="V31" t="str" cm="1">
        <f t="array" ref="V31">IFERROR(IF($E31&lt;44348,"",IF(INDEX(Raw_매출!$B$2:$BI$155,MATCH($A31,Raw_매출!$A$2:$A$155,0),MATCH(EDATE($E31,V$1-1),Raw_매출!$B$1:$BI$1,0))=0,"",INDEX(Raw_매출!$B$2:$BI$155,MATCH($A31,Raw_매출!$A$2:$A$155,0),MATCH(EDATE($E31,V$1-1),Raw_매출!$B$1:$BI$1,0))/(INDEX(요약_월별시즈널리티!$F$7:$F$18,MONTH(EDATE($E31,V$1-1)))/100))),"")</f>
        <v/>
      </c>
      <c r="W31" t="str" cm="1">
        <f t="array" ref="W31">IFERROR(IF($E31&lt;44348,"",IF(INDEX(Raw_매출!$B$2:$BI$155,MATCH($A31,Raw_매출!$A$2:$A$155,0),MATCH(EDATE($E31,W$1-1),Raw_매출!$B$1:$BI$1,0))=0,"",INDEX(Raw_매출!$B$2:$BI$155,MATCH($A31,Raw_매출!$A$2:$A$155,0),MATCH(EDATE($E31,W$1-1),Raw_매출!$B$1:$BI$1,0))/(INDEX(요약_월별시즈널리티!$F$7:$F$18,MONTH(EDATE($E31,W$1-1)))/100))),"")</f>
        <v/>
      </c>
      <c r="X31" t="str" cm="1">
        <f t="array" ref="X31">IFERROR(IF($E31&lt;44348,"",IF(INDEX(Raw_매출!$B$2:$BI$155,MATCH($A31,Raw_매출!$A$2:$A$155,0),MATCH(EDATE($E31,X$1-1),Raw_매출!$B$1:$BI$1,0))=0,"",INDEX(Raw_매출!$B$2:$BI$155,MATCH($A31,Raw_매출!$A$2:$A$155,0),MATCH(EDATE($E31,X$1-1),Raw_매출!$B$1:$BI$1,0))/(INDEX(요약_월별시즈널리티!$F$7:$F$18,MONTH(EDATE($E31,X$1-1)))/100))),"")</f>
        <v/>
      </c>
      <c r="Y31" t="str" cm="1">
        <f t="array" ref="Y31">IFERROR(IF($E31&lt;44348,"",IF(INDEX(Raw_매출!$B$2:$BI$155,MATCH($A31,Raw_매출!$A$2:$A$155,0),MATCH(EDATE($E31,Y$1-1),Raw_매출!$B$1:$BI$1,0))=0,"",INDEX(Raw_매출!$B$2:$BI$155,MATCH($A31,Raw_매출!$A$2:$A$155,0),MATCH(EDATE($E31,Y$1-1),Raw_매출!$B$1:$BI$1,0))/(INDEX(요약_월별시즈널리티!$F$7:$F$18,MONTH(EDATE($E31,Y$1-1)))/100))),"")</f>
        <v/>
      </c>
      <c r="Z31" t="str" cm="1">
        <f t="array" ref="Z31">IFERROR(IF($E31&lt;44348,"",IF(INDEX(Raw_매출!$B$2:$BI$155,MATCH($A31,Raw_매출!$A$2:$A$155,0),MATCH(EDATE($E31,Z$1-1),Raw_매출!$B$1:$BI$1,0))=0,"",INDEX(Raw_매출!$B$2:$BI$155,MATCH($A31,Raw_매출!$A$2:$A$155,0),MATCH(EDATE($E31,Z$1-1),Raw_매출!$B$1:$BI$1,0))/(INDEX(요약_월별시즈널리티!$F$7:$F$18,MONTH(EDATE($E31,Z$1-1)))/100))),"")</f>
        <v/>
      </c>
      <c r="AA31" t="str" cm="1">
        <f t="array" ref="AA31">IFERROR(IF($E31&lt;44348,"",IF(INDEX(Raw_매출!$B$2:$BI$155,MATCH($A31,Raw_매출!$A$2:$A$155,0),MATCH(EDATE($E31,AA$1-1),Raw_매출!$B$1:$BI$1,0))=0,"",INDEX(Raw_매출!$B$2:$BI$155,MATCH($A31,Raw_매출!$A$2:$A$155,0),MATCH(EDATE($E31,AA$1-1),Raw_매출!$B$1:$BI$1,0))/(INDEX(요약_월별시즈널리티!$F$7:$F$18,MONTH(EDATE($E31,AA$1-1)))/100))),"")</f>
        <v/>
      </c>
      <c r="AB31" t="str" cm="1">
        <f t="array" ref="AB31">IFERROR(IF($E31&lt;44348,"",IF(INDEX(Raw_매출!$B$2:$BI$155,MATCH($A31,Raw_매출!$A$2:$A$155,0),MATCH(EDATE($E31,AB$1-1),Raw_매출!$B$1:$BI$1,0))=0,"",INDEX(Raw_매출!$B$2:$BI$155,MATCH($A31,Raw_매출!$A$2:$A$155,0),MATCH(EDATE($E31,AB$1-1),Raw_매출!$B$1:$BI$1,0))/(INDEX(요약_월별시즈널리티!$F$7:$F$18,MONTH(EDATE($E31,AB$1-1)))/100))),"")</f>
        <v/>
      </c>
      <c r="AC31" t="str" cm="1">
        <f t="array" ref="AC31">IFERROR(IF($E31&lt;44348,"",IF(INDEX(Raw_매출!$B$2:$BI$155,MATCH($A31,Raw_매출!$A$2:$A$155,0),MATCH(EDATE($E31,AC$1-1),Raw_매출!$B$1:$BI$1,0))=0,"",INDEX(Raw_매출!$B$2:$BI$155,MATCH($A31,Raw_매출!$A$2:$A$155,0),MATCH(EDATE($E31,AC$1-1),Raw_매출!$B$1:$BI$1,0))/(INDEX(요약_월별시즈널리티!$F$7:$F$18,MONTH(EDATE($E31,AC$1-1)))/100))),"")</f>
        <v/>
      </c>
      <c r="AD31" t="str" cm="1">
        <f t="array" ref="AD31">IFERROR(IF($E31&lt;44348,"",IF(INDEX(Raw_매출!$B$2:$BI$155,MATCH($A31,Raw_매출!$A$2:$A$155,0),MATCH(EDATE($E31,AD$1-1),Raw_매출!$B$1:$BI$1,0))=0,"",INDEX(Raw_매출!$B$2:$BI$155,MATCH($A31,Raw_매출!$A$2:$A$155,0),MATCH(EDATE($E31,AD$1-1),Raw_매출!$B$1:$BI$1,0))/(INDEX(요약_월별시즈널리티!$F$7:$F$18,MONTH(EDATE($E31,AD$1-1)))/100))),"")</f>
        <v/>
      </c>
      <c r="AE31" t="str" cm="1">
        <f t="array" ref="AE31">IFERROR(IF($E31&lt;44348,"",IF(INDEX(Raw_매출!$B$2:$BI$155,MATCH($A31,Raw_매출!$A$2:$A$155,0),MATCH(EDATE($E31,AE$1-1),Raw_매출!$B$1:$BI$1,0))=0,"",INDEX(Raw_매출!$B$2:$BI$155,MATCH($A31,Raw_매출!$A$2:$A$155,0),MATCH(EDATE($E31,AE$1-1),Raw_매출!$B$1:$BI$1,0))/(INDEX(요약_월별시즈널리티!$F$7:$F$18,MONTH(EDATE($E31,AE$1-1)))/100))),"")</f>
        <v/>
      </c>
      <c r="AF31" t="str" cm="1">
        <f t="array" ref="AF31">IFERROR(IF($E31&lt;44348,"",IF(INDEX(Raw_매출!$B$2:$BI$155,MATCH($A31,Raw_매출!$A$2:$A$155,0),MATCH(EDATE($E31,AF$1-1),Raw_매출!$B$1:$BI$1,0))=0,"",INDEX(Raw_매출!$B$2:$BI$155,MATCH($A31,Raw_매출!$A$2:$A$155,0),MATCH(EDATE($E31,AF$1-1),Raw_매출!$B$1:$BI$1,0))/(INDEX(요약_월별시즈널리티!$F$7:$F$18,MONTH(EDATE($E31,AF$1-1)))/100))),"")</f>
        <v/>
      </c>
      <c r="AG31" t="str" cm="1">
        <f t="array" ref="AG31">IFERROR(IF($E31&lt;44348,"",IF(INDEX(Raw_매출!$B$2:$BI$155,MATCH($A31,Raw_매출!$A$2:$A$155,0),MATCH(EDATE($E31,AG$1-1),Raw_매출!$B$1:$BI$1,0))=0,"",INDEX(Raw_매출!$B$2:$BI$155,MATCH($A31,Raw_매출!$A$2:$A$155,0),MATCH(EDATE($E31,AG$1-1),Raw_매출!$B$1:$BI$1,0))/(INDEX(요약_월별시즈널리티!$F$7:$F$18,MONTH(EDATE($E31,AG$1-1)))/100))),"")</f>
        <v/>
      </c>
      <c r="AH31" t="str" cm="1">
        <f t="array" ref="AH31">IFERROR(IF($E31&lt;44348,"",IF(INDEX(Raw_매출!$B$2:$BI$155,MATCH($A31,Raw_매출!$A$2:$A$155,0),MATCH(EDATE($E31,AH$1-1),Raw_매출!$B$1:$BI$1,0))=0,"",INDEX(Raw_매출!$B$2:$BI$155,MATCH($A31,Raw_매출!$A$2:$A$155,0),MATCH(EDATE($E31,AH$1-1),Raw_매출!$B$1:$BI$1,0))/(INDEX(요약_월별시즈널리티!$F$7:$F$18,MONTH(EDATE($E31,AH$1-1)))/100))),"")</f>
        <v/>
      </c>
      <c r="AI31" t="str" cm="1">
        <f t="array" ref="AI31">IFERROR(IF($E31&lt;44348,"",IF(INDEX(Raw_매출!$B$2:$BI$155,MATCH($A31,Raw_매출!$A$2:$A$155,0),MATCH(EDATE($E31,AI$1-1),Raw_매출!$B$1:$BI$1,0))=0,"",INDEX(Raw_매출!$B$2:$BI$155,MATCH($A31,Raw_매출!$A$2:$A$155,0),MATCH(EDATE($E31,AI$1-1),Raw_매출!$B$1:$BI$1,0))/(INDEX(요약_월별시즈널리티!$F$7:$F$18,MONTH(EDATE($E31,AI$1-1)))/100))),"")</f>
        <v/>
      </c>
      <c r="AJ31" t="str" cm="1">
        <f t="array" ref="AJ31">IFERROR(IF($E31&lt;44348,"",IF(INDEX(Raw_매출!$B$2:$BI$155,MATCH($A31,Raw_매출!$A$2:$A$155,0),MATCH(EDATE($E31,AJ$1-1),Raw_매출!$B$1:$BI$1,0))=0,"",INDEX(Raw_매출!$B$2:$BI$155,MATCH($A31,Raw_매출!$A$2:$A$155,0),MATCH(EDATE($E31,AJ$1-1),Raw_매출!$B$1:$BI$1,0))/(INDEX(요약_월별시즈널리티!$F$7:$F$18,MONTH(EDATE($E31,AJ$1-1)))/100))),"")</f>
        <v/>
      </c>
      <c r="AK31" t="str" cm="1">
        <f t="array" ref="AK31">IFERROR(IF($E31&lt;44348,"",IF(INDEX(Raw_매출!$B$2:$BI$155,MATCH($A31,Raw_매출!$A$2:$A$155,0),MATCH(EDATE($E31,AK$1-1),Raw_매출!$B$1:$BI$1,0))=0,"",INDEX(Raw_매출!$B$2:$BI$155,MATCH($A31,Raw_매출!$A$2:$A$155,0),MATCH(EDATE($E31,AK$1-1),Raw_매출!$B$1:$BI$1,0))/(INDEX(요약_월별시즈널리티!$F$7:$F$18,MONTH(EDATE($E31,AK$1-1)))/100))),"")</f>
        <v/>
      </c>
      <c r="AL31" t="str" cm="1">
        <f t="array" ref="AL31">IFERROR(IF($E31&lt;44348,"",IF(INDEX(Raw_매출!$B$2:$BI$155,MATCH($A31,Raw_매출!$A$2:$A$155,0),MATCH(EDATE($E31,AL$1-1),Raw_매출!$B$1:$BI$1,0))=0,"",INDEX(Raw_매출!$B$2:$BI$155,MATCH($A31,Raw_매출!$A$2:$A$155,0),MATCH(EDATE($E31,AL$1-1),Raw_매출!$B$1:$BI$1,0))/(INDEX(요약_월별시즈널리티!$F$7:$F$18,MONTH(EDATE($E31,AL$1-1)))/100))),"")</f>
        <v/>
      </c>
      <c r="AM31" t="str" cm="1">
        <f t="array" ref="AM31">IFERROR(IF($E31&lt;44348,"",IF(INDEX(Raw_매출!$B$2:$BI$155,MATCH($A31,Raw_매출!$A$2:$A$155,0),MATCH(EDATE($E31,AM$1-1),Raw_매출!$B$1:$BI$1,0))=0,"",INDEX(Raw_매출!$B$2:$BI$155,MATCH($A31,Raw_매출!$A$2:$A$155,0),MATCH(EDATE($E31,AM$1-1),Raw_매출!$B$1:$BI$1,0))/(INDEX(요약_월별시즈널리티!$F$7:$F$18,MONTH(EDATE($E31,AM$1-1)))/100))),"")</f>
        <v/>
      </c>
      <c r="AN31" t="str" cm="1">
        <f t="array" ref="AN31">IFERROR(IF($E31&lt;44348,"",IF(INDEX(Raw_매출!$B$2:$BI$155,MATCH($A31,Raw_매출!$A$2:$A$155,0),MATCH(EDATE($E31,AN$1-1),Raw_매출!$B$1:$BI$1,0))=0,"",INDEX(Raw_매출!$B$2:$BI$155,MATCH($A31,Raw_매출!$A$2:$A$155,0),MATCH(EDATE($E31,AN$1-1),Raw_매출!$B$1:$BI$1,0))/(INDEX(요약_월별시즈널리티!$F$7:$F$18,MONTH(EDATE($E31,AN$1-1)))/100))),"")</f>
        <v/>
      </c>
      <c r="AO31" t="str" cm="1">
        <f t="array" ref="AO31">IFERROR(IF($E31&lt;44348,"",IF(INDEX(Raw_매출!$B$2:$BI$155,MATCH($A31,Raw_매출!$A$2:$A$155,0),MATCH(EDATE($E31,AO$1-1),Raw_매출!$B$1:$BI$1,0))=0,"",INDEX(Raw_매출!$B$2:$BI$155,MATCH($A31,Raw_매출!$A$2:$A$155,0),MATCH(EDATE($E31,AO$1-1),Raw_매출!$B$1:$BI$1,0))/(INDEX(요약_월별시즈널리티!$F$7:$F$18,MONTH(EDATE($E31,AO$1-1)))/100))),"")</f>
        <v/>
      </c>
      <c r="AP31" t="str" cm="1">
        <f t="array" ref="AP31">IFERROR(IF($E31&lt;44348,"",IF(INDEX(Raw_매출!$B$2:$BI$155,MATCH($A31,Raw_매출!$A$2:$A$155,0),MATCH(EDATE($E31,AP$1-1),Raw_매출!$B$1:$BI$1,0))=0,"",INDEX(Raw_매출!$B$2:$BI$155,MATCH($A31,Raw_매출!$A$2:$A$155,0),MATCH(EDATE($E31,AP$1-1),Raw_매출!$B$1:$BI$1,0))/(INDEX(요약_월별시즈널리티!$F$7:$F$18,MONTH(EDATE($E31,AP$1-1)))/100))),"")</f>
        <v/>
      </c>
      <c r="AQ31" t="str" cm="1">
        <f t="array" ref="AQ31">IFERROR(IF($E31&lt;44348,"",IF(INDEX(Raw_매출!$B$2:$BI$155,MATCH($A31,Raw_매출!$A$2:$A$155,0),MATCH(EDATE($E31,AQ$1-1),Raw_매출!$B$1:$BI$1,0))=0,"",INDEX(Raw_매출!$B$2:$BI$155,MATCH($A31,Raw_매출!$A$2:$A$155,0),MATCH(EDATE($E31,AQ$1-1),Raw_매출!$B$1:$BI$1,0))/(INDEX(요약_월별시즈널리티!$F$7:$F$18,MONTH(EDATE($E31,AQ$1-1)))/100))),"")</f>
        <v/>
      </c>
      <c r="AR31" t="str" cm="1">
        <f t="array" ref="AR31">IFERROR(IF($E31&lt;44348,"",IF(INDEX(Raw_매출!$B$2:$BI$155,MATCH($A31,Raw_매출!$A$2:$A$155,0),MATCH(EDATE($E31,AR$1-1),Raw_매출!$B$1:$BI$1,0))=0,"",INDEX(Raw_매출!$B$2:$BI$155,MATCH($A31,Raw_매출!$A$2:$A$155,0),MATCH(EDATE($E31,AR$1-1),Raw_매출!$B$1:$BI$1,0))/(INDEX(요약_월별시즈널리티!$F$7:$F$18,MONTH(EDATE($E31,AR$1-1)))/100))),"")</f>
        <v/>
      </c>
      <c r="AS31" t="str" cm="1">
        <f t="array" ref="AS31">IFERROR(IF($E31&lt;44348,"",IF(INDEX(Raw_매출!$B$2:$BI$155,MATCH($A31,Raw_매출!$A$2:$A$155,0),MATCH(EDATE($E31,AS$1-1),Raw_매출!$B$1:$BI$1,0))=0,"",INDEX(Raw_매출!$B$2:$BI$155,MATCH($A31,Raw_매출!$A$2:$A$155,0),MATCH(EDATE($E31,AS$1-1),Raw_매출!$B$1:$BI$1,0))/(INDEX(요약_월별시즈널리티!$F$7:$F$18,MONTH(EDATE($E31,AS$1-1)))/100))),"")</f>
        <v/>
      </c>
      <c r="AT31" t="str" cm="1">
        <f t="array" ref="AT31">IFERROR(IF($E31&lt;44348,"",IF(INDEX(Raw_매출!$B$2:$BI$155,MATCH($A31,Raw_매출!$A$2:$A$155,0),MATCH(EDATE($E31,AT$1-1),Raw_매출!$B$1:$BI$1,0))=0,"",INDEX(Raw_매출!$B$2:$BI$155,MATCH($A31,Raw_매출!$A$2:$A$155,0),MATCH(EDATE($E31,AT$1-1),Raw_매출!$B$1:$BI$1,0))/(INDEX(요약_월별시즈널리티!$F$7:$F$18,MONTH(EDATE($E31,AT$1-1)))/100))),"")</f>
        <v/>
      </c>
      <c r="AU31" t="str" cm="1">
        <f t="array" ref="AU31">IFERROR(IF($E31&lt;44348,"",IF(INDEX(Raw_매출!$B$2:$BI$155,MATCH($A31,Raw_매출!$A$2:$A$155,0),MATCH(EDATE($E31,AU$1-1),Raw_매출!$B$1:$BI$1,0))=0,"",INDEX(Raw_매출!$B$2:$BI$155,MATCH($A31,Raw_매출!$A$2:$A$155,0),MATCH(EDATE($E31,AU$1-1),Raw_매출!$B$1:$BI$1,0))/(INDEX(요약_월별시즈널리티!$F$7:$F$18,MONTH(EDATE($E31,AU$1-1)))/100))),"")</f>
        <v/>
      </c>
      <c r="AV31" t="str" cm="1">
        <f t="array" ref="AV31">IFERROR(IF($E31&lt;44348,"",IF(INDEX(Raw_매출!$B$2:$BI$155,MATCH($A31,Raw_매출!$A$2:$A$155,0),MATCH(EDATE($E31,AV$1-1),Raw_매출!$B$1:$BI$1,0))=0,"",INDEX(Raw_매출!$B$2:$BI$155,MATCH($A31,Raw_매출!$A$2:$A$155,0),MATCH(EDATE($E31,AV$1-1),Raw_매출!$B$1:$BI$1,0))/(INDEX(요약_월별시즈널리티!$F$7:$F$18,MONTH(EDATE($E31,AV$1-1)))/100))),"")</f>
        <v/>
      </c>
      <c r="AW31" t="str" cm="1">
        <f t="array" ref="AW31">IFERROR(IF($E31&lt;44348,"",IF(INDEX(Raw_매출!$B$2:$BI$155,MATCH($A31,Raw_매출!$A$2:$A$155,0),MATCH(EDATE($E31,AW$1-1),Raw_매출!$B$1:$BI$1,0))=0,"",INDEX(Raw_매출!$B$2:$BI$155,MATCH($A31,Raw_매출!$A$2:$A$155,0),MATCH(EDATE($E31,AW$1-1),Raw_매출!$B$1:$BI$1,0))/(INDEX(요약_월별시즈널리티!$F$7:$F$18,MONTH(EDATE($E31,AW$1-1)))/100))),"")</f>
        <v/>
      </c>
      <c r="AX31" t="str" cm="1">
        <f t="array" ref="AX31">IFERROR(IF($E31&lt;44348,"",IF(INDEX(Raw_매출!$B$2:$BI$155,MATCH($A31,Raw_매출!$A$2:$A$155,0),MATCH(EDATE($E31,AX$1-1),Raw_매출!$B$1:$BI$1,0))=0,"",INDEX(Raw_매출!$B$2:$BI$155,MATCH($A31,Raw_매출!$A$2:$A$155,0),MATCH(EDATE($E31,AX$1-1),Raw_매출!$B$1:$BI$1,0))/(INDEX(요약_월별시즈널리티!$F$7:$F$18,MONTH(EDATE($E31,AX$1-1)))/100))),"")</f>
        <v/>
      </c>
      <c r="AY31" t="str" cm="1">
        <f t="array" ref="AY31">IFERROR(IF($E31&lt;44348,"",IF(INDEX(Raw_매출!$B$2:$BI$155,MATCH($A31,Raw_매출!$A$2:$A$155,0),MATCH(EDATE($E31,AY$1-1),Raw_매출!$B$1:$BI$1,0))=0,"",INDEX(Raw_매출!$B$2:$BI$155,MATCH($A31,Raw_매출!$A$2:$A$155,0),MATCH(EDATE($E31,AY$1-1),Raw_매출!$B$1:$BI$1,0))/(INDEX(요약_월별시즈널리티!$F$7:$F$18,MONTH(EDATE($E31,AY$1-1)))/100))),"")</f>
        <v/>
      </c>
      <c r="AZ31" t="str" cm="1">
        <f t="array" ref="AZ31">IFERROR(IF($E31&lt;44348,"",IF(INDEX(Raw_매출!$B$2:$BI$155,MATCH($A31,Raw_매출!$A$2:$A$155,0),MATCH(EDATE($E31,AZ$1-1),Raw_매출!$B$1:$BI$1,0))=0,"",INDEX(Raw_매출!$B$2:$BI$155,MATCH($A31,Raw_매출!$A$2:$A$155,0),MATCH(EDATE($E31,AZ$1-1),Raw_매출!$B$1:$BI$1,0))/(INDEX(요약_월별시즈널리티!$F$7:$F$18,MONTH(EDATE($E31,AZ$1-1)))/100))),"")</f>
        <v/>
      </c>
      <c r="BA31" t="str" cm="1">
        <f t="array" ref="BA31">IFERROR(IF($E31&lt;44348,"",IF(INDEX(Raw_매출!$B$2:$BI$155,MATCH($A31,Raw_매출!$A$2:$A$155,0),MATCH(EDATE($E31,BA$1-1),Raw_매출!$B$1:$BI$1,0))=0,"",INDEX(Raw_매출!$B$2:$BI$155,MATCH($A31,Raw_매출!$A$2:$A$155,0),MATCH(EDATE($E31,BA$1-1),Raw_매출!$B$1:$BI$1,0))/(INDEX(요약_월별시즈널리티!$F$7:$F$18,MONTH(EDATE($E31,BA$1-1)))/100))),"")</f>
        <v/>
      </c>
      <c r="BB31" t="str" cm="1">
        <f t="array" ref="BB31">IFERROR(IF($E31&lt;44348,"",IF(INDEX(Raw_매출!$B$2:$BI$155,MATCH($A31,Raw_매출!$A$2:$A$155,0),MATCH(EDATE($E31,BB$1-1),Raw_매출!$B$1:$BI$1,0))=0,"",INDEX(Raw_매출!$B$2:$BI$155,MATCH($A31,Raw_매출!$A$2:$A$155,0),MATCH(EDATE($E31,BB$1-1),Raw_매출!$B$1:$BI$1,0))/(INDEX(요약_월별시즈널리티!$F$7:$F$18,MONTH(EDATE($E31,BB$1-1)))/100))),"")</f>
        <v/>
      </c>
      <c r="BC31" t="str" cm="1">
        <f t="array" ref="BC31">IFERROR(IF($E31&lt;44348,"",IF(INDEX(Raw_매출!$B$2:$BI$155,MATCH($A31,Raw_매출!$A$2:$A$155,0),MATCH(EDATE($E31,BC$1-1),Raw_매출!$B$1:$BI$1,0))=0,"",INDEX(Raw_매출!$B$2:$BI$155,MATCH($A31,Raw_매출!$A$2:$A$155,0),MATCH(EDATE($E31,BC$1-1),Raw_매출!$B$1:$BI$1,0))/(INDEX(요약_월별시즈널리티!$F$7:$F$18,MONTH(EDATE($E31,BC$1-1)))/100))),"")</f>
        <v/>
      </c>
      <c r="BD31" t="str" cm="1">
        <f t="array" ref="BD31">IFERROR(IF($E31&lt;44348,"",IF(INDEX(Raw_매출!$B$2:$BI$155,MATCH($A31,Raw_매출!$A$2:$A$155,0),MATCH(EDATE($E31,BD$1-1),Raw_매출!$B$1:$BI$1,0))=0,"",INDEX(Raw_매출!$B$2:$BI$155,MATCH($A31,Raw_매출!$A$2:$A$155,0),MATCH(EDATE($E31,BD$1-1),Raw_매출!$B$1:$BI$1,0))/(INDEX(요약_월별시즈널리티!$F$7:$F$18,MONTH(EDATE($E31,BD$1-1)))/100))),"")</f>
        <v/>
      </c>
      <c r="BE31" t="str" cm="1">
        <f t="array" ref="BE31">IFERROR(IF($E31&lt;44348,"",IF(INDEX(Raw_매출!$B$2:$BI$155,MATCH($A31,Raw_매출!$A$2:$A$155,0),MATCH(EDATE($E31,BE$1-1),Raw_매출!$B$1:$BI$1,0))=0,"",INDEX(Raw_매출!$B$2:$BI$155,MATCH($A31,Raw_매출!$A$2:$A$155,0),MATCH(EDATE($E31,BE$1-1),Raw_매출!$B$1:$BI$1,0))/(INDEX(요약_월별시즈널리티!$F$7:$F$18,MONTH(EDATE($E31,BE$1-1)))/100))),"")</f>
        <v/>
      </c>
      <c r="BF31" t="str" cm="1">
        <f t="array" ref="BF31">IFERROR(IF($E31&lt;44348,"",IF(INDEX(Raw_매출!$B$2:$BI$155,MATCH($A31,Raw_매출!$A$2:$A$155,0),MATCH(EDATE($E31,BF$1-1),Raw_매출!$B$1:$BI$1,0))=0,"",INDEX(Raw_매출!$B$2:$BI$155,MATCH($A31,Raw_매출!$A$2:$A$155,0),MATCH(EDATE($E31,BF$1-1),Raw_매출!$B$1:$BI$1,0))/(INDEX(요약_월별시즈널리티!$F$7:$F$18,MONTH(EDATE($E31,BF$1-1)))/100))),"")</f>
        <v/>
      </c>
      <c r="BG31" t="str" cm="1">
        <f t="array" ref="BG31">IFERROR(IF($E31&lt;44348,"",IF(INDEX(Raw_매출!$B$2:$BI$155,MATCH($A31,Raw_매출!$A$2:$A$155,0),MATCH(EDATE($E31,BG$1-1),Raw_매출!$B$1:$BI$1,0))=0,"",INDEX(Raw_매출!$B$2:$BI$155,MATCH($A31,Raw_매출!$A$2:$A$155,0),MATCH(EDATE($E31,BG$1-1),Raw_매출!$B$1:$BI$1,0))/(INDEX(요약_월별시즈널리티!$F$7:$F$18,MONTH(EDATE($E31,BG$1-1)))/100))),"")</f>
        <v/>
      </c>
      <c r="BH31" t="str" cm="1">
        <f t="array" ref="BH31">IFERROR(IF($E31&lt;44348,"",IF(INDEX(Raw_매출!$B$2:$BI$155,MATCH($A31,Raw_매출!$A$2:$A$155,0),MATCH(EDATE($E31,BH$1-1),Raw_매출!$B$1:$BI$1,0))=0,"",INDEX(Raw_매출!$B$2:$BI$155,MATCH($A31,Raw_매출!$A$2:$A$155,0),MATCH(EDATE($E31,BH$1-1),Raw_매출!$B$1:$BI$1,0))/(INDEX(요약_월별시즈널리티!$F$7:$F$18,MONTH(EDATE($E31,BH$1-1)))/100))),"")</f>
        <v/>
      </c>
      <c r="BI31" t="str" cm="1">
        <f t="array" ref="BI31">IFERROR(IF($E31&lt;44348,"",IF(INDEX(Raw_매출!$B$2:$BI$155,MATCH($A31,Raw_매출!$A$2:$A$155,0),MATCH(EDATE($E31,BI$1-1),Raw_매출!$B$1:$BI$1,0))=0,"",INDEX(Raw_매출!$B$2:$BI$155,MATCH($A31,Raw_매출!$A$2:$A$155,0),MATCH(EDATE($E31,BI$1-1),Raw_매출!$B$1:$BI$1,0))/(INDEX(요약_월별시즈널리티!$F$7:$F$18,MONTH(EDATE($E31,BI$1-1)))/100))),"")</f>
        <v/>
      </c>
      <c r="BJ31" t="str" cm="1">
        <f t="array" ref="BJ31">IFERROR(IF($E31&lt;44348,"",IF(INDEX(Raw_매출!$B$2:$BI$155,MATCH($A31,Raw_매출!$A$2:$A$155,0),MATCH(EDATE($E31,BJ$1-1),Raw_매출!$B$1:$BI$1,0))=0,"",INDEX(Raw_매출!$B$2:$BI$155,MATCH($A31,Raw_매출!$A$2:$A$155,0),MATCH(EDATE($E31,BJ$1-1),Raw_매출!$B$1:$BI$1,0))/(INDEX(요약_월별시즈널리티!$F$7:$F$18,MONTH(EDATE($E31,BJ$1-1)))/100))),"")</f>
        <v/>
      </c>
      <c r="BK31" t="str" cm="1">
        <f t="array" ref="BK31">IFERROR(IF($E31&lt;44348,"",IF(INDEX(Raw_매출!$B$2:$BI$155,MATCH($A31,Raw_매출!$A$2:$A$155,0),MATCH(EDATE($E31,BK$1-1),Raw_매출!$B$1:$BI$1,0))=0,"",INDEX(Raw_매출!$B$2:$BI$155,MATCH($A31,Raw_매출!$A$2:$A$155,0),MATCH(EDATE($E31,BK$1-1),Raw_매출!$B$1:$BI$1,0))/(INDEX(요약_월별시즈널리티!$F$7:$F$18,MONTH(EDATE($E31,BK$1-1)))/100))),"")</f>
        <v/>
      </c>
      <c r="BL31" t="str" cm="1">
        <f t="array" ref="BL31">IFERROR(IF($E31&lt;44348,"",IF(INDEX(Raw_매출!$B$2:$BI$155,MATCH($A31,Raw_매출!$A$2:$A$155,0),MATCH(EDATE($E31,BL$1-1),Raw_매출!$B$1:$BI$1,0))=0,"",INDEX(Raw_매출!$B$2:$BI$155,MATCH($A31,Raw_매출!$A$2:$A$155,0),MATCH(EDATE($E31,BL$1-1),Raw_매출!$B$1:$BI$1,0))/(INDEX(요약_월별시즈널리티!$F$7:$F$18,MONTH(EDATE($E31,BL$1-1)))/100))),"")</f>
        <v/>
      </c>
      <c r="BM31" t="str" cm="1">
        <f t="array" ref="BM31">IFERROR(IF($E31&lt;44348,"",IF(INDEX(Raw_매출!$B$2:$BI$155,MATCH($A31,Raw_매출!$A$2:$A$155,0),MATCH(EDATE($E31,BM$1-1),Raw_매출!$B$1:$BI$1,0))=0,"",INDEX(Raw_매출!$B$2:$BI$155,MATCH($A31,Raw_매출!$A$2:$A$155,0),MATCH(EDATE($E31,BM$1-1),Raw_매출!$B$1:$BI$1,0))/(INDEX(요약_월별시즈널리티!$F$7:$F$18,MONTH(EDATE($E31,BM$1-1)))/100))),"")</f>
        <v/>
      </c>
      <c r="BN31" t="str" cm="1">
        <f t="array" ref="BN31">IFERROR(IF($E31&lt;44348,"",IF(INDEX(Raw_매출!$B$2:$BI$155,MATCH($A31,Raw_매출!$A$2:$A$155,0),MATCH(EDATE($E31,BN$1-1),Raw_매출!$B$1:$BI$1,0))=0,"",INDEX(Raw_매출!$B$2:$BI$155,MATCH($A31,Raw_매출!$A$2:$A$155,0),MATCH(EDATE($E31,BN$1-1),Raw_매출!$B$1:$BI$1,0))/(INDEX(요약_월별시즈널리티!$F$7:$F$18,MONTH(EDATE($E31,BN$1-1)))/100))),"")</f>
        <v/>
      </c>
    </row>
    <row r="32" spans="1:66" x14ac:dyDescent="0.4">
      <c r="A32" t="str">
        <f>세팅!A33</f>
        <v>(1020) #신길삼거리점</v>
      </c>
      <c r="B32" t="str">
        <f>세팅!B33</f>
        <v>150-1</v>
      </c>
      <c r="C32">
        <f t="shared" si="0"/>
        <v>1</v>
      </c>
      <c r="D32" t="str">
        <f t="shared" si="1"/>
        <v>1</v>
      </c>
      <c r="E32" s="1">
        <f>세팅!D33</f>
        <v>44287</v>
      </c>
      <c r="F32" t="str">
        <f t="shared" si="2"/>
        <v/>
      </c>
      <c r="G32" t="str" cm="1">
        <f t="array" ref="G32">IFERROR(IF($E32&lt;44348,"",IF(INDEX(Raw_매출!$B$2:$BI$155,MATCH($A32,Raw_매출!$A$2:$A$155,0),MATCH(EDATE($E32,G$1-1),Raw_매출!$B$1:$BI$1,0))=0,"",INDEX(Raw_매출!$B$2:$BI$155,MATCH($A32,Raw_매출!$A$2:$A$155,0),MATCH(EDATE($E32,G$1-1),Raw_매출!$B$1:$BI$1,0))/(INDEX(요약_월별시즈널리티!$F$7:$F$18,MONTH(EDATE($E32,G$1-1)))/100))),"")</f>
        <v/>
      </c>
      <c r="H32" t="str" cm="1">
        <f t="array" ref="H32">IFERROR(IF($E32&lt;44348,"",IF(INDEX(Raw_매출!$B$2:$BI$155,MATCH($A32,Raw_매출!$A$2:$A$155,0),MATCH(EDATE($E32,H$1-1),Raw_매출!$B$1:$BI$1,0))=0,"",INDEX(Raw_매출!$B$2:$BI$155,MATCH($A32,Raw_매출!$A$2:$A$155,0),MATCH(EDATE($E32,H$1-1),Raw_매출!$B$1:$BI$1,0))/(INDEX(요약_월별시즈널리티!$F$7:$F$18,MONTH(EDATE($E32,H$1-1)))/100))),"")</f>
        <v/>
      </c>
      <c r="I32" t="str" cm="1">
        <f t="array" ref="I32">IFERROR(IF($E32&lt;44348,"",IF(INDEX(Raw_매출!$B$2:$BI$155,MATCH($A32,Raw_매출!$A$2:$A$155,0),MATCH(EDATE($E32,I$1-1),Raw_매출!$B$1:$BI$1,0))=0,"",INDEX(Raw_매출!$B$2:$BI$155,MATCH($A32,Raw_매출!$A$2:$A$155,0),MATCH(EDATE($E32,I$1-1),Raw_매출!$B$1:$BI$1,0))/(INDEX(요약_월별시즈널리티!$F$7:$F$18,MONTH(EDATE($E32,I$1-1)))/100))),"")</f>
        <v/>
      </c>
      <c r="J32" s="30" t="str" cm="1">
        <f t="array" ref="J32">IFERROR(IF($E32&lt;44348,"",IF(INDEX(Raw_매출!$B$2:$BI$155,MATCH($A32,Raw_매출!$A$2:$A$155,0),MATCH(EDATE($E32,J$1-1),Raw_매출!$B$1:$BI$1,0))=0,"",INDEX(Raw_매출!$B$2:$BI$155,MATCH($A32,Raw_매출!$A$2:$A$155,0),MATCH(EDATE($E32,J$1-1),Raw_매출!$B$1:$BI$1,0))/(INDEX(요약_월별시즈널리티!$F$7:$F$18,MONTH(EDATE($E32,J$1-1)))/100))),"")</f>
        <v/>
      </c>
      <c r="K32" s="30" t="str" cm="1">
        <f t="array" ref="K32">IFERROR(IF($E32&lt;44348,"",IF(INDEX(Raw_매출!$B$2:$BI$155,MATCH($A32,Raw_매출!$A$2:$A$155,0),MATCH(EDATE($E32,K$1-1),Raw_매출!$B$1:$BI$1,0))=0,"",INDEX(Raw_매출!$B$2:$BI$155,MATCH($A32,Raw_매출!$A$2:$A$155,0),MATCH(EDATE($E32,K$1-1),Raw_매출!$B$1:$BI$1,0))/(INDEX(요약_월별시즈널리티!$F$7:$F$18,MONTH(EDATE($E32,K$1-1)))/100))),"")</f>
        <v/>
      </c>
      <c r="L32" s="30" t="str" cm="1">
        <f t="array" ref="L32">IFERROR(IF($E32&lt;44348,"",IF(INDEX(Raw_매출!$B$2:$BI$155,MATCH($A32,Raw_매출!$A$2:$A$155,0),MATCH(EDATE($E32,L$1-1),Raw_매출!$B$1:$BI$1,0))=0,"",INDEX(Raw_매출!$B$2:$BI$155,MATCH($A32,Raw_매출!$A$2:$A$155,0),MATCH(EDATE($E32,L$1-1),Raw_매출!$B$1:$BI$1,0))/(INDEX(요약_월별시즈널리티!$F$7:$F$18,MONTH(EDATE($E32,L$1-1)))/100))),"")</f>
        <v/>
      </c>
      <c r="M32" s="30" t="str" cm="1">
        <f t="array" ref="M32">IFERROR(IF($E32&lt;44348,"",IF(INDEX(Raw_매출!$B$2:$BI$155,MATCH($A32,Raw_매출!$A$2:$A$155,0),MATCH(EDATE($E32,M$1-1),Raw_매출!$B$1:$BI$1,0))=0,"",INDEX(Raw_매출!$B$2:$BI$155,MATCH($A32,Raw_매출!$A$2:$A$155,0),MATCH(EDATE($E32,M$1-1),Raw_매출!$B$1:$BI$1,0))/(INDEX(요약_월별시즈널리티!$F$7:$F$18,MONTH(EDATE($E32,M$1-1)))/100))),"")</f>
        <v/>
      </c>
      <c r="N32" s="30" t="str" cm="1">
        <f t="array" ref="N32">IFERROR(IF($E32&lt;44348,"",IF(INDEX(Raw_매출!$B$2:$BI$155,MATCH($A32,Raw_매출!$A$2:$A$155,0),MATCH(EDATE($E32,N$1-1),Raw_매출!$B$1:$BI$1,0))=0,"",INDEX(Raw_매출!$B$2:$BI$155,MATCH($A32,Raw_매출!$A$2:$A$155,0),MATCH(EDATE($E32,N$1-1),Raw_매출!$B$1:$BI$1,0))/(INDEX(요약_월별시즈널리티!$F$7:$F$18,MONTH(EDATE($E32,N$1-1)))/100))),"")</f>
        <v/>
      </c>
      <c r="O32" s="30" t="str" cm="1">
        <f t="array" ref="O32">IFERROR(IF($E32&lt;44348,"",IF(INDEX(Raw_매출!$B$2:$BI$155,MATCH($A32,Raw_매출!$A$2:$A$155,0),MATCH(EDATE($E32,O$1-1),Raw_매출!$B$1:$BI$1,0))=0,"",INDEX(Raw_매출!$B$2:$BI$155,MATCH($A32,Raw_매출!$A$2:$A$155,0),MATCH(EDATE($E32,O$1-1),Raw_매출!$B$1:$BI$1,0))/(INDEX(요약_월별시즈널리티!$F$7:$F$18,MONTH(EDATE($E32,O$1-1)))/100))),"")</f>
        <v/>
      </c>
      <c r="P32" t="str" cm="1">
        <f t="array" ref="P32">IFERROR(IF($E32&lt;44348,"",IF(INDEX(Raw_매출!$B$2:$BI$155,MATCH($A32,Raw_매출!$A$2:$A$155,0),MATCH(EDATE($E32,P$1-1),Raw_매출!$B$1:$BI$1,0))=0,"",INDEX(Raw_매출!$B$2:$BI$155,MATCH($A32,Raw_매출!$A$2:$A$155,0),MATCH(EDATE($E32,P$1-1),Raw_매출!$B$1:$BI$1,0))/(INDEX(요약_월별시즈널리티!$F$7:$F$18,MONTH(EDATE($E32,P$1-1)))/100))),"")</f>
        <v/>
      </c>
      <c r="Q32" t="str" cm="1">
        <f t="array" ref="Q32">IFERROR(IF($E32&lt;44348,"",IF(INDEX(Raw_매출!$B$2:$BI$155,MATCH($A32,Raw_매출!$A$2:$A$155,0),MATCH(EDATE($E32,Q$1-1),Raw_매출!$B$1:$BI$1,0))=0,"",INDEX(Raw_매출!$B$2:$BI$155,MATCH($A32,Raw_매출!$A$2:$A$155,0),MATCH(EDATE($E32,Q$1-1),Raw_매출!$B$1:$BI$1,0))/(INDEX(요약_월별시즈널리티!$F$7:$F$18,MONTH(EDATE($E32,Q$1-1)))/100))),"")</f>
        <v/>
      </c>
      <c r="R32" t="str" cm="1">
        <f t="array" ref="R32">IFERROR(IF($E32&lt;44348,"",IF(INDEX(Raw_매출!$B$2:$BI$155,MATCH($A32,Raw_매출!$A$2:$A$155,0),MATCH(EDATE($E32,R$1-1),Raw_매출!$B$1:$BI$1,0))=0,"",INDEX(Raw_매출!$B$2:$BI$155,MATCH($A32,Raw_매출!$A$2:$A$155,0),MATCH(EDATE($E32,R$1-1),Raw_매출!$B$1:$BI$1,0))/(INDEX(요약_월별시즈널리티!$F$7:$F$18,MONTH(EDATE($E32,R$1-1)))/100))),"")</f>
        <v/>
      </c>
      <c r="S32" t="str" cm="1">
        <f t="array" ref="S32">IFERROR(IF($E32&lt;44348,"",IF(INDEX(Raw_매출!$B$2:$BI$155,MATCH($A32,Raw_매출!$A$2:$A$155,0),MATCH(EDATE($E32,S$1-1),Raw_매출!$B$1:$BI$1,0))=0,"",INDEX(Raw_매출!$B$2:$BI$155,MATCH($A32,Raw_매출!$A$2:$A$155,0),MATCH(EDATE($E32,S$1-1),Raw_매출!$B$1:$BI$1,0))/(INDEX(요약_월별시즈널리티!$F$7:$F$18,MONTH(EDATE($E32,S$1-1)))/100))),"")</f>
        <v/>
      </c>
      <c r="T32" t="str" cm="1">
        <f t="array" ref="T32">IFERROR(IF($E32&lt;44348,"",IF(INDEX(Raw_매출!$B$2:$BI$155,MATCH($A32,Raw_매출!$A$2:$A$155,0),MATCH(EDATE($E32,T$1-1),Raw_매출!$B$1:$BI$1,0))=0,"",INDEX(Raw_매출!$B$2:$BI$155,MATCH($A32,Raw_매출!$A$2:$A$155,0),MATCH(EDATE($E32,T$1-1),Raw_매출!$B$1:$BI$1,0))/(INDEX(요약_월별시즈널리티!$F$7:$F$18,MONTH(EDATE($E32,T$1-1)))/100))),"")</f>
        <v/>
      </c>
      <c r="U32" t="str" cm="1">
        <f t="array" ref="U32">IFERROR(IF($E32&lt;44348,"",IF(INDEX(Raw_매출!$B$2:$BI$155,MATCH($A32,Raw_매출!$A$2:$A$155,0),MATCH(EDATE($E32,U$1-1),Raw_매출!$B$1:$BI$1,0))=0,"",INDEX(Raw_매출!$B$2:$BI$155,MATCH($A32,Raw_매출!$A$2:$A$155,0),MATCH(EDATE($E32,U$1-1),Raw_매출!$B$1:$BI$1,0))/(INDEX(요약_월별시즈널리티!$F$7:$F$18,MONTH(EDATE($E32,U$1-1)))/100))),"")</f>
        <v/>
      </c>
      <c r="V32" t="str" cm="1">
        <f t="array" ref="V32">IFERROR(IF($E32&lt;44348,"",IF(INDEX(Raw_매출!$B$2:$BI$155,MATCH($A32,Raw_매출!$A$2:$A$155,0),MATCH(EDATE($E32,V$1-1),Raw_매출!$B$1:$BI$1,0))=0,"",INDEX(Raw_매출!$B$2:$BI$155,MATCH($A32,Raw_매출!$A$2:$A$155,0),MATCH(EDATE($E32,V$1-1),Raw_매출!$B$1:$BI$1,0))/(INDEX(요약_월별시즈널리티!$F$7:$F$18,MONTH(EDATE($E32,V$1-1)))/100))),"")</f>
        <v/>
      </c>
      <c r="W32" t="str" cm="1">
        <f t="array" ref="W32">IFERROR(IF($E32&lt;44348,"",IF(INDEX(Raw_매출!$B$2:$BI$155,MATCH($A32,Raw_매출!$A$2:$A$155,0),MATCH(EDATE($E32,W$1-1),Raw_매출!$B$1:$BI$1,0))=0,"",INDEX(Raw_매출!$B$2:$BI$155,MATCH($A32,Raw_매출!$A$2:$A$155,0),MATCH(EDATE($E32,W$1-1),Raw_매출!$B$1:$BI$1,0))/(INDEX(요약_월별시즈널리티!$F$7:$F$18,MONTH(EDATE($E32,W$1-1)))/100))),"")</f>
        <v/>
      </c>
      <c r="X32" t="str" cm="1">
        <f t="array" ref="X32">IFERROR(IF($E32&lt;44348,"",IF(INDEX(Raw_매출!$B$2:$BI$155,MATCH($A32,Raw_매출!$A$2:$A$155,0),MATCH(EDATE($E32,X$1-1),Raw_매출!$B$1:$BI$1,0))=0,"",INDEX(Raw_매출!$B$2:$BI$155,MATCH($A32,Raw_매출!$A$2:$A$155,0),MATCH(EDATE($E32,X$1-1),Raw_매출!$B$1:$BI$1,0))/(INDEX(요약_월별시즈널리티!$F$7:$F$18,MONTH(EDATE($E32,X$1-1)))/100))),"")</f>
        <v/>
      </c>
      <c r="Y32" t="str" cm="1">
        <f t="array" ref="Y32">IFERROR(IF($E32&lt;44348,"",IF(INDEX(Raw_매출!$B$2:$BI$155,MATCH($A32,Raw_매출!$A$2:$A$155,0),MATCH(EDATE($E32,Y$1-1),Raw_매출!$B$1:$BI$1,0))=0,"",INDEX(Raw_매출!$B$2:$BI$155,MATCH($A32,Raw_매출!$A$2:$A$155,0),MATCH(EDATE($E32,Y$1-1),Raw_매출!$B$1:$BI$1,0))/(INDEX(요약_월별시즈널리티!$F$7:$F$18,MONTH(EDATE($E32,Y$1-1)))/100))),"")</f>
        <v/>
      </c>
      <c r="Z32" t="str" cm="1">
        <f t="array" ref="Z32">IFERROR(IF($E32&lt;44348,"",IF(INDEX(Raw_매출!$B$2:$BI$155,MATCH($A32,Raw_매출!$A$2:$A$155,0),MATCH(EDATE($E32,Z$1-1),Raw_매출!$B$1:$BI$1,0))=0,"",INDEX(Raw_매출!$B$2:$BI$155,MATCH($A32,Raw_매출!$A$2:$A$155,0),MATCH(EDATE($E32,Z$1-1),Raw_매출!$B$1:$BI$1,0))/(INDEX(요약_월별시즈널리티!$F$7:$F$18,MONTH(EDATE($E32,Z$1-1)))/100))),"")</f>
        <v/>
      </c>
      <c r="AA32" t="str" cm="1">
        <f t="array" ref="AA32">IFERROR(IF($E32&lt;44348,"",IF(INDEX(Raw_매출!$B$2:$BI$155,MATCH($A32,Raw_매출!$A$2:$A$155,0),MATCH(EDATE($E32,AA$1-1),Raw_매출!$B$1:$BI$1,0))=0,"",INDEX(Raw_매출!$B$2:$BI$155,MATCH($A32,Raw_매출!$A$2:$A$155,0),MATCH(EDATE($E32,AA$1-1),Raw_매출!$B$1:$BI$1,0))/(INDEX(요약_월별시즈널리티!$F$7:$F$18,MONTH(EDATE($E32,AA$1-1)))/100))),"")</f>
        <v/>
      </c>
      <c r="AB32" t="str" cm="1">
        <f t="array" ref="AB32">IFERROR(IF($E32&lt;44348,"",IF(INDEX(Raw_매출!$B$2:$BI$155,MATCH($A32,Raw_매출!$A$2:$A$155,0),MATCH(EDATE($E32,AB$1-1),Raw_매출!$B$1:$BI$1,0))=0,"",INDEX(Raw_매출!$B$2:$BI$155,MATCH($A32,Raw_매출!$A$2:$A$155,0),MATCH(EDATE($E32,AB$1-1),Raw_매출!$B$1:$BI$1,0))/(INDEX(요약_월별시즈널리티!$F$7:$F$18,MONTH(EDATE($E32,AB$1-1)))/100))),"")</f>
        <v/>
      </c>
      <c r="AC32" t="str" cm="1">
        <f t="array" ref="AC32">IFERROR(IF($E32&lt;44348,"",IF(INDEX(Raw_매출!$B$2:$BI$155,MATCH($A32,Raw_매출!$A$2:$A$155,0),MATCH(EDATE($E32,AC$1-1),Raw_매출!$B$1:$BI$1,0))=0,"",INDEX(Raw_매출!$B$2:$BI$155,MATCH($A32,Raw_매출!$A$2:$A$155,0),MATCH(EDATE($E32,AC$1-1),Raw_매출!$B$1:$BI$1,0))/(INDEX(요약_월별시즈널리티!$F$7:$F$18,MONTH(EDATE($E32,AC$1-1)))/100))),"")</f>
        <v/>
      </c>
      <c r="AD32" t="str" cm="1">
        <f t="array" ref="AD32">IFERROR(IF($E32&lt;44348,"",IF(INDEX(Raw_매출!$B$2:$BI$155,MATCH($A32,Raw_매출!$A$2:$A$155,0),MATCH(EDATE($E32,AD$1-1),Raw_매출!$B$1:$BI$1,0))=0,"",INDEX(Raw_매출!$B$2:$BI$155,MATCH($A32,Raw_매출!$A$2:$A$155,0),MATCH(EDATE($E32,AD$1-1),Raw_매출!$B$1:$BI$1,0))/(INDEX(요약_월별시즈널리티!$F$7:$F$18,MONTH(EDATE($E32,AD$1-1)))/100))),"")</f>
        <v/>
      </c>
      <c r="AE32" t="str" cm="1">
        <f t="array" ref="AE32">IFERROR(IF($E32&lt;44348,"",IF(INDEX(Raw_매출!$B$2:$BI$155,MATCH($A32,Raw_매출!$A$2:$A$155,0),MATCH(EDATE($E32,AE$1-1),Raw_매출!$B$1:$BI$1,0))=0,"",INDEX(Raw_매출!$B$2:$BI$155,MATCH($A32,Raw_매출!$A$2:$A$155,0),MATCH(EDATE($E32,AE$1-1),Raw_매출!$B$1:$BI$1,0))/(INDEX(요약_월별시즈널리티!$F$7:$F$18,MONTH(EDATE($E32,AE$1-1)))/100))),"")</f>
        <v/>
      </c>
      <c r="AF32" t="str" cm="1">
        <f t="array" ref="AF32">IFERROR(IF($E32&lt;44348,"",IF(INDEX(Raw_매출!$B$2:$BI$155,MATCH($A32,Raw_매출!$A$2:$A$155,0),MATCH(EDATE($E32,AF$1-1),Raw_매출!$B$1:$BI$1,0))=0,"",INDEX(Raw_매출!$B$2:$BI$155,MATCH($A32,Raw_매출!$A$2:$A$155,0),MATCH(EDATE($E32,AF$1-1),Raw_매출!$B$1:$BI$1,0))/(INDEX(요약_월별시즈널리티!$F$7:$F$18,MONTH(EDATE($E32,AF$1-1)))/100))),"")</f>
        <v/>
      </c>
      <c r="AG32" t="str" cm="1">
        <f t="array" ref="AG32">IFERROR(IF($E32&lt;44348,"",IF(INDEX(Raw_매출!$B$2:$BI$155,MATCH($A32,Raw_매출!$A$2:$A$155,0),MATCH(EDATE($E32,AG$1-1),Raw_매출!$B$1:$BI$1,0))=0,"",INDEX(Raw_매출!$B$2:$BI$155,MATCH($A32,Raw_매출!$A$2:$A$155,0),MATCH(EDATE($E32,AG$1-1),Raw_매출!$B$1:$BI$1,0))/(INDEX(요약_월별시즈널리티!$F$7:$F$18,MONTH(EDATE($E32,AG$1-1)))/100))),"")</f>
        <v/>
      </c>
      <c r="AH32" t="str" cm="1">
        <f t="array" ref="AH32">IFERROR(IF($E32&lt;44348,"",IF(INDEX(Raw_매출!$B$2:$BI$155,MATCH($A32,Raw_매출!$A$2:$A$155,0),MATCH(EDATE($E32,AH$1-1),Raw_매출!$B$1:$BI$1,0))=0,"",INDEX(Raw_매출!$B$2:$BI$155,MATCH($A32,Raw_매출!$A$2:$A$155,0),MATCH(EDATE($E32,AH$1-1),Raw_매출!$B$1:$BI$1,0))/(INDEX(요약_월별시즈널리티!$F$7:$F$18,MONTH(EDATE($E32,AH$1-1)))/100))),"")</f>
        <v/>
      </c>
      <c r="AI32" t="str" cm="1">
        <f t="array" ref="AI32">IFERROR(IF($E32&lt;44348,"",IF(INDEX(Raw_매출!$B$2:$BI$155,MATCH($A32,Raw_매출!$A$2:$A$155,0),MATCH(EDATE($E32,AI$1-1),Raw_매출!$B$1:$BI$1,0))=0,"",INDEX(Raw_매출!$B$2:$BI$155,MATCH($A32,Raw_매출!$A$2:$A$155,0),MATCH(EDATE($E32,AI$1-1),Raw_매출!$B$1:$BI$1,0))/(INDEX(요약_월별시즈널리티!$F$7:$F$18,MONTH(EDATE($E32,AI$1-1)))/100))),"")</f>
        <v/>
      </c>
      <c r="AJ32" t="str" cm="1">
        <f t="array" ref="AJ32">IFERROR(IF($E32&lt;44348,"",IF(INDEX(Raw_매출!$B$2:$BI$155,MATCH($A32,Raw_매출!$A$2:$A$155,0),MATCH(EDATE($E32,AJ$1-1),Raw_매출!$B$1:$BI$1,0))=0,"",INDEX(Raw_매출!$B$2:$BI$155,MATCH($A32,Raw_매출!$A$2:$A$155,0),MATCH(EDATE($E32,AJ$1-1),Raw_매출!$B$1:$BI$1,0))/(INDEX(요약_월별시즈널리티!$F$7:$F$18,MONTH(EDATE($E32,AJ$1-1)))/100))),"")</f>
        <v/>
      </c>
      <c r="AK32" t="str" cm="1">
        <f t="array" ref="AK32">IFERROR(IF($E32&lt;44348,"",IF(INDEX(Raw_매출!$B$2:$BI$155,MATCH($A32,Raw_매출!$A$2:$A$155,0),MATCH(EDATE($E32,AK$1-1),Raw_매출!$B$1:$BI$1,0))=0,"",INDEX(Raw_매출!$B$2:$BI$155,MATCH($A32,Raw_매출!$A$2:$A$155,0),MATCH(EDATE($E32,AK$1-1),Raw_매출!$B$1:$BI$1,0))/(INDEX(요약_월별시즈널리티!$F$7:$F$18,MONTH(EDATE($E32,AK$1-1)))/100))),"")</f>
        <v/>
      </c>
      <c r="AL32" t="str" cm="1">
        <f t="array" ref="AL32">IFERROR(IF($E32&lt;44348,"",IF(INDEX(Raw_매출!$B$2:$BI$155,MATCH($A32,Raw_매출!$A$2:$A$155,0),MATCH(EDATE($E32,AL$1-1),Raw_매출!$B$1:$BI$1,0))=0,"",INDEX(Raw_매출!$B$2:$BI$155,MATCH($A32,Raw_매출!$A$2:$A$155,0),MATCH(EDATE($E32,AL$1-1),Raw_매출!$B$1:$BI$1,0))/(INDEX(요약_월별시즈널리티!$F$7:$F$18,MONTH(EDATE($E32,AL$1-1)))/100))),"")</f>
        <v/>
      </c>
      <c r="AM32" t="str" cm="1">
        <f t="array" ref="AM32">IFERROR(IF($E32&lt;44348,"",IF(INDEX(Raw_매출!$B$2:$BI$155,MATCH($A32,Raw_매출!$A$2:$A$155,0),MATCH(EDATE($E32,AM$1-1),Raw_매출!$B$1:$BI$1,0))=0,"",INDEX(Raw_매출!$B$2:$BI$155,MATCH($A32,Raw_매출!$A$2:$A$155,0),MATCH(EDATE($E32,AM$1-1),Raw_매출!$B$1:$BI$1,0))/(INDEX(요약_월별시즈널리티!$F$7:$F$18,MONTH(EDATE($E32,AM$1-1)))/100))),"")</f>
        <v/>
      </c>
      <c r="AN32" t="str" cm="1">
        <f t="array" ref="AN32">IFERROR(IF($E32&lt;44348,"",IF(INDEX(Raw_매출!$B$2:$BI$155,MATCH($A32,Raw_매출!$A$2:$A$155,0),MATCH(EDATE($E32,AN$1-1),Raw_매출!$B$1:$BI$1,0))=0,"",INDEX(Raw_매출!$B$2:$BI$155,MATCH($A32,Raw_매출!$A$2:$A$155,0),MATCH(EDATE($E32,AN$1-1),Raw_매출!$B$1:$BI$1,0))/(INDEX(요약_월별시즈널리티!$F$7:$F$18,MONTH(EDATE($E32,AN$1-1)))/100))),"")</f>
        <v/>
      </c>
      <c r="AO32" t="str" cm="1">
        <f t="array" ref="AO32">IFERROR(IF($E32&lt;44348,"",IF(INDEX(Raw_매출!$B$2:$BI$155,MATCH($A32,Raw_매출!$A$2:$A$155,0),MATCH(EDATE($E32,AO$1-1),Raw_매출!$B$1:$BI$1,0))=0,"",INDEX(Raw_매출!$B$2:$BI$155,MATCH($A32,Raw_매출!$A$2:$A$155,0),MATCH(EDATE($E32,AO$1-1),Raw_매출!$B$1:$BI$1,0))/(INDEX(요약_월별시즈널리티!$F$7:$F$18,MONTH(EDATE($E32,AO$1-1)))/100))),"")</f>
        <v/>
      </c>
      <c r="AP32" t="str" cm="1">
        <f t="array" ref="AP32">IFERROR(IF($E32&lt;44348,"",IF(INDEX(Raw_매출!$B$2:$BI$155,MATCH($A32,Raw_매출!$A$2:$A$155,0),MATCH(EDATE($E32,AP$1-1),Raw_매출!$B$1:$BI$1,0))=0,"",INDEX(Raw_매출!$B$2:$BI$155,MATCH($A32,Raw_매출!$A$2:$A$155,0),MATCH(EDATE($E32,AP$1-1),Raw_매출!$B$1:$BI$1,0))/(INDEX(요약_월별시즈널리티!$F$7:$F$18,MONTH(EDATE($E32,AP$1-1)))/100))),"")</f>
        <v/>
      </c>
      <c r="AQ32" t="str" cm="1">
        <f t="array" ref="AQ32">IFERROR(IF($E32&lt;44348,"",IF(INDEX(Raw_매출!$B$2:$BI$155,MATCH($A32,Raw_매출!$A$2:$A$155,0),MATCH(EDATE($E32,AQ$1-1),Raw_매출!$B$1:$BI$1,0))=0,"",INDEX(Raw_매출!$B$2:$BI$155,MATCH($A32,Raw_매출!$A$2:$A$155,0),MATCH(EDATE($E32,AQ$1-1),Raw_매출!$B$1:$BI$1,0))/(INDEX(요약_월별시즈널리티!$F$7:$F$18,MONTH(EDATE($E32,AQ$1-1)))/100))),"")</f>
        <v/>
      </c>
      <c r="AR32" t="str" cm="1">
        <f t="array" ref="AR32">IFERROR(IF($E32&lt;44348,"",IF(INDEX(Raw_매출!$B$2:$BI$155,MATCH($A32,Raw_매출!$A$2:$A$155,0),MATCH(EDATE($E32,AR$1-1),Raw_매출!$B$1:$BI$1,0))=0,"",INDEX(Raw_매출!$B$2:$BI$155,MATCH($A32,Raw_매출!$A$2:$A$155,0),MATCH(EDATE($E32,AR$1-1),Raw_매출!$B$1:$BI$1,0))/(INDEX(요약_월별시즈널리티!$F$7:$F$18,MONTH(EDATE($E32,AR$1-1)))/100))),"")</f>
        <v/>
      </c>
      <c r="AS32" t="str" cm="1">
        <f t="array" ref="AS32">IFERROR(IF($E32&lt;44348,"",IF(INDEX(Raw_매출!$B$2:$BI$155,MATCH($A32,Raw_매출!$A$2:$A$155,0),MATCH(EDATE($E32,AS$1-1),Raw_매출!$B$1:$BI$1,0))=0,"",INDEX(Raw_매출!$B$2:$BI$155,MATCH($A32,Raw_매출!$A$2:$A$155,0),MATCH(EDATE($E32,AS$1-1),Raw_매출!$B$1:$BI$1,0))/(INDEX(요약_월별시즈널리티!$F$7:$F$18,MONTH(EDATE($E32,AS$1-1)))/100))),"")</f>
        <v/>
      </c>
      <c r="AT32" t="str" cm="1">
        <f t="array" ref="AT32">IFERROR(IF($E32&lt;44348,"",IF(INDEX(Raw_매출!$B$2:$BI$155,MATCH($A32,Raw_매출!$A$2:$A$155,0),MATCH(EDATE($E32,AT$1-1),Raw_매출!$B$1:$BI$1,0))=0,"",INDEX(Raw_매출!$B$2:$BI$155,MATCH($A32,Raw_매출!$A$2:$A$155,0),MATCH(EDATE($E32,AT$1-1),Raw_매출!$B$1:$BI$1,0))/(INDEX(요약_월별시즈널리티!$F$7:$F$18,MONTH(EDATE($E32,AT$1-1)))/100))),"")</f>
        <v/>
      </c>
      <c r="AU32" t="str" cm="1">
        <f t="array" ref="AU32">IFERROR(IF($E32&lt;44348,"",IF(INDEX(Raw_매출!$B$2:$BI$155,MATCH($A32,Raw_매출!$A$2:$A$155,0),MATCH(EDATE($E32,AU$1-1),Raw_매출!$B$1:$BI$1,0))=0,"",INDEX(Raw_매출!$B$2:$BI$155,MATCH($A32,Raw_매출!$A$2:$A$155,0),MATCH(EDATE($E32,AU$1-1),Raw_매출!$B$1:$BI$1,0))/(INDEX(요약_월별시즈널리티!$F$7:$F$18,MONTH(EDATE($E32,AU$1-1)))/100))),"")</f>
        <v/>
      </c>
      <c r="AV32" t="str" cm="1">
        <f t="array" ref="AV32">IFERROR(IF($E32&lt;44348,"",IF(INDEX(Raw_매출!$B$2:$BI$155,MATCH($A32,Raw_매출!$A$2:$A$155,0),MATCH(EDATE($E32,AV$1-1),Raw_매출!$B$1:$BI$1,0))=0,"",INDEX(Raw_매출!$B$2:$BI$155,MATCH($A32,Raw_매출!$A$2:$A$155,0),MATCH(EDATE($E32,AV$1-1),Raw_매출!$B$1:$BI$1,0))/(INDEX(요약_월별시즈널리티!$F$7:$F$18,MONTH(EDATE($E32,AV$1-1)))/100))),"")</f>
        <v/>
      </c>
      <c r="AW32" t="str" cm="1">
        <f t="array" ref="AW32">IFERROR(IF($E32&lt;44348,"",IF(INDEX(Raw_매출!$B$2:$BI$155,MATCH($A32,Raw_매출!$A$2:$A$155,0),MATCH(EDATE($E32,AW$1-1),Raw_매출!$B$1:$BI$1,0))=0,"",INDEX(Raw_매출!$B$2:$BI$155,MATCH($A32,Raw_매출!$A$2:$A$155,0),MATCH(EDATE($E32,AW$1-1),Raw_매출!$B$1:$BI$1,0))/(INDEX(요약_월별시즈널리티!$F$7:$F$18,MONTH(EDATE($E32,AW$1-1)))/100))),"")</f>
        <v/>
      </c>
      <c r="AX32" t="str" cm="1">
        <f t="array" ref="AX32">IFERROR(IF($E32&lt;44348,"",IF(INDEX(Raw_매출!$B$2:$BI$155,MATCH($A32,Raw_매출!$A$2:$A$155,0),MATCH(EDATE($E32,AX$1-1),Raw_매출!$B$1:$BI$1,0))=0,"",INDEX(Raw_매출!$B$2:$BI$155,MATCH($A32,Raw_매출!$A$2:$A$155,0),MATCH(EDATE($E32,AX$1-1),Raw_매출!$B$1:$BI$1,0))/(INDEX(요약_월별시즈널리티!$F$7:$F$18,MONTH(EDATE($E32,AX$1-1)))/100))),"")</f>
        <v/>
      </c>
      <c r="AY32" t="str" cm="1">
        <f t="array" ref="AY32">IFERROR(IF($E32&lt;44348,"",IF(INDEX(Raw_매출!$B$2:$BI$155,MATCH($A32,Raw_매출!$A$2:$A$155,0),MATCH(EDATE($E32,AY$1-1),Raw_매출!$B$1:$BI$1,0))=0,"",INDEX(Raw_매출!$B$2:$BI$155,MATCH($A32,Raw_매출!$A$2:$A$155,0),MATCH(EDATE($E32,AY$1-1),Raw_매출!$B$1:$BI$1,0))/(INDEX(요약_월별시즈널리티!$F$7:$F$18,MONTH(EDATE($E32,AY$1-1)))/100))),"")</f>
        <v/>
      </c>
      <c r="AZ32" t="str" cm="1">
        <f t="array" ref="AZ32">IFERROR(IF($E32&lt;44348,"",IF(INDEX(Raw_매출!$B$2:$BI$155,MATCH($A32,Raw_매출!$A$2:$A$155,0),MATCH(EDATE($E32,AZ$1-1),Raw_매출!$B$1:$BI$1,0))=0,"",INDEX(Raw_매출!$B$2:$BI$155,MATCH($A32,Raw_매출!$A$2:$A$155,0),MATCH(EDATE($E32,AZ$1-1),Raw_매출!$B$1:$BI$1,0))/(INDEX(요약_월별시즈널리티!$F$7:$F$18,MONTH(EDATE($E32,AZ$1-1)))/100))),"")</f>
        <v/>
      </c>
      <c r="BA32" t="str" cm="1">
        <f t="array" ref="BA32">IFERROR(IF($E32&lt;44348,"",IF(INDEX(Raw_매출!$B$2:$BI$155,MATCH($A32,Raw_매출!$A$2:$A$155,0),MATCH(EDATE($E32,BA$1-1),Raw_매출!$B$1:$BI$1,0))=0,"",INDEX(Raw_매출!$B$2:$BI$155,MATCH($A32,Raw_매출!$A$2:$A$155,0),MATCH(EDATE($E32,BA$1-1),Raw_매출!$B$1:$BI$1,0))/(INDEX(요약_월별시즈널리티!$F$7:$F$18,MONTH(EDATE($E32,BA$1-1)))/100))),"")</f>
        <v/>
      </c>
      <c r="BB32" t="str" cm="1">
        <f t="array" ref="BB32">IFERROR(IF($E32&lt;44348,"",IF(INDEX(Raw_매출!$B$2:$BI$155,MATCH($A32,Raw_매출!$A$2:$A$155,0),MATCH(EDATE($E32,BB$1-1),Raw_매출!$B$1:$BI$1,0))=0,"",INDEX(Raw_매출!$B$2:$BI$155,MATCH($A32,Raw_매출!$A$2:$A$155,0),MATCH(EDATE($E32,BB$1-1),Raw_매출!$B$1:$BI$1,0))/(INDEX(요약_월별시즈널리티!$F$7:$F$18,MONTH(EDATE($E32,BB$1-1)))/100))),"")</f>
        <v/>
      </c>
      <c r="BC32" t="str" cm="1">
        <f t="array" ref="BC32">IFERROR(IF($E32&lt;44348,"",IF(INDEX(Raw_매출!$B$2:$BI$155,MATCH($A32,Raw_매출!$A$2:$A$155,0),MATCH(EDATE($E32,BC$1-1),Raw_매출!$B$1:$BI$1,0))=0,"",INDEX(Raw_매출!$B$2:$BI$155,MATCH($A32,Raw_매출!$A$2:$A$155,0),MATCH(EDATE($E32,BC$1-1),Raw_매출!$B$1:$BI$1,0))/(INDEX(요약_월별시즈널리티!$F$7:$F$18,MONTH(EDATE($E32,BC$1-1)))/100))),"")</f>
        <v/>
      </c>
      <c r="BD32" t="str" cm="1">
        <f t="array" ref="BD32">IFERROR(IF($E32&lt;44348,"",IF(INDEX(Raw_매출!$B$2:$BI$155,MATCH($A32,Raw_매출!$A$2:$A$155,0),MATCH(EDATE($E32,BD$1-1),Raw_매출!$B$1:$BI$1,0))=0,"",INDEX(Raw_매출!$B$2:$BI$155,MATCH($A32,Raw_매출!$A$2:$A$155,0),MATCH(EDATE($E32,BD$1-1),Raw_매출!$B$1:$BI$1,0))/(INDEX(요약_월별시즈널리티!$F$7:$F$18,MONTH(EDATE($E32,BD$1-1)))/100))),"")</f>
        <v/>
      </c>
      <c r="BE32" t="str" cm="1">
        <f t="array" ref="BE32">IFERROR(IF($E32&lt;44348,"",IF(INDEX(Raw_매출!$B$2:$BI$155,MATCH($A32,Raw_매출!$A$2:$A$155,0),MATCH(EDATE($E32,BE$1-1),Raw_매출!$B$1:$BI$1,0))=0,"",INDEX(Raw_매출!$B$2:$BI$155,MATCH($A32,Raw_매출!$A$2:$A$155,0),MATCH(EDATE($E32,BE$1-1),Raw_매출!$B$1:$BI$1,0))/(INDEX(요약_월별시즈널리티!$F$7:$F$18,MONTH(EDATE($E32,BE$1-1)))/100))),"")</f>
        <v/>
      </c>
      <c r="BF32" t="str" cm="1">
        <f t="array" ref="BF32">IFERROR(IF($E32&lt;44348,"",IF(INDEX(Raw_매출!$B$2:$BI$155,MATCH($A32,Raw_매출!$A$2:$A$155,0),MATCH(EDATE($E32,BF$1-1),Raw_매출!$B$1:$BI$1,0))=0,"",INDEX(Raw_매출!$B$2:$BI$155,MATCH($A32,Raw_매출!$A$2:$A$155,0),MATCH(EDATE($E32,BF$1-1),Raw_매출!$B$1:$BI$1,0))/(INDEX(요약_월별시즈널리티!$F$7:$F$18,MONTH(EDATE($E32,BF$1-1)))/100))),"")</f>
        <v/>
      </c>
      <c r="BG32" t="str" cm="1">
        <f t="array" ref="BG32">IFERROR(IF($E32&lt;44348,"",IF(INDEX(Raw_매출!$B$2:$BI$155,MATCH($A32,Raw_매출!$A$2:$A$155,0),MATCH(EDATE($E32,BG$1-1),Raw_매출!$B$1:$BI$1,0))=0,"",INDEX(Raw_매출!$B$2:$BI$155,MATCH($A32,Raw_매출!$A$2:$A$155,0),MATCH(EDATE($E32,BG$1-1),Raw_매출!$B$1:$BI$1,0))/(INDEX(요약_월별시즈널리티!$F$7:$F$18,MONTH(EDATE($E32,BG$1-1)))/100))),"")</f>
        <v/>
      </c>
      <c r="BH32" t="str" cm="1">
        <f t="array" ref="BH32">IFERROR(IF($E32&lt;44348,"",IF(INDEX(Raw_매출!$B$2:$BI$155,MATCH($A32,Raw_매출!$A$2:$A$155,0),MATCH(EDATE($E32,BH$1-1),Raw_매출!$B$1:$BI$1,0))=0,"",INDEX(Raw_매출!$B$2:$BI$155,MATCH($A32,Raw_매출!$A$2:$A$155,0),MATCH(EDATE($E32,BH$1-1),Raw_매출!$B$1:$BI$1,0))/(INDEX(요약_월별시즈널리티!$F$7:$F$18,MONTH(EDATE($E32,BH$1-1)))/100))),"")</f>
        <v/>
      </c>
      <c r="BI32" t="str" cm="1">
        <f t="array" ref="BI32">IFERROR(IF($E32&lt;44348,"",IF(INDEX(Raw_매출!$B$2:$BI$155,MATCH($A32,Raw_매출!$A$2:$A$155,0),MATCH(EDATE($E32,BI$1-1),Raw_매출!$B$1:$BI$1,0))=0,"",INDEX(Raw_매출!$B$2:$BI$155,MATCH($A32,Raw_매출!$A$2:$A$155,0),MATCH(EDATE($E32,BI$1-1),Raw_매출!$B$1:$BI$1,0))/(INDEX(요약_월별시즈널리티!$F$7:$F$18,MONTH(EDATE($E32,BI$1-1)))/100))),"")</f>
        <v/>
      </c>
      <c r="BJ32" t="str" cm="1">
        <f t="array" ref="BJ32">IFERROR(IF($E32&lt;44348,"",IF(INDEX(Raw_매출!$B$2:$BI$155,MATCH($A32,Raw_매출!$A$2:$A$155,0),MATCH(EDATE($E32,BJ$1-1),Raw_매출!$B$1:$BI$1,0))=0,"",INDEX(Raw_매출!$B$2:$BI$155,MATCH($A32,Raw_매출!$A$2:$A$155,0),MATCH(EDATE($E32,BJ$1-1),Raw_매출!$B$1:$BI$1,0))/(INDEX(요약_월별시즈널리티!$F$7:$F$18,MONTH(EDATE($E32,BJ$1-1)))/100))),"")</f>
        <v/>
      </c>
      <c r="BK32" t="str" cm="1">
        <f t="array" ref="BK32">IFERROR(IF($E32&lt;44348,"",IF(INDEX(Raw_매출!$B$2:$BI$155,MATCH($A32,Raw_매출!$A$2:$A$155,0),MATCH(EDATE($E32,BK$1-1),Raw_매출!$B$1:$BI$1,0))=0,"",INDEX(Raw_매출!$B$2:$BI$155,MATCH($A32,Raw_매출!$A$2:$A$155,0),MATCH(EDATE($E32,BK$1-1),Raw_매출!$B$1:$BI$1,0))/(INDEX(요약_월별시즈널리티!$F$7:$F$18,MONTH(EDATE($E32,BK$1-1)))/100))),"")</f>
        <v/>
      </c>
      <c r="BL32" t="str" cm="1">
        <f t="array" ref="BL32">IFERROR(IF($E32&lt;44348,"",IF(INDEX(Raw_매출!$B$2:$BI$155,MATCH($A32,Raw_매출!$A$2:$A$155,0),MATCH(EDATE($E32,BL$1-1),Raw_매출!$B$1:$BI$1,0))=0,"",INDEX(Raw_매출!$B$2:$BI$155,MATCH($A32,Raw_매출!$A$2:$A$155,0),MATCH(EDATE($E32,BL$1-1),Raw_매출!$B$1:$BI$1,0))/(INDEX(요약_월별시즈널리티!$F$7:$F$18,MONTH(EDATE($E32,BL$1-1)))/100))),"")</f>
        <v/>
      </c>
      <c r="BM32" t="str" cm="1">
        <f t="array" ref="BM32">IFERROR(IF($E32&lt;44348,"",IF(INDEX(Raw_매출!$B$2:$BI$155,MATCH($A32,Raw_매출!$A$2:$A$155,0),MATCH(EDATE($E32,BM$1-1),Raw_매출!$B$1:$BI$1,0))=0,"",INDEX(Raw_매출!$B$2:$BI$155,MATCH($A32,Raw_매출!$A$2:$A$155,0),MATCH(EDATE($E32,BM$1-1),Raw_매출!$B$1:$BI$1,0))/(INDEX(요약_월별시즈널리티!$F$7:$F$18,MONTH(EDATE($E32,BM$1-1)))/100))),"")</f>
        <v/>
      </c>
      <c r="BN32" t="str" cm="1">
        <f t="array" ref="BN32">IFERROR(IF($E32&lt;44348,"",IF(INDEX(Raw_매출!$B$2:$BI$155,MATCH($A32,Raw_매출!$A$2:$A$155,0),MATCH(EDATE($E32,BN$1-1),Raw_매출!$B$1:$BI$1,0))=0,"",INDEX(Raw_매출!$B$2:$BI$155,MATCH($A32,Raw_매출!$A$2:$A$155,0),MATCH(EDATE($E32,BN$1-1),Raw_매출!$B$1:$BI$1,0))/(INDEX(요약_월별시즈널리티!$F$7:$F$18,MONTH(EDATE($E32,BN$1-1)))/100))),"")</f>
        <v/>
      </c>
    </row>
    <row r="33" spans="1:66" x14ac:dyDescent="0.4">
      <c r="A33" t="str">
        <f>세팅!A34</f>
        <v>(1021) #광주전남대점</v>
      </c>
      <c r="B33" t="str">
        <f>세팅!B34</f>
        <v>150-1</v>
      </c>
      <c r="C33">
        <f t="shared" si="0"/>
        <v>1</v>
      </c>
      <c r="D33" t="str">
        <f t="shared" si="1"/>
        <v>1</v>
      </c>
      <c r="E33" s="1">
        <f>세팅!D34</f>
        <v>44287</v>
      </c>
      <c r="F33" t="str">
        <f t="shared" si="2"/>
        <v/>
      </c>
      <c r="G33" t="str" cm="1">
        <f t="array" ref="G33">IFERROR(IF($E33&lt;44348,"",IF(INDEX(Raw_매출!$B$2:$BI$155,MATCH($A33,Raw_매출!$A$2:$A$155,0),MATCH(EDATE($E33,G$1-1),Raw_매출!$B$1:$BI$1,0))=0,"",INDEX(Raw_매출!$B$2:$BI$155,MATCH($A33,Raw_매출!$A$2:$A$155,0),MATCH(EDATE($E33,G$1-1),Raw_매출!$B$1:$BI$1,0))/(INDEX(요약_월별시즈널리티!$F$7:$F$18,MONTH(EDATE($E33,G$1-1)))/100))),"")</f>
        <v/>
      </c>
      <c r="H33" t="str" cm="1">
        <f t="array" ref="H33">IFERROR(IF($E33&lt;44348,"",IF(INDEX(Raw_매출!$B$2:$BI$155,MATCH($A33,Raw_매출!$A$2:$A$155,0),MATCH(EDATE($E33,H$1-1),Raw_매출!$B$1:$BI$1,0))=0,"",INDEX(Raw_매출!$B$2:$BI$155,MATCH($A33,Raw_매출!$A$2:$A$155,0),MATCH(EDATE($E33,H$1-1),Raw_매출!$B$1:$BI$1,0))/(INDEX(요약_월별시즈널리티!$F$7:$F$18,MONTH(EDATE($E33,H$1-1)))/100))),"")</f>
        <v/>
      </c>
      <c r="I33" t="str" cm="1">
        <f t="array" ref="I33">IFERROR(IF($E33&lt;44348,"",IF(INDEX(Raw_매출!$B$2:$BI$155,MATCH($A33,Raw_매출!$A$2:$A$155,0),MATCH(EDATE($E33,I$1-1),Raw_매출!$B$1:$BI$1,0))=0,"",INDEX(Raw_매출!$B$2:$BI$155,MATCH($A33,Raw_매출!$A$2:$A$155,0),MATCH(EDATE($E33,I$1-1),Raw_매출!$B$1:$BI$1,0))/(INDEX(요약_월별시즈널리티!$F$7:$F$18,MONTH(EDATE($E33,I$1-1)))/100))),"")</f>
        <v/>
      </c>
      <c r="J33" s="30" t="str" cm="1">
        <f t="array" ref="J33">IFERROR(IF($E33&lt;44348,"",IF(INDEX(Raw_매출!$B$2:$BI$155,MATCH($A33,Raw_매출!$A$2:$A$155,0),MATCH(EDATE($E33,J$1-1),Raw_매출!$B$1:$BI$1,0))=0,"",INDEX(Raw_매출!$B$2:$BI$155,MATCH($A33,Raw_매출!$A$2:$A$155,0),MATCH(EDATE($E33,J$1-1),Raw_매출!$B$1:$BI$1,0))/(INDEX(요약_월별시즈널리티!$F$7:$F$18,MONTH(EDATE($E33,J$1-1)))/100))),"")</f>
        <v/>
      </c>
      <c r="K33" s="30" t="str" cm="1">
        <f t="array" ref="K33">IFERROR(IF($E33&lt;44348,"",IF(INDEX(Raw_매출!$B$2:$BI$155,MATCH($A33,Raw_매출!$A$2:$A$155,0),MATCH(EDATE($E33,K$1-1),Raw_매출!$B$1:$BI$1,0))=0,"",INDEX(Raw_매출!$B$2:$BI$155,MATCH($A33,Raw_매출!$A$2:$A$155,0),MATCH(EDATE($E33,K$1-1),Raw_매출!$B$1:$BI$1,0))/(INDEX(요약_월별시즈널리티!$F$7:$F$18,MONTH(EDATE($E33,K$1-1)))/100))),"")</f>
        <v/>
      </c>
      <c r="L33" s="30" t="str" cm="1">
        <f t="array" ref="L33">IFERROR(IF($E33&lt;44348,"",IF(INDEX(Raw_매출!$B$2:$BI$155,MATCH($A33,Raw_매출!$A$2:$A$155,0),MATCH(EDATE($E33,L$1-1),Raw_매출!$B$1:$BI$1,0))=0,"",INDEX(Raw_매출!$B$2:$BI$155,MATCH($A33,Raw_매출!$A$2:$A$155,0),MATCH(EDATE($E33,L$1-1),Raw_매출!$B$1:$BI$1,0))/(INDEX(요약_월별시즈널리티!$F$7:$F$18,MONTH(EDATE($E33,L$1-1)))/100))),"")</f>
        <v/>
      </c>
      <c r="M33" s="30" t="str" cm="1">
        <f t="array" ref="M33">IFERROR(IF($E33&lt;44348,"",IF(INDEX(Raw_매출!$B$2:$BI$155,MATCH($A33,Raw_매출!$A$2:$A$155,0),MATCH(EDATE($E33,M$1-1),Raw_매출!$B$1:$BI$1,0))=0,"",INDEX(Raw_매출!$B$2:$BI$155,MATCH($A33,Raw_매출!$A$2:$A$155,0),MATCH(EDATE($E33,M$1-1),Raw_매출!$B$1:$BI$1,0))/(INDEX(요약_월별시즈널리티!$F$7:$F$18,MONTH(EDATE($E33,M$1-1)))/100))),"")</f>
        <v/>
      </c>
      <c r="N33" s="30" t="str" cm="1">
        <f t="array" ref="N33">IFERROR(IF($E33&lt;44348,"",IF(INDEX(Raw_매출!$B$2:$BI$155,MATCH($A33,Raw_매출!$A$2:$A$155,0),MATCH(EDATE($E33,N$1-1),Raw_매출!$B$1:$BI$1,0))=0,"",INDEX(Raw_매출!$B$2:$BI$155,MATCH($A33,Raw_매출!$A$2:$A$155,0),MATCH(EDATE($E33,N$1-1),Raw_매출!$B$1:$BI$1,0))/(INDEX(요약_월별시즈널리티!$F$7:$F$18,MONTH(EDATE($E33,N$1-1)))/100))),"")</f>
        <v/>
      </c>
      <c r="O33" s="30" t="str" cm="1">
        <f t="array" ref="O33">IFERROR(IF($E33&lt;44348,"",IF(INDEX(Raw_매출!$B$2:$BI$155,MATCH($A33,Raw_매출!$A$2:$A$155,0),MATCH(EDATE($E33,O$1-1),Raw_매출!$B$1:$BI$1,0))=0,"",INDEX(Raw_매출!$B$2:$BI$155,MATCH($A33,Raw_매출!$A$2:$A$155,0),MATCH(EDATE($E33,O$1-1),Raw_매출!$B$1:$BI$1,0))/(INDEX(요약_월별시즈널리티!$F$7:$F$18,MONTH(EDATE($E33,O$1-1)))/100))),"")</f>
        <v/>
      </c>
      <c r="P33" t="str" cm="1">
        <f t="array" ref="P33">IFERROR(IF($E33&lt;44348,"",IF(INDEX(Raw_매출!$B$2:$BI$155,MATCH($A33,Raw_매출!$A$2:$A$155,0),MATCH(EDATE($E33,P$1-1),Raw_매출!$B$1:$BI$1,0))=0,"",INDEX(Raw_매출!$B$2:$BI$155,MATCH($A33,Raw_매출!$A$2:$A$155,0),MATCH(EDATE($E33,P$1-1),Raw_매출!$B$1:$BI$1,0))/(INDEX(요약_월별시즈널리티!$F$7:$F$18,MONTH(EDATE($E33,P$1-1)))/100))),"")</f>
        <v/>
      </c>
      <c r="Q33" t="str" cm="1">
        <f t="array" ref="Q33">IFERROR(IF($E33&lt;44348,"",IF(INDEX(Raw_매출!$B$2:$BI$155,MATCH($A33,Raw_매출!$A$2:$A$155,0),MATCH(EDATE($E33,Q$1-1),Raw_매출!$B$1:$BI$1,0))=0,"",INDEX(Raw_매출!$B$2:$BI$155,MATCH($A33,Raw_매출!$A$2:$A$155,0),MATCH(EDATE($E33,Q$1-1),Raw_매출!$B$1:$BI$1,0))/(INDEX(요약_월별시즈널리티!$F$7:$F$18,MONTH(EDATE($E33,Q$1-1)))/100))),"")</f>
        <v/>
      </c>
      <c r="R33" t="str" cm="1">
        <f t="array" ref="R33">IFERROR(IF($E33&lt;44348,"",IF(INDEX(Raw_매출!$B$2:$BI$155,MATCH($A33,Raw_매출!$A$2:$A$155,0),MATCH(EDATE($E33,R$1-1),Raw_매출!$B$1:$BI$1,0))=0,"",INDEX(Raw_매출!$B$2:$BI$155,MATCH($A33,Raw_매출!$A$2:$A$155,0),MATCH(EDATE($E33,R$1-1),Raw_매출!$B$1:$BI$1,0))/(INDEX(요약_월별시즈널리티!$F$7:$F$18,MONTH(EDATE($E33,R$1-1)))/100))),"")</f>
        <v/>
      </c>
      <c r="S33" t="str" cm="1">
        <f t="array" ref="S33">IFERROR(IF($E33&lt;44348,"",IF(INDEX(Raw_매출!$B$2:$BI$155,MATCH($A33,Raw_매출!$A$2:$A$155,0),MATCH(EDATE($E33,S$1-1),Raw_매출!$B$1:$BI$1,0))=0,"",INDEX(Raw_매출!$B$2:$BI$155,MATCH($A33,Raw_매출!$A$2:$A$155,0),MATCH(EDATE($E33,S$1-1),Raw_매출!$B$1:$BI$1,0))/(INDEX(요약_월별시즈널리티!$F$7:$F$18,MONTH(EDATE($E33,S$1-1)))/100))),"")</f>
        <v/>
      </c>
      <c r="T33" t="str" cm="1">
        <f t="array" ref="T33">IFERROR(IF($E33&lt;44348,"",IF(INDEX(Raw_매출!$B$2:$BI$155,MATCH($A33,Raw_매출!$A$2:$A$155,0),MATCH(EDATE($E33,T$1-1),Raw_매출!$B$1:$BI$1,0))=0,"",INDEX(Raw_매출!$B$2:$BI$155,MATCH($A33,Raw_매출!$A$2:$A$155,0),MATCH(EDATE($E33,T$1-1),Raw_매출!$B$1:$BI$1,0))/(INDEX(요약_월별시즈널리티!$F$7:$F$18,MONTH(EDATE($E33,T$1-1)))/100))),"")</f>
        <v/>
      </c>
      <c r="U33" t="str" cm="1">
        <f t="array" ref="U33">IFERROR(IF($E33&lt;44348,"",IF(INDEX(Raw_매출!$B$2:$BI$155,MATCH($A33,Raw_매출!$A$2:$A$155,0),MATCH(EDATE($E33,U$1-1),Raw_매출!$B$1:$BI$1,0))=0,"",INDEX(Raw_매출!$B$2:$BI$155,MATCH($A33,Raw_매출!$A$2:$A$155,0),MATCH(EDATE($E33,U$1-1),Raw_매출!$B$1:$BI$1,0))/(INDEX(요약_월별시즈널리티!$F$7:$F$18,MONTH(EDATE($E33,U$1-1)))/100))),"")</f>
        <v/>
      </c>
      <c r="V33" t="str" cm="1">
        <f t="array" ref="V33">IFERROR(IF($E33&lt;44348,"",IF(INDEX(Raw_매출!$B$2:$BI$155,MATCH($A33,Raw_매출!$A$2:$A$155,0),MATCH(EDATE($E33,V$1-1),Raw_매출!$B$1:$BI$1,0))=0,"",INDEX(Raw_매출!$B$2:$BI$155,MATCH($A33,Raw_매출!$A$2:$A$155,0),MATCH(EDATE($E33,V$1-1),Raw_매출!$B$1:$BI$1,0))/(INDEX(요약_월별시즈널리티!$F$7:$F$18,MONTH(EDATE($E33,V$1-1)))/100))),"")</f>
        <v/>
      </c>
      <c r="W33" t="str" cm="1">
        <f t="array" ref="W33">IFERROR(IF($E33&lt;44348,"",IF(INDEX(Raw_매출!$B$2:$BI$155,MATCH($A33,Raw_매출!$A$2:$A$155,0),MATCH(EDATE($E33,W$1-1),Raw_매출!$B$1:$BI$1,0))=0,"",INDEX(Raw_매출!$B$2:$BI$155,MATCH($A33,Raw_매출!$A$2:$A$155,0),MATCH(EDATE($E33,W$1-1),Raw_매출!$B$1:$BI$1,0))/(INDEX(요약_월별시즈널리티!$F$7:$F$18,MONTH(EDATE($E33,W$1-1)))/100))),"")</f>
        <v/>
      </c>
      <c r="X33" t="str" cm="1">
        <f t="array" ref="X33">IFERROR(IF($E33&lt;44348,"",IF(INDEX(Raw_매출!$B$2:$BI$155,MATCH($A33,Raw_매출!$A$2:$A$155,0),MATCH(EDATE($E33,X$1-1),Raw_매출!$B$1:$BI$1,0))=0,"",INDEX(Raw_매출!$B$2:$BI$155,MATCH($A33,Raw_매출!$A$2:$A$155,0),MATCH(EDATE($E33,X$1-1),Raw_매출!$B$1:$BI$1,0))/(INDEX(요약_월별시즈널리티!$F$7:$F$18,MONTH(EDATE($E33,X$1-1)))/100))),"")</f>
        <v/>
      </c>
      <c r="Y33" t="str" cm="1">
        <f t="array" ref="Y33">IFERROR(IF($E33&lt;44348,"",IF(INDEX(Raw_매출!$B$2:$BI$155,MATCH($A33,Raw_매출!$A$2:$A$155,0),MATCH(EDATE($E33,Y$1-1),Raw_매출!$B$1:$BI$1,0))=0,"",INDEX(Raw_매출!$B$2:$BI$155,MATCH($A33,Raw_매출!$A$2:$A$155,0),MATCH(EDATE($E33,Y$1-1),Raw_매출!$B$1:$BI$1,0))/(INDEX(요약_월별시즈널리티!$F$7:$F$18,MONTH(EDATE($E33,Y$1-1)))/100))),"")</f>
        <v/>
      </c>
      <c r="Z33" t="str" cm="1">
        <f t="array" ref="Z33">IFERROR(IF($E33&lt;44348,"",IF(INDEX(Raw_매출!$B$2:$BI$155,MATCH($A33,Raw_매출!$A$2:$A$155,0),MATCH(EDATE($E33,Z$1-1),Raw_매출!$B$1:$BI$1,0))=0,"",INDEX(Raw_매출!$B$2:$BI$155,MATCH($A33,Raw_매출!$A$2:$A$155,0),MATCH(EDATE($E33,Z$1-1),Raw_매출!$B$1:$BI$1,0))/(INDEX(요약_월별시즈널리티!$F$7:$F$18,MONTH(EDATE($E33,Z$1-1)))/100))),"")</f>
        <v/>
      </c>
      <c r="AA33" t="str" cm="1">
        <f t="array" ref="AA33">IFERROR(IF($E33&lt;44348,"",IF(INDEX(Raw_매출!$B$2:$BI$155,MATCH($A33,Raw_매출!$A$2:$A$155,0),MATCH(EDATE($E33,AA$1-1),Raw_매출!$B$1:$BI$1,0))=0,"",INDEX(Raw_매출!$B$2:$BI$155,MATCH($A33,Raw_매출!$A$2:$A$155,0),MATCH(EDATE($E33,AA$1-1),Raw_매출!$B$1:$BI$1,0))/(INDEX(요약_월별시즈널리티!$F$7:$F$18,MONTH(EDATE($E33,AA$1-1)))/100))),"")</f>
        <v/>
      </c>
      <c r="AB33" t="str" cm="1">
        <f t="array" ref="AB33">IFERROR(IF($E33&lt;44348,"",IF(INDEX(Raw_매출!$B$2:$BI$155,MATCH($A33,Raw_매출!$A$2:$A$155,0),MATCH(EDATE($E33,AB$1-1),Raw_매출!$B$1:$BI$1,0))=0,"",INDEX(Raw_매출!$B$2:$BI$155,MATCH($A33,Raw_매출!$A$2:$A$155,0),MATCH(EDATE($E33,AB$1-1),Raw_매출!$B$1:$BI$1,0))/(INDEX(요약_월별시즈널리티!$F$7:$F$18,MONTH(EDATE($E33,AB$1-1)))/100))),"")</f>
        <v/>
      </c>
      <c r="AC33" t="str" cm="1">
        <f t="array" ref="AC33">IFERROR(IF($E33&lt;44348,"",IF(INDEX(Raw_매출!$B$2:$BI$155,MATCH($A33,Raw_매출!$A$2:$A$155,0),MATCH(EDATE($E33,AC$1-1),Raw_매출!$B$1:$BI$1,0))=0,"",INDEX(Raw_매출!$B$2:$BI$155,MATCH($A33,Raw_매출!$A$2:$A$155,0),MATCH(EDATE($E33,AC$1-1),Raw_매출!$B$1:$BI$1,0))/(INDEX(요약_월별시즈널리티!$F$7:$F$18,MONTH(EDATE($E33,AC$1-1)))/100))),"")</f>
        <v/>
      </c>
      <c r="AD33" t="str" cm="1">
        <f t="array" ref="AD33">IFERROR(IF($E33&lt;44348,"",IF(INDEX(Raw_매출!$B$2:$BI$155,MATCH($A33,Raw_매출!$A$2:$A$155,0),MATCH(EDATE($E33,AD$1-1),Raw_매출!$B$1:$BI$1,0))=0,"",INDEX(Raw_매출!$B$2:$BI$155,MATCH($A33,Raw_매출!$A$2:$A$155,0),MATCH(EDATE($E33,AD$1-1),Raw_매출!$B$1:$BI$1,0))/(INDEX(요약_월별시즈널리티!$F$7:$F$18,MONTH(EDATE($E33,AD$1-1)))/100))),"")</f>
        <v/>
      </c>
      <c r="AE33" t="str" cm="1">
        <f t="array" ref="AE33">IFERROR(IF($E33&lt;44348,"",IF(INDEX(Raw_매출!$B$2:$BI$155,MATCH($A33,Raw_매출!$A$2:$A$155,0),MATCH(EDATE($E33,AE$1-1),Raw_매출!$B$1:$BI$1,0))=0,"",INDEX(Raw_매출!$B$2:$BI$155,MATCH($A33,Raw_매출!$A$2:$A$155,0),MATCH(EDATE($E33,AE$1-1),Raw_매출!$B$1:$BI$1,0))/(INDEX(요약_월별시즈널리티!$F$7:$F$18,MONTH(EDATE($E33,AE$1-1)))/100))),"")</f>
        <v/>
      </c>
      <c r="AF33" t="str" cm="1">
        <f t="array" ref="AF33">IFERROR(IF($E33&lt;44348,"",IF(INDEX(Raw_매출!$B$2:$BI$155,MATCH($A33,Raw_매출!$A$2:$A$155,0),MATCH(EDATE($E33,AF$1-1),Raw_매출!$B$1:$BI$1,0))=0,"",INDEX(Raw_매출!$B$2:$BI$155,MATCH($A33,Raw_매출!$A$2:$A$155,0),MATCH(EDATE($E33,AF$1-1),Raw_매출!$B$1:$BI$1,0))/(INDEX(요약_월별시즈널리티!$F$7:$F$18,MONTH(EDATE($E33,AF$1-1)))/100))),"")</f>
        <v/>
      </c>
      <c r="AG33" t="str" cm="1">
        <f t="array" ref="AG33">IFERROR(IF($E33&lt;44348,"",IF(INDEX(Raw_매출!$B$2:$BI$155,MATCH($A33,Raw_매출!$A$2:$A$155,0),MATCH(EDATE($E33,AG$1-1),Raw_매출!$B$1:$BI$1,0))=0,"",INDEX(Raw_매출!$B$2:$BI$155,MATCH($A33,Raw_매출!$A$2:$A$155,0),MATCH(EDATE($E33,AG$1-1),Raw_매출!$B$1:$BI$1,0))/(INDEX(요약_월별시즈널리티!$F$7:$F$18,MONTH(EDATE($E33,AG$1-1)))/100))),"")</f>
        <v/>
      </c>
      <c r="AH33" t="str" cm="1">
        <f t="array" ref="AH33">IFERROR(IF($E33&lt;44348,"",IF(INDEX(Raw_매출!$B$2:$BI$155,MATCH($A33,Raw_매출!$A$2:$A$155,0),MATCH(EDATE($E33,AH$1-1),Raw_매출!$B$1:$BI$1,0))=0,"",INDEX(Raw_매출!$B$2:$BI$155,MATCH($A33,Raw_매출!$A$2:$A$155,0),MATCH(EDATE($E33,AH$1-1),Raw_매출!$B$1:$BI$1,0))/(INDEX(요약_월별시즈널리티!$F$7:$F$18,MONTH(EDATE($E33,AH$1-1)))/100))),"")</f>
        <v/>
      </c>
      <c r="AI33" t="str" cm="1">
        <f t="array" ref="AI33">IFERROR(IF($E33&lt;44348,"",IF(INDEX(Raw_매출!$B$2:$BI$155,MATCH($A33,Raw_매출!$A$2:$A$155,0),MATCH(EDATE($E33,AI$1-1),Raw_매출!$B$1:$BI$1,0))=0,"",INDEX(Raw_매출!$B$2:$BI$155,MATCH($A33,Raw_매출!$A$2:$A$155,0),MATCH(EDATE($E33,AI$1-1),Raw_매출!$B$1:$BI$1,0))/(INDEX(요약_월별시즈널리티!$F$7:$F$18,MONTH(EDATE($E33,AI$1-1)))/100))),"")</f>
        <v/>
      </c>
      <c r="AJ33" t="str" cm="1">
        <f t="array" ref="AJ33">IFERROR(IF($E33&lt;44348,"",IF(INDEX(Raw_매출!$B$2:$BI$155,MATCH($A33,Raw_매출!$A$2:$A$155,0),MATCH(EDATE($E33,AJ$1-1),Raw_매출!$B$1:$BI$1,0))=0,"",INDEX(Raw_매출!$B$2:$BI$155,MATCH($A33,Raw_매출!$A$2:$A$155,0),MATCH(EDATE($E33,AJ$1-1),Raw_매출!$B$1:$BI$1,0))/(INDEX(요약_월별시즈널리티!$F$7:$F$18,MONTH(EDATE($E33,AJ$1-1)))/100))),"")</f>
        <v/>
      </c>
      <c r="AK33" t="str" cm="1">
        <f t="array" ref="AK33">IFERROR(IF($E33&lt;44348,"",IF(INDEX(Raw_매출!$B$2:$BI$155,MATCH($A33,Raw_매출!$A$2:$A$155,0),MATCH(EDATE($E33,AK$1-1),Raw_매출!$B$1:$BI$1,0))=0,"",INDEX(Raw_매출!$B$2:$BI$155,MATCH($A33,Raw_매출!$A$2:$A$155,0),MATCH(EDATE($E33,AK$1-1),Raw_매출!$B$1:$BI$1,0))/(INDEX(요약_월별시즈널리티!$F$7:$F$18,MONTH(EDATE($E33,AK$1-1)))/100))),"")</f>
        <v/>
      </c>
      <c r="AL33" t="str" cm="1">
        <f t="array" ref="AL33">IFERROR(IF($E33&lt;44348,"",IF(INDEX(Raw_매출!$B$2:$BI$155,MATCH($A33,Raw_매출!$A$2:$A$155,0),MATCH(EDATE($E33,AL$1-1),Raw_매출!$B$1:$BI$1,0))=0,"",INDEX(Raw_매출!$B$2:$BI$155,MATCH($A33,Raw_매출!$A$2:$A$155,0),MATCH(EDATE($E33,AL$1-1),Raw_매출!$B$1:$BI$1,0))/(INDEX(요약_월별시즈널리티!$F$7:$F$18,MONTH(EDATE($E33,AL$1-1)))/100))),"")</f>
        <v/>
      </c>
      <c r="AM33" t="str" cm="1">
        <f t="array" ref="AM33">IFERROR(IF($E33&lt;44348,"",IF(INDEX(Raw_매출!$B$2:$BI$155,MATCH($A33,Raw_매출!$A$2:$A$155,0),MATCH(EDATE($E33,AM$1-1),Raw_매출!$B$1:$BI$1,0))=0,"",INDEX(Raw_매출!$B$2:$BI$155,MATCH($A33,Raw_매출!$A$2:$A$155,0),MATCH(EDATE($E33,AM$1-1),Raw_매출!$B$1:$BI$1,0))/(INDEX(요약_월별시즈널리티!$F$7:$F$18,MONTH(EDATE($E33,AM$1-1)))/100))),"")</f>
        <v/>
      </c>
      <c r="AN33" t="str" cm="1">
        <f t="array" ref="AN33">IFERROR(IF($E33&lt;44348,"",IF(INDEX(Raw_매출!$B$2:$BI$155,MATCH($A33,Raw_매출!$A$2:$A$155,0),MATCH(EDATE($E33,AN$1-1),Raw_매출!$B$1:$BI$1,0))=0,"",INDEX(Raw_매출!$B$2:$BI$155,MATCH($A33,Raw_매출!$A$2:$A$155,0),MATCH(EDATE($E33,AN$1-1),Raw_매출!$B$1:$BI$1,0))/(INDEX(요약_월별시즈널리티!$F$7:$F$18,MONTH(EDATE($E33,AN$1-1)))/100))),"")</f>
        <v/>
      </c>
      <c r="AO33" t="str" cm="1">
        <f t="array" ref="AO33">IFERROR(IF($E33&lt;44348,"",IF(INDEX(Raw_매출!$B$2:$BI$155,MATCH($A33,Raw_매출!$A$2:$A$155,0),MATCH(EDATE($E33,AO$1-1),Raw_매출!$B$1:$BI$1,0))=0,"",INDEX(Raw_매출!$B$2:$BI$155,MATCH($A33,Raw_매출!$A$2:$A$155,0),MATCH(EDATE($E33,AO$1-1),Raw_매출!$B$1:$BI$1,0))/(INDEX(요약_월별시즈널리티!$F$7:$F$18,MONTH(EDATE($E33,AO$1-1)))/100))),"")</f>
        <v/>
      </c>
      <c r="AP33" t="str" cm="1">
        <f t="array" ref="AP33">IFERROR(IF($E33&lt;44348,"",IF(INDEX(Raw_매출!$B$2:$BI$155,MATCH($A33,Raw_매출!$A$2:$A$155,0),MATCH(EDATE($E33,AP$1-1),Raw_매출!$B$1:$BI$1,0))=0,"",INDEX(Raw_매출!$B$2:$BI$155,MATCH($A33,Raw_매출!$A$2:$A$155,0),MATCH(EDATE($E33,AP$1-1),Raw_매출!$B$1:$BI$1,0))/(INDEX(요약_월별시즈널리티!$F$7:$F$18,MONTH(EDATE($E33,AP$1-1)))/100))),"")</f>
        <v/>
      </c>
      <c r="AQ33" t="str" cm="1">
        <f t="array" ref="AQ33">IFERROR(IF($E33&lt;44348,"",IF(INDEX(Raw_매출!$B$2:$BI$155,MATCH($A33,Raw_매출!$A$2:$A$155,0),MATCH(EDATE($E33,AQ$1-1),Raw_매출!$B$1:$BI$1,0))=0,"",INDEX(Raw_매출!$B$2:$BI$155,MATCH($A33,Raw_매출!$A$2:$A$155,0),MATCH(EDATE($E33,AQ$1-1),Raw_매출!$B$1:$BI$1,0))/(INDEX(요약_월별시즈널리티!$F$7:$F$18,MONTH(EDATE($E33,AQ$1-1)))/100))),"")</f>
        <v/>
      </c>
      <c r="AR33" t="str" cm="1">
        <f t="array" ref="AR33">IFERROR(IF($E33&lt;44348,"",IF(INDEX(Raw_매출!$B$2:$BI$155,MATCH($A33,Raw_매출!$A$2:$A$155,0),MATCH(EDATE($E33,AR$1-1),Raw_매출!$B$1:$BI$1,0))=0,"",INDEX(Raw_매출!$B$2:$BI$155,MATCH($A33,Raw_매출!$A$2:$A$155,0),MATCH(EDATE($E33,AR$1-1),Raw_매출!$B$1:$BI$1,0))/(INDEX(요약_월별시즈널리티!$F$7:$F$18,MONTH(EDATE($E33,AR$1-1)))/100))),"")</f>
        <v/>
      </c>
      <c r="AS33" t="str" cm="1">
        <f t="array" ref="AS33">IFERROR(IF($E33&lt;44348,"",IF(INDEX(Raw_매출!$B$2:$BI$155,MATCH($A33,Raw_매출!$A$2:$A$155,0),MATCH(EDATE($E33,AS$1-1),Raw_매출!$B$1:$BI$1,0))=0,"",INDEX(Raw_매출!$B$2:$BI$155,MATCH($A33,Raw_매출!$A$2:$A$155,0),MATCH(EDATE($E33,AS$1-1),Raw_매출!$B$1:$BI$1,0))/(INDEX(요약_월별시즈널리티!$F$7:$F$18,MONTH(EDATE($E33,AS$1-1)))/100))),"")</f>
        <v/>
      </c>
      <c r="AT33" t="str" cm="1">
        <f t="array" ref="AT33">IFERROR(IF($E33&lt;44348,"",IF(INDEX(Raw_매출!$B$2:$BI$155,MATCH($A33,Raw_매출!$A$2:$A$155,0),MATCH(EDATE($E33,AT$1-1),Raw_매출!$B$1:$BI$1,0))=0,"",INDEX(Raw_매출!$B$2:$BI$155,MATCH($A33,Raw_매출!$A$2:$A$155,0),MATCH(EDATE($E33,AT$1-1),Raw_매출!$B$1:$BI$1,0))/(INDEX(요약_월별시즈널리티!$F$7:$F$18,MONTH(EDATE($E33,AT$1-1)))/100))),"")</f>
        <v/>
      </c>
      <c r="AU33" t="str" cm="1">
        <f t="array" ref="AU33">IFERROR(IF($E33&lt;44348,"",IF(INDEX(Raw_매출!$B$2:$BI$155,MATCH($A33,Raw_매출!$A$2:$A$155,0),MATCH(EDATE($E33,AU$1-1),Raw_매출!$B$1:$BI$1,0))=0,"",INDEX(Raw_매출!$B$2:$BI$155,MATCH($A33,Raw_매출!$A$2:$A$155,0),MATCH(EDATE($E33,AU$1-1),Raw_매출!$B$1:$BI$1,0))/(INDEX(요약_월별시즈널리티!$F$7:$F$18,MONTH(EDATE($E33,AU$1-1)))/100))),"")</f>
        <v/>
      </c>
      <c r="AV33" t="str" cm="1">
        <f t="array" ref="AV33">IFERROR(IF($E33&lt;44348,"",IF(INDEX(Raw_매출!$B$2:$BI$155,MATCH($A33,Raw_매출!$A$2:$A$155,0),MATCH(EDATE($E33,AV$1-1),Raw_매출!$B$1:$BI$1,0))=0,"",INDEX(Raw_매출!$B$2:$BI$155,MATCH($A33,Raw_매출!$A$2:$A$155,0),MATCH(EDATE($E33,AV$1-1),Raw_매출!$B$1:$BI$1,0))/(INDEX(요약_월별시즈널리티!$F$7:$F$18,MONTH(EDATE($E33,AV$1-1)))/100))),"")</f>
        <v/>
      </c>
      <c r="AW33" t="str" cm="1">
        <f t="array" ref="AW33">IFERROR(IF($E33&lt;44348,"",IF(INDEX(Raw_매출!$B$2:$BI$155,MATCH($A33,Raw_매출!$A$2:$A$155,0),MATCH(EDATE($E33,AW$1-1),Raw_매출!$B$1:$BI$1,0))=0,"",INDEX(Raw_매출!$B$2:$BI$155,MATCH($A33,Raw_매출!$A$2:$A$155,0),MATCH(EDATE($E33,AW$1-1),Raw_매출!$B$1:$BI$1,0))/(INDEX(요약_월별시즈널리티!$F$7:$F$18,MONTH(EDATE($E33,AW$1-1)))/100))),"")</f>
        <v/>
      </c>
      <c r="AX33" t="str" cm="1">
        <f t="array" ref="AX33">IFERROR(IF($E33&lt;44348,"",IF(INDEX(Raw_매출!$B$2:$BI$155,MATCH($A33,Raw_매출!$A$2:$A$155,0),MATCH(EDATE($E33,AX$1-1),Raw_매출!$B$1:$BI$1,0))=0,"",INDEX(Raw_매출!$B$2:$BI$155,MATCH($A33,Raw_매출!$A$2:$A$155,0),MATCH(EDATE($E33,AX$1-1),Raw_매출!$B$1:$BI$1,0))/(INDEX(요약_월별시즈널리티!$F$7:$F$18,MONTH(EDATE($E33,AX$1-1)))/100))),"")</f>
        <v/>
      </c>
      <c r="AY33" t="str" cm="1">
        <f t="array" ref="AY33">IFERROR(IF($E33&lt;44348,"",IF(INDEX(Raw_매출!$B$2:$BI$155,MATCH($A33,Raw_매출!$A$2:$A$155,0),MATCH(EDATE($E33,AY$1-1),Raw_매출!$B$1:$BI$1,0))=0,"",INDEX(Raw_매출!$B$2:$BI$155,MATCH($A33,Raw_매출!$A$2:$A$155,0),MATCH(EDATE($E33,AY$1-1),Raw_매출!$B$1:$BI$1,0))/(INDEX(요약_월별시즈널리티!$F$7:$F$18,MONTH(EDATE($E33,AY$1-1)))/100))),"")</f>
        <v/>
      </c>
      <c r="AZ33" t="str" cm="1">
        <f t="array" ref="AZ33">IFERROR(IF($E33&lt;44348,"",IF(INDEX(Raw_매출!$B$2:$BI$155,MATCH($A33,Raw_매출!$A$2:$A$155,0),MATCH(EDATE($E33,AZ$1-1),Raw_매출!$B$1:$BI$1,0))=0,"",INDEX(Raw_매출!$B$2:$BI$155,MATCH($A33,Raw_매출!$A$2:$A$155,0),MATCH(EDATE($E33,AZ$1-1),Raw_매출!$B$1:$BI$1,0))/(INDEX(요약_월별시즈널리티!$F$7:$F$18,MONTH(EDATE($E33,AZ$1-1)))/100))),"")</f>
        <v/>
      </c>
      <c r="BA33" t="str" cm="1">
        <f t="array" ref="BA33">IFERROR(IF($E33&lt;44348,"",IF(INDEX(Raw_매출!$B$2:$BI$155,MATCH($A33,Raw_매출!$A$2:$A$155,0),MATCH(EDATE($E33,BA$1-1),Raw_매출!$B$1:$BI$1,0))=0,"",INDEX(Raw_매출!$B$2:$BI$155,MATCH($A33,Raw_매출!$A$2:$A$155,0),MATCH(EDATE($E33,BA$1-1),Raw_매출!$B$1:$BI$1,0))/(INDEX(요약_월별시즈널리티!$F$7:$F$18,MONTH(EDATE($E33,BA$1-1)))/100))),"")</f>
        <v/>
      </c>
      <c r="BB33" t="str" cm="1">
        <f t="array" ref="BB33">IFERROR(IF($E33&lt;44348,"",IF(INDEX(Raw_매출!$B$2:$BI$155,MATCH($A33,Raw_매출!$A$2:$A$155,0),MATCH(EDATE($E33,BB$1-1),Raw_매출!$B$1:$BI$1,0))=0,"",INDEX(Raw_매출!$B$2:$BI$155,MATCH($A33,Raw_매출!$A$2:$A$155,0),MATCH(EDATE($E33,BB$1-1),Raw_매출!$B$1:$BI$1,0))/(INDEX(요약_월별시즈널리티!$F$7:$F$18,MONTH(EDATE($E33,BB$1-1)))/100))),"")</f>
        <v/>
      </c>
      <c r="BC33" t="str" cm="1">
        <f t="array" ref="BC33">IFERROR(IF($E33&lt;44348,"",IF(INDEX(Raw_매출!$B$2:$BI$155,MATCH($A33,Raw_매출!$A$2:$A$155,0),MATCH(EDATE($E33,BC$1-1),Raw_매출!$B$1:$BI$1,0))=0,"",INDEX(Raw_매출!$B$2:$BI$155,MATCH($A33,Raw_매출!$A$2:$A$155,0),MATCH(EDATE($E33,BC$1-1),Raw_매출!$B$1:$BI$1,0))/(INDEX(요약_월별시즈널리티!$F$7:$F$18,MONTH(EDATE($E33,BC$1-1)))/100))),"")</f>
        <v/>
      </c>
      <c r="BD33" t="str" cm="1">
        <f t="array" ref="BD33">IFERROR(IF($E33&lt;44348,"",IF(INDEX(Raw_매출!$B$2:$BI$155,MATCH($A33,Raw_매출!$A$2:$A$155,0),MATCH(EDATE($E33,BD$1-1),Raw_매출!$B$1:$BI$1,0))=0,"",INDEX(Raw_매출!$B$2:$BI$155,MATCH($A33,Raw_매출!$A$2:$A$155,0),MATCH(EDATE($E33,BD$1-1),Raw_매출!$B$1:$BI$1,0))/(INDEX(요약_월별시즈널리티!$F$7:$F$18,MONTH(EDATE($E33,BD$1-1)))/100))),"")</f>
        <v/>
      </c>
      <c r="BE33" t="str" cm="1">
        <f t="array" ref="BE33">IFERROR(IF($E33&lt;44348,"",IF(INDEX(Raw_매출!$B$2:$BI$155,MATCH($A33,Raw_매출!$A$2:$A$155,0),MATCH(EDATE($E33,BE$1-1),Raw_매출!$B$1:$BI$1,0))=0,"",INDEX(Raw_매출!$B$2:$BI$155,MATCH($A33,Raw_매출!$A$2:$A$155,0),MATCH(EDATE($E33,BE$1-1),Raw_매출!$B$1:$BI$1,0))/(INDEX(요약_월별시즈널리티!$F$7:$F$18,MONTH(EDATE($E33,BE$1-1)))/100))),"")</f>
        <v/>
      </c>
      <c r="BF33" t="str" cm="1">
        <f t="array" ref="BF33">IFERROR(IF($E33&lt;44348,"",IF(INDEX(Raw_매출!$B$2:$BI$155,MATCH($A33,Raw_매출!$A$2:$A$155,0),MATCH(EDATE($E33,BF$1-1),Raw_매출!$B$1:$BI$1,0))=0,"",INDEX(Raw_매출!$B$2:$BI$155,MATCH($A33,Raw_매출!$A$2:$A$155,0),MATCH(EDATE($E33,BF$1-1),Raw_매출!$B$1:$BI$1,0))/(INDEX(요약_월별시즈널리티!$F$7:$F$18,MONTH(EDATE($E33,BF$1-1)))/100))),"")</f>
        <v/>
      </c>
      <c r="BG33" t="str" cm="1">
        <f t="array" ref="BG33">IFERROR(IF($E33&lt;44348,"",IF(INDEX(Raw_매출!$B$2:$BI$155,MATCH($A33,Raw_매출!$A$2:$A$155,0),MATCH(EDATE($E33,BG$1-1),Raw_매출!$B$1:$BI$1,0))=0,"",INDEX(Raw_매출!$B$2:$BI$155,MATCH($A33,Raw_매출!$A$2:$A$155,0),MATCH(EDATE($E33,BG$1-1),Raw_매출!$B$1:$BI$1,0))/(INDEX(요약_월별시즈널리티!$F$7:$F$18,MONTH(EDATE($E33,BG$1-1)))/100))),"")</f>
        <v/>
      </c>
      <c r="BH33" t="str" cm="1">
        <f t="array" ref="BH33">IFERROR(IF($E33&lt;44348,"",IF(INDEX(Raw_매출!$B$2:$BI$155,MATCH($A33,Raw_매출!$A$2:$A$155,0),MATCH(EDATE($E33,BH$1-1),Raw_매출!$B$1:$BI$1,0))=0,"",INDEX(Raw_매출!$B$2:$BI$155,MATCH($A33,Raw_매출!$A$2:$A$155,0),MATCH(EDATE($E33,BH$1-1),Raw_매출!$B$1:$BI$1,0))/(INDEX(요약_월별시즈널리티!$F$7:$F$18,MONTH(EDATE($E33,BH$1-1)))/100))),"")</f>
        <v/>
      </c>
      <c r="BI33" t="str" cm="1">
        <f t="array" ref="BI33">IFERROR(IF($E33&lt;44348,"",IF(INDEX(Raw_매출!$B$2:$BI$155,MATCH($A33,Raw_매출!$A$2:$A$155,0),MATCH(EDATE($E33,BI$1-1),Raw_매출!$B$1:$BI$1,0))=0,"",INDEX(Raw_매출!$B$2:$BI$155,MATCH($A33,Raw_매출!$A$2:$A$155,0),MATCH(EDATE($E33,BI$1-1),Raw_매출!$B$1:$BI$1,0))/(INDEX(요약_월별시즈널리티!$F$7:$F$18,MONTH(EDATE($E33,BI$1-1)))/100))),"")</f>
        <v/>
      </c>
      <c r="BJ33" t="str" cm="1">
        <f t="array" ref="BJ33">IFERROR(IF($E33&lt;44348,"",IF(INDEX(Raw_매출!$B$2:$BI$155,MATCH($A33,Raw_매출!$A$2:$A$155,0),MATCH(EDATE($E33,BJ$1-1),Raw_매출!$B$1:$BI$1,0))=0,"",INDEX(Raw_매출!$B$2:$BI$155,MATCH($A33,Raw_매출!$A$2:$A$155,0),MATCH(EDATE($E33,BJ$1-1),Raw_매출!$B$1:$BI$1,0))/(INDEX(요약_월별시즈널리티!$F$7:$F$18,MONTH(EDATE($E33,BJ$1-1)))/100))),"")</f>
        <v/>
      </c>
      <c r="BK33" t="str" cm="1">
        <f t="array" ref="BK33">IFERROR(IF($E33&lt;44348,"",IF(INDEX(Raw_매출!$B$2:$BI$155,MATCH($A33,Raw_매출!$A$2:$A$155,0),MATCH(EDATE($E33,BK$1-1),Raw_매출!$B$1:$BI$1,0))=0,"",INDEX(Raw_매출!$B$2:$BI$155,MATCH($A33,Raw_매출!$A$2:$A$155,0),MATCH(EDATE($E33,BK$1-1),Raw_매출!$B$1:$BI$1,0))/(INDEX(요약_월별시즈널리티!$F$7:$F$18,MONTH(EDATE($E33,BK$1-1)))/100))),"")</f>
        <v/>
      </c>
      <c r="BL33" t="str" cm="1">
        <f t="array" ref="BL33">IFERROR(IF($E33&lt;44348,"",IF(INDEX(Raw_매출!$B$2:$BI$155,MATCH($A33,Raw_매출!$A$2:$A$155,0),MATCH(EDATE($E33,BL$1-1),Raw_매출!$B$1:$BI$1,0))=0,"",INDEX(Raw_매출!$B$2:$BI$155,MATCH($A33,Raw_매출!$A$2:$A$155,0),MATCH(EDATE($E33,BL$1-1),Raw_매출!$B$1:$BI$1,0))/(INDEX(요약_월별시즈널리티!$F$7:$F$18,MONTH(EDATE($E33,BL$1-1)))/100))),"")</f>
        <v/>
      </c>
      <c r="BM33" t="str" cm="1">
        <f t="array" ref="BM33">IFERROR(IF($E33&lt;44348,"",IF(INDEX(Raw_매출!$B$2:$BI$155,MATCH($A33,Raw_매출!$A$2:$A$155,0),MATCH(EDATE($E33,BM$1-1),Raw_매출!$B$1:$BI$1,0))=0,"",INDEX(Raw_매출!$B$2:$BI$155,MATCH($A33,Raw_매출!$A$2:$A$155,0),MATCH(EDATE($E33,BM$1-1),Raw_매출!$B$1:$BI$1,0))/(INDEX(요약_월별시즈널리티!$F$7:$F$18,MONTH(EDATE($E33,BM$1-1)))/100))),"")</f>
        <v/>
      </c>
      <c r="BN33" t="str" cm="1">
        <f t="array" ref="BN33">IFERROR(IF($E33&lt;44348,"",IF(INDEX(Raw_매출!$B$2:$BI$155,MATCH($A33,Raw_매출!$A$2:$A$155,0),MATCH(EDATE($E33,BN$1-1),Raw_매출!$B$1:$BI$1,0))=0,"",INDEX(Raw_매출!$B$2:$BI$155,MATCH($A33,Raw_매출!$A$2:$A$155,0),MATCH(EDATE($E33,BN$1-1),Raw_매출!$B$1:$BI$1,0))/(INDEX(요약_월별시즈널리티!$F$7:$F$18,MONTH(EDATE($E33,BN$1-1)))/100))),"")</f>
        <v/>
      </c>
    </row>
    <row r="34" spans="1:66" x14ac:dyDescent="0.4">
      <c r="A34" t="str">
        <f>세팅!A35</f>
        <v>(1022) #서울시립대점</v>
      </c>
      <c r="B34" t="str">
        <f>세팅!B35</f>
        <v>150-3</v>
      </c>
      <c r="C34">
        <f t="shared" si="0"/>
        <v>3</v>
      </c>
      <c r="D34" t="str">
        <f t="shared" si="1"/>
        <v>3+</v>
      </c>
      <c r="E34" s="1">
        <f>세팅!D35</f>
        <v>44317</v>
      </c>
      <c r="F34" t="str">
        <f t="shared" si="2"/>
        <v/>
      </c>
      <c r="G34" t="str" cm="1">
        <f t="array" ref="G34">IFERROR(IF($E34&lt;44348,"",IF(INDEX(Raw_매출!$B$2:$BI$155,MATCH($A34,Raw_매출!$A$2:$A$155,0),MATCH(EDATE($E34,G$1-1),Raw_매출!$B$1:$BI$1,0))=0,"",INDEX(Raw_매출!$B$2:$BI$155,MATCH($A34,Raw_매출!$A$2:$A$155,0),MATCH(EDATE($E34,G$1-1),Raw_매출!$B$1:$BI$1,0))/(INDEX(요약_월별시즈널리티!$F$7:$F$18,MONTH(EDATE($E34,G$1-1)))/100))),"")</f>
        <v/>
      </c>
      <c r="H34" t="str" cm="1">
        <f t="array" ref="H34">IFERROR(IF($E34&lt;44348,"",IF(INDEX(Raw_매출!$B$2:$BI$155,MATCH($A34,Raw_매출!$A$2:$A$155,0),MATCH(EDATE($E34,H$1-1),Raw_매출!$B$1:$BI$1,0))=0,"",INDEX(Raw_매출!$B$2:$BI$155,MATCH($A34,Raw_매출!$A$2:$A$155,0),MATCH(EDATE($E34,H$1-1),Raw_매출!$B$1:$BI$1,0))/(INDEX(요약_월별시즈널리티!$F$7:$F$18,MONTH(EDATE($E34,H$1-1)))/100))),"")</f>
        <v/>
      </c>
      <c r="I34" t="str" cm="1">
        <f t="array" ref="I34">IFERROR(IF($E34&lt;44348,"",IF(INDEX(Raw_매출!$B$2:$BI$155,MATCH($A34,Raw_매출!$A$2:$A$155,0),MATCH(EDATE($E34,I$1-1),Raw_매출!$B$1:$BI$1,0))=0,"",INDEX(Raw_매출!$B$2:$BI$155,MATCH($A34,Raw_매출!$A$2:$A$155,0),MATCH(EDATE($E34,I$1-1),Raw_매출!$B$1:$BI$1,0))/(INDEX(요약_월별시즈널리티!$F$7:$F$18,MONTH(EDATE($E34,I$1-1)))/100))),"")</f>
        <v/>
      </c>
      <c r="J34" s="30" t="str" cm="1">
        <f t="array" ref="J34">IFERROR(IF($E34&lt;44348,"",IF(INDEX(Raw_매출!$B$2:$BI$155,MATCH($A34,Raw_매출!$A$2:$A$155,0),MATCH(EDATE($E34,J$1-1),Raw_매출!$B$1:$BI$1,0))=0,"",INDEX(Raw_매출!$B$2:$BI$155,MATCH($A34,Raw_매출!$A$2:$A$155,0),MATCH(EDATE($E34,J$1-1),Raw_매출!$B$1:$BI$1,0))/(INDEX(요약_월별시즈널리티!$F$7:$F$18,MONTH(EDATE($E34,J$1-1)))/100))),"")</f>
        <v/>
      </c>
      <c r="K34" s="30" t="str" cm="1">
        <f t="array" ref="K34">IFERROR(IF($E34&lt;44348,"",IF(INDEX(Raw_매출!$B$2:$BI$155,MATCH($A34,Raw_매출!$A$2:$A$155,0),MATCH(EDATE($E34,K$1-1),Raw_매출!$B$1:$BI$1,0))=0,"",INDEX(Raw_매출!$B$2:$BI$155,MATCH($A34,Raw_매출!$A$2:$A$155,0),MATCH(EDATE($E34,K$1-1),Raw_매출!$B$1:$BI$1,0))/(INDEX(요약_월별시즈널리티!$F$7:$F$18,MONTH(EDATE($E34,K$1-1)))/100))),"")</f>
        <v/>
      </c>
      <c r="L34" s="30" t="str" cm="1">
        <f t="array" ref="L34">IFERROR(IF($E34&lt;44348,"",IF(INDEX(Raw_매출!$B$2:$BI$155,MATCH($A34,Raw_매출!$A$2:$A$155,0),MATCH(EDATE($E34,L$1-1),Raw_매출!$B$1:$BI$1,0))=0,"",INDEX(Raw_매출!$B$2:$BI$155,MATCH($A34,Raw_매출!$A$2:$A$155,0),MATCH(EDATE($E34,L$1-1),Raw_매출!$B$1:$BI$1,0))/(INDEX(요약_월별시즈널리티!$F$7:$F$18,MONTH(EDATE($E34,L$1-1)))/100))),"")</f>
        <v/>
      </c>
      <c r="M34" s="30" t="str" cm="1">
        <f t="array" ref="M34">IFERROR(IF($E34&lt;44348,"",IF(INDEX(Raw_매출!$B$2:$BI$155,MATCH($A34,Raw_매출!$A$2:$A$155,0),MATCH(EDATE($E34,M$1-1),Raw_매출!$B$1:$BI$1,0))=0,"",INDEX(Raw_매출!$B$2:$BI$155,MATCH($A34,Raw_매출!$A$2:$A$155,0),MATCH(EDATE($E34,M$1-1),Raw_매출!$B$1:$BI$1,0))/(INDEX(요약_월별시즈널리티!$F$7:$F$18,MONTH(EDATE($E34,M$1-1)))/100))),"")</f>
        <v/>
      </c>
      <c r="N34" s="30" t="str" cm="1">
        <f t="array" ref="N34">IFERROR(IF($E34&lt;44348,"",IF(INDEX(Raw_매출!$B$2:$BI$155,MATCH($A34,Raw_매출!$A$2:$A$155,0),MATCH(EDATE($E34,N$1-1),Raw_매출!$B$1:$BI$1,0))=0,"",INDEX(Raw_매출!$B$2:$BI$155,MATCH($A34,Raw_매출!$A$2:$A$155,0),MATCH(EDATE($E34,N$1-1),Raw_매출!$B$1:$BI$1,0))/(INDEX(요약_월별시즈널리티!$F$7:$F$18,MONTH(EDATE($E34,N$1-1)))/100))),"")</f>
        <v/>
      </c>
      <c r="O34" s="30" t="str" cm="1">
        <f t="array" ref="O34">IFERROR(IF($E34&lt;44348,"",IF(INDEX(Raw_매출!$B$2:$BI$155,MATCH($A34,Raw_매출!$A$2:$A$155,0),MATCH(EDATE($E34,O$1-1),Raw_매출!$B$1:$BI$1,0))=0,"",INDEX(Raw_매출!$B$2:$BI$155,MATCH($A34,Raw_매출!$A$2:$A$155,0),MATCH(EDATE($E34,O$1-1),Raw_매출!$B$1:$BI$1,0))/(INDEX(요약_월별시즈널리티!$F$7:$F$18,MONTH(EDATE($E34,O$1-1)))/100))),"")</f>
        <v/>
      </c>
      <c r="P34" t="str" cm="1">
        <f t="array" ref="P34">IFERROR(IF($E34&lt;44348,"",IF(INDEX(Raw_매출!$B$2:$BI$155,MATCH($A34,Raw_매출!$A$2:$A$155,0),MATCH(EDATE($E34,P$1-1),Raw_매출!$B$1:$BI$1,0))=0,"",INDEX(Raw_매출!$B$2:$BI$155,MATCH($A34,Raw_매출!$A$2:$A$155,0),MATCH(EDATE($E34,P$1-1),Raw_매출!$B$1:$BI$1,0))/(INDEX(요약_월별시즈널리티!$F$7:$F$18,MONTH(EDATE($E34,P$1-1)))/100))),"")</f>
        <v/>
      </c>
      <c r="Q34" t="str" cm="1">
        <f t="array" ref="Q34">IFERROR(IF($E34&lt;44348,"",IF(INDEX(Raw_매출!$B$2:$BI$155,MATCH($A34,Raw_매출!$A$2:$A$155,0),MATCH(EDATE($E34,Q$1-1),Raw_매출!$B$1:$BI$1,0))=0,"",INDEX(Raw_매출!$B$2:$BI$155,MATCH($A34,Raw_매출!$A$2:$A$155,0),MATCH(EDATE($E34,Q$1-1),Raw_매출!$B$1:$BI$1,0))/(INDEX(요약_월별시즈널리티!$F$7:$F$18,MONTH(EDATE($E34,Q$1-1)))/100))),"")</f>
        <v/>
      </c>
      <c r="R34" t="str" cm="1">
        <f t="array" ref="R34">IFERROR(IF($E34&lt;44348,"",IF(INDEX(Raw_매출!$B$2:$BI$155,MATCH($A34,Raw_매출!$A$2:$A$155,0),MATCH(EDATE($E34,R$1-1),Raw_매출!$B$1:$BI$1,0))=0,"",INDEX(Raw_매출!$B$2:$BI$155,MATCH($A34,Raw_매출!$A$2:$A$155,0),MATCH(EDATE($E34,R$1-1),Raw_매출!$B$1:$BI$1,0))/(INDEX(요약_월별시즈널리티!$F$7:$F$18,MONTH(EDATE($E34,R$1-1)))/100))),"")</f>
        <v/>
      </c>
      <c r="S34" t="str" cm="1">
        <f t="array" ref="S34">IFERROR(IF($E34&lt;44348,"",IF(INDEX(Raw_매출!$B$2:$BI$155,MATCH($A34,Raw_매출!$A$2:$A$155,0),MATCH(EDATE($E34,S$1-1),Raw_매출!$B$1:$BI$1,0))=0,"",INDEX(Raw_매출!$B$2:$BI$155,MATCH($A34,Raw_매출!$A$2:$A$155,0),MATCH(EDATE($E34,S$1-1),Raw_매출!$B$1:$BI$1,0))/(INDEX(요약_월별시즈널리티!$F$7:$F$18,MONTH(EDATE($E34,S$1-1)))/100))),"")</f>
        <v/>
      </c>
      <c r="T34" t="str" cm="1">
        <f t="array" ref="T34">IFERROR(IF($E34&lt;44348,"",IF(INDEX(Raw_매출!$B$2:$BI$155,MATCH($A34,Raw_매출!$A$2:$A$155,0),MATCH(EDATE($E34,T$1-1),Raw_매출!$B$1:$BI$1,0))=0,"",INDEX(Raw_매출!$B$2:$BI$155,MATCH($A34,Raw_매출!$A$2:$A$155,0),MATCH(EDATE($E34,T$1-1),Raw_매출!$B$1:$BI$1,0))/(INDEX(요약_월별시즈널리티!$F$7:$F$18,MONTH(EDATE($E34,T$1-1)))/100))),"")</f>
        <v/>
      </c>
      <c r="U34" t="str" cm="1">
        <f t="array" ref="U34">IFERROR(IF($E34&lt;44348,"",IF(INDEX(Raw_매출!$B$2:$BI$155,MATCH($A34,Raw_매출!$A$2:$A$155,0),MATCH(EDATE($E34,U$1-1),Raw_매출!$B$1:$BI$1,0))=0,"",INDEX(Raw_매출!$B$2:$BI$155,MATCH($A34,Raw_매출!$A$2:$A$155,0),MATCH(EDATE($E34,U$1-1),Raw_매출!$B$1:$BI$1,0))/(INDEX(요약_월별시즈널리티!$F$7:$F$18,MONTH(EDATE($E34,U$1-1)))/100))),"")</f>
        <v/>
      </c>
      <c r="V34" t="str" cm="1">
        <f t="array" ref="V34">IFERROR(IF($E34&lt;44348,"",IF(INDEX(Raw_매출!$B$2:$BI$155,MATCH($A34,Raw_매출!$A$2:$A$155,0),MATCH(EDATE($E34,V$1-1),Raw_매출!$B$1:$BI$1,0))=0,"",INDEX(Raw_매출!$B$2:$BI$155,MATCH($A34,Raw_매출!$A$2:$A$155,0),MATCH(EDATE($E34,V$1-1),Raw_매출!$B$1:$BI$1,0))/(INDEX(요약_월별시즈널리티!$F$7:$F$18,MONTH(EDATE($E34,V$1-1)))/100))),"")</f>
        <v/>
      </c>
      <c r="W34" t="str" cm="1">
        <f t="array" ref="W34">IFERROR(IF($E34&lt;44348,"",IF(INDEX(Raw_매출!$B$2:$BI$155,MATCH($A34,Raw_매출!$A$2:$A$155,0),MATCH(EDATE($E34,W$1-1),Raw_매출!$B$1:$BI$1,0))=0,"",INDEX(Raw_매출!$B$2:$BI$155,MATCH($A34,Raw_매출!$A$2:$A$155,0),MATCH(EDATE($E34,W$1-1),Raw_매출!$B$1:$BI$1,0))/(INDEX(요약_월별시즈널리티!$F$7:$F$18,MONTH(EDATE($E34,W$1-1)))/100))),"")</f>
        <v/>
      </c>
      <c r="X34" t="str" cm="1">
        <f t="array" ref="X34">IFERROR(IF($E34&lt;44348,"",IF(INDEX(Raw_매출!$B$2:$BI$155,MATCH($A34,Raw_매출!$A$2:$A$155,0),MATCH(EDATE($E34,X$1-1),Raw_매출!$B$1:$BI$1,0))=0,"",INDEX(Raw_매출!$B$2:$BI$155,MATCH($A34,Raw_매출!$A$2:$A$155,0),MATCH(EDATE($E34,X$1-1),Raw_매출!$B$1:$BI$1,0))/(INDEX(요약_월별시즈널리티!$F$7:$F$18,MONTH(EDATE($E34,X$1-1)))/100))),"")</f>
        <v/>
      </c>
      <c r="Y34" t="str" cm="1">
        <f t="array" ref="Y34">IFERROR(IF($E34&lt;44348,"",IF(INDEX(Raw_매출!$B$2:$BI$155,MATCH($A34,Raw_매출!$A$2:$A$155,0),MATCH(EDATE($E34,Y$1-1),Raw_매출!$B$1:$BI$1,0))=0,"",INDEX(Raw_매출!$B$2:$BI$155,MATCH($A34,Raw_매출!$A$2:$A$155,0),MATCH(EDATE($E34,Y$1-1),Raw_매출!$B$1:$BI$1,0))/(INDEX(요약_월별시즈널리티!$F$7:$F$18,MONTH(EDATE($E34,Y$1-1)))/100))),"")</f>
        <v/>
      </c>
      <c r="Z34" t="str" cm="1">
        <f t="array" ref="Z34">IFERROR(IF($E34&lt;44348,"",IF(INDEX(Raw_매출!$B$2:$BI$155,MATCH($A34,Raw_매출!$A$2:$A$155,0),MATCH(EDATE($E34,Z$1-1),Raw_매출!$B$1:$BI$1,0))=0,"",INDEX(Raw_매출!$B$2:$BI$155,MATCH($A34,Raw_매출!$A$2:$A$155,0),MATCH(EDATE($E34,Z$1-1),Raw_매출!$B$1:$BI$1,0))/(INDEX(요약_월별시즈널리티!$F$7:$F$18,MONTH(EDATE($E34,Z$1-1)))/100))),"")</f>
        <v/>
      </c>
      <c r="AA34" t="str" cm="1">
        <f t="array" ref="AA34">IFERROR(IF($E34&lt;44348,"",IF(INDEX(Raw_매출!$B$2:$BI$155,MATCH($A34,Raw_매출!$A$2:$A$155,0),MATCH(EDATE($E34,AA$1-1),Raw_매출!$B$1:$BI$1,0))=0,"",INDEX(Raw_매출!$B$2:$BI$155,MATCH($A34,Raw_매출!$A$2:$A$155,0),MATCH(EDATE($E34,AA$1-1),Raw_매출!$B$1:$BI$1,0))/(INDEX(요약_월별시즈널리티!$F$7:$F$18,MONTH(EDATE($E34,AA$1-1)))/100))),"")</f>
        <v/>
      </c>
      <c r="AB34" t="str" cm="1">
        <f t="array" ref="AB34">IFERROR(IF($E34&lt;44348,"",IF(INDEX(Raw_매출!$B$2:$BI$155,MATCH($A34,Raw_매출!$A$2:$A$155,0),MATCH(EDATE($E34,AB$1-1),Raw_매출!$B$1:$BI$1,0))=0,"",INDEX(Raw_매출!$B$2:$BI$155,MATCH($A34,Raw_매출!$A$2:$A$155,0),MATCH(EDATE($E34,AB$1-1),Raw_매출!$B$1:$BI$1,0))/(INDEX(요약_월별시즈널리티!$F$7:$F$18,MONTH(EDATE($E34,AB$1-1)))/100))),"")</f>
        <v/>
      </c>
      <c r="AC34" t="str" cm="1">
        <f t="array" ref="AC34">IFERROR(IF($E34&lt;44348,"",IF(INDEX(Raw_매출!$B$2:$BI$155,MATCH($A34,Raw_매출!$A$2:$A$155,0),MATCH(EDATE($E34,AC$1-1),Raw_매출!$B$1:$BI$1,0))=0,"",INDEX(Raw_매출!$B$2:$BI$155,MATCH($A34,Raw_매출!$A$2:$A$155,0),MATCH(EDATE($E34,AC$1-1),Raw_매출!$B$1:$BI$1,0))/(INDEX(요약_월별시즈널리티!$F$7:$F$18,MONTH(EDATE($E34,AC$1-1)))/100))),"")</f>
        <v/>
      </c>
      <c r="AD34" t="str" cm="1">
        <f t="array" ref="AD34">IFERROR(IF($E34&lt;44348,"",IF(INDEX(Raw_매출!$B$2:$BI$155,MATCH($A34,Raw_매출!$A$2:$A$155,0),MATCH(EDATE($E34,AD$1-1),Raw_매출!$B$1:$BI$1,0))=0,"",INDEX(Raw_매출!$B$2:$BI$155,MATCH($A34,Raw_매출!$A$2:$A$155,0),MATCH(EDATE($E34,AD$1-1),Raw_매출!$B$1:$BI$1,0))/(INDEX(요약_월별시즈널리티!$F$7:$F$18,MONTH(EDATE($E34,AD$1-1)))/100))),"")</f>
        <v/>
      </c>
      <c r="AE34" t="str" cm="1">
        <f t="array" ref="AE34">IFERROR(IF($E34&lt;44348,"",IF(INDEX(Raw_매출!$B$2:$BI$155,MATCH($A34,Raw_매출!$A$2:$A$155,0),MATCH(EDATE($E34,AE$1-1),Raw_매출!$B$1:$BI$1,0))=0,"",INDEX(Raw_매출!$B$2:$BI$155,MATCH($A34,Raw_매출!$A$2:$A$155,0),MATCH(EDATE($E34,AE$1-1),Raw_매출!$B$1:$BI$1,0))/(INDEX(요약_월별시즈널리티!$F$7:$F$18,MONTH(EDATE($E34,AE$1-1)))/100))),"")</f>
        <v/>
      </c>
      <c r="AF34" t="str" cm="1">
        <f t="array" ref="AF34">IFERROR(IF($E34&lt;44348,"",IF(INDEX(Raw_매출!$B$2:$BI$155,MATCH($A34,Raw_매출!$A$2:$A$155,0),MATCH(EDATE($E34,AF$1-1),Raw_매출!$B$1:$BI$1,0))=0,"",INDEX(Raw_매출!$B$2:$BI$155,MATCH($A34,Raw_매출!$A$2:$A$155,0),MATCH(EDATE($E34,AF$1-1),Raw_매출!$B$1:$BI$1,0))/(INDEX(요약_월별시즈널리티!$F$7:$F$18,MONTH(EDATE($E34,AF$1-1)))/100))),"")</f>
        <v/>
      </c>
      <c r="AG34" t="str" cm="1">
        <f t="array" ref="AG34">IFERROR(IF($E34&lt;44348,"",IF(INDEX(Raw_매출!$B$2:$BI$155,MATCH($A34,Raw_매출!$A$2:$A$155,0),MATCH(EDATE($E34,AG$1-1),Raw_매출!$B$1:$BI$1,0))=0,"",INDEX(Raw_매출!$B$2:$BI$155,MATCH($A34,Raw_매출!$A$2:$A$155,0),MATCH(EDATE($E34,AG$1-1),Raw_매출!$B$1:$BI$1,0))/(INDEX(요약_월별시즈널리티!$F$7:$F$18,MONTH(EDATE($E34,AG$1-1)))/100))),"")</f>
        <v/>
      </c>
      <c r="AH34" t="str" cm="1">
        <f t="array" ref="AH34">IFERROR(IF($E34&lt;44348,"",IF(INDEX(Raw_매출!$B$2:$BI$155,MATCH($A34,Raw_매출!$A$2:$A$155,0),MATCH(EDATE($E34,AH$1-1),Raw_매출!$B$1:$BI$1,0))=0,"",INDEX(Raw_매출!$B$2:$BI$155,MATCH($A34,Raw_매출!$A$2:$A$155,0),MATCH(EDATE($E34,AH$1-1),Raw_매출!$B$1:$BI$1,0))/(INDEX(요약_월별시즈널리티!$F$7:$F$18,MONTH(EDATE($E34,AH$1-1)))/100))),"")</f>
        <v/>
      </c>
      <c r="AI34" t="str" cm="1">
        <f t="array" ref="AI34">IFERROR(IF($E34&lt;44348,"",IF(INDEX(Raw_매출!$B$2:$BI$155,MATCH($A34,Raw_매출!$A$2:$A$155,0),MATCH(EDATE($E34,AI$1-1),Raw_매출!$B$1:$BI$1,0))=0,"",INDEX(Raw_매출!$B$2:$BI$155,MATCH($A34,Raw_매출!$A$2:$A$155,0),MATCH(EDATE($E34,AI$1-1),Raw_매출!$B$1:$BI$1,0))/(INDEX(요약_월별시즈널리티!$F$7:$F$18,MONTH(EDATE($E34,AI$1-1)))/100))),"")</f>
        <v/>
      </c>
      <c r="AJ34" t="str" cm="1">
        <f t="array" ref="AJ34">IFERROR(IF($E34&lt;44348,"",IF(INDEX(Raw_매출!$B$2:$BI$155,MATCH($A34,Raw_매출!$A$2:$A$155,0),MATCH(EDATE($E34,AJ$1-1),Raw_매출!$B$1:$BI$1,0))=0,"",INDEX(Raw_매출!$B$2:$BI$155,MATCH($A34,Raw_매출!$A$2:$A$155,0),MATCH(EDATE($E34,AJ$1-1),Raw_매출!$B$1:$BI$1,0))/(INDEX(요약_월별시즈널리티!$F$7:$F$18,MONTH(EDATE($E34,AJ$1-1)))/100))),"")</f>
        <v/>
      </c>
      <c r="AK34" t="str" cm="1">
        <f t="array" ref="AK34">IFERROR(IF($E34&lt;44348,"",IF(INDEX(Raw_매출!$B$2:$BI$155,MATCH($A34,Raw_매출!$A$2:$A$155,0),MATCH(EDATE($E34,AK$1-1),Raw_매출!$B$1:$BI$1,0))=0,"",INDEX(Raw_매출!$B$2:$BI$155,MATCH($A34,Raw_매출!$A$2:$A$155,0),MATCH(EDATE($E34,AK$1-1),Raw_매출!$B$1:$BI$1,0))/(INDEX(요약_월별시즈널리티!$F$7:$F$18,MONTH(EDATE($E34,AK$1-1)))/100))),"")</f>
        <v/>
      </c>
      <c r="AL34" t="str" cm="1">
        <f t="array" ref="AL34">IFERROR(IF($E34&lt;44348,"",IF(INDEX(Raw_매출!$B$2:$BI$155,MATCH($A34,Raw_매출!$A$2:$A$155,0),MATCH(EDATE($E34,AL$1-1),Raw_매출!$B$1:$BI$1,0))=0,"",INDEX(Raw_매출!$B$2:$BI$155,MATCH($A34,Raw_매출!$A$2:$A$155,0),MATCH(EDATE($E34,AL$1-1),Raw_매출!$B$1:$BI$1,0))/(INDEX(요약_월별시즈널리티!$F$7:$F$18,MONTH(EDATE($E34,AL$1-1)))/100))),"")</f>
        <v/>
      </c>
      <c r="AM34" t="str" cm="1">
        <f t="array" ref="AM34">IFERROR(IF($E34&lt;44348,"",IF(INDEX(Raw_매출!$B$2:$BI$155,MATCH($A34,Raw_매출!$A$2:$A$155,0),MATCH(EDATE($E34,AM$1-1),Raw_매출!$B$1:$BI$1,0))=0,"",INDEX(Raw_매출!$B$2:$BI$155,MATCH($A34,Raw_매출!$A$2:$A$155,0),MATCH(EDATE($E34,AM$1-1),Raw_매출!$B$1:$BI$1,0))/(INDEX(요약_월별시즈널리티!$F$7:$F$18,MONTH(EDATE($E34,AM$1-1)))/100))),"")</f>
        <v/>
      </c>
      <c r="AN34" t="str" cm="1">
        <f t="array" ref="AN34">IFERROR(IF($E34&lt;44348,"",IF(INDEX(Raw_매출!$B$2:$BI$155,MATCH($A34,Raw_매출!$A$2:$A$155,0),MATCH(EDATE($E34,AN$1-1),Raw_매출!$B$1:$BI$1,0))=0,"",INDEX(Raw_매출!$B$2:$BI$155,MATCH($A34,Raw_매출!$A$2:$A$155,0),MATCH(EDATE($E34,AN$1-1),Raw_매출!$B$1:$BI$1,0))/(INDEX(요약_월별시즈널리티!$F$7:$F$18,MONTH(EDATE($E34,AN$1-1)))/100))),"")</f>
        <v/>
      </c>
      <c r="AO34" t="str" cm="1">
        <f t="array" ref="AO34">IFERROR(IF($E34&lt;44348,"",IF(INDEX(Raw_매출!$B$2:$BI$155,MATCH($A34,Raw_매출!$A$2:$A$155,0),MATCH(EDATE($E34,AO$1-1),Raw_매출!$B$1:$BI$1,0))=0,"",INDEX(Raw_매출!$B$2:$BI$155,MATCH($A34,Raw_매출!$A$2:$A$155,0),MATCH(EDATE($E34,AO$1-1),Raw_매출!$B$1:$BI$1,0))/(INDEX(요약_월별시즈널리티!$F$7:$F$18,MONTH(EDATE($E34,AO$1-1)))/100))),"")</f>
        <v/>
      </c>
      <c r="AP34" t="str" cm="1">
        <f t="array" ref="AP34">IFERROR(IF($E34&lt;44348,"",IF(INDEX(Raw_매출!$B$2:$BI$155,MATCH($A34,Raw_매출!$A$2:$A$155,0),MATCH(EDATE($E34,AP$1-1),Raw_매출!$B$1:$BI$1,0))=0,"",INDEX(Raw_매출!$B$2:$BI$155,MATCH($A34,Raw_매출!$A$2:$A$155,0),MATCH(EDATE($E34,AP$1-1),Raw_매출!$B$1:$BI$1,0))/(INDEX(요약_월별시즈널리티!$F$7:$F$18,MONTH(EDATE($E34,AP$1-1)))/100))),"")</f>
        <v/>
      </c>
      <c r="AQ34" t="str" cm="1">
        <f t="array" ref="AQ34">IFERROR(IF($E34&lt;44348,"",IF(INDEX(Raw_매출!$B$2:$BI$155,MATCH($A34,Raw_매출!$A$2:$A$155,0),MATCH(EDATE($E34,AQ$1-1),Raw_매출!$B$1:$BI$1,0))=0,"",INDEX(Raw_매출!$B$2:$BI$155,MATCH($A34,Raw_매출!$A$2:$A$155,0),MATCH(EDATE($E34,AQ$1-1),Raw_매출!$B$1:$BI$1,0))/(INDEX(요약_월별시즈널리티!$F$7:$F$18,MONTH(EDATE($E34,AQ$1-1)))/100))),"")</f>
        <v/>
      </c>
      <c r="AR34" t="str" cm="1">
        <f t="array" ref="AR34">IFERROR(IF($E34&lt;44348,"",IF(INDEX(Raw_매출!$B$2:$BI$155,MATCH($A34,Raw_매출!$A$2:$A$155,0),MATCH(EDATE($E34,AR$1-1),Raw_매출!$B$1:$BI$1,0))=0,"",INDEX(Raw_매출!$B$2:$BI$155,MATCH($A34,Raw_매출!$A$2:$A$155,0),MATCH(EDATE($E34,AR$1-1),Raw_매출!$B$1:$BI$1,0))/(INDEX(요약_월별시즈널리티!$F$7:$F$18,MONTH(EDATE($E34,AR$1-1)))/100))),"")</f>
        <v/>
      </c>
      <c r="AS34" t="str" cm="1">
        <f t="array" ref="AS34">IFERROR(IF($E34&lt;44348,"",IF(INDEX(Raw_매출!$B$2:$BI$155,MATCH($A34,Raw_매출!$A$2:$A$155,0),MATCH(EDATE($E34,AS$1-1),Raw_매출!$B$1:$BI$1,0))=0,"",INDEX(Raw_매출!$B$2:$BI$155,MATCH($A34,Raw_매출!$A$2:$A$155,0),MATCH(EDATE($E34,AS$1-1),Raw_매출!$B$1:$BI$1,0))/(INDEX(요약_월별시즈널리티!$F$7:$F$18,MONTH(EDATE($E34,AS$1-1)))/100))),"")</f>
        <v/>
      </c>
      <c r="AT34" t="str" cm="1">
        <f t="array" ref="AT34">IFERROR(IF($E34&lt;44348,"",IF(INDEX(Raw_매출!$B$2:$BI$155,MATCH($A34,Raw_매출!$A$2:$A$155,0),MATCH(EDATE($E34,AT$1-1),Raw_매출!$B$1:$BI$1,0))=0,"",INDEX(Raw_매출!$B$2:$BI$155,MATCH($A34,Raw_매출!$A$2:$A$155,0),MATCH(EDATE($E34,AT$1-1),Raw_매출!$B$1:$BI$1,0))/(INDEX(요약_월별시즈널리티!$F$7:$F$18,MONTH(EDATE($E34,AT$1-1)))/100))),"")</f>
        <v/>
      </c>
      <c r="AU34" t="str" cm="1">
        <f t="array" ref="AU34">IFERROR(IF($E34&lt;44348,"",IF(INDEX(Raw_매출!$B$2:$BI$155,MATCH($A34,Raw_매출!$A$2:$A$155,0),MATCH(EDATE($E34,AU$1-1),Raw_매출!$B$1:$BI$1,0))=0,"",INDEX(Raw_매출!$B$2:$BI$155,MATCH($A34,Raw_매출!$A$2:$A$155,0),MATCH(EDATE($E34,AU$1-1),Raw_매출!$B$1:$BI$1,0))/(INDEX(요약_월별시즈널리티!$F$7:$F$18,MONTH(EDATE($E34,AU$1-1)))/100))),"")</f>
        <v/>
      </c>
      <c r="AV34" t="str" cm="1">
        <f t="array" ref="AV34">IFERROR(IF($E34&lt;44348,"",IF(INDEX(Raw_매출!$B$2:$BI$155,MATCH($A34,Raw_매출!$A$2:$A$155,0),MATCH(EDATE($E34,AV$1-1),Raw_매출!$B$1:$BI$1,0))=0,"",INDEX(Raw_매출!$B$2:$BI$155,MATCH($A34,Raw_매출!$A$2:$A$155,0),MATCH(EDATE($E34,AV$1-1),Raw_매출!$B$1:$BI$1,0))/(INDEX(요약_월별시즈널리티!$F$7:$F$18,MONTH(EDATE($E34,AV$1-1)))/100))),"")</f>
        <v/>
      </c>
      <c r="AW34" t="str" cm="1">
        <f t="array" ref="AW34">IFERROR(IF($E34&lt;44348,"",IF(INDEX(Raw_매출!$B$2:$BI$155,MATCH($A34,Raw_매출!$A$2:$A$155,0),MATCH(EDATE($E34,AW$1-1),Raw_매출!$B$1:$BI$1,0))=0,"",INDEX(Raw_매출!$B$2:$BI$155,MATCH($A34,Raw_매출!$A$2:$A$155,0),MATCH(EDATE($E34,AW$1-1),Raw_매출!$B$1:$BI$1,0))/(INDEX(요약_월별시즈널리티!$F$7:$F$18,MONTH(EDATE($E34,AW$1-1)))/100))),"")</f>
        <v/>
      </c>
      <c r="AX34" t="str" cm="1">
        <f t="array" ref="AX34">IFERROR(IF($E34&lt;44348,"",IF(INDEX(Raw_매출!$B$2:$BI$155,MATCH($A34,Raw_매출!$A$2:$A$155,0),MATCH(EDATE($E34,AX$1-1),Raw_매출!$B$1:$BI$1,0))=0,"",INDEX(Raw_매출!$B$2:$BI$155,MATCH($A34,Raw_매출!$A$2:$A$155,0),MATCH(EDATE($E34,AX$1-1),Raw_매출!$B$1:$BI$1,0))/(INDEX(요약_월별시즈널리티!$F$7:$F$18,MONTH(EDATE($E34,AX$1-1)))/100))),"")</f>
        <v/>
      </c>
      <c r="AY34" t="str" cm="1">
        <f t="array" ref="AY34">IFERROR(IF($E34&lt;44348,"",IF(INDEX(Raw_매출!$B$2:$BI$155,MATCH($A34,Raw_매출!$A$2:$A$155,0),MATCH(EDATE($E34,AY$1-1),Raw_매출!$B$1:$BI$1,0))=0,"",INDEX(Raw_매출!$B$2:$BI$155,MATCH($A34,Raw_매출!$A$2:$A$155,0),MATCH(EDATE($E34,AY$1-1),Raw_매출!$B$1:$BI$1,0))/(INDEX(요약_월별시즈널리티!$F$7:$F$18,MONTH(EDATE($E34,AY$1-1)))/100))),"")</f>
        <v/>
      </c>
      <c r="AZ34" t="str" cm="1">
        <f t="array" ref="AZ34">IFERROR(IF($E34&lt;44348,"",IF(INDEX(Raw_매출!$B$2:$BI$155,MATCH($A34,Raw_매출!$A$2:$A$155,0),MATCH(EDATE($E34,AZ$1-1),Raw_매출!$B$1:$BI$1,0))=0,"",INDEX(Raw_매출!$B$2:$BI$155,MATCH($A34,Raw_매출!$A$2:$A$155,0),MATCH(EDATE($E34,AZ$1-1),Raw_매출!$B$1:$BI$1,0))/(INDEX(요약_월별시즈널리티!$F$7:$F$18,MONTH(EDATE($E34,AZ$1-1)))/100))),"")</f>
        <v/>
      </c>
      <c r="BA34" t="str" cm="1">
        <f t="array" ref="BA34">IFERROR(IF($E34&lt;44348,"",IF(INDEX(Raw_매출!$B$2:$BI$155,MATCH($A34,Raw_매출!$A$2:$A$155,0),MATCH(EDATE($E34,BA$1-1),Raw_매출!$B$1:$BI$1,0))=0,"",INDEX(Raw_매출!$B$2:$BI$155,MATCH($A34,Raw_매출!$A$2:$A$155,0),MATCH(EDATE($E34,BA$1-1),Raw_매출!$B$1:$BI$1,0))/(INDEX(요약_월별시즈널리티!$F$7:$F$18,MONTH(EDATE($E34,BA$1-1)))/100))),"")</f>
        <v/>
      </c>
      <c r="BB34" t="str" cm="1">
        <f t="array" ref="BB34">IFERROR(IF($E34&lt;44348,"",IF(INDEX(Raw_매출!$B$2:$BI$155,MATCH($A34,Raw_매출!$A$2:$A$155,0),MATCH(EDATE($E34,BB$1-1),Raw_매출!$B$1:$BI$1,0))=0,"",INDEX(Raw_매출!$B$2:$BI$155,MATCH($A34,Raw_매출!$A$2:$A$155,0),MATCH(EDATE($E34,BB$1-1),Raw_매출!$B$1:$BI$1,0))/(INDEX(요약_월별시즈널리티!$F$7:$F$18,MONTH(EDATE($E34,BB$1-1)))/100))),"")</f>
        <v/>
      </c>
      <c r="BC34" t="str" cm="1">
        <f t="array" ref="BC34">IFERROR(IF($E34&lt;44348,"",IF(INDEX(Raw_매출!$B$2:$BI$155,MATCH($A34,Raw_매출!$A$2:$A$155,0),MATCH(EDATE($E34,BC$1-1),Raw_매출!$B$1:$BI$1,0))=0,"",INDEX(Raw_매출!$B$2:$BI$155,MATCH($A34,Raw_매출!$A$2:$A$155,0),MATCH(EDATE($E34,BC$1-1),Raw_매출!$B$1:$BI$1,0))/(INDEX(요약_월별시즈널리티!$F$7:$F$18,MONTH(EDATE($E34,BC$1-1)))/100))),"")</f>
        <v/>
      </c>
      <c r="BD34" t="str" cm="1">
        <f t="array" ref="BD34">IFERROR(IF($E34&lt;44348,"",IF(INDEX(Raw_매출!$B$2:$BI$155,MATCH($A34,Raw_매출!$A$2:$A$155,0),MATCH(EDATE($E34,BD$1-1),Raw_매출!$B$1:$BI$1,0))=0,"",INDEX(Raw_매출!$B$2:$BI$155,MATCH($A34,Raw_매출!$A$2:$A$155,0),MATCH(EDATE($E34,BD$1-1),Raw_매출!$B$1:$BI$1,0))/(INDEX(요약_월별시즈널리티!$F$7:$F$18,MONTH(EDATE($E34,BD$1-1)))/100))),"")</f>
        <v/>
      </c>
      <c r="BE34" t="str" cm="1">
        <f t="array" ref="BE34">IFERROR(IF($E34&lt;44348,"",IF(INDEX(Raw_매출!$B$2:$BI$155,MATCH($A34,Raw_매출!$A$2:$A$155,0),MATCH(EDATE($E34,BE$1-1),Raw_매출!$B$1:$BI$1,0))=0,"",INDEX(Raw_매출!$B$2:$BI$155,MATCH($A34,Raw_매출!$A$2:$A$155,0),MATCH(EDATE($E34,BE$1-1),Raw_매출!$B$1:$BI$1,0))/(INDEX(요약_월별시즈널리티!$F$7:$F$18,MONTH(EDATE($E34,BE$1-1)))/100))),"")</f>
        <v/>
      </c>
      <c r="BF34" t="str" cm="1">
        <f t="array" ref="BF34">IFERROR(IF($E34&lt;44348,"",IF(INDEX(Raw_매출!$B$2:$BI$155,MATCH($A34,Raw_매출!$A$2:$A$155,0),MATCH(EDATE($E34,BF$1-1),Raw_매출!$B$1:$BI$1,0))=0,"",INDEX(Raw_매출!$B$2:$BI$155,MATCH($A34,Raw_매출!$A$2:$A$155,0),MATCH(EDATE($E34,BF$1-1),Raw_매출!$B$1:$BI$1,0))/(INDEX(요약_월별시즈널리티!$F$7:$F$18,MONTH(EDATE($E34,BF$1-1)))/100))),"")</f>
        <v/>
      </c>
      <c r="BG34" t="str" cm="1">
        <f t="array" ref="BG34">IFERROR(IF($E34&lt;44348,"",IF(INDEX(Raw_매출!$B$2:$BI$155,MATCH($A34,Raw_매출!$A$2:$A$155,0),MATCH(EDATE($E34,BG$1-1),Raw_매출!$B$1:$BI$1,0))=0,"",INDEX(Raw_매출!$B$2:$BI$155,MATCH($A34,Raw_매출!$A$2:$A$155,0),MATCH(EDATE($E34,BG$1-1),Raw_매출!$B$1:$BI$1,0))/(INDEX(요약_월별시즈널리티!$F$7:$F$18,MONTH(EDATE($E34,BG$1-1)))/100))),"")</f>
        <v/>
      </c>
      <c r="BH34" t="str" cm="1">
        <f t="array" ref="BH34">IFERROR(IF($E34&lt;44348,"",IF(INDEX(Raw_매출!$B$2:$BI$155,MATCH($A34,Raw_매출!$A$2:$A$155,0),MATCH(EDATE($E34,BH$1-1),Raw_매출!$B$1:$BI$1,0))=0,"",INDEX(Raw_매출!$B$2:$BI$155,MATCH($A34,Raw_매출!$A$2:$A$155,0),MATCH(EDATE($E34,BH$1-1),Raw_매출!$B$1:$BI$1,0))/(INDEX(요약_월별시즈널리티!$F$7:$F$18,MONTH(EDATE($E34,BH$1-1)))/100))),"")</f>
        <v/>
      </c>
      <c r="BI34" t="str" cm="1">
        <f t="array" ref="BI34">IFERROR(IF($E34&lt;44348,"",IF(INDEX(Raw_매출!$B$2:$BI$155,MATCH($A34,Raw_매출!$A$2:$A$155,0),MATCH(EDATE($E34,BI$1-1),Raw_매출!$B$1:$BI$1,0))=0,"",INDEX(Raw_매출!$B$2:$BI$155,MATCH($A34,Raw_매출!$A$2:$A$155,0),MATCH(EDATE($E34,BI$1-1),Raw_매출!$B$1:$BI$1,0))/(INDEX(요약_월별시즈널리티!$F$7:$F$18,MONTH(EDATE($E34,BI$1-1)))/100))),"")</f>
        <v/>
      </c>
      <c r="BJ34" t="str" cm="1">
        <f t="array" ref="BJ34">IFERROR(IF($E34&lt;44348,"",IF(INDEX(Raw_매출!$B$2:$BI$155,MATCH($A34,Raw_매출!$A$2:$A$155,0),MATCH(EDATE($E34,BJ$1-1),Raw_매출!$B$1:$BI$1,0))=0,"",INDEX(Raw_매출!$B$2:$BI$155,MATCH($A34,Raw_매출!$A$2:$A$155,0),MATCH(EDATE($E34,BJ$1-1),Raw_매출!$B$1:$BI$1,0))/(INDEX(요약_월별시즈널리티!$F$7:$F$18,MONTH(EDATE($E34,BJ$1-1)))/100))),"")</f>
        <v/>
      </c>
      <c r="BK34" t="str" cm="1">
        <f t="array" ref="BK34">IFERROR(IF($E34&lt;44348,"",IF(INDEX(Raw_매출!$B$2:$BI$155,MATCH($A34,Raw_매출!$A$2:$A$155,0),MATCH(EDATE($E34,BK$1-1),Raw_매출!$B$1:$BI$1,0))=0,"",INDEX(Raw_매출!$B$2:$BI$155,MATCH($A34,Raw_매출!$A$2:$A$155,0),MATCH(EDATE($E34,BK$1-1),Raw_매출!$B$1:$BI$1,0))/(INDEX(요약_월별시즈널리티!$F$7:$F$18,MONTH(EDATE($E34,BK$1-1)))/100))),"")</f>
        <v/>
      </c>
      <c r="BL34" t="str" cm="1">
        <f t="array" ref="BL34">IFERROR(IF($E34&lt;44348,"",IF(INDEX(Raw_매출!$B$2:$BI$155,MATCH($A34,Raw_매출!$A$2:$A$155,0),MATCH(EDATE($E34,BL$1-1),Raw_매출!$B$1:$BI$1,0))=0,"",INDEX(Raw_매출!$B$2:$BI$155,MATCH($A34,Raw_매출!$A$2:$A$155,0),MATCH(EDATE($E34,BL$1-1),Raw_매출!$B$1:$BI$1,0))/(INDEX(요약_월별시즈널리티!$F$7:$F$18,MONTH(EDATE($E34,BL$1-1)))/100))),"")</f>
        <v/>
      </c>
      <c r="BM34" t="str" cm="1">
        <f t="array" ref="BM34">IFERROR(IF($E34&lt;44348,"",IF(INDEX(Raw_매출!$B$2:$BI$155,MATCH($A34,Raw_매출!$A$2:$A$155,0),MATCH(EDATE($E34,BM$1-1),Raw_매출!$B$1:$BI$1,0))=0,"",INDEX(Raw_매출!$B$2:$BI$155,MATCH($A34,Raw_매출!$A$2:$A$155,0),MATCH(EDATE($E34,BM$1-1),Raw_매출!$B$1:$BI$1,0))/(INDEX(요약_월별시즈널리티!$F$7:$F$18,MONTH(EDATE($E34,BM$1-1)))/100))),"")</f>
        <v/>
      </c>
      <c r="BN34" t="str" cm="1">
        <f t="array" ref="BN34">IFERROR(IF($E34&lt;44348,"",IF(INDEX(Raw_매출!$B$2:$BI$155,MATCH($A34,Raw_매출!$A$2:$A$155,0),MATCH(EDATE($E34,BN$1-1),Raw_매출!$B$1:$BI$1,0))=0,"",INDEX(Raw_매출!$B$2:$BI$155,MATCH($A34,Raw_매출!$A$2:$A$155,0),MATCH(EDATE($E34,BN$1-1),Raw_매출!$B$1:$BI$1,0))/(INDEX(요약_월별시즈널리티!$F$7:$F$18,MONTH(EDATE($E34,BN$1-1)))/100))),"")</f>
        <v/>
      </c>
    </row>
    <row r="35" spans="1:66" x14ac:dyDescent="0.4">
      <c r="A35" t="str">
        <f>세팅!A36</f>
        <v>(1023) #동탄석우동점</v>
      </c>
      <c r="B35" t="str">
        <f>세팅!B36</f>
        <v>150-1</v>
      </c>
      <c r="C35">
        <f t="shared" si="0"/>
        <v>1</v>
      </c>
      <c r="D35" t="str">
        <f t="shared" si="1"/>
        <v>1</v>
      </c>
      <c r="E35" s="1">
        <f>세팅!D36</f>
        <v>44317</v>
      </c>
      <c r="F35" t="str">
        <f t="shared" si="2"/>
        <v/>
      </c>
      <c r="G35" t="str" cm="1">
        <f t="array" ref="G35">IFERROR(IF($E35&lt;44348,"",IF(INDEX(Raw_매출!$B$2:$BI$155,MATCH($A35,Raw_매출!$A$2:$A$155,0),MATCH(EDATE($E35,G$1-1),Raw_매출!$B$1:$BI$1,0))=0,"",INDEX(Raw_매출!$B$2:$BI$155,MATCH($A35,Raw_매출!$A$2:$A$155,0),MATCH(EDATE($E35,G$1-1),Raw_매출!$B$1:$BI$1,0))/(INDEX(요약_월별시즈널리티!$F$7:$F$18,MONTH(EDATE($E35,G$1-1)))/100))),"")</f>
        <v/>
      </c>
      <c r="H35" t="str" cm="1">
        <f t="array" ref="H35">IFERROR(IF($E35&lt;44348,"",IF(INDEX(Raw_매출!$B$2:$BI$155,MATCH($A35,Raw_매출!$A$2:$A$155,0),MATCH(EDATE($E35,H$1-1),Raw_매출!$B$1:$BI$1,0))=0,"",INDEX(Raw_매출!$B$2:$BI$155,MATCH($A35,Raw_매출!$A$2:$A$155,0),MATCH(EDATE($E35,H$1-1),Raw_매출!$B$1:$BI$1,0))/(INDEX(요약_월별시즈널리티!$F$7:$F$18,MONTH(EDATE($E35,H$1-1)))/100))),"")</f>
        <v/>
      </c>
      <c r="I35" t="str" cm="1">
        <f t="array" ref="I35">IFERROR(IF($E35&lt;44348,"",IF(INDEX(Raw_매출!$B$2:$BI$155,MATCH($A35,Raw_매출!$A$2:$A$155,0),MATCH(EDATE($E35,I$1-1),Raw_매출!$B$1:$BI$1,0))=0,"",INDEX(Raw_매출!$B$2:$BI$155,MATCH($A35,Raw_매출!$A$2:$A$155,0),MATCH(EDATE($E35,I$1-1),Raw_매출!$B$1:$BI$1,0))/(INDEX(요약_월별시즈널리티!$F$7:$F$18,MONTH(EDATE($E35,I$1-1)))/100))),"")</f>
        <v/>
      </c>
      <c r="J35" s="30" t="str" cm="1">
        <f t="array" ref="J35">IFERROR(IF($E35&lt;44348,"",IF(INDEX(Raw_매출!$B$2:$BI$155,MATCH($A35,Raw_매출!$A$2:$A$155,0),MATCH(EDATE($E35,J$1-1),Raw_매출!$B$1:$BI$1,0))=0,"",INDEX(Raw_매출!$B$2:$BI$155,MATCH($A35,Raw_매출!$A$2:$A$155,0),MATCH(EDATE($E35,J$1-1),Raw_매출!$B$1:$BI$1,0))/(INDEX(요약_월별시즈널리티!$F$7:$F$18,MONTH(EDATE($E35,J$1-1)))/100))),"")</f>
        <v/>
      </c>
      <c r="K35" s="30" t="str" cm="1">
        <f t="array" ref="K35">IFERROR(IF($E35&lt;44348,"",IF(INDEX(Raw_매출!$B$2:$BI$155,MATCH($A35,Raw_매출!$A$2:$A$155,0),MATCH(EDATE($E35,K$1-1),Raw_매출!$B$1:$BI$1,0))=0,"",INDEX(Raw_매출!$B$2:$BI$155,MATCH($A35,Raw_매출!$A$2:$A$155,0),MATCH(EDATE($E35,K$1-1),Raw_매출!$B$1:$BI$1,0))/(INDEX(요약_월별시즈널리티!$F$7:$F$18,MONTH(EDATE($E35,K$1-1)))/100))),"")</f>
        <v/>
      </c>
      <c r="L35" s="30" t="str" cm="1">
        <f t="array" ref="L35">IFERROR(IF($E35&lt;44348,"",IF(INDEX(Raw_매출!$B$2:$BI$155,MATCH($A35,Raw_매출!$A$2:$A$155,0),MATCH(EDATE($E35,L$1-1),Raw_매출!$B$1:$BI$1,0))=0,"",INDEX(Raw_매출!$B$2:$BI$155,MATCH($A35,Raw_매출!$A$2:$A$155,0),MATCH(EDATE($E35,L$1-1),Raw_매출!$B$1:$BI$1,0))/(INDEX(요약_월별시즈널리티!$F$7:$F$18,MONTH(EDATE($E35,L$1-1)))/100))),"")</f>
        <v/>
      </c>
      <c r="M35" s="30" t="str" cm="1">
        <f t="array" ref="M35">IFERROR(IF($E35&lt;44348,"",IF(INDEX(Raw_매출!$B$2:$BI$155,MATCH($A35,Raw_매출!$A$2:$A$155,0),MATCH(EDATE($E35,M$1-1),Raw_매출!$B$1:$BI$1,0))=0,"",INDEX(Raw_매출!$B$2:$BI$155,MATCH($A35,Raw_매출!$A$2:$A$155,0),MATCH(EDATE($E35,M$1-1),Raw_매출!$B$1:$BI$1,0))/(INDEX(요약_월별시즈널리티!$F$7:$F$18,MONTH(EDATE($E35,M$1-1)))/100))),"")</f>
        <v/>
      </c>
      <c r="N35" s="30" t="str" cm="1">
        <f t="array" ref="N35">IFERROR(IF($E35&lt;44348,"",IF(INDEX(Raw_매출!$B$2:$BI$155,MATCH($A35,Raw_매출!$A$2:$A$155,0),MATCH(EDATE($E35,N$1-1),Raw_매출!$B$1:$BI$1,0))=0,"",INDEX(Raw_매출!$B$2:$BI$155,MATCH($A35,Raw_매출!$A$2:$A$155,0),MATCH(EDATE($E35,N$1-1),Raw_매출!$B$1:$BI$1,0))/(INDEX(요약_월별시즈널리티!$F$7:$F$18,MONTH(EDATE($E35,N$1-1)))/100))),"")</f>
        <v/>
      </c>
      <c r="O35" s="30" t="str" cm="1">
        <f t="array" ref="O35">IFERROR(IF($E35&lt;44348,"",IF(INDEX(Raw_매출!$B$2:$BI$155,MATCH($A35,Raw_매출!$A$2:$A$155,0),MATCH(EDATE($E35,O$1-1),Raw_매출!$B$1:$BI$1,0))=0,"",INDEX(Raw_매출!$B$2:$BI$155,MATCH($A35,Raw_매출!$A$2:$A$155,0),MATCH(EDATE($E35,O$1-1),Raw_매출!$B$1:$BI$1,0))/(INDEX(요약_월별시즈널리티!$F$7:$F$18,MONTH(EDATE($E35,O$1-1)))/100))),"")</f>
        <v/>
      </c>
      <c r="P35" t="str" cm="1">
        <f t="array" ref="P35">IFERROR(IF($E35&lt;44348,"",IF(INDEX(Raw_매출!$B$2:$BI$155,MATCH($A35,Raw_매출!$A$2:$A$155,0),MATCH(EDATE($E35,P$1-1),Raw_매출!$B$1:$BI$1,0))=0,"",INDEX(Raw_매출!$B$2:$BI$155,MATCH($A35,Raw_매출!$A$2:$A$155,0),MATCH(EDATE($E35,P$1-1),Raw_매출!$B$1:$BI$1,0))/(INDEX(요약_월별시즈널리티!$F$7:$F$18,MONTH(EDATE($E35,P$1-1)))/100))),"")</f>
        <v/>
      </c>
      <c r="Q35" t="str" cm="1">
        <f t="array" ref="Q35">IFERROR(IF($E35&lt;44348,"",IF(INDEX(Raw_매출!$B$2:$BI$155,MATCH($A35,Raw_매출!$A$2:$A$155,0),MATCH(EDATE($E35,Q$1-1),Raw_매출!$B$1:$BI$1,0))=0,"",INDEX(Raw_매출!$B$2:$BI$155,MATCH($A35,Raw_매출!$A$2:$A$155,0),MATCH(EDATE($E35,Q$1-1),Raw_매출!$B$1:$BI$1,0))/(INDEX(요약_월별시즈널리티!$F$7:$F$18,MONTH(EDATE($E35,Q$1-1)))/100))),"")</f>
        <v/>
      </c>
      <c r="R35" t="str" cm="1">
        <f t="array" ref="R35">IFERROR(IF($E35&lt;44348,"",IF(INDEX(Raw_매출!$B$2:$BI$155,MATCH($A35,Raw_매출!$A$2:$A$155,0),MATCH(EDATE($E35,R$1-1),Raw_매출!$B$1:$BI$1,0))=0,"",INDEX(Raw_매출!$B$2:$BI$155,MATCH($A35,Raw_매출!$A$2:$A$155,0),MATCH(EDATE($E35,R$1-1),Raw_매출!$B$1:$BI$1,0))/(INDEX(요약_월별시즈널리티!$F$7:$F$18,MONTH(EDATE($E35,R$1-1)))/100))),"")</f>
        <v/>
      </c>
      <c r="S35" t="str" cm="1">
        <f t="array" ref="S35">IFERROR(IF($E35&lt;44348,"",IF(INDEX(Raw_매출!$B$2:$BI$155,MATCH($A35,Raw_매출!$A$2:$A$155,0),MATCH(EDATE($E35,S$1-1),Raw_매출!$B$1:$BI$1,0))=0,"",INDEX(Raw_매출!$B$2:$BI$155,MATCH($A35,Raw_매출!$A$2:$A$155,0),MATCH(EDATE($E35,S$1-1),Raw_매출!$B$1:$BI$1,0))/(INDEX(요약_월별시즈널리티!$F$7:$F$18,MONTH(EDATE($E35,S$1-1)))/100))),"")</f>
        <v/>
      </c>
      <c r="T35" t="str" cm="1">
        <f t="array" ref="T35">IFERROR(IF($E35&lt;44348,"",IF(INDEX(Raw_매출!$B$2:$BI$155,MATCH($A35,Raw_매출!$A$2:$A$155,0),MATCH(EDATE($E35,T$1-1),Raw_매출!$B$1:$BI$1,0))=0,"",INDEX(Raw_매출!$B$2:$BI$155,MATCH($A35,Raw_매출!$A$2:$A$155,0),MATCH(EDATE($E35,T$1-1),Raw_매출!$B$1:$BI$1,0))/(INDEX(요약_월별시즈널리티!$F$7:$F$18,MONTH(EDATE($E35,T$1-1)))/100))),"")</f>
        <v/>
      </c>
      <c r="U35" t="str" cm="1">
        <f t="array" ref="U35">IFERROR(IF($E35&lt;44348,"",IF(INDEX(Raw_매출!$B$2:$BI$155,MATCH($A35,Raw_매출!$A$2:$A$155,0),MATCH(EDATE($E35,U$1-1),Raw_매출!$B$1:$BI$1,0))=0,"",INDEX(Raw_매출!$B$2:$BI$155,MATCH($A35,Raw_매출!$A$2:$A$155,0),MATCH(EDATE($E35,U$1-1),Raw_매출!$B$1:$BI$1,0))/(INDEX(요약_월별시즈널리티!$F$7:$F$18,MONTH(EDATE($E35,U$1-1)))/100))),"")</f>
        <v/>
      </c>
      <c r="V35" t="str" cm="1">
        <f t="array" ref="V35">IFERROR(IF($E35&lt;44348,"",IF(INDEX(Raw_매출!$B$2:$BI$155,MATCH($A35,Raw_매출!$A$2:$A$155,0),MATCH(EDATE($E35,V$1-1),Raw_매출!$B$1:$BI$1,0))=0,"",INDEX(Raw_매출!$B$2:$BI$155,MATCH($A35,Raw_매출!$A$2:$A$155,0),MATCH(EDATE($E35,V$1-1),Raw_매출!$B$1:$BI$1,0))/(INDEX(요약_월별시즈널리티!$F$7:$F$18,MONTH(EDATE($E35,V$1-1)))/100))),"")</f>
        <v/>
      </c>
      <c r="W35" t="str" cm="1">
        <f t="array" ref="W35">IFERROR(IF($E35&lt;44348,"",IF(INDEX(Raw_매출!$B$2:$BI$155,MATCH($A35,Raw_매출!$A$2:$A$155,0),MATCH(EDATE($E35,W$1-1),Raw_매출!$B$1:$BI$1,0))=0,"",INDEX(Raw_매출!$B$2:$BI$155,MATCH($A35,Raw_매출!$A$2:$A$155,0),MATCH(EDATE($E35,W$1-1),Raw_매출!$B$1:$BI$1,0))/(INDEX(요약_월별시즈널리티!$F$7:$F$18,MONTH(EDATE($E35,W$1-1)))/100))),"")</f>
        <v/>
      </c>
      <c r="X35" t="str" cm="1">
        <f t="array" ref="X35">IFERROR(IF($E35&lt;44348,"",IF(INDEX(Raw_매출!$B$2:$BI$155,MATCH($A35,Raw_매출!$A$2:$A$155,0),MATCH(EDATE($E35,X$1-1),Raw_매출!$B$1:$BI$1,0))=0,"",INDEX(Raw_매출!$B$2:$BI$155,MATCH($A35,Raw_매출!$A$2:$A$155,0),MATCH(EDATE($E35,X$1-1),Raw_매출!$B$1:$BI$1,0))/(INDEX(요약_월별시즈널리티!$F$7:$F$18,MONTH(EDATE($E35,X$1-1)))/100))),"")</f>
        <v/>
      </c>
      <c r="Y35" t="str" cm="1">
        <f t="array" ref="Y35">IFERROR(IF($E35&lt;44348,"",IF(INDEX(Raw_매출!$B$2:$BI$155,MATCH($A35,Raw_매출!$A$2:$A$155,0),MATCH(EDATE($E35,Y$1-1),Raw_매출!$B$1:$BI$1,0))=0,"",INDEX(Raw_매출!$B$2:$BI$155,MATCH($A35,Raw_매출!$A$2:$A$155,0),MATCH(EDATE($E35,Y$1-1),Raw_매출!$B$1:$BI$1,0))/(INDEX(요약_월별시즈널리티!$F$7:$F$18,MONTH(EDATE($E35,Y$1-1)))/100))),"")</f>
        <v/>
      </c>
      <c r="Z35" t="str" cm="1">
        <f t="array" ref="Z35">IFERROR(IF($E35&lt;44348,"",IF(INDEX(Raw_매출!$B$2:$BI$155,MATCH($A35,Raw_매출!$A$2:$A$155,0),MATCH(EDATE($E35,Z$1-1),Raw_매출!$B$1:$BI$1,0))=0,"",INDEX(Raw_매출!$B$2:$BI$155,MATCH($A35,Raw_매출!$A$2:$A$155,0),MATCH(EDATE($E35,Z$1-1),Raw_매출!$B$1:$BI$1,0))/(INDEX(요약_월별시즈널리티!$F$7:$F$18,MONTH(EDATE($E35,Z$1-1)))/100))),"")</f>
        <v/>
      </c>
      <c r="AA35" t="str" cm="1">
        <f t="array" ref="AA35">IFERROR(IF($E35&lt;44348,"",IF(INDEX(Raw_매출!$B$2:$BI$155,MATCH($A35,Raw_매출!$A$2:$A$155,0),MATCH(EDATE($E35,AA$1-1),Raw_매출!$B$1:$BI$1,0))=0,"",INDEX(Raw_매출!$B$2:$BI$155,MATCH($A35,Raw_매출!$A$2:$A$155,0),MATCH(EDATE($E35,AA$1-1),Raw_매출!$B$1:$BI$1,0))/(INDEX(요약_월별시즈널리티!$F$7:$F$18,MONTH(EDATE($E35,AA$1-1)))/100))),"")</f>
        <v/>
      </c>
      <c r="AB35" t="str" cm="1">
        <f t="array" ref="AB35">IFERROR(IF($E35&lt;44348,"",IF(INDEX(Raw_매출!$B$2:$BI$155,MATCH($A35,Raw_매출!$A$2:$A$155,0),MATCH(EDATE($E35,AB$1-1),Raw_매출!$B$1:$BI$1,0))=0,"",INDEX(Raw_매출!$B$2:$BI$155,MATCH($A35,Raw_매출!$A$2:$A$155,0),MATCH(EDATE($E35,AB$1-1),Raw_매출!$B$1:$BI$1,0))/(INDEX(요약_월별시즈널리티!$F$7:$F$18,MONTH(EDATE($E35,AB$1-1)))/100))),"")</f>
        <v/>
      </c>
      <c r="AC35" t="str" cm="1">
        <f t="array" ref="AC35">IFERROR(IF($E35&lt;44348,"",IF(INDEX(Raw_매출!$B$2:$BI$155,MATCH($A35,Raw_매출!$A$2:$A$155,0),MATCH(EDATE($E35,AC$1-1),Raw_매출!$B$1:$BI$1,0))=0,"",INDEX(Raw_매출!$B$2:$BI$155,MATCH($A35,Raw_매출!$A$2:$A$155,0),MATCH(EDATE($E35,AC$1-1),Raw_매출!$B$1:$BI$1,0))/(INDEX(요약_월별시즈널리티!$F$7:$F$18,MONTH(EDATE($E35,AC$1-1)))/100))),"")</f>
        <v/>
      </c>
      <c r="AD35" t="str" cm="1">
        <f t="array" ref="AD35">IFERROR(IF($E35&lt;44348,"",IF(INDEX(Raw_매출!$B$2:$BI$155,MATCH($A35,Raw_매출!$A$2:$A$155,0),MATCH(EDATE($E35,AD$1-1),Raw_매출!$B$1:$BI$1,0))=0,"",INDEX(Raw_매출!$B$2:$BI$155,MATCH($A35,Raw_매출!$A$2:$A$155,0),MATCH(EDATE($E35,AD$1-1),Raw_매출!$B$1:$BI$1,0))/(INDEX(요약_월별시즈널리티!$F$7:$F$18,MONTH(EDATE($E35,AD$1-1)))/100))),"")</f>
        <v/>
      </c>
      <c r="AE35" t="str" cm="1">
        <f t="array" ref="AE35">IFERROR(IF($E35&lt;44348,"",IF(INDEX(Raw_매출!$B$2:$BI$155,MATCH($A35,Raw_매출!$A$2:$A$155,0),MATCH(EDATE($E35,AE$1-1),Raw_매출!$B$1:$BI$1,0))=0,"",INDEX(Raw_매출!$B$2:$BI$155,MATCH($A35,Raw_매출!$A$2:$A$155,0),MATCH(EDATE($E35,AE$1-1),Raw_매출!$B$1:$BI$1,0))/(INDEX(요약_월별시즈널리티!$F$7:$F$18,MONTH(EDATE($E35,AE$1-1)))/100))),"")</f>
        <v/>
      </c>
      <c r="AF35" t="str" cm="1">
        <f t="array" ref="AF35">IFERROR(IF($E35&lt;44348,"",IF(INDEX(Raw_매출!$B$2:$BI$155,MATCH($A35,Raw_매출!$A$2:$A$155,0),MATCH(EDATE($E35,AF$1-1),Raw_매출!$B$1:$BI$1,0))=0,"",INDEX(Raw_매출!$B$2:$BI$155,MATCH($A35,Raw_매출!$A$2:$A$155,0),MATCH(EDATE($E35,AF$1-1),Raw_매출!$B$1:$BI$1,0))/(INDEX(요약_월별시즈널리티!$F$7:$F$18,MONTH(EDATE($E35,AF$1-1)))/100))),"")</f>
        <v/>
      </c>
      <c r="AG35" t="str" cm="1">
        <f t="array" ref="AG35">IFERROR(IF($E35&lt;44348,"",IF(INDEX(Raw_매출!$B$2:$BI$155,MATCH($A35,Raw_매출!$A$2:$A$155,0),MATCH(EDATE($E35,AG$1-1),Raw_매출!$B$1:$BI$1,0))=0,"",INDEX(Raw_매출!$B$2:$BI$155,MATCH($A35,Raw_매출!$A$2:$A$155,0),MATCH(EDATE($E35,AG$1-1),Raw_매출!$B$1:$BI$1,0))/(INDEX(요약_월별시즈널리티!$F$7:$F$18,MONTH(EDATE($E35,AG$1-1)))/100))),"")</f>
        <v/>
      </c>
      <c r="AH35" t="str" cm="1">
        <f t="array" ref="AH35">IFERROR(IF($E35&lt;44348,"",IF(INDEX(Raw_매출!$B$2:$BI$155,MATCH($A35,Raw_매출!$A$2:$A$155,0),MATCH(EDATE($E35,AH$1-1),Raw_매출!$B$1:$BI$1,0))=0,"",INDEX(Raw_매출!$B$2:$BI$155,MATCH($A35,Raw_매출!$A$2:$A$155,0),MATCH(EDATE($E35,AH$1-1),Raw_매출!$B$1:$BI$1,0))/(INDEX(요약_월별시즈널리티!$F$7:$F$18,MONTH(EDATE($E35,AH$1-1)))/100))),"")</f>
        <v/>
      </c>
      <c r="AI35" t="str" cm="1">
        <f t="array" ref="AI35">IFERROR(IF($E35&lt;44348,"",IF(INDEX(Raw_매출!$B$2:$BI$155,MATCH($A35,Raw_매출!$A$2:$A$155,0),MATCH(EDATE($E35,AI$1-1),Raw_매출!$B$1:$BI$1,0))=0,"",INDEX(Raw_매출!$B$2:$BI$155,MATCH($A35,Raw_매출!$A$2:$A$155,0),MATCH(EDATE($E35,AI$1-1),Raw_매출!$B$1:$BI$1,0))/(INDEX(요약_월별시즈널리티!$F$7:$F$18,MONTH(EDATE($E35,AI$1-1)))/100))),"")</f>
        <v/>
      </c>
      <c r="AJ35" t="str" cm="1">
        <f t="array" ref="AJ35">IFERROR(IF($E35&lt;44348,"",IF(INDEX(Raw_매출!$B$2:$BI$155,MATCH($A35,Raw_매출!$A$2:$A$155,0),MATCH(EDATE($E35,AJ$1-1),Raw_매출!$B$1:$BI$1,0))=0,"",INDEX(Raw_매출!$B$2:$BI$155,MATCH($A35,Raw_매출!$A$2:$A$155,0),MATCH(EDATE($E35,AJ$1-1),Raw_매출!$B$1:$BI$1,0))/(INDEX(요약_월별시즈널리티!$F$7:$F$18,MONTH(EDATE($E35,AJ$1-1)))/100))),"")</f>
        <v/>
      </c>
      <c r="AK35" t="str" cm="1">
        <f t="array" ref="AK35">IFERROR(IF($E35&lt;44348,"",IF(INDEX(Raw_매출!$B$2:$BI$155,MATCH($A35,Raw_매출!$A$2:$A$155,0),MATCH(EDATE($E35,AK$1-1),Raw_매출!$B$1:$BI$1,0))=0,"",INDEX(Raw_매출!$B$2:$BI$155,MATCH($A35,Raw_매출!$A$2:$A$155,0),MATCH(EDATE($E35,AK$1-1),Raw_매출!$B$1:$BI$1,0))/(INDEX(요약_월별시즈널리티!$F$7:$F$18,MONTH(EDATE($E35,AK$1-1)))/100))),"")</f>
        <v/>
      </c>
      <c r="AL35" t="str" cm="1">
        <f t="array" ref="AL35">IFERROR(IF($E35&lt;44348,"",IF(INDEX(Raw_매출!$B$2:$BI$155,MATCH($A35,Raw_매출!$A$2:$A$155,0),MATCH(EDATE($E35,AL$1-1),Raw_매출!$B$1:$BI$1,0))=0,"",INDEX(Raw_매출!$B$2:$BI$155,MATCH($A35,Raw_매출!$A$2:$A$155,0),MATCH(EDATE($E35,AL$1-1),Raw_매출!$B$1:$BI$1,0))/(INDEX(요약_월별시즈널리티!$F$7:$F$18,MONTH(EDATE($E35,AL$1-1)))/100))),"")</f>
        <v/>
      </c>
      <c r="AM35" t="str" cm="1">
        <f t="array" ref="AM35">IFERROR(IF($E35&lt;44348,"",IF(INDEX(Raw_매출!$B$2:$BI$155,MATCH($A35,Raw_매출!$A$2:$A$155,0),MATCH(EDATE($E35,AM$1-1),Raw_매출!$B$1:$BI$1,0))=0,"",INDEX(Raw_매출!$B$2:$BI$155,MATCH($A35,Raw_매출!$A$2:$A$155,0),MATCH(EDATE($E35,AM$1-1),Raw_매출!$B$1:$BI$1,0))/(INDEX(요약_월별시즈널리티!$F$7:$F$18,MONTH(EDATE($E35,AM$1-1)))/100))),"")</f>
        <v/>
      </c>
      <c r="AN35" t="str" cm="1">
        <f t="array" ref="AN35">IFERROR(IF($E35&lt;44348,"",IF(INDEX(Raw_매출!$B$2:$BI$155,MATCH($A35,Raw_매출!$A$2:$A$155,0),MATCH(EDATE($E35,AN$1-1),Raw_매출!$B$1:$BI$1,0))=0,"",INDEX(Raw_매출!$B$2:$BI$155,MATCH($A35,Raw_매출!$A$2:$A$155,0),MATCH(EDATE($E35,AN$1-1),Raw_매출!$B$1:$BI$1,0))/(INDEX(요약_월별시즈널리티!$F$7:$F$18,MONTH(EDATE($E35,AN$1-1)))/100))),"")</f>
        <v/>
      </c>
      <c r="AO35" t="str" cm="1">
        <f t="array" ref="AO35">IFERROR(IF($E35&lt;44348,"",IF(INDEX(Raw_매출!$B$2:$BI$155,MATCH($A35,Raw_매출!$A$2:$A$155,0),MATCH(EDATE($E35,AO$1-1),Raw_매출!$B$1:$BI$1,0))=0,"",INDEX(Raw_매출!$B$2:$BI$155,MATCH($A35,Raw_매출!$A$2:$A$155,0),MATCH(EDATE($E35,AO$1-1),Raw_매출!$B$1:$BI$1,0))/(INDEX(요약_월별시즈널리티!$F$7:$F$18,MONTH(EDATE($E35,AO$1-1)))/100))),"")</f>
        <v/>
      </c>
      <c r="AP35" t="str" cm="1">
        <f t="array" ref="AP35">IFERROR(IF($E35&lt;44348,"",IF(INDEX(Raw_매출!$B$2:$BI$155,MATCH($A35,Raw_매출!$A$2:$A$155,0),MATCH(EDATE($E35,AP$1-1),Raw_매출!$B$1:$BI$1,0))=0,"",INDEX(Raw_매출!$B$2:$BI$155,MATCH($A35,Raw_매출!$A$2:$A$155,0),MATCH(EDATE($E35,AP$1-1),Raw_매출!$B$1:$BI$1,0))/(INDEX(요약_월별시즈널리티!$F$7:$F$18,MONTH(EDATE($E35,AP$1-1)))/100))),"")</f>
        <v/>
      </c>
      <c r="AQ35" t="str" cm="1">
        <f t="array" ref="AQ35">IFERROR(IF($E35&lt;44348,"",IF(INDEX(Raw_매출!$B$2:$BI$155,MATCH($A35,Raw_매출!$A$2:$A$155,0),MATCH(EDATE($E35,AQ$1-1),Raw_매출!$B$1:$BI$1,0))=0,"",INDEX(Raw_매출!$B$2:$BI$155,MATCH($A35,Raw_매출!$A$2:$A$155,0),MATCH(EDATE($E35,AQ$1-1),Raw_매출!$B$1:$BI$1,0))/(INDEX(요약_월별시즈널리티!$F$7:$F$18,MONTH(EDATE($E35,AQ$1-1)))/100))),"")</f>
        <v/>
      </c>
      <c r="AR35" t="str" cm="1">
        <f t="array" ref="AR35">IFERROR(IF($E35&lt;44348,"",IF(INDEX(Raw_매출!$B$2:$BI$155,MATCH($A35,Raw_매출!$A$2:$A$155,0),MATCH(EDATE($E35,AR$1-1),Raw_매출!$B$1:$BI$1,0))=0,"",INDEX(Raw_매출!$B$2:$BI$155,MATCH($A35,Raw_매출!$A$2:$A$155,0),MATCH(EDATE($E35,AR$1-1),Raw_매출!$B$1:$BI$1,0))/(INDEX(요약_월별시즈널리티!$F$7:$F$18,MONTH(EDATE($E35,AR$1-1)))/100))),"")</f>
        <v/>
      </c>
      <c r="AS35" t="str" cm="1">
        <f t="array" ref="AS35">IFERROR(IF($E35&lt;44348,"",IF(INDEX(Raw_매출!$B$2:$BI$155,MATCH($A35,Raw_매출!$A$2:$A$155,0),MATCH(EDATE($E35,AS$1-1),Raw_매출!$B$1:$BI$1,0))=0,"",INDEX(Raw_매출!$B$2:$BI$155,MATCH($A35,Raw_매출!$A$2:$A$155,0),MATCH(EDATE($E35,AS$1-1),Raw_매출!$B$1:$BI$1,0))/(INDEX(요약_월별시즈널리티!$F$7:$F$18,MONTH(EDATE($E35,AS$1-1)))/100))),"")</f>
        <v/>
      </c>
      <c r="AT35" t="str" cm="1">
        <f t="array" ref="AT35">IFERROR(IF($E35&lt;44348,"",IF(INDEX(Raw_매출!$B$2:$BI$155,MATCH($A35,Raw_매출!$A$2:$A$155,0),MATCH(EDATE($E35,AT$1-1),Raw_매출!$B$1:$BI$1,0))=0,"",INDEX(Raw_매출!$B$2:$BI$155,MATCH($A35,Raw_매출!$A$2:$A$155,0),MATCH(EDATE($E35,AT$1-1),Raw_매출!$B$1:$BI$1,0))/(INDEX(요약_월별시즈널리티!$F$7:$F$18,MONTH(EDATE($E35,AT$1-1)))/100))),"")</f>
        <v/>
      </c>
      <c r="AU35" t="str" cm="1">
        <f t="array" ref="AU35">IFERROR(IF($E35&lt;44348,"",IF(INDEX(Raw_매출!$B$2:$BI$155,MATCH($A35,Raw_매출!$A$2:$A$155,0),MATCH(EDATE($E35,AU$1-1),Raw_매출!$B$1:$BI$1,0))=0,"",INDEX(Raw_매출!$B$2:$BI$155,MATCH($A35,Raw_매출!$A$2:$A$155,0),MATCH(EDATE($E35,AU$1-1),Raw_매출!$B$1:$BI$1,0))/(INDEX(요약_월별시즈널리티!$F$7:$F$18,MONTH(EDATE($E35,AU$1-1)))/100))),"")</f>
        <v/>
      </c>
      <c r="AV35" t="str" cm="1">
        <f t="array" ref="AV35">IFERROR(IF($E35&lt;44348,"",IF(INDEX(Raw_매출!$B$2:$BI$155,MATCH($A35,Raw_매출!$A$2:$A$155,0),MATCH(EDATE($E35,AV$1-1),Raw_매출!$B$1:$BI$1,0))=0,"",INDEX(Raw_매출!$B$2:$BI$155,MATCH($A35,Raw_매출!$A$2:$A$155,0),MATCH(EDATE($E35,AV$1-1),Raw_매출!$B$1:$BI$1,0))/(INDEX(요약_월별시즈널리티!$F$7:$F$18,MONTH(EDATE($E35,AV$1-1)))/100))),"")</f>
        <v/>
      </c>
      <c r="AW35" t="str" cm="1">
        <f t="array" ref="AW35">IFERROR(IF($E35&lt;44348,"",IF(INDEX(Raw_매출!$B$2:$BI$155,MATCH($A35,Raw_매출!$A$2:$A$155,0),MATCH(EDATE($E35,AW$1-1),Raw_매출!$B$1:$BI$1,0))=0,"",INDEX(Raw_매출!$B$2:$BI$155,MATCH($A35,Raw_매출!$A$2:$A$155,0),MATCH(EDATE($E35,AW$1-1),Raw_매출!$B$1:$BI$1,0))/(INDEX(요약_월별시즈널리티!$F$7:$F$18,MONTH(EDATE($E35,AW$1-1)))/100))),"")</f>
        <v/>
      </c>
      <c r="AX35" t="str" cm="1">
        <f t="array" ref="AX35">IFERROR(IF($E35&lt;44348,"",IF(INDEX(Raw_매출!$B$2:$BI$155,MATCH($A35,Raw_매출!$A$2:$A$155,0),MATCH(EDATE($E35,AX$1-1),Raw_매출!$B$1:$BI$1,0))=0,"",INDEX(Raw_매출!$B$2:$BI$155,MATCH($A35,Raw_매출!$A$2:$A$155,0),MATCH(EDATE($E35,AX$1-1),Raw_매출!$B$1:$BI$1,0))/(INDEX(요약_월별시즈널리티!$F$7:$F$18,MONTH(EDATE($E35,AX$1-1)))/100))),"")</f>
        <v/>
      </c>
      <c r="AY35" t="str" cm="1">
        <f t="array" ref="AY35">IFERROR(IF($E35&lt;44348,"",IF(INDEX(Raw_매출!$B$2:$BI$155,MATCH($A35,Raw_매출!$A$2:$A$155,0),MATCH(EDATE($E35,AY$1-1),Raw_매출!$B$1:$BI$1,0))=0,"",INDEX(Raw_매출!$B$2:$BI$155,MATCH($A35,Raw_매출!$A$2:$A$155,0),MATCH(EDATE($E35,AY$1-1),Raw_매출!$B$1:$BI$1,0))/(INDEX(요약_월별시즈널리티!$F$7:$F$18,MONTH(EDATE($E35,AY$1-1)))/100))),"")</f>
        <v/>
      </c>
      <c r="AZ35" t="str" cm="1">
        <f t="array" ref="AZ35">IFERROR(IF($E35&lt;44348,"",IF(INDEX(Raw_매출!$B$2:$BI$155,MATCH($A35,Raw_매출!$A$2:$A$155,0),MATCH(EDATE($E35,AZ$1-1),Raw_매출!$B$1:$BI$1,0))=0,"",INDEX(Raw_매출!$B$2:$BI$155,MATCH($A35,Raw_매출!$A$2:$A$155,0),MATCH(EDATE($E35,AZ$1-1),Raw_매출!$B$1:$BI$1,0))/(INDEX(요약_월별시즈널리티!$F$7:$F$18,MONTH(EDATE($E35,AZ$1-1)))/100))),"")</f>
        <v/>
      </c>
      <c r="BA35" t="str" cm="1">
        <f t="array" ref="BA35">IFERROR(IF($E35&lt;44348,"",IF(INDEX(Raw_매출!$B$2:$BI$155,MATCH($A35,Raw_매출!$A$2:$A$155,0),MATCH(EDATE($E35,BA$1-1),Raw_매출!$B$1:$BI$1,0))=0,"",INDEX(Raw_매출!$B$2:$BI$155,MATCH($A35,Raw_매출!$A$2:$A$155,0),MATCH(EDATE($E35,BA$1-1),Raw_매출!$B$1:$BI$1,0))/(INDEX(요약_월별시즈널리티!$F$7:$F$18,MONTH(EDATE($E35,BA$1-1)))/100))),"")</f>
        <v/>
      </c>
      <c r="BB35" t="str" cm="1">
        <f t="array" ref="BB35">IFERROR(IF($E35&lt;44348,"",IF(INDEX(Raw_매출!$B$2:$BI$155,MATCH($A35,Raw_매출!$A$2:$A$155,0),MATCH(EDATE($E35,BB$1-1),Raw_매출!$B$1:$BI$1,0))=0,"",INDEX(Raw_매출!$B$2:$BI$155,MATCH($A35,Raw_매출!$A$2:$A$155,0),MATCH(EDATE($E35,BB$1-1),Raw_매출!$B$1:$BI$1,0))/(INDEX(요약_월별시즈널리티!$F$7:$F$18,MONTH(EDATE($E35,BB$1-1)))/100))),"")</f>
        <v/>
      </c>
      <c r="BC35" t="str" cm="1">
        <f t="array" ref="BC35">IFERROR(IF($E35&lt;44348,"",IF(INDEX(Raw_매출!$B$2:$BI$155,MATCH($A35,Raw_매출!$A$2:$A$155,0),MATCH(EDATE($E35,BC$1-1),Raw_매출!$B$1:$BI$1,0))=0,"",INDEX(Raw_매출!$B$2:$BI$155,MATCH($A35,Raw_매출!$A$2:$A$155,0),MATCH(EDATE($E35,BC$1-1),Raw_매출!$B$1:$BI$1,0))/(INDEX(요약_월별시즈널리티!$F$7:$F$18,MONTH(EDATE($E35,BC$1-1)))/100))),"")</f>
        <v/>
      </c>
      <c r="BD35" t="str" cm="1">
        <f t="array" ref="BD35">IFERROR(IF($E35&lt;44348,"",IF(INDEX(Raw_매출!$B$2:$BI$155,MATCH($A35,Raw_매출!$A$2:$A$155,0),MATCH(EDATE($E35,BD$1-1),Raw_매출!$B$1:$BI$1,0))=0,"",INDEX(Raw_매출!$B$2:$BI$155,MATCH($A35,Raw_매출!$A$2:$A$155,0),MATCH(EDATE($E35,BD$1-1),Raw_매출!$B$1:$BI$1,0))/(INDEX(요약_월별시즈널리티!$F$7:$F$18,MONTH(EDATE($E35,BD$1-1)))/100))),"")</f>
        <v/>
      </c>
      <c r="BE35" t="str" cm="1">
        <f t="array" ref="BE35">IFERROR(IF($E35&lt;44348,"",IF(INDEX(Raw_매출!$B$2:$BI$155,MATCH($A35,Raw_매출!$A$2:$A$155,0),MATCH(EDATE($E35,BE$1-1),Raw_매출!$B$1:$BI$1,0))=0,"",INDEX(Raw_매출!$B$2:$BI$155,MATCH($A35,Raw_매출!$A$2:$A$155,0),MATCH(EDATE($E35,BE$1-1),Raw_매출!$B$1:$BI$1,0))/(INDEX(요약_월별시즈널리티!$F$7:$F$18,MONTH(EDATE($E35,BE$1-1)))/100))),"")</f>
        <v/>
      </c>
      <c r="BF35" t="str" cm="1">
        <f t="array" ref="BF35">IFERROR(IF($E35&lt;44348,"",IF(INDEX(Raw_매출!$B$2:$BI$155,MATCH($A35,Raw_매출!$A$2:$A$155,0),MATCH(EDATE($E35,BF$1-1),Raw_매출!$B$1:$BI$1,0))=0,"",INDEX(Raw_매출!$B$2:$BI$155,MATCH($A35,Raw_매출!$A$2:$A$155,0),MATCH(EDATE($E35,BF$1-1),Raw_매출!$B$1:$BI$1,0))/(INDEX(요약_월별시즈널리티!$F$7:$F$18,MONTH(EDATE($E35,BF$1-1)))/100))),"")</f>
        <v/>
      </c>
      <c r="BG35" t="str" cm="1">
        <f t="array" ref="BG35">IFERROR(IF($E35&lt;44348,"",IF(INDEX(Raw_매출!$B$2:$BI$155,MATCH($A35,Raw_매출!$A$2:$A$155,0),MATCH(EDATE($E35,BG$1-1),Raw_매출!$B$1:$BI$1,0))=0,"",INDEX(Raw_매출!$B$2:$BI$155,MATCH($A35,Raw_매출!$A$2:$A$155,0),MATCH(EDATE($E35,BG$1-1),Raw_매출!$B$1:$BI$1,0))/(INDEX(요약_월별시즈널리티!$F$7:$F$18,MONTH(EDATE($E35,BG$1-1)))/100))),"")</f>
        <v/>
      </c>
      <c r="BH35" t="str" cm="1">
        <f t="array" ref="BH35">IFERROR(IF($E35&lt;44348,"",IF(INDEX(Raw_매출!$B$2:$BI$155,MATCH($A35,Raw_매출!$A$2:$A$155,0),MATCH(EDATE($E35,BH$1-1),Raw_매출!$B$1:$BI$1,0))=0,"",INDEX(Raw_매출!$B$2:$BI$155,MATCH($A35,Raw_매출!$A$2:$A$155,0),MATCH(EDATE($E35,BH$1-1),Raw_매출!$B$1:$BI$1,0))/(INDEX(요약_월별시즈널리티!$F$7:$F$18,MONTH(EDATE($E35,BH$1-1)))/100))),"")</f>
        <v/>
      </c>
      <c r="BI35" t="str" cm="1">
        <f t="array" ref="BI35">IFERROR(IF($E35&lt;44348,"",IF(INDEX(Raw_매출!$B$2:$BI$155,MATCH($A35,Raw_매출!$A$2:$A$155,0),MATCH(EDATE($E35,BI$1-1),Raw_매출!$B$1:$BI$1,0))=0,"",INDEX(Raw_매출!$B$2:$BI$155,MATCH($A35,Raw_매출!$A$2:$A$155,0),MATCH(EDATE($E35,BI$1-1),Raw_매출!$B$1:$BI$1,0))/(INDEX(요약_월별시즈널리티!$F$7:$F$18,MONTH(EDATE($E35,BI$1-1)))/100))),"")</f>
        <v/>
      </c>
      <c r="BJ35" t="str" cm="1">
        <f t="array" ref="BJ35">IFERROR(IF($E35&lt;44348,"",IF(INDEX(Raw_매출!$B$2:$BI$155,MATCH($A35,Raw_매출!$A$2:$A$155,0),MATCH(EDATE($E35,BJ$1-1),Raw_매출!$B$1:$BI$1,0))=0,"",INDEX(Raw_매출!$B$2:$BI$155,MATCH($A35,Raw_매출!$A$2:$A$155,0),MATCH(EDATE($E35,BJ$1-1),Raw_매출!$B$1:$BI$1,0))/(INDEX(요약_월별시즈널리티!$F$7:$F$18,MONTH(EDATE($E35,BJ$1-1)))/100))),"")</f>
        <v/>
      </c>
      <c r="BK35" t="str" cm="1">
        <f t="array" ref="BK35">IFERROR(IF($E35&lt;44348,"",IF(INDEX(Raw_매출!$B$2:$BI$155,MATCH($A35,Raw_매출!$A$2:$A$155,0),MATCH(EDATE($E35,BK$1-1),Raw_매출!$B$1:$BI$1,0))=0,"",INDEX(Raw_매출!$B$2:$BI$155,MATCH($A35,Raw_매출!$A$2:$A$155,0),MATCH(EDATE($E35,BK$1-1),Raw_매출!$B$1:$BI$1,0))/(INDEX(요약_월별시즈널리티!$F$7:$F$18,MONTH(EDATE($E35,BK$1-1)))/100))),"")</f>
        <v/>
      </c>
      <c r="BL35" t="str" cm="1">
        <f t="array" ref="BL35">IFERROR(IF($E35&lt;44348,"",IF(INDEX(Raw_매출!$B$2:$BI$155,MATCH($A35,Raw_매출!$A$2:$A$155,0),MATCH(EDATE($E35,BL$1-1),Raw_매출!$B$1:$BI$1,0))=0,"",INDEX(Raw_매출!$B$2:$BI$155,MATCH($A35,Raw_매출!$A$2:$A$155,0),MATCH(EDATE($E35,BL$1-1),Raw_매출!$B$1:$BI$1,0))/(INDEX(요약_월별시즈널리티!$F$7:$F$18,MONTH(EDATE($E35,BL$1-1)))/100))),"")</f>
        <v/>
      </c>
      <c r="BM35" t="str" cm="1">
        <f t="array" ref="BM35">IFERROR(IF($E35&lt;44348,"",IF(INDEX(Raw_매출!$B$2:$BI$155,MATCH($A35,Raw_매출!$A$2:$A$155,0),MATCH(EDATE($E35,BM$1-1),Raw_매출!$B$1:$BI$1,0))=0,"",INDEX(Raw_매출!$B$2:$BI$155,MATCH($A35,Raw_매출!$A$2:$A$155,0),MATCH(EDATE($E35,BM$1-1),Raw_매출!$B$1:$BI$1,0))/(INDEX(요약_월별시즈널리티!$F$7:$F$18,MONTH(EDATE($E35,BM$1-1)))/100))),"")</f>
        <v/>
      </c>
      <c r="BN35" t="str" cm="1">
        <f t="array" ref="BN35">IFERROR(IF($E35&lt;44348,"",IF(INDEX(Raw_매출!$B$2:$BI$155,MATCH($A35,Raw_매출!$A$2:$A$155,0),MATCH(EDATE($E35,BN$1-1),Raw_매출!$B$1:$BI$1,0))=0,"",INDEX(Raw_매출!$B$2:$BI$155,MATCH($A35,Raw_매출!$A$2:$A$155,0),MATCH(EDATE($E35,BN$1-1),Raw_매출!$B$1:$BI$1,0))/(INDEX(요약_월별시즈널리티!$F$7:$F$18,MONTH(EDATE($E35,BN$1-1)))/100))),"")</f>
        <v/>
      </c>
    </row>
    <row r="36" spans="1:66" x14ac:dyDescent="0.4">
      <c r="A36" t="str">
        <f>세팅!A37</f>
        <v>(1024) #인헌그린점</v>
      </c>
      <c r="B36" t="str">
        <f>세팅!B37</f>
        <v>150-1</v>
      </c>
      <c r="C36">
        <f t="shared" si="0"/>
        <v>1</v>
      </c>
      <c r="D36" t="str">
        <f t="shared" si="1"/>
        <v>1</v>
      </c>
      <c r="E36" s="1">
        <f>세팅!D37</f>
        <v>44317</v>
      </c>
      <c r="F36" t="str">
        <f t="shared" si="2"/>
        <v/>
      </c>
      <c r="G36" t="str" cm="1">
        <f t="array" ref="G36">IFERROR(IF($E36&lt;44348,"",IF(INDEX(Raw_매출!$B$2:$BI$155,MATCH($A36,Raw_매출!$A$2:$A$155,0),MATCH(EDATE($E36,G$1-1),Raw_매출!$B$1:$BI$1,0))=0,"",INDEX(Raw_매출!$B$2:$BI$155,MATCH($A36,Raw_매출!$A$2:$A$155,0),MATCH(EDATE($E36,G$1-1),Raw_매출!$B$1:$BI$1,0))/(INDEX(요약_월별시즈널리티!$F$7:$F$18,MONTH(EDATE($E36,G$1-1)))/100))),"")</f>
        <v/>
      </c>
      <c r="H36" t="str" cm="1">
        <f t="array" ref="H36">IFERROR(IF($E36&lt;44348,"",IF(INDEX(Raw_매출!$B$2:$BI$155,MATCH($A36,Raw_매출!$A$2:$A$155,0),MATCH(EDATE($E36,H$1-1),Raw_매출!$B$1:$BI$1,0))=0,"",INDEX(Raw_매출!$B$2:$BI$155,MATCH($A36,Raw_매출!$A$2:$A$155,0),MATCH(EDATE($E36,H$1-1),Raw_매출!$B$1:$BI$1,0))/(INDEX(요약_월별시즈널리티!$F$7:$F$18,MONTH(EDATE($E36,H$1-1)))/100))),"")</f>
        <v/>
      </c>
      <c r="I36" t="str" cm="1">
        <f t="array" ref="I36">IFERROR(IF($E36&lt;44348,"",IF(INDEX(Raw_매출!$B$2:$BI$155,MATCH($A36,Raw_매출!$A$2:$A$155,0),MATCH(EDATE($E36,I$1-1),Raw_매출!$B$1:$BI$1,0))=0,"",INDEX(Raw_매출!$B$2:$BI$155,MATCH($A36,Raw_매출!$A$2:$A$155,0),MATCH(EDATE($E36,I$1-1),Raw_매출!$B$1:$BI$1,0))/(INDEX(요약_월별시즈널리티!$F$7:$F$18,MONTH(EDATE($E36,I$1-1)))/100))),"")</f>
        <v/>
      </c>
      <c r="J36" s="30" t="str" cm="1">
        <f t="array" ref="J36">IFERROR(IF($E36&lt;44348,"",IF(INDEX(Raw_매출!$B$2:$BI$155,MATCH($A36,Raw_매출!$A$2:$A$155,0),MATCH(EDATE($E36,J$1-1),Raw_매출!$B$1:$BI$1,0))=0,"",INDEX(Raw_매출!$B$2:$BI$155,MATCH($A36,Raw_매출!$A$2:$A$155,0),MATCH(EDATE($E36,J$1-1),Raw_매출!$B$1:$BI$1,0))/(INDEX(요약_월별시즈널리티!$F$7:$F$18,MONTH(EDATE($E36,J$1-1)))/100))),"")</f>
        <v/>
      </c>
      <c r="K36" s="30" t="str" cm="1">
        <f t="array" ref="K36">IFERROR(IF($E36&lt;44348,"",IF(INDEX(Raw_매출!$B$2:$BI$155,MATCH($A36,Raw_매출!$A$2:$A$155,0),MATCH(EDATE($E36,K$1-1),Raw_매출!$B$1:$BI$1,0))=0,"",INDEX(Raw_매출!$B$2:$BI$155,MATCH($A36,Raw_매출!$A$2:$A$155,0),MATCH(EDATE($E36,K$1-1),Raw_매출!$B$1:$BI$1,0))/(INDEX(요약_월별시즈널리티!$F$7:$F$18,MONTH(EDATE($E36,K$1-1)))/100))),"")</f>
        <v/>
      </c>
      <c r="L36" s="30" t="str" cm="1">
        <f t="array" ref="L36">IFERROR(IF($E36&lt;44348,"",IF(INDEX(Raw_매출!$B$2:$BI$155,MATCH($A36,Raw_매출!$A$2:$A$155,0),MATCH(EDATE($E36,L$1-1),Raw_매출!$B$1:$BI$1,0))=0,"",INDEX(Raw_매출!$B$2:$BI$155,MATCH($A36,Raw_매출!$A$2:$A$155,0),MATCH(EDATE($E36,L$1-1),Raw_매출!$B$1:$BI$1,0))/(INDEX(요약_월별시즈널리티!$F$7:$F$18,MONTH(EDATE($E36,L$1-1)))/100))),"")</f>
        <v/>
      </c>
      <c r="M36" s="30" t="str" cm="1">
        <f t="array" ref="M36">IFERROR(IF($E36&lt;44348,"",IF(INDEX(Raw_매출!$B$2:$BI$155,MATCH($A36,Raw_매출!$A$2:$A$155,0),MATCH(EDATE($E36,M$1-1),Raw_매출!$B$1:$BI$1,0))=0,"",INDEX(Raw_매출!$B$2:$BI$155,MATCH($A36,Raw_매출!$A$2:$A$155,0),MATCH(EDATE($E36,M$1-1),Raw_매출!$B$1:$BI$1,0))/(INDEX(요약_월별시즈널리티!$F$7:$F$18,MONTH(EDATE($E36,M$1-1)))/100))),"")</f>
        <v/>
      </c>
      <c r="N36" s="30" t="str" cm="1">
        <f t="array" ref="N36">IFERROR(IF($E36&lt;44348,"",IF(INDEX(Raw_매출!$B$2:$BI$155,MATCH($A36,Raw_매출!$A$2:$A$155,0),MATCH(EDATE($E36,N$1-1),Raw_매출!$B$1:$BI$1,0))=0,"",INDEX(Raw_매출!$B$2:$BI$155,MATCH($A36,Raw_매출!$A$2:$A$155,0),MATCH(EDATE($E36,N$1-1),Raw_매출!$B$1:$BI$1,0))/(INDEX(요약_월별시즈널리티!$F$7:$F$18,MONTH(EDATE($E36,N$1-1)))/100))),"")</f>
        <v/>
      </c>
      <c r="O36" s="30" t="str" cm="1">
        <f t="array" ref="O36">IFERROR(IF($E36&lt;44348,"",IF(INDEX(Raw_매출!$B$2:$BI$155,MATCH($A36,Raw_매출!$A$2:$A$155,0),MATCH(EDATE($E36,O$1-1),Raw_매출!$B$1:$BI$1,0))=0,"",INDEX(Raw_매출!$B$2:$BI$155,MATCH($A36,Raw_매출!$A$2:$A$155,0),MATCH(EDATE($E36,O$1-1),Raw_매출!$B$1:$BI$1,0))/(INDEX(요약_월별시즈널리티!$F$7:$F$18,MONTH(EDATE($E36,O$1-1)))/100))),"")</f>
        <v/>
      </c>
      <c r="P36" t="str" cm="1">
        <f t="array" ref="P36">IFERROR(IF($E36&lt;44348,"",IF(INDEX(Raw_매출!$B$2:$BI$155,MATCH($A36,Raw_매출!$A$2:$A$155,0),MATCH(EDATE($E36,P$1-1),Raw_매출!$B$1:$BI$1,0))=0,"",INDEX(Raw_매출!$B$2:$BI$155,MATCH($A36,Raw_매출!$A$2:$A$155,0),MATCH(EDATE($E36,P$1-1),Raw_매출!$B$1:$BI$1,0))/(INDEX(요약_월별시즈널리티!$F$7:$F$18,MONTH(EDATE($E36,P$1-1)))/100))),"")</f>
        <v/>
      </c>
      <c r="Q36" t="str" cm="1">
        <f t="array" ref="Q36">IFERROR(IF($E36&lt;44348,"",IF(INDEX(Raw_매출!$B$2:$BI$155,MATCH($A36,Raw_매출!$A$2:$A$155,0),MATCH(EDATE($E36,Q$1-1),Raw_매출!$B$1:$BI$1,0))=0,"",INDEX(Raw_매출!$B$2:$BI$155,MATCH($A36,Raw_매출!$A$2:$A$155,0),MATCH(EDATE($E36,Q$1-1),Raw_매출!$B$1:$BI$1,0))/(INDEX(요약_월별시즈널리티!$F$7:$F$18,MONTH(EDATE($E36,Q$1-1)))/100))),"")</f>
        <v/>
      </c>
      <c r="R36" t="str" cm="1">
        <f t="array" ref="R36">IFERROR(IF($E36&lt;44348,"",IF(INDEX(Raw_매출!$B$2:$BI$155,MATCH($A36,Raw_매출!$A$2:$A$155,0),MATCH(EDATE($E36,R$1-1),Raw_매출!$B$1:$BI$1,0))=0,"",INDEX(Raw_매출!$B$2:$BI$155,MATCH($A36,Raw_매출!$A$2:$A$155,0),MATCH(EDATE($E36,R$1-1),Raw_매출!$B$1:$BI$1,0))/(INDEX(요약_월별시즈널리티!$F$7:$F$18,MONTH(EDATE($E36,R$1-1)))/100))),"")</f>
        <v/>
      </c>
      <c r="S36" t="str" cm="1">
        <f t="array" ref="S36">IFERROR(IF($E36&lt;44348,"",IF(INDEX(Raw_매출!$B$2:$BI$155,MATCH($A36,Raw_매출!$A$2:$A$155,0),MATCH(EDATE($E36,S$1-1),Raw_매출!$B$1:$BI$1,0))=0,"",INDEX(Raw_매출!$B$2:$BI$155,MATCH($A36,Raw_매출!$A$2:$A$155,0),MATCH(EDATE($E36,S$1-1),Raw_매출!$B$1:$BI$1,0))/(INDEX(요약_월별시즈널리티!$F$7:$F$18,MONTH(EDATE($E36,S$1-1)))/100))),"")</f>
        <v/>
      </c>
      <c r="T36" t="str" cm="1">
        <f t="array" ref="T36">IFERROR(IF($E36&lt;44348,"",IF(INDEX(Raw_매출!$B$2:$BI$155,MATCH($A36,Raw_매출!$A$2:$A$155,0),MATCH(EDATE($E36,T$1-1),Raw_매출!$B$1:$BI$1,0))=0,"",INDEX(Raw_매출!$B$2:$BI$155,MATCH($A36,Raw_매출!$A$2:$A$155,0),MATCH(EDATE($E36,T$1-1),Raw_매출!$B$1:$BI$1,0))/(INDEX(요약_월별시즈널리티!$F$7:$F$18,MONTH(EDATE($E36,T$1-1)))/100))),"")</f>
        <v/>
      </c>
      <c r="U36" t="str" cm="1">
        <f t="array" ref="U36">IFERROR(IF($E36&lt;44348,"",IF(INDEX(Raw_매출!$B$2:$BI$155,MATCH($A36,Raw_매출!$A$2:$A$155,0),MATCH(EDATE($E36,U$1-1),Raw_매출!$B$1:$BI$1,0))=0,"",INDEX(Raw_매출!$B$2:$BI$155,MATCH($A36,Raw_매출!$A$2:$A$155,0),MATCH(EDATE($E36,U$1-1),Raw_매출!$B$1:$BI$1,0))/(INDEX(요약_월별시즈널리티!$F$7:$F$18,MONTH(EDATE($E36,U$1-1)))/100))),"")</f>
        <v/>
      </c>
      <c r="V36" t="str" cm="1">
        <f t="array" ref="V36">IFERROR(IF($E36&lt;44348,"",IF(INDEX(Raw_매출!$B$2:$BI$155,MATCH($A36,Raw_매출!$A$2:$A$155,0),MATCH(EDATE($E36,V$1-1),Raw_매출!$B$1:$BI$1,0))=0,"",INDEX(Raw_매출!$B$2:$BI$155,MATCH($A36,Raw_매출!$A$2:$A$155,0),MATCH(EDATE($E36,V$1-1),Raw_매출!$B$1:$BI$1,0))/(INDEX(요약_월별시즈널리티!$F$7:$F$18,MONTH(EDATE($E36,V$1-1)))/100))),"")</f>
        <v/>
      </c>
      <c r="W36" t="str" cm="1">
        <f t="array" ref="W36">IFERROR(IF($E36&lt;44348,"",IF(INDEX(Raw_매출!$B$2:$BI$155,MATCH($A36,Raw_매출!$A$2:$A$155,0),MATCH(EDATE($E36,W$1-1),Raw_매출!$B$1:$BI$1,0))=0,"",INDEX(Raw_매출!$B$2:$BI$155,MATCH($A36,Raw_매출!$A$2:$A$155,0),MATCH(EDATE($E36,W$1-1),Raw_매출!$B$1:$BI$1,0))/(INDEX(요약_월별시즈널리티!$F$7:$F$18,MONTH(EDATE($E36,W$1-1)))/100))),"")</f>
        <v/>
      </c>
      <c r="X36" t="str" cm="1">
        <f t="array" ref="X36">IFERROR(IF($E36&lt;44348,"",IF(INDEX(Raw_매출!$B$2:$BI$155,MATCH($A36,Raw_매출!$A$2:$A$155,0),MATCH(EDATE($E36,X$1-1),Raw_매출!$B$1:$BI$1,0))=0,"",INDEX(Raw_매출!$B$2:$BI$155,MATCH($A36,Raw_매출!$A$2:$A$155,0),MATCH(EDATE($E36,X$1-1),Raw_매출!$B$1:$BI$1,0))/(INDEX(요약_월별시즈널리티!$F$7:$F$18,MONTH(EDATE($E36,X$1-1)))/100))),"")</f>
        <v/>
      </c>
      <c r="Y36" t="str" cm="1">
        <f t="array" ref="Y36">IFERROR(IF($E36&lt;44348,"",IF(INDEX(Raw_매출!$B$2:$BI$155,MATCH($A36,Raw_매출!$A$2:$A$155,0),MATCH(EDATE($E36,Y$1-1),Raw_매출!$B$1:$BI$1,0))=0,"",INDEX(Raw_매출!$B$2:$BI$155,MATCH($A36,Raw_매출!$A$2:$A$155,0),MATCH(EDATE($E36,Y$1-1),Raw_매출!$B$1:$BI$1,0))/(INDEX(요약_월별시즈널리티!$F$7:$F$18,MONTH(EDATE($E36,Y$1-1)))/100))),"")</f>
        <v/>
      </c>
      <c r="Z36" t="str" cm="1">
        <f t="array" ref="Z36">IFERROR(IF($E36&lt;44348,"",IF(INDEX(Raw_매출!$B$2:$BI$155,MATCH($A36,Raw_매출!$A$2:$A$155,0),MATCH(EDATE($E36,Z$1-1),Raw_매출!$B$1:$BI$1,0))=0,"",INDEX(Raw_매출!$B$2:$BI$155,MATCH($A36,Raw_매출!$A$2:$A$155,0),MATCH(EDATE($E36,Z$1-1),Raw_매출!$B$1:$BI$1,0))/(INDEX(요약_월별시즈널리티!$F$7:$F$18,MONTH(EDATE($E36,Z$1-1)))/100))),"")</f>
        <v/>
      </c>
      <c r="AA36" t="str" cm="1">
        <f t="array" ref="AA36">IFERROR(IF($E36&lt;44348,"",IF(INDEX(Raw_매출!$B$2:$BI$155,MATCH($A36,Raw_매출!$A$2:$A$155,0),MATCH(EDATE($E36,AA$1-1),Raw_매출!$B$1:$BI$1,0))=0,"",INDEX(Raw_매출!$B$2:$BI$155,MATCH($A36,Raw_매출!$A$2:$A$155,0),MATCH(EDATE($E36,AA$1-1),Raw_매출!$B$1:$BI$1,0))/(INDEX(요약_월별시즈널리티!$F$7:$F$18,MONTH(EDATE($E36,AA$1-1)))/100))),"")</f>
        <v/>
      </c>
      <c r="AB36" t="str" cm="1">
        <f t="array" ref="AB36">IFERROR(IF($E36&lt;44348,"",IF(INDEX(Raw_매출!$B$2:$BI$155,MATCH($A36,Raw_매출!$A$2:$A$155,0),MATCH(EDATE($E36,AB$1-1),Raw_매출!$B$1:$BI$1,0))=0,"",INDEX(Raw_매출!$B$2:$BI$155,MATCH($A36,Raw_매출!$A$2:$A$155,0),MATCH(EDATE($E36,AB$1-1),Raw_매출!$B$1:$BI$1,0))/(INDEX(요약_월별시즈널리티!$F$7:$F$18,MONTH(EDATE($E36,AB$1-1)))/100))),"")</f>
        <v/>
      </c>
      <c r="AC36" t="str" cm="1">
        <f t="array" ref="AC36">IFERROR(IF($E36&lt;44348,"",IF(INDEX(Raw_매출!$B$2:$BI$155,MATCH($A36,Raw_매출!$A$2:$A$155,0),MATCH(EDATE($E36,AC$1-1),Raw_매출!$B$1:$BI$1,0))=0,"",INDEX(Raw_매출!$B$2:$BI$155,MATCH($A36,Raw_매출!$A$2:$A$155,0),MATCH(EDATE($E36,AC$1-1),Raw_매출!$B$1:$BI$1,0))/(INDEX(요약_월별시즈널리티!$F$7:$F$18,MONTH(EDATE($E36,AC$1-1)))/100))),"")</f>
        <v/>
      </c>
      <c r="AD36" t="str" cm="1">
        <f t="array" ref="AD36">IFERROR(IF($E36&lt;44348,"",IF(INDEX(Raw_매출!$B$2:$BI$155,MATCH($A36,Raw_매출!$A$2:$A$155,0),MATCH(EDATE($E36,AD$1-1),Raw_매출!$B$1:$BI$1,0))=0,"",INDEX(Raw_매출!$B$2:$BI$155,MATCH($A36,Raw_매출!$A$2:$A$155,0),MATCH(EDATE($E36,AD$1-1),Raw_매출!$B$1:$BI$1,0))/(INDEX(요약_월별시즈널리티!$F$7:$F$18,MONTH(EDATE($E36,AD$1-1)))/100))),"")</f>
        <v/>
      </c>
      <c r="AE36" t="str" cm="1">
        <f t="array" ref="AE36">IFERROR(IF($E36&lt;44348,"",IF(INDEX(Raw_매출!$B$2:$BI$155,MATCH($A36,Raw_매출!$A$2:$A$155,0),MATCH(EDATE($E36,AE$1-1),Raw_매출!$B$1:$BI$1,0))=0,"",INDEX(Raw_매출!$B$2:$BI$155,MATCH($A36,Raw_매출!$A$2:$A$155,0),MATCH(EDATE($E36,AE$1-1),Raw_매출!$B$1:$BI$1,0))/(INDEX(요약_월별시즈널리티!$F$7:$F$18,MONTH(EDATE($E36,AE$1-1)))/100))),"")</f>
        <v/>
      </c>
      <c r="AF36" t="str" cm="1">
        <f t="array" ref="AF36">IFERROR(IF($E36&lt;44348,"",IF(INDEX(Raw_매출!$B$2:$BI$155,MATCH($A36,Raw_매출!$A$2:$A$155,0),MATCH(EDATE($E36,AF$1-1),Raw_매출!$B$1:$BI$1,0))=0,"",INDEX(Raw_매출!$B$2:$BI$155,MATCH($A36,Raw_매출!$A$2:$A$155,0),MATCH(EDATE($E36,AF$1-1),Raw_매출!$B$1:$BI$1,0))/(INDEX(요약_월별시즈널리티!$F$7:$F$18,MONTH(EDATE($E36,AF$1-1)))/100))),"")</f>
        <v/>
      </c>
      <c r="AG36" t="str" cm="1">
        <f t="array" ref="AG36">IFERROR(IF($E36&lt;44348,"",IF(INDEX(Raw_매출!$B$2:$BI$155,MATCH($A36,Raw_매출!$A$2:$A$155,0),MATCH(EDATE($E36,AG$1-1),Raw_매출!$B$1:$BI$1,0))=0,"",INDEX(Raw_매출!$B$2:$BI$155,MATCH($A36,Raw_매출!$A$2:$A$155,0),MATCH(EDATE($E36,AG$1-1),Raw_매출!$B$1:$BI$1,0))/(INDEX(요약_월별시즈널리티!$F$7:$F$18,MONTH(EDATE($E36,AG$1-1)))/100))),"")</f>
        <v/>
      </c>
      <c r="AH36" t="str" cm="1">
        <f t="array" ref="AH36">IFERROR(IF($E36&lt;44348,"",IF(INDEX(Raw_매출!$B$2:$BI$155,MATCH($A36,Raw_매출!$A$2:$A$155,0),MATCH(EDATE($E36,AH$1-1),Raw_매출!$B$1:$BI$1,0))=0,"",INDEX(Raw_매출!$B$2:$BI$155,MATCH($A36,Raw_매출!$A$2:$A$155,0),MATCH(EDATE($E36,AH$1-1),Raw_매출!$B$1:$BI$1,0))/(INDEX(요약_월별시즈널리티!$F$7:$F$18,MONTH(EDATE($E36,AH$1-1)))/100))),"")</f>
        <v/>
      </c>
      <c r="AI36" t="str" cm="1">
        <f t="array" ref="AI36">IFERROR(IF($E36&lt;44348,"",IF(INDEX(Raw_매출!$B$2:$BI$155,MATCH($A36,Raw_매출!$A$2:$A$155,0),MATCH(EDATE($E36,AI$1-1),Raw_매출!$B$1:$BI$1,0))=0,"",INDEX(Raw_매출!$B$2:$BI$155,MATCH($A36,Raw_매출!$A$2:$A$155,0),MATCH(EDATE($E36,AI$1-1),Raw_매출!$B$1:$BI$1,0))/(INDEX(요약_월별시즈널리티!$F$7:$F$18,MONTH(EDATE($E36,AI$1-1)))/100))),"")</f>
        <v/>
      </c>
      <c r="AJ36" t="str" cm="1">
        <f t="array" ref="AJ36">IFERROR(IF($E36&lt;44348,"",IF(INDEX(Raw_매출!$B$2:$BI$155,MATCH($A36,Raw_매출!$A$2:$A$155,0),MATCH(EDATE($E36,AJ$1-1),Raw_매출!$B$1:$BI$1,0))=0,"",INDEX(Raw_매출!$B$2:$BI$155,MATCH($A36,Raw_매출!$A$2:$A$155,0),MATCH(EDATE($E36,AJ$1-1),Raw_매출!$B$1:$BI$1,0))/(INDEX(요약_월별시즈널리티!$F$7:$F$18,MONTH(EDATE($E36,AJ$1-1)))/100))),"")</f>
        <v/>
      </c>
      <c r="AK36" t="str" cm="1">
        <f t="array" ref="AK36">IFERROR(IF($E36&lt;44348,"",IF(INDEX(Raw_매출!$B$2:$BI$155,MATCH($A36,Raw_매출!$A$2:$A$155,0),MATCH(EDATE($E36,AK$1-1),Raw_매출!$B$1:$BI$1,0))=0,"",INDEX(Raw_매출!$B$2:$BI$155,MATCH($A36,Raw_매출!$A$2:$A$155,0),MATCH(EDATE($E36,AK$1-1),Raw_매출!$B$1:$BI$1,0))/(INDEX(요약_월별시즈널리티!$F$7:$F$18,MONTH(EDATE($E36,AK$1-1)))/100))),"")</f>
        <v/>
      </c>
      <c r="AL36" t="str" cm="1">
        <f t="array" ref="AL36">IFERROR(IF($E36&lt;44348,"",IF(INDEX(Raw_매출!$B$2:$BI$155,MATCH($A36,Raw_매출!$A$2:$A$155,0),MATCH(EDATE($E36,AL$1-1),Raw_매출!$B$1:$BI$1,0))=0,"",INDEX(Raw_매출!$B$2:$BI$155,MATCH($A36,Raw_매출!$A$2:$A$155,0),MATCH(EDATE($E36,AL$1-1),Raw_매출!$B$1:$BI$1,0))/(INDEX(요약_월별시즈널리티!$F$7:$F$18,MONTH(EDATE($E36,AL$1-1)))/100))),"")</f>
        <v/>
      </c>
      <c r="AM36" t="str" cm="1">
        <f t="array" ref="AM36">IFERROR(IF($E36&lt;44348,"",IF(INDEX(Raw_매출!$B$2:$BI$155,MATCH($A36,Raw_매출!$A$2:$A$155,0),MATCH(EDATE($E36,AM$1-1),Raw_매출!$B$1:$BI$1,0))=0,"",INDEX(Raw_매출!$B$2:$BI$155,MATCH($A36,Raw_매출!$A$2:$A$155,0),MATCH(EDATE($E36,AM$1-1),Raw_매출!$B$1:$BI$1,0))/(INDEX(요약_월별시즈널리티!$F$7:$F$18,MONTH(EDATE($E36,AM$1-1)))/100))),"")</f>
        <v/>
      </c>
      <c r="AN36" t="str" cm="1">
        <f t="array" ref="AN36">IFERROR(IF($E36&lt;44348,"",IF(INDEX(Raw_매출!$B$2:$BI$155,MATCH($A36,Raw_매출!$A$2:$A$155,0),MATCH(EDATE($E36,AN$1-1),Raw_매출!$B$1:$BI$1,0))=0,"",INDEX(Raw_매출!$B$2:$BI$155,MATCH($A36,Raw_매출!$A$2:$A$155,0),MATCH(EDATE($E36,AN$1-1),Raw_매출!$B$1:$BI$1,0))/(INDEX(요약_월별시즈널리티!$F$7:$F$18,MONTH(EDATE($E36,AN$1-1)))/100))),"")</f>
        <v/>
      </c>
      <c r="AO36" t="str" cm="1">
        <f t="array" ref="AO36">IFERROR(IF($E36&lt;44348,"",IF(INDEX(Raw_매출!$B$2:$BI$155,MATCH($A36,Raw_매출!$A$2:$A$155,0),MATCH(EDATE($E36,AO$1-1),Raw_매출!$B$1:$BI$1,0))=0,"",INDEX(Raw_매출!$B$2:$BI$155,MATCH($A36,Raw_매출!$A$2:$A$155,0),MATCH(EDATE($E36,AO$1-1),Raw_매출!$B$1:$BI$1,0))/(INDEX(요약_월별시즈널리티!$F$7:$F$18,MONTH(EDATE($E36,AO$1-1)))/100))),"")</f>
        <v/>
      </c>
      <c r="AP36" t="str" cm="1">
        <f t="array" ref="AP36">IFERROR(IF($E36&lt;44348,"",IF(INDEX(Raw_매출!$B$2:$BI$155,MATCH($A36,Raw_매출!$A$2:$A$155,0),MATCH(EDATE($E36,AP$1-1),Raw_매출!$B$1:$BI$1,0))=0,"",INDEX(Raw_매출!$B$2:$BI$155,MATCH($A36,Raw_매출!$A$2:$A$155,0),MATCH(EDATE($E36,AP$1-1),Raw_매출!$B$1:$BI$1,0))/(INDEX(요약_월별시즈널리티!$F$7:$F$18,MONTH(EDATE($E36,AP$1-1)))/100))),"")</f>
        <v/>
      </c>
      <c r="AQ36" t="str" cm="1">
        <f t="array" ref="AQ36">IFERROR(IF($E36&lt;44348,"",IF(INDEX(Raw_매출!$B$2:$BI$155,MATCH($A36,Raw_매출!$A$2:$A$155,0),MATCH(EDATE($E36,AQ$1-1),Raw_매출!$B$1:$BI$1,0))=0,"",INDEX(Raw_매출!$B$2:$BI$155,MATCH($A36,Raw_매출!$A$2:$A$155,0),MATCH(EDATE($E36,AQ$1-1),Raw_매출!$B$1:$BI$1,0))/(INDEX(요약_월별시즈널리티!$F$7:$F$18,MONTH(EDATE($E36,AQ$1-1)))/100))),"")</f>
        <v/>
      </c>
      <c r="AR36" t="str" cm="1">
        <f t="array" ref="AR36">IFERROR(IF($E36&lt;44348,"",IF(INDEX(Raw_매출!$B$2:$BI$155,MATCH($A36,Raw_매출!$A$2:$A$155,0),MATCH(EDATE($E36,AR$1-1),Raw_매출!$B$1:$BI$1,0))=0,"",INDEX(Raw_매출!$B$2:$BI$155,MATCH($A36,Raw_매출!$A$2:$A$155,0),MATCH(EDATE($E36,AR$1-1),Raw_매출!$B$1:$BI$1,0))/(INDEX(요약_월별시즈널리티!$F$7:$F$18,MONTH(EDATE($E36,AR$1-1)))/100))),"")</f>
        <v/>
      </c>
      <c r="AS36" t="str" cm="1">
        <f t="array" ref="AS36">IFERROR(IF($E36&lt;44348,"",IF(INDEX(Raw_매출!$B$2:$BI$155,MATCH($A36,Raw_매출!$A$2:$A$155,0),MATCH(EDATE($E36,AS$1-1),Raw_매출!$B$1:$BI$1,0))=0,"",INDEX(Raw_매출!$B$2:$BI$155,MATCH($A36,Raw_매출!$A$2:$A$155,0),MATCH(EDATE($E36,AS$1-1),Raw_매출!$B$1:$BI$1,0))/(INDEX(요약_월별시즈널리티!$F$7:$F$18,MONTH(EDATE($E36,AS$1-1)))/100))),"")</f>
        <v/>
      </c>
      <c r="AT36" t="str" cm="1">
        <f t="array" ref="AT36">IFERROR(IF($E36&lt;44348,"",IF(INDEX(Raw_매출!$B$2:$BI$155,MATCH($A36,Raw_매출!$A$2:$A$155,0),MATCH(EDATE($E36,AT$1-1),Raw_매출!$B$1:$BI$1,0))=0,"",INDEX(Raw_매출!$B$2:$BI$155,MATCH($A36,Raw_매출!$A$2:$A$155,0),MATCH(EDATE($E36,AT$1-1),Raw_매출!$B$1:$BI$1,0))/(INDEX(요약_월별시즈널리티!$F$7:$F$18,MONTH(EDATE($E36,AT$1-1)))/100))),"")</f>
        <v/>
      </c>
      <c r="AU36" t="str" cm="1">
        <f t="array" ref="AU36">IFERROR(IF($E36&lt;44348,"",IF(INDEX(Raw_매출!$B$2:$BI$155,MATCH($A36,Raw_매출!$A$2:$A$155,0),MATCH(EDATE($E36,AU$1-1),Raw_매출!$B$1:$BI$1,0))=0,"",INDEX(Raw_매출!$B$2:$BI$155,MATCH($A36,Raw_매출!$A$2:$A$155,0),MATCH(EDATE($E36,AU$1-1),Raw_매출!$B$1:$BI$1,0))/(INDEX(요약_월별시즈널리티!$F$7:$F$18,MONTH(EDATE($E36,AU$1-1)))/100))),"")</f>
        <v/>
      </c>
      <c r="AV36" t="str" cm="1">
        <f t="array" ref="AV36">IFERROR(IF($E36&lt;44348,"",IF(INDEX(Raw_매출!$B$2:$BI$155,MATCH($A36,Raw_매출!$A$2:$A$155,0),MATCH(EDATE($E36,AV$1-1),Raw_매출!$B$1:$BI$1,0))=0,"",INDEX(Raw_매출!$B$2:$BI$155,MATCH($A36,Raw_매출!$A$2:$A$155,0),MATCH(EDATE($E36,AV$1-1),Raw_매출!$B$1:$BI$1,0))/(INDEX(요약_월별시즈널리티!$F$7:$F$18,MONTH(EDATE($E36,AV$1-1)))/100))),"")</f>
        <v/>
      </c>
      <c r="AW36" t="str" cm="1">
        <f t="array" ref="AW36">IFERROR(IF($E36&lt;44348,"",IF(INDEX(Raw_매출!$B$2:$BI$155,MATCH($A36,Raw_매출!$A$2:$A$155,0),MATCH(EDATE($E36,AW$1-1),Raw_매출!$B$1:$BI$1,0))=0,"",INDEX(Raw_매출!$B$2:$BI$155,MATCH($A36,Raw_매출!$A$2:$A$155,0),MATCH(EDATE($E36,AW$1-1),Raw_매출!$B$1:$BI$1,0))/(INDEX(요약_월별시즈널리티!$F$7:$F$18,MONTH(EDATE($E36,AW$1-1)))/100))),"")</f>
        <v/>
      </c>
      <c r="AX36" t="str" cm="1">
        <f t="array" ref="AX36">IFERROR(IF($E36&lt;44348,"",IF(INDEX(Raw_매출!$B$2:$BI$155,MATCH($A36,Raw_매출!$A$2:$A$155,0),MATCH(EDATE($E36,AX$1-1),Raw_매출!$B$1:$BI$1,0))=0,"",INDEX(Raw_매출!$B$2:$BI$155,MATCH($A36,Raw_매출!$A$2:$A$155,0),MATCH(EDATE($E36,AX$1-1),Raw_매출!$B$1:$BI$1,0))/(INDEX(요약_월별시즈널리티!$F$7:$F$18,MONTH(EDATE($E36,AX$1-1)))/100))),"")</f>
        <v/>
      </c>
      <c r="AY36" t="str" cm="1">
        <f t="array" ref="AY36">IFERROR(IF($E36&lt;44348,"",IF(INDEX(Raw_매출!$B$2:$BI$155,MATCH($A36,Raw_매출!$A$2:$A$155,0),MATCH(EDATE($E36,AY$1-1),Raw_매출!$B$1:$BI$1,0))=0,"",INDEX(Raw_매출!$B$2:$BI$155,MATCH($A36,Raw_매출!$A$2:$A$155,0),MATCH(EDATE($E36,AY$1-1),Raw_매출!$B$1:$BI$1,0))/(INDEX(요약_월별시즈널리티!$F$7:$F$18,MONTH(EDATE($E36,AY$1-1)))/100))),"")</f>
        <v/>
      </c>
      <c r="AZ36" t="str" cm="1">
        <f t="array" ref="AZ36">IFERROR(IF($E36&lt;44348,"",IF(INDEX(Raw_매출!$B$2:$BI$155,MATCH($A36,Raw_매출!$A$2:$A$155,0),MATCH(EDATE($E36,AZ$1-1),Raw_매출!$B$1:$BI$1,0))=0,"",INDEX(Raw_매출!$B$2:$BI$155,MATCH($A36,Raw_매출!$A$2:$A$155,0),MATCH(EDATE($E36,AZ$1-1),Raw_매출!$B$1:$BI$1,0))/(INDEX(요약_월별시즈널리티!$F$7:$F$18,MONTH(EDATE($E36,AZ$1-1)))/100))),"")</f>
        <v/>
      </c>
      <c r="BA36" t="str" cm="1">
        <f t="array" ref="BA36">IFERROR(IF($E36&lt;44348,"",IF(INDEX(Raw_매출!$B$2:$BI$155,MATCH($A36,Raw_매출!$A$2:$A$155,0),MATCH(EDATE($E36,BA$1-1),Raw_매출!$B$1:$BI$1,0))=0,"",INDEX(Raw_매출!$B$2:$BI$155,MATCH($A36,Raw_매출!$A$2:$A$155,0),MATCH(EDATE($E36,BA$1-1),Raw_매출!$B$1:$BI$1,0))/(INDEX(요약_월별시즈널리티!$F$7:$F$18,MONTH(EDATE($E36,BA$1-1)))/100))),"")</f>
        <v/>
      </c>
      <c r="BB36" t="str" cm="1">
        <f t="array" ref="BB36">IFERROR(IF($E36&lt;44348,"",IF(INDEX(Raw_매출!$B$2:$BI$155,MATCH($A36,Raw_매출!$A$2:$A$155,0),MATCH(EDATE($E36,BB$1-1),Raw_매출!$B$1:$BI$1,0))=0,"",INDEX(Raw_매출!$B$2:$BI$155,MATCH($A36,Raw_매출!$A$2:$A$155,0),MATCH(EDATE($E36,BB$1-1),Raw_매출!$B$1:$BI$1,0))/(INDEX(요약_월별시즈널리티!$F$7:$F$18,MONTH(EDATE($E36,BB$1-1)))/100))),"")</f>
        <v/>
      </c>
      <c r="BC36" t="str" cm="1">
        <f t="array" ref="BC36">IFERROR(IF($E36&lt;44348,"",IF(INDEX(Raw_매출!$B$2:$BI$155,MATCH($A36,Raw_매출!$A$2:$A$155,0),MATCH(EDATE($E36,BC$1-1),Raw_매출!$B$1:$BI$1,0))=0,"",INDEX(Raw_매출!$B$2:$BI$155,MATCH($A36,Raw_매출!$A$2:$A$155,0),MATCH(EDATE($E36,BC$1-1),Raw_매출!$B$1:$BI$1,0))/(INDEX(요약_월별시즈널리티!$F$7:$F$18,MONTH(EDATE($E36,BC$1-1)))/100))),"")</f>
        <v/>
      </c>
      <c r="BD36" t="str" cm="1">
        <f t="array" ref="BD36">IFERROR(IF($E36&lt;44348,"",IF(INDEX(Raw_매출!$B$2:$BI$155,MATCH($A36,Raw_매출!$A$2:$A$155,0),MATCH(EDATE($E36,BD$1-1),Raw_매출!$B$1:$BI$1,0))=0,"",INDEX(Raw_매출!$B$2:$BI$155,MATCH($A36,Raw_매출!$A$2:$A$155,0),MATCH(EDATE($E36,BD$1-1),Raw_매출!$B$1:$BI$1,0))/(INDEX(요약_월별시즈널리티!$F$7:$F$18,MONTH(EDATE($E36,BD$1-1)))/100))),"")</f>
        <v/>
      </c>
      <c r="BE36" t="str" cm="1">
        <f t="array" ref="BE36">IFERROR(IF($E36&lt;44348,"",IF(INDEX(Raw_매출!$B$2:$BI$155,MATCH($A36,Raw_매출!$A$2:$A$155,0),MATCH(EDATE($E36,BE$1-1),Raw_매출!$B$1:$BI$1,0))=0,"",INDEX(Raw_매출!$B$2:$BI$155,MATCH($A36,Raw_매출!$A$2:$A$155,0),MATCH(EDATE($E36,BE$1-1),Raw_매출!$B$1:$BI$1,0))/(INDEX(요약_월별시즈널리티!$F$7:$F$18,MONTH(EDATE($E36,BE$1-1)))/100))),"")</f>
        <v/>
      </c>
      <c r="BF36" t="str" cm="1">
        <f t="array" ref="BF36">IFERROR(IF($E36&lt;44348,"",IF(INDEX(Raw_매출!$B$2:$BI$155,MATCH($A36,Raw_매출!$A$2:$A$155,0),MATCH(EDATE($E36,BF$1-1),Raw_매출!$B$1:$BI$1,0))=0,"",INDEX(Raw_매출!$B$2:$BI$155,MATCH($A36,Raw_매출!$A$2:$A$155,0),MATCH(EDATE($E36,BF$1-1),Raw_매출!$B$1:$BI$1,0))/(INDEX(요약_월별시즈널리티!$F$7:$F$18,MONTH(EDATE($E36,BF$1-1)))/100))),"")</f>
        <v/>
      </c>
      <c r="BG36" t="str" cm="1">
        <f t="array" ref="BG36">IFERROR(IF($E36&lt;44348,"",IF(INDEX(Raw_매출!$B$2:$BI$155,MATCH($A36,Raw_매출!$A$2:$A$155,0),MATCH(EDATE($E36,BG$1-1),Raw_매출!$B$1:$BI$1,0))=0,"",INDEX(Raw_매출!$B$2:$BI$155,MATCH($A36,Raw_매출!$A$2:$A$155,0),MATCH(EDATE($E36,BG$1-1),Raw_매출!$B$1:$BI$1,0))/(INDEX(요약_월별시즈널리티!$F$7:$F$18,MONTH(EDATE($E36,BG$1-1)))/100))),"")</f>
        <v/>
      </c>
      <c r="BH36" t="str" cm="1">
        <f t="array" ref="BH36">IFERROR(IF($E36&lt;44348,"",IF(INDEX(Raw_매출!$B$2:$BI$155,MATCH($A36,Raw_매출!$A$2:$A$155,0),MATCH(EDATE($E36,BH$1-1),Raw_매출!$B$1:$BI$1,0))=0,"",INDEX(Raw_매출!$B$2:$BI$155,MATCH($A36,Raw_매출!$A$2:$A$155,0),MATCH(EDATE($E36,BH$1-1),Raw_매출!$B$1:$BI$1,0))/(INDEX(요약_월별시즈널리티!$F$7:$F$18,MONTH(EDATE($E36,BH$1-1)))/100))),"")</f>
        <v/>
      </c>
      <c r="BI36" t="str" cm="1">
        <f t="array" ref="BI36">IFERROR(IF($E36&lt;44348,"",IF(INDEX(Raw_매출!$B$2:$BI$155,MATCH($A36,Raw_매출!$A$2:$A$155,0),MATCH(EDATE($E36,BI$1-1),Raw_매출!$B$1:$BI$1,0))=0,"",INDEX(Raw_매출!$B$2:$BI$155,MATCH($A36,Raw_매출!$A$2:$A$155,0),MATCH(EDATE($E36,BI$1-1),Raw_매출!$B$1:$BI$1,0))/(INDEX(요약_월별시즈널리티!$F$7:$F$18,MONTH(EDATE($E36,BI$1-1)))/100))),"")</f>
        <v/>
      </c>
      <c r="BJ36" t="str" cm="1">
        <f t="array" ref="BJ36">IFERROR(IF($E36&lt;44348,"",IF(INDEX(Raw_매출!$B$2:$BI$155,MATCH($A36,Raw_매출!$A$2:$A$155,0),MATCH(EDATE($E36,BJ$1-1),Raw_매출!$B$1:$BI$1,0))=0,"",INDEX(Raw_매출!$B$2:$BI$155,MATCH($A36,Raw_매출!$A$2:$A$155,0),MATCH(EDATE($E36,BJ$1-1),Raw_매출!$B$1:$BI$1,0))/(INDEX(요약_월별시즈널리티!$F$7:$F$18,MONTH(EDATE($E36,BJ$1-1)))/100))),"")</f>
        <v/>
      </c>
      <c r="BK36" t="str" cm="1">
        <f t="array" ref="BK36">IFERROR(IF($E36&lt;44348,"",IF(INDEX(Raw_매출!$B$2:$BI$155,MATCH($A36,Raw_매출!$A$2:$A$155,0),MATCH(EDATE($E36,BK$1-1),Raw_매출!$B$1:$BI$1,0))=0,"",INDEX(Raw_매출!$B$2:$BI$155,MATCH($A36,Raw_매출!$A$2:$A$155,0),MATCH(EDATE($E36,BK$1-1),Raw_매출!$B$1:$BI$1,0))/(INDEX(요약_월별시즈널리티!$F$7:$F$18,MONTH(EDATE($E36,BK$1-1)))/100))),"")</f>
        <v/>
      </c>
      <c r="BL36" t="str" cm="1">
        <f t="array" ref="BL36">IFERROR(IF($E36&lt;44348,"",IF(INDEX(Raw_매출!$B$2:$BI$155,MATCH($A36,Raw_매출!$A$2:$A$155,0),MATCH(EDATE($E36,BL$1-1),Raw_매출!$B$1:$BI$1,0))=0,"",INDEX(Raw_매출!$B$2:$BI$155,MATCH($A36,Raw_매출!$A$2:$A$155,0),MATCH(EDATE($E36,BL$1-1),Raw_매출!$B$1:$BI$1,0))/(INDEX(요약_월별시즈널리티!$F$7:$F$18,MONTH(EDATE($E36,BL$1-1)))/100))),"")</f>
        <v/>
      </c>
      <c r="BM36" t="str" cm="1">
        <f t="array" ref="BM36">IFERROR(IF($E36&lt;44348,"",IF(INDEX(Raw_매출!$B$2:$BI$155,MATCH($A36,Raw_매출!$A$2:$A$155,0),MATCH(EDATE($E36,BM$1-1),Raw_매출!$B$1:$BI$1,0))=0,"",INDEX(Raw_매출!$B$2:$BI$155,MATCH($A36,Raw_매출!$A$2:$A$155,0),MATCH(EDATE($E36,BM$1-1),Raw_매출!$B$1:$BI$1,0))/(INDEX(요약_월별시즈널리티!$F$7:$F$18,MONTH(EDATE($E36,BM$1-1)))/100))),"")</f>
        <v/>
      </c>
      <c r="BN36" t="str" cm="1">
        <f t="array" ref="BN36">IFERROR(IF($E36&lt;44348,"",IF(INDEX(Raw_매출!$B$2:$BI$155,MATCH($A36,Raw_매출!$A$2:$A$155,0),MATCH(EDATE($E36,BN$1-1),Raw_매출!$B$1:$BI$1,0))=0,"",INDEX(Raw_매출!$B$2:$BI$155,MATCH($A36,Raw_매출!$A$2:$A$155,0),MATCH(EDATE($E36,BN$1-1),Raw_매출!$B$1:$BI$1,0))/(INDEX(요약_월별시즈널리티!$F$7:$F$18,MONTH(EDATE($E36,BN$1-1)))/100))),"")</f>
        <v/>
      </c>
    </row>
    <row r="37" spans="1:66" x14ac:dyDescent="0.4">
      <c r="A37" t="str">
        <f>세팅!A38</f>
        <v>(1025) #연남점</v>
      </c>
      <c r="B37" t="str">
        <f>세팅!B38</f>
        <v>150-0</v>
      </c>
      <c r="C37">
        <f t="shared" si="0"/>
        <v>0</v>
      </c>
      <c r="D37" t="str">
        <f t="shared" si="1"/>
        <v>0</v>
      </c>
      <c r="E37" s="1">
        <f>세팅!D38</f>
        <v>44440</v>
      </c>
      <c r="F37">
        <f>IF(COUNT(J37:O37)&gt;=4,AVERAGE(J37:O37),"")</f>
        <v>6200296.2185647823</v>
      </c>
      <c r="G37" cm="1">
        <f t="array" ref="G37">IFERROR(IF($E37&lt;44348,"",IF(INDEX(Raw_매출!$B$2:$BI$155,MATCH($A37,Raw_매출!$A$2:$A$155,0),MATCH(EDATE($E37,G$1-1),Raw_매출!$B$1:$BI$1,0))=0,"",INDEX(Raw_매출!$B$2:$BI$155,MATCH($A37,Raw_매출!$A$2:$A$155,0),MATCH(EDATE($E37,G$1-1),Raw_매출!$B$1:$BI$1,0))/(INDEX(요약_월별시즈널리티!$F$7:$F$18,MONTH(EDATE($E37,G$1-1)))/100))),"")</f>
        <v>4191440.1863041203</v>
      </c>
      <c r="H37" cm="1">
        <f t="array" ref="H37">IFERROR(IF($E37&lt;44348,"",IF(INDEX(Raw_매출!$B$2:$BI$155,MATCH($A37,Raw_매출!$A$2:$A$155,0),MATCH(EDATE($E37,H$1-1),Raw_매출!$B$1:$BI$1,0))=0,"",INDEX(Raw_매출!$B$2:$BI$155,MATCH($A37,Raw_매출!$A$2:$A$155,0),MATCH(EDATE($E37,H$1-1),Raw_매출!$B$1:$BI$1,0))/(INDEX(요약_월별시즈널리티!$F$7:$F$18,MONTH(EDATE($E37,H$1-1)))/100))),"")</f>
        <v>4936650.8511043638</v>
      </c>
      <c r="I37" cm="1">
        <f t="array" ref="I37">IFERROR(IF($E37&lt;44348,"",IF(INDEX(Raw_매출!$B$2:$BI$155,MATCH($A37,Raw_매출!$A$2:$A$155,0),MATCH(EDATE($E37,I$1-1),Raw_매출!$B$1:$BI$1,0))=0,"",INDEX(Raw_매출!$B$2:$BI$155,MATCH($A37,Raw_매출!$A$2:$A$155,0),MATCH(EDATE($E37,I$1-1),Raw_매출!$B$1:$BI$1,0))/(INDEX(요약_월별시즈널리티!$F$7:$F$18,MONTH(EDATE($E37,I$1-1)))/100))),"")</f>
        <v>5362467.6952454653</v>
      </c>
      <c r="J37" s="30" cm="1">
        <f t="array" ref="J37">IFERROR(IF($E37&lt;44348,"",IF(INDEX(Raw_매출!$B$2:$BI$155,MATCH($A37,Raw_매출!$A$2:$A$155,0),MATCH(EDATE($E37,J$1-1),Raw_매출!$B$1:$BI$1,0))=0,"",INDEX(Raw_매출!$B$2:$BI$155,MATCH($A37,Raw_매출!$A$2:$A$155,0),MATCH(EDATE($E37,J$1-1),Raw_매출!$B$1:$BI$1,0))/(INDEX(요약_월별시즈널리티!$F$7:$F$18,MONTH(EDATE($E37,J$1-1)))/100))),"")</f>
        <v>5314915.4378238209</v>
      </c>
      <c r="K37" s="30" cm="1">
        <f t="array" ref="K37">IFERROR(IF($E37&lt;44348,"",IF(INDEX(Raw_매출!$B$2:$BI$155,MATCH($A37,Raw_매출!$A$2:$A$155,0),MATCH(EDATE($E37,K$1-1),Raw_매출!$B$1:$BI$1,0))=0,"",INDEX(Raw_매출!$B$2:$BI$155,MATCH($A37,Raw_매출!$A$2:$A$155,0),MATCH(EDATE($E37,K$1-1),Raw_매출!$B$1:$BI$1,0))/(INDEX(요약_월별시즈널리티!$F$7:$F$18,MONTH(EDATE($E37,K$1-1)))/100))),"")</f>
        <v>5868374.6190887727</v>
      </c>
      <c r="L37" s="30" cm="1">
        <f t="array" ref="L37">IFERROR(IF($E37&lt;44348,"",IF(INDEX(Raw_매출!$B$2:$BI$155,MATCH($A37,Raw_매출!$A$2:$A$155,0),MATCH(EDATE($E37,L$1-1),Raw_매출!$B$1:$BI$1,0))=0,"",INDEX(Raw_매출!$B$2:$BI$155,MATCH($A37,Raw_매출!$A$2:$A$155,0),MATCH(EDATE($E37,L$1-1),Raw_매출!$B$1:$BI$1,0))/(INDEX(요약_월별시즈널리티!$F$7:$F$18,MONTH(EDATE($E37,L$1-1)))/100))),"")</f>
        <v>6522891.2530554431</v>
      </c>
      <c r="M37" s="30" cm="1">
        <f t="array" ref="M37">IFERROR(IF($E37&lt;44348,"",IF(INDEX(Raw_매출!$B$2:$BI$155,MATCH($A37,Raw_매출!$A$2:$A$155,0),MATCH(EDATE($E37,M$1-1),Raw_매출!$B$1:$BI$1,0))=0,"",INDEX(Raw_매출!$B$2:$BI$155,MATCH($A37,Raw_매출!$A$2:$A$155,0),MATCH(EDATE($E37,M$1-1),Raw_매출!$B$1:$BI$1,0))/(INDEX(요약_월별시즈널리티!$F$7:$F$18,MONTH(EDATE($E37,M$1-1)))/100))),"")</f>
        <v>6630023.5472892569</v>
      </c>
      <c r="N37" s="30" cm="1">
        <f t="array" ref="N37">IFERROR(IF($E37&lt;44348,"",IF(INDEX(Raw_매출!$B$2:$BI$155,MATCH($A37,Raw_매출!$A$2:$A$155,0),MATCH(EDATE($E37,N$1-1),Raw_매출!$B$1:$BI$1,0))=0,"",INDEX(Raw_매출!$B$2:$BI$155,MATCH($A37,Raw_매출!$A$2:$A$155,0),MATCH(EDATE($E37,N$1-1),Raw_매출!$B$1:$BI$1,0))/(INDEX(요약_월별시즈널리티!$F$7:$F$18,MONTH(EDATE($E37,N$1-1)))/100))),"")</f>
        <v>6716586.233417701</v>
      </c>
      <c r="O37" s="30" cm="1">
        <f t="array" ref="O37">IFERROR(IF($E37&lt;44348,"",IF(INDEX(Raw_매출!$B$2:$BI$155,MATCH($A37,Raw_매출!$A$2:$A$155,0),MATCH(EDATE($E37,O$1-1),Raw_매출!$B$1:$BI$1,0))=0,"",INDEX(Raw_매출!$B$2:$BI$155,MATCH($A37,Raw_매출!$A$2:$A$155,0),MATCH(EDATE($E37,O$1-1),Raw_매출!$B$1:$BI$1,0))/(INDEX(요약_월별시즈널리티!$F$7:$F$18,MONTH(EDATE($E37,O$1-1)))/100))),"")</f>
        <v>6148986.2207137011</v>
      </c>
      <c r="P37" cm="1">
        <f t="array" ref="P37">IFERROR(IF($E37&lt;44348,"",IF(INDEX(Raw_매출!$B$2:$BI$155,MATCH($A37,Raw_매출!$A$2:$A$155,0),MATCH(EDATE($E37,P$1-1),Raw_매출!$B$1:$BI$1,0))=0,"",INDEX(Raw_매출!$B$2:$BI$155,MATCH($A37,Raw_매출!$A$2:$A$155,0),MATCH(EDATE($E37,P$1-1),Raw_매출!$B$1:$BI$1,0))/(INDEX(요약_월별시즈널리티!$F$7:$F$18,MONTH(EDATE($E37,P$1-1)))/100))),"")</f>
        <v>7422798.2563922033</v>
      </c>
      <c r="Q37" cm="1">
        <f t="array" ref="Q37">IFERROR(IF($E37&lt;44348,"",IF(INDEX(Raw_매출!$B$2:$BI$155,MATCH($A37,Raw_매출!$A$2:$A$155,0),MATCH(EDATE($E37,Q$1-1),Raw_매출!$B$1:$BI$1,0))=0,"",INDEX(Raw_매출!$B$2:$BI$155,MATCH($A37,Raw_매출!$A$2:$A$155,0),MATCH(EDATE($E37,Q$1-1),Raw_매출!$B$1:$BI$1,0))/(INDEX(요약_월별시즈널리티!$F$7:$F$18,MONTH(EDATE($E37,Q$1-1)))/100))),"")</f>
        <v>7865023.1470650742</v>
      </c>
      <c r="R37" cm="1">
        <f t="array" ref="R37">IFERROR(IF($E37&lt;44348,"",IF(INDEX(Raw_매출!$B$2:$BI$155,MATCH($A37,Raw_매출!$A$2:$A$155,0),MATCH(EDATE($E37,R$1-1),Raw_매출!$B$1:$BI$1,0))=0,"",INDEX(Raw_매출!$B$2:$BI$155,MATCH($A37,Raw_매출!$A$2:$A$155,0),MATCH(EDATE($E37,R$1-1),Raw_매출!$B$1:$BI$1,0))/(INDEX(요약_월별시즈널리티!$F$7:$F$18,MONTH(EDATE($E37,R$1-1)))/100))),"")</f>
        <v>7896989.3803015733</v>
      </c>
      <c r="S37" cm="1">
        <f t="array" ref="S37">IFERROR(IF($E37&lt;44348,"",IF(INDEX(Raw_매출!$B$2:$BI$155,MATCH($A37,Raw_매출!$A$2:$A$155,0),MATCH(EDATE($E37,S$1-1),Raw_매출!$B$1:$BI$1,0))=0,"",INDEX(Raw_매출!$B$2:$BI$155,MATCH($A37,Raw_매출!$A$2:$A$155,0),MATCH(EDATE($E37,S$1-1),Raw_매출!$B$1:$BI$1,0))/(INDEX(요약_월별시즈널리티!$F$7:$F$18,MONTH(EDATE($E37,S$1-1)))/100))),"")</f>
        <v>6865515.5436171303</v>
      </c>
      <c r="T37" cm="1">
        <f t="array" ref="T37">IFERROR(IF($E37&lt;44348,"",IF(INDEX(Raw_매출!$B$2:$BI$155,MATCH($A37,Raw_매출!$A$2:$A$155,0),MATCH(EDATE($E37,T$1-1),Raw_매출!$B$1:$BI$1,0))=0,"",INDEX(Raw_매출!$B$2:$BI$155,MATCH($A37,Raw_매출!$A$2:$A$155,0),MATCH(EDATE($E37,T$1-1),Raw_매출!$B$1:$BI$1,0))/(INDEX(요약_월별시즈널리티!$F$7:$F$18,MONTH(EDATE($E37,T$1-1)))/100))),"")</f>
        <v>6602819.1748101385</v>
      </c>
      <c r="U37" cm="1">
        <f t="array" ref="U37">IFERROR(IF($E37&lt;44348,"",IF(INDEX(Raw_매출!$B$2:$BI$155,MATCH($A37,Raw_매출!$A$2:$A$155,0),MATCH(EDATE($E37,U$1-1),Raw_매출!$B$1:$BI$1,0))=0,"",INDEX(Raw_매출!$B$2:$BI$155,MATCH($A37,Raw_매출!$A$2:$A$155,0),MATCH(EDATE($E37,U$1-1),Raw_매출!$B$1:$BI$1,0))/(INDEX(요약_월별시즈널리티!$F$7:$F$18,MONTH(EDATE($E37,U$1-1)))/100))),"")</f>
        <v>7211909.1330378968</v>
      </c>
      <c r="V37" cm="1">
        <f t="array" ref="V37">IFERROR(IF($E37&lt;44348,"",IF(INDEX(Raw_매출!$B$2:$BI$155,MATCH($A37,Raw_매출!$A$2:$A$155,0),MATCH(EDATE($E37,V$1-1),Raw_매출!$B$1:$BI$1,0))=0,"",INDEX(Raw_매출!$B$2:$BI$155,MATCH($A37,Raw_매출!$A$2:$A$155,0),MATCH(EDATE($E37,V$1-1),Raw_매출!$B$1:$BI$1,0))/(INDEX(요약_월별시즈널리티!$F$7:$F$18,MONTH(EDATE($E37,V$1-1)))/100))),"")</f>
        <v>7911404.5346339652</v>
      </c>
      <c r="W37" cm="1">
        <f t="array" ref="W37">IFERROR(IF($E37&lt;44348,"",IF(INDEX(Raw_매출!$B$2:$BI$155,MATCH($A37,Raw_매출!$A$2:$A$155,0),MATCH(EDATE($E37,W$1-1),Raw_매출!$B$1:$BI$1,0))=0,"",INDEX(Raw_매출!$B$2:$BI$155,MATCH($A37,Raw_매출!$A$2:$A$155,0),MATCH(EDATE($E37,W$1-1),Raw_매출!$B$1:$BI$1,0))/(INDEX(요약_월별시즈널리티!$F$7:$F$18,MONTH(EDATE($E37,W$1-1)))/100))),"")</f>
        <v>8434003.3953676634</v>
      </c>
      <c r="X37" cm="1">
        <f t="array" ref="X37">IFERROR(IF($E37&lt;44348,"",IF(INDEX(Raw_매출!$B$2:$BI$155,MATCH($A37,Raw_매출!$A$2:$A$155,0),MATCH(EDATE($E37,X$1-1),Raw_매출!$B$1:$BI$1,0))=0,"",INDEX(Raw_매출!$B$2:$BI$155,MATCH($A37,Raw_매출!$A$2:$A$155,0),MATCH(EDATE($E37,X$1-1),Raw_매출!$B$1:$BI$1,0))/(INDEX(요약_월별시즈널리티!$F$7:$F$18,MONTH(EDATE($E37,X$1-1)))/100))),"")</f>
        <v>7619728.8237083638</v>
      </c>
      <c r="Y37" cm="1">
        <f t="array" ref="Y37">IFERROR(IF($E37&lt;44348,"",IF(INDEX(Raw_매출!$B$2:$BI$155,MATCH($A37,Raw_매출!$A$2:$A$155,0),MATCH(EDATE($E37,Y$1-1),Raw_매출!$B$1:$BI$1,0))=0,"",INDEX(Raw_매출!$B$2:$BI$155,MATCH($A37,Raw_매출!$A$2:$A$155,0),MATCH(EDATE($E37,Y$1-1),Raw_매출!$B$1:$BI$1,0))/(INDEX(요약_월별시즈널리티!$F$7:$F$18,MONTH(EDATE($E37,Y$1-1)))/100))),"")</f>
        <v>8455145.2797095124</v>
      </c>
      <c r="Z37" cm="1">
        <f t="array" ref="Z37">IFERROR(IF($E37&lt;44348,"",IF(INDEX(Raw_매출!$B$2:$BI$155,MATCH($A37,Raw_매출!$A$2:$A$155,0),MATCH(EDATE($E37,Z$1-1),Raw_매출!$B$1:$BI$1,0))=0,"",INDEX(Raw_매출!$B$2:$BI$155,MATCH($A37,Raw_매출!$A$2:$A$155,0),MATCH(EDATE($E37,Z$1-1),Raw_매출!$B$1:$BI$1,0))/(INDEX(요약_월별시즈널리티!$F$7:$F$18,MONTH(EDATE($E37,Z$1-1)))/100))),"")</f>
        <v>8119178.1437672898</v>
      </c>
      <c r="AA37" cm="1">
        <f t="array" ref="AA37">IFERROR(IF($E37&lt;44348,"",IF(INDEX(Raw_매출!$B$2:$BI$155,MATCH($A37,Raw_매출!$A$2:$A$155,0),MATCH(EDATE($E37,AA$1-1),Raw_매출!$B$1:$BI$1,0))=0,"",INDEX(Raw_매출!$B$2:$BI$155,MATCH($A37,Raw_매출!$A$2:$A$155,0),MATCH(EDATE($E37,AA$1-1),Raw_매출!$B$1:$BI$1,0))/(INDEX(요약_월별시즈널리티!$F$7:$F$18,MONTH(EDATE($E37,AA$1-1)))/100))),"")</f>
        <v>7999661.1906769238</v>
      </c>
      <c r="AB37" cm="1">
        <f t="array" ref="AB37">IFERROR(IF($E37&lt;44348,"",IF(INDEX(Raw_매출!$B$2:$BI$155,MATCH($A37,Raw_매출!$A$2:$A$155,0),MATCH(EDATE($E37,AB$1-1),Raw_매출!$B$1:$BI$1,0))=0,"",INDEX(Raw_매출!$B$2:$BI$155,MATCH($A37,Raw_매출!$A$2:$A$155,0),MATCH(EDATE($E37,AB$1-1),Raw_매출!$B$1:$BI$1,0))/(INDEX(요약_월별시즈널리티!$F$7:$F$18,MONTH(EDATE($E37,AB$1-1)))/100))),"")</f>
        <v>7193678.525167305</v>
      </c>
      <c r="AC37" cm="1">
        <f t="array" ref="AC37">IFERROR(IF($E37&lt;44348,"",IF(INDEX(Raw_매출!$B$2:$BI$155,MATCH($A37,Raw_매출!$A$2:$A$155,0),MATCH(EDATE($E37,AC$1-1),Raw_매출!$B$1:$BI$1,0))=0,"",INDEX(Raw_매출!$B$2:$BI$155,MATCH($A37,Raw_매출!$A$2:$A$155,0),MATCH(EDATE($E37,AC$1-1),Raw_매출!$B$1:$BI$1,0))/(INDEX(요약_월별시즈널리티!$F$7:$F$18,MONTH(EDATE($E37,AC$1-1)))/100))),"")</f>
        <v>8662224.8738020845</v>
      </c>
      <c r="AD37" cm="1">
        <f t="array" ref="AD37">IFERROR(IF($E37&lt;44348,"",IF(INDEX(Raw_매출!$B$2:$BI$155,MATCH($A37,Raw_매출!$A$2:$A$155,0),MATCH(EDATE($E37,AD$1-1),Raw_매출!$B$1:$BI$1,0))=0,"",INDEX(Raw_매출!$B$2:$BI$155,MATCH($A37,Raw_매출!$A$2:$A$155,0),MATCH(EDATE($E37,AD$1-1),Raw_매출!$B$1:$BI$1,0))/(INDEX(요약_월별시즈널리티!$F$7:$F$18,MONTH(EDATE($E37,AD$1-1)))/100))),"")</f>
        <v>7047856.0058483481</v>
      </c>
      <c r="AE37" cm="1">
        <f t="array" ref="AE37">IFERROR(IF($E37&lt;44348,"",IF(INDEX(Raw_매출!$B$2:$BI$155,MATCH($A37,Raw_매출!$A$2:$A$155,0),MATCH(EDATE($E37,AE$1-1),Raw_매출!$B$1:$BI$1,0))=0,"",INDEX(Raw_매출!$B$2:$BI$155,MATCH($A37,Raw_매출!$A$2:$A$155,0),MATCH(EDATE($E37,AE$1-1),Raw_매출!$B$1:$BI$1,0))/(INDEX(요약_월별시즈널리티!$F$7:$F$18,MONTH(EDATE($E37,AE$1-1)))/100))),"")</f>
        <v>7909725.1014948888</v>
      </c>
      <c r="AF37" cm="1">
        <f t="array" ref="AF37">IFERROR(IF($E37&lt;44348,"",IF(INDEX(Raw_매출!$B$2:$BI$155,MATCH($A37,Raw_매출!$A$2:$A$155,0),MATCH(EDATE($E37,AF$1-1),Raw_매출!$B$1:$BI$1,0))=0,"",INDEX(Raw_매출!$B$2:$BI$155,MATCH($A37,Raw_매출!$A$2:$A$155,0),MATCH(EDATE($E37,AF$1-1),Raw_매출!$B$1:$BI$1,0))/(INDEX(요약_월별시즈널리티!$F$7:$F$18,MONTH(EDATE($E37,AF$1-1)))/100))),"")</f>
        <v>7807028.0567407925</v>
      </c>
      <c r="AG37" cm="1">
        <f t="array" ref="AG37">IFERROR(IF($E37&lt;44348,"",IF(INDEX(Raw_매출!$B$2:$BI$155,MATCH($A37,Raw_매출!$A$2:$A$155,0),MATCH(EDATE($E37,AG$1-1),Raw_매출!$B$1:$BI$1,0))=0,"",INDEX(Raw_매출!$B$2:$BI$155,MATCH($A37,Raw_매출!$A$2:$A$155,0),MATCH(EDATE($E37,AG$1-1),Raw_매출!$B$1:$BI$1,0))/(INDEX(요약_월별시즈널리티!$F$7:$F$18,MONTH(EDATE($E37,AG$1-1)))/100))),"")</f>
        <v>8258373.1405553492</v>
      </c>
      <c r="AH37" cm="1">
        <f t="array" ref="AH37">IFERROR(IF($E37&lt;44348,"",IF(INDEX(Raw_매출!$B$2:$BI$155,MATCH($A37,Raw_매출!$A$2:$A$155,0),MATCH(EDATE($E37,AH$1-1),Raw_매출!$B$1:$BI$1,0))=0,"",INDEX(Raw_매출!$B$2:$BI$155,MATCH($A37,Raw_매출!$A$2:$A$155,0),MATCH(EDATE($E37,AH$1-1),Raw_매출!$B$1:$BI$1,0))/(INDEX(요약_월별시즈널리티!$F$7:$F$18,MONTH(EDATE($E37,AH$1-1)))/100))),"")</f>
        <v>8850379.38035555</v>
      </c>
      <c r="AI37" cm="1">
        <f t="array" ref="AI37">IFERROR(IF($E37&lt;44348,"",IF(INDEX(Raw_매출!$B$2:$BI$155,MATCH($A37,Raw_매출!$A$2:$A$155,0),MATCH(EDATE($E37,AI$1-1),Raw_매출!$B$1:$BI$1,0))=0,"",INDEX(Raw_매출!$B$2:$BI$155,MATCH($A37,Raw_매출!$A$2:$A$155,0),MATCH(EDATE($E37,AI$1-1),Raw_매출!$B$1:$BI$1,0))/(INDEX(요약_월별시즈널리티!$F$7:$F$18,MONTH(EDATE($E37,AI$1-1)))/100))),"")</f>
        <v>8360357.6008218536</v>
      </c>
      <c r="AJ37" cm="1">
        <f t="array" ref="AJ37">IFERROR(IF($E37&lt;44348,"",IF(INDEX(Raw_매출!$B$2:$BI$155,MATCH($A37,Raw_매출!$A$2:$A$155,0),MATCH(EDATE($E37,AJ$1-1),Raw_매출!$B$1:$BI$1,0))=0,"",INDEX(Raw_매출!$B$2:$BI$155,MATCH($A37,Raw_매출!$A$2:$A$155,0),MATCH(EDATE($E37,AJ$1-1),Raw_매출!$B$1:$BI$1,0))/(INDEX(요약_월별시즈널리티!$F$7:$F$18,MONTH(EDATE($E37,AJ$1-1)))/100))),"")</f>
        <v>8497803.9501723256</v>
      </c>
      <c r="AK37" cm="1">
        <f t="array" ref="AK37">IFERROR(IF($E37&lt;44348,"",IF(INDEX(Raw_매출!$B$2:$BI$155,MATCH($A37,Raw_매출!$A$2:$A$155,0),MATCH(EDATE($E37,AK$1-1),Raw_매출!$B$1:$BI$1,0))=0,"",INDEX(Raw_매출!$B$2:$BI$155,MATCH($A37,Raw_매출!$A$2:$A$155,0),MATCH(EDATE($E37,AK$1-1),Raw_매출!$B$1:$BI$1,0))/(INDEX(요약_월별시즈널리티!$F$7:$F$18,MONTH(EDATE($E37,AK$1-1)))/100))),"")</f>
        <v>9070047.1609265562</v>
      </c>
      <c r="AL37" cm="1">
        <f t="array" ref="AL37">IFERROR(IF($E37&lt;44348,"",IF(INDEX(Raw_매출!$B$2:$BI$155,MATCH($A37,Raw_매출!$A$2:$A$155,0),MATCH(EDATE($E37,AL$1-1),Raw_매출!$B$1:$BI$1,0))=0,"",INDEX(Raw_매출!$B$2:$BI$155,MATCH($A37,Raw_매출!$A$2:$A$155,0),MATCH(EDATE($E37,AL$1-1),Raw_매출!$B$1:$BI$1,0))/(INDEX(요약_월별시즈널리티!$F$7:$F$18,MONTH(EDATE($E37,AL$1-1)))/100))),"")</f>
        <v>10199729.201149026</v>
      </c>
      <c r="AM37" cm="1">
        <f t="array" ref="AM37">IFERROR(IF($E37&lt;44348,"",IF(INDEX(Raw_매출!$B$2:$BI$155,MATCH($A37,Raw_매출!$A$2:$A$155,0),MATCH(EDATE($E37,AM$1-1),Raw_매출!$B$1:$BI$1,0))=0,"",INDEX(Raw_매출!$B$2:$BI$155,MATCH($A37,Raw_매출!$A$2:$A$155,0),MATCH(EDATE($E37,AM$1-1),Raw_매출!$B$1:$BI$1,0))/(INDEX(요약_월별시즈널리티!$F$7:$F$18,MONTH(EDATE($E37,AM$1-1)))/100))),"")</f>
        <v>8678346.4100463595</v>
      </c>
      <c r="AN37" cm="1">
        <f t="array" ref="AN37">IFERROR(IF($E37&lt;44348,"",IF(INDEX(Raw_매출!$B$2:$BI$155,MATCH($A37,Raw_매출!$A$2:$A$155,0),MATCH(EDATE($E37,AN$1-1),Raw_매출!$B$1:$BI$1,0))=0,"",INDEX(Raw_매출!$B$2:$BI$155,MATCH($A37,Raw_매출!$A$2:$A$155,0),MATCH(EDATE($E37,AN$1-1),Raw_매출!$B$1:$BI$1,0))/(INDEX(요약_월별시즈널리티!$F$7:$F$18,MONTH(EDATE($E37,AN$1-1)))/100))),"")</f>
        <v>8628123.7078453433</v>
      </c>
      <c r="AO37" cm="1">
        <f t="array" ref="AO37">IFERROR(IF($E37&lt;44348,"",IF(INDEX(Raw_매출!$B$2:$BI$155,MATCH($A37,Raw_매출!$A$2:$A$155,0),MATCH(EDATE($E37,AO$1-1),Raw_매출!$B$1:$BI$1,0))=0,"",INDEX(Raw_매출!$B$2:$BI$155,MATCH($A37,Raw_매출!$A$2:$A$155,0),MATCH(EDATE($E37,AO$1-1),Raw_매출!$B$1:$BI$1,0))/(INDEX(요약_월별시즈널리티!$F$7:$F$18,MONTH(EDATE($E37,AO$1-1)))/100))),"")</f>
        <v>9712668.3090360556</v>
      </c>
      <c r="AP37" cm="1">
        <f t="array" ref="AP37">IFERROR(IF($E37&lt;44348,"",IF(INDEX(Raw_매출!$B$2:$BI$155,MATCH($A37,Raw_매출!$A$2:$A$155,0),MATCH(EDATE($E37,AP$1-1),Raw_매출!$B$1:$BI$1,0))=0,"",INDEX(Raw_매출!$B$2:$BI$155,MATCH($A37,Raw_매출!$A$2:$A$155,0),MATCH(EDATE($E37,AP$1-1),Raw_매출!$B$1:$BI$1,0))/(INDEX(요약_월별시즈널리티!$F$7:$F$18,MONTH(EDATE($E37,AP$1-1)))/100))),"")</f>
        <v>9728108.9988844488</v>
      </c>
      <c r="AQ37" cm="1">
        <f t="array" ref="AQ37">IFERROR(IF($E37&lt;44348,"",IF(INDEX(Raw_매출!$B$2:$BI$155,MATCH($A37,Raw_매출!$A$2:$A$155,0),MATCH(EDATE($E37,AQ$1-1),Raw_매출!$B$1:$BI$1,0))=0,"",INDEX(Raw_매출!$B$2:$BI$155,MATCH($A37,Raw_매출!$A$2:$A$155,0),MATCH(EDATE($E37,AQ$1-1),Raw_매출!$B$1:$BI$1,0))/(INDEX(요약_월별시즈널리티!$F$7:$F$18,MONTH(EDATE($E37,AQ$1-1)))/100))),"")</f>
        <v>9700512.0333694182</v>
      </c>
      <c r="AR37" cm="1">
        <f t="array" ref="AR37">IFERROR(IF($E37&lt;44348,"",IF(INDEX(Raw_매출!$B$2:$BI$155,MATCH($A37,Raw_매출!$A$2:$A$155,0),MATCH(EDATE($E37,AR$1-1),Raw_매출!$B$1:$BI$1,0))=0,"",INDEX(Raw_매출!$B$2:$BI$155,MATCH($A37,Raw_매출!$A$2:$A$155,0),MATCH(EDATE($E37,AR$1-1),Raw_매출!$B$1:$BI$1,0))/(INDEX(요약_월별시즈널리티!$F$7:$F$18,MONTH(EDATE($E37,AR$1-1)))/100))),"")</f>
        <v>9174428.0043951515</v>
      </c>
      <c r="AS37" cm="1">
        <f t="array" ref="AS37">IFERROR(IF($E37&lt;44348,"",IF(INDEX(Raw_매출!$B$2:$BI$155,MATCH($A37,Raw_매출!$A$2:$A$155,0),MATCH(EDATE($E37,AS$1-1),Raw_매출!$B$1:$BI$1,0))=0,"",INDEX(Raw_매출!$B$2:$BI$155,MATCH($A37,Raw_매출!$A$2:$A$155,0),MATCH(EDATE($E37,AS$1-1),Raw_매출!$B$1:$BI$1,0))/(INDEX(요약_월별시즈널리티!$F$7:$F$18,MONTH(EDATE($E37,AS$1-1)))/100))),"")</f>
        <v>8254185.3635266423</v>
      </c>
      <c r="AT37" cm="1">
        <f t="array" ref="AT37">IFERROR(IF($E37&lt;44348,"",IF(INDEX(Raw_매출!$B$2:$BI$155,MATCH($A37,Raw_매출!$A$2:$A$155,0),MATCH(EDATE($E37,AT$1-1),Raw_매출!$B$1:$BI$1,0))=0,"",INDEX(Raw_매출!$B$2:$BI$155,MATCH($A37,Raw_매출!$A$2:$A$155,0),MATCH(EDATE($E37,AT$1-1),Raw_매출!$B$1:$BI$1,0))/(INDEX(요약_월별시즈널리티!$F$7:$F$18,MONTH(EDATE($E37,AT$1-1)))/100))),"")</f>
        <v>7949427.6641955273</v>
      </c>
      <c r="AU37" cm="1">
        <f t="array" ref="AU37">IFERROR(IF($E37&lt;44348,"",IF(INDEX(Raw_매출!$B$2:$BI$155,MATCH($A37,Raw_매출!$A$2:$A$155,0),MATCH(EDATE($E37,AU$1-1),Raw_매출!$B$1:$BI$1,0))=0,"",INDEX(Raw_매출!$B$2:$BI$155,MATCH($A37,Raw_매출!$A$2:$A$155,0),MATCH(EDATE($E37,AU$1-1),Raw_매출!$B$1:$BI$1,0))/(INDEX(요약_월별시즈널리티!$F$7:$F$18,MONTH(EDATE($E37,AU$1-1)))/100))),"")</f>
        <v>8866639.482270645</v>
      </c>
      <c r="AV37" cm="1">
        <f t="array" ref="AV37">IFERROR(IF($E37&lt;44348,"",IF(INDEX(Raw_매출!$B$2:$BI$155,MATCH($A37,Raw_매출!$A$2:$A$155,0),MATCH(EDATE($E37,AV$1-1),Raw_매출!$B$1:$BI$1,0))=0,"",INDEX(Raw_매출!$B$2:$BI$155,MATCH($A37,Raw_매출!$A$2:$A$155,0),MATCH(EDATE($E37,AV$1-1),Raw_매출!$B$1:$BI$1,0))/(INDEX(요약_월별시즈널리티!$F$7:$F$18,MONTH(EDATE($E37,AV$1-1)))/100))),"")</f>
        <v>8487055.0606210921</v>
      </c>
      <c r="AW37" cm="1">
        <f t="array" ref="AW37">IFERROR(IF($E37&lt;44348,"",IF(INDEX(Raw_매출!$B$2:$BI$155,MATCH($A37,Raw_매출!$A$2:$A$155,0),MATCH(EDATE($E37,AW$1-1),Raw_매출!$B$1:$BI$1,0))=0,"",INDEX(Raw_매출!$B$2:$BI$155,MATCH($A37,Raw_매출!$A$2:$A$155,0),MATCH(EDATE($E37,AW$1-1),Raw_매출!$B$1:$BI$1,0))/(INDEX(요약_월별시즈널리티!$F$7:$F$18,MONTH(EDATE($E37,AW$1-1)))/100))),"")</f>
        <v>9052346.5159885082</v>
      </c>
      <c r="AX37" cm="1">
        <f t="array" ref="AX37">IFERROR(IF($E37&lt;44348,"",IF(INDEX(Raw_매출!$B$2:$BI$155,MATCH($A37,Raw_매출!$A$2:$A$155,0),MATCH(EDATE($E37,AX$1-1),Raw_매출!$B$1:$BI$1,0))=0,"",INDEX(Raw_매출!$B$2:$BI$155,MATCH($A37,Raw_매출!$A$2:$A$155,0),MATCH(EDATE($E37,AX$1-1),Raw_매출!$B$1:$BI$1,0))/(INDEX(요약_월별시즈널리티!$F$7:$F$18,MONTH(EDATE($E37,AX$1-1)))/100))),"")</f>
        <v>9494329.6154127363</v>
      </c>
      <c r="AY37" cm="1">
        <f t="array" ref="AY37">IFERROR(IF($E37&lt;44348,"",IF(INDEX(Raw_매출!$B$2:$BI$155,MATCH($A37,Raw_매출!$A$2:$A$155,0),MATCH(EDATE($E37,AY$1-1),Raw_매출!$B$1:$BI$1,0))=0,"",INDEX(Raw_매출!$B$2:$BI$155,MATCH($A37,Raw_매출!$A$2:$A$155,0),MATCH(EDATE($E37,AY$1-1),Raw_매출!$B$1:$BI$1,0))/(INDEX(요약_월별시즈널리티!$F$7:$F$18,MONTH(EDATE($E37,AY$1-1)))/100))),"")</f>
        <v>10726464.672702478</v>
      </c>
      <c r="AZ37" cm="1">
        <f t="array" ref="AZ37">IFERROR(IF($E37&lt;44348,"",IF(INDEX(Raw_매출!$B$2:$BI$155,MATCH($A37,Raw_매출!$A$2:$A$155,0),MATCH(EDATE($E37,AZ$1-1),Raw_매출!$B$1:$BI$1,0))=0,"",INDEX(Raw_매출!$B$2:$BI$155,MATCH($A37,Raw_매출!$A$2:$A$155,0),MATCH(EDATE($E37,AZ$1-1),Raw_매출!$B$1:$BI$1,0))/(INDEX(요약_월별시즈널리티!$F$7:$F$18,MONTH(EDATE($E37,AZ$1-1)))/100))),"")</f>
        <v>9908674.3721150849</v>
      </c>
      <c r="BA37" cm="1">
        <f t="array" ref="BA37">IFERROR(IF($E37&lt;44348,"",IF(INDEX(Raw_매출!$B$2:$BI$155,MATCH($A37,Raw_매출!$A$2:$A$155,0),MATCH(EDATE($E37,BA$1-1),Raw_매출!$B$1:$BI$1,0))=0,"",INDEX(Raw_매출!$B$2:$BI$155,MATCH($A37,Raw_매출!$A$2:$A$155,0),MATCH(EDATE($E37,BA$1-1),Raw_매출!$B$1:$BI$1,0))/(INDEX(요약_월별시즈널리티!$F$7:$F$18,MONTH(EDATE($E37,BA$1-1)))/100))),"")</f>
        <v>8739203.3221429698</v>
      </c>
      <c r="BB37" cm="1">
        <f t="array" ref="BB37">IFERROR(IF($E37&lt;44348,"",IF(INDEX(Raw_매출!$B$2:$BI$155,MATCH($A37,Raw_매출!$A$2:$A$155,0),MATCH(EDATE($E37,BB$1-1),Raw_매출!$B$1:$BI$1,0))=0,"",INDEX(Raw_매출!$B$2:$BI$155,MATCH($A37,Raw_매출!$A$2:$A$155,0),MATCH(EDATE($E37,BB$1-1),Raw_매출!$B$1:$BI$1,0))/(INDEX(요약_월별시즈널리티!$F$7:$F$18,MONTH(EDATE($E37,BB$1-1)))/100))),"")</f>
        <v>9299955.6663600896</v>
      </c>
      <c r="BC37" cm="1">
        <f t="array" ref="BC37">IFERROR(IF($E37&lt;44348,"",IF(INDEX(Raw_매출!$B$2:$BI$155,MATCH($A37,Raw_매출!$A$2:$A$155,0),MATCH(EDATE($E37,BC$1-1),Raw_매출!$B$1:$BI$1,0))=0,"",INDEX(Raw_매출!$B$2:$BI$155,MATCH($A37,Raw_매출!$A$2:$A$155,0),MATCH(EDATE($E37,BC$1-1),Raw_매출!$B$1:$BI$1,0))/(INDEX(요약_월별시즈널리티!$F$7:$F$18,MONTH(EDATE($E37,BC$1-1)))/100))),"")</f>
        <v>9223731.242700737</v>
      </c>
      <c r="BD37" cm="1">
        <f t="array" ref="BD37">IFERROR(IF($E37&lt;44348,"",IF(INDEX(Raw_매출!$B$2:$BI$155,MATCH($A37,Raw_매출!$A$2:$A$155,0),MATCH(EDATE($E37,BD$1-1),Raw_매출!$B$1:$BI$1,0))=0,"",INDEX(Raw_매출!$B$2:$BI$155,MATCH($A37,Raw_매출!$A$2:$A$155,0),MATCH(EDATE($E37,BD$1-1),Raw_매출!$B$1:$BI$1,0))/(INDEX(요약_월별시즈널리티!$F$7:$F$18,MONTH(EDATE($E37,BD$1-1)))/100))),"")</f>
        <v>10327086.019031087</v>
      </c>
      <c r="BE37" cm="1">
        <f t="array" ref="BE37">IFERROR(IF($E37&lt;44348,"",IF(INDEX(Raw_매출!$B$2:$BI$155,MATCH($A37,Raw_매출!$A$2:$A$155,0),MATCH(EDATE($E37,BE$1-1),Raw_매출!$B$1:$BI$1,0))=0,"",INDEX(Raw_매출!$B$2:$BI$155,MATCH($A37,Raw_매출!$A$2:$A$155,0),MATCH(EDATE($E37,BE$1-1),Raw_매출!$B$1:$BI$1,0))/(INDEX(요약_월별시즈널리티!$F$7:$F$18,MONTH(EDATE($E37,BE$1-1)))/100))),"")</f>
        <v>9409253.0289881043</v>
      </c>
      <c r="BF37" cm="1">
        <f t="array" ref="BF37">IFERROR(IF($E37&lt;44348,"",IF(INDEX(Raw_매출!$B$2:$BI$155,MATCH($A37,Raw_매출!$A$2:$A$155,0),MATCH(EDATE($E37,BF$1-1),Raw_매출!$B$1:$BI$1,0))=0,"",INDEX(Raw_매출!$B$2:$BI$155,MATCH($A37,Raw_매출!$A$2:$A$155,0),MATCH(EDATE($E37,BF$1-1),Raw_매출!$B$1:$BI$1,0))/(INDEX(요약_월별시즈널리티!$F$7:$F$18,MONTH(EDATE($E37,BF$1-1)))/100))),"")</f>
        <v>9458604.2899545841</v>
      </c>
      <c r="BG37" cm="1">
        <f t="array" ref="BG37">IFERROR(IF($E37&lt;44348,"",IF(INDEX(Raw_매출!$B$2:$BI$155,MATCH($A37,Raw_매출!$A$2:$A$155,0),MATCH(EDATE($E37,BG$1-1),Raw_매출!$B$1:$BI$1,0))=0,"",INDEX(Raw_매출!$B$2:$BI$155,MATCH($A37,Raw_매출!$A$2:$A$155,0),MATCH(EDATE($E37,BG$1-1),Raw_매출!$B$1:$BI$1,0))/(INDEX(요약_월별시즈널리티!$F$7:$F$18,MONTH(EDATE($E37,BG$1-1)))/100))),"")</f>
        <v>9557101.7621912491</v>
      </c>
      <c r="BH37" cm="1">
        <f t="array" ref="BH37">IFERROR(IF($E37&lt;44348,"",IF(INDEX(Raw_매출!$B$2:$BI$155,MATCH($A37,Raw_매출!$A$2:$A$155,0),MATCH(EDATE($E37,BH$1-1),Raw_매출!$B$1:$BI$1,0))=0,"",INDEX(Raw_매출!$B$2:$BI$155,MATCH($A37,Raw_매출!$A$2:$A$155,0),MATCH(EDATE($E37,BH$1-1),Raw_매출!$B$1:$BI$1,0))/(INDEX(요약_월별시즈널리티!$F$7:$F$18,MONTH(EDATE($E37,BH$1-1)))/100))),"")</f>
        <v>10673611.732025454</v>
      </c>
      <c r="BI37" cm="1">
        <f t="array" ref="BI37">IFERROR(IF($E37&lt;44348,"",IF(INDEX(Raw_매출!$B$2:$BI$155,MATCH($A37,Raw_매출!$A$2:$A$155,0),MATCH(EDATE($E37,BI$1-1),Raw_매출!$B$1:$BI$1,0))=0,"",INDEX(Raw_매출!$B$2:$BI$155,MATCH($A37,Raw_매출!$A$2:$A$155,0),MATCH(EDATE($E37,BI$1-1),Raw_매출!$B$1:$BI$1,0))/(INDEX(요약_월별시즈널리티!$F$7:$F$18,MONTH(EDATE($E37,BI$1-1)))/100))),"")</f>
        <v>10136799.168477831</v>
      </c>
      <c r="BJ37" cm="1">
        <f t="array" ref="BJ37">IFERROR(IF($E37&lt;44348,"",IF(INDEX(Raw_매출!$B$2:$BI$155,MATCH($A37,Raw_매출!$A$2:$A$155,0),MATCH(EDATE($E37,BJ$1-1),Raw_매출!$B$1:$BI$1,0))=0,"",INDEX(Raw_매출!$B$2:$BI$155,MATCH($A37,Raw_매출!$A$2:$A$155,0),MATCH(EDATE($E37,BJ$1-1),Raw_매출!$B$1:$BI$1,0))/(INDEX(요약_월별시즈널리티!$F$7:$F$18,MONTH(EDATE($E37,BJ$1-1)))/100))),"")</f>
        <v>9665241.683217654</v>
      </c>
      <c r="BK37" cm="1">
        <f t="array" ref="BK37">IFERROR(IF($E37&lt;44348,"",IF(INDEX(Raw_매출!$B$2:$BI$155,MATCH($A37,Raw_매출!$A$2:$A$155,0),MATCH(EDATE($E37,BK$1-1),Raw_매출!$B$1:$BI$1,0))=0,"",INDEX(Raw_매출!$B$2:$BI$155,MATCH($A37,Raw_매출!$A$2:$A$155,0),MATCH(EDATE($E37,BK$1-1),Raw_매출!$B$1:$BI$1,0))/(INDEX(요약_월별시즈널리티!$F$7:$F$18,MONTH(EDATE($E37,BK$1-1)))/100))),"")</f>
        <v>9595104.3556800392</v>
      </c>
      <c r="BL37" t="str" cm="1">
        <f t="array" ref="BL37">IFERROR(IF($E37&lt;44348,"",IF(INDEX(Raw_매출!$B$2:$BI$155,MATCH($A37,Raw_매출!$A$2:$A$155,0),MATCH(EDATE($E37,BL$1-1),Raw_매출!$B$1:$BI$1,0))=0,"",INDEX(Raw_매출!$B$2:$BI$155,MATCH($A37,Raw_매출!$A$2:$A$155,0),MATCH(EDATE($E37,BL$1-1),Raw_매출!$B$1:$BI$1,0))/(INDEX(요약_월별시즈널리티!$F$7:$F$18,MONTH(EDATE($E37,BL$1-1)))/100))),"")</f>
        <v/>
      </c>
      <c r="BM37" t="str" cm="1">
        <f t="array" ref="BM37">IFERROR(IF($E37&lt;44348,"",IF(INDEX(Raw_매출!$B$2:$BI$155,MATCH($A37,Raw_매출!$A$2:$A$155,0),MATCH(EDATE($E37,BM$1-1),Raw_매출!$B$1:$BI$1,0))=0,"",INDEX(Raw_매출!$B$2:$BI$155,MATCH($A37,Raw_매출!$A$2:$A$155,0),MATCH(EDATE($E37,BM$1-1),Raw_매출!$B$1:$BI$1,0))/(INDEX(요약_월별시즈널리티!$F$7:$F$18,MONTH(EDATE($E37,BM$1-1)))/100))),"")</f>
        <v/>
      </c>
      <c r="BN37" t="str" cm="1">
        <f t="array" ref="BN37">IFERROR(IF($E37&lt;44348,"",IF(INDEX(Raw_매출!$B$2:$BI$155,MATCH($A37,Raw_매출!$A$2:$A$155,0),MATCH(EDATE($E37,BN$1-1),Raw_매출!$B$1:$BI$1,0))=0,"",INDEX(Raw_매출!$B$2:$BI$155,MATCH($A37,Raw_매출!$A$2:$A$155,0),MATCH(EDATE($E37,BN$1-1),Raw_매출!$B$1:$BI$1,0))/(INDEX(요약_월별시즈널리티!$F$7:$F$18,MONTH(EDATE($E37,BN$1-1)))/100))),"")</f>
        <v/>
      </c>
    </row>
    <row r="38" spans="1:66" x14ac:dyDescent="0.4">
      <c r="A38" t="str">
        <f>세팅!A39</f>
        <v>(1026) #신촌점</v>
      </c>
      <c r="B38" t="str">
        <f>세팅!B39</f>
        <v>150-1</v>
      </c>
      <c r="C38">
        <f t="shared" si="0"/>
        <v>1</v>
      </c>
      <c r="D38" t="str">
        <f t="shared" si="1"/>
        <v>1</v>
      </c>
      <c r="E38" s="1">
        <f>세팅!D39</f>
        <v>44409</v>
      </c>
      <c r="F38">
        <f>IF(COUNT(J38:O38)&gt;=4,AVERAGE(J38:O38),"")</f>
        <v>5006620.6689663632</v>
      </c>
      <c r="G38" cm="1">
        <f t="array" ref="G38">IFERROR(IF($E38&lt;44348,"",IF(INDEX(Raw_매출!$B$2:$BI$155,MATCH($A38,Raw_매출!$A$2:$A$155,0),MATCH(EDATE($E38,G$1-1),Raw_매출!$B$1:$BI$1,0))=0,"",INDEX(Raw_매출!$B$2:$BI$155,MATCH($A38,Raw_매출!$A$2:$A$155,0),MATCH(EDATE($E38,G$1-1),Raw_매출!$B$1:$BI$1,0))/(INDEX(요약_월별시즈널리티!$F$7:$F$18,MONTH(EDATE($E38,G$1-1)))/100))),"")</f>
        <v>3646128.732057835</v>
      </c>
      <c r="H38" cm="1">
        <f t="array" ref="H38">IFERROR(IF($E38&lt;44348,"",IF(INDEX(Raw_매출!$B$2:$BI$155,MATCH($A38,Raw_매출!$A$2:$A$155,0),MATCH(EDATE($E38,H$1-1),Raw_매출!$B$1:$BI$1,0))=0,"",INDEX(Raw_매출!$B$2:$BI$155,MATCH($A38,Raw_매출!$A$2:$A$155,0),MATCH(EDATE($E38,H$1-1),Raw_매출!$B$1:$BI$1,0))/(INDEX(요약_월별시즈널리티!$F$7:$F$18,MONTH(EDATE($E38,H$1-1)))/100))),"")</f>
        <v>4221982.4419520414</v>
      </c>
      <c r="I38" cm="1">
        <f t="array" ref="I38">IFERROR(IF($E38&lt;44348,"",IF(INDEX(Raw_매출!$B$2:$BI$155,MATCH($A38,Raw_매출!$A$2:$A$155,0),MATCH(EDATE($E38,I$1-1),Raw_매출!$B$1:$BI$1,0))=0,"",INDEX(Raw_매출!$B$2:$BI$155,MATCH($A38,Raw_매출!$A$2:$A$155,0),MATCH(EDATE($E38,I$1-1),Raw_매출!$B$1:$BI$1,0))/(INDEX(요약_월별시즈널리티!$F$7:$F$18,MONTH(EDATE($E38,I$1-1)))/100))),"")</f>
        <v>4036695.0322304708</v>
      </c>
      <c r="J38" s="30" cm="1">
        <f t="array" ref="J38">IFERROR(IF($E38&lt;44348,"",IF(INDEX(Raw_매출!$B$2:$BI$155,MATCH($A38,Raw_매출!$A$2:$A$155,0),MATCH(EDATE($E38,J$1-1),Raw_매출!$B$1:$BI$1,0))=0,"",INDEX(Raw_매출!$B$2:$BI$155,MATCH($A38,Raw_매출!$A$2:$A$155,0),MATCH(EDATE($E38,J$1-1),Raw_매출!$B$1:$BI$1,0))/(INDEX(요약_월별시즈널리티!$F$7:$F$18,MONTH(EDATE($E38,J$1-1)))/100))),"")</f>
        <v>3837867.1269733668</v>
      </c>
      <c r="K38" s="30" cm="1">
        <f t="array" ref="K38">IFERROR(IF($E38&lt;44348,"",IF(INDEX(Raw_매출!$B$2:$BI$155,MATCH($A38,Raw_매출!$A$2:$A$155,0),MATCH(EDATE($E38,K$1-1),Raw_매출!$B$1:$BI$1,0))=0,"",INDEX(Raw_매출!$B$2:$BI$155,MATCH($A38,Raw_매출!$A$2:$A$155,0),MATCH(EDATE($E38,K$1-1),Raw_매출!$B$1:$BI$1,0))/(INDEX(요약_월별시즈널리티!$F$7:$F$18,MONTH(EDATE($E38,K$1-1)))/100))),"")</f>
        <v>4311739.6652731709</v>
      </c>
      <c r="L38" s="30" cm="1">
        <f t="array" ref="L38">IFERROR(IF($E38&lt;44348,"",IF(INDEX(Raw_매출!$B$2:$BI$155,MATCH($A38,Raw_매출!$A$2:$A$155,0),MATCH(EDATE($E38,L$1-1),Raw_매출!$B$1:$BI$1,0))=0,"",INDEX(Raw_매출!$B$2:$BI$155,MATCH($A38,Raw_매출!$A$2:$A$155,0),MATCH(EDATE($E38,L$1-1),Raw_매출!$B$1:$BI$1,0))/(INDEX(요약_월별시즈널리티!$F$7:$F$18,MONTH(EDATE($E38,L$1-1)))/100))),"")</f>
        <v>4949889.4039970236</v>
      </c>
      <c r="M38" s="30" cm="1">
        <f t="array" ref="M38">IFERROR(IF($E38&lt;44348,"",IF(INDEX(Raw_매출!$B$2:$BI$155,MATCH($A38,Raw_매출!$A$2:$A$155,0),MATCH(EDATE($E38,M$1-1),Raw_매출!$B$1:$BI$1,0))=0,"",INDEX(Raw_매출!$B$2:$BI$155,MATCH($A38,Raw_매출!$A$2:$A$155,0),MATCH(EDATE($E38,M$1-1),Raw_매출!$B$1:$BI$1,0))/(INDEX(요약_월별시즈널리티!$F$7:$F$18,MONTH(EDATE($E38,M$1-1)))/100))),"")</f>
        <v>5704860.4202104583</v>
      </c>
      <c r="N38" s="30" cm="1">
        <f t="array" ref="N38">IFERROR(IF($E38&lt;44348,"",IF(INDEX(Raw_매출!$B$2:$BI$155,MATCH($A38,Raw_매출!$A$2:$A$155,0),MATCH(EDATE($E38,N$1-1),Raw_매출!$B$1:$BI$1,0))=0,"",INDEX(Raw_매출!$B$2:$BI$155,MATCH($A38,Raw_매출!$A$2:$A$155,0),MATCH(EDATE($E38,N$1-1),Raw_매출!$B$1:$BI$1,0))/(INDEX(요약_월별시즈널리티!$F$7:$F$18,MONTH(EDATE($E38,N$1-1)))/100))),"")</f>
        <v>5297123.8191636773</v>
      </c>
      <c r="O38" s="30" cm="1">
        <f t="array" ref="O38">IFERROR(IF($E38&lt;44348,"",IF(INDEX(Raw_매출!$B$2:$BI$155,MATCH($A38,Raw_매출!$A$2:$A$155,0),MATCH(EDATE($E38,O$1-1),Raw_매출!$B$1:$BI$1,0))=0,"",INDEX(Raw_매출!$B$2:$BI$155,MATCH($A38,Raw_매출!$A$2:$A$155,0),MATCH(EDATE($E38,O$1-1),Raw_매출!$B$1:$BI$1,0))/(INDEX(요약_월별시즈널리티!$F$7:$F$18,MONTH(EDATE($E38,O$1-1)))/100))),"")</f>
        <v>5938243.5781804817</v>
      </c>
      <c r="P38" cm="1">
        <f t="array" ref="P38">IFERROR(IF($E38&lt;44348,"",IF(INDEX(Raw_매출!$B$2:$BI$155,MATCH($A38,Raw_매출!$A$2:$A$155,0),MATCH(EDATE($E38,P$1-1),Raw_매출!$B$1:$BI$1,0))=0,"",INDEX(Raw_매출!$B$2:$BI$155,MATCH($A38,Raw_매출!$A$2:$A$155,0),MATCH(EDATE($E38,P$1-1),Raw_매출!$B$1:$BI$1,0))/(INDEX(요약_월별시즈널리티!$F$7:$F$18,MONTH(EDATE($E38,P$1-1)))/100))),"")</f>
        <v>6113586.1302626105</v>
      </c>
      <c r="Q38" cm="1">
        <f t="array" ref="Q38">IFERROR(IF($E38&lt;44348,"",IF(INDEX(Raw_매출!$B$2:$BI$155,MATCH($A38,Raw_매출!$A$2:$A$155,0),MATCH(EDATE($E38,Q$1-1),Raw_매출!$B$1:$BI$1,0))=0,"",INDEX(Raw_매출!$B$2:$BI$155,MATCH($A38,Raw_매출!$A$2:$A$155,0),MATCH(EDATE($E38,Q$1-1),Raw_매출!$B$1:$BI$1,0))/(INDEX(요약_월별시즈널리티!$F$7:$F$18,MONTH(EDATE($E38,Q$1-1)))/100))),"")</f>
        <v>6944906.0611579353</v>
      </c>
      <c r="R38" cm="1">
        <f t="array" ref="R38">IFERROR(IF($E38&lt;44348,"",IF(INDEX(Raw_매출!$B$2:$BI$155,MATCH($A38,Raw_매출!$A$2:$A$155,0),MATCH(EDATE($E38,R$1-1),Raw_매출!$B$1:$BI$1,0))=0,"",INDEX(Raw_매출!$B$2:$BI$155,MATCH($A38,Raw_매출!$A$2:$A$155,0),MATCH(EDATE($E38,R$1-1),Raw_매출!$B$1:$BI$1,0))/(INDEX(요약_월별시즈널리티!$F$7:$F$18,MONTH(EDATE($E38,R$1-1)))/100))),"")</f>
        <v>7274835.9370253794</v>
      </c>
      <c r="S38" cm="1">
        <f t="array" ref="S38">IFERROR(IF($E38&lt;44348,"",IF(INDEX(Raw_매출!$B$2:$BI$155,MATCH($A38,Raw_매출!$A$2:$A$155,0),MATCH(EDATE($E38,S$1-1),Raw_매출!$B$1:$BI$1,0))=0,"",INDEX(Raw_매출!$B$2:$BI$155,MATCH($A38,Raw_매출!$A$2:$A$155,0),MATCH(EDATE($E38,S$1-1),Raw_매출!$B$1:$BI$1,0))/(INDEX(요약_월별시즈널리티!$F$7:$F$18,MONTH(EDATE($E38,S$1-1)))/100))),"")</f>
        <v>7933639.7994643552</v>
      </c>
      <c r="T38" cm="1">
        <f t="array" ref="T38">IFERROR(IF($E38&lt;44348,"",IF(INDEX(Raw_매출!$B$2:$BI$155,MATCH($A38,Raw_매출!$A$2:$A$155,0),MATCH(EDATE($E38,T$1-1),Raw_매출!$B$1:$BI$1,0))=0,"",INDEX(Raw_매출!$B$2:$BI$155,MATCH($A38,Raw_매출!$A$2:$A$155,0),MATCH(EDATE($E38,T$1-1),Raw_매출!$B$1:$BI$1,0))/(INDEX(요약_월별시즈널리티!$F$7:$F$18,MONTH(EDATE($E38,T$1-1)))/100))),"")</f>
        <v>7934194.8615790643</v>
      </c>
      <c r="U38" cm="1">
        <f t="array" ref="U38">IFERROR(IF($E38&lt;44348,"",IF(INDEX(Raw_매출!$B$2:$BI$155,MATCH($A38,Raw_매출!$A$2:$A$155,0),MATCH(EDATE($E38,U$1-1),Raw_매출!$B$1:$BI$1,0))=0,"",INDEX(Raw_매출!$B$2:$BI$155,MATCH($A38,Raw_매출!$A$2:$A$155,0),MATCH(EDATE($E38,U$1-1),Raw_매출!$B$1:$BI$1,0))/(INDEX(요약_월별시즈널리티!$F$7:$F$18,MONTH(EDATE($E38,U$1-1)))/100))),"")</f>
        <v>7302506.0596560529</v>
      </c>
      <c r="V38" cm="1">
        <f t="array" ref="V38">IFERROR(IF($E38&lt;44348,"",IF(INDEX(Raw_매출!$B$2:$BI$155,MATCH($A38,Raw_매출!$A$2:$A$155,0),MATCH(EDATE($E38,V$1-1),Raw_매출!$B$1:$BI$1,0))=0,"",INDEX(Raw_매출!$B$2:$BI$155,MATCH($A38,Raw_매출!$A$2:$A$155,0),MATCH(EDATE($E38,V$1-1),Raw_매출!$B$1:$BI$1,0))/(INDEX(요약_월별시즈널리티!$F$7:$F$18,MONTH(EDATE($E38,V$1-1)))/100))),"")</f>
        <v>7607923.0020598751</v>
      </c>
      <c r="W38" cm="1">
        <f t="array" ref="W38">IFERROR(IF($E38&lt;44348,"",IF(INDEX(Raw_매출!$B$2:$BI$155,MATCH($A38,Raw_매출!$A$2:$A$155,0),MATCH(EDATE($E38,W$1-1),Raw_매출!$B$1:$BI$1,0))=0,"",INDEX(Raw_매출!$B$2:$BI$155,MATCH($A38,Raw_매출!$A$2:$A$155,0),MATCH(EDATE($E38,W$1-1),Raw_매출!$B$1:$BI$1,0))/(INDEX(요약_월별시즈널리티!$F$7:$F$18,MONTH(EDATE($E38,W$1-1)))/100))),"")</f>
        <v>7361138.5262678647</v>
      </c>
      <c r="X38" cm="1">
        <f t="array" ref="X38">IFERROR(IF($E38&lt;44348,"",IF(INDEX(Raw_매출!$B$2:$BI$155,MATCH($A38,Raw_매출!$A$2:$A$155,0),MATCH(EDATE($E38,X$1-1),Raw_매출!$B$1:$BI$1,0))=0,"",INDEX(Raw_매출!$B$2:$BI$155,MATCH($A38,Raw_매출!$A$2:$A$155,0),MATCH(EDATE($E38,X$1-1),Raw_매출!$B$1:$BI$1,0))/(INDEX(요약_월별시즈널리티!$F$7:$F$18,MONTH(EDATE($E38,X$1-1)))/100))),"")</f>
        <v>7924392.9525007065</v>
      </c>
      <c r="Y38" cm="1">
        <f t="array" ref="Y38">IFERROR(IF($E38&lt;44348,"",IF(INDEX(Raw_매출!$B$2:$BI$155,MATCH($A38,Raw_매출!$A$2:$A$155,0),MATCH(EDATE($E38,Y$1-1),Raw_매출!$B$1:$BI$1,0))=0,"",INDEX(Raw_매출!$B$2:$BI$155,MATCH($A38,Raw_매출!$A$2:$A$155,0),MATCH(EDATE($E38,Y$1-1),Raw_매출!$B$1:$BI$1,0))/(INDEX(요약_월별시즈널리티!$F$7:$F$18,MONTH(EDATE($E38,Y$1-1)))/100))),"")</f>
        <v>7479139.0431541493</v>
      </c>
      <c r="Z38" cm="1">
        <f t="array" ref="Z38">IFERROR(IF($E38&lt;44348,"",IF(INDEX(Raw_매출!$B$2:$BI$155,MATCH($A38,Raw_매출!$A$2:$A$155,0),MATCH(EDATE($E38,Z$1-1),Raw_매출!$B$1:$BI$1,0))=0,"",INDEX(Raw_매출!$B$2:$BI$155,MATCH($A38,Raw_매출!$A$2:$A$155,0),MATCH(EDATE($E38,Z$1-1),Raw_매출!$B$1:$BI$1,0))/(INDEX(요약_월별시즈널리티!$F$7:$F$18,MONTH(EDATE($E38,Z$1-1)))/100))),"")</f>
        <v>7566716.978836433</v>
      </c>
      <c r="AA38" cm="1">
        <f t="array" ref="AA38">IFERROR(IF($E38&lt;44348,"",IF(INDEX(Raw_매출!$B$2:$BI$155,MATCH($A38,Raw_매출!$A$2:$A$155,0),MATCH(EDATE($E38,AA$1-1),Raw_매출!$B$1:$BI$1,0))=0,"",INDEX(Raw_매출!$B$2:$BI$155,MATCH($A38,Raw_매출!$A$2:$A$155,0),MATCH(EDATE($E38,AA$1-1),Raw_매출!$B$1:$BI$1,0))/(INDEX(요약_월별시즈널리티!$F$7:$F$18,MONTH(EDATE($E38,AA$1-1)))/100))),"")</f>
        <v>7063011.4093540646</v>
      </c>
      <c r="AB38" cm="1">
        <f t="array" ref="AB38">IFERROR(IF($E38&lt;44348,"",IF(INDEX(Raw_매출!$B$2:$BI$155,MATCH($A38,Raw_매출!$A$2:$A$155,0),MATCH(EDATE($E38,AB$1-1),Raw_매출!$B$1:$BI$1,0))=0,"",INDEX(Raw_매출!$B$2:$BI$155,MATCH($A38,Raw_매출!$A$2:$A$155,0),MATCH(EDATE($E38,AB$1-1),Raw_매출!$B$1:$BI$1,0))/(INDEX(요약_월별시즈널리티!$F$7:$F$18,MONTH(EDATE($E38,AB$1-1)))/100))),"")</f>
        <v>7924210.5957476543</v>
      </c>
      <c r="AC38" cm="1">
        <f t="array" ref="AC38">IFERROR(IF($E38&lt;44348,"",IF(INDEX(Raw_매출!$B$2:$BI$155,MATCH($A38,Raw_매출!$A$2:$A$155,0),MATCH(EDATE($E38,AC$1-1),Raw_매출!$B$1:$BI$1,0))=0,"",INDEX(Raw_매출!$B$2:$BI$155,MATCH($A38,Raw_매출!$A$2:$A$155,0),MATCH(EDATE($E38,AC$1-1),Raw_매출!$B$1:$BI$1,0))/(INDEX(요약_월별시즈널리티!$F$7:$F$18,MONTH(EDATE($E38,AC$1-1)))/100))),"")</f>
        <v>7841975.4801639551</v>
      </c>
      <c r="AD38" cm="1">
        <f t="array" ref="AD38">IFERROR(IF($E38&lt;44348,"",IF(INDEX(Raw_매출!$B$2:$BI$155,MATCH($A38,Raw_매출!$A$2:$A$155,0),MATCH(EDATE($E38,AD$1-1),Raw_매출!$B$1:$BI$1,0))=0,"",INDEX(Raw_매출!$B$2:$BI$155,MATCH($A38,Raw_매출!$A$2:$A$155,0),MATCH(EDATE($E38,AD$1-1),Raw_매출!$B$1:$BI$1,0))/(INDEX(요약_월별시즈널리티!$F$7:$F$18,MONTH(EDATE($E38,AD$1-1)))/100))),"")</f>
        <v>9589223.8427341301</v>
      </c>
      <c r="AE38" cm="1">
        <f t="array" ref="AE38">IFERROR(IF($E38&lt;44348,"",IF(INDEX(Raw_매출!$B$2:$BI$155,MATCH($A38,Raw_매출!$A$2:$A$155,0),MATCH(EDATE($E38,AE$1-1),Raw_매출!$B$1:$BI$1,0))=0,"",INDEX(Raw_매출!$B$2:$BI$155,MATCH($A38,Raw_매출!$A$2:$A$155,0),MATCH(EDATE($E38,AE$1-1),Raw_매출!$B$1:$BI$1,0))/(INDEX(요약_월별시즈널리티!$F$7:$F$18,MONTH(EDATE($E38,AE$1-1)))/100))),"")</f>
        <v>8641963.0474603567</v>
      </c>
      <c r="AF38" cm="1">
        <f t="array" ref="AF38">IFERROR(IF($E38&lt;44348,"",IF(INDEX(Raw_매출!$B$2:$BI$155,MATCH($A38,Raw_매출!$A$2:$A$155,0),MATCH(EDATE($E38,AF$1-1),Raw_매출!$B$1:$BI$1,0))=0,"",INDEX(Raw_매출!$B$2:$BI$155,MATCH($A38,Raw_매출!$A$2:$A$155,0),MATCH(EDATE($E38,AF$1-1),Raw_매출!$B$1:$BI$1,0))/(INDEX(요약_월별시즈널리티!$F$7:$F$18,MONTH(EDATE($E38,AF$1-1)))/100))),"")</f>
        <v>8661196.4275084957</v>
      </c>
      <c r="AG38" cm="1">
        <f t="array" ref="AG38">IFERROR(IF($E38&lt;44348,"",IF(INDEX(Raw_매출!$B$2:$BI$155,MATCH($A38,Raw_매출!$A$2:$A$155,0),MATCH(EDATE($E38,AG$1-1),Raw_매출!$B$1:$BI$1,0))=0,"",INDEX(Raw_매출!$B$2:$BI$155,MATCH($A38,Raw_매출!$A$2:$A$155,0),MATCH(EDATE($E38,AG$1-1),Raw_매출!$B$1:$BI$1,0))/(INDEX(요약_월별시즈널리티!$F$7:$F$18,MONTH(EDATE($E38,AG$1-1)))/100))),"")</f>
        <v>8138436.3761221245</v>
      </c>
      <c r="AH38" cm="1">
        <f t="array" ref="AH38">IFERROR(IF($E38&lt;44348,"",IF(INDEX(Raw_매출!$B$2:$BI$155,MATCH($A38,Raw_매출!$A$2:$A$155,0),MATCH(EDATE($E38,AH$1-1),Raw_매출!$B$1:$BI$1,0))=0,"",INDEX(Raw_매출!$B$2:$BI$155,MATCH($A38,Raw_매출!$A$2:$A$155,0),MATCH(EDATE($E38,AH$1-1),Raw_매출!$B$1:$BI$1,0))/(INDEX(요약_월별시즈널리티!$F$7:$F$18,MONTH(EDATE($E38,AH$1-1)))/100))),"")</f>
        <v>8246597.4189104075</v>
      </c>
      <c r="AI38" cm="1">
        <f t="array" ref="AI38">IFERROR(IF($E38&lt;44348,"",IF(INDEX(Raw_매출!$B$2:$BI$155,MATCH($A38,Raw_매출!$A$2:$A$155,0),MATCH(EDATE($E38,AI$1-1),Raw_매출!$B$1:$BI$1,0))=0,"",INDEX(Raw_매출!$B$2:$BI$155,MATCH($A38,Raw_매출!$A$2:$A$155,0),MATCH(EDATE($E38,AI$1-1),Raw_매출!$B$1:$BI$1,0))/(INDEX(요약_월별시즈널리티!$F$7:$F$18,MONTH(EDATE($E38,AI$1-1)))/100))),"")</f>
        <v>7843022.9022893496</v>
      </c>
      <c r="AJ38" cm="1">
        <f t="array" ref="AJ38">IFERROR(IF($E38&lt;44348,"",IF(INDEX(Raw_매출!$B$2:$BI$155,MATCH($A38,Raw_매출!$A$2:$A$155,0),MATCH(EDATE($E38,AJ$1-1),Raw_매출!$B$1:$BI$1,0))=0,"",INDEX(Raw_매출!$B$2:$BI$155,MATCH($A38,Raw_매출!$A$2:$A$155,0),MATCH(EDATE($E38,AJ$1-1),Raw_매출!$B$1:$BI$1,0))/(INDEX(요약_월별시즈널리티!$F$7:$F$18,MONTH(EDATE($E38,AJ$1-1)))/100))),"")</f>
        <v>7475894.0184431672</v>
      </c>
      <c r="AK38" cm="1">
        <f t="array" ref="AK38">IFERROR(IF($E38&lt;44348,"",IF(INDEX(Raw_매출!$B$2:$BI$155,MATCH($A38,Raw_매출!$A$2:$A$155,0),MATCH(EDATE($E38,AK$1-1),Raw_매출!$B$1:$BI$1,0))=0,"",INDEX(Raw_매출!$B$2:$BI$155,MATCH($A38,Raw_매출!$A$2:$A$155,0),MATCH(EDATE($E38,AK$1-1),Raw_매출!$B$1:$BI$1,0))/(INDEX(요약_월별시즈널리티!$F$7:$F$18,MONTH(EDATE($E38,AK$1-1)))/100))),"")</f>
        <v>8192421.5913988678</v>
      </c>
      <c r="AL38" cm="1">
        <f t="array" ref="AL38">IFERROR(IF($E38&lt;44348,"",IF(INDEX(Raw_매출!$B$2:$BI$155,MATCH($A38,Raw_매출!$A$2:$A$155,0),MATCH(EDATE($E38,AL$1-1),Raw_매출!$B$1:$BI$1,0))=0,"",INDEX(Raw_매출!$B$2:$BI$155,MATCH($A38,Raw_매출!$A$2:$A$155,0),MATCH(EDATE($E38,AL$1-1),Raw_매출!$B$1:$BI$1,0))/(INDEX(요약_월별시즈널리티!$F$7:$F$18,MONTH(EDATE($E38,AL$1-1)))/100))),"")</f>
        <v>8319087.008357225</v>
      </c>
      <c r="AM38" cm="1">
        <f t="array" ref="AM38">IFERROR(IF($E38&lt;44348,"",IF(INDEX(Raw_매출!$B$2:$BI$155,MATCH($A38,Raw_매출!$A$2:$A$155,0),MATCH(EDATE($E38,AM$1-1),Raw_매출!$B$1:$BI$1,0))=0,"",INDEX(Raw_매출!$B$2:$BI$155,MATCH($A38,Raw_매출!$A$2:$A$155,0),MATCH(EDATE($E38,AM$1-1),Raw_매출!$B$1:$BI$1,0))/(INDEX(요약_월별시즈널리티!$F$7:$F$18,MONTH(EDATE($E38,AM$1-1)))/100))),"")</f>
        <v>8577966.1130831912</v>
      </c>
      <c r="AN38" cm="1">
        <f t="array" ref="AN38">IFERROR(IF($E38&lt;44348,"",IF(INDEX(Raw_매출!$B$2:$BI$155,MATCH($A38,Raw_매출!$A$2:$A$155,0),MATCH(EDATE($E38,AN$1-1),Raw_매출!$B$1:$BI$1,0))=0,"",INDEX(Raw_매출!$B$2:$BI$155,MATCH($A38,Raw_매출!$A$2:$A$155,0),MATCH(EDATE($E38,AN$1-1),Raw_매출!$B$1:$BI$1,0))/(INDEX(요약_월별시즈널리티!$F$7:$F$18,MONTH(EDATE($E38,AN$1-1)))/100))),"")</f>
        <v>7842780.8970692726</v>
      </c>
      <c r="AO38" cm="1">
        <f t="array" ref="AO38">IFERROR(IF($E38&lt;44348,"",IF(INDEX(Raw_매출!$B$2:$BI$155,MATCH($A38,Raw_매출!$A$2:$A$155,0),MATCH(EDATE($E38,AO$1-1),Raw_매출!$B$1:$BI$1,0))=0,"",INDEX(Raw_매출!$B$2:$BI$155,MATCH($A38,Raw_매출!$A$2:$A$155,0),MATCH(EDATE($E38,AO$1-1),Raw_매출!$B$1:$BI$1,0))/(INDEX(요약_월별시즈널리티!$F$7:$F$18,MONTH(EDATE($E38,AO$1-1)))/100))),"")</f>
        <v>8247794.6830876479</v>
      </c>
      <c r="AP38" cm="1">
        <f t="array" ref="AP38">IFERROR(IF($E38&lt;44348,"",IF(INDEX(Raw_매출!$B$2:$BI$155,MATCH($A38,Raw_매출!$A$2:$A$155,0),MATCH(EDATE($E38,AP$1-1),Raw_매출!$B$1:$BI$1,0))=0,"",INDEX(Raw_매출!$B$2:$BI$155,MATCH($A38,Raw_매출!$A$2:$A$155,0),MATCH(EDATE($E38,AP$1-1),Raw_매출!$B$1:$BI$1,0))/(INDEX(요약_월별시즈널리티!$F$7:$F$18,MONTH(EDATE($E38,AP$1-1)))/100))),"")</f>
        <v>8627251.1707273778</v>
      </c>
      <c r="AQ38" cm="1">
        <f t="array" ref="AQ38">IFERROR(IF($E38&lt;44348,"",IF(INDEX(Raw_매출!$B$2:$BI$155,MATCH($A38,Raw_매출!$A$2:$A$155,0),MATCH(EDATE($E38,AQ$1-1),Raw_매출!$B$1:$BI$1,0))=0,"",INDEX(Raw_매출!$B$2:$BI$155,MATCH($A38,Raw_매출!$A$2:$A$155,0),MATCH(EDATE($E38,AQ$1-1),Raw_매출!$B$1:$BI$1,0))/(INDEX(요약_월별시즈널리티!$F$7:$F$18,MONTH(EDATE($E38,AQ$1-1)))/100))),"")</f>
        <v>8801441.3687050398</v>
      </c>
      <c r="AR38" cm="1">
        <f t="array" ref="AR38">IFERROR(IF($E38&lt;44348,"",IF(INDEX(Raw_매출!$B$2:$BI$155,MATCH($A38,Raw_매출!$A$2:$A$155,0),MATCH(EDATE($E38,AR$1-1),Raw_매출!$B$1:$BI$1,0))=0,"",INDEX(Raw_매출!$B$2:$BI$155,MATCH($A38,Raw_매출!$A$2:$A$155,0),MATCH(EDATE($E38,AR$1-1),Raw_매출!$B$1:$BI$1,0))/(INDEX(요약_월별시즈널리티!$F$7:$F$18,MONTH(EDATE($E38,AR$1-1)))/100))),"")</f>
        <v>8021566.8865653351</v>
      </c>
      <c r="AS38" cm="1">
        <f t="array" ref="AS38">IFERROR(IF($E38&lt;44348,"",IF(INDEX(Raw_매출!$B$2:$BI$155,MATCH($A38,Raw_매출!$A$2:$A$155,0),MATCH(EDATE($E38,AS$1-1),Raw_매출!$B$1:$BI$1,0))=0,"",INDEX(Raw_매출!$B$2:$BI$155,MATCH($A38,Raw_매출!$A$2:$A$155,0),MATCH(EDATE($E38,AS$1-1),Raw_매출!$B$1:$BI$1,0))/(INDEX(요약_월별시즈널리티!$F$7:$F$18,MONTH(EDATE($E38,AS$1-1)))/100))),"")</f>
        <v>8106851.8457490718</v>
      </c>
      <c r="AT38" cm="1">
        <f t="array" ref="AT38">IFERROR(IF($E38&lt;44348,"",IF(INDEX(Raw_매출!$B$2:$BI$155,MATCH($A38,Raw_매출!$A$2:$A$155,0),MATCH(EDATE($E38,AT$1-1),Raw_매출!$B$1:$BI$1,0))=0,"",INDEX(Raw_매출!$B$2:$BI$155,MATCH($A38,Raw_매출!$A$2:$A$155,0),MATCH(EDATE($E38,AT$1-1),Raw_매출!$B$1:$BI$1,0))/(INDEX(요약_월별시즈널리티!$F$7:$F$18,MONTH(EDATE($E38,AT$1-1)))/100))),"")</f>
        <v>8260159.6692877794</v>
      </c>
      <c r="AU38" cm="1">
        <f t="array" ref="AU38">IFERROR(IF($E38&lt;44348,"",IF(INDEX(Raw_매출!$B$2:$BI$155,MATCH($A38,Raw_매출!$A$2:$A$155,0),MATCH(EDATE($E38,AU$1-1),Raw_매출!$B$1:$BI$1,0))=0,"",INDEX(Raw_매출!$B$2:$BI$155,MATCH($A38,Raw_매출!$A$2:$A$155,0),MATCH(EDATE($E38,AU$1-1),Raw_매출!$B$1:$BI$1,0))/(INDEX(요약_월별시즈널리티!$F$7:$F$18,MONTH(EDATE($E38,AU$1-1)))/100))),"")</f>
        <v>7210797.6462121597</v>
      </c>
      <c r="AV38" cm="1">
        <f t="array" ref="AV38">IFERROR(IF($E38&lt;44348,"",IF(INDEX(Raw_매출!$B$2:$BI$155,MATCH($A38,Raw_매출!$A$2:$A$155,0),MATCH(EDATE($E38,AV$1-1),Raw_매출!$B$1:$BI$1,0))=0,"",INDEX(Raw_매출!$B$2:$BI$155,MATCH($A38,Raw_매출!$A$2:$A$155,0),MATCH(EDATE($E38,AV$1-1),Raw_매출!$B$1:$BI$1,0))/(INDEX(요약_월별시즈널리티!$F$7:$F$18,MONTH(EDATE($E38,AV$1-1)))/100))),"")</f>
        <v>8093007.1083007688</v>
      </c>
      <c r="AW38" cm="1">
        <f t="array" ref="AW38">IFERROR(IF($E38&lt;44348,"",IF(INDEX(Raw_매출!$B$2:$BI$155,MATCH($A38,Raw_매출!$A$2:$A$155,0),MATCH(EDATE($E38,AW$1-1),Raw_매출!$B$1:$BI$1,0))=0,"",INDEX(Raw_매출!$B$2:$BI$155,MATCH($A38,Raw_매출!$A$2:$A$155,0),MATCH(EDATE($E38,AW$1-1),Raw_매출!$B$1:$BI$1,0))/(INDEX(요약_월별시즈널리티!$F$7:$F$18,MONTH(EDATE($E38,AW$1-1)))/100))),"")</f>
        <v>8201260.3581932047</v>
      </c>
      <c r="AX38" cm="1">
        <f t="array" ref="AX38">IFERROR(IF($E38&lt;44348,"",IF(INDEX(Raw_매출!$B$2:$BI$155,MATCH($A38,Raw_매출!$A$2:$A$155,0),MATCH(EDATE($E38,AX$1-1),Raw_매출!$B$1:$BI$1,0))=0,"",INDEX(Raw_매출!$B$2:$BI$155,MATCH($A38,Raw_매출!$A$2:$A$155,0),MATCH(EDATE($E38,AX$1-1),Raw_매출!$B$1:$BI$1,0))/(INDEX(요약_월별시즈널리티!$F$7:$F$18,MONTH(EDATE($E38,AX$1-1)))/100))),"")</f>
        <v>8640683.0283072274</v>
      </c>
      <c r="AY38" cm="1">
        <f t="array" ref="AY38">IFERROR(IF($E38&lt;44348,"",IF(INDEX(Raw_매출!$B$2:$BI$155,MATCH($A38,Raw_매출!$A$2:$A$155,0),MATCH(EDATE($E38,AY$1-1),Raw_매출!$B$1:$BI$1,0))=0,"",INDEX(Raw_매출!$B$2:$BI$155,MATCH($A38,Raw_매출!$A$2:$A$155,0),MATCH(EDATE($E38,AY$1-1),Raw_매출!$B$1:$BI$1,0))/(INDEX(요약_월별시즈널리티!$F$7:$F$18,MONTH(EDATE($E38,AY$1-1)))/100))),"")</f>
        <v>8744132.0627134517</v>
      </c>
      <c r="AZ38" cm="1">
        <f t="array" ref="AZ38">IFERROR(IF($E38&lt;44348,"",IF(INDEX(Raw_매출!$B$2:$BI$155,MATCH($A38,Raw_매출!$A$2:$A$155,0),MATCH(EDATE($E38,AZ$1-1),Raw_매출!$B$1:$BI$1,0))=0,"",INDEX(Raw_매출!$B$2:$BI$155,MATCH($A38,Raw_매출!$A$2:$A$155,0),MATCH(EDATE($E38,AZ$1-1),Raw_매출!$B$1:$BI$1,0))/(INDEX(요약_월별시즈널리티!$F$7:$F$18,MONTH(EDATE($E38,AZ$1-1)))/100))),"")</f>
        <v>8648393.9474555701</v>
      </c>
      <c r="BA38" cm="1">
        <f t="array" ref="BA38">IFERROR(IF($E38&lt;44348,"",IF(INDEX(Raw_매출!$B$2:$BI$155,MATCH($A38,Raw_매출!$A$2:$A$155,0),MATCH(EDATE($E38,BA$1-1),Raw_매출!$B$1:$BI$1,0))=0,"",INDEX(Raw_매출!$B$2:$BI$155,MATCH($A38,Raw_매출!$A$2:$A$155,0),MATCH(EDATE($E38,BA$1-1),Raw_매출!$B$1:$BI$1,0))/(INDEX(요약_월별시즈널리티!$F$7:$F$18,MONTH(EDATE($E38,BA$1-1)))/100))),"")</f>
        <v>8271309.8588995626</v>
      </c>
      <c r="BB38" cm="1">
        <f t="array" ref="BB38">IFERROR(IF($E38&lt;44348,"",IF(INDEX(Raw_매출!$B$2:$BI$155,MATCH($A38,Raw_매출!$A$2:$A$155,0),MATCH(EDATE($E38,BB$1-1),Raw_매출!$B$1:$BI$1,0))=0,"",INDEX(Raw_매출!$B$2:$BI$155,MATCH($A38,Raw_매출!$A$2:$A$155,0),MATCH(EDATE($E38,BB$1-1),Raw_매출!$B$1:$BI$1,0))/(INDEX(요약_월별시즈널리티!$F$7:$F$18,MONTH(EDATE($E38,BB$1-1)))/100))),"")</f>
        <v>8647914.4102112874</v>
      </c>
      <c r="BC38" cm="1">
        <f t="array" ref="BC38">IFERROR(IF($E38&lt;44348,"",IF(INDEX(Raw_매출!$B$2:$BI$155,MATCH($A38,Raw_매출!$A$2:$A$155,0),MATCH(EDATE($E38,BC$1-1),Raw_매출!$B$1:$BI$1,0))=0,"",INDEX(Raw_매출!$B$2:$BI$155,MATCH($A38,Raw_매출!$A$2:$A$155,0),MATCH(EDATE($E38,BC$1-1),Raw_매출!$B$1:$BI$1,0))/(INDEX(요약_월별시즈널리티!$F$7:$F$18,MONTH(EDATE($E38,BC$1-1)))/100))),"")</f>
        <v>8771474.2612719424</v>
      </c>
      <c r="BD38" cm="1">
        <f t="array" ref="BD38">IFERROR(IF($E38&lt;44348,"",IF(INDEX(Raw_매출!$B$2:$BI$155,MATCH($A38,Raw_매출!$A$2:$A$155,0),MATCH(EDATE($E38,BD$1-1),Raw_매출!$B$1:$BI$1,0))=0,"",INDEX(Raw_매출!$B$2:$BI$155,MATCH($A38,Raw_매출!$A$2:$A$155,0),MATCH(EDATE($E38,BD$1-1),Raw_매출!$B$1:$BI$1,0))/(INDEX(요약_월별시즈널리티!$F$7:$F$18,MONTH(EDATE($E38,BD$1-1)))/100))),"")</f>
        <v>9491080.8500204105</v>
      </c>
      <c r="BE38" cm="1">
        <f t="array" ref="BE38">IFERROR(IF($E38&lt;44348,"",IF(INDEX(Raw_매출!$B$2:$BI$155,MATCH($A38,Raw_매출!$A$2:$A$155,0),MATCH(EDATE($E38,BE$1-1),Raw_매출!$B$1:$BI$1,0))=0,"",INDEX(Raw_매출!$B$2:$BI$155,MATCH($A38,Raw_매출!$A$2:$A$155,0),MATCH(EDATE($E38,BE$1-1),Raw_매출!$B$1:$BI$1,0))/(INDEX(요약_월별시즈널리티!$F$7:$F$18,MONTH(EDATE($E38,BE$1-1)))/100))),"")</f>
        <v>8751960.0392436907</v>
      </c>
      <c r="BF38" cm="1">
        <f t="array" ref="BF38">IFERROR(IF($E38&lt;44348,"",IF(INDEX(Raw_매출!$B$2:$BI$155,MATCH($A38,Raw_매출!$A$2:$A$155,0),MATCH(EDATE($E38,BF$1-1),Raw_매출!$B$1:$BI$1,0))=0,"",INDEX(Raw_매출!$B$2:$BI$155,MATCH($A38,Raw_매출!$A$2:$A$155,0),MATCH(EDATE($E38,BF$1-1),Raw_매출!$B$1:$BI$1,0))/(INDEX(요약_월별시즈널리티!$F$7:$F$18,MONTH(EDATE($E38,BF$1-1)))/100))),"")</f>
        <v>8877904.8059879616</v>
      </c>
      <c r="BG38" cm="1">
        <f t="array" ref="BG38">IFERROR(IF($E38&lt;44348,"",IF(INDEX(Raw_매출!$B$2:$BI$155,MATCH($A38,Raw_매출!$A$2:$A$155,0),MATCH(EDATE($E38,BG$1-1),Raw_매출!$B$1:$BI$1,0))=0,"",INDEX(Raw_매출!$B$2:$BI$155,MATCH($A38,Raw_매출!$A$2:$A$155,0),MATCH(EDATE($E38,BG$1-1),Raw_매출!$B$1:$BI$1,0))/(INDEX(요약_월별시즈널리티!$F$7:$F$18,MONTH(EDATE($E38,BG$1-1)))/100))),"")</f>
        <v>8892273.53354262</v>
      </c>
      <c r="BH38" cm="1">
        <f t="array" ref="BH38">IFERROR(IF($E38&lt;44348,"",IF(INDEX(Raw_매출!$B$2:$BI$155,MATCH($A38,Raw_매출!$A$2:$A$155,0),MATCH(EDATE($E38,BH$1-1),Raw_매출!$B$1:$BI$1,0))=0,"",INDEX(Raw_매출!$B$2:$BI$155,MATCH($A38,Raw_매출!$A$2:$A$155,0),MATCH(EDATE($E38,BH$1-1),Raw_매출!$B$1:$BI$1,0))/(INDEX(요약_월별시즈널리티!$F$7:$F$18,MONTH(EDATE($E38,BH$1-1)))/100))),"")</f>
        <v>7992919.5733802943</v>
      </c>
      <c r="BI38" cm="1">
        <f t="array" ref="BI38">IFERROR(IF($E38&lt;44348,"",IF(INDEX(Raw_매출!$B$2:$BI$155,MATCH($A38,Raw_매출!$A$2:$A$155,0),MATCH(EDATE($E38,BI$1-1),Raw_매출!$B$1:$BI$1,0))=0,"",INDEX(Raw_매출!$B$2:$BI$155,MATCH($A38,Raw_매출!$A$2:$A$155,0),MATCH(EDATE($E38,BI$1-1),Raw_매출!$B$1:$BI$1,0))/(INDEX(요약_월별시즈널리티!$F$7:$F$18,MONTH(EDATE($E38,BI$1-1)))/100))),"")</f>
        <v>8881892.8578231391</v>
      </c>
      <c r="BJ38" cm="1">
        <f t="array" ref="BJ38">IFERROR(IF($E38&lt;44348,"",IF(INDEX(Raw_매출!$B$2:$BI$155,MATCH($A38,Raw_매출!$A$2:$A$155,0),MATCH(EDATE($E38,BJ$1-1),Raw_매출!$B$1:$BI$1,0))=0,"",INDEX(Raw_매출!$B$2:$BI$155,MATCH($A38,Raw_매출!$A$2:$A$155,0),MATCH(EDATE($E38,BJ$1-1),Raw_매출!$B$1:$BI$1,0))/(INDEX(요약_월별시즈널리티!$F$7:$F$18,MONTH(EDATE($E38,BJ$1-1)))/100))),"")</f>
        <v>9044813.4508171994</v>
      </c>
      <c r="BK38" cm="1">
        <f t="array" ref="BK38">IFERROR(IF($E38&lt;44348,"",IF(INDEX(Raw_매출!$B$2:$BI$155,MATCH($A38,Raw_매출!$A$2:$A$155,0),MATCH(EDATE($E38,BK$1-1),Raw_매출!$B$1:$BI$1,0))=0,"",INDEX(Raw_매출!$B$2:$BI$155,MATCH($A38,Raw_매출!$A$2:$A$155,0),MATCH(EDATE($E38,BK$1-1),Raw_매출!$B$1:$BI$1,0))/(INDEX(요약_월별시즈널리티!$F$7:$F$18,MONTH(EDATE($E38,BK$1-1)))/100))),"")</f>
        <v>10032475.167657763</v>
      </c>
      <c r="BL38" cm="1">
        <f t="array" ref="BL38">IFERROR(IF($E38&lt;44348,"",IF(INDEX(Raw_매출!$B$2:$BI$155,MATCH($A38,Raw_매출!$A$2:$A$155,0),MATCH(EDATE($E38,BL$1-1),Raw_매출!$B$1:$BI$1,0))=0,"",INDEX(Raw_매출!$B$2:$BI$155,MATCH($A38,Raw_매출!$A$2:$A$155,0),MATCH(EDATE($E38,BL$1-1),Raw_매출!$B$1:$BI$1,0))/(INDEX(요약_월별시즈널리티!$F$7:$F$18,MONTH(EDATE($E38,BL$1-1)))/100))),"")</f>
        <v>9113264.5186285879</v>
      </c>
      <c r="BM38" t="str" cm="1">
        <f t="array" ref="BM38">IFERROR(IF($E38&lt;44348,"",IF(INDEX(Raw_매출!$B$2:$BI$155,MATCH($A38,Raw_매출!$A$2:$A$155,0),MATCH(EDATE($E38,BM$1-1),Raw_매출!$B$1:$BI$1,0))=0,"",INDEX(Raw_매출!$B$2:$BI$155,MATCH($A38,Raw_매출!$A$2:$A$155,0),MATCH(EDATE($E38,BM$1-1),Raw_매출!$B$1:$BI$1,0))/(INDEX(요약_월별시즈널리티!$F$7:$F$18,MONTH(EDATE($E38,BM$1-1)))/100))),"")</f>
        <v/>
      </c>
      <c r="BN38" t="str" cm="1">
        <f t="array" ref="BN38">IFERROR(IF($E38&lt;44348,"",IF(INDEX(Raw_매출!$B$2:$BI$155,MATCH($A38,Raw_매출!$A$2:$A$155,0),MATCH(EDATE($E38,BN$1-1),Raw_매출!$B$1:$BI$1,0))=0,"",INDEX(Raw_매출!$B$2:$BI$155,MATCH($A38,Raw_매출!$A$2:$A$155,0),MATCH(EDATE($E38,BN$1-1),Raw_매출!$B$1:$BI$1,0))/(INDEX(요약_월별시즈널리티!$F$7:$F$18,MONTH(EDATE($E38,BN$1-1)))/100))),"")</f>
        <v/>
      </c>
    </row>
    <row r="39" spans="1:66" x14ac:dyDescent="0.4">
      <c r="A39" t="str">
        <f>세팅!A40</f>
        <v>(1027) #가산디지털점</v>
      </c>
      <c r="B39" t="str">
        <f>세팅!B40</f>
        <v>150-0</v>
      </c>
      <c r="C39">
        <f t="shared" si="0"/>
        <v>0</v>
      </c>
      <c r="D39" t="str">
        <f t="shared" si="1"/>
        <v>0</v>
      </c>
      <c r="E39" s="1">
        <f>세팅!D40</f>
        <v>44409</v>
      </c>
      <c r="F39">
        <f t="shared" si="2"/>
        <v>6422623.4182625627</v>
      </c>
      <c r="G39" cm="1">
        <f t="array" ref="G39">IFERROR(IF($E39&lt;44348,"",IF(INDEX(Raw_매출!$B$2:$BI$155,MATCH($A39,Raw_매출!$A$2:$A$155,0),MATCH(EDATE($E39,G$1-1),Raw_매출!$B$1:$BI$1,0))=0,"",INDEX(Raw_매출!$B$2:$BI$155,MATCH($A39,Raw_매출!$A$2:$A$155,0),MATCH(EDATE($E39,G$1-1),Raw_매출!$B$1:$BI$1,0))/(INDEX(요약_월별시즈널리티!$F$7:$F$18,MONTH(EDATE($E39,G$1-1)))/100))),"")</f>
        <v>3524319.9860168239</v>
      </c>
      <c r="H39" cm="1">
        <f t="array" ref="H39">IFERROR(IF($E39&lt;44348,"",IF(INDEX(Raw_매출!$B$2:$BI$155,MATCH($A39,Raw_매출!$A$2:$A$155,0),MATCH(EDATE($E39,H$1-1),Raw_매출!$B$1:$BI$1,0))=0,"",INDEX(Raw_매출!$B$2:$BI$155,MATCH($A39,Raw_매출!$A$2:$A$155,0),MATCH(EDATE($E39,H$1-1),Raw_매출!$B$1:$BI$1,0))/(INDEX(요약_월별시즈널리티!$F$7:$F$18,MONTH(EDATE($E39,H$1-1)))/100))),"")</f>
        <v>4616255.1966797542</v>
      </c>
      <c r="I39" cm="1">
        <f t="array" ref="I39">IFERROR(IF($E39&lt;44348,"",IF(INDEX(Raw_매출!$B$2:$BI$155,MATCH($A39,Raw_매출!$A$2:$A$155,0),MATCH(EDATE($E39,I$1-1),Raw_매출!$B$1:$BI$1,0))=0,"",INDEX(Raw_매출!$B$2:$BI$155,MATCH($A39,Raw_매출!$A$2:$A$155,0),MATCH(EDATE($E39,I$1-1),Raw_매출!$B$1:$BI$1,0))/(INDEX(요약_월별시즈널리티!$F$7:$F$18,MONTH(EDATE($E39,I$1-1)))/100))),"")</f>
        <v>6555239.0824924763</v>
      </c>
      <c r="J39" s="30" cm="1">
        <f t="array" ref="J39">IFERROR(IF($E39&lt;44348,"",IF(INDEX(Raw_매출!$B$2:$BI$155,MATCH($A39,Raw_매출!$A$2:$A$155,0),MATCH(EDATE($E39,J$1-1),Raw_매출!$B$1:$BI$1,0))=0,"",INDEX(Raw_매출!$B$2:$BI$155,MATCH($A39,Raw_매출!$A$2:$A$155,0),MATCH(EDATE($E39,J$1-1),Raw_매출!$B$1:$BI$1,0))/(INDEX(요약_월별시즈널리티!$F$7:$F$18,MONTH(EDATE($E39,J$1-1)))/100))),"")</f>
        <v>5710648.6982056089</v>
      </c>
      <c r="K39" s="30" cm="1">
        <f t="array" ref="K39">IFERROR(IF($E39&lt;44348,"",IF(INDEX(Raw_매출!$B$2:$BI$155,MATCH($A39,Raw_매출!$A$2:$A$155,0),MATCH(EDATE($E39,K$1-1),Raw_매출!$B$1:$BI$1,0))=0,"",INDEX(Raw_매출!$B$2:$BI$155,MATCH($A39,Raw_매출!$A$2:$A$155,0),MATCH(EDATE($E39,K$1-1),Raw_매출!$B$1:$BI$1,0))/(INDEX(요약_월별시즈널리티!$F$7:$F$18,MONTH(EDATE($E39,K$1-1)))/100))),"")</f>
        <v>6008796.4226963045</v>
      </c>
      <c r="L39" s="30" cm="1">
        <f t="array" ref="L39">IFERROR(IF($E39&lt;44348,"",IF(INDEX(Raw_매출!$B$2:$BI$155,MATCH($A39,Raw_매출!$A$2:$A$155,0),MATCH(EDATE($E39,L$1-1),Raw_매출!$B$1:$BI$1,0))=0,"",INDEX(Raw_매출!$B$2:$BI$155,MATCH($A39,Raw_매출!$A$2:$A$155,0),MATCH(EDATE($E39,L$1-1),Raw_매출!$B$1:$BI$1,0))/(INDEX(요약_월별시즈널리티!$F$7:$F$18,MONTH(EDATE($E39,L$1-1)))/100))),"")</f>
        <v>6961417.0649879361</v>
      </c>
      <c r="M39" s="30" cm="1">
        <f t="array" ref="M39">IFERROR(IF($E39&lt;44348,"",IF(INDEX(Raw_매출!$B$2:$BI$155,MATCH($A39,Raw_매출!$A$2:$A$155,0),MATCH(EDATE($E39,M$1-1),Raw_매출!$B$1:$BI$1,0))=0,"",INDEX(Raw_매출!$B$2:$BI$155,MATCH($A39,Raw_매출!$A$2:$A$155,0),MATCH(EDATE($E39,M$1-1),Raw_매출!$B$1:$BI$1,0))/(INDEX(요약_월별시즈널리티!$F$7:$F$18,MONTH(EDATE($E39,M$1-1)))/100))),"")</f>
        <v>6245864.1327228779</v>
      </c>
      <c r="N39" s="30" cm="1">
        <f t="array" ref="N39">IFERROR(IF($E39&lt;44348,"",IF(INDEX(Raw_매출!$B$2:$BI$155,MATCH($A39,Raw_매출!$A$2:$A$155,0),MATCH(EDATE($E39,N$1-1),Raw_매출!$B$1:$BI$1,0))=0,"",INDEX(Raw_매출!$B$2:$BI$155,MATCH($A39,Raw_매출!$A$2:$A$155,0),MATCH(EDATE($E39,N$1-1),Raw_매출!$B$1:$BI$1,0))/(INDEX(요약_월별시즈널리티!$F$7:$F$18,MONTH(EDATE($E39,N$1-1)))/100))),"")</f>
        <v>6448386.1152214948</v>
      </c>
      <c r="O39" s="30" cm="1">
        <f t="array" ref="O39">IFERROR(IF($E39&lt;44348,"",IF(INDEX(Raw_매출!$B$2:$BI$155,MATCH($A39,Raw_매출!$A$2:$A$155,0),MATCH(EDATE($E39,O$1-1),Raw_매출!$B$1:$BI$1,0))=0,"",INDEX(Raw_매출!$B$2:$BI$155,MATCH($A39,Raw_매출!$A$2:$A$155,0),MATCH(EDATE($E39,O$1-1),Raw_매출!$B$1:$BI$1,0))/(INDEX(요약_월별시즈널리티!$F$7:$F$18,MONTH(EDATE($E39,O$1-1)))/100))),"")</f>
        <v>7160628.0757411579</v>
      </c>
      <c r="P39" cm="1">
        <f t="array" ref="P39">IFERROR(IF($E39&lt;44348,"",IF(INDEX(Raw_매출!$B$2:$BI$155,MATCH($A39,Raw_매출!$A$2:$A$155,0),MATCH(EDATE($E39,P$1-1),Raw_매출!$B$1:$BI$1,0))=0,"",INDEX(Raw_매출!$B$2:$BI$155,MATCH($A39,Raw_매출!$A$2:$A$155,0),MATCH(EDATE($E39,P$1-1),Raw_매출!$B$1:$BI$1,0))/(INDEX(요약_월별시즈널리티!$F$7:$F$18,MONTH(EDATE($E39,P$1-1)))/100))),"")</f>
        <v>6588877.4251126517</v>
      </c>
      <c r="Q39" cm="1">
        <f t="array" ref="Q39">IFERROR(IF($E39&lt;44348,"",IF(INDEX(Raw_매출!$B$2:$BI$155,MATCH($A39,Raw_매출!$A$2:$A$155,0),MATCH(EDATE($E39,Q$1-1),Raw_매출!$B$1:$BI$1,0))=0,"",INDEX(Raw_매출!$B$2:$BI$155,MATCH($A39,Raw_매출!$A$2:$A$155,0),MATCH(EDATE($E39,Q$1-1),Raw_매출!$B$1:$BI$1,0))/(INDEX(요약_월별시즈널리티!$F$7:$F$18,MONTH(EDATE($E39,Q$1-1)))/100))),"")</f>
        <v>7223838.6596385231</v>
      </c>
      <c r="R39" cm="1">
        <f t="array" ref="R39">IFERROR(IF($E39&lt;44348,"",IF(INDEX(Raw_매출!$B$2:$BI$155,MATCH($A39,Raw_매출!$A$2:$A$155,0),MATCH(EDATE($E39,R$1-1),Raw_매출!$B$1:$BI$1,0))=0,"",INDEX(Raw_매출!$B$2:$BI$155,MATCH($A39,Raw_매출!$A$2:$A$155,0),MATCH(EDATE($E39,R$1-1),Raw_매출!$B$1:$BI$1,0))/(INDEX(요약_월별시즈널리티!$F$7:$F$18,MONTH(EDATE($E39,R$1-1)))/100))),"")</f>
        <v>7763283.20231074</v>
      </c>
      <c r="S39" cm="1">
        <f t="array" ref="S39">IFERROR(IF($E39&lt;44348,"",IF(INDEX(Raw_매출!$B$2:$BI$155,MATCH($A39,Raw_매출!$A$2:$A$155,0),MATCH(EDATE($E39,S$1-1),Raw_매출!$B$1:$BI$1,0))=0,"",INDEX(Raw_매출!$B$2:$BI$155,MATCH($A39,Raw_매출!$A$2:$A$155,0),MATCH(EDATE($E39,S$1-1),Raw_매출!$B$1:$BI$1,0))/(INDEX(요약_월별시즈널리티!$F$7:$F$18,MONTH(EDATE($E39,S$1-1)))/100))),"")</f>
        <v>7834272.0854775608</v>
      </c>
      <c r="T39" cm="1">
        <f t="array" ref="T39">IFERROR(IF($E39&lt;44348,"",IF(INDEX(Raw_매출!$B$2:$BI$155,MATCH($A39,Raw_매출!$A$2:$A$155,0),MATCH(EDATE($E39,T$1-1),Raw_매출!$B$1:$BI$1,0))=0,"",INDEX(Raw_매출!$B$2:$BI$155,MATCH($A39,Raw_매출!$A$2:$A$155,0),MATCH(EDATE($E39,T$1-1),Raw_매출!$B$1:$BI$1,0))/(INDEX(요약_월별시즈널리티!$F$7:$F$18,MONTH(EDATE($E39,T$1-1)))/100))),"")</f>
        <v>7456784.8485082192</v>
      </c>
      <c r="U39" cm="1">
        <f t="array" ref="U39">IFERROR(IF($E39&lt;44348,"",IF(INDEX(Raw_매출!$B$2:$BI$155,MATCH($A39,Raw_매출!$A$2:$A$155,0),MATCH(EDATE($E39,U$1-1),Raw_매출!$B$1:$BI$1,0))=0,"",INDEX(Raw_매출!$B$2:$BI$155,MATCH($A39,Raw_매출!$A$2:$A$155,0),MATCH(EDATE($E39,U$1-1),Raw_매출!$B$1:$BI$1,0))/(INDEX(요약_월별시즈널리티!$F$7:$F$18,MONTH(EDATE($E39,U$1-1)))/100))),"")</f>
        <v>7489106.5308000483</v>
      </c>
      <c r="V39" cm="1">
        <f t="array" ref="V39">IFERROR(IF($E39&lt;44348,"",IF(INDEX(Raw_매출!$B$2:$BI$155,MATCH($A39,Raw_매출!$A$2:$A$155,0),MATCH(EDATE($E39,V$1-1),Raw_매출!$B$1:$BI$1,0))=0,"",INDEX(Raw_매출!$B$2:$BI$155,MATCH($A39,Raw_매출!$A$2:$A$155,0),MATCH(EDATE($E39,V$1-1),Raw_매출!$B$1:$BI$1,0))/(INDEX(요약_월별시즈널리티!$F$7:$F$18,MONTH(EDATE($E39,V$1-1)))/100))),"")</f>
        <v>7218152.3786082165</v>
      </c>
      <c r="W39" cm="1">
        <f t="array" ref="W39">IFERROR(IF($E39&lt;44348,"",IF(INDEX(Raw_매출!$B$2:$BI$155,MATCH($A39,Raw_매출!$A$2:$A$155,0),MATCH(EDATE($E39,W$1-1),Raw_매출!$B$1:$BI$1,0))=0,"",INDEX(Raw_매출!$B$2:$BI$155,MATCH($A39,Raw_매출!$A$2:$A$155,0),MATCH(EDATE($E39,W$1-1),Raw_매출!$B$1:$BI$1,0))/(INDEX(요약_월별시즈널리티!$F$7:$F$18,MONTH(EDATE($E39,W$1-1)))/100))),"")</f>
        <v>7103328.3528089672</v>
      </c>
      <c r="X39" cm="1">
        <f t="array" ref="X39">IFERROR(IF($E39&lt;44348,"",IF(INDEX(Raw_매출!$B$2:$BI$155,MATCH($A39,Raw_매출!$A$2:$A$155,0),MATCH(EDATE($E39,X$1-1),Raw_매출!$B$1:$BI$1,0))=0,"",INDEX(Raw_매출!$B$2:$BI$155,MATCH($A39,Raw_매출!$A$2:$A$155,0),MATCH(EDATE($E39,X$1-1),Raw_매출!$B$1:$BI$1,0))/(INDEX(요약_월별시즈널리티!$F$7:$F$18,MONTH(EDATE($E39,X$1-1)))/100))),"")</f>
        <v>8590544.6501823664</v>
      </c>
      <c r="Y39" cm="1">
        <f t="array" ref="Y39">IFERROR(IF($E39&lt;44348,"",IF(INDEX(Raw_매출!$B$2:$BI$155,MATCH($A39,Raw_매출!$A$2:$A$155,0),MATCH(EDATE($E39,Y$1-1),Raw_매출!$B$1:$BI$1,0))=0,"",INDEX(Raw_매출!$B$2:$BI$155,MATCH($A39,Raw_매출!$A$2:$A$155,0),MATCH(EDATE($E39,Y$1-1),Raw_매출!$B$1:$BI$1,0))/(INDEX(요약_월별시즈널리티!$F$7:$F$18,MONTH(EDATE($E39,Y$1-1)))/100))),"")</f>
        <v>7932348.2935483251</v>
      </c>
      <c r="Z39" cm="1">
        <f t="array" ref="Z39">IFERROR(IF($E39&lt;44348,"",IF(INDEX(Raw_매출!$B$2:$BI$155,MATCH($A39,Raw_매출!$A$2:$A$155,0),MATCH(EDATE($E39,Z$1-1),Raw_매출!$B$1:$BI$1,0))=0,"",INDEX(Raw_매출!$B$2:$BI$155,MATCH($A39,Raw_매출!$A$2:$A$155,0),MATCH(EDATE($E39,Z$1-1),Raw_매출!$B$1:$BI$1,0))/(INDEX(요약_월별시즈널리티!$F$7:$F$18,MONTH(EDATE($E39,Z$1-1)))/100))),"")</f>
        <v>8037842.2842223886</v>
      </c>
      <c r="AA39" cm="1">
        <f t="array" ref="AA39">IFERROR(IF($E39&lt;44348,"",IF(INDEX(Raw_매출!$B$2:$BI$155,MATCH($A39,Raw_매출!$A$2:$A$155,0),MATCH(EDATE($E39,AA$1-1),Raw_매출!$B$1:$BI$1,0))=0,"",INDEX(Raw_매출!$B$2:$BI$155,MATCH($A39,Raw_매출!$A$2:$A$155,0),MATCH(EDATE($E39,AA$1-1),Raw_매출!$B$1:$BI$1,0))/(INDEX(요약_월별시즈널리티!$F$7:$F$18,MONTH(EDATE($E39,AA$1-1)))/100))),"")</f>
        <v>8590681.1502017658</v>
      </c>
      <c r="AB39" cm="1">
        <f t="array" ref="AB39">IFERROR(IF($E39&lt;44348,"",IF(INDEX(Raw_매출!$B$2:$BI$155,MATCH($A39,Raw_매출!$A$2:$A$155,0),MATCH(EDATE($E39,AB$1-1),Raw_매출!$B$1:$BI$1,0))=0,"",INDEX(Raw_매출!$B$2:$BI$155,MATCH($A39,Raw_매출!$A$2:$A$155,0),MATCH(EDATE($E39,AB$1-1),Raw_매출!$B$1:$BI$1,0))/(INDEX(요약_월별시즈널리티!$F$7:$F$18,MONTH(EDATE($E39,AB$1-1)))/100))),"")</f>
        <v>8301938.1024375837</v>
      </c>
      <c r="AC39" cm="1">
        <f t="array" ref="AC39">IFERROR(IF($E39&lt;44348,"",IF(INDEX(Raw_매출!$B$2:$BI$155,MATCH($A39,Raw_매출!$A$2:$A$155,0),MATCH(EDATE($E39,AC$1-1),Raw_매출!$B$1:$BI$1,0))=0,"",INDEX(Raw_매출!$B$2:$BI$155,MATCH($A39,Raw_매출!$A$2:$A$155,0),MATCH(EDATE($E39,AC$1-1),Raw_매출!$B$1:$BI$1,0))/(INDEX(요약_월별시즈널리티!$F$7:$F$18,MONTH(EDATE($E39,AC$1-1)))/100))),"")</f>
        <v>7782287.6011378514</v>
      </c>
      <c r="AD39" cm="1">
        <f t="array" ref="AD39">IFERROR(IF($E39&lt;44348,"",IF(INDEX(Raw_매출!$B$2:$BI$155,MATCH($A39,Raw_매출!$A$2:$A$155,0),MATCH(EDATE($E39,AD$1-1),Raw_매출!$B$1:$BI$1,0))=0,"",INDEX(Raw_매출!$B$2:$BI$155,MATCH($A39,Raw_매출!$A$2:$A$155,0),MATCH(EDATE($E39,AD$1-1),Raw_매출!$B$1:$BI$1,0))/(INDEX(요약_월별시즈널리티!$F$7:$F$18,MONTH(EDATE($E39,AD$1-1)))/100))),"")</f>
        <v>9110740.4049021751</v>
      </c>
      <c r="AE39" cm="1">
        <f t="array" ref="AE39">IFERROR(IF($E39&lt;44348,"",IF(INDEX(Raw_매출!$B$2:$BI$155,MATCH($A39,Raw_매출!$A$2:$A$155,0),MATCH(EDATE($E39,AE$1-1),Raw_매출!$B$1:$BI$1,0))=0,"",INDEX(Raw_매출!$B$2:$BI$155,MATCH($A39,Raw_매출!$A$2:$A$155,0),MATCH(EDATE($E39,AE$1-1),Raw_매출!$B$1:$BI$1,0))/(INDEX(요약_월별시즈널리티!$F$7:$F$18,MONTH(EDATE($E39,AE$1-1)))/100))),"")</f>
        <v>8005274.7096461561</v>
      </c>
      <c r="AF39" cm="1">
        <f t="array" ref="AF39">IFERROR(IF($E39&lt;44348,"",IF(INDEX(Raw_매출!$B$2:$BI$155,MATCH($A39,Raw_매출!$A$2:$A$155,0),MATCH(EDATE($E39,AF$1-1),Raw_매출!$B$1:$BI$1,0))=0,"",INDEX(Raw_매출!$B$2:$BI$155,MATCH($A39,Raw_매출!$A$2:$A$155,0),MATCH(EDATE($E39,AF$1-1),Raw_매출!$B$1:$BI$1,0))/(INDEX(요약_월별시즈널리티!$F$7:$F$18,MONTH(EDATE($E39,AF$1-1)))/100))),"")</f>
        <v>9032837.15107264</v>
      </c>
      <c r="AG39" cm="1">
        <f t="array" ref="AG39">IFERROR(IF($E39&lt;44348,"",IF(INDEX(Raw_매출!$B$2:$BI$155,MATCH($A39,Raw_매출!$A$2:$A$155,0),MATCH(EDATE($E39,AG$1-1),Raw_매출!$B$1:$BI$1,0))=0,"",INDEX(Raw_매출!$B$2:$BI$155,MATCH($A39,Raw_매출!$A$2:$A$155,0),MATCH(EDATE($E39,AG$1-1),Raw_매출!$B$1:$BI$1,0))/(INDEX(요약_월별시즈널리티!$F$7:$F$18,MONTH(EDATE($E39,AG$1-1)))/100))),"")</f>
        <v>8825242.0323387664</v>
      </c>
      <c r="AH39" cm="1">
        <f t="array" ref="AH39">IFERROR(IF($E39&lt;44348,"",IF(INDEX(Raw_매출!$B$2:$BI$155,MATCH($A39,Raw_매출!$A$2:$A$155,0),MATCH(EDATE($E39,AH$1-1),Raw_매출!$B$1:$BI$1,0))=0,"",INDEX(Raw_매출!$B$2:$BI$155,MATCH($A39,Raw_매출!$A$2:$A$155,0),MATCH(EDATE($E39,AH$1-1),Raw_매출!$B$1:$BI$1,0))/(INDEX(요약_월별시즈널리티!$F$7:$F$18,MONTH(EDATE($E39,AH$1-1)))/100))),"")</f>
        <v>7947171.3613578686</v>
      </c>
      <c r="AI39" cm="1">
        <f t="array" ref="AI39">IFERROR(IF($E39&lt;44348,"",IF(INDEX(Raw_매출!$B$2:$BI$155,MATCH($A39,Raw_매출!$A$2:$A$155,0),MATCH(EDATE($E39,AI$1-1),Raw_매출!$B$1:$BI$1,0))=0,"",INDEX(Raw_매출!$B$2:$BI$155,MATCH($A39,Raw_매출!$A$2:$A$155,0),MATCH(EDATE($E39,AI$1-1),Raw_매출!$B$1:$BI$1,0))/(INDEX(요약_월별시즈널리티!$F$7:$F$18,MONTH(EDATE($E39,AI$1-1)))/100))),"")</f>
        <v>9480969.1289509609</v>
      </c>
      <c r="AJ39" cm="1">
        <f t="array" ref="AJ39">IFERROR(IF($E39&lt;44348,"",IF(INDEX(Raw_매출!$B$2:$BI$155,MATCH($A39,Raw_매출!$A$2:$A$155,0),MATCH(EDATE($E39,AJ$1-1),Raw_매출!$B$1:$BI$1,0))=0,"",INDEX(Raw_매출!$B$2:$BI$155,MATCH($A39,Raw_매출!$A$2:$A$155,0),MATCH(EDATE($E39,AJ$1-1),Raw_매출!$B$1:$BI$1,0))/(INDEX(요약_월별시즈널리티!$F$7:$F$18,MONTH(EDATE($E39,AJ$1-1)))/100))),"")</f>
        <v>9869613.0335574746</v>
      </c>
      <c r="AK39" cm="1">
        <f t="array" ref="AK39">IFERROR(IF($E39&lt;44348,"",IF(INDEX(Raw_매출!$B$2:$BI$155,MATCH($A39,Raw_매출!$A$2:$A$155,0),MATCH(EDATE($E39,AK$1-1),Raw_매출!$B$1:$BI$1,0))=0,"",INDEX(Raw_매출!$B$2:$BI$155,MATCH($A39,Raw_매출!$A$2:$A$155,0),MATCH(EDATE($E39,AK$1-1),Raw_매출!$B$1:$BI$1,0))/(INDEX(요약_월별시즈널리티!$F$7:$F$18,MONTH(EDATE($E39,AK$1-1)))/100))),"")</f>
        <v>9132427.4060056992</v>
      </c>
      <c r="AL39" cm="1">
        <f t="array" ref="AL39">IFERROR(IF($E39&lt;44348,"",IF(INDEX(Raw_매출!$B$2:$BI$155,MATCH($A39,Raw_매출!$A$2:$A$155,0),MATCH(EDATE($E39,AL$1-1),Raw_매출!$B$1:$BI$1,0))=0,"",INDEX(Raw_매출!$B$2:$BI$155,MATCH($A39,Raw_매출!$A$2:$A$155,0),MATCH(EDATE($E39,AL$1-1),Raw_매출!$B$1:$BI$1,0))/(INDEX(요약_월별시즈널리티!$F$7:$F$18,MONTH(EDATE($E39,AL$1-1)))/100))),"")</f>
        <v>10857091.924584731</v>
      </c>
      <c r="AM39" cm="1">
        <f t="array" ref="AM39">IFERROR(IF($E39&lt;44348,"",IF(INDEX(Raw_매출!$B$2:$BI$155,MATCH($A39,Raw_매출!$A$2:$A$155,0),MATCH(EDATE($E39,AM$1-1),Raw_매출!$B$1:$BI$1,0))=0,"",INDEX(Raw_매출!$B$2:$BI$155,MATCH($A39,Raw_매출!$A$2:$A$155,0),MATCH(EDATE($E39,AM$1-1),Raw_매출!$B$1:$BI$1,0))/(INDEX(요약_월별시즈널리티!$F$7:$F$18,MONTH(EDATE($E39,AM$1-1)))/100))),"")</f>
        <v>10291242.235211067</v>
      </c>
      <c r="AN39" cm="1">
        <f t="array" ref="AN39">IFERROR(IF($E39&lt;44348,"",IF(INDEX(Raw_매출!$B$2:$BI$155,MATCH($A39,Raw_매출!$A$2:$A$155,0),MATCH(EDATE($E39,AN$1-1),Raw_매출!$B$1:$BI$1,0))=0,"",INDEX(Raw_매출!$B$2:$BI$155,MATCH($A39,Raw_매출!$A$2:$A$155,0),MATCH(EDATE($E39,AN$1-1),Raw_매출!$B$1:$BI$1,0))/(INDEX(요약_월별시즈널리티!$F$7:$F$18,MONTH(EDATE($E39,AN$1-1)))/100))),"")</f>
        <v>9115713.1039734632</v>
      </c>
      <c r="AO39" cm="1">
        <f t="array" ref="AO39">IFERROR(IF($E39&lt;44348,"",IF(INDEX(Raw_매출!$B$2:$BI$155,MATCH($A39,Raw_매출!$A$2:$A$155,0),MATCH(EDATE($E39,AO$1-1),Raw_매출!$B$1:$BI$1,0))=0,"",INDEX(Raw_매출!$B$2:$BI$155,MATCH($A39,Raw_매출!$A$2:$A$155,0),MATCH(EDATE($E39,AO$1-1),Raw_매출!$B$1:$BI$1,0))/(INDEX(요약_월별시즈널리티!$F$7:$F$18,MONTH(EDATE($E39,AO$1-1)))/100))),"")</f>
        <v>9448790.6958828233</v>
      </c>
      <c r="AP39" cm="1">
        <f t="array" ref="AP39">IFERROR(IF($E39&lt;44348,"",IF(INDEX(Raw_매출!$B$2:$BI$155,MATCH($A39,Raw_매출!$A$2:$A$155,0),MATCH(EDATE($E39,AP$1-1),Raw_매출!$B$1:$BI$1,0))=0,"",INDEX(Raw_매출!$B$2:$BI$155,MATCH($A39,Raw_매출!$A$2:$A$155,0),MATCH(EDATE($E39,AP$1-1),Raw_매출!$B$1:$BI$1,0))/(INDEX(요약_월별시즈널리티!$F$7:$F$18,MONTH(EDATE($E39,AP$1-1)))/100))),"")</f>
        <v>9998906.2399913706</v>
      </c>
      <c r="AQ39" cm="1">
        <f t="array" ref="AQ39">IFERROR(IF($E39&lt;44348,"",IF(INDEX(Raw_매출!$B$2:$BI$155,MATCH($A39,Raw_매출!$A$2:$A$155,0),MATCH(EDATE($E39,AQ$1-1),Raw_매출!$B$1:$BI$1,0))=0,"",INDEX(Raw_매출!$B$2:$BI$155,MATCH($A39,Raw_매출!$A$2:$A$155,0),MATCH(EDATE($E39,AQ$1-1),Raw_매출!$B$1:$BI$1,0))/(INDEX(요약_월별시즈널리티!$F$7:$F$18,MONTH(EDATE($E39,AQ$1-1)))/100))),"")</f>
        <v>10026662.92140138</v>
      </c>
      <c r="AR39" cm="1">
        <f t="array" ref="AR39">IFERROR(IF($E39&lt;44348,"",IF(INDEX(Raw_매출!$B$2:$BI$155,MATCH($A39,Raw_매출!$A$2:$A$155,0),MATCH(EDATE($E39,AR$1-1),Raw_매출!$B$1:$BI$1,0))=0,"",INDEX(Raw_매출!$B$2:$BI$155,MATCH($A39,Raw_매출!$A$2:$A$155,0),MATCH(EDATE($E39,AR$1-1),Raw_매출!$B$1:$BI$1,0))/(INDEX(요약_월별시즈널리티!$F$7:$F$18,MONTH(EDATE($E39,AR$1-1)))/100))),"")</f>
        <v>9643322.7083726898</v>
      </c>
      <c r="AS39" cm="1">
        <f t="array" ref="AS39">IFERROR(IF($E39&lt;44348,"",IF(INDEX(Raw_매출!$B$2:$BI$155,MATCH($A39,Raw_매출!$A$2:$A$155,0),MATCH(EDATE($E39,AS$1-1),Raw_매출!$B$1:$BI$1,0))=0,"",INDEX(Raw_매출!$B$2:$BI$155,MATCH($A39,Raw_매출!$A$2:$A$155,0),MATCH(EDATE($E39,AS$1-1),Raw_매출!$B$1:$BI$1,0))/(INDEX(요약_월별시즈널리티!$F$7:$F$18,MONTH(EDATE($E39,AS$1-1)))/100))),"")</f>
        <v>8118348.926238195</v>
      </c>
      <c r="AT39" cm="1">
        <f t="array" ref="AT39">IFERROR(IF($E39&lt;44348,"",IF(INDEX(Raw_매출!$B$2:$BI$155,MATCH($A39,Raw_매출!$A$2:$A$155,0),MATCH(EDATE($E39,AT$1-1),Raw_매출!$B$1:$BI$1,0))=0,"",INDEX(Raw_매출!$B$2:$BI$155,MATCH($A39,Raw_매출!$A$2:$A$155,0),MATCH(EDATE($E39,AT$1-1),Raw_매출!$B$1:$BI$1,0))/(INDEX(요약_월별시즈널리티!$F$7:$F$18,MONTH(EDATE($E39,AT$1-1)))/100))),"")</f>
        <v>8405118.2264374197</v>
      </c>
      <c r="AU39" cm="1">
        <f t="array" ref="AU39">IFERROR(IF($E39&lt;44348,"",IF(INDEX(Raw_매출!$B$2:$BI$155,MATCH($A39,Raw_매출!$A$2:$A$155,0),MATCH(EDATE($E39,AU$1-1),Raw_매출!$B$1:$BI$1,0))=0,"",INDEX(Raw_매출!$B$2:$BI$155,MATCH($A39,Raw_매출!$A$2:$A$155,0),MATCH(EDATE($E39,AU$1-1),Raw_매출!$B$1:$BI$1,0))/(INDEX(요약_월별시즈널리티!$F$7:$F$18,MONTH(EDATE($E39,AU$1-1)))/100))),"")</f>
        <v>8328971.8531176178</v>
      </c>
      <c r="AV39" cm="1">
        <f t="array" ref="AV39">IFERROR(IF($E39&lt;44348,"",IF(INDEX(Raw_매출!$B$2:$BI$155,MATCH($A39,Raw_매출!$A$2:$A$155,0),MATCH(EDATE($E39,AV$1-1),Raw_매출!$B$1:$BI$1,0))=0,"",INDEX(Raw_매출!$B$2:$BI$155,MATCH($A39,Raw_매출!$A$2:$A$155,0),MATCH(EDATE($E39,AV$1-1),Raw_매출!$B$1:$BI$1,0))/(INDEX(요약_월별시즈널리티!$F$7:$F$18,MONTH(EDATE($E39,AV$1-1)))/100))),"")</f>
        <v>9271460.6598970778</v>
      </c>
      <c r="AW39" cm="1">
        <f t="array" ref="AW39">IFERROR(IF($E39&lt;44348,"",IF(INDEX(Raw_매출!$B$2:$BI$155,MATCH($A39,Raw_매출!$A$2:$A$155,0),MATCH(EDATE($E39,AW$1-1),Raw_매출!$B$1:$BI$1,0))=0,"",INDEX(Raw_매출!$B$2:$BI$155,MATCH($A39,Raw_매출!$A$2:$A$155,0),MATCH(EDATE($E39,AW$1-1),Raw_매출!$B$1:$BI$1,0))/(INDEX(요약_월별시즈널리티!$F$7:$F$18,MONTH(EDATE($E39,AW$1-1)))/100))),"")</f>
        <v>8339263.761349882</v>
      </c>
      <c r="AX39" cm="1">
        <f t="array" ref="AX39">IFERROR(IF($E39&lt;44348,"",IF(INDEX(Raw_매출!$B$2:$BI$155,MATCH($A39,Raw_매출!$A$2:$A$155,0),MATCH(EDATE($E39,AX$1-1),Raw_매출!$B$1:$BI$1,0))=0,"",INDEX(Raw_매출!$B$2:$BI$155,MATCH($A39,Raw_매출!$A$2:$A$155,0),MATCH(EDATE($E39,AX$1-1),Raw_매출!$B$1:$BI$1,0))/(INDEX(요약_월별시즈널리티!$F$7:$F$18,MONTH(EDATE($E39,AX$1-1)))/100))),"")</f>
        <v>9054384.1483709104</v>
      </c>
      <c r="AY39" cm="1">
        <f t="array" ref="AY39">IFERROR(IF($E39&lt;44348,"",IF(INDEX(Raw_매출!$B$2:$BI$155,MATCH($A39,Raw_매출!$A$2:$A$155,0),MATCH(EDATE($E39,AY$1-1),Raw_매출!$B$1:$BI$1,0))=0,"",INDEX(Raw_매출!$B$2:$BI$155,MATCH($A39,Raw_매출!$A$2:$A$155,0),MATCH(EDATE($E39,AY$1-1),Raw_매출!$B$1:$BI$1,0))/(INDEX(요약_월별시즈널리티!$F$7:$F$18,MONTH(EDATE($E39,AY$1-1)))/100))),"")</f>
        <v>7991830.8812162289</v>
      </c>
      <c r="AZ39" cm="1">
        <f t="array" ref="AZ39">IFERROR(IF($E39&lt;44348,"",IF(INDEX(Raw_매출!$B$2:$BI$155,MATCH($A39,Raw_매출!$A$2:$A$155,0),MATCH(EDATE($E39,AZ$1-1),Raw_매출!$B$1:$BI$1,0))=0,"",INDEX(Raw_매출!$B$2:$BI$155,MATCH($A39,Raw_매출!$A$2:$A$155,0),MATCH(EDATE($E39,AZ$1-1),Raw_매출!$B$1:$BI$1,0))/(INDEX(요약_월별시즈널리티!$F$7:$F$18,MONTH(EDATE($E39,AZ$1-1)))/100))),"")</f>
        <v>8781642.5452929232</v>
      </c>
      <c r="BA39" cm="1">
        <f t="array" ref="BA39">IFERROR(IF($E39&lt;44348,"",IF(INDEX(Raw_매출!$B$2:$BI$155,MATCH($A39,Raw_매출!$A$2:$A$155,0),MATCH(EDATE($E39,BA$1-1),Raw_매출!$B$1:$BI$1,0))=0,"",INDEX(Raw_매출!$B$2:$BI$155,MATCH($A39,Raw_매출!$A$2:$A$155,0),MATCH(EDATE($E39,BA$1-1),Raw_매출!$B$1:$BI$1,0))/(INDEX(요약_월별시즈널리티!$F$7:$F$18,MONTH(EDATE($E39,BA$1-1)))/100))),"")</f>
        <v>8543402.9172081295</v>
      </c>
      <c r="BB39" cm="1">
        <f t="array" ref="BB39">IFERROR(IF($E39&lt;44348,"",IF(INDEX(Raw_매출!$B$2:$BI$155,MATCH($A39,Raw_매출!$A$2:$A$155,0),MATCH(EDATE($E39,BB$1-1),Raw_매출!$B$1:$BI$1,0))=0,"",INDEX(Raw_매출!$B$2:$BI$155,MATCH($A39,Raw_매출!$A$2:$A$155,0),MATCH(EDATE($E39,BB$1-1),Raw_매출!$B$1:$BI$1,0))/(INDEX(요약_월별시즈널리티!$F$7:$F$18,MONTH(EDATE($E39,BB$1-1)))/100))),"")</f>
        <v>8174541.8522331882</v>
      </c>
      <c r="BC39" cm="1">
        <f t="array" ref="BC39">IFERROR(IF($E39&lt;44348,"",IF(INDEX(Raw_매출!$B$2:$BI$155,MATCH($A39,Raw_매출!$A$2:$A$155,0),MATCH(EDATE($E39,BC$1-1),Raw_매출!$B$1:$BI$1,0))=0,"",INDEX(Raw_매출!$B$2:$BI$155,MATCH($A39,Raw_매출!$A$2:$A$155,0),MATCH(EDATE($E39,BC$1-1),Raw_매출!$B$1:$BI$1,0))/(INDEX(요약_월별시즈널리티!$F$7:$F$18,MONTH(EDATE($E39,BC$1-1)))/100))),"")</f>
        <v>8407968.7403028943</v>
      </c>
      <c r="BD39" cm="1">
        <f t="array" ref="BD39">IFERROR(IF($E39&lt;44348,"",IF(INDEX(Raw_매출!$B$2:$BI$155,MATCH($A39,Raw_매출!$A$2:$A$155,0),MATCH(EDATE($E39,BD$1-1),Raw_매출!$B$1:$BI$1,0))=0,"",INDEX(Raw_매출!$B$2:$BI$155,MATCH($A39,Raw_매출!$A$2:$A$155,0),MATCH(EDATE($E39,BD$1-1),Raw_매출!$B$1:$BI$1,0))/(INDEX(요약_월별시즈널리티!$F$7:$F$18,MONTH(EDATE($E39,BD$1-1)))/100))),"")</f>
        <v>7801928.3175812149</v>
      </c>
      <c r="BE39" cm="1">
        <f t="array" ref="BE39">IFERROR(IF($E39&lt;44348,"",IF(INDEX(Raw_매출!$B$2:$BI$155,MATCH($A39,Raw_매출!$A$2:$A$155,0),MATCH(EDATE($E39,BE$1-1),Raw_매출!$B$1:$BI$1,0))=0,"",INDEX(Raw_매출!$B$2:$BI$155,MATCH($A39,Raw_매출!$A$2:$A$155,0),MATCH(EDATE($E39,BE$1-1),Raw_매출!$B$1:$BI$1,0))/(INDEX(요약_월별시즈널리티!$F$7:$F$18,MONTH(EDATE($E39,BE$1-1)))/100))),"")</f>
        <v>7815350.2474334454</v>
      </c>
      <c r="BF39" cm="1">
        <f t="array" ref="BF39">IFERROR(IF($E39&lt;44348,"",IF(INDEX(Raw_매출!$B$2:$BI$155,MATCH($A39,Raw_매출!$A$2:$A$155,0),MATCH(EDATE($E39,BF$1-1),Raw_매출!$B$1:$BI$1,0))=0,"",INDEX(Raw_매출!$B$2:$BI$155,MATCH($A39,Raw_매출!$A$2:$A$155,0),MATCH(EDATE($E39,BF$1-1),Raw_매출!$B$1:$BI$1,0))/(INDEX(요약_월별시즈널리티!$F$7:$F$18,MONTH(EDATE($E39,BF$1-1)))/100))),"")</f>
        <v>7997818.4904229399</v>
      </c>
      <c r="BG39" cm="1">
        <f t="array" ref="BG39">IFERROR(IF($E39&lt;44348,"",IF(INDEX(Raw_매출!$B$2:$BI$155,MATCH($A39,Raw_매출!$A$2:$A$155,0),MATCH(EDATE($E39,BG$1-1),Raw_매출!$B$1:$BI$1,0))=0,"",INDEX(Raw_매출!$B$2:$BI$155,MATCH($A39,Raw_매출!$A$2:$A$155,0),MATCH(EDATE($E39,BG$1-1),Raw_매출!$B$1:$BI$1,0))/(INDEX(요약_월별시즈널리티!$F$7:$F$18,MONTH(EDATE($E39,BG$1-1)))/100))),"")</f>
        <v>7699572.4442870505</v>
      </c>
      <c r="BH39" cm="1">
        <f t="array" ref="BH39">IFERROR(IF($E39&lt;44348,"",IF(INDEX(Raw_매출!$B$2:$BI$155,MATCH($A39,Raw_매출!$A$2:$A$155,0),MATCH(EDATE($E39,BH$1-1),Raw_매출!$B$1:$BI$1,0))=0,"",INDEX(Raw_매출!$B$2:$BI$155,MATCH($A39,Raw_매출!$A$2:$A$155,0),MATCH(EDATE($E39,BH$1-1),Raw_매출!$B$1:$BI$1,0))/(INDEX(요약_월별시즈널리티!$F$7:$F$18,MONTH(EDATE($E39,BH$1-1)))/100))),"")</f>
        <v>7861424.9193359427</v>
      </c>
      <c r="BI39" cm="1">
        <f t="array" ref="BI39">IFERROR(IF($E39&lt;44348,"",IF(INDEX(Raw_매출!$B$2:$BI$155,MATCH($A39,Raw_매출!$A$2:$A$155,0),MATCH(EDATE($E39,BI$1-1),Raw_매출!$B$1:$BI$1,0))=0,"",INDEX(Raw_매출!$B$2:$BI$155,MATCH($A39,Raw_매출!$A$2:$A$155,0),MATCH(EDATE($E39,BI$1-1),Raw_매출!$B$1:$BI$1,0))/(INDEX(요약_월별시즈널리티!$F$7:$F$18,MONTH(EDATE($E39,BI$1-1)))/100))),"")</f>
        <v>8096049.3730493421</v>
      </c>
      <c r="BJ39" cm="1">
        <f t="array" ref="BJ39">IFERROR(IF($E39&lt;44348,"",IF(INDEX(Raw_매출!$B$2:$BI$155,MATCH($A39,Raw_매출!$A$2:$A$155,0),MATCH(EDATE($E39,BJ$1-1),Raw_매출!$B$1:$BI$1,0))=0,"",INDEX(Raw_매출!$B$2:$BI$155,MATCH($A39,Raw_매출!$A$2:$A$155,0),MATCH(EDATE($E39,BJ$1-1),Raw_매출!$B$1:$BI$1,0))/(INDEX(요약_월별시즈널리티!$F$7:$F$18,MONTH(EDATE($E39,BJ$1-1)))/100))),"")</f>
        <v>7854836.1394937197</v>
      </c>
      <c r="BK39" cm="1">
        <f t="array" ref="BK39">IFERROR(IF($E39&lt;44348,"",IF(INDEX(Raw_매출!$B$2:$BI$155,MATCH($A39,Raw_매출!$A$2:$A$155,0),MATCH(EDATE($E39,BK$1-1),Raw_매출!$B$1:$BI$1,0))=0,"",INDEX(Raw_매출!$B$2:$BI$155,MATCH($A39,Raw_매출!$A$2:$A$155,0),MATCH(EDATE($E39,BK$1-1),Raw_매출!$B$1:$BI$1,0))/(INDEX(요약_월별시즈널리티!$F$7:$F$18,MONTH(EDATE($E39,BK$1-1)))/100))),"")</f>
        <v>8066908.6676254105</v>
      </c>
      <c r="BL39" cm="1">
        <f t="array" ref="BL39">IFERROR(IF($E39&lt;44348,"",IF(INDEX(Raw_매출!$B$2:$BI$155,MATCH($A39,Raw_매출!$A$2:$A$155,0),MATCH(EDATE($E39,BL$1-1),Raw_매출!$B$1:$BI$1,0))=0,"",INDEX(Raw_매출!$B$2:$BI$155,MATCH($A39,Raw_매출!$A$2:$A$155,0),MATCH(EDATE($E39,BL$1-1),Raw_매출!$B$1:$BI$1,0))/(INDEX(요약_월별시즈널리티!$F$7:$F$18,MONTH(EDATE($E39,BL$1-1)))/100))),"")</f>
        <v>7879860.8309546383</v>
      </c>
      <c r="BM39" t="str" cm="1">
        <f t="array" ref="BM39">IFERROR(IF($E39&lt;44348,"",IF(INDEX(Raw_매출!$B$2:$BI$155,MATCH($A39,Raw_매출!$A$2:$A$155,0),MATCH(EDATE($E39,BM$1-1),Raw_매출!$B$1:$BI$1,0))=0,"",INDEX(Raw_매출!$B$2:$BI$155,MATCH($A39,Raw_매출!$A$2:$A$155,0),MATCH(EDATE($E39,BM$1-1),Raw_매출!$B$1:$BI$1,0))/(INDEX(요약_월별시즈널리티!$F$7:$F$18,MONTH(EDATE($E39,BM$1-1)))/100))),"")</f>
        <v/>
      </c>
      <c r="BN39" t="str" cm="1">
        <f t="array" ref="BN39">IFERROR(IF($E39&lt;44348,"",IF(INDEX(Raw_매출!$B$2:$BI$155,MATCH($A39,Raw_매출!$A$2:$A$155,0),MATCH(EDATE($E39,BN$1-1),Raw_매출!$B$1:$BI$1,0))=0,"",INDEX(Raw_매출!$B$2:$BI$155,MATCH($A39,Raw_매출!$A$2:$A$155,0),MATCH(EDATE($E39,BN$1-1),Raw_매출!$B$1:$BI$1,0))/(INDEX(요약_월별시즈널리티!$F$7:$F$18,MONTH(EDATE($E39,BN$1-1)))/100))),"")</f>
        <v/>
      </c>
    </row>
    <row r="40" spans="1:66" x14ac:dyDescent="0.4">
      <c r="A40" t="str">
        <f>세팅!A41</f>
        <v>(1028) #서림에스제이점</v>
      </c>
      <c r="B40" t="str">
        <f>세팅!B41</f>
        <v>150-0</v>
      </c>
      <c r="C40">
        <f t="shared" si="0"/>
        <v>0</v>
      </c>
      <c r="D40" t="str">
        <f t="shared" si="1"/>
        <v>0</v>
      </c>
      <c r="E40" s="1">
        <f>세팅!D41</f>
        <v>44409</v>
      </c>
      <c r="F40">
        <f t="shared" si="2"/>
        <v>4541899.9106807532</v>
      </c>
      <c r="G40" cm="1">
        <f t="array" ref="G40">IFERROR(IF($E40&lt;44348,"",IF(INDEX(Raw_매출!$B$2:$BI$155,MATCH($A40,Raw_매출!$A$2:$A$155,0),MATCH(EDATE($E40,G$1-1),Raw_매출!$B$1:$BI$1,0))=0,"",INDEX(Raw_매출!$B$2:$BI$155,MATCH($A40,Raw_매출!$A$2:$A$155,0),MATCH(EDATE($E40,G$1-1),Raw_매출!$B$1:$BI$1,0))/(INDEX(요약_월별시즈널리티!$F$7:$F$18,MONTH(EDATE($E40,G$1-1)))/100))),"")</f>
        <v>2843337.5587331653</v>
      </c>
      <c r="H40" cm="1">
        <f t="array" ref="H40">IFERROR(IF($E40&lt;44348,"",IF(INDEX(Raw_매출!$B$2:$BI$155,MATCH($A40,Raw_매출!$A$2:$A$155,0),MATCH(EDATE($E40,H$1-1),Raw_매출!$B$1:$BI$1,0))=0,"",INDEX(Raw_매출!$B$2:$BI$155,MATCH($A40,Raw_매출!$A$2:$A$155,0),MATCH(EDATE($E40,H$1-1),Raw_매출!$B$1:$BI$1,0))/(INDEX(요약_월별시즈널리티!$F$7:$F$18,MONTH(EDATE($E40,H$1-1)))/100))),"")</f>
        <v>3865922.4635843509</v>
      </c>
      <c r="I40" cm="1">
        <f t="array" ref="I40">IFERROR(IF($E40&lt;44348,"",IF(INDEX(Raw_매출!$B$2:$BI$155,MATCH($A40,Raw_매출!$A$2:$A$155,0),MATCH(EDATE($E40,I$1-1),Raw_매출!$B$1:$BI$1,0))=0,"",INDEX(Raw_매출!$B$2:$BI$155,MATCH($A40,Raw_매출!$A$2:$A$155,0),MATCH(EDATE($E40,I$1-1),Raw_매출!$B$1:$BI$1,0))/(INDEX(요약_월별시즈널리티!$F$7:$F$18,MONTH(EDATE($E40,I$1-1)))/100))),"")</f>
        <v>4133671.9112997428</v>
      </c>
      <c r="J40" s="30" cm="1">
        <f t="array" ref="J40">IFERROR(IF($E40&lt;44348,"",IF(INDEX(Raw_매출!$B$2:$BI$155,MATCH($A40,Raw_매출!$A$2:$A$155,0),MATCH(EDATE($E40,J$1-1),Raw_매출!$B$1:$BI$1,0))=0,"",INDEX(Raw_매출!$B$2:$BI$155,MATCH($A40,Raw_매출!$A$2:$A$155,0),MATCH(EDATE($E40,J$1-1),Raw_매출!$B$1:$BI$1,0))/(INDEX(요약_월별시즈널리티!$F$7:$F$18,MONTH(EDATE($E40,J$1-1)))/100))),"")</f>
        <v>4151085.9547397192</v>
      </c>
      <c r="K40" s="30" cm="1">
        <f t="array" ref="K40">IFERROR(IF($E40&lt;44348,"",IF(INDEX(Raw_매출!$B$2:$BI$155,MATCH($A40,Raw_매출!$A$2:$A$155,0),MATCH(EDATE($E40,K$1-1),Raw_매출!$B$1:$BI$1,0))=0,"",INDEX(Raw_매출!$B$2:$BI$155,MATCH($A40,Raw_매출!$A$2:$A$155,0),MATCH(EDATE($E40,K$1-1),Raw_매출!$B$1:$BI$1,0))/(INDEX(요약_월별시즈널리티!$F$7:$F$18,MONTH(EDATE($E40,K$1-1)))/100))),"")</f>
        <v>4397289.287396919</v>
      </c>
      <c r="L40" s="30" cm="1">
        <f t="array" ref="L40">IFERROR(IF($E40&lt;44348,"",IF(INDEX(Raw_매출!$B$2:$BI$155,MATCH($A40,Raw_매출!$A$2:$A$155,0),MATCH(EDATE($E40,L$1-1),Raw_매출!$B$1:$BI$1,0))=0,"",INDEX(Raw_매출!$B$2:$BI$155,MATCH($A40,Raw_매출!$A$2:$A$155,0),MATCH(EDATE($E40,L$1-1),Raw_매출!$B$1:$BI$1,0))/(INDEX(요약_월별시즈널리티!$F$7:$F$18,MONTH(EDATE($E40,L$1-1)))/100))),"")</f>
        <v>4818175.0429283706</v>
      </c>
      <c r="M40" s="30" cm="1">
        <f t="array" ref="M40">IFERROR(IF($E40&lt;44348,"",IF(INDEX(Raw_매출!$B$2:$BI$155,MATCH($A40,Raw_매출!$A$2:$A$155,0),MATCH(EDATE($E40,M$1-1),Raw_매출!$B$1:$BI$1,0))=0,"",INDEX(Raw_매출!$B$2:$BI$155,MATCH($A40,Raw_매출!$A$2:$A$155,0),MATCH(EDATE($E40,M$1-1),Raw_매출!$B$1:$BI$1,0))/(INDEX(요약_월별시즈널리티!$F$7:$F$18,MONTH(EDATE($E40,M$1-1)))/100))),"")</f>
        <v>3298580.3111804379</v>
      </c>
      <c r="N40" s="30" cm="1">
        <f t="array" ref="N40">IFERROR(IF($E40&lt;44348,"",IF(INDEX(Raw_매출!$B$2:$BI$155,MATCH($A40,Raw_매출!$A$2:$A$155,0),MATCH(EDATE($E40,N$1-1),Raw_매출!$B$1:$BI$1,0))=0,"",INDEX(Raw_매출!$B$2:$BI$155,MATCH($A40,Raw_매출!$A$2:$A$155,0),MATCH(EDATE($E40,N$1-1),Raw_매출!$B$1:$BI$1,0))/(INDEX(요약_월별시즈널리티!$F$7:$F$18,MONTH(EDATE($E40,N$1-1)))/100))),"")</f>
        <v>4817662.7449406171</v>
      </c>
      <c r="O40" s="30" cm="1">
        <f t="array" ref="O40">IFERROR(IF($E40&lt;44348,"",IF(INDEX(Raw_매출!$B$2:$BI$155,MATCH($A40,Raw_매출!$A$2:$A$155,0),MATCH(EDATE($E40,O$1-1),Raw_매출!$B$1:$BI$1,0))=0,"",INDEX(Raw_매출!$B$2:$BI$155,MATCH($A40,Raw_매출!$A$2:$A$155,0),MATCH(EDATE($E40,O$1-1),Raw_매출!$B$1:$BI$1,0))/(INDEX(요약_월별시즈널리티!$F$7:$F$18,MONTH(EDATE($E40,O$1-1)))/100))),"")</f>
        <v>5768606.122898452</v>
      </c>
      <c r="P40" cm="1">
        <f t="array" ref="P40">IFERROR(IF($E40&lt;44348,"",IF(INDEX(Raw_매출!$B$2:$BI$155,MATCH($A40,Raw_매출!$A$2:$A$155,0),MATCH(EDATE($E40,P$1-1),Raw_매출!$B$1:$BI$1,0))=0,"",INDEX(Raw_매출!$B$2:$BI$155,MATCH($A40,Raw_매출!$A$2:$A$155,0),MATCH(EDATE($E40,P$1-1),Raw_매출!$B$1:$BI$1,0))/(INDEX(요약_월별시즈널리티!$F$7:$F$18,MONTH(EDATE($E40,P$1-1)))/100))),"")</f>
        <v>5628519.4753148137</v>
      </c>
      <c r="Q40" cm="1">
        <f t="array" ref="Q40">IFERROR(IF($E40&lt;44348,"",IF(INDEX(Raw_매출!$B$2:$BI$155,MATCH($A40,Raw_매출!$A$2:$A$155,0),MATCH(EDATE($E40,Q$1-1),Raw_매출!$B$1:$BI$1,0))=0,"",INDEX(Raw_매출!$B$2:$BI$155,MATCH($A40,Raw_매출!$A$2:$A$155,0),MATCH(EDATE($E40,Q$1-1),Raw_매출!$B$1:$BI$1,0))/(INDEX(요약_월별시즈널리티!$F$7:$F$18,MONTH(EDATE($E40,Q$1-1)))/100))),"")</f>
        <v>6202285.7178714592</v>
      </c>
      <c r="R40" cm="1">
        <f t="array" ref="R40">IFERROR(IF($E40&lt;44348,"",IF(INDEX(Raw_매출!$B$2:$BI$155,MATCH($A40,Raw_매출!$A$2:$A$155,0),MATCH(EDATE($E40,R$1-1),Raw_매출!$B$1:$BI$1,0))=0,"",INDEX(Raw_매출!$B$2:$BI$155,MATCH($A40,Raw_매출!$A$2:$A$155,0),MATCH(EDATE($E40,R$1-1),Raw_매출!$B$1:$BI$1,0))/(INDEX(요약_월별시즈널리티!$F$7:$F$18,MONTH(EDATE($E40,R$1-1)))/100))),"")</f>
        <v>7056835.4169038869</v>
      </c>
      <c r="S40" cm="1">
        <f t="array" ref="S40">IFERROR(IF($E40&lt;44348,"",IF(INDEX(Raw_매출!$B$2:$BI$155,MATCH($A40,Raw_매출!$A$2:$A$155,0),MATCH(EDATE($E40,S$1-1),Raw_매출!$B$1:$BI$1,0))=0,"",INDEX(Raw_매출!$B$2:$BI$155,MATCH($A40,Raw_매출!$A$2:$A$155,0),MATCH(EDATE($E40,S$1-1),Raw_매출!$B$1:$BI$1,0))/(INDEX(요약_월별시즈널리티!$F$7:$F$18,MONTH(EDATE($E40,S$1-1)))/100))),"")</f>
        <v>7391821.1696487889</v>
      </c>
      <c r="T40" cm="1">
        <f t="array" ref="T40">IFERROR(IF($E40&lt;44348,"",IF(INDEX(Raw_매출!$B$2:$BI$155,MATCH($A40,Raw_매출!$A$2:$A$155,0),MATCH(EDATE($E40,T$1-1),Raw_매출!$B$1:$BI$1,0))=0,"",INDEX(Raw_매출!$B$2:$BI$155,MATCH($A40,Raw_매출!$A$2:$A$155,0),MATCH(EDATE($E40,T$1-1),Raw_매출!$B$1:$BI$1,0))/(INDEX(요약_월별시즈널리티!$F$7:$F$18,MONTH(EDATE($E40,T$1-1)))/100))),"")</f>
        <v>6848536.5264158659</v>
      </c>
      <c r="U40" cm="1">
        <f t="array" ref="U40">IFERROR(IF($E40&lt;44348,"",IF(INDEX(Raw_매출!$B$2:$BI$155,MATCH($A40,Raw_매출!$A$2:$A$155,0),MATCH(EDATE($E40,U$1-1),Raw_매출!$B$1:$BI$1,0))=0,"",INDEX(Raw_매출!$B$2:$BI$155,MATCH($A40,Raw_매출!$A$2:$A$155,0),MATCH(EDATE($E40,U$1-1),Raw_매출!$B$1:$BI$1,0))/(INDEX(요약_월별시즈널리티!$F$7:$F$18,MONTH(EDATE($E40,U$1-1)))/100))),"")</f>
        <v>6755508.0165204545</v>
      </c>
      <c r="V40" cm="1">
        <f t="array" ref="V40">IFERROR(IF($E40&lt;44348,"",IF(INDEX(Raw_매출!$B$2:$BI$155,MATCH($A40,Raw_매출!$A$2:$A$155,0),MATCH(EDATE($E40,V$1-1),Raw_매출!$B$1:$BI$1,0))=0,"",INDEX(Raw_매출!$B$2:$BI$155,MATCH($A40,Raw_매출!$A$2:$A$155,0),MATCH(EDATE($E40,V$1-1),Raw_매출!$B$1:$BI$1,0))/(INDEX(요약_월별시즈널리티!$F$7:$F$18,MONTH(EDATE($E40,V$1-1)))/100))),"")</f>
        <v>6851241.6389371138</v>
      </c>
      <c r="W40" cm="1">
        <f t="array" ref="W40">IFERROR(IF($E40&lt;44348,"",IF(INDEX(Raw_매출!$B$2:$BI$155,MATCH($A40,Raw_매출!$A$2:$A$155,0),MATCH(EDATE($E40,W$1-1),Raw_매출!$B$1:$BI$1,0))=0,"",INDEX(Raw_매출!$B$2:$BI$155,MATCH($A40,Raw_매출!$A$2:$A$155,0),MATCH(EDATE($E40,W$1-1),Raw_매출!$B$1:$BI$1,0))/(INDEX(요약_월별시즈널리티!$F$7:$F$18,MONTH(EDATE($E40,W$1-1)))/100))),"")</f>
        <v>7136715.9315789817</v>
      </c>
      <c r="X40" cm="1">
        <f t="array" ref="X40">IFERROR(IF($E40&lt;44348,"",IF(INDEX(Raw_매출!$B$2:$BI$155,MATCH($A40,Raw_매출!$A$2:$A$155,0),MATCH(EDATE($E40,X$1-1),Raw_매출!$B$1:$BI$1,0))=0,"",INDEX(Raw_매출!$B$2:$BI$155,MATCH($A40,Raw_매출!$A$2:$A$155,0),MATCH(EDATE($E40,X$1-1),Raw_매출!$B$1:$BI$1,0))/(INDEX(요약_월별시즈널리티!$F$7:$F$18,MONTH(EDATE($E40,X$1-1)))/100))),"")</f>
        <v>8298334.3078615861</v>
      </c>
      <c r="Y40" cm="1">
        <f t="array" ref="Y40">IFERROR(IF($E40&lt;44348,"",IF(INDEX(Raw_매출!$B$2:$BI$155,MATCH($A40,Raw_매출!$A$2:$A$155,0),MATCH(EDATE($E40,Y$1-1),Raw_매출!$B$1:$BI$1,0))=0,"",INDEX(Raw_매출!$B$2:$BI$155,MATCH($A40,Raw_매출!$A$2:$A$155,0),MATCH(EDATE($E40,Y$1-1),Raw_매출!$B$1:$BI$1,0))/(INDEX(요약_월별시즈널리티!$F$7:$F$18,MONTH(EDATE($E40,Y$1-1)))/100))),"")</f>
        <v>8677414.8099031486</v>
      </c>
      <c r="Z40" cm="1">
        <f t="array" ref="Z40">IFERROR(IF($E40&lt;44348,"",IF(INDEX(Raw_매출!$B$2:$BI$155,MATCH($A40,Raw_매출!$A$2:$A$155,0),MATCH(EDATE($E40,Z$1-1),Raw_매출!$B$1:$BI$1,0))=0,"",INDEX(Raw_매출!$B$2:$BI$155,MATCH($A40,Raw_매출!$A$2:$A$155,0),MATCH(EDATE($E40,Z$1-1),Raw_매출!$B$1:$BI$1,0))/(INDEX(요약_월별시즈널리티!$F$7:$F$18,MONTH(EDATE($E40,Z$1-1)))/100))),"")</f>
        <v>8005939.9590433482</v>
      </c>
      <c r="AA40" cm="1">
        <f t="array" ref="AA40">IFERROR(IF($E40&lt;44348,"",IF(INDEX(Raw_매출!$B$2:$BI$155,MATCH($A40,Raw_매출!$A$2:$A$155,0),MATCH(EDATE($E40,AA$1-1),Raw_매출!$B$1:$BI$1,0))=0,"",INDEX(Raw_매출!$B$2:$BI$155,MATCH($A40,Raw_매출!$A$2:$A$155,0),MATCH(EDATE($E40,AA$1-1),Raw_매출!$B$1:$BI$1,0))/(INDEX(요약_월별시즈널리티!$F$7:$F$18,MONTH(EDATE($E40,AA$1-1)))/100))),"")</f>
        <v>8466328.7089443207</v>
      </c>
      <c r="AB40" cm="1">
        <f t="array" ref="AB40">IFERROR(IF($E40&lt;44348,"",IF(INDEX(Raw_매출!$B$2:$BI$155,MATCH($A40,Raw_매출!$A$2:$A$155,0),MATCH(EDATE($E40,AB$1-1),Raw_매출!$B$1:$BI$1,0))=0,"",INDEX(Raw_매출!$B$2:$BI$155,MATCH($A40,Raw_매출!$A$2:$A$155,0),MATCH(EDATE($E40,AB$1-1),Raw_매출!$B$1:$BI$1,0))/(INDEX(요약_월별시즈널리티!$F$7:$F$18,MONTH(EDATE($E40,AB$1-1)))/100))),"")</f>
        <v>8297192.7820017803</v>
      </c>
      <c r="AC40" cm="1">
        <f t="array" ref="AC40">IFERROR(IF($E40&lt;44348,"",IF(INDEX(Raw_매출!$B$2:$BI$155,MATCH($A40,Raw_매출!$A$2:$A$155,0),MATCH(EDATE($E40,AC$1-1),Raw_매출!$B$1:$BI$1,0))=0,"",INDEX(Raw_매출!$B$2:$BI$155,MATCH($A40,Raw_매출!$A$2:$A$155,0),MATCH(EDATE($E40,AC$1-1),Raw_매출!$B$1:$BI$1,0))/(INDEX(요약_월별시즈널리티!$F$7:$F$18,MONTH(EDATE($E40,AC$1-1)))/100))),"")</f>
        <v>7935520.542402911</v>
      </c>
      <c r="AD40" cm="1">
        <f t="array" ref="AD40">IFERROR(IF($E40&lt;44348,"",IF(INDEX(Raw_매출!$B$2:$BI$155,MATCH($A40,Raw_매출!$A$2:$A$155,0),MATCH(EDATE($E40,AD$1-1),Raw_매출!$B$1:$BI$1,0))=0,"",INDEX(Raw_매출!$B$2:$BI$155,MATCH($A40,Raw_매출!$A$2:$A$155,0),MATCH(EDATE($E40,AD$1-1),Raw_매출!$B$1:$BI$1,0))/(INDEX(요약_월별시즈널리티!$F$7:$F$18,MONTH(EDATE($E40,AD$1-1)))/100))),"")</f>
        <v>8917768.866494894</v>
      </c>
      <c r="AE40" cm="1">
        <f t="array" ref="AE40">IFERROR(IF($E40&lt;44348,"",IF(INDEX(Raw_매출!$B$2:$BI$155,MATCH($A40,Raw_매출!$A$2:$A$155,0),MATCH(EDATE($E40,AE$1-1),Raw_매출!$B$1:$BI$1,0))=0,"",INDEX(Raw_매출!$B$2:$BI$155,MATCH($A40,Raw_매출!$A$2:$A$155,0),MATCH(EDATE($E40,AE$1-1),Raw_매출!$B$1:$BI$1,0))/(INDEX(요약_월별시즈널리티!$F$7:$F$18,MONTH(EDATE($E40,AE$1-1)))/100))),"")</f>
        <v>8253204.0157473283</v>
      </c>
      <c r="AF40" cm="1">
        <f t="array" ref="AF40">IFERROR(IF($E40&lt;44348,"",IF(INDEX(Raw_매출!$B$2:$BI$155,MATCH($A40,Raw_매출!$A$2:$A$155,0),MATCH(EDATE($E40,AF$1-1),Raw_매출!$B$1:$BI$1,0))=0,"",INDEX(Raw_매출!$B$2:$BI$155,MATCH($A40,Raw_매출!$A$2:$A$155,0),MATCH(EDATE($E40,AF$1-1),Raw_매출!$B$1:$BI$1,0))/(INDEX(요약_월별시즈널리티!$F$7:$F$18,MONTH(EDATE($E40,AF$1-1)))/100))),"")</f>
        <v>8942948.2364777122</v>
      </c>
      <c r="AG40" cm="1">
        <f t="array" ref="AG40">IFERROR(IF($E40&lt;44348,"",IF(INDEX(Raw_매출!$B$2:$BI$155,MATCH($A40,Raw_매출!$A$2:$A$155,0),MATCH(EDATE($E40,AG$1-1),Raw_매출!$B$1:$BI$1,0))=0,"",INDEX(Raw_매출!$B$2:$BI$155,MATCH($A40,Raw_매출!$A$2:$A$155,0),MATCH(EDATE($E40,AG$1-1),Raw_매출!$B$1:$BI$1,0))/(INDEX(요약_월별시즈널리티!$F$7:$F$18,MONTH(EDATE($E40,AG$1-1)))/100))),"")</f>
        <v>8322623.2389467331</v>
      </c>
      <c r="AH40" cm="1">
        <f t="array" ref="AH40">IFERROR(IF($E40&lt;44348,"",IF(INDEX(Raw_매출!$B$2:$BI$155,MATCH($A40,Raw_매출!$A$2:$A$155,0),MATCH(EDATE($E40,AH$1-1),Raw_매출!$B$1:$BI$1,0))=0,"",INDEX(Raw_매출!$B$2:$BI$155,MATCH($A40,Raw_매출!$A$2:$A$155,0),MATCH(EDATE($E40,AH$1-1),Raw_매출!$B$1:$BI$1,0))/(INDEX(요약_월별시즈널리티!$F$7:$F$18,MONTH(EDATE($E40,AH$1-1)))/100))),"")</f>
        <v>8510984.4613236729</v>
      </c>
      <c r="AI40" cm="1">
        <f t="array" ref="AI40">IFERROR(IF($E40&lt;44348,"",IF(INDEX(Raw_매출!$B$2:$BI$155,MATCH($A40,Raw_매출!$A$2:$A$155,0),MATCH(EDATE($E40,AI$1-1),Raw_매출!$B$1:$BI$1,0))=0,"",INDEX(Raw_매출!$B$2:$BI$155,MATCH($A40,Raw_매출!$A$2:$A$155,0),MATCH(EDATE($E40,AI$1-1),Raw_매출!$B$1:$BI$1,0))/(INDEX(요약_월별시즈널리티!$F$7:$F$18,MONTH(EDATE($E40,AI$1-1)))/100))),"")</f>
        <v>8378830.6374141742</v>
      </c>
      <c r="AJ40" cm="1">
        <f t="array" ref="AJ40">IFERROR(IF($E40&lt;44348,"",IF(INDEX(Raw_매출!$B$2:$BI$155,MATCH($A40,Raw_매출!$A$2:$A$155,0),MATCH(EDATE($E40,AJ$1-1),Raw_매출!$B$1:$BI$1,0))=0,"",INDEX(Raw_매출!$B$2:$BI$155,MATCH($A40,Raw_매출!$A$2:$A$155,0),MATCH(EDATE($E40,AJ$1-1),Raw_매출!$B$1:$BI$1,0))/(INDEX(요약_월별시즈널리티!$F$7:$F$18,MONTH(EDATE($E40,AJ$1-1)))/100))),"")</f>
        <v>8877262.3168956153</v>
      </c>
      <c r="AK40" cm="1">
        <f t="array" ref="AK40">IFERROR(IF($E40&lt;44348,"",IF(INDEX(Raw_매출!$B$2:$BI$155,MATCH($A40,Raw_매출!$A$2:$A$155,0),MATCH(EDATE($E40,AK$1-1),Raw_매출!$B$1:$BI$1,0))=0,"",INDEX(Raw_매출!$B$2:$BI$155,MATCH($A40,Raw_매출!$A$2:$A$155,0),MATCH(EDATE($E40,AK$1-1),Raw_매출!$B$1:$BI$1,0))/(INDEX(요약_월별시즈널리티!$F$7:$F$18,MONTH(EDATE($E40,AK$1-1)))/100))),"")</f>
        <v>8810292.9147307612</v>
      </c>
      <c r="AL40" cm="1">
        <f t="array" ref="AL40">IFERROR(IF($E40&lt;44348,"",IF(INDEX(Raw_매출!$B$2:$BI$155,MATCH($A40,Raw_매출!$A$2:$A$155,0),MATCH(EDATE($E40,AL$1-1),Raw_매출!$B$1:$BI$1,0))=0,"",INDEX(Raw_매출!$B$2:$BI$155,MATCH($A40,Raw_매출!$A$2:$A$155,0),MATCH(EDATE($E40,AL$1-1),Raw_매출!$B$1:$BI$1,0))/(INDEX(요약_월별시즈널리티!$F$7:$F$18,MONTH(EDATE($E40,AL$1-1)))/100))),"")</f>
        <v>8674859.6805393547</v>
      </c>
      <c r="AM40" cm="1">
        <f t="array" ref="AM40">IFERROR(IF($E40&lt;44348,"",IF(INDEX(Raw_매출!$B$2:$BI$155,MATCH($A40,Raw_매출!$A$2:$A$155,0),MATCH(EDATE($E40,AM$1-1),Raw_매출!$B$1:$BI$1,0))=0,"",INDEX(Raw_매출!$B$2:$BI$155,MATCH($A40,Raw_매출!$A$2:$A$155,0),MATCH(EDATE($E40,AM$1-1),Raw_매출!$B$1:$BI$1,0))/(INDEX(요약_월별시즈널리티!$F$7:$F$18,MONTH(EDATE($E40,AM$1-1)))/100))),"")</f>
        <v>9189127.2737532146</v>
      </c>
      <c r="AN40" cm="1">
        <f t="array" ref="AN40">IFERROR(IF($E40&lt;44348,"",IF(INDEX(Raw_매출!$B$2:$BI$155,MATCH($A40,Raw_매출!$A$2:$A$155,0),MATCH(EDATE($E40,AN$1-1),Raw_매출!$B$1:$BI$1,0))=0,"",INDEX(Raw_매출!$B$2:$BI$155,MATCH($A40,Raw_매출!$A$2:$A$155,0),MATCH(EDATE($E40,AN$1-1),Raw_매출!$B$1:$BI$1,0))/(INDEX(요약_월별시즈널리티!$F$7:$F$18,MONTH(EDATE($E40,AN$1-1)))/100))),"")</f>
        <v>9226326.5233320333</v>
      </c>
      <c r="AO40" cm="1">
        <f t="array" ref="AO40">IFERROR(IF($E40&lt;44348,"",IF(INDEX(Raw_매출!$B$2:$BI$155,MATCH($A40,Raw_매출!$A$2:$A$155,0),MATCH(EDATE($E40,AO$1-1),Raw_매출!$B$1:$BI$1,0))=0,"",INDEX(Raw_매출!$B$2:$BI$155,MATCH($A40,Raw_매출!$A$2:$A$155,0),MATCH(EDATE($E40,AO$1-1),Raw_매출!$B$1:$BI$1,0))/(INDEX(요약_월별시즈널리티!$F$7:$F$18,MONTH(EDATE($E40,AO$1-1)))/100))),"")</f>
        <v>9497037.1819611359</v>
      </c>
      <c r="AP40" cm="1">
        <f t="array" ref="AP40">IFERROR(IF($E40&lt;44348,"",IF(INDEX(Raw_매출!$B$2:$BI$155,MATCH($A40,Raw_매출!$A$2:$A$155,0),MATCH(EDATE($E40,AP$1-1),Raw_매출!$B$1:$BI$1,0))=0,"",INDEX(Raw_매출!$B$2:$BI$155,MATCH($A40,Raw_매출!$A$2:$A$155,0),MATCH(EDATE($E40,AP$1-1),Raw_매출!$B$1:$BI$1,0))/(INDEX(요약_월별시즈널리티!$F$7:$F$18,MONTH(EDATE($E40,AP$1-1)))/100))),"")</f>
        <v>9916539.8734494112</v>
      </c>
      <c r="AQ40" cm="1">
        <f t="array" ref="AQ40">IFERROR(IF($E40&lt;44348,"",IF(INDEX(Raw_매출!$B$2:$BI$155,MATCH($A40,Raw_매출!$A$2:$A$155,0),MATCH(EDATE($E40,AQ$1-1),Raw_매출!$B$1:$BI$1,0))=0,"",INDEX(Raw_매출!$B$2:$BI$155,MATCH($A40,Raw_매출!$A$2:$A$155,0),MATCH(EDATE($E40,AQ$1-1),Raw_매출!$B$1:$BI$1,0))/(INDEX(요약_월별시즈널리티!$F$7:$F$18,MONTH(EDATE($E40,AQ$1-1)))/100))),"")</f>
        <v>9184163.8607912567</v>
      </c>
      <c r="AR40" cm="1">
        <f t="array" ref="AR40">IFERROR(IF($E40&lt;44348,"",IF(INDEX(Raw_매출!$B$2:$BI$155,MATCH($A40,Raw_매출!$A$2:$A$155,0),MATCH(EDATE($E40,AR$1-1),Raw_매출!$B$1:$BI$1,0))=0,"",INDEX(Raw_매출!$B$2:$BI$155,MATCH($A40,Raw_매출!$A$2:$A$155,0),MATCH(EDATE($E40,AR$1-1),Raw_매출!$B$1:$BI$1,0))/(INDEX(요약_월별시즈널리티!$F$7:$F$18,MONTH(EDATE($E40,AR$1-1)))/100))),"")</f>
        <v>8604866.0410290062</v>
      </c>
      <c r="AS40" cm="1">
        <f t="array" ref="AS40">IFERROR(IF($E40&lt;44348,"",IF(INDEX(Raw_매출!$B$2:$BI$155,MATCH($A40,Raw_매출!$A$2:$A$155,0),MATCH(EDATE($E40,AS$1-1),Raw_매출!$B$1:$BI$1,0))=0,"",INDEX(Raw_매출!$B$2:$BI$155,MATCH($A40,Raw_매출!$A$2:$A$155,0),MATCH(EDATE($E40,AS$1-1),Raw_매출!$B$1:$BI$1,0))/(INDEX(요약_월별시즈널리티!$F$7:$F$18,MONTH(EDATE($E40,AS$1-1)))/100))),"")</f>
        <v>7879263.2878048792</v>
      </c>
      <c r="AT40" cm="1">
        <f t="array" ref="AT40">IFERROR(IF($E40&lt;44348,"",IF(INDEX(Raw_매출!$B$2:$BI$155,MATCH($A40,Raw_매출!$A$2:$A$155,0),MATCH(EDATE($E40,AT$1-1),Raw_매출!$B$1:$BI$1,0))=0,"",INDEX(Raw_매출!$B$2:$BI$155,MATCH($A40,Raw_매출!$A$2:$A$155,0),MATCH(EDATE($E40,AT$1-1),Raw_매출!$B$1:$BI$1,0))/(INDEX(요약_월별시즈널리티!$F$7:$F$18,MONTH(EDATE($E40,AT$1-1)))/100))),"")</f>
        <v>8596468.90067113</v>
      </c>
      <c r="AU40" cm="1">
        <f t="array" ref="AU40">IFERROR(IF($E40&lt;44348,"",IF(INDEX(Raw_매출!$B$2:$BI$155,MATCH($A40,Raw_매출!$A$2:$A$155,0),MATCH(EDATE($E40,AU$1-1),Raw_매출!$B$1:$BI$1,0))=0,"",INDEX(Raw_매출!$B$2:$BI$155,MATCH($A40,Raw_매출!$A$2:$A$155,0),MATCH(EDATE($E40,AU$1-1),Raw_매출!$B$1:$BI$1,0))/(INDEX(요약_월별시즈널리티!$F$7:$F$18,MONTH(EDATE($E40,AU$1-1)))/100))),"")</f>
        <v>8689383.5077706315</v>
      </c>
      <c r="AV40" cm="1">
        <f t="array" ref="AV40">IFERROR(IF($E40&lt;44348,"",IF(INDEX(Raw_매출!$B$2:$BI$155,MATCH($A40,Raw_매출!$A$2:$A$155,0),MATCH(EDATE($E40,AV$1-1),Raw_매출!$B$1:$BI$1,0))=0,"",INDEX(Raw_매출!$B$2:$BI$155,MATCH($A40,Raw_매출!$A$2:$A$155,0),MATCH(EDATE($E40,AV$1-1),Raw_매출!$B$1:$BI$1,0))/(INDEX(요약_월별시즈널리티!$F$7:$F$18,MONTH(EDATE($E40,AV$1-1)))/100))),"")</f>
        <v>9795824.4294458702</v>
      </c>
      <c r="AW40" cm="1">
        <f t="array" ref="AW40">IFERROR(IF($E40&lt;44348,"",IF(INDEX(Raw_매출!$B$2:$BI$155,MATCH($A40,Raw_매출!$A$2:$A$155,0),MATCH(EDATE($E40,AW$1-1),Raw_매출!$B$1:$BI$1,0))=0,"",INDEX(Raw_매출!$B$2:$BI$155,MATCH($A40,Raw_매출!$A$2:$A$155,0),MATCH(EDATE($E40,AW$1-1),Raw_매출!$B$1:$BI$1,0))/(INDEX(요약_월별시즈널리티!$F$7:$F$18,MONTH(EDATE($E40,AW$1-1)))/100))),"")</f>
        <v>9675803.9418186117</v>
      </c>
      <c r="AX40" cm="1">
        <f t="array" ref="AX40">IFERROR(IF($E40&lt;44348,"",IF(INDEX(Raw_매출!$B$2:$BI$155,MATCH($A40,Raw_매출!$A$2:$A$155,0),MATCH(EDATE($E40,AX$1-1),Raw_매출!$B$1:$BI$1,0))=0,"",INDEX(Raw_매출!$B$2:$BI$155,MATCH($A40,Raw_매출!$A$2:$A$155,0),MATCH(EDATE($E40,AX$1-1),Raw_매출!$B$1:$BI$1,0))/(INDEX(요약_월별시즈널리티!$F$7:$F$18,MONTH(EDATE($E40,AX$1-1)))/100))),"")</f>
        <v>8540427.3986639343</v>
      </c>
      <c r="AY40" cm="1">
        <f t="array" ref="AY40">IFERROR(IF($E40&lt;44348,"",IF(INDEX(Raw_매출!$B$2:$BI$155,MATCH($A40,Raw_매출!$A$2:$A$155,0),MATCH(EDATE($E40,AY$1-1),Raw_매출!$B$1:$BI$1,0))=0,"",INDEX(Raw_매출!$B$2:$BI$155,MATCH($A40,Raw_매출!$A$2:$A$155,0),MATCH(EDATE($E40,AY$1-1),Raw_매출!$B$1:$BI$1,0))/(INDEX(요약_월별시즈널리티!$F$7:$F$18,MONTH(EDATE($E40,AY$1-1)))/100))),"")</f>
        <v>7497395.2120731929</v>
      </c>
      <c r="AZ40" cm="1">
        <f t="array" ref="AZ40">IFERROR(IF($E40&lt;44348,"",IF(INDEX(Raw_매출!$B$2:$BI$155,MATCH($A40,Raw_매출!$A$2:$A$155,0),MATCH(EDATE($E40,AZ$1-1),Raw_매출!$B$1:$BI$1,0))=0,"",INDEX(Raw_매출!$B$2:$BI$155,MATCH($A40,Raw_매출!$A$2:$A$155,0),MATCH(EDATE($E40,AZ$1-1),Raw_매출!$B$1:$BI$1,0))/(INDEX(요약_월별시즈널리티!$F$7:$F$18,MONTH(EDATE($E40,AZ$1-1)))/100))),"")</f>
        <v>8424262.9726317171</v>
      </c>
      <c r="BA40" cm="1">
        <f t="array" ref="BA40">IFERROR(IF($E40&lt;44348,"",IF(INDEX(Raw_매출!$B$2:$BI$155,MATCH($A40,Raw_매출!$A$2:$A$155,0),MATCH(EDATE($E40,BA$1-1),Raw_매출!$B$1:$BI$1,0))=0,"",INDEX(Raw_매출!$B$2:$BI$155,MATCH($A40,Raw_매출!$A$2:$A$155,0),MATCH(EDATE($E40,BA$1-1),Raw_매출!$B$1:$BI$1,0))/(INDEX(요약_월별시즈널리티!$F$7:$F$18,MONTH(EDATE($E40,BA$1-1)))/100))),"")</f>
        <v>8014929.2577429367</v>
      </c>
      <c r="BB40" cm="1">
        <f t="array" ref="BB40">IFERROR(IF($E40&lt;44348,"",IF(INDEX(Raw_매출!$B$2:$BI$155,MATCH($A40,Raw_매출!$A$2:$A$155,0),MATCH(EDATE($E40,BB$1-1),Raw_매출!$B$1:$BI$1,0))=0,"",INDEX(Raw_매출!$B$2:$BI$155,MATCH($A40,Raw_매출!$A$2:$A$155,0),MATCH(EDATE($E40,BB$1-1),Raw_매출!$B$1:$BI$1,0))/(INDEX(요약_월별시즈널리티!$F$7:$F$18,MONTH(EDATE($E40,BB$1-1)))/100))),"")</f>
        <v>7101639.204781617</v>
      </c>
      <c r="BC40" cm="1">
        <f t="array" ref="BC40">IFERROR(IF($E40&lt;44348,"",IF(INDEX(Raw_매출!$B$2:$BI$155,MATCH($A40,Raw_매출!$A$2:$A$155,0),MATCH(EDATE($E40,BC$1-1),Raw_매출!$B$1:$BI$1,0))=0,"",INDEX(Raw_매출!$B$2:$BI$155,MATCH($A40,Raw_매출!$A$2:$A$155,0),MATCH(EDATE($E40,BC$1-1),Raw_매출!$B$1:$BI$1,0))/(INDEX(요약_월별시즈널리티!$F$7:$F$18,MONTH(EDATE($E40,BC$1-1)))/100))),"")</f>
        <v>7780090.2224960048</v>
      </c>
      <c r="BD40" cm="1">
        <f t="array" ref="BD40">IFERROR(IF($E40&lt;44348,"",IF(INDEX(Raw_매출!$B$2:$BI$155,MATCH($A40,Raw_매출!$A$2:$A$155,0),MATCH(EDATE($E40,BD$1-1),Raw_매출!$B$1:$BI$1,0))=0,"",INDEX(Raw_매출!$B$2:$BI$155,MATCH($A40,Raw_매출!$A$2:$A$155,0),MATCH(EDATE($E40,BD$1-1),Raw_매출!$B$1:$BI$1,0))/(INDEX(요약_월별시즈널리티!$F$7:$F$18,MONTH(EDATE($E40,BD$1-1)))/100))),"")</f>
        <v>6951009.8890540851</v>
      </c>
      <c r="BE40" cm="1">
        <f t="array" ref="BE40">IFERROR(IF($E40&lt;44348,"",IF(INDEX(Raw_매출!$B$2:$BI$155,MATCH($A40,Raw_매출!$A$2:$A$155,0),MATCH(EDATE($E40,BE$1-1),Raw_매출!$B$1:$BI$1,0))=0,"",INDEX(Raw_매출!$B$2:$BI$155,MATCH($A40,Raw_매출!$A$2:$A$155,0),MATCH(EDATE($E40,BE$1-1),Raw_매출!$B$1:$BI$1,0))/(INDEX(요약_월별시즈널리티!$F$7:$F$18,MONTH(EDATE($E40,BE$1-1)))/100))),"")</f>
        <v>7495456.310392987</v>
      </c>
      <c r="BF40" cm="1">
        <f t="array" ref="BF40">IFERROR(IF($E40&lt;44348,"",IF(INDEX(Raw_매출!$B$2:$BI$155,MATCH($A40,Raw_매출!$A$2:$A$155,0),MATCH(EDATE($E40,BF$1-1),Raw_매출!$B$1:$BI$1,0))=0,"",INDEX(Raw_매출!$B$2:$BI$155,MATCH($A40,Raw_매출!$A$2:$A$155,0),MATCH(EDATE($E40,BF$1-1),Raw_매출!$B$1:$BI$1,0))/(INDEX(요약_월별시즈널리티!$F$7:$F$18,MONTH(EDATE($E40,BF$1-1)))/100))),"")</f>
        <v>7002520.281602555</v>
      </c>
      <c r="BG40" cm="1">
        <f t="array" ref="BG40">IFERROR(IF($E40&lt;44348,"",IF(INDEX(Raw_매출!$B$2:$BI$155,MATCH($A40,Raw_매출!$A$2:$A$155,0),MATCH(EDATE($E40,BG$1-1),Raw_매출!$B$1:$BI$1,0))=0,"",INDEX(Raw_매출!$B$2:$BI$155,MATCH($A40,Raw_매출!$A$2:$A$155,0),MATCH(EDATE($E40,BG$1-1),Raw_매출!$B$1:$BI$1,0))/(INDEX(요약_월별시즈널리티!$F$7:$F$18,MONTH(EDATE($E40,BG$1-1)))/100))),"")</f>
        <v>7087118.441377148</v>
      </c>
      <c r="BH40" cm="1">
        <f t="array" ref="BH40">IFERROR(IF($E40&lt;44348,"",IF(INDEX(Raw_매출!$B$2:$BI$155,MATCH($A40,Raw_매출!$A$2:$A$155,0),MATCH(EDATE($E40,BH$1-1),Raw_매출!$B$1:$BI$1,0))=0,"",INDEX(Raw_매출!$B$2:$BI$155,MATCH($A40,Raw_매출!$A$2:$A$155,0),MATCH(EDATE($E40,BH$1-1),Raw_매출!$B$1:$BI$1,0))/(INDEX(요약_월별시즈널리티!$F$7:$F$18,MONTH(EDATE($E40,BH$1-1)))/100))),"")</f>
        <v>7366864.4076336278</v>
      </c>
      <c r="BI40" cm="1">
        <f t="array" ref="BI40">IFERROR(IF($E40&lt;44348,"",IF(INDEX(Raw_매출!$B$2:$BI$155,MATCH($A40,Raw_매출!$A$2:$A$155,0),MATCH(EDATE($E40,BI$1-1),Raw_매출!$B$1:$BI$1,0))=0,"",INDEX(Raw_매출!$B$2:$BI$155,MATCH($A40,Raw_매출!$A$2:$A$155,0),MATCH(EDATE($E40,BI$1-1),Raw_매출!$B$1:$BI$1,0))/(INDEX(요약_월별시즈널리티!$F$7:$F$18,MONTH(EDATE($E40,BI$1-1)))/100))),"")</f>
        <v>7343306.7733174236</v>
      </c>
      <c r="BJ40" cm="1">
        <f t="array" ref="BJ40">IFERROR(IF($E40&lt;44348,"",IF(INDEX(Raw_매출!$B$2:$BI$155,MATCH($A40,Raw_매출!$A$2:$A$155,0),MATCH(EDATE($E40,BJ$1-1),Raw_매출!$B$1:$BI$1,0))=0,"",INDEX(Raw_매출!$B$2:$BI$155,MATCH($A40,Raw_매출!$A$2:$A$155,0),MATCH(EDATE($E40,BJ$1-1),Raw_매출!$B$1:$BI$1,0))/(INDEX(요약_월별시즈널리티!$F$7:$F$18,MONTH(EDATE($E40,BJ$1-1)))/100))),"")</f>
        <v>6993051.4256814579</v>
      </c>
      <c r="BK40" cm="1">
        <f t="array" ref="BK40">IFERROR(IF($E40&lt;44348,"",IF(INDEX(Raw_매출!$B$2:$BI$155,MATCH($A40,Raw_매출!$A$2:$A$155,0),MATCH(EDATE($E40,BK$1-1),Raw_매출!$B$1:$BI$1,0))=0,"",INDEX(Raw_매출!$B$2:$BI$155,MATCH($A40,Raw_매출!$A$2:$A$155,0),MATCH(EDATE($E40,BK$1-1),Raw_매출!$B$1:$BI$1,0))/(INDEX(요약_월별시즈널리티!$F$7:$F$18,MONTH(EDATE($E40,BK$1-1)))/100))),"")</f>
        <v>6840648.5189788779</v>
      </c>
      <c r="BL40" cm="1">
        <f t="array" ref="BL40">IFERROR(IF($E40&lt;44348,"",IF(INDEX(Raw_매출!$B$2:$BI$155,MATCH($A40,Raw_매출!$A$2:$A$155,0),MATCH(EDATE($E40,BL$1-1),Raw_매출!$B$1:$BI$1,0))=0,"",INDEX(Raw_매출!$B$2:$BI$155,MATCH($A40,Raw_매출!$A$2:$A$155,0),MATCH(EDATE($E40,BL$1-1),Raw_매출!$B$1:$BI$1,0))/(INDEX(요약_월별시즈널리티!$F$7:$F$18,MONTH(EDATE($E40,BL$1-1)))/100))),"")</f>
        <v>7279634.7396707712</v>
      </c>
      <c r="BM40" t="str" cm="1">
        <f t="array" ref="BM40">IFERROR(IF($E40&lt;44348,"",IF(INDEX(Raw_매출!$B$2:$BI$155,MATCH($A40,Raw_매출!$A$2:$A$155,0),MATCH(EDATE($E40,BM$1-1),Raw_매출!$B$1:$BI$1,0))=0,"",INDEX(Raw_매출!$B$2:$BI$155,MATCH($A40,Raw_매출!$A$2:$A$155,0),MATCH(EDATE($E40,BM$1-1),Raw_매출!$B$1:$BI$1,0))/(INDEX(요약_월별시즈널리티!$F$7:$F$18,MONTH(EDATE($E40,BM$1-1)))/100))),"")</f>
        <v/>
      </c>
      <c r="BN40" t="str" cm="1">
        <f t="array" ref="BN40">IFERROR(IF($E40&lt;44348,"",IF(INDEX(Raw_매출!$B$2:$BI$155,MATCH($A40,Raw_매출!$A$2:$A$155,0),MATCH(EDATE($E40,BN$1-1),Raw_매출!$B$1:$BI$1,0))=0,"",INDEX(Raw_매출!$B$2:$BI$155,MATCH($A40,Raw_매출!$A$2:$A$155,0),MATCH(EDATE($E40,BN$1-1),Raw_매출!$B$1:$BI$1,0))/(INDEX(요약_월별시즈널리티!$F$7:$F$18,MONTH(EDATE($E40,BN$1-1)))/100))),"")</f>
        <v/>
      </c>
    </row>
    <row r="41" spans="1:66" x14ac:dyDescent="0.4">
      <c r="A41" t="str">
        <f>세팅!A42</f>
        <v>(1029) #사당까치점</v>
      </c>
      <c r="B41" t="str">
        <f>세팅!B42</f>
        <v>150-2</v>
      </c>
      <c r="C41">
        <f t="shared" si="0"/>
        <v>2</v>
      </c>
      <c r="D41" t="str">
        <f t="shared" si="1"/>
        <v>2</v>
      </c>
      <c r="E41" s="1">
        <f>세팅!D42</f>
        <v>44470</v>
      </c>
      <c r="F41">
        <f t="shared" si="2"/>
        <v>2549586.4360653902</v>
      </c>
      <c r="G41" cm="1">
        <f t="array" ref="G41">IFERROR(IF($E41&lt;44348,"",IF(INDEX(Raw_매출!$B$2:$BI$155,MATCH($A41,Raw_매출!$A$2:$A$155,0),MATCH(EDATE($E41,G$1-1),Raw_매출!$B$1:$BI$1,0))=0,"",INDEX(Raw_매출!$B$2:$BI$155,MATCH($A41,Raw_매출!$A$2:$A$155,0),MATCH(EDATE($E41,G$1-1),Raw_매출!$B$1:$BI$1,0))/(INDEX(요약_월별시즈널리티!$F$7:$F$18,MONTH(EDATE($E41,G$1-1)))/100))),"")</f>
        <v>2367178.8002107078</v>
      </c>
      <c r="H41" cm="1">
        <f t="array" ref="H41">IFERROR(IF($E41&lt;44348,"",IF(INDEX(Raw_매출!$B$2:$BI$155,MATCH($A41,Raw_매출!$A$2:$A$155,0),MATCH(EDATE($E41,H$1-1),Raw_매출!$B$1:$BI$1,0))=0,"",INDEX(Raw_매출!$B$2:$BI$155,MATCH($A41,Raw_매출!$A$2:$A$155,0),MATCH(EDATE($E41,H$1-1),Raw_매출!$B$1:$BI$1,0))/(INDEX(요약_월별시즈널리티!$F$7:$F$18,MONTH(EDATE($E41,H$1-1)))/100))),"")</f>
        <v>2157857.7689662301</v>
      </c>
      <c r="I41" cm="1">
        <f t="array" ref="I41">IFERROR(IF($E41&lt;44348,"",IF(INDEX(Raw_매출!$B$2:$BI$155,MATCH($A41,Raw_매출!$A$2:$A$155,0),MATCH(EDATE($E41,I$1-1),Raw_매출!$B$1:$BI$1,0))=0,"",INDEX(Raw_매출!$B$2:$BI$155,MATCH($A41,Raw_매출!$A$2:$A$155,0),MATCH(EDATE($E41,I$1-1),Raw_매출!$B$1:$BI$1,0))/(INDEX(요약_월별시즈널리티!$F$7:$F$18,MONTH(EDATE($E41,I$1-1)))/100))),"")</f>
        <v>1846768.5961396936</v>
      </c>
      <c r="J41" s="30" cm="1">
        <f t="array" ref="J41">IFERROR(IF($E41&lt;44348,"",IF(INDEX(Raw_매출!$B$2:$BI$155,MATCH($A41,Raw_매출!$A$2:$A$155,0),MATCH(EDATE($E41,J$1-1),Raw_매출!$B$1:$BI$1,0))=0,"",INDEX(Raw_매출!$B$2:$BI$155,MATCH($A41,Raw_매출!$A$2:$A$155,0),MATCH(EDATE($E41,J$1-1),Raw_매출!$B$1:$BI$1,0))/(INDEX(요약_월별시즈널리티!$F$7:$F$18,MONTH(EDATE($E41,J$1-1)))/100))),"")</f>
        <v>2550578.8451142479</v>
      </c>
      <c r="K41" s="30" cm="1">
        <f t="array" ref="K41">IFERROR(IF($E41&lt;44348,"",IF(INDEX(Raw_매출!$B$2:$BI$155,MATCH($A41,Raw_매출!$A$2:$A$155,0),MATCH(EDATE($E41,K$1-1),Raw_매출!$B$1:$BI$1,0))=0,"",INDEX(Raw_매출!$B$2:$BI$155,MATCH($A41,Raw_매출!$A$2:$A$155,0),MATCH(EDATE($E41,K$1-1),Raw_매출!$B$1:$BI$1,0))/(INDEX(요약_월별시즈널리티!$F$7:$F$18,MONTH(EDATE($E41,K$1-1)))/100))),"")</f>
        <v>2152862.5805373602</v>
      </c>
      <c r="L41" s="30" cm="1">
        <f t="array" ref="L41">IFERROR(IF($E41&lt;44348,"",IF(INDEX(Raw_매출!$B$2:$BI$155,MATCH($A41,Raw_매출!$A$2:$A$155,0),MATCH(EDATE($E41,L$1-1),Raw_매출!$B$1:$BI$1,0))=0,"",INDEX(Raw_매출!$B$2:$BI$155,MATCH($A41,Raw_매출!$A$2:$A$155,0),MATCH(EDATE($E41,L$1-1),Raw_매출!$B$1:$BI$1,0))/(INDEX(요약_월별시즈널리티!$F$7:$F$18,MONTH(EDATE($E41,L$1-1)))/100))),"")</f>
        <v>2803391.0974265682</v>
      </c>
      <c r="M41" s="30" cm="1">
        <f t="array" ref="M41">IFERROR(IF($E41&lt;44348,"",IF(INDEX(Raw_매출!$B$2:$BI$155,MATCH($A41,Raw_매출!$A$2:$A$155,0),MATCH(EDATE($E41,M$1-1),Raw_매출!$B$1:$BI$1,0))=0,"",INDEX(Raw_매출!$B$2:$BI$155,MATCH($A41,Raw_매출!$A$2:$A$155,0),MATCH(EDATE($E41,M$1-1),Raw_매출!$B$1:$BI$1,0))/(INDEX(요약_월별시즈널리티!$F$7:$F$18,MONTH(EDATE($E41,M$1-1)))/100))),"")</f>
        <v>2546427.1158493124</v>
      </c>
      <c r="N41" s="30" cm="1">
        <f t="array" ref="N41">IFERROR(IF($E41&lt;44348,"",IF(INDEX(Raw_매출!$B$2:$BI$155,MATCH($A41,Raw_매출!$A$2:$A$155,0),MATCH(EDATE($E41,N$1-1),Raw_매출!$B$1:$BI$1,0))=0,"",INDEX(Raw_매출!$B$2:$BI$155,MATCH($A41,Raw_매출!$A$2:$A$155,0),MATCH(EDATE($E41,N$1-1),Raw_매출!$B$1:$BI$1,0))/(INDEX(요약_월별시즈널리티!$F$7:$F$18,MONTH(EDATE($E41,N$1-1)))/100))),"")</f>
        <v>2211414.2294929768</v>
      </c>
      <c r="O41" s="30" cm="1">
        <f t="array" ref="O41">IFERROR(IF($E41&lt;44348,"",IF(INDEX(Raw_매출!$B$2:$BI$155,MATCH($A41,Raw_매출!$A$2:$A$155,0),MATCH(EDATE($E41,O$1-1),Raw_매출!$B$1:$BI$1,0))=0,"",INDEX(Raw_매출!$B$2:$BI$155,MATCH($A41,Raw_매출!$A$2:$A$155,0),MATCH(EDATE($E41,O$1-1),Raw_매출!$B$1:$BI$1,0))/(INDEX(요약_월별시즈널리티!$F$7:$F$18,MONTH(EDATE($E41,O$1-1)))/100))),"")</f>
        <v>3032844.7479718742</v>
      </c>
      <c r="P41" cm="1">
        <f t="array" ref="P41">IFERROR(IF($E41&lt;44348,"",IF(INDEX(Raw_매출!$B$2:$BI$155,MATCH($A41,Raw_매출!$A$2:$A$155,0),MATCH(EDATE($E41,P$1-1),Raw_매출!$B$1:$BI$1,0))=0,"",INDEX(Raw_매출!$B$2:$BI$155,MATCH($A41,Raw_매출!$A$2:$A$155,0),MATCH(EDATE($E41,P$1-1),Raw_매출!$B$1:$BI$1,0))/(INDEX(요약_월별시즈널리티!$F$7:$F$18,MONTH(EDATE($E41,P$1-1)))/100))),"")</f>
        <v>3175337.1114453538</v>
      </c>
      <c r="Q41" cm="1">
        <f t="array" ref="Q41">IFERROR(IF($E41&lt;44348,"",IF(INDEX(Raw_매출!$B$2:$BI$155,MATCH($A41,Raw_매출!$A$2:$A$155,0),MATCH(EDATE($E41,Q$1-1),Raw_매출!$B$1:$BI$1,0))=0,"",INDEX(Raw_매출!$B$2:$BI$155,MATCH($A41,Raw_매출!$A$2:$A$155,0),MATCH(EDATE($E41,Q$1-1),Raw_매출!$B$1:$BI$1,0))/(INDEX(요약_월별시즈널리티!$F$7:$F$18,MONTH(EDATE($E41,Q$1-1)))/100))),"")</f>
        <v>3799296.1255108519</v>
      </c>
      <c r="R41" cm="1">
        <f t="array" ref="R41">IFERROR(IF($E41&lt;44348,"",IF(INDEX(Raw_매출!$B$2:$BI$155,MATCH($A41,Raw_매출!$A$2:$A$155,0),MATCH(EDATE($E41,R$1-1),Raw_매출!$B$1:$BI$1,0))=0,"",INDEX(Raw_매출!$B$2:$BI$155,MATCH($A41,Raw_매출!$A$2:$A$155,0),MATCH(EDATE($E41,R$1-1),Raw_매출!$B$1:$BI$1,0))/(INDEX(요약_월별시즈널리티!$F$7:$F$18,MONTH(EDATE($E41,R$1-1)))/100))),"")</f>
        <v>2943662.1998403794</v>
      </c>
      <c r="S41" cm="1">
        <f t="array" ref="S41">IFERROR(IF($E41&lt;44348,"",IF(INDEX(Raw_매출!$B$2:$BI$155,MATCH($A41,Raw_매출!$A$2:$A$155,0),MATCH(EDATE($E41,S$1-1),Raw_매출!$B$1:$BI$1,0))=0,"",INDEX(Raw_매출!$B$2:$BI$155,MATCH($A41,Raw_매출!$A$2:$A$155,0),MATCH(EDATE($E41,S$1-1),Raw_매출!$B$1:$BI$1,0))/(INDEX(요약_월별시즈널리티!$F$7:$F$18,MONTH(EDATE($E41,S$1-1)))/100))),"")</f>
        <v>2956799.9551370549</v>
      </c>
      <c r="T41" cm="1">
        <f t="array" ref="T41">IFERROR(IF($E41&lt;44348,"",IF(INDEX(Raw_매출!$B$2:$BI$155,MATCH($A41,Raw_매출!$A$2:$A$155,0),MATCH(EDATE($E41,T$1-1),Raw_매출!$B$1:$BI$1,0))=0,"",INDEX(Raw_매출!$B$2:$BI$155,MATCH($A41,Raw_매출!$A$2:$A$155,0),MATCH(EDATE($E41,T$1-1),Raw_매출!$B$1:$BI$1,0))/(INDEX(요약_월별시즈널리티!$F$7:$F$18,MONTH(EDATE($E41,T$1-1)))/100))),"")</f>
        <v>2900900.0417661392</v>
      </c>
      <c r="U41" cm="1">
        <f t="array" ref="U41">IFERROR(IF($E41&lt;44348,"",IF(INDEX(Raw_매출!$B$2:$BI$155,MATCH($A41,Raw_매출!$A$2:$A$155,0),MATCH(EDATE($E41,U$1-1),Raw_매출!$B$1:$BI$1,0))=0,"",INDEX(Raw_매출!$B$2:$BI$155,MATCH($A41,Raw_매출!$A$2:$A$155,0),MATCH(EDATE($E41,U$1-1),Raw_매출!$B$1:$BI$1,0))/(INDEX(요약_월별시즈널리티!$F$7:$F$18,MONTH(EDATE($E41,U$1-1)))/100))),"")</f>
        <v>3038366.4436619934</v>
      </c>
      <c r="V41" cm="1">
        <f t="array" ref="V41">IFERROR(IF($E41&lt;44348,"",IF(INDEX(Raw_매출!$B$2:$BI$155,MATCH($A41,Raw_매출!$A$2:$A$155,0),MATCH(EDATE($E41,V$1-1),Raw_매출!$B$1:$BI$1,0))=0,"",INDEX(Raw_매출!$B$2:$BI$155,MATCH($A41,Raw_매출!$A$2:$A$155,0),MATCH(EDATE($E41,V$1-1),Raw_매출!$B$1:$BI$1,0))/(INDEX(요약_월별시즈널리티!$F$7:$F$18,MONTH(EDATE($E41,V$1-1)))/100))),"")</f>
        <v>3513774.4396513198</v>
      </c>
      <c r="W41" cm="1">
        <f t="array" ref="W41">IFERROR(IF($E41&lt;44348,"",IF(INDEX(Raw_매출!$B$2:$BI$155,MATCH($A41,Raw_매출!$A$2:$A$155,0),MATCH(EDATE($E41,W$1-1),Raw_매출!$B$1:$BI$1,0))=0,"",INDEX(Raw_매출!$B$2:$BI$155,MATCH($A41,Raw_매출!$A$2:$A$155,0),MATCH(EDATE($E41,W$1-1),Raw_매출!$B$1:$BI$1,0))/(INDEX(요약_월별시즈널리티!$F$7:$F$18,MONTH(EDATE($E41,W$1-1)))/100))),"")</f>
        <v>3352562.0412666555</v>
      </c>
      <c r="X41" cm="1">
        <f t="array" ref="X41">IFERROR(IF($E41&lt;44348,"",IF(INDEX(Raw_매출!$B$2:$BI$155,MATCH($A41,Raw_매출!$A$2:$A$155,0),MATCH(EDATE($E41,X$1-1),Raw_매출!$B$1:$BI$1,0))=0,"",INDEX(Raw_매출!$B$2:$BI$155,MATCH($A41,Raw_매출!$A$2:$A$155,0),MATCH(EDATE($E41,X$1-1),Raw_매출!$B$1:$BI$1,0))/(INDEX(요약_월별시즈널리티!$F$7:$F$18,MONTH(EDATE($E41,X$1-1)))/100))),"")</f>
        <v>3164196.1041288748</v>
      </c>
      <c r="Y41" cm="1">
        <f t="array" ref="Y41">IFERROR(IF($E41&lt;44348,"",IF(INDEX(Raw_매출!$B$2:$BI$155,MATCH($A41,Raw_매출!$A$2:$A$155,0),MATCH(EDATE($E41,Y$1-1),Raw_매출!$B$1:$BI$1,0))=0,"",INDEX(Raw_매출!$B$2:$BI$155,MATCH($A41,Raw_매출!$A$2:$A$155,0),MATCH(EDATE($E41,Y$1-1),Raw_매출!$B$1:$BI$1,0))/(INDEX(요약_월별시즈널리티!$F$7:$F$18,MONTH(EDATE($E41,Y$1-1)))/100))),"")</f>
        <v>3194614.2159037399</v>
      </c>
      <c r="Z41" cm="1">
        <f t="array" ref="Z41">IFERROR(IF($E41&lt;44348,"",IF(INDEX(Raw_매출!$B$2:$BI$155,MATCH($A41,Raw_매출!$A$2:$A$155,0),MATCH(EDATE($E41,Z$1-1),Raw_매출!$B$1:$BI$1,0))=0,"",INDEX(Raw_매출!$B$2:$BI$155,MATCH($A41,Raw_매출!$A$2:$A$155,0),MATCH(EDATE($E41,Z$1-1),Raw_매출!$B$1:$BI$1,0))/(INDEX(요약_월별시즈널리티!$F$7:$F$18,MONTH(EDATE($E41,Z$1-1)))/100))),"")</f>
        <v>3839818.3902431801</v>
      </c>
      <c r="AA41" cm="1">
        <f t="array" ref="AA41">IFERROR(IF($E41&lt;44348,"",IF(INDEX(Raw_매출!$B$2:$BI$155,MATCH($A41,Raw_매출!$A$2:$A$155,0),MATCH(EDATE($E41,AA$1-1),Raw_매출!$B$1:$BI$1,0))=0,"",INDEX(Raw_매출!$B$2:$BI$155,MATCH($A41,Raw_매출!$A$2:$A$155,0),MATCH(EDATE($E41,AA$1-1),Raw_매출!$B$1:$BI$1,0))/(INDEX(요약_월별시즈널리티!$F$7:$F$18,MONTH(EDATE($E41,AA$1-1)))/100))),"")</f>
        <v>3371805.7431258219</v>
      </c>
      <c r="AB41" cm="1">
        <f t="array" ref="AB41">IFERROR(IF($E41&lt;44348,"",IF(INDEX(Raw_매출!$B$2:$BI$155,MATCH($A41,Raw_매출!$A$2:$A$155,0),MATCH(EDATE($E41,AB$1-1),Raw_매출!$B$1:$BI$1,0))=0,"",INDEX(Raw_매출!$B$2:$BI$155,MATCH($A41,Raw_매출!$A$2:$A$155,0),MATCH(EDATE($E41,AB$1-1),Raw_매출!$B$1:$BI$1,0))/(INDEX(요약_월별시즈널리티!$F$7:$F$18,MONTH(EDATE($E41,AB$1-1)))/100))),"")</f>
        <v>3724923.8740478726</v>
      </c>
      <c r="AC41" cm="1">
        <f t="array" ref="AC41">IFERROR(IF($E41&lt;44348,"",IF(INDEX(Raw_매출!$B$2:$BI$155,MATCH($A41,Raw_매출!$A$2:$A$155,0),MATCH(EDATE($E41,AC$1-1),Raw_매출!$B$1:$BI$1,0))=0,"",INDEX(Raw_매출!$B$2:$BI$155,MATCH($A41,Raw_매출!$A$2:$A$155,0),MATCH(EDATE($E41,AC$1-1),Raw_매출!$B$1:$BI$1,0))/(INDEX(요약_월별시즈널리티!$F$7:$F$18,MONTH(EDATE($E41,AC$1-1)))/100))),"")</f>
        <v>2958786.3790959283</v>
      </c>
      <c r="AD41" cm="1">
        <f t="array" ref="AD41">IFERROR(IF($E41&lt;44348,"",IF(INDEX(Raw_매출!$B$2:$BI$155,MATCH($A41,Raw_매출!$A$2:$A$155,0),MATCH(EDATE($E41,AD$1-1),Raw_매출!$B$1:$BI$1,0))=0,"",INDEX(Raw_매출!$B$2:$BI$155,MATCH($A41,Raw_매출!$A$2:$A$155,0),MATCH(EDATE($E41,AD$1-1),Raw_매출!$B$1:$BI$1,0))/(INDEX(요약_월별시즈널리티!$F$7:$F$18,MONTH(EDATE($E41,AD$1-1)))/100))),"")</f>
        <v>3439749.1318326155</v>
      </c>
      <c r="AE41" cm="1">
        <f t="array" ref="AE41">IFERROR(IF($E41&lt;44348,"",IF(INDEX(Raw_매출!$B$2:$BI$155,MATCH($A41,Raw_매출!$A$2:$A$155,0),MATCH(EDATE($E41,AE$1-1),Raw_매출!$B$1:$BI$1,0))=0,"",INDEX(Raw_매출!$B$2:$BI$155,MATCH($A41,Raw_매출!$A$2:$A$155,0),MATCH(EDATE($E41,AE$1-1),Raw_매출!$B$1:$BI$1,0))/(INDEX(요약_월별시즈널리티!$F$7:$F$18,MONTH(EDATE($E41,AE$1-1)))/100))),"")</f>
        <v>3720849.7284999527</v>
      </c>
      <c r="AF41" cm="1">
        <f t="array" ref="AF41">IFERROR(IF($E41&lt;44348,"",IF(INDEX(Raw_매출!$B$2:$BI$155,MATCH($A41,Raw_매출!$A$2:$A$155,0),MATCH(EDATE($E41,AF$1-1),Raw_매출!$B$1:$BI$1,0))=0,"",INDEX(Raw_매출!$B$2:$BI$155,MATCH($A41,Raw_매출!$A$2:$A$155,0),MATCH(EDATE($E41,AF$1-1),Raw_매출!$B$1:$BI$1,0))/(INDEX(요약_월별시즈널리티!$F$7:$F$18,MONTH(EDATE($E41,AF$1-1)))/100))),"")</f>
        <v>3286732.6180119039</v>
      </c>
      <c r="AG41" cm="1">
        <f t="array" ref="AG41">IFERROR(IF($E41&lt;44348,"",IF(INDEX(Raw_매출!$B$2:$BI$155,MATCH($A41,Raw_매출!$A$2:$A$155,0),MATCH(EDATE($E41,AG$1-1),Raw_매출!$B$1:$BI$1,0))=0,"",INDEX(Raw_매출!$B$2:$BI$155,MATCH($A41,Raw_매출!$A$2:$A$155,0),MATCH(EDATE($E41,AG$1-1),Raw_매출!$B$1:$BI$1,0))/(INDEX(요약_월별시즈널리티!$F$7:$F$18,MONTH(EDATE($E41,AG$1-1)))/100))),"")</f>
        <v>3938814.9267506995</v>
      </c>
      <c r="AH41" cm="1">
        <f t="array" ref="AH41">IFERROR(IF($E41&lt;44348,"",IF(INDEX(Raw_매출!$B$2:$BI$155,MATCH($A41,Raw_매출!$A$2:$A$155,0),MATCH(EDATE($E41,AH$1-1),Raw_매출!$B$1:$BI$1,0))=0,"",INDEX(Raw_매출!$B$2:$BI$155,MATCH($A41,Raw_매출!$A$2:$A$155,0),MATCH(EDATE($E41,AH$1-1),Raw_매출!$B$1:$BI$1,0))/(INDEX(요약_월별시즈널리티!$F$7:$F$18,MONTH(EDATE($E41,AH$1-1)))/100))),"")</f>
        <v>4842892.0831622714</v>
      </c>
      <c r="AI41" cm="1">
        <f t="array" ref="AI41">IFERROR(IF($E41&lt;44348,"",IF(INDEX(Raw_매출!$B$2:$BI$155,MATCH($A41,Raw_매출!$A$2:$A$155,0),MATCH(EDATE($E41,AI$1-1),Raw_매출!$B$1:$BI$1,0))=0,"",INDEX(Raw_매출!$B$2:$BI$155,MATCH($A41,Raw_매출!$A$2:$A$155,0),MATCH(EDATE($E41,AI$1-1),Raw_매출!$B$1:$BI$1,0))/(INDEX(요약_월별시즈널리티!$F$7:$F$18,MONTH(EDATE($E41,AI$1-1)))/100))),"")</f>
        <v>4502491.533268108</v>
      </c>
      <c r="AJ41" cm="1">
        <f t="array" ref="AJ41">IFERROR(IF($E41&lt;44348,"",IF(INDEX(Raw_매출!$B$2:$BI$155,MATCH($A41,Raw_매출!$A$2:$A$155,0),MATCH(EDATE($E41,AJ$1-1),Raw_매출!$B$1:$BI$1,0))=0,"",INDEX(Raw_매출!$B$2:$BI$155,MATCH($A41,Raw_매출!$A$2:$A$155,0),MATCH(EDATE($E41,AJ$1-1),Raw_매출!$B$1:$BI$1,0))/(INDEX(요약_월별시즈널리티!$F$7:$F$18,MONTH(EDATE($E41,AJ$1-1)))/100))),"")</f>
        <v>5027291.8945848271</v>
      </c>
      <c r="AK41" cm="1">
        <f t="array" ref="AK41">IFERROR(IF($E41&lt;44348,"",IF(INDEX(Raw_매출!$B$2:$BI$155,MATCH($A41,Raw_매출!$A$2:$A$155,0),MATCH(EDATE($E41,AK$1-1),Raw_매출!$B$1:$BI$1,0))=0,"",INDEX(Raw_매출!$B$2:$BI$155,MATCH($A41,Raw_매출!$A$2:$A$155,0),MATCH(EDATE($E41,AK$1-1),Raw_매출!$B$1:$BI$1,0))/(INDEX(요약_월별시즈널리티!$F$7:$F$18,MONTH(EDATE($E41,AK$1-1)))/100))),"")</f>
        <v>5004978.5065433644</v>
      </c>
      <c r="AL41" cm="1">
        <f t="array" ref="AL41">IFERROR(IF($E41&lt;44348,"",IF(INDEX(Raw_매출!$B$2:$BI$155,MATCH($A41,Raw_매출!$A$2:$A$155,0),MATCH(EDATE($E41,AL$1-1),Raw_매출!$B$1:$BI$1,0))=0,"",INDEX(Raw_매출!$B$2:$BI$155,MATCH($A41,Raw_매출!$A$2:$A$155,0),MATCH(EDATE($E41,AL$1-1),Raw_매출!$B$1:$BI$1,0))/(INDEX(요약_월별시즈널리티!$F$7:$F$18,MONTH(EDATE($E41,AL$1-1)))/100))),"")</f>
        <v>4143661.2577476548</v>
      </c>
      <c r="AM41" cm="1">
        <f t="array" ref="AM41">IFERROR(IF($E41&lt;44348,"",IF(INDEX(Raw_매출!$B$2:$BI$155,MATCH($A41,Raw_매출!$A$2:$A$155,0),MATCH(EDATE($E41,AM$1-1),Raw_매출!$B$1:$BI$1,0))=0,"",INDEX(Raw_매출!$B$2:$BI$155,MATCH($A41,Raw_매출!$A$2:$A$155,0),MATCH(EDATE($E41,AM$1-1),Raw_매출!$B$1:$BI$1,0))/(INDEX(요약_월별시즈널리티!$F$7:$F$18,MONTH(EDATE($E41,AM$1-1)))/100))),"")</f>
        <v>4831167.0885073422</v>
      </c>
      <c r="AN41" cm="1">
        <f t="array" ref="AN41">IFERROR(IF($E41&lt;44348,"",IF(INDEX(Raw_매출!$B$2:$BI$155,MATCH($A41,Raw_매출!$A$2:$A$155,0),MATCH(EDATE($E41,AN$1-1),Raw_매출!$B$1:$BI$1,0))=0,"",INDEX(Raw_매출!$B$2:$BI$155,MATCH($A41,Raw_매출!$A$2:$A$155,0),MATCH(EDATE($E41,AN$1-1),Raw_매출!$B$1:$BI$1,0))/(INDEX(요약_월별시즈널리티!$F$7:$F$18,MONTH(EDATE($E41,AN$1-1)))/100))),"")</f>
        <v>4877355.6332440292</v>
      </c>
      <c r="AO41" cm="1">
        <f t="array" ref="AO41">IFERROR(IF($E41&lt;44348,"",IF(INDEX(Raw_매출!$B$2:$BI$155,MATCH($A41,Raw_매출!$A$2:$A$155,0),MATCH(EDATE($E41,AO$1-1),Raw_매출!$B$1:$BI$1,0))=0,"",INDEX(Raw_매출!$B$2:$BI$155,MATCH($A41,Raw_매출!$A$2:$A$155,0),MATCH(EDATE($E41,AO$1-1),Raw_매출!$B$1:$BI$1,0))/(INDEX(요약_월별시즈널리티!$F$7:$F$18,MONTH(EDATE($E41,AO$1-1)))/100))),"")</f>
        <v>4481787.6877012132</v>
      </c>
      <c r="AP41" cm="1">
        <f t="array" ref="AP41">IFERROR(IF($E41&lt;44348,"",IF(INDEX(Raw_매출!$B$2:$BI$155,MATCH($A41,Raw_매출!$A$2:$A$155,0),MATCH(EDATE($E41,AP$1-1),Raw_매출!$B$1:$BI$1,0))=0,"",INDEX(Raw_매출!$B$2:$BI$155,MATCH($A41,Raw_매출!$A$2:$A$155,0),MATCH(EDATE($E41,AP$1-1),Raw_매출!$B$1:$BI$1,0))/(INDEX(요약_월별시즈널리티!$F$7:$F$18,MONTH(EDATE($E41,AP$1-1)))/100))),"")</f>
        <v>4465881.0302196154</v>
      </c>
      <c r="AQ41" cm="1">
        <f t="array" ref="AQ41">IFERROR(IF($E41&lt;44348,"",IF(INDEX(Raw_매출!$B$2:$BI$155,MATCH($A41,Raw_매출!$A$2:$A$155,0),MATCH(EDATE($E41,AQ$1-1),Raw_매출!$B$1:$BI$1,0))=0,"",INDEX(Raw_매출!$B$2:$BI$155,MATCH($A41,Raw_매출!$A$2:$A$155,0),MATCH(EDATE($E41,AQ$1-1),Raw_매출!$B$1:$BI$1,0))/(INDEX(요약_월별시즈널리티!$F$7:$F$18,MONTH(EDATE($E41,AQ$1-1)))/100))),"")</f>
        <v>4304441.1880907705</v>
      </c>
      <c r="AR41" cm="1">
        <f t="array" ref="AR41">IFERROR(IF($E41&lt;44348,"",IF(INDEX(Raw_매출!$B$2:$BI$155,MATCH($A41,Raw_매출!$A$2:$A$155,0),MATCH(EDATE($E41,AR$1-1),Raw_매출!$B$1:$BI$1,0))=0,"",INDEX(Raw_매출!$B$2:$BI$155,MATCH($A41,Raw_매출!$A$2:$A$155,0),MATCH(EDATE($E41,AR$1-1),Raw_매출!$B$1:$BI$1,0))/(INDEX(요약_월별시즈널리티!$F$7:$F$18,MONTH(EDATE($E41,AR$1-1)))/100))),"")</f>
        <v>4145995.3083516126</v>
      </c>
      <c r="AS41" cm="1">
        <f t="array" ref="AS41">IFERROR(IF($E41&lt;44348,"",IF(INDEX(Raw_매출!$B$2:$BI$155,MATCH($A41,Raw_매출!$A$2:$A$155,0),MATCH(EDATE($E41,AS$1-1),Raw_매출!$B$1:$BI$1,0))=0,"",INDEX(Raw_매출!$B$2:$BI$155,MATCH($A41,Raw_매출!$A$2:$A$155,0),MATCH(EDATE($E41,AS$1-1),Raw_매출!$B$1:$BI$1,0))/(INDEX(요약_월별시즈널리티!$F$7:$F$18,MONTH(EDATE($E41,AS$1-1)))/100))),"")</f>
        <v>4284303.7853273759</v>
      </c>
      <c r="AT41" cm="1">
        <f t="array" ref="AT41">IFERROR(IF($E41&lt;44348,"",IF(INDEX(Raw_매출!$B$2:$BI$155,MATCH($A41,Raw_매출!$A$2:$A$155,0),MATCH(EDATE($E41,AT$1-1),Raw_매출!$B$1:$BI$1,0))=0,"",INDEX(Raw_매출!$B$2:$BI$155,MATCH($A41,Raw_매출!$A$2:$A$155,0),MATCH(EDATE($E41,AT$1-1),Raw_매출!$B$1:$BI$1,0))/(INDEX(요약_월별시즈널리티!$F$7:$F$18,MONTH(EDATE($E41,AT$1-1)))/100))),"")</f>
        <v>4438686.0852038823</v>
      </c>
      <c r="AU41" cm="1">
        <f t="array" ref="AU41">IFERROR(IF($E41&lt;44348,"",IF(INDEX(Raw_매출!$B$2:$BI$155,MATCH($A41,Raw_매출!$A$2:$A$155,0),MATCH(EDATE($E41,AU$1-1),Raw_매출!$B$1:$BI$1,0))=0,"",INDEX(Raw_매출!$B$2:$BI$155,MATCH($A41,Raw_매출!$A$2:$A$155,0),MATCH(EDATE($E41,AU$1-1),Raw_매출!$B$1:$BI$1,0))/(INDEX(요약_월별시즈널리티!$F$7:$F$18,MONTH(EDATE($E41,AU$1-1)))/100))),"")</f>
        <v>4570176.3179146731</v>
      </c>
      <c r="AV41" cm="1">
        <f t="array" ref="AV41">IFERROR(IF($E41&lt;44348,"",IF(INDEX(Raw_매출!$B$2:$BI$155,MATCH($A41,Raw_매출!$A$2:$A$155,0),MATCH(EDATE($E41,AV$1-1),Raw_매출!$B$1:$BI$1,0))=0,"",INDEX(Raw_매출!$B$2:$BI$155,MATCH($A41,Raw_매출!$A$2:$A$155,0),MATCH(EDATE($E41,AV$1-1),Raw_매출!$B$1:$BI$1,0))/(INDEX(요약_월별시즈널리티!$F$7:$F$18,MONTH(EDATE($E41,AV$1-1)))/100))),"")</f>
        <v>4854916.4278916251</v>
      </c>
      <c r="AW41" cm="1">
        <f t="array" ref="AW41">IFERROR(IF($E41&lt;44348,"",IF(INDEX(Raw_매출!$B$2:$BI$155,MATCH($A41,Raw_매출!$A$2:$A$155,0),MATCH(EDATE($E41,AW$1-1),Raw_매출!$B$1:$BI$1,0))=0,"",INDEX(Raw_매출!$B$2:$BI$155,MATCH($A41,Raw_매출!$A$2:$A$155,0),MATCH(EDATE($E41,AW$1-1),Raw_매출!$B$1:$BI$1,0))/(INDEX(요약_월별시즈널리티!$F$7:$F$18,MONTH(EDATE($E41,AW$1-1)))/100))),"")</f>
        <v>4773537.8879563846</v>
      </c>
      <c r="AX41" cm="1">
        <f t="array" ref="AX41">IFERROR(IF($E41&lt;44348,"",IF(INDEX(Raw_매출!$B$2:$BI$155,MATCH($A41,Raw_매출!$A$2:$A$155,0),MATCH(EDATE($E41,AX$1-1),Raw_매출!$B$1:$BI$1,0))=0,"",INDEX(Raw_매출!$B$2:$BI$155,MATCH($A41,Raw_매출!$A$2:$A$155,0),MATCH(EDATE($E41,AX$1-1),Raw_매출!$B$1:$BI$1,0))/(INDEX(요약_월별시즈널리티!$F$7:$F$18,MONTH(EDATE($E41,AX$1-1)))/100))),"")</f>
        <v>5711401.2420465508</v>
      </c>
      <c r="AY41" cm="1">
        <f t="array" ref="AY41">IFERROR(IF($E41&lt;44348,"",IF(INDEX(Raw_매출!$B$2:$BI$155,MATCH($A41,Raw_매출!$A$2:$A$155,0),MATCH(EDATE($E41,AY$1-1),Raw_매출!$B$1:$BI$1,0))=0,"",INDEX(Raw_매출!$B$2:$BI$155,MATCH($A41,Raw_매출!$A$2:$A$155,0),MATCH(EDATE($E41,AY$1-1),Raw_매출!$B$1:$BI$1,0))/(INDEX(요약_월별시즈널리티!$F$7:$F$18,MONTH(EDATE($E41,AY$1-1)))/100))),"")</f>
        <v>5733782.0806258116</v>
      </c>
      <c r="AZ41" cm="1">
        <f t="array" ref="AZ41">IFERROR(IF($E41&lt;44348,"",IF(INDEX(Raw_매출!$B$2:$BI$155,MATCH($A41,Raw_매출!$A$2:$A$155,0),MATCH(EDATE($E41,AZ$1-1),Raw_매출!$B$1:$BI$1,0))=0,"",INDEX(Raw_매출!$B$2:$BI$155,MATCH($A41,Raw_매출!$A$2:$A$155,0),MATCH(EDATE($E41,AZ$1-1),Raw_매출!$B$1:$BI$1,0))/(INDEX(요약_월별시즈널리티!$F$7:$F$18,MONTH(EDATE($E41,AZ$1-1)))/100))),"")</f>
        <v>4763387.7890262632</v>
      </c>
      <c r="BA41" cm="1">
        <f t="array" ref="BA41">IFERROR(IF($E41&lt;44348,"",IF(INDEX(Raw_매출!$B$2:$BI$155,MATCH($A41,Raw_매출!$A$2:$A$155,0),MATCH(EDATE($E41,BA$1-1),Raw_매출!$B$1:$BI$1,0))=0,"",INDEX(Raw_매출!$B$2:$BI$155,MATCH($A41,Raw_매출!$A$2:$A$155,0),MATCH(EDATE($E41,BA$1-1),Raw_매출!$B$1:$BI$1,0))/(INDEX(요약_월별시즈널리티!$F$7:$F$18,MONTH(EDATE($E41,BA$1-1)))/100))),"")</f>
        <v>4839521.257630988</v>
      </c>
      <c r="BB41" cm="1">
        <f t="array" ref="BB41">IFERROR(IF($E41&lt;44348,"",IF(INDEX(Raw_매출!$B$2:$BI$155,MATCH($A41,Raw_매출!$A$2:$A$155,0),MATCH(EDATE($E41,BB$1-1),Raw_매출!$B$1:$BI$1,0))=0,"",INDEX(Raw_매출!$B$2:$BI$155,MATCH($A41,Raw_매출!$A$2:$A$155,0),MATCH(EDATE($E41,BB$1-1),Raw_매출!$B$1:$BI$1,0))/(INDEX(요약_월별시즈널리티!$F$7:$F$18,MONTH(EDATE($E41,BB$1-1)))/100))),"")</f>
        <v>4629229.1633529561</v>
      </c>
      <c r="BC41" cm="1">
        <f t="array" ref="BC41">IFERROR(IF($E41&lt;44348,"",IF(INDEX(Raw_매출!$B$2:$BI$155,MATCH($A41,Raw_매출!$A$2:$A$155,0),MATCH(EDATE($E41,BC$1-1),Raw_매출!$B$1:$BI$1,0))=0,"",INDEX(Raw_매출!$B$2:$BI$155,MATCH($A41,Raw_매출!$A$2:$A$155,0),MATCH(EDATE($E41,BC$1-1),Raw_매출!$B$1:$BI$1,0))/(INDEX(요약_월별시즈널리티!$F$7:$F$18,MONTH(EDATE($E41,BC$1-1)))/100))),"")</f>
        <v>5478441.0368626462</v>
      </c>
      <c r="BD41" cm="1">
        <f t="array" ref="BD41">IFERROR(IF($E41&lt;44348,"",IF(INDEX(Raw_매출!$B$2:$BI$155,MATCH($A41,Raw_매출!$A$2:$A$155,0),MATCH(EDATE($E41,BD$1-1),Raw_매출!$B$1:$BI$1,0))=0,"",INDEX(Raw_매출!$B$2:$BI$155,MATCH($A41,Raw_매출!$A$2:$A$155,0),MATCH(EDATE($E41,BD$1-1),Raw_매출!$B$1:$BI$1,0))/(INDEX(요약_월별시즈널리티!$F$7:$F$18,MONTH(EDATE($E41,BD$1-1)))/100))),"")</f>
        <v>4746653.1621754896</v>
      </c>
      <c r="BE41" cm="1">
        <f t="array" ref="BE41">IFERROR(IF($E41&lt;44348,"",IF(INDEX(Raw_매출!$B$2:$BI$155,MATCH($A41,Raw_매출!$A$2:$A$155,0),MATCH(EDATE($E41,BE$1-1),Raw_매출!$B$1:$BI$1,0))=0,"",INDEX(Raw_매출!$B$2:$BI$155,MATCH($A41,Raw_매출!$A$2:$A$155,0),MATCH(EDATE($E41,BE$1-1),Raw_매출!$B$1:$BI$1,0))/(INDEX(요약_월별시즈널리티!$F$7:$F$18,MONTH(EDATE($E41,BE$1-1)))/100))),"")</f>
        <v>4131988.6832226613</v>
      </c>
      <c r="BF41" cm="1">
        <f t="array" ref="BF41">IFERROR(IF($E41&lt;44348,"",IF(INDEX(Raw_매출!$B$2:$BI$155,MATCH($A41,Raw_매출!$A$2:$A$155,0),MATCH(EDATE($E41,BF$1-1),Raw_매출!$B$1:$BI$1,0))=0,"",INDEX(Raw_매출!$B$2:$BI$155,MATCH($A41,Raw_매출!$A$2:$A$155,0),MATCH(EDATE($E41,BF$1-1),Raw_매출!$B$1:$BI$1,0))/(INDEX(요약_월별시즈널리티!$F$7:$F$18,MONTH(EDATE($E41,BF$1-1)))/100))),"")</f>
        <v>5606384.9779606406</v>
      </c>
      <c r="BG41" cm="1">
        <f t="array" ref="BG41">IFERROR(IF($E41&lt;44348,"",IF(INDEX(Raw_매출!$B$2:$BI$155,MATCH($A41,Raw_매출!$A$2:$A$155,0),MATCH(EDATE($E41,BG$1-1),Raw_매출!$B$1:$BI$1,0))=0,"",INDEX(Raw_매출!$B$2:$BI$155,MATCH($A41,Raw_매출!$A$2:$A$155,0),MATCH(EDATE($E41,BG$1-1),Raw_매출!$B$1:$BI$1,0))/(INDEX(요약_월별시즈널리티!$F$7:$F$18,MONTH(EDATE($E41,BG$1-1)))/100))),"")</f>
        <v>5792595.5617461894</v>
      </c>
      <c r="BH41" cm="1">
        <f t="array" ref="BH41">IFERROR(IF($E41&lt;44348,"",IF(INDEX(Raw_매출!$B$2:$BI$155,MATCH($A41,Raw_매출!$A$2:$A$155,0),MATCH(EDATE($E41,BH$1-1),Raw_매출!$B$1:$BI$1,0))=0,"",INDEX(Raw_매출!$B$2:$BI$155,MATCH($A41,Raw_매출!$A$2:$A$155,0),MATCH(EDATE($E41,BH$1-1),Raw_매출!$B$1:$BI$1,0))/(INDEX(요약_월별시즈널리티!$F$7:$F$18,MONTH(EDATE($E41,BH$1-1)))/100))),"")</f>
        <v>5135862.7109199483</v>
      </c>
      <c r="BI41" cm="1">
        <f t="array" ref="BI41">IFERROR(IF($E41&lt;44348,"",IF(INDEX(Raw_매출!$B$2:$BI$155,MATCH($A41,Raw_매출!$A$2:$A$155,0),MATCH(EDATE($E41,BI$1-1),Raw_매출!$B$1:$BI$1,0))=0,"",INDEX(Raw_매출!$B$2:$BI$155,MATCH($A41,Raw_매출!$A$2:$A$155,0),MATCH(EDATE($E41,BI$1-1),Raw_매출!$B$1:$BI$1,0))/(INDEX(요약_월별시즈널리티!$F$7:$F$18,MONTH(EDATE($E41,BI$1-1)))/100))),"")</f>
        <v>5086740.2366701337</v>
      </c>
      <c r="BJ41" cm="1">
        <f t="array" ref="BJ41">IFERROR(IF($E41&lt;44348,"",IF(INDEX(Raw_매출!$B$2:$BI$155,MATCH($A41,Raw_매출!$A$2:$A$155,0),MATCH(EDATE($E41,BJ$1-1),Raw_매출!$B$1:$BI$1,0))=0,"",INDEX(Raw_매출!$B$2:$BI$155,MATCH($A41,Raw_매출!$A$2:$A$155,0),MATCH(EDATE($E41,BJ$1-1),Raw_매출!$B$1:$BI$1,0))/(INDEX(요약_월별시즈널리티!$F$7:$F$18,MONTH(EDATE($E41,BJ$1-1)))/100))),"")</f>
        <v>5960407.1865948848</v>
      </c>
      <c r="BK41" t="str" cm="1">
        <f t="array" ref="BK41">IFERROR(IF($E41&lt;44348,"",IF(INDEX(Raw_매출!$B$2:$BI$155,MATCH($A41,Raw_매출!$A$2:$A$155,0),MATCH(EDATE($E41,BK$1-1),Raw_매출!$B$1:$BI$1,0))=0,"",INDEX(Raw_매출!$B$2:$BI$155,MATCH($A41,Raw_매출!$A$2:$A$155,0),MATCH(EDATE($E41,BK$1-1),Raw_매출!$B$1:$BI$1,0))/(INDEX(요약_월별시즈널리티!$F$7:$F$18,MONTH(EDATE($E41,BK$1-1)))/100))),"")</f>
        <v/>
      </c>
      <c r="BL41" t="str" cm="1">
        <f t="array" ref="BL41">IFERROR(IF($E41&lt;44348,"",IF(INDEX(Raw_매출!$B$2:$BI$155,MATCH($A41,Raw_매출!$A$2:$A$155,0),MATCH(EDATE($E41,BL$1-1),Raw_매출!$B$1:$BI$1,0))=0,"",INDEX(Raw_매출!$B$2:$BI$155,MATCH($A41,Raw_매출!$A$2:$A$155,0),MATCH(EDATE($E41,BL$1-1),Raw_매출!$B$1:$BI$1,0))/(INDEX(요약_월별시즈널리티!$F$7:$F$18,MONTH(EDATE($E41,BL$1-1)))/100))),"")</f>
        <v/>
      </c>
      <c r="BM41" t="str" cm="1">
        <f t="array" ref="BM41">IFERROR(IF($E41&lt;44348,"",IF(INDEX(Raw_매출!$B$2:$BI$155,MATCH($A41,Raw_매출!$A$2:$A$155,0),MATCH(EDATE($E41,BM$1-1),Raw_매출!$B$1:$BI$1,0))=0,"",INDEX(Raw_매출!$B$2:$BI$155,MATCH($A41,Raw_매출!$A$2:$A$155,0),MATCH(EDATE($E41,BM$1-1),Raw_매출!$B$1:$BI$1,0))/(INDEX(요약_월별시즈널리티!$F$7:$F$18,MONTH(EDATE($E41,BM$1-1)))/100))),"")</f>
        <v/>
      </c>
      <c r="BN41" t="str" cm="1">
        <f t="array" ref="BN41">IFERROR(IF($E41&lt;44348,"",IF(INDEX(Raw_매출!$B$2:$BI$155,MATCH($A41,Raw_매출!$A$2:$A$155,0),MATCH(EDATE($E41,BN$1-1),Raw_매출!$B$1:$BI$1,0))=0,"",INDEX(Raw_매출!$B$2:$BI$155,MATCH($A41,Raw_매출!$A$2:$A$155,0),MATCH(EDATE($E41,BN$1-1),Raw_매출!$B$1:$BI$1,0))/(INDEX(요약_월별시즈널리티!$F$7:$F$18,MONTH(EDATE($E41,BN$1-1)))/100))),"")</f>
        <v/>
      </c>
    </row>
    <row r="42" spans="1:66" x14ac:dyDescent="0.4">
      <c r="A42" t="str">
        <f>세팅!A43</f>
        <v>(1030) #노량진점</v>
      </c>
      <c r="B42" t="str">
        <f>세팅!B43</f>
        <v>150-2</v>
      </c>
      <c r="C42">
        <f t="shared" si="0"/>
        <v>2</v>
      </c>
      <c r="D42" t="str">
        <f t="shared" si="1"/>
        <v>2</v>
      </c>
      <c r="E42" s="1">
        <f>세팅!D43</f>
        <v>44470</v>
      </c>
      <c r="F42">
        <f t="shared" si="2"/>
        <v>7088010.520434388</v>
      </c>
      <c r="G42" cm="1">
        <f t="array" ref="G42">IFERROR(IF($E42&lt;44348,"",IF(INDEX(Raw_매출!$B$2:$BI$155,MATCH($A42,Raw_매출!$A$2:$A$155,0),MATCH(EDATE($E42,G$1-1),Raw_매출!$B$1:$BI$1,0))=0,"",INDEX(Raw_매출!$B$2:$BI$155,MATCH($A42,Raw_매출!$A$2:$A$155,0),MATCH(EDATE($E42,G$1-1),Raw_매출!$B$1:$BI$1,0))/(INDEX(요약_월별시즈널리티!$F$7:$F$18,MONTH(EDATE($E42,G$1-1)))/100))),"")</f>
        <v>4591245.3336557634</v>
      </c>
      <c r="H42" cm="1">
        <f t="array" ref="H42">IFERROR(IF($E42&lt;44348,"",IF(INDEX(Raw_매출!$B$2:$BI$155,MATCH($A42,Raw_매출!$A$2:$A$155,0),MATCH(EDATE($E42,H$1-1),Raw_매출!$B$1:$BI$1,0))=0,"",INDEX(Raw_매출!$B$2:$BI$155,MATCH($A42,Raw_매출!$A$2:$A$155,0),MATCH(EDATE($E42,H$1-1),Raw_매출!$B$1:$BI$1,0))/(INDEX(요약_월별시즈널리티!$F$7:$F$18,MONTH(EDATE($E42,H$1-1)))/100))),"")</f>
        <v>4698474.5163589902</v>
      </c>
      <c r="I42" cm="1">
        <f t="array" ref="I42">IFERROR(IF($E42&lt;44348,"",IF(INDEX(Raw_매출!$B$2:$BI$155,MATCH($A42,Raw_매출!$A$2:$A$155,0),MATCH(EDATE($E42,I$1-1),Raw_매출!$B$1:$BI$1,0))=0,"",INDEX(Raw_매출!$B$2:$BI$155,MATCH($A42,Raw_매출!$A$2:$A$155,0),MATCH(EDATE($E42,I$1-1),Raw_매출!$B$1:$BI$1,0))/(INDEX(요약_월별시즈널리티!$F$7:$F$18,MONTH(EDATE($E42,I$1-1)))/100))),"")</f>
        <v>5532273.41439615</v>
      </c>
      <c r="J42" s="30" cm="1">
        <f t="array" ref="J42">IFERROR(IF($E42&lt;44348,"",IF(INDEX(Raw_매출!$B$2:$BI$155,MATCH($A42,Raw_매출!$A$2:$A$155,0),MATCH(EDATE($E42,J$1-1),Raw_매출!$B$1:$BI$1,0))=0,"",INDEX(Raw_매출!$B$2:$BI$155,MATCH($A42,Raw_매출!$A$2:$A$155,0),MATCH(EDATE($E42,J$1-1),Raw_매출!$B$1:$BI$1,0))/(INDEX(요약_월별시즈널리티!$F$7:$F$18,MONTH(EDATE($E42,J$1-1)))/100))),"")</f>
        <v>7368314.4739940166</v>
      </c>
      <c r="K42" s="30" cm="1">
        <f t="array" ref="K42">IFERROR(IF($E42&lt;44348,"",IF(INDEX(Raw_매출!$B$2:$BI$155,MATCH($A42,Raw_매출!$A$2:$A$155,0),MATCH(EDATE($E42,K$1-1),Raw_매출!$B$1:$BI$1,0))=0,"",INDEX(Raw_매출!$B$2:$BI$155,MATCH($A42,Raw_매출!$A$2:$A$155,0),MATCH(EDATE($E42,K$1-1),Raw_매출!$B$1:$BI$1,0))/(INDEX(요약_월별시즈널리티!$F$7:$F$18,MONTH(EDATE($E42,K$1-1)))/100))),"")</f>
        <v>6710225.6526293708</v>
      </c>
      <c r="L42" s="30" cm="1">
        <f t="array" ref="L42">IFERROR(IF($E42&lt;44348,"",IF(INDEX(Raw_매출!$B$2:$BI$155,MATCH($A42,Raw_매출!$A$2:$A$155,0),MATCH(EDATE($E42,L$1-1),Raw_매출!$B$1:$BI$1,0))=0,"",INDEX(Raw_매출!$B$2:$BI$155,MATCH($A42,Raw_매출!$A$2:$A$155,0),MATCH(EDATE($E42,L$1-1),Raw_매출!$B$1:$BI$1,0))/(INDEX(요약_월별시즈널리티!$F$7:$F$18,MONTH(EDATE($E42,L$1-1)))/100))),"")</f>
        <v>6674789.7132662972</v>
      </c>
      <c r="M42" s="30" cm="1">
        <f t="array" ref="M42">IFERROR(IF($E42&lt;44348,"",IF(INDEX(Raw_매출!$B$2:$BI$155,MATCH($A42,Raw_매출!$A$2:$A$155,0),MATCH(EDATE($E42,M$1-1),Raw_매출!$B$1:$BI$1,0))=0,"",INDEX(Raw_매출!$B$2:$BI$155,MATCH($A42,Raw_매출!$A$2:$A$155,0),MATCH(EDATE($E42,M$1-1),Raw_매출!$B$1:$BI$1,0))/(INDEX(요약_월별시즈널리티!$F$7:$F$18,MONTH(EDATE($E42,M$1-1)))/100))),"")</f>
        <v>7499488.4781676931</v>
      </c>
      <c r="N42" s="30" cm="1">
        <f t="array" ref="N42">IFERROR(IF($E42&lt;44348,"",IF(INDEX(Raw_매출!$B$2:$BI$155,MATCH($A42,Raw_매출!$A$2:$A$155,0),MATCH(EDATE($E42,N$1-1),Raw_매출!$B$1:$BI$1,0))=0,"",INDEX(Raw_매출!$B$2:$BI$155,MATCH($A42,Raw_매출!$A$2:$A$155,0),MATCH(EDATE($E42,N$1-1),Raw_매출!$B$1:$BI$1,0))/(INDEX(요약_월별시즈널리티!$F$7:$F$18,MONTH(EDATE($E42,N$1-1)))/100))),"")</f>
        <v>6933197.8759345273</v>
      </c>
      <c r="O42" s="30" cm="1">
        <f t="array" ref="O42">IFERROR(IF($E42&lt;44348,"",IF(INDEX(Raw_매출!$B$2:$BI$155,MATCH($A42,Raw_매출!$A$2:$A$155,0),MATCH(EDATE($E42,O$1-1),Raw_매출!$B$1:$BI$1,0))=0,"",INDEX(Raw_매출!$B$2:$BI$155,MATCH($A42,Raw_매출!$A$2:$A$155,0),MATCH(EDATE($E42,O$1-1),Raw_매출!$B$1:$BI$1,0))/(INDEX(요약_월별시즈널리티!$F$7:$F$18,MONTH(EDATE($E42,O$1-1)))/100))),"")</f>
        <v>7342046.9286144255</v>
      </c>
      <c r="P42" cm="1">
        <f t="array" ref="P42">IFERROR(IF($E42&lt;44348,"",IF(INDEX(Raw_매출!$B$2:$BI$155,MATCH($A42,Raw_매출!$A$2:$A$155,0),MATCH(EDATE($E42,P$1-1),Raw_매출!$B$1:$BI$1,0))=0,"",INDEX(Raw_매출!$B$2:$BI$155,MATCH($A42,Raw_매출!$A$2:$A$155,0),MATCH(EDATE($E42,P$1-1),Raw_매출!$B$1:$BI$1,0))/(INDEX(요약_월별시즈널리티!$F$7:$F$18,MONTH(EDATE($E42,P$1-1)))/100))),"")</f>
        <v>8468871.2135365717</v>
      </c>
      <c r="Q42" cm="1">
        <f t="array" ref="Q42">IFERROR(IF($E42&lt;44348,"",IF(INDEX(Raw_매출!$B$2:$BI$155,MATCH($A42,Raw_매출!$A$2:$A$155,0),MATCH(EDATE($E42,Q$1-1),Raw_매출!$B$1:$BI$1,0))=0,"",INDEX(Raw_매출!$B$2:$BI$155,MATCH($A42,Raw_매출!$A$2:$A$155,0),MATCH(EDATE($E42,Q$1-1),Raw_매출!$B$1:$BI$1,0))/(INDEX(요약_월별시즈널리티!$F$7:$F$18,MONTH(EDATE($E42,Q$1-1)))/100))),"")</f>
        <v>9856316.8689129725</v>
      </c>
      <c r="R42" cm="1">
        <f t="array" ref="R42">IFERROR(IF($E42&lt;44348,"",IF(INDEX(Raw_매출!$B$2:$BI$155,MATCH($A42,Raw_매출!$A$2:$A$155,0),MATCH(EDATE($E42,R$1-1),Raw_매출!$B$1:$BI$1,0))=0,"",INDEX(Raw_매출!$B$2:$BI$155,MATCH($A42,Raw_매출!$A$2:$A$155,0),MATCH(EDATE($E42,R$1-1),Raw_매출!$B$1:$BI$1,0))/(INDEX(요약_월별시즈널리티!$F$7:$F$18,MONTH(EDATE($E42,R$1-1)))/100))),"")</f>
        <v>9396188.1191796977</v>
      </c>
      <c r="S42" cm="1">
        <f t="array" ref="S42">IFERROR(IF($E42&lt;44348,"",IF(INDEX(Raw_매출!$B$2:$BI$155,MATCH($A42,Raw_매출!$A$2:$A$155,0),MATCH(EDATE($E42,S$1-1),Raw_매출!$B$1:$BI$1,0))=0,"",INDEX(Raw_매출!$B$2:$BI$155,MATCH($A42,Raw_매출!$A$2:$A$155,0),MATCH(EDATE($E42,S$1-1),Raw_매출!$B$1:$BI$1,0))/(INDEX(요약_월별시즈널리티!$F$7:$F$18,MONTH(EDATE($E42,S$1-1)))/100))),"")</f>
        <v>9393175.3160941359</v>
      </c>
      <c r="T42" cm="1">
        <f t="array" ref="T42">IFERROR(IF($E42&lt;44348,"",IF(INDEX(Raw_매출!$B$2:$BI$155,MATCH($A42,Raw_매출!$A$2:$A$155,0),MATCH(EDATE($E42,T$1-1),Raw_매출!$B$1:$BI$1,0))=0,"",INDEX(Raw_매출!$B$2:$BI$155,MATCH($A42,Raw_매출!$A$2:$A$155,0),MATCH(EDATE($E42,T$1-1),Raw_매출!$B$1:$BI$1,0))/(INDEX(요약_월별시즈널리티!$F$7:$F$18,MONTH(EDATE($E42,T$1-1)))/100))),"")</f>
        <v>8993635.368875321</v>
      </c>
      <c r="U42" cm="1">
        <f t="array" ref="U42">IFERROR(IF($E42&lt;44348,"",IF(INDEX(Raw_매출!$B$2:$BI$155,MATCH($A42,Raw_매출!$A$2:$A$155,0),MATCH(EDATE($E42,U$1-1),Raw_매출!$B$1:$BI$1,0))=0,"",INDEX(Raw_매출!$B$2:$BI$155,MATCH($A42,Raw_매출!$A$2:$A$155,0),MATCH(EDATE($E42,U$1-1),Raw_매출!$B$1:$BI$1,0))/(INDEX(요약_월별시즈널리티!$F$7:$F$18,MONTH(EDATE($E42,U$1-1)))/100))),"")</f>
        <v>9222229.9098219406</v>
      </c>
      <c r="V42" cm="1">
        <f t="array" ref="V42">IFERROR(IF($E42&lt;44348,"",IF(INDEX(Raw_매출!$B$2:$BI$155,MATCH($A42,Raw_매출!$A$2:$A$155,0),MATCH(EDATE($E42,V$1-1),Raw_매출!$B$1:$BI$1,0))=0,"",INDEX(Raw_매출!$B$2:$BI$155,MATCH($A42,Raw_매출!$A$2:$A$155,0),MATCH(EDATE($E42,V$1-1),Raw_매출!$B$1:$BI$1,0))/(INDEX(요약_월별시즈널리티!$F$7:$F$18,MONTH(EDATE($E42,V$1-1)))/100))),"")</f>
        <v>9681939.2933992706</v>
      </c>
      <c r="W42" cm="1">
        <f t="array" ref="W42">IFERROR(IF($E42&lt;44348,"",IF(INDEX(Raw_매출!$B$2:$BI$155,MATCH($A42,Raw_매출!$A$2:$A$155,0),MATCH(EDATE($E42,W$1-1),Raw_매출!$B$1:$BI$1,0))=0,"",INDEX(Raw_매출!$B$2:$BI$155,MATCH($A42,Raw_매출!$A$2:$A$155,0),MATCH(EDATE($E42,W$1-1),Raw_매출!$B$1:$BI$1,0))/(INDEX(요약_월별시즈널리티!$F$7:$F$18,MONTH(EDATE($E42,W$1-1)))/100))),"")</f>
        <v>10063736.823216224</v>
      </c>
      <c r="X42" cm="1">
        <f t="array" ref="X42">IFERROR(IF($E42&lt;44348,"",IF(INDEX(Raw_매출!$B$2:$BI$155,MATCH($A42,Raw_매출!$A$2:$A$155,0),MATCH(EDATE($E42,X$1-1),Raw_매출!$B$1:$BI$1,0))=0,"",INDEX(Raw_매출!$B$2:$BI$155,MATCH($A42,Raw_매출!$A$2:$A$155,0),MATCH(EDATE($E42,X$1-1),Raw_매출!$B$1:$BI$1,0))/(INDEX(요약_월별시즈널리티!$F$7:$F$18,MONTH(EDATE($E42,X$1-1)))/100))),"")</f>
        <v>9681326.5845748819</v>
      </c>
      <c r="Y42" cm="1">
        <f t="array" ref="Y42">IFERROR(IF($E42&lt;44348,"",IF(INDEX(Raw_매출!$B$2:$BI$155,MATCH($A42,Raw_매출!$A$2:$A$155,0),MATCH(EDATE($E42,Y$1-1),Raw_매출!$B$1:$BI$1,0))=0,"",INDEX(Raw_매출!$B$2:$BI$155,MATCH($A42,Raw_매출!$A$2:$A$155,0),MATCH(EDATE($E42,Y$1-1),Raw_매출!$B$1:$BI$1,0))/(INDEX(요약_월별시즈널리티!$F$7:$F$18,MONTH(EDATE($E42,Y$1-1)))/100))),"")</f>
        <v>10203117.805173291</v>
      </c>
      <c r="Z42" cm="1">
        <f t="array" ref="Z42">IFERROR(IF($E42&lt;44348,"",IF(INDEX(Raw_매출!$B$2:$BI$155,MATCH($A42,Raw_매출!$A$2:$A$155,0),MATCH(EDATE($E42,Z$1-1),Raw_매출!$B$1:$BI$1,0))=0,"",INDEX(Raw_매출!$B$2:$BI$155,MATCH($A42,Raw_매출!$A$2:$A$155,0),MATCH(EDATE($E42,Z$1-1),Raw_매출!$B$1:$BI$1,0))/(INDEX(요약_월별시즈널리티!$F$7:$F$18,MONTH(EDATE($E42,Z$1-1)))/100))),"")</f>
        <v>8659260.7312535588</v>
      </c>
      <c r="AA42" cm="1">
        <f t="array" ref="AA42">IFERROR(IF($E42&lt;44348,"",IF(INDEX(Raw_매출!$B$2:$BI$155,MATCH($A42,Raw_매출!$A$2:$A$155,0),MATCH(EDATE($E42,AA$1-1),Raw_매출!$B$1:$BI$1,0))=0,"",INDEX(Raw_매출!$B$2:$BI$155,MATCH($A42,Raw_매출!$A$2:$A$155,0),MATCH(EDATE($E42,AA$1-1),Raw_매출!$B$1:$BI$1,0))/(INDEX(요약_월별시즈널리티!$F$7:$F$18,MONTH(EDATE($E42,AA$1-1)))/100))),"")</f>
        <v>8546992.9461177681</v>
      </c>
      <c r="AB42" cm="1">
        <f t="array" ref="AB42">IFERROR(IF($E42&lt;44348,"",IF(INDEX(Raw_매출!$B$2:$BI$155,MATCH($A42,Raw_매출!$A$2:$A$155,0),MATCH(EDATE($E42,AB$1-1),Raw_매출!$B$1:$BI$1,0))=0,"",INDEX(Raw_매출!$B$2:$BI$155,MATCH($A42,Raw_매출!$A$2:$A$155,0),MATCH(EDATE($E42,AB$1-1),Raw_매출!$B$1:$BI$1,0))/(INDEX(요약_월별시즈널리티!$F$7:$F$18,MONTH(EDATE($E42,AB$1-1)))/100))),"")</f>
        <v>9616096.5624143127</v>
      </c>
      <c r="AC42" cm="1">
        <f t="array" ref="AC42">IFERROR(IF($E42&lt;44348,"",IF(INDEX(Raw_매출!$B$2:$BI$155,MATCH($A42,Raw_매출!$A$2:$A$155,0),MATCH(EDATE($E42,AC$1-1),Raw_매출!$B$1:$BI$1,0))=0,"",INDEX(Raw_매출!$B$2:$BI$155,MATCH($A42,Raw_매출!$A$2:$A$155,0),MATCH(EDATE($E42,AC$1-1),Raw_매출!$B$1:$BI$1,0))/(INDEX(요약_월별시즈널리티!$F$7:$F$18,MONTH(EDATE($E42,AC$1-1)))/100))),"")</f>
        <v>9221402.2545930147</v>
      </c>
      <c r="AD42" cm="1">
        <f t="array" ref="AD42">IFERROR(IF($E42&lt;44348,"",IF(INDEX(Raw_매출!$B$2:$BI$155,MATCH($A42,Raw_매출!$A$2:$A$155,0),MATCH(EDATE($E42,AD$1-1),Raw_매출!$B$1:$BI$1,0))=0,"",INDEX(Raw_매출!$B$2:$BI$155,MATCH($A42,Raw_매출!$A$2:$A$155,0),MATCH(EDATE($E42,AD$1-1),Raw_매출!$B$1:$BI$1,0))/(INDEX(요약_월별시즈널리티!$F$7:$F$18,MONTH(EDATE($E42,AD$1-1)))/100))),"")</f>
        <v>9571171.8729244918</v>
      </c>
      <c r="AE42" cm="1">
        <f t="array" ref="AE42">IFERROR(IF($E42&lt;44348,"",IF(INDEX(Raw_매출!$B$2:$BI$155,MATCH($A42,Raw_매출!$A$2:$A$155,0),MATCH(EDATE($E42,AE$1-1),Raw_매출!$B$1:$BI$1,0))=0,"",INDEX(Raw_매출!$B$2:$BI$155,MATCH($A42,Raw_매출!$A$2:$A$155,0),MATCH(EDATE($E42,AE$1-1),Raw_매출!$B$1:$BI$1,0))/(INDEX(요약_월별시즈널리티!$F$7:$F$18,MONTH(EDATE($E42,AE$1-1)))/100))),"")</f>
        <v>8949815.3649522811</v>
      </c>
      <c r="AF42" cm="1">
        <f t="array" ref="AF42">IFERROR(IF($E42&lt;44348,"",IF(INDEX(Raw_매출!$B$2:$BI$155,MATCH($A42,Raw_매출!$A$2:$A$155,0),MATCH(EDATE($E42,AF$1-1),Raw_매출!$B$1:$BI$1,0))=0,"",INDEX(Raw_매출!$B$2:$BI$155,MATCH($A42,Raw_매출!$A$2:$A$155,0),MATCH(EDATE($E42,AF$1-1),Raw_매출!$B$1:$BI$1,0))/(INDEX(요약_월별시즈널리티!$F$7:$F$18,MONTH(EDATE($E42,AF$1-1)))/100))),"")</f>
        <v>9071916.0633339472</v>
      </c>
      <c r="AG42" cm="1">
        <f t="array" ref="AG42">IFERROR(IF($E42&lt;44348,"",IF(INDEX(Raw_매출!$B$2:$BI$155,MATCH($A42,Raw_매출!$A$2:$A$155,0),MATCH(EDATE($E42,AG$1-1),Raw_매출!$B$1:$BI$1,0))=0,"",INDEX(Raw_매출!$B$2:$BI$155,MATCH($A42,Raw_매출!$A$2:$A$155,0),MATCH(EDATE($E42,AG$1-1),Raw_매출!$B$1:$BI$1,0))/(INDEX(요약_월별시즈널리티!$F$7:$F$18,MONTH(EDATE($E42,AG$1-1)))/100))),"")</f>
        <v>10110794.350380335</v>
      </c>
      <c r="AH42" cm="1">
        <f t="array" ref="AH42">IFERROR(IF($E42&lt;44348,"",IF(INDEX(Raw_매출!$B$2:$BI$155,MATCH($A42,Raw_매출!$A$2:$A$155,0),MATCH(EDATE($E42,AH$1-1),Raw_매출!$B$1:$BI$1,0))=0,"",INDEX(Raw_매출!$B$2:$BI$155,MATCH($A42,Raw_매출!$A$2:$A$155,0),MATCH(EDATE($E42,AH$1-1),Raw_매출!$B$1:$BI$1,0))/(INDEX(요약_월별시즈널리티!$F$7:$F$18,MONTH(EDATE($E42,AH$1-1)))/100))),"")</f>
        <v>10525350.618287252</v>
      </c>
      <c r="AI42" cm="1">
        <f t="array" ref="AI42">IFERROR(IF($E42&lt;44348,"",IF(INDEX(Raw_매출!$B$2:$BI$155,MATCH($A42,Raw_매출!$A$2:$A$155,0),MATCH(EDATE($E42,AI$1-1),Raw_매출!$B$1:$BI$1,0))=0,"",INDEX(Raw_매출!$B$2:$BI$155,MATCH($A42,Raw_매출!$A$2:$A$155,0),MATCH(EDATE($E42,AI$1-1),Raw_매출!$B$1:$BI$1,0))/(INDEX(요약_월별시즈널리티!$F$7:$F$18,MONTH(EDATE($E42,AI$1-1)))/100))),"")</f>
        <v>9801017.8273856305</v>
      </c>
      <c r="AJ42" cm="1">
        <f t="array" ref="AJ42">IFERROR(IF($E42&lt;44348,"",IF(INDEX(Raw_매출!$B$2:$BI$155,MATCH($A42,Raw_매출!$A$2:$A$155,0),MATCH(EDATE($E42,AJ$1-1),Raw_매출!$B$1:$BI$1,0))=0,"",INDEX(Raw_매출!$B$2:$BI$155,MATCH($A42,Raw_매출!$A$2:$A$155,0),MATCH(EDATE($E42,AJ$1-1),Raw_매출!$B$1:$BI$1,0))/(INDEX(요약_월별시즈널리티!$F$7:$F$18,MONTH(EDATE($E42,AJ$1-1)))/100))),"")</f>
        <v>9570100.6714990549</v>
      </c>
      <c r="AK42" cm="1">
        <f t="array" ref="AK42">IFERROR(IF($E42&lt;44348,"",IF(INDEX(Raw_매출!$B$2:$BI$155,MATCH($A42,Raw_매출!$A$2:$A$155,0),MATCH(EDATE($E42,AK$1-1),Raw_매출!$B$1:$BI$1,0))=0,"",INDEX(Raw_매출!$B$2:$BI$155,MATCH($A42,Raw_매출!$A$2:$A$155,0),MATCH(EDATE($E42,AK$1-1),Raw_매출!$B$1:$BI$1,0))/(INDEX(요약_월별시즈널리티!$F$7:$F$18,MONTH(EDATE($E42,AK$1-1)))/100))),"")</f>
        <v>10288319.952841517</v>
      </c>
      <c r="AL42" cm="1">
        <f t="array" ref="AL42">IFERROR(IF($E42&lt;44348,"",IF(INDEX(Raw_매출!$B$2:$BI$155,MATCH($A42,Raw_매출!$A$2:$A$155,0),MATCH(EDATE($E42,AL$1-1),Raw_매출!$B$1:$BI$1,0))=0,"",INDEX(Raw_매출!$B$2:$BI$155,MATCH($A42,Raw_매출!$A$2:$A$155,0),MATCH(EDATE($E42,AL$1-1),Raw_매출!$B$1:$BI$1,0))/(INDEX(요약_월별시즈널리티!$F$7:$F$18,MONTH(EDATE($E42,AL$1-1)))/100))),"")</f>
        <v>8835891.0485150237</v>
      </c>
      <c r="AM42" cm="1">
        <f t="array" ref="AM42">IFERROR(IF($E42&lt;44348,"",IF(INDEX(Raw_매출!$B$2:$BI$155,MATCH($A42,Raw_매출!$A$2:$A$155,0),MATCH(EDATE($E42,AM$1-1),Raw_매출!$B$1:$BI$1,0))=0,"",INDEX(Raw_매출!$B$2:$BI$155,MATCH($A42,Raw_매출!$A$2:$A$155,0),MATCH(EDATE($E42,AM$1-1),Raw_매출!$B$1:$BI$1,0))/(INDEX(요약_월별시즈널리티!$F$7:$F$18,MONTH(EDATE($E42,AM$1-1)))/100))),"")</f>
        <v>9653208.304068232</v>
      </c>
      <c r="AN42" cm="1">
        <f t="array" ref="AN42">IFERROR(IF($E42&lt;44348,"",IF(INDEX(Raw_매출!$B$2:$BI$155,MATCH($A42,Raw_매출!$A$2:$A$155,0),MATCH(EDATE($E42,AN$1-1),Raw_매출!$B$1:$BI$1,0))=0,"",INDEX(Raw_매출!$B$2:$BI$155,MATCH($A42,Raw_매출!$A$2:$A$155,0),MATCH(EDATE($E42,AN$1-1),Raw_매출!$B$1:$BI$1,0))/(INDEX(요약_월별시즈널리티!$F$7:$F$18,MONTH(EDATE($E42,AN$1-1)))/100))),"")</f>
        <v>10747664.468150988</v>
      </c>
      <c r="AO42" cm="1">
        <f t="array" ref="AO42">IFERROR(IF($E42&lt;44348,"",IF(INDEX(Raw_매출!$B$2:$BI$155,MATCH($A42,Raw_매출!$A$2:$A$155,0),MATCH(EDATE($E42,AO$1-1),Raw_매출!$B$1:$BI$1,0))=0,"",INDEX(Raw_매출!$B$2:$BI$155,MATCH($A42,Raw_매출!$A$2:$A$155,0),MATCH(EDATE($E42,AO$1-1),Raw_매출!$B$1:$BI$1,0))/(INDEX(요약_월별시즈널리티!$F$7:$F$18,MONTH(EDATE($E42,AO$1-1)))/100))),"")</f>
        <v>11123304.220131177</v>
      </c>
      <c r="AP42" cm="1">
        <f t="array" ref="AP42">IFERROR(IF($E42&lt;44348,"",IF(INDEX(Raw_매출!$B$2:$BI$155,MATCH($A42,Raw_매출!$A$2:$A$155,0),MATCH(EDATE($E42,AP$1-1),Raw_매출!$B$1:$BI$1,0))=0,"",INDEX(Raw_매출!$B$2:$BI$155,MATCH($A42,Raw_매출!$A$2:$A$155,0),MATCH(EDATE($E42,AP$1-1),Raw_매출!$B$1:$BI$1,0))/(INDEX(요약_월별시즈널리티!$F$7:$F$18,MONTH(EDATE($E42,AP$1-1)))/100))),"")</f>
        <v>11256628.97220812</v>
      </c>
      <c r="AQ42" cm="1">
        <f t="array" ref="AQ42">IFERROR(IF($E42&lt;44348,"",IF(INDEX(Raw_매출!$B$2:$BI$155,MATCH($A42,Raw_매출!$A$2:$A$155,0),MATCH(EDATE($E42,AQ$1-1),Raw_매출!$B$1:$BI$1,0))=0,"",INDEX(Raw_매출!$B$2:$BI$155,MATCH($A42,Raw_매출!$A$2:$A$155,0),MATCH(EDATE($E42,AQ$1-1),Raw_매출!$B$1:$BI$1,0))/(INDEX(요약_월별시즈널리티!$F$7:$F$18,MONTH(EDATE($E42,AQ$1-1)))/100))),"")</f>
        <v>9487124.3711068276</v>
      </c>
      <c r="AR42" cm="1">
        <f t="array" ref="AR42">IFERROR(IF($E42&lt;44348,"",IF(INDEX(Raw_매출!$B$2:$BI$155,MATCH($A42,Raw_매출!$A$2:$A$155,0),MATCH(EDATE($E42,AR$1-1),Raw_매출!$B$1:$BI$1,0))=0,"",INDEX(Raw_매출!$B$2:$BI$155,MATCH($A42,Raw_매출!$A$2:$A$155,0),MATCH(EDATE($E42,AR$1-1),Raw_매출!$B$1:$BI$1,0))/(INDEX(요약_월별시즈널리티!$F$7:$F$18,MONTH(EDATE($E42,AR$1-1)))/100))),"")</f>
        <v>9224107.1803519726</v>
      </c>
      <c r="AS42" cm="1">
        <f t="array" ref="AS42">IFERROR(IF($E42&lt;44348,"",IF(INDEX(Raw_매출!$B$2:$BI$155,MATCH($A42,Raw_매출!$A$2:$A$155,0),MATCH(EDATE($E42,AS$1-1),Raw_매출!$B$1:$BI$1,0))=0,"",INDEX(Raw_매출!$B$2:$BI$155,MATCH($A42,Raw_매출!$A$2:$A$155,0),MATCH(EDATE($E42,AS$1-1),Raw_매출!$B$1:$BI$1,0))/(INDEX(요약_월별시즈널리티!$F$7:$F$18,MONTH(EDATE($E42,AS$1-1)))/100))),"")</f>
        <v>9362254.5119156651</v>
      </c>
      <c r="AT42" cm="1">
        <f t="array" ref="AT42">IFERROR(IF($E42&lt;44348,"",IF(INDEX(Raw_매출!$B$2:$BI$155,MATCH($A42,Raw_매출!$A$2:$A$155,0),MATCH(EDATE($E42,AT$1-1),Raw_매출!$B$1:$BI$1,0))=0,"",INDEX(Raw_매출!$B$2:$BI$155,MATCH($A42,Raw_매출!$A$2:$A$155,0),MATCH(EDATE($E42,AT$1-1),Raw_매출!$B$1:$BI$1,0))/(INDEX(요약_월별시즈널리티!$F$7:$F$18,MONTH(EDATE($E42,AT$1-1)))/100))),"")</f>
        <v>10946550.954575349</v>
      </c>
      <c r="AU42" cm="1">
        <f t="array" ref="AU42">IFERROR(IF($E42&lt;44348,"",IF(INDEX(Raw_매출!$B$2:$BI$155,MATCH($A42,Raw_매출!$A$2:$A$155,0),MATCH(EDATE($E42,AU$1-1),Raw_매출!$B$1:$BI$1,0))=0,"",INDEX(Raw_매출!$B$2:$BI$155,MATCH($A42,Raw_매출!$A$2:$A$155,0),MATCH(EDATE($E42,AU$1-1),Raw_매출!$B$1:$BI$1,0))/(INDEX(요약_월별시즈널리티!$F$7:$F$18,MONTH(EDATE($E42,AU$1-1)))/100))),"")</f>
        <v>10591583.230527408</v>
      </c>
      <c r="AV42" cm="1">
        <f t="array" ref="AV42">IFERROR(IF($E42&lt;44348,"",IF(INDEX(Raw_매출!$B$2:$BI$155,MATCH($A42,Raw_매출!$A$2:$A$155,0),MATCH(EDATE($E42,AV$1-1),Raw_매출!$B$1:$BI$1,0))=0,"",INDEX(Raw_매출!$B$2:$BI$155,MATCH($A42,Raw_매출!$A$2:$A$155,0),MATCH(EDATE($E42,AV$1-1),Raw_매출!$B$1:$BI$1,0))/(INDEX(요약_월별시즈널리티!$F$7:$F$18,MONTH(EDATE($E42,AV$1-1)))/100))),"")</f>
        <v>8188287.4751231596</v>
      </c>
      <c r="AW42" cm="1">
        <f t="array" ref="AW42">IFERROR(IF($E42&lt;44348,"",IF(INDEX(Raw_매출!$B$2:$BI$155,MATCH($A42,Raw_매출!$A$2:$A$155,0),MATCH(EDATE($E42,AW$1-1),Raw_매출!$B$1:$BI$1,0))=0,"",INDEX(Raw_매출!$B$2:$BI$155,MATCH($A42,Raw_매출!$A$2:$A$155,0),MATCH(EDATE($E42,AW$1-1),Raw_매출!$B$1:$BI$1,0))/(INDEX(요약_월별시즈널리티!$F$7:$F$18,MONTH(EDATE($E42,AW$1-1)))/100))),"")</f>
        <v>7252804.3228232386</v>
      </c>
      <c r="AX42" cm="1">
        <f t="array" ref="AX42">IFERROR(IF($E42&lt;44348,"",IF(INDEX(Raw_매출!$B$2:$BI$155,MATCH($A42,Raw_매출!$A$2:$A$155,0),MATCH(EDATE($E42,AX$1-1),Raw_매출!$B$1:$BI$1,0))=0,"",INDEX(Raw_매출!$B$2:$BI$155,MATCH($A42,Raw_매출!$A$2:$A$155,0),MATCH(EDATE($E42,AX$1-1),Raw_매출!$B$1:$BI$1,0))/(INDEX(요약_월별시즈널리티!$F$7:$F$18,MONTH(EDATE($E42,AX$1-1)))/100))),"")</f>
        <v>7566508.3412968135</v>
      </c>
      <c r="AY42" cm="1">
        <f t="array" ref="AY42">IFERROR(IF($E42&lt;44348,"",IF(INDEX(Raw_매출!$B$2:$BI$155,MATCH($A42,Raw_매출!$A$2:$A$155,0),MATCH(EDATE($E42,AY$1-1),Raw_매출!$B$1:$BI$1,0))=0,"",INDEX(Raw_매출!$B$2:$BI$155,MATCH($A42,Raw_매출!$A$2:$A$155,0),MATCH(EDATE($E42,AY$1-1),Raw_매출!$B$1:$BI$1,0))/(INDEX(요약_월별시즈널리티!$F$7:$F$18,MONTH(EDATE($E42,AY$1-1)))/100))),"")</f>
        <v>7590089.7119511049</v>
      </c>
      <c r="AZ42" cm="1">
        <f t="array" ref="AZ42">IFERROR(IF($E42&lt;44348,"",IF(INDEX(Raw_매출!$B$2:$BI$155,MATCH($A42,Raw_매출!$A$2:$A$155,0),MATCH(EDATE($E42,AZ$1-1),Raw_매출!$B$1:$BI$1,0))=0,"",INDEX(Raw_매출!$B$2:$BI$155,MATCH($A42,Raw_매출!$A$2:$A$155,0),MATCH(EDATE($E42,AZ$1-1),Raw_매출!$B$1:$BI$1,0))/(INDEX(요약_월별시즈널리티!$F$7:$F$18,MONTH(EDATE($E42,AZ$1-1)))/100))),"")</f>
        <v>8177312.2357053719</v>
      </c>
      <c r="BA42" cm="1">
        <f t="array" ref="BA42">IFERROR(IF($E42&lt;44348,"",IF(INDEX(Raw_매출!$B$2:$BI$155,MATCH($A42,Raw_매출!$A$2:$A$155,0),MATCH(EDATE($E42,BA$1-1),Raw_매출!$B$1:$BI$1,0))=0,"",INDEX(Raw_매출!$B$2:$BI$155,MATCH($A42,Raw_매출!$A$2:$A$155,0),MATCH(EDATE($E42,BA$1-1),Raw_매출!$B$1:$BI$1,0))/(INDEX(요약_월별시즈널리티!$F$7:$F$18,MONTH(EDATE($E42,BA$1-1)))/100))),"")</f>
        <v>7900664.2217951678</v>
      </c>
      <c r="BB42" cm="1">
        <f t="array" ref="BB42">IFERROR(IF($E42&lt;44348,"",IF(INDEX(Raw_매출!$B$2:$BI$155,MATCH($A42,Raw_매출!$A$2:$A$155,0),MATCH(EDATE($E42,BB$1-1),Raw_매출!$B$1:$BI$1,0))=0,"",INDEX(Raw_매출!$B$2:$BI$155,MATCH($A42,Raw_매출!$A$2:$A$155,0),MATCH(EDATE($E42,BB$1-1),Raw_매출!$B$1:$BI$1,0))/(INDEX(요약_월별시즈널리티!$F$7:$F$18,MONTH(EDATE($E42,BB$1-1)))/100))),"")</f>
        <v>8230229.0203116965</v>
      </c>
      <c r="BC42" cm="1">
        <f t="array" ref="BC42">IFERROR(IF($E42&lt;44348,"",IF(INDEX(Raw_매출!$B$2:$BI$155,MATCH($A42,Raw_매출!$A$2:$A$155,0),MATCH(EDATE($E42,BC$1-1),Raw_매출!$B$1:$BI$1,0))=0,"",INDEX(Raw_매출!$B$2:$BI$155,MATCH($A42,Raw_매출!$A$2:$A$155,0),MATCH(EDATE($E42,BC$1-1),Raw_매출!$B$1:$BI$1,0))/(INDEX(요약_월별시즈널리티!$F$7:$F$18,MONTH(EDATE($E42,BC$1-1)))/100))),"")</f>
        <v>8293426.3641154403</v>
      </c>
      <c r="BD42" cm="1">
        <f t="array" ref="BD42">IFERROR(IF($E42&lt;44348,"",IF(INDEX(Raw_매출!$B$2:$BI$155,MATCH($A42,Raw_매출!$A$2:$A$155,0),MATCH(EDATE($E42,BD$1-1),Raw_매출!$B$1:$BI$1,0))=0,"",INDEX(Raw_매출!$B$2:$BI$155,MATCH($A42,Raw_매출!$A$2:$A$155,0),MATCH(EDATE($E42,BD$1-1),Raw_매출!$B$1:$BI$1,0))/(INDEX(요약_월별시즈널리티!$F$7:$F$18,MONTH(EDATE($E42,BD$1-1)))/100))),"")</f>
        <v>8366765.4886492863</v>
      </c>
      <c r="BE42" cm="1">
        <f t="array" ref="BE42">IFERROR(IF($E42&lt;44348,"",IF(INDEX(Raw_매출!$B$2:$BI$155,MATCH($A42,Raw_매출!$A$2:$A$155,0),MATCH(EDATE($E42,BE$1-1),Raw_매출!$B$1:$BI$1,0))=0,"",INDEX(Raw_매출!$B$2:$BI$155,MATCH($A42,Raw_매출!$A$2:$A$155,0),MATCH(EDATE($E42,BE$1-1),Raw_매출!$B$1:$BI$1,0))/(INDEX(요약_월별시즈널리티!$F$7:$F$18,MONTH(EDATE($E42,BE$1-1)))/100))),"")</f>
        <v>7737450.4104626561</v>
      </c>
      <c r="BF42" cm="1">
        <f t="array" ref="BF42">IFERROR(IF($E42&lt;44348,"",IF(INDEX(Raw_매출!$B$2:$BI$155,MATCH($A42,Raw_매출!$A$2:$A$155,0),MATCH(EDATE($E42,BF$1-1),Raw_매출!$B$1:$BI$1,0))=0,"",INDEX(Raw_매출!$B$2:$BI$155,MATCH($A42,Raw_매출!$A$2:$A$155,0),MATCH(EDATE($E42,BF$1-1),Raw_매출!$B$1:$BI$1,0))/(INDEX(요약_월별시즈널리티!$F$7:$F$18,MONTH(EDATE($E42,BF$1-1)))/100))),"")</f>
        <v>7980198.5366732469</v>
      </c>
      <c r="BG42" cm="1">
        <f t="array" ref="BG42">IFERROR(IF($E42&lt;44348,"",IF(INDEX(Raw_매출!$B$2:$BI$155,MATCH($A42,Raw_매출!$A$2:$A$155,0),MATCH(EDATE($E42,BG$1-1),Raw_매출!$B$1:$BI$1,0))=0,"",INDEX(Raw_매출!$B$2:$BI$155,MATCH($A42,Raw_매출!$A$2:$A$155,0),MATCH(EDATE($E42,BG$1-1),Raw_매출!$B$1:$BI$1,0))/(INDEX(요약_월별시즈널리티!$F$7:$F$18,MONTH(EDATE($E42,BG$1-1)))/100))),"")</f>
        <v>8100106.9008931853</v>
      </c>
      <c r="BH42" cm="1">
        <f t="array" ref="BH42">IFERROR(IF($E42&lt;44348,"",IF(INDEX(Raw_매출!$B$2:$BI$155,MATCH($A42,Raw_매출!$A$2:$A$155,0),MATCH(EDATE($E42,BH$1-1),Raw_매출!$B$1:$BI$1,0))=0,"",INDEX(Raw_매출!$B$2:$BI$155,MATCH($A42,Raw_매출!$A$2:$A$155,0),MATCH(EDATE($E42,BH$1-1),Raw_매출!$B$1:$BI$1,0))/(INDEX(요약_월별시즈널리티!$F$7:$F$18,MONTH(EDATE($E42,BH$1-1)))/100))),"")</f>
        <v>8032388.0157240368</v>
      </c>
      <c r="BI42" cm="1">
        <f t="array" ref="BI42">IFERROR(IF($E42&lt;44348,"",IF(INDEX(Raw_매출!$B$2:$BI$155,MATCH($A42,Raw_매출!$A$2:$A$155,0),MATCH(EDATE($E42,BI$1-1),Raw_매출!$B$1:$BI$1,0))=0,"",INDEX(Raw_매출!$B$2:$BI$155,MATCH($A42,Raw_매출!$A$2:$A$155,0),MATCH(EDATE($E42,BI$1-1),Raw_매출!$B$1:$BI$1,0))/(INDEX(요약_월별시즈널리티!$F$7:$F$18,MONTH(EDATE($E42,BI$1-1)))/100))),"")</f>
        <v>8909645.1620271094</v>
      </c>
      <c r="BJ42" cm="1">
        <f t="array" ref="BJ42">IFERROR(IF($E42&lt;44348,"",IF(INDEX(Raw_매출!$B$2:$BI$155,MATCH($A42,Raw_매출!$A$2:$A$155,0),MATCH(EDATE($E42,BJ$1-1),Raw_매출!$B$1:$BI$1,0))=0,"",INDEX(Raw_매출!$B$2:$BI$155,MATCH($A42,Raw_매출!$A$2:$A$155,0),MATCH(EDATE($E42,BJ$1-1),Raw_매출!$B$1:$BI$1,0))/(INDEX(요약_월별시즈널리티!$F$7:$F$18,MONTH(EDATE($E42,BJ$1-1)))/100))),"")</f>
        <v>8560178.4405539893</v>
      </c>
      <c r="BK42" t="str" cm="1">
        <f t="array" ref="BK42">IFERROR(IF($E42&lt;44348,"",IF(INDEX(Raw_매출!$B$2:$BI$155,MATCH($A42,Raw_매출!$A$2:$A$155,0),MATCH(EDATE($E42,BK$1-1),Raw_매출!$B$1:$BI$1,0))=0,"",INDEX(Raw_매출!$B$2:$BI$155,MATCH($A42,Raw_매출!$A$2:$A$155,0),MATCH(EDATE($E42,BK$1-1),Raw_매출!$B$1:$BI$1,0))/(INDEX(요약_월별시즈널리티!$F$7:$F$18,MONTH(EDATE($E42,BK$1-1)))/100))),"")</f>
        <v/>
      </c>
      <c r="BL42" t="str" cm="1">
        <f t="array" ref="BL42">IFERROR(IF($E42&lt;44348,"",IF(INDEX(Raw_매출!$B$2:$BI$155,MATCH($A42,Raw_매출!$A$2:$A$155,0),MATCH(EDATE($E42,BL$1-1),Raw_매출!$B$1:$BI$1,0))=0,"",INDEX(Raw_매출!$B$2:$BI$155,MATCH($A42,Raw_매출!$A$2:$A$155,0),MATCH(EDATE($E42,BL$1-1),Raw_매출!$B$1:$BI$1,0))/(INDEX(요약_월별시즈널리티!$F$7:$F$18,MONTH(EDATE($E42,BL$1-1)))/100))),"")</f>
        <v/>
      </c>
      <c r="BM42" t="str" cm="1">
        <f t="array" ref="BM42">IFERROR(IF($E42&lt;44348,"",IF(INDEX(Raw_매출!$B$2:$BI$155,MATCH($A42,Raw_매출!$A$2:$A$155,0),MATCH(EDATE($E42,BM$1-1),Raw_매출!$B$1:$BI$1,0))=0,"",INDEX(Raw_매출!$B$2:$BI$155,MATCH($A42,Raw_매출!$A$2:$A$155,0),MATCH(EDATE($E42,BM$1-1),Raw_매출!$B$1:$BI$1,0))/(INDEX(요약_월별시즈널리티!$F$7:$F$18,MONTH(EDATE($E42,BM$1-1)))/100))),"")</f>
        <v/>
      </c>
      <c r="BN42" t="str" cm="1">
        <f t="array" ref="BN42">IFERROR(IF($E42&lt;44348,"",IF(INDEX(Raw_매출!$B$2:$BI$155,MATCH($A42,Raw_매출!$A$2:$A$155,0),MATCH(EDATE($E42,BN$1-1),Raw_매출!$B$1:$BI$1,0))=0,"",INDEX(Raw_매출!$B$2:$BI$155,MATCH($A42,Raw_매출!$A$2:$A$155,0),MATCH(EDATE($E42,BN$1-1),Raw_매출!$B$1:$BI$1,0))/(INDEX(요약_월별시즈널리티!$F$7:$F$18,MONTH(EDATE($E42,BN$1-1)))/100))),"")</f>
        <v/>
      </c>
    </row>
    <row r="43" spans="1:66" x14ac:dyDescent="0.4">
      <c r="A43" t="str">
        <f>세팅!A44</f>
        <v>(1032) #이대점</v>
      </c>
      <c r="B43" t="str">
        <f>세팅!B44</f>
        <v>150-4</v>
      </c>
      <c r="C43">
        <f t="shared" si="0"/>
        <v>4</v>
      </c>
      <c r="D43" t="str">
        <f t="shared" si="1"/>
        <v>3+</v>
      </c>
      <c r="E43" s="1">
        <f>세팅!D44</f>
        <v>44470</v>
      </c>
      <c r="F43">
        <f t="shared" si="2"/>
        <v>3350361.6940981317</v>
      </c>
      <c r="G43" cm="1">
        <f t="array" ref="G43">IFERROR(IF($E43&lt;44348,"",IF(INDEX(Raw_매출!$B$2:$BI$155,MATCH($A43,Raw_매출!$A$2:$A$155,0),MATCH(EDATE($E43,G$1-1),Raw_매출!$B$1:$BI$1,0))=0,"",INDEX(Raw_매출!$B$2:$BI$155,MATCH($A43,Raw_매출!$A$2:$A$155,0),MATCH(EDATE($E43,G$1-1),Raw_매출!$B$1:$BI$1,0))/(INDEX(요약_월별시즈널리티!$F$7:$F$18,MONTH(EDATE($E43,G$1-1)))/100))),"")</f>
        <v>2616472.5311776306</v>
      </c>
      <c r="H43" cm="1">
        <f t="array" ref="H43">IFERROR(IF($E43&lt;44348,"",IF(INDEX(Raw_매출!$B$2:$BI$155,MATCH($A43,Raw_매출!$A$2:$A$155,0),MATCH(EDATE($E43,H$1-1),Raw_매출!$B$1:$BI$1,0))=0,"",INDEX(Raw_매출!$B$2:$BI$155,MATCH($A43,Raw_매출!$A$2:$A$155,0),MATCH(EDATE($E43,H$1-1),Raw_매출!$B$1:$BI$1,0))/(INDEX(요약_월별시즈널리티!$F$7:$F$18,MONTH(EDATE($E43,H$1-1)))/100))),"")</f>
        <v>2943450.1615761649</v>
      </c>
      <c r="I43" cm="1">
        <f t="array" ref="I43">IFERROR(IF($E43&lt;44348,"",IF(INDEX(Raw_매출!$B$2:$BI$155,MATCH($A43,Raw_매출!$A$2:$A$155,0),MATCH(EDATE($E43,I$1-1),Raw_매출!$B$1:$BI$1,0))=0,"",INDEX(Raw_매출!$B$2:$BI$155,MATCH($A43,Raw_매출!$A$2:$A$155,0),MATCH(EDATE($E43,I$1-1),Raw_매출!$B$1:$BI$1,0))/(INDEX(요약_월별시즈널리티!$F$7:$F$18,MONTH(EDATE($E43,I$1-1)))/100))),"")</f>
        <v>2925042.2270252183</v>
      </c>
      <c r="J43" s="30" cm="1">
        <f t="array" ref="J43">IFERROR(IF($E43&lt;44348,"",IF(INDEX(Raw_매출!$B$2:$BI$155,MATCH($A43,Raw_매출!$A$2:$A$155,0),MATCH(EDATE($E43,J$1-1),Raw_매출!$B$1:$BI$1,0))=0,"",INDEX(Raw_매출!$B$2:$BI$155,MATCH($A43,Raw_매출!$A$2:$A$155,0),MATCH(EDATE($E43,J$1-1),Raw_매출!$B$1:$BI$1,0))/(INDEX(요약_월별시즈널리티!$F$7:$F$18,MONTH(EDATE($E43,J$1-1)))/100))),"")</f>
        <v>3893208.4706197325</v>
      </c>
      <c r="K43" s="30" cm="1">
        <f t="array" ref="K43">IFERROR(IF($E43&lt;44348,"",IF(INDEX(Raw_매출!$B$2:$BI$155,MATCH($A43,Raw_매출!$A$2:$A$155,0),MATCH(EDATE($E43,K$1-1),Raw_매출!$B$1:$BI$1,0))=0,"",INDEX(Raw_매출!$B$2:$BI$155,MATCH($A43,Raw_매출!$A$2:$A$155,0),MATCH(EDATE($E43,K$1-1),Raw_매출!$B$1:$BI$1,0))/(INDEX(요약_월별시즈널리티!$F$7:$F$18,MONTH(EDATE($E43,K$1-1)))/100))),"")</f>
        <v>4120407.6613062122</v>
      </c>
      <c r="L43" s="30" cm="1">
        <f t="array" ref="L43">IFERROR(IF($E43&lt;44348,"",IF(INDEX(Raw_매출!$B$2:$BI$155,MATCH($A43,Raw_매출!$A$2:$A$155,0),MATCH(EDATE($E43,L$1-1),Raw_매출!$B$1:$BI$1,0))=0,"",INDEX(Raw_매출!$B$2:$BI$155,MATCH($A43,Raw_매출!$A$2:$A$155,0),MATCH(EDATE($E43,L$1-1),Raw_매출!$B$1:$BI$1,0))/(INDEX(요약_월별시즈널리티!$F$7:$F$18,MONTH(EDATE($E43,L$1-1)))/100))),"")</f>
        <v>3830337.2360125128</v>
      </c>
      <c r="M43" s="30" cm="1">
        <f t="array" ref="M43">IFERROR(IF($E43&lt;44348,"",IF(INDEX(Raw_매출!$B$2:$BI$155,MATCH($A43,Raw_매출!$A$2:$A$155,0),MATCH(EDATE($E43,M$1-1),Raw_매출!$B$1:$BI$1,0))=0,"",INDEX(Raw_매출!$B$2:$BI$155,MATCH($A43,Raw_매출!$A$2:$A$155,0),MATCH(EDATE($E43,M$1-1),Raw_매출!$B$1:$BI$1,0))/(INDEX(요약_월별시즈널리티!$F$7:$F$18,MONTH(EDATE($E43,M$1-1)))/100))),"")</f>
        <v>3085494.9487003325</v>
      </c>
      <c r="N43" s="30" cm="1">
        <f t="array" ref="N43">IFERROR(IF($E43&lt;44348,"",IF(INDEX(Raw_매출!$B$2:$BI$155,MATCH($A43,Raw_매출!$A$2:$A$155,0),MATCH(EDATE($E43,N$1-1),Raw_매출!$B$1:$BI$1,0))=0,"",INDEX(Raw_매출!$B$2:$BI$155,MATCH($A43,Raw_매출!$A$2:$A$155,0),MATCH(EDATE($E43,N$1-1),Raw_매출!$B$1:$BI$1,0))/(INDEX(요약_월별시즈널리티!$F$7:$F$18,MONTH(EDATE($E43,N$1-1)))/100))),"")</f>
        <v>2487496.972448003</v>
      </c>
      <c r="O43" s="30" cm="1">
        <f t="array" ref="O43">IFERROR(IF($E43&lt;44348,"",IF(INDEX(Raw_매출!$B$2:$BI$155,MATCH($A43,Raw_매출!$A$2:$A$155,0),MATCH(EDATE($E43,O$1-1),Raw_매출!$B$1:$BI$1,0))=0,"",INDEX(Raw_매출!$B$2:$BI$155,MATCH($A43,Raw_매출!$A$2:$A$155,0),MATCH(EDATE($E43,O$1-1),Raw_매출!$B$1:$BI$1,0))/(INDEX(요약_월별시즈널리티!$F$7:$F$18,MONTH(EDATE($E43,O$1-1)))/100))),"")</f>
        <v>2685224.8755019964</v>
      </c>
      <c r="P43" cm="1">
        <f t="array" ref="P43">IFERROR(IF($E43&lt;44348,"",IF(INDEX(Raw_매출!$B$2:$BI$155,MATCH($A43,Raw_매출!$A$2:$A$155,0),MATCH(EDATE($E43,P$1-1),Raw_매출!$B$1:$BI$1,0))=0,"",INDEX(Raw_매출!$B$2:$BI$155,MATCH($A43,Raw_매출!$A$2:$A$155,0),MATCH(EDATE($E43,P$1-1),Raw_매출!$B$1:$BI$1,0))/(INDEX(요약_월별시즈널리티!$F$7:$F$18,MONTH(EDATE($E43,P$1-1)))/100))),"")</f>
        <v>3683177.0610360005</v>
      </c>
      <c r="Q43" cm="1">
        <f t="array" ref="Q43">IFERROR(IF($E43&lt;44348,"",IF(INDEX(Raw_매출!$B$2:$BI$155,MATCH($A43,Raw_매출!$A$2:$A$155,0),MATCH(EDATE($E43,Q$1-1),Raw_매출!$B$1:$BI$1,0))=0,"",INDEX(Raw_매출!$B$2:$BI$155,MATCH($A43,Raw_매출!$A$2:$A$155,0),MATCH(EDATE($E43,Q$1-1),Raw_매출!$B$1:$BI$1,0))/(INDEX(요약_월별시즈널리티!$F$7:$F$18,MONTH(EDATE($E43,Q$1-1)))/100))),"")</f>
        <v>3578315.6570293717</v>
      </c>
      <c r="R43" cm="1">
        <f t="array" ref="R43">IFERROR(IF($E43&lt;44348,"",IF(INDEX(Raw_매출!$B$2:$BI$155,MATCH($A43,Raw_매출!$A$2:$A$155,0),MATCH(EDATE($E43,R$1-1),Raw_매출!$B$1:$BI$1,0))=0,"",INDEX(Raw_매출!$B$2:$BI$155,MATCH($A43,Raw_매출!$A$2:$A$155,0),MATCH(EDATE($E43,R$1-1),Raw_매출!$B$1:$BI$1,0))/(INDEX(요약_월별시즈널리티!$F$7:$F$18,MONTH(EDATE($E43,R$1-1)))/100))),"")</f>
        <v>3551610.8922174159</v>
      </c>
      <c r="S43" cm="1">
        <f t="array" ref="S43">IFERROR(IF($E43&lt;44348,"",IF(INDEX(Raw_매출!$B$2:$BI$155,MATCH($A43,Raw_매출!$A$2:$A$155,0),MATCH(EDATE($E43,S$1-1),Raw_매출!$B$1:$BI$1,0))=0,"",INDEX(Raw_매출!$B$2:$BI$155,MATCH($A43,Raw_매출!$A$2:$A$155,0),MATCH(EDATE($E43,S$1-1),Raw_매출!$B$1:$BI$1,0))/(INDEX(요약_월별시즈널리티!$F$7:$F$18,MONTH(EDATE($E43,S$1-1)))/100))),"")</f>
        <v>3276538.1755117457</v>
      </c>
      <c r="T43" cm="1">
        <f t="array" ref="T43">IFERROR(IF($E43&lt;44348,"",IF(INDEX(Raw_매출!$B$2:$BI$155,MATCH($A43,Raw_매출!$A$2:$A$155,0),MATCH(EDATE($E43,T$1-1),Raw_매출!$B$1:$BI$1,0))=0,"",INDEX(Raw_매출!$B$2:$BI$155,MATCH($A43,Raw_매출!$A$2:$A$155,0),MATCH(EDATE($E43,T$1-1),Raw_매출!$B$1:$BI$1,0))/(INDEX(요약_월별시즈널리티!$F$7:$F$18,MONTH(EDATE($E43,T$1-1)))/100))),"")</f>
        <v>3014527.1111459597</v>
      </c>
      <c r="U43" cm="1">
        <f t="array" ref="U43">IFERROR(IF($E43&lt;44348,"",IF(INDEX(Raw_매출!$B$2:$BI$155,MATCH($A43,Raw_매출!$A$2:$A$155,0),MATCH(EDATE($E43,U$1-1),Raw_매출!$B$1:$BI$1,0))=0,"",INDEX(Raw_매출!$B$2:$BI$155,MATCH($A43,Raw_매출!$A$2:$A$155,0),MATCH(EDATE($E43,U$1-1),Raw_매출!$B$1:$BI$1,0))/(INDEX(요약_월별시즈널리티!$F$7:$F$18,MONTH(EDATE($E43,U$1-1)))/100))),"")</f>
        <v>2956010.4160292903</v>
      </c>
      <c r="V43" cm="1">
        <f t="array" ref="V43">IFERROR(IF($E43&lt;44348,"",IF(INDEX(Raw_매출!$B$2:$BI$155,MATCH($A43,Raw_매출!$A$2:$A$155,0),MATCH(EDATE($E43,V$1-1),Raw_매출!$B$1:$BI$1,0))=0,"",INDEX(Raw_매출!$B$2:$BI$155,MATCH($A43,Raw_매출!$A$2:$A$155,0),MATCH(EDATE($E43,V$1-1),Raw_매출!$B$1:$BI$1,0))/(INDEX(요약_월별시즈널리티!$F$7:$F$18,MONTH(EDATE($E43,V$1-1)))/100))),"")</f>
        <v>3032506.2029192359</v>
      </c>
      <c r="W43" cm="1">
        <f t="array" ref="W43">IFERROR(IF($E43&lt;44348,"",IF(INDEX(Raw_매출!$B$2:$BI$155,MATCH($A43,Raw_매출!$A$2:$A$155,0),MATCH(EDATE($E43,W$1-1),Raw_매출!$B$1:$BI$1,0))=0,"",INDEX(Raw_매출!$B$2:$BI$155,MATCH($A43,Raw_매출!$A$2:$A$155,0),MATCH(EDATE($E43,W$1-1),Raw_매출!$B$1:$BI$1,0))/(INDEX(요약_월별시즈널리티!$F$7:$F$18,MONTH(EDATE($E43,W$1-1)))/100))),"")</f>
        <v>3190260.9275129298</v>
      </c>
      <c r="X43" cm="1">
        <f t="array" ref="X43">IFERROR(IF($E43&lt;44348,"",IF(INDEX(Raw_매출!$B$2:$BI$155,MATCH($A43,Raw_매출!$A$2:$A$155,0),MATCH(EDATE($E43,X$1-1),Raw_매출!$B$1:$BI$1,0))=0,"",INDEX(Raw_매출!$B$2:$BI$155,MATCH($A43,Raw_매출!$A$2:$A$155,0),MATCH(EDATE($E43,X$1-1),Raw_매출!$B$1:$BI$1,0))/(INDEX(요약_월별시즈널리티!$F$7:$F$18,MONTH(EDATE($E43,X$1-1)))/100))),"")</f>
        <v>3606506.4061273108</v>
      </c>
      <c r="Y43" cm="1">
        <f t="array" ref="Y43">IFERROR(IF($E43&lt;44348,"",IF(INDEX(Raw_매출!$B$2:$BI$155,MATCH($A43,Raw_매출!$A$2:$A$155,0),MATCH(EDATE($E43,Y$1-1),Raw_매출!$B$1:$BI$1,0))=0,"",INDEX(Raw_매출!$B$2:$BI$155,MATCH($A43,Raw_매출!$A$2:$A$155,0),MATCH(EDATE($E43,Y$1-1),Raw_매출!$B$1:$BI$1,0))/(INDEX(요약_월별시즈널리티!$F$7:$F$18,MONTH(EDATE($E43,Y$1-1)))/100))),"")</f>
        <v>3805184.7024777904</v>
      </c>
      <c r="Z43" cm="1">
        <f t="array" ref="Z43">IFERROR(IF($E43&lt;44348,"",IF(INDEX(Raw_매출!$B$2:$BI$155,MATCH($A43,Raw_매출!$A$2:$A$155,0),MATCH(EDATE($E43,Z$1-1),Raw_매출!$B$1:$BI$1,0))=0,"",INDEX(Raw_매출!$B$2:$BI$155,MATCH($A43,Raw_매출!$A$2:$A$155,0),MATCH(EDATE($E43,Z$1-1),Raw_매출!$B$1:$BI$1,0))/(INDEX(요약_월별시즈널리티!$F$7:$F$18,MONTH(EDATE($E43,Z$1-1)))/100))),"")</f>
        <v>3912991.2313632644</v>
      </c>
      <c r="AA43" cm="1">
        <f t="array" ref="AA43">IFERROR(IF($E43&lt;44348,"",IF(INDEX(Raw_매출!$B$2:$BI$155,MATCH($A43,Raw_매출!$A$2:$A$155,0),MATCH(EDATE($E43,AA$1-1),Raw_매출!$B$1:$BI$1,0))=0,"",INDEX(Raw_매출!$B$2:$BI$155,MATCH($A43,Raw_매출!$A$2:$A$155,0),MATCH(EDATE($E43,AA$1-1),Raw_매출!$B$1:$BI$1,0))/(INDEX(요약_월별시즈널리티!$F$7:$F$18,MONTH(EDATE($E43,AA$1-1)))/100))),"")</f>
        <v>4023459.2292168499</v>
      </c>
      <c r="AB43" cm="1">
        <f t="array" ref="AB43">IFERROR(IF($E43&lt;44348,"",IF(INDEX(Raw_매출!$B$2:$BI$155,MATCH($A43,Raw_매출!$A$2:$A$155,0),MATCH(EDATE($E43,AB$1-1),Raw_매출!$B$1:$BI$1,0))=0,"",INDEX(Raw_매출!$B$2:$BI$155,MATCH($A43,Raw_매출!$A$2:$A$155,0),MATCH(EDATE($E43,AB$1-1),Raw_매출!$B$1:$BI$1,0))/(INDEX(요약_월별시즈널리티!$F$7:$F$18,MONTH(EDATE($E43,AB$1-1)))/100))),"")</f>
        <v>4036639.7799008223</v>
      </c>
      <c r="AC43" cm="1">
        <f t="array" ref="AC43">IFERROR(IF($E43&lt;44348,"",IF(INDEX(Raw_매출!$B$2:$BI$155,MATCH($A43,Raw_매출!$A$2:$A$155,0),MATCH(EDATE($E43,AC$1-1),Raw_매출!$B$1:$BI$1,0))=0,"",INDEX(Raw_매출!$B$2:$BI$155,MATCH($A43,Raw_매출!$A$2:$A$155,0),MATCH(EDATE($E43,AC$1-1),Raw_매출!$B$1:$BI$1,0))/(INDEX(요약_월별시즈널리티!$F$7:$F$18,MONTH(EDATE($E43,AC$1-1)))/100))),"")</f>
        <v>3071187.5309133376</v>
      </c>
      <c r="AD43" cm="1">
        <f t="array" ref="AD43">IFERROR(IF($E43&lt;44348,"",IF(INDEX(Raw_매출!$B$2:$BI$155,MATCH($A43,Raw_매출!$A$2:$A$155,0),MATCH(EDATE($E43,AD$1-1),Raw_매출!$B$1:$BI$1,0))=0,"",INDEX(Raw_매출!$B$2:$BI$155,MATCH($A43,Raw_매출!$A$2:$A$155,0),MATCH(EDATE($E43,AD$1-1),Raw_매출!$B$1:$BI$1,0))/(INDEX(요약_월별시즈널리티!$F$7:$F$18,MONTH(EDATE($E43,AD$1-1)))/100))),"")</f>
        <v>3407788.6288655293</v>
      </c>
      <c r="AE43" cm="1">
        <f t="array" ref="AE43">IFERROR(IF($E43&lt;44348,"",IF(INDEX(Raw_매출!$B$2:$BI$155,MATCH($A43,Raw_매출!$A$2:$A$155,0),MATCH(EDATE($E43,AE$1-1),Raw_매출!$B$1:$BI$1,0))=0,"",INDEX(Raw_매출!$B$2:$BI$155,MATCH($A43,Raw_매출!$A$2:$A$155,0),MATCH(EDATE($E43,AE$1-1),Raw_매출!$B$1:$BI$1,0))/(INDEX(요약_월별시즈널리티!$F$7:$F$18,MONTH(EDATE($E43,AE$1-1)))/100))),"")</f>
        <v>3442203.40603597</v>
      </c>
      <c r="AF43" cm="1">
        <f t="array" ref="AF43">IFERROR(IF($E43&lt;44348,"",IF(INDEX(Raw_매출!$B$2:$BI$155,MATCH($A43,Raw_매출!$A$2:$A$155,0),MATCH(EDATE($E43,AF$1-1),Raw_매출!$B$1:$BI$1,0))=0,"",INDEX(Raw_매출!$B$2:$BI$155,MATCH($A43,Raw_매출!$A$2:$A$155,0),MATCH(EDATE($E43,AF$1-1),Raw_매출!$B$1:$BI$1,0))/(INDEX(요약_월별시즈널리티!$F$7:$F$18,MONTH(EDATE($E43,AF$1-1)))/100))),"")</f>
        <v>2902628.9405394588</v>
      </c>
      <c r="AG43" cm="1">
        <f t="array" ref="AG43">IFERROR(IF($E43&lt;44348,"",IF(INDEX(Raw_매출!$B$2:$BI$155,MATCH($A43,Raw_매출!$A$2:$A$155,0),MATCH(EDATE($E43,AG$1-1),Raw_매출!$B$1:$BI$1,0))=0,"",INDEX(Raw_매출!$B$2:$BI$155,MATCH($A43,Raw_매출!$A$2:$A$155,0),MATCH(EDATE($E43,AG$1-1),Raw_매출!$B$1:$BI$1,0))/(INDEX(요약_월별시즈널리티!$F$7:$F$18,MONTH(EDATE($E43,AG$1-1)))/100))),"")</f>
        <v>3042914.8964219666</v>
      </c>
      <c r="AH43" cm="1">
        <f t="array" ref="AH43">IFERROR(IF($E43&lt;44348,"",IF(INDEX(Raw_매출!$B$2:$BI$155,MATCH($A43,Raw_매출!$A$2:$A$155,0),MATCH(EDATE($E43,AH$1-1),Raw_매출!$B$1:$BI$1,0))=0,"",INDEX(Raw_매출!$B$2:$BI$155,MATCH($A43,Raw_매출!$A$2:$A$155,0),MATCH(EDATE($E43,AH$1-1),Raw_매출!$B$1:$BI$1,0))/(INDEX(요약_월별시즈널리티!$F$7:$F$18,MONTH(EDATE($E43,AH$1-1)))/100))),"")</f>
        <v>3596823.6948372261</v>
      </c>
      <c r="AI43" cm="1">
        <f t="array" ref="AI43">IFERROR(IF($E43&lt;44348,"",IF(INDEX(Raw_매출!$B$2:$BI$155,MATCH($A43,Raw_매출!$A$2:$A$155,0),MATCH(EDATE($E43,AI$1-1),Raw_매출!$B$1:$BI$1,0))=0,"",INDEX(Raw_매출!$B$2:$BI$155,MATCH($A43,Raw_매출!$A$2:$A$155,0),MATCH(EDATE($E43,AI$1-1),Raw_매출!$B$1:$BI$1,0))/(INDEX(요약_월별시즈널리티!$F$7:$F$18,MONTH(EDATE($E43,AI$1-1)))/100))),"")</f>
        <v>3273547.0253602364</v>
      </c>
      <c r="AJ43" cm="1">
        <f t="array" ref="AJ43">IFERROR(IF($E43&lt;44348,"",IF(INDEX(Raw_매출!$B$2:$BI$155,MATCH($A43,Raw_매출!$A$2:$A$155,0),MATCH(EDATE($E43,AJ$1-1),Raw_매출!$B$1:$BI$1,0))=0,"",INDEX(Raw_매출!$B$2:$BI$155,MATCH($A43,Raw_매출!$A$2:$A$155,0),MATCH(EDATE($E43,AJ$1-1),Raw_매출!$B$1:$BI$1,0))/(INDEX(요약_월별시즈널리티!$F$7:$F$18,MONTH(EDATE($E43,AJ$1-1)))/100))),"")</f>
        <v>2661425.7503798385</v>
      </c>
      <c r="AK43" cm="1">
        <f t="array" ref="AK43">IFERROR(IF($E43&lt;44348,"",IF(INDEX(Raw_매출!$B$2:$BI$155,MATCH($A43,Raw_매출!$A$2:$A$155,0),MATCH(EDATE($E43,AK$1-1),Raw_매출!$B$1:$BI$1,0))=0,"",INDEX(Raw_매출!$B$2:$BI$155,MATCH($A43,Raw_매출!$A$2:$A$155,0),MATCH(EDATE($E43,AK$1-1),Raw_매출!$B$1:$BI$1,0))/(INDEX(요약_월별시즈널리티!$F$7:$F$18,MONTH(EDATE($E43,AK$1-1)))/100))),"")</f>
        <v>3294407.0500128386</v>
      </c>
      <c r="AL43" cm="1">
        <f t="array" ref="AL43">IFERROR(IF($E43&lt;44348,"",IF(INDEX(Raw_매출!$B$2:$BI$155,MATCH($A43,Raw_매출!$A$2:$A$155,0),MATCH(EDATE($E43,AL$1-1),Raw_매출!$B$1:$BI$1,0))=0,"",INDEX(Raw_매출!$B$2:$BI$155,MATCH($A43,Raw_매출!$A$2:$A$155,0),MATCH(EDATE($E43,AL$1-1),Raw_매출!$B$1:$BI$1,0))/(INDEX(요약_월별시즈널리티!$F$7:$F$18,MONTH(EDATE($E43,AL$1-1)))/100))),"")</f>
        <v>3227577.1476158598</v>
      </c>
      <c r="AM43" cm="1">
        <f t="array" ref="AM43">IFERROR(IF($E43&lt;44348,"",IF(INDEX(Raw_매출!$B$2:$BI$155,MATCH($A43,Raw_매출!$A$2:$A$155,0),MATCH(EDATE($E43,AM$1-1),Raw_매출!$B$1:$BI$1,0))=0,"",INDEX(Raw_매출!$B$2:$BI$155,MATCH($A43,Raw_매출!$A$2:$A$155,0),MATCH(EDATE($E43,AM$1-1),Raw_매출!$B$1:$BI$1,0))/(INDEX(요약_월별시즈널리티!$F$7:$F$18,MONTH(EDATE($E43,AM$1-1)))/100))),"")</f>
        <v>3458589.0977978432</v>
      </c>
      <c r="AN43" cm="1">
        <f t="array" ref="AN43">IFERROR(IF($E43&lt;44348,"",IF(INDEX(Raw_매출!$B$2:$BI$155,MATCH($A43,Raw_매출!$A$2:$A$155,0),MATCH(EDATE($E43,AN$1-1),Raw_매출!$B$1:$BI$1,0))=0,"",INDEX(Raw_매출!$B$2:$BI$155,MATCH($A43,Raw_매출!$A$2:$A$155,0),MATCH(EDATE($E43,AN$1-1),Raw_매출!$B$1:$BI$1,0))/(INDEX(요약_월별시즈널리티!$F$7:$F$18,MONTH(EDATE($E43,AN$1-1)))/100))),"")</f>
        <v>3300338.7243195754</v>
      </c>
      <c r="AO43" cm="1">
        <f t="array" ref="AO43">IFERROR(IF($E43&lt;44348,"",IF(INDEX(Raw_매출!$B$2:$BI$155,MATCH($A43,Raw_매출!$A$2:$A$155,0),MATCH(EDATE($E43,AO$1-1),Raw_매출!$B$1:$BI$1,0))=0,"",INDEX(Raw_매출!$B$2:$BI$155,MATCH($A43,Raw_매출!$A$2:$A$155,0),MATCH(EDATE($E43,AO$1-1),Raw_매출!$B$1:$BI$1,0))/(INDEX(요약_월별시즈널리티!$F$7:$F$18,MONTH(EDATE($E43,AO$1-1)))/100))),"")</f>
        <v>3042915.7503559506</v>
      </c>
      <c r="AP43" cm="1">
        <f t="array" ref="AP43">IFERROR(IF($E43&lt;44348,"",IF(INDEX(Raw_매출!$B$2:$BI$155,MATCH($A43,Raw_매출!$A$2:$A$155,0),MATCH(EDATE($E43,AP$1-1),Raw_매출!$B$1:$BI$1,0))=0,"",INDEX(Raw_매출!$B$2:$BI$155,MATCH($A43,Raw_매출!$A$2:$A$155,0),MATCH(EDATE($E43,AP$1-1),Raw_매출!$B$1:$BI$1,0))/(INDEX(요약_월별시즈널리티!$F$7:$F$18,MONTH(EDATE($E43,AP$1-1)))/100))),"")</f>
        <v>2691274.1029721736</v>
      </c>
      <c r="AQ43" cm="1">
        <f t="array" ref="AQ43">IFERROR(IF($E43&lt;44348,"",IF(INDEX(Raw_매출!$B$2:$BI$155,MATCH($A43,Raw_매출!$A$2:$A$155,0),MATCH(EDATE($E43,AQ$1-1),Raw_매출!$B$1:$BI$1,0))=0,"",INDEX(Raw_매출!$B$2:$BI$155,MATCH($A43,Raw_매출!$A$2:$A$155,0),MATCH(EDATE($E43,AQ$1-1),Raw_매출!$B$1:$BI$1,0))/(INDEX(요약_월별시즈널리티!$F$7:$F$18,MONTH(EDATE($E43,AQ$1-1)))/100))),"")</f>
        <v>2495186.5503969714</v>
      </c>
      <c r="AR43" cm="1">
        <f t="array" ref="AR43">IFERROR(IF($E43&lt;44348,"",IF(INDEX(Raw_매출!$B$2:$BI$155,MATCH($A43,Raw_매출!$A$2:$A$155,0),MATCH(EDATE($E43,AR$1-1),Raw_매출!$B$1:$BI$1,0))=0,"",INDEX(Raw_매출!$B$2:$BI$155,MATCH($A43,Raw_매출!$A$2:$A$155,0),MATCH(EDATE($E43,AR$1-1),Raw_매출!$B$1:$BI$1,0))/(INDEX(요약_월별시즈널리티!$F$7:$F$18,MONTH(EDATE($E43,AR$1-1)))/100))),"")</f>
        <v>3062552.0770714968</v>
      </c>
      <c r="AS43" cm="1">
        <f t="array" ref="AS43">IFERROR(IF($E43&lt;44348,"",IF(INDEX(Raw_매출!$B$2:$BI$155,MATCH($A43,Raw_매출!$A$2:$A$155,0),MATCH(EDATE($E43,AS$1-1),Raw_매출!$B$1:$BI$1,0))=0,"",INDEX(Raw_매출!$B$2:$BI$155,MATCH($A43,Raw_매출!$A$2:$A$155,0),MATCH(EDATE($E43,AS$1-1),Raw_매출!$B$1:$BI$1,0))/(INDEX(요약_월별시즈널리티!$F$7:$F$18,MONTH(EDATE($E43,AS$1-1)))/100))),"")</f>
        <v>2850670.1856201272</v>
      </c>
      <c r="AT43" cm="1">
        <f t="array" ref="AT43">IFERROR(IF($E43&lt;44348,"",IF(INDEX(Raw_매출!$B$2:$BI$155,MATCH($A43,Raw_매출!$A$2:$A$155,0),MATCH(EDATE($E43,AT$1-1),Raw_매출!$B$1:$BI$1,0))=0,"",INDEX(Raw_매출!$B$2:$BI$155,MATCH($A43,Raw_매출!$A$2:$A$155,0),MATCH(EDATE($E43,AT$1-1),Raw_매출!$B$1:$BI$1,0))/(INDEX(요약_월별시즈널리티!$F$7:$F$18,MONTH(EDATE($E43,AT$1-1)))/100))),"")</f>
        <v>2760563.8335902533</v>
      </c>
      <c r="AU43" cm="1">
        <f t="array" ref="AU43">IFERROR(IF($E43&lt;44348,"",IF(INDEX(Raw_매출!$B$2:$BI$155,MATCH($A43,Raw_매출!$A$2:$A$155,0),MATCH(EDATE($E43,AU$1-1),Raw_매출!$B$1:$BI$1,0))=0,"",INDEX(Raw_매출!$B$2:$BI$155,MATCH($A43,Raw_매출!$A$2:$A$155,0),MATCH(EDATE($E43,AU$1-1),Raw_매출!$B$1:$BI$1,0))/(INDEX(요약_월별시즈널리티!$F$7:$F$18,MONTH(EDATE($E43,AU$1-1)))/100))),"")</f>
        <v>3358316.137770351</v>
      </c>
      <c r="AV43" cm="1">
        <f t="array" ref="AV43">IFERROR(IF($E43&lt;44348,"",IF(INDEX(Raw_매출!$B$2:$BI$155,MATCH($A43,Raw_매출!$A$2:$A$155,0),MATCH(EDATE($E43,AV$1-1),Raw_매출!$B$1:$BI$1,0))=0,"",INDEX(Raw_매출!$B$2:$BI$155,MATCH($A43,Raw_매출!$A$2:$A$155,0),MATCH(EDATE($E43,AV$1-1),Raw_매출!$B$1:$BI$1,0))/(INDEX(요약_월별시즈널리티!$F$7:$F$18,MONTH(EDATE($E43,AV$1-1)))/100))),"")</f>
        <v>3764988.9247586722</v>
      </c>
      <c r="AW43" cm="1">
        <f t="array" ref="AW43">IFERROR(IF($E43&lt;44348,"",IF(INDEX(Raw_매출!$B$2:$BI$155,MATCH($A43,Raw_매출!$A$2:$A$155,0),MATCH(EDATE($E43,AW$1-1),Raw_매출!$B$1:$BI$1,0))=0,"",INDEX(Raw_매출!$B$2:$BI$155,MATCH($A43,Raw_매출!$A$2:$A$155,0),MATCH(EDATE($E43,AW$1-1),Raw_매출!$B$1:$BI$1,0))/(INDEX(요약_월별시즈널리티!$F$7:$F$18,MONTH(EDATE($E43,AW$1-1)))/100))),"")</f>
        <v>3533992.7535021813</v>
      </c>
      <c r="AX43" cm="1">
        <f t="array" ref="AX43">IFERROR(IF($E43&lt;44348,"",IF(INDEX(Raw_매출!$B$2:$BI$155,MATCH($A43,Raw_매출!$A$2:$A$155,0),MATCH(EDATE($E43,AX$1-1),Raw_매출!$B$1:$BI$1,0))=0,"",INDEX(Raw_매출!$B$2:$BI$155,MATCH($A43,Raw_매출!$A$2:$A$155,0),MATCH(EDATE($E43,AX$1-1),Raw_매출!$B$1:$BI$1,0))/(INDEX(요약_월별시즈널리티!$F$7:$F$18,MONTH(EDATE($E43,AX$1-1)))/100))),"")</f>
        <v>4008134.9061011174</v>
      </c>
      <c r="AY43" cm="1">
        <f t="array" ref="AY43">IFERROR(IF($E43&lt;44348,"",IF(INDEX(Raw_매출!$B$2:$BI$155,MATCH($A43,Raw_매출!$A$2:$A$155,0),MATCH(EDATE($E43,AY$1-1),Raw_매출!$B$1:$BI$1,0))=0,"",INDEX(Raw_매출!$B$2:$BI$155,MATCH($A43,Raw_매출!$A$2:$A$155,0),MATCH(EDATE($E43,AY$1-1),Raw_매출!$B$1:$BI$1,0))/(INDEX(요약_월별시즈널리티!$F$7:$F$18,MONTH(EDATE($E43,AY$1-1)))/100))),"")</f>
        <v>4125906.3956626328</v>
      </c>
      <c r="AZ43" cm="1">
        <f t="array" ref="AZ43">IFERROR(IF($E43&lt;44348,"",IF(INDEX(Raw_매출!$B$2:$BI$155,MATCH($A43,Raw_매출!$A$2:$A$155,0),MATCH(EDATE($E43,AZ$1-1),Raw_매출!$B$1:$BI$1,0))=0,"",INDEX(Raw_매출!$B$2:$BI$155,MATCH($A43,Raw_매출!$A$2:$A$155,0),MATCH(EDATE($E43,AZ$1-1),Raw_매출!$B$1:$BI$1,0))/(INDEX(요약_월별시즈널리티!$F$7:$F$18,MONTH(EDATE($E43,AZ$1-1)))/100))),"")</f>
        <v>3539738.0685020736</v>
      </c>
      <c r="BA43" cm="1">
        <f t="array" ref="BA43">IFERROR(IF($E43&lt;44348,"",IF(INDEX(Raw_매출!$B$2:$BI$155,MATCH($A43,Raw_매출!$A$2:$A$155,0),MATCH(EDATE($E43,BA$1-1),Raw_매출!$B$1:$BI$1,0))=0,"",INDEX(Raw_매출!$B$2:$BI$155,MATCH($A43,Raw_매출!$A$2:$A$155,0),MATCH(EDATE($E43,BA$1-1),Raw_매출!$B$1:$BI$1,0))/(INDEX(요약_월별시즈널리티!$F$7:$F$18,MONTH(EDATE($E43,BA$1-1)))/100))),"")</f>
        <v>3321370.7397972476</v>
      </c>
      <c r="BB43" cm="1">
        <f t="array" ref="BB43">IFERROR(IF($E43&lt;44348,"",IF(INDEX(Raw_매출!$B$2:$BI$155,MATCH($A43,Raw_매출!$A$2:$A$155,0),MATCH(EDATE($E43,BB$1-1),Raw_매출!$B$1:$BI$1,0))=0,"",INDEX(Raw_매출!$B$2:$BI$155,MATCH($A43,Raw_매출!$A$2:$A$155,0),MATCH(EDATE($E43,BB$1-1),Raw_매출!$B$1:$BI$1,0))/(INDEX(요약_월별시즈널리티!$F$7:$F$18,MONTH(EDATE($E43,BB$1-1)))/100))),"")</f>
        <v>3227361.6019591526</v>
      </c>
      <c r="BC43" cm="1">
        <f t="array" ref="BC43">IFERROR(IF($E43&lt;44348,"",IF(INDEX(Raw_매출!$B$2:$BI$155,MATCH($A43,Raw_매출!$A$2:$A$155,0),MATCH(EDATE($E43,BC$1-1),Raw_매출!$B$1:$BI$1,0))=0,"",INDEX(Raw_매출!$B$2:$BI$155,MATCH($A43,Raw_매출!$A$2:$A$155,0),MATCH(EDATE($E43,BC$1-1),Raw_매출!$B$1:$BI$1,0))/(INDEX(요약_월별시즈널리티!$F$7:$F$18,MONTH(EDATE($E43,BC$1-1)))/100))),"")</f>
        <v>2880974.5898344531</v>
      </c>
      <c r="BD43" cm="1">
        <f t="array" ref="BD43">IFERROR(IF($E43&lt;44348,"",IF(INDEX(Raw_매출!$B$2:$BI$155,MATCH($A43,Raw_매출!$A$2:$A$155,0),MATCH(EDATE($E43,BD$1-1),Raw_매출!$B$1:$BI$1,0))=0,"",INDEX(Raw_매출!$B$2:$BI$155,MATCH($A43,Raw_매출!$A$2:$A$155,0),MATCH(EDATE($E43,BD$1-1),Raw_매출!$B$1:$BI$1,0))/(INDEX(요약_월별시즈널리티!$F$7:$F$18,MONTH(EDATE($E43,BD$1-1)))/100))),"")</f>
        <v>2997910.4729357241</v>
      </c>
      <c r="BE43" cm="1">
        <f t="array" ref="BE43">IFERROR(IF($E43&lt;44348,"",IF(INDEX(Raw_매출!$B$2:$BI$155,MATCH($A43,Raw_매출!$A$2:$A$155,0),MATCH(EDATE($E43,BE$1-1),Raw_매출!$B$1:$BI$1,0))=0,"",INDEX(Raw_매출!$B$2:$BI$155,MATCH($A43,Raw_매출!$A$2:$A$155,0),MATCH(EDATE($E43,BE$1-1),Raw_매출!$B$1:$BI$1,0))/(INDEX(요약_월별시즈널리티!$F$7:$F$18,MONTH(EDATE($E43,BE$1-1)))/100))),"")</f>
        <v>2894412.7525883787</v>
      </c>
      <c r="BF43" cm="1">
        <f t="array" ref="BF43">IFERROR(IF($E43&lt;44348,"",IF(INDEX(Raw_매출!$B$2:$BI$155,MATCH($A43,Raw_매출!$A$2:$A$155,0),MATCH(EDATE($E43,BF$1-1),Raw_매출!$B$1:$BI$1,0))=0,"",INDEX(Raw_매출!$B$2:$BI$155,MATCH($A43,Raw_매출!$A$2:$A$155,0),MATCH(EDATE($E43,BF$1-1),Raw_매출!$B$1:$BI$1,0))/(INDEX(요약_월별시즈널리티!$F$7:$F$18,MONTH(EDATE($E43,BF$1-1)))/100))),"")</f>
        <v>2970054.4812615803</v>
      </c>
      <c r="BG43" cm="1">
        <f t="array" ref="BG43">IFERROR(IF($E43&lt;44348,"",IF(INDEX(Raw_매출!$B$2:$BI$155,MATCH($A43,Raw_매출!$A$2:$A$155,0),MATCH(EDATE($E43,BG$1-1),Raw_매출!$B$1:$BI$1,0))=0,"",INDEX(Raw_매출!$B$2:$BI$155,MATCH($A43,Raw_매출!$A$2:$A$155,0),MATCH(EDATE($E43,BG$1-1),Raw_매출!$B$1:$BI$1,0))/(INDEX(요약_월별시즈널리티!$F$7:$F$18,MONTH(EDATE($E43,BG$1-1)))/100))),"")</f>
        <v>2853438.6600079387</v>
      </c>
      <c r="BH43" cm="1">
        <f t="array" ref="BH43">IFERROR(IF($E43&lt;44348,"",IF(INDEX(Raw_매출!$B$2:$BI$155,MATCH($A43,Raw_매출!$A$2:$A$155,0),MATCH(EDATE($E43,BH$1-1),Raw_매출!$B$1:$BI$1,0))=0,"",INDEX(Raw_매출!$B$2:$BI$155,MATCH($A43,Raw_매출!$A$2:$A$155,0),MATCH(EDATE($E43,BH$1-1),Raw_매출!$B$1:$BI$1,0))/(INDEX(요약_월별시즈널리티!$F$7:$F$18,MONTH(EDATE($E43,BH$1-1)))/100))),"")</f>
        <v>2470937.9958430533</v>
      </c>
      <c r="BI43" cm="1">
        <f t="array" ref="BI43">IFERROR(IF($E43&lt;44348,"",IF(INDEX(Raw_매출!$B$2:$BI$155,MATCH($A43,Raw_매출!$A$2:$A$155,0),MATCH(EDATE($E43,BI$1-1),Raw_매출!$B$1:$BI$1,0))=0,"",INDEX(Raw_매출!$B$2:$BI$155,MATCH($A43,Raw_매출!$A$2:$A$155,0),MATCH(EDATE($E43,BI$1-1),Raw_매출!$B$1:$BI$1,0))/(INDEX(요약_월별시즈널리티!$F$7:$F$18,MONTH(EDATE($E43,BI$1-1)))/100))),"")</f>
        <v>2231659.9989164067</v>
      </c>
      <c r="BJ43" cm="1">
        <f t="array" ref="BJ43">IFERROR(IF($E43&lt;44348,"",IF(INDEX(Raw_매출!$B$2:$BI$155,MATCH($A43,Raw_매출!$A$2:$A$155,0),MATCH(EDATE($E43,BJ$1-1),Raw_매출!$B$1:$BI$1,0))=0,"",INDEX(Raw_매출!$B$2:$BI$155,MATCH($A43,Raw_매출!$A$2:$A$155,0),MATCH(EDATE($E43,BJ$1-1),Raw_매출!$B$1:$BI$1,0))/(INDEX(요약_월별시즈널리티!$F$7:$F$18,MONTH(EDATE($E43,BJ$1-1)))/100))),"")</f>
        <v>2856540.542740413</v>
      </c>
      <c r="BK43" t="str" cm="1">
        <f t="array" ref="BK43">IFERROR(IF($E43&lt;44348,"",IF(INDEX(Raw_매출!$B$2:$BI$155,MATCH($A43,Raw_매출!$A$2:$A$155,0),MATCH(EDATE($E43,BK$1-1),Raw_매출!$B$1:$BI$1,0))=0,"",INDEX(Raw_매출!$B$2:$BI$155,MATCH($A43,Raw_매출!$A$2:$A$155,0),MATCH(EDATE($E43,BK$1-1),Raw_매출!$B$1:$BI$1,0))/(INDEX(요약_월별시즈널리티!$F$7:$F$18,MONTH(EDATE($E43,BK$1-1)))/100))),"")</f>
        <v/>
      </c>
      <c r="BL43" t="str" cm="1">
        <f t="array" ref="BL43">IFERROR(IF($E43&lt;44348,"",IF(INDEX(Raw_매출!$B$2:$BI$155,MATCH($A43,Raw_매출!$A$2:$A$155,0),MATCH(EDATE($E43,BL$1-1),Raw_매출!$B$1:$BI$1,0))=0,"",INDEX(Raw_매출!$B$2:$BI$155,MATCH($A43,Raw_매출!$A$2:$A$155,0),MATCH(EDATE($E43,BL$1-1),Raw_매출!$B$1:$BI$1,0))/(INDEX(요약_월별시즈널리티!$F$7:$F$18,MONTH(EDATE($E43,BL$1-1)))/100))),"")</f>
        <v/>
      </c>
      <c r="BM43" t="str" cm="1">
        <f t="array" ref="BM43">IFERROR(IF($E43&lt;44348,"",IF(INDEX(Raw_매출!$B$2:$BI$155,MATCH($A43,Raw_매출!$A$2:$A$155,0),MATCH(EDATE($E43,BM$1-1),Raw_매출!$B$1:$BI$1,0))=0,"",INDEX(Raw_매출!$B$2:$BI$155,MATCH($A43,Raw_매출!$A$2:$A$155,0),MATCH(EDATE($E43,BM$1-1),Raw_매출!$B$1:$BI$1,0))/(INDEX(요약_월별시즈널리티!$F$7:$F$18,MONTH(EDATE($E43,BM$1-1)))/100))),"")</f>
        <v/>
      </c>
      <c r="BN43" t="str" cm="1">
        <f t="array" ref="BN43">IFERROR(IF($E43&lt;44348,"",IF(INDEX(Raw_매출!$B$2:$BI$155,MATCH($A43,Raw_매출!$A$2:$A$155,0),MATCH(EDATE($E43,BN$1-1),Raw_매출!$B$1:$BI$1,0))=0,"",INDEX(Raw_매출!$B$2:$BI$155,MATCH($A43,Raw_매출!$A$2:$A$155,0),MATCH(EDATE($E43,BN$1-1),Raw_매출!$B$1:$BI$1,0))/(INDEX(요약_월별시즈널리티!$F$7:$F$18,MONTH(EDATE($E43,BN$1-1)))/100))),"")</f>
        <v/>
      </c>
    </row>
    <row r="44" spans="1:66" x14ac:dyDescent="0.4">
      <c r="A44" t="str">
        <f>세팅!A45</f>
        <v>(1033) #보라매점</v>
      </c>
      <c r="B44" t="str">
        <f>세팅!B45</f>
        <v>150-2</v>
      </c>
      <c r="C44">
        <f t="shared" si="0"/>
        <v>2</v>
      </c>
      <c r="D44" t="str">
        <f t="shared" si="1"/>
        <v>2</v>
      </c>
      <c r="E44" s="1">
        <f>세팅!D45</f>
        <v>44378</v>
      </c>
      <c r="F44">
        <f t="shared" si="2"/>
        <v>3221511.383875336</v>
      </c>
      <c r="G44" cm="1">
        <f t="array" ref="G44">IFERROR(IF($E44&lt;44348,"",IF(INDEX(Raw_매출!$B$2:$BI$155,MATCH($A44,Raw_매출!$A$2:$A$155,0),MATCH(EDATE($E44,G$1-1),Raw_매출!$B$1:$BI$1,0))=0,"",INDEX(Raw_매출!$B$2:$BI$155,MATCH($A44,Raw_매출!$A$2:$A$155,0),MATCH(EDATE($E44,G$1-1),Raw_매출!$B$1:$BI$1,0))/(INDEX(요약_월별시즈널리티!$F$7:$F$18,MONTH(EDATE($E44,G$1-1)))/100))),"")</f>
        <v>3141003.4624831872</v>
      </c>
      <c r="H44" cm="1">
        <f t="array" ref="H44">IFERROR(IF($E44&lt;44348,"",IF(INDEX(Raw_매출!$B$2:$BI$155,MATCH($A44,Raw_매출!$A$2:$A$155,0),MATCH(EDATE($E44,H$1-1),Raw_매출!$B$1:$BI$1,0))=0,"",INDEX(Raw_매출!$B$2:$BI$155,MATCH($A44,Raw_매출!$A$2:$A$155,0),MATCH(EDATE($E44,H$1-1),Raw_매출!$B$1:$BI$1,0))/(INDEX(요약_월별시즈널리티!$F$7:$F$18,MONTH(EDATE($E44,H$1-1)))/100))),"")</f>
        <v>2339541.2889046562</v>
      </c>
      <c r="I44" cm="1">
        <f t="array" ref="I44">IFERROR(IF($E44&lt;44348,"",IF(INDEX(Raw_매출!$B$2:$BI$155,MATCH($A44,Raw_매출!$A$2:$A$155,0),MATCH(EDATE($E44,I$1-1),Raw_매출!$B$1:$BI$1,0))=0,"",INDEX(Raw_매출!$B$2:$BI$155,MATCH($A44,Raw_매출!$A$2:$A$155,0),MATCH(EDATE($E44,I$1-1),Raw_매출!$B$1:$BI$1,0))/(INDEX(요약_월별시즈널리티!$F$7:$F$18,MONTH(EDATE($E44,I$1-1)))/100))),"")</f>
        <v>2517888.3743757326</v>
      </c>
      <c r="J44" s="30" cm="1">
        <f t="array" ref="J44">IFERROR(IF($E44&lt;44348,"",IF(INDEX(Raw_매출!$B$2:$BI$155,MATCH($A44,Raw_매출!$A$2:$A$155,0),MATCH(EDATE($E44,J$1-1),Raw_매출!$B$1:$BI$1,0))=0,"",INDEX(Raw_매출!$B$2:$BI$155,MATCH($A44,Raw_매출!$A$2:$A$155,0),MATCH(EDATE($E44,J$1-1),Raw_매출!$B$1:$BI$1,0))/(INDEX(요약_월별시즈널리티!$F$7:$F$18,MONTH(EDATE($E44,J$1-1)))/100))),"")</f>
        <v>2781272.6691142609</v>
      </c>
      <c r="K44" s="30" cm="1">
        <f t="array" ref="K44">IFERROR(IF($E44&lt;44348,"",IF(INDEX(Raw_매출!$B$2:$BI$155,MATCH($A44,Raw_매출!$A$2:$A$155,0),MATCH(EDATE($E44,K$1-1),Raw_매출!$B$1:$BI$1,0))=0,"",INDEX(Raw_매출!$B$2:$BI$155,MATCH($A44,Raw_매출!$A$2:$A$155,0),MATCH(EDATE($E44,K$1-1),Raw_매출!$B$1:$BI$1,0))/(INDEX(요약_월별시즈널리티!$F$7:$F$18,MONTH(EDATE($E44,K$1-1)))/100))),"")</f>
        <v>2417096.5350322789</v>
      </c>
      <c r="L44" s="30" cm="1">
        <f t="array" ref="L44">IFERROR(IF($E44&lt;44348,"",IF(INDEX(Raw_매출!$B$2:$BI$155,MATCH($A44,Raw_매출!$A$2:$A$155,0),MATCH(EDATE($E44,L$1-1),Raw_매출!$B$1:$BI$1,0))=0,"",INDEX(Raw_매출!$B$2:$BI$155,MATCH($A44,Raw_매출!$A$2:$A$155,0),MATCH(EDATE($E44,L$1-1),Raw_매출!$B$1:$BI$1,0))/(INDEX(요약_월별시즈널리티!$F$7:$F$18,MONTH(EDATE($E44,L$1-1)))/100))),"")</f>
        <v>2775040.0615367456</v>
      </c>
      <c r="M44" s="30" cm="1">
        <f t="array" ref="M44">IFERROR(IF($E44&lt;44348,"",IF(INDEX(Raw_매출!$B$2:$BI$155,MATCH($A44,Raw_매출!$A$2:$A$155,0),MATCH(EDATE($E44,M$1-1),Raw_매출!$B$1:$BI$1,0))=0,"",INDEX(Raw_매출!$B$2:$BI$155,MATCH($A44,Raw_매출!$A$2:$A$155,0),MATCH(EDATE($E44,M$1-1),Raw_매출!$B$1:$BI$1,0))/(INDEX(요약_월별시즈널리티!$F$7:$F$18,MONTH(EDATE($E44,M$1-1)))/100))),"")</f>
        <v>3725132.5970292082</v>
      </c>
      <c r="N44" s="30" cm="1">
        <f t="array" ref="N44">IFERROR(IF($E44&lt;44348,"",IF(INDEX(Raw_매출!$B$2:$BI$155,MATCH($A44,Raw_매출!$A$2:$A$155,0),MATCH(EDATE($E44,N$1-1),Raw_매출!$B$1:$BI$1,0))=0,"",INDEX(Raw_매출!$B$2:$BI$155,MATCH($A44,Raw_매출!$A$2:$A$155,0),MATCH(EDATE($E44,N$1-1),Raw_매출!$B$1:$BI$1,0))/(INDEX(요약_월별시즈널리티!$F$7:$F$18,MONTH(EDATE($E44,N$1-1)))/100))),"")</f>
        <v>3668978.0283874059</v>
      </c>
      <c r="O44" s="30" cm="1">
        <f t="array" ref="O44">IFERROR(IF($E44&lt;44348,"",IF(INDEX(Raw_매출!$B$2:$BI$155,MATCH($A44,Raw_매출!$A$2:$A$155,0),MATCH(EDATE($E44,O$1-1),Raw_매출!$B$1:$BI$1,0))=0,"",INDEX(Raw_매출!$B$2:$BI$155,MATCH($A44,Raw_매출!$A$2:$A$155,0),MATCH(EDATE($E44,O$1-1),Raw_매출!$B$1:$BI$1,0))/(INDEX(요약_월별시즈널리티!$F$7:$F$18,MONTH(EDATE($E44,O$1-1)))/100))),"")</f>
        <v>3961548.4121521139</v>
      </c>
      <c r="P44" cm="1">
        <f t="array" ref="P44">IFERROR(IF($E44&lt;44348,"",IF(INDEX(Raw_매출!$B$2:$BI$155,MATCH($A44,Raw_매출!$A$2:$A$155,0),MATCH(EDATE($E44,P$1-1),Raw_매출!$B$1:$BI$1,0))=0,"",INDEX(Raw_매출!$B$2:$BI$155,MATCH($A44,Raw_매출!$A$2:$A$155,0),MATCH(EDATE($E44,P$1-1),Raw_매출!$B$1:$BI$1,0))/(INDEX(요약_월별시즈널리티!$F$7:$F$18,MONTH(EDATE($E44,P$1-1)))/100))),"")</f>
        <v>3905184.7906556516</v>
      </c>
      <c r="Q44" cm="1">
        <f t="array" ref="Q44">IFERROR(IF($E44&lt;44348,"",IF(INDEX(Raw_매출!$B$2:$BI$155,MATCH($A44,Raw_매출!$A$2:$A$155,0),MATCH(EDATE($E44,Q$1-1),Raw_매출!$B$1:$BI$1,0))=0,"",INDEX(Raw_매출!$B$2:$BI$155,MATCH($A44,Raw_매출!$A$2:$A$155,0),MATCH(EDATE($E44,Q$1-1),Raw_매출!$B$1:$BI$1,0))/(INDEX(요약_월별시즈널리티!$F$7:$F$18,MONTH(EDATE($E44,Q$1-1)))/100))),"")</f>
        <v>3921058.2761041299</v>
      </c>
      <c r="R44" cm="1">
        <f t="array" ref="R44">IFERROR(IF($E44&lt;44348,"",IF(INDEX(Raw_매출!$B$2:$BI$155,MATCH($A44,Raw_매출!$A$2:$A$155,0),MATCH(EDATE($E44,R$1-1),Raw_매출!$B$1:$BI$1,0))=0,"",INDEX(Raw_매출!$B$2:$BI$155,MATCH($A44,Raw_매출!$A$2:$A$155,0),MATCH(EDATE($E44,R$1-1),Raw_매출!$B$1:$BI$1,0))/(INDEX(요약_월별시즈널리티!$F$7:$F$18,MONTH(EDATE($E44,R$1-1)))/100))),"")</f>
        <v>4326033.4814926181</v>
      </c>
      <c r="S44" cm="1">
        <f t="array" ref="S44">IFERROR(IF($E44&lt;44348,"",IF(INDEX(Raw_매출!$B$2:$BI$155,MATCH($A44,Raw_매출!$A$2:$A$155,0),MATCH(EDATE($E44,S$1-1),Raw_매출!$B$1:$BI$1,0))=0,"",INDEX(Raw_매출!$B$2:$BI$155,MATCH($A44,Raw_매출!$A$2:$A$155,0),MATCH(EDATE($E44,S$1-1),Raw_매출!$B$1:$BI$1,0))/(INDEX(요약_월별시즈널리티!$F$7:$F$18,MONTH(EDATE($E44,S$1-1)))/100))),"")</f>
        <v>4802794.1056564627</v>
      </c>
      <c r="T44" cm="1">
        <f t="array" ref="T44">IFERROR(IF($E44&lt;44348,"",IF(INDEX(Raw_매출!$B$2:$BI$155,MATCH($A44,Raw_매출!$A$2:$A$155,0),MATCH(EDATE($E44,T$1-1),Raw_매출!$B$1:$BI$1,0))=0,"",INDEX(Raw_매출!$B$2:$BI$155,MATCH($A44,Raw_매출!$A$2:$A$155,0),MATCH(EDATE($E44,T$1-1),Raw_매출!$B$1:$BI$1,0))/(INDEX(요약_월별시즈널리티!$F$7:$F$18,MONTH(EDATE($E44,T$1-1)))/100))),"")</f>
        <v>4780723.7937334767</v>
      </c>
      <c r="U44" cm="1">
        <f t="array" ref="U44">IFERROR(IF($E44&lt;44348,"",IF(INDEX(Raw_매출!$B$2:$BI$155,MATCH($A44,Raw_매출!$A$2:$A$155,0),MATCH(EDATE($E44,U$1-1),Raw_매출!$B$1:$BI$1,0))=0,"",INDEX(Raw_매출!$B$2:$BI$155,MATCH($A44,Raw_매출!$A$2:$A$155,0),MATCH(EDATE($E44,U$1-1),Raw_매출!$B$1:$BI$1,0))/(INDEX(요약_월별시즈널리티!$F$7:$F$18,MONTH(EDATE($E44,U$1-1)))/100))),"")</f>
        <v>4237762.9402920399</v>
      </c>
      <c r="V44" cm="1">
        <f t="array" ref="V44">IFERROR(IF($E44&lt;44348,"",IF(INDEX(Raw_매출!$B$2:$BI$155,MATCH($A44,Raw_매출!$A$2:$A$155,0),MATCH(EDATE($E44,V$1-1),Raw_매출!$B$1:$BI$1,0))=0,"",INDEX(Raw_매출!$B$2:$BI$155,MATCH($A44,Raw_매출!$A$2:$A$155,0),MATCH(EDATE($E44,V$1-1),Raw_매출!$B$1:$BI$1,0))/(INDEX(요약_월별시즈널리티!$F$7:$F$18,MONTH(EDATE($E44,V$1-1)))/100))),"")</f>
        <v>3989374.4676890867</v>
      </c>
      <c r="W44" cm="1">
        <f t="array" ref="W44">IFERROR(IF($E44&lt;44348,"",IF(INDEX(Raw_매출!$B$2:$BI$155,MATCH($A44,Raw_매출!$A$2:$A$155,0),MATCH(EDATE($E44,W$1-1),Raw_매출!$B$1:$BI$1,0))=0,"",INDEX(Raw_매출!$B$2:$BI$155,MATCH($A44,Raw_매출!$A$2:$A$155,0),MATCH(EDATE($E44,W$1-1),Raw_매출!$B$1:$BI$1,0))/(INDEX(요약_월별시즈널리티!$F$7:$F$18,MONTH(EDATE($E44,W$1-1)))/100))),"")</f>
        <v>3766598.07753987</v>
      </c>
      <c r="X44" cm="1">
        <f t="array" ref="X44">IFERROR(IF($E44&lt;44348,"",IF(INDEX(Raw_매출!$B$2:$BI$155,MATCH($A44,Raw_매출!$A$2:$A$155,0),MATCH(EDATE($E44,X$1-1),Raw_매출!$B$1:$BI$1,0))=0,"",INDEX(Raw_매출!$B$2:$BI$155,MATCH($A44,Raw_매출!$A$2:$A$155,0),MATCH(EDATE($E44,X$1-1),Raw_매출!$B$1:$BI$1,0))/(INDEX(요약_월별시즈널리티!$F$7:$F$18,MONTH(EDATE($E44,X$1-1)))/100))),"")</f>
        <v>4058284.3933929703</v>
      </c>
      <c r="Y44" cm="1">
        <f t="array" ref="Y44">IFERROR(IF($E44&lt;44348,"",IF(INDEX(Raw_매출!$B$2:$BI$155,MATCH($A44,Raw_매출!$A$2:$A$155,0),MATCH(EDATE($E44,Y$1-1),Raw_매출!$B$1:$BI$1,0))=0,"",INDEX(Raw_매출!$B$2:$BI$155,MATCH($A44,Raw_매출!$A$2:$A$155,0),MATCH(EDATE($E44,Y$1-1),Raw_매출!$B$1:$BI$1,0))/(INDEX(요약_월별시즈널리티!$F$7:$F$18,MONTH(EDATE($E44,Y$1-1)))/100))),"")</f>
        <v>4853328.1668165857</v>
      </c>
      <c r="Z44" cm="1">
        <f t="array" ref="Z44">IFERROR(IF($E44&lt;44348,"",IF(INDEX(Raw_매출!$B$2:$BI$155,MATCH($A44,Raw_매출!$A$2:$A$155,0),MATCH(EDATE($E44,Z$1-1),Raw_매출!$B$1:$BI$1,0))=0,"",INDEX(Raw_매출!$B$2:$BI$155,MATCH($A44,Raw_매출!$A$2:$A$155,0),MATCH(EDATE($E44,Z$1-1),Raw_매출!$B$1:$BI$1,0))/(INDEX(요약_월별시즈널리티!$F$7:$F$18,MONTH(EDATE($E44,Z$1-1)))/100))),"")</f>
        <v>4609209.2612077836</v>
      </c>
      <c r="AA44" cm="1">
        <f t="array" ref="AA44">IFERROR(IF($E44&lt;44348,"",IF(INDEX(Raw_매출!$B$2:$BI$155,MATCH($A44,Raw_매출!$A$2:$A$155,0),MATCH(EDATE($E44,AA$1-1),Raw_매출!$B$1:$BI$1,0))=0,"",INDEX(Raw_매출!$B$2:$BI$155,MATCH($A44,Raw_매출!$A$2:$A$155,0),MATCH(EDATE($E44,AA$1-1),Raw_매출!$B$1:$BI$1,0))/(INDEX(요약_월별시즈널리티!$F$7:$F$18,MONTH(EDATE($E44,AA$1-1)))/100))),"")</f>
        <v>4332027.0271345172</v>
      </c>
      <c r="AB44" cm="1">
        <f t="array" ref="AB44">IFERROR(IF($E44&lt;44348,"",IF(INDEX(Raw_매출!$B$2:$BI$155,MATCH($A44,Raw_매출!$A$2:$A$155,0),MATCH(EDATE($E44,AB$1-1),Raw_매출!$B$1:$BI$1,0))=0,"",INDEX(Raw_매출!$B$2:$BI$155,MATCH($A44,Raw_매출!$A$2:$A$155,0),MATCH(EDATE($E44,AB$1-1),Raw_매출!$B$1:$BI$1,0))/(INDEX(요약_월별시즈널리티!$F$7:$F$18,MONTH(EDATE($E44,AB$1-1)))/100))),"")</f>
        <v>4625910.8147769216</v>
      </c>
      <c r="AC44" cm="1">
        <f t="array" ref="AC44">IFERROR(IF($E44&lt;44348,"",IF(INDEX(Raw_매출!$B$2:$BI$155,MATCH($A44,Raw_매출!$A$2:$A$155,0),MATCH(EDATE($E44,AC$1-1),Raw_매출!$B$1:$BI$1,0))=0,"",INDEX(Raw_매출!$B$2:$BI$155,MATCH($A44,Raw_매출!$A$2:$A$155,0),MATCH(EDATE($E44,AC$1-1),Raw_매출!$B$1:$BI$1,0))/(INDEX(요약_월별시즈널리티!$F$7:$F$18,MONTH(EDATE($E44,AC$1-1)))/100))),"")</f>
        <v>4285498.8855738109</v>
      </c>
      <c r="AD44" cm="1">
        <f t="array" ref="AD44">IFERROR(IF($E44&lt;44348,"",IF(INDEX(Raw_매출!$B$2:$BI$155,MATCH($A44,Raw_매출!$A$2:$A$155,0),MATCH(EDATE($E44,AD$1-1),Raw_매출!$B$1:$BI$1,0))=0,"",INDEX(Raw_매출!$B$2:$BI$155,MATCH($A44,Raw_매출!$A$2:$A$155,0),MATCH(EDATE($E44,AD$1-1),Raw_매출!$B$1:$BI$1,0))/(INDEX(요약_월별시즈널리티!$F$7:$F$18,MONTH(EDATE($E44,AD$1-1)))/100))),"")</f>
        <v>4123182.2544845873</v>
      </c>
      <c r="AE44" cm="1">
        <f t="array" ref="AE44">IFERROR(IF($E44&lt;44348,"",IF(INDEX(Raw_매출!$B$2:$BI$155,MATCH($A44,Raw_매출!$A$2:$A$155,0),MATCH(EDATE($E44,AE$1-1),Raw_매출!$B$1:$BI$1,0))=0,"",INDEX(Raw_매출!$B$2:$BI$155,MATCH($A44,Raw_매출!$A$2:$A$155,0),MATCH(EDATE($E44,AE$1-1),Raw_매출!$B$1:$BI$1,0))/(INDEX(요약_월별시즈널리티!$F$7:$F$18,MONTH(EDATE($E44,AE$1-1)))/100))),"")</f>
        <v>4681470.4156677267</v>
      </c>
      <c r="AF44" cm="1">
        <f t="array" ref="AF44">IFERROR(IF($E44&lt;44348,"",IF(INDEX(Raw_매출!$B$2:$BI$155,MATCH($A44,Raw_매출!$A$2:$A$155,0),MATCH(EDATE($E44,AF$1-1),Raw_매출!$B$1:$BI$1,0))=0,"",INDEX(Raw_매출!$B$2:$BI$155,MATCH($A44,Raw_매출!$A$2:$A$155,0),MATCH(EDATE($E44,AF$1-1),Raw_매출!$B$1:$BI$1,0))/(INDEX(요약_월별시즈널리티!$F$7:$F$18,MONTH(EDATE($E44,AF$1-1)))/100))),"")</f>
        <v>3987937.9888487002</v>
      </c>
      <c r="AG44" cm="1">
        <f t="array" ref="AG44">IFERROR(IF($E44&lt;44348,"",IF(INDEX(Raw_매출!$B$2:$BI$155,MATCH($A44,Raw_매출!$A$2:$A$155,0),MATCH(EDATE($E44,AG$1-1),Raw_매출!$B$1:$BI$1,0))=0,"",INDEX(Raw_매출!$B$2:$BI$155,MATCH($A44,Raw_매출!$A$2:$A$155,0),MATCH(EDATE($E44,AG$1-1),Raw_매출!$B$1:$BI$1,0))/(INDEX(요약_월별시즈널리티!$F$7:$F$18,MONTH(EDATE($E44,AG$1-1)))/100))),"")</f>
        <v>4359612.3578540552</v>
      </c>
      <c r="AH44" cm="1">
        <f t="array" ref="AH44">IFERROR(IF($E44&lt;44348,"",IF(INDEX(Raw_매출!$B$2:$BI$155,MATCH($A44,Raw_매출!$A$2:$A$155,0),MATCH(EDATE($E44,AH$1-1),Raw_매출!$B$1:$BI$1,0))=0,"",INDEX(Raw_매출!$B$2:$BI$155,MATCH($A44,Raw_매출!$A$2:$A$155,0),MATCH(EDATE($E44,AH$1-1),Raw_매출!$B$1:$BI$1,0))/(INDEX(요약_월별시즈널리티!$F$7:$F$18,MONTH(EDATE($E44,AH$1-1)))/100))),"")</f>
        <v>4283073.4011772024</v>
      </c>
      <c r="AI44" cm="1">
        <f t="array" ref="AI44">IFERROR(IF($E44&lt;44348,"",IF(INDEX(Raw_매출!$B$2:$BI$155,MATCH($A44,Raw_매출!$A$2:$A$155,0),MATCH(EDATE($E44,AI$1-1),Raw_매출!$B$1:$BI$1,0))=0,"",INDEX(Raw_매출!$B$2:$BI$155,MATCH($A44,Raw_매출!$A$2:$A$155,0),MATCH(EDATE($E44,AI$1-1),Raw_매출!$B$1:$BI$1,0))/(INDEX(요약_월별시즈널리티!$F$7:$F$18,MONTH(EDATE($E44,AI$1-1)))/100))),"")</f>
        <v>4011525.4037601086</v>
      </c>
      <c r="AJ44" cm="1">
        <f t="array" ref="AJ44">IFERROR(IF($E44&lt;44348,"",IF(INDEX(Raw_매출!$B$2:$BI$155,MATCH($A44,Raw_매출!$A$2:$A$155,0),MATCH(EDATE($E44,AJ$1-1),Raw_매출!$B$1:$BI$1,0))=0,"",INDEX(Raw_매출!$B$2:$BI$155,MATCH($A44,Raw_매출!$A$2:$A$155,0),MATCH(EDATE($E44,AJ$1-1),Raw_매출!$B$1:$BI$1,0))/(INDEX(요약_월별시즈널리티!$F$7:$F$18,MONTH(EDATE($E44,AJ$1-1)))/100))),"")</f>
        <v>4536404.1989386473</v>
      </c>
      <c r="AK44" cm="1">
        <f t="array" ref="AK44">IFERROR(IF($E44&lt;44348,"",IF(INDEX(Raw_매출!$B$2:$BI$155,MATCH($A44,Raw_매출!$A$2:$A$155,0),MATCH(EDATE($E44,AK$1-1),Raw_매출!$B$1:$BI$1,0))=0,"",INDEX(Raw_매출!$B$2:$BI$155,MATCH($A44,Raw_매출!$A$2:$A$155,0),MATCH(EDATE($E44,AK$1-1),Raw_매출!$B$1:$BI$1,0))/(INDEX(요약_월별시즈널리티!$F$7:$F$18,MONTH(EDATE($E44,AK$1-1)))/100))),"")</f>
        <v>4916768.5700835967</v>
      </c>
      <c r="AL44" cm="1">
        <f t="array" ref="AL44">IFERROR(IF($E44&lt;44348,"",IF(INDEX(Raw_매출!$B$2:$BI$155,MATCH($A44,Raw_매출!$A$2:$A$155,0),MATCH(EDATE($E44,AL$1-1),Raw_매출!$B$1:$BI$1,0))=0,"",INDEX(Raw_매출!$B$2:$BI$155,MATCH($A44,Raw_매출!$A$2:$A$155,0),MATCH(EDATE($E44,AL$1-1),Raw_매출!$B$1:$BI$1,0))/(INDEX(요약_월별시즈널리티!$F$7:$F$18,MONTH(EDATE($E44,AL$1-1)))/100))),"")</f>
        <v>5063308.3203396453</v>
      </c>
      <c r="AM44" cm="1">
        <f t="array" ref="AM44">IFERROR(IF($E44&lt;44348,"",IF(INDEX(Raw_매출!$B$2:$BI$155,MATCH($A44,Raw_매출!$A$2:$A$155,0),MATCH(EDATE($E44,AM$1-1),Raw_매출!$B$1:$BI$1,0))=0,"",INDEX(Raw_매출!$B$2:$BI$155,MATCH($A44,Raw_매출!$A$2:$A$155,0),MATCH(EDATE($E44,AM$1-1),Raw_매출!$B$1:$BI$1,0))/(INDEX(요약_월별시즈널리티!$F$7:$F$18,MONTH(EDATE($E44,AM$1-1)))/100))),"")</f>
        <v>4937759.5626307465</v>
      </c>
      <c r="AN44" cm="1">
        <f t="array" ref="AN44">IFERROR(IF($E44&lt;44348,"",IF(INDEX(Raw_매출!$B$2:$BI$155,MATCH($A44,Raw_매출!$A$2:$A$155,0),MATCH(EDATE($E44,AN$1-1),Raw_매출!$B$1:$BI$1,0))=0,"",INDEX(Raw_매출!$B$2:$BI$155,MATCH($A44,Raw_매출!$A$2:$A$155,0),MATCH(EDATE($E44,AN$1-1),Raw_매출!$B$1:$BI$1,0))/(INDEX(요약_월별시즈널리티!$F$7:$F$18,MONTH(EDATE($E44,AN$1-1)))/100))),"")</f>
        <v>4682076.6674115341</v>
      </c>
      <c r="AO44" cm="1">
        <f t="array" ref="AO44">IFERROR(IF($E44&lt;44348,"",IF(INDEX(Raw_매출!$B$2:$BI$155,MATCH($A44,Raw_매출!$A$2:$A$155,0),MATCH(EDATE($E44,AO$1-1),Raw_매출!$B$1:$BI$1,0))=0,"",INDEX(Raw_매출!$B$2:$BI$155,MATCH($A44,Raw_매출!$A$2:$A$155,0),MATCH(EDATE($E44,AO$1-1),Raw_매출!$B$1:$BI$1,0))/(INDEX(요약_월별시즈널리티!$F$7:$F$18,MONTH(EDATE($E44,AO$1-1)))/100))),"")</f>
        <v>4470851.1017962815</v>
      </c>
      <c r="AP44" cm="1">
        <f t="array" ref="AP44">IFERROR(IF($E44&lt;44348,"",IF(INDEX(Raw_매출!$B$2:$BI$155,MATCH($A44,Raw_매출!$A$2:$A$155,0),MATCH(EDATE($E44,AP$1-1),Raw_매출!$B$1:$BI$1,0))=0,"",INDEX(Raw_매출!$B$2:$BI$155,MATCH($A44,Raw_매출!$A$2:$A$155,0),MATCH(EDATE($E44,AP$1-1),Raw_매출!$B$1:$BI$1,0))/(INDEX(요약_월별시즈널리티!$F$7:$F$18,MONTH(EDATE($E44,AP$1-1)))/100))),"")</f>
        <v>5016554.6247489741</v>
      </c>
      <c r="AQ44" cm="1">
        <f t="array" ref="AQ44">IFERROR(IF($E44&lt;44348,"",IF(INDEX(Raw_매출!$B$2:$BI$155,MATCH($A44,Raw_매출!$A$2:$A$155,0),MATCH(EDATE($E44,AQ$1-1),Raw_매출!$B$1:$BI$1,0))=0,"",INDEX(Raw_매출!$B$2:$BI$155,MATCH($A44,Raw_매출!$A$2:$A$155,0),MATCH(EDATE($E44,AQ$1-1),Raw_매출!$B$1:$BI$1,0))/(INDEX(요약_월별시즈널리티!$F$7:$F$18,MONTH(EDATE($E44,AQ$1-1)))/100))),"")</f>
        <v>5197334.9242812507</v>
      </c>
      <c r="AR44" cm="1">
        <f t="array" ref="AR44">IFERROR(IF($E44&lt;44348,"",IF(INDEX(Raw_매출!$B$2:$BI$155,MATCH($A44,Raw_매출!$A$2:$A$155,0),MATCH(EDATE($E44,AR$1-1),Raw_매출!$B$1:$BI$1,0))=0,"",INDEX(Raw_매출!$B$2:$BI$155,MATCH($A44,Raw_매출!$A$2:$A$155,0),MATCH(EDATE($E44,AR$1-1),Raw_매출!$B$1:$BI$1,0))/(INDEX(요약_월별시즈널리티!$F$7:$F$18,MONTH(EDATE($E44,AR$1-1)))/100))),"")</f>
        <v>4901503.5841562813</v>
      </c>
      <c r="AS44" cm="1">
        <f t="array" ref="AS44">IFERROR(IF($E44&lt;44348,"",IF(INDEX(Raw_매출!$B$2:$BI$155,MATCH($A44,Raw_매출!$A$2:$A$155,0),MATCH(EDATE($E44,AS$1-1),Raw_매출!$B$1:$BI$1,0))=0,"",INDEX(Raw_매출!$B$2:$BI$155,MATCH($A44,Raw_매출!$A$2:$A$155,0),MATCH(EDATE($E44,AS$1-1),Raw_매출!$B$1:$BI$1,0))/(INDEX(요약_월별시즈널리티!$F$7:$F$18,MONTH(EDATE($E44,AS$1-1)))/100))),"")</f>
        <v>4770954.0186976269</v>
      </c>
      <c r="AT44" cm="1">
        <f t="array" ref="AT44">IFERROR(IF($E44&lt;44348,"",IF(INDEX(Raw_매출!$B$2:$BI$155,MATCH($A44,Raw_매출!$A$2:$A$155,0),MATCH(EDATE($E44,AT$1-1),Raw_매출!$B$1:$BI$1,0))=0,"",INDEX(Raw_매출!$B$2:$BI$155,MATCH($A44,Raw_매출!$A$2:$A$155,0),MATCH(EDATE($E44,AT$1-1),Raw_매출!$B$1:$BI$1,0))/(INDEX(요약_월별시즈널리티!$F$7:$F$18,MONTH(EDATE($E44,AT$1-1)))/100))),"")</f>
        <v>4845772.874777629</v>
      </c>
      <c r="AU44" cm="1">
        <f t="array" ref="AU44">IFERROR(IF($E44&lt;44348,"",IF(INDEX(Raw_매출!$B$2:$BI$155,MATCH($A44,Raw_매출!$A$2:$A$155,0),MATCH(EDATE($E44,AU$1-1),Raw_매출!$B$1:$BI$1,0))=0,"",INDEX(Raw_매출!$B$2:$BI$155,MATCH($A44,Raw_매출!$A$2:$A$155,0),MATCH(EDATE($E44,AU$1-1),Raw_매출!$B$1:$BI$1,0))/(INDEX(요약_월별시즈널리티!$F$7:$F$18,MONTH(EDATE($E44,AU$1-1)))/100))),"")</f>
        <v>4773297.4132709773</v>
      </c>
      <c r="AV44" cm="1">
        <f t="array" ref="AV44">IFERROR(IF($E44&lt;44348,"",IF(INDEX(Raw_매출!$B$2:$BI$155,MATCH($A44,Raw_매출!$A$2:$A$155,0),MATCH(EDATE($E44,AV$1-1),Raw_매출!$B$1:$BI$1,0))=0,"",INDEX(Raw_매출!$B$2:$BI$155,MATCH($A44,Raw_매출!$A$2:$A$155,0),MATCH(EDATE($E44,AV$1-1),Raw_매출!$B$1:$BI$1,0))/(INDEX(요약_월별시즈널리티!$F$7:$F$18,MONTH(EDATE($E44,AV$1-1)))/100))),"")</f>
        <v>5033927.510407188</v>
      </c>
      <c r="AW44" cm="1">
        <f t="array" ref="AW44">IFERROR(IF($E44&lt;44348,"",IF(INDEX(Raw_매출!$B$2:$BI$155,MATCH($A44,Raw_매출!$A$2:$A$155,0),MATCH(EDATE($E44,AW$1-1),Raw_매출!$B$1:$BI$1,0))=0,"",INDEX(Raw_매출!$B$2:$BI$155,MATCH($A44,Raw_매출!$A$2:$A$155,0),MATCH(EDATE($E44,AW$1-1),Raw_매출!$B$1:$BI$1,0))/(INDEX(요약_월별시즈널리티!$F$7:$F$18,MONTH(EDATE($E44,AW$1-1)))/100))),"")</f>
        <v>5627960.2077470329</v>
      </c>
      <c r="AX44" cm="1">
        <f t="array" ref="AX44">IFERROR(IF($E44&lt;44348,"",IF(INDEX(Raw_매출!$B$2:$BI$155,MATCH($A44,Raw_매출!$A$2:$A$155,0),MATCH(EDATE($E44,AX$1-1),Raw_매출!$B$1:$BI$1,0))=0,"",INDEX(Raw_매출!$B$2:$BI$155,MATCH($A44,Raw_매출!$A$2:$A$155,0),MATCH(EDATE($E44,AX$1-1),Raw_매출!$B$1:$BI$1,0))/(INDEX(요약_월별시즈널리티!$F$7:$F$18,MONTH(EDATE($E44,AX$1-1)))/100))),"")</f>
        <v>5504238.2101537688</v>
      </c>
      <c r="AY44" cm="1">
        <f t="array" ref="AY44">IFERROR(IF($E44&lt;44348,"",IF(INDEX(Raw_매출!$B$2:$BI$155,MATCH($A44,Raw_매출!$A$2:$A$155,0),MATCH(EDATE($E44,AY$1-1),Raw_매출!$B$1:$BI$1,0))=0,"",INDEX(Raw_매출!$B$2:$BI$155,MATCH($A44,Raw_매출!$A$2:$A$155,0),MATCH(EDATE($E44,AY$1-1),Raw_매출!$B$1:$BI$1,0))/(INDEX(요약_월별시즈널리티!$F$7:$F$18,MONTH(EDATE($E44,AY$1-1)))/100))),"")</f>
        <v>5914485.2667412981</v>
      </c>
      <c r="AZ44" cm="1">
        <f t="array" ref="AZ44">IFERROR(IF($E44&lt;44348,"",IF(INDEX(Raw_매출!$B$2:$BI$155,MATCH($A44,Raw_매출!$A$2:$A$155,0),MATCH(EDATE($E44,AZ$1-1),Raw_매출!$B$1:$BI$1,0))=0,"",INDEX(Raw_매출!$B$2:$BI$155,MATCH($A44,Raw_매출!$A$2:$A$155,0),MATCH(EDATE($E44,AZ$1-1),Raw_매출!$B$1:$BI$1,0))/(INDEX(요약_월별시즈널리티!$F$7:$F$18,MONTH(EDATE($E44,AZ$1-1)))/100))),"")</f>
        <v>5286999.4806118095</v>
      </c>
      <c r="BA44" cm="1">
        <f t="array" ref="BA44">IFERROR(IF($E44&lt;44348,"",IF(INDEX(Raw_매출!$B$2:$BI$155,MATCH($A44,Raw_매출!$A$2:$A$155,0),MATCH(EDATE($E44,BA$1-1),Raw_매출!$B$1:$BI$1,0))=0,"",INDEX(Raw_매출!$B$2:$BI$155,MATCH($A44,Raw_매출!$A$2:$A$155,0),MATCH(EDATE($E44,BA$1-1),Raw_매출!$B$1:$BI$1,0))/(INDEX(요약_월별시즈널리티!$F$7:$F$18,MONTH(EDATE($E44,BA$1-1)))/100))),"")</f>
        <v>5647216.0378318783</v>
      </c>
      <c r="BB44" cm="1">
        <f t="array" ref="BB44">IFERROR(IF($E44&lt;44348,"",IF(INDEX(Raw_매출!$B$2:$BI$155,MATCH($A44,Raw_매출!$A$2:$A$155,0),MATCH(EDATE($E44,BB$1-1),Raw_매출!$B$1:$BI$1,0))=0,"",INDEX(Raw_매출!$B$2:$BI$155,MATCH($A44,Raw_매출!$A$2:$A$155,0),MATCH(EDATE($E44,BB$1-1),Raw_매출!$B$1:$BI$1,0))/(INDEX(요약_월별시즈널리티!$F$7:$F$18,MONTH(EDATE($E44,BB$1-1)))/100))),"")</f>
        <v>5464189.3947556652</v>
      </c>
      <c r="BC44" cm="1">
        <f t="array" ref="BC44">IFERROR(IF($E44&lt;44348,"",IF(INDEX(Raw_매출!$B$2:$BI$155,MATCH($A44,Raw_매출!$A$2:$A$155,0),MATCH(EDATE($E44,BC$1-1),Raw_매출!$B$1:$BI$1,0))=0,"",INDEX(Raw_매출!$B$2:$BI$155,MATCH($A44,Raw_매출!$A$2:$A$155,0),MATCH(EDATE($E44,BC$1-1),Raw_매출!$B$1:$BI$1,0))/(INDEX(요약_월별시즈널리티!$F$7:$F$18,MONTH(EDATE($E44,BC$1-1)))/100))),"")</f>
        <v>5129269.4682836328</v>
      </c>
      <c r="BD44" cm="1">
        <f t="array" ref="BD44">IFERROR(IF($E44&lt;44348,"",IF(INDEX(Raw_매출!$B$2:$BI$155,MATCH($A44,Raw_매출!$A$2:$A$155,0),MATCH(EDATE($E44,BD$1-1),Raw_매출!$B$1:$BI$1,0))=0,"",INDEX(Raw_매출!$B$2:$BI$155,MATCH($A44,Raw_매출!$A$2:$A$155,0),MATCH(EDATE($E44,BD$1-1),Raw_매출!$B$1:$BI$1,0))/(INDEX(요약_월별시즈널리티!$F$7:$F$18,MONTH(EDATE($E44,BD$1-1)))/100))),"")</f>
        <v>5049575.1974048475</v>
      </c>
      <c r="BE44" cm="1">
        <f t="array" ref="BE44">IFERROR(IF($E44&lt;44348,"",IF(INDEX(Raw_매출!$B$2:$BI$155,MATCH($A44,Raw_매출!$A$2:$A$155,0),MATCH(EDATE($E44,BE$1-1),Raw_매출!$B$1:$BI$1,0))=0,"",INDEX(Raw_매출!$B$2:$BI$155,MATCH($A44,Raw_매출!$A$2:$A$155,0),MATCH(EDATE($E44,BE$1-1),Raw_매출!$B$1:$BI$1,0))/(INDEX(요약_월별시즈널리티!$F$7:$F$18,MONTH(EDATE($E44,BE$1-1)))/100))),"")</f>
        <v>4681464.6103897868</v>
      </c>
      <c r="BF44" cm="1">
        <f t="array" ref="BF44">IFERROR(IF($E44&lt;44348,"",IF(INDEX(Raw_매출!$B$2:$BI$155,MATCH($A44,Raw_매출!$A$2:$A$155,0),MATCH(EDATE($E44,BF$1-1),Raw_매출!$B$1:$BI$1,0))=0,"",INDEX(Raw_매출!$B$2:$BI$155,MATCH($A44,Raw_매출!$A$2:$A$155,0),MATCH(EDATE($E44,BF$1-1),Raw_매출!$B$1:$BI$1,0))/(INDEX(요약_월별시즈널리티!$F$7:$F$18,MONTH(EDATE($E44,BF$1-1)))/100))),"")</f>
        <v>5395366.1956760082</v>
      </c>
      <c r="BG44" cm="1">
        <f t="array" ref="BG44">IFERROR(IF($E44&lt;44348,"",IF(INDEX(Raw_매출!$B$2:$BI$155,MATCH($A44,Raw_매출!$A$2:$A$155,0),MATCH(EDATE($E44,BG$1-1),Raw_매출!$B$1:$BI$1,0))=0,"",INDEX(Raw_매출!$B$2:$BI$155,MATCH($A44,Raw_매출!$A$2:$A$155,0),MATCH(EDATE($E44,BG$1-1),Raw_매출!$B$1:$BI$1,0))/(INDEX(요약_월별시즈널리티!$F$7:$F$18,MONTH(EDATE($E44,BG$1-1)))/100))),"")</f>
        <v>5580164.8657859247</v>
      </c>
      <c r="BH44" cm="1">
        <f t="array" ref="BH44">IFERROR(IF($E44&lt;44348,"",IF(INDEX(Raw_매출!$B$2:$BI$155,MATCH($A44,Raw_매출!$A$2:$A$155,0),MATCH(EDATE($E44,BH$1-1),Raw_매출!$B$1:$BI$1,0))=0,"",INDEX(Raw_매출!$B$2:$BI$155,MATCH($A44,Raw_매출!$A$2:$A$155,0),MATCH(EDATE($E44,BH$1-1),Raw_매출!$B$1:$BI$1,0))/(INDEX(요약_월별시즈널리티!$F$7:$F$18,MONTH(EDATE($E44,BH$1-1)))/100))),"")</f>
        <v>5245624.1149272108</v>
      </c>
      <c r="BI44" cm="1">
        <f t="array" ref="BI44">IFERROR(IF($E44&lt;44348,"",IF(INDEX(Raw_매출!$B$2:$BI$155,MATCH($A44,Raw_매출!$A$2:$A$155,0),MATCH(EDATE($E44,BI$1-1),Raw_매출!$B$1:$BI$1,0))=0,"",INDEX(Raw_매출!$B$2:$BI$155,MATCH($A44,Raw_매출!$A$2:$A$155,0),MATCH(EDATE($E44,BI$1-1),Raw_매출!$B$1:$BI$1,0))/(INDEX(요약_월별시즈널리티!$F$7:$F$18,MONTH(EDATE($E44,BI$1-1)))/100))),"")</f>
        <v>6227815.3108457644</v>
      </c>
      <c r="BJ44" cm="1">
        <f t="array" ref="BJ44">IFERROR(IF($E44&lt;44348,"",IF(INDEX(Raw_매출!$B$2:$BI$155,MATCH($A44,Raw_매출!$A$2:$A$155,0),MATCH(EDATE($E44,BJ$1-1),Raw_매출!$B$1:$BI$1,0))=0,"",INDEX(Raw_매출!$B$2:$BI$155,MATCH($A44,Raw_매출!$A$2:$A$155,0),MATCH(EDATE($E44,BJ$1-1),Raw_매출!$B$1:$BI$1,0))/(INDEX(요약_월별시즈널리티!$F$7:$F$18,MONTH(EDATE($E44,BJ$1-1)))/100))),"")</f>
        <v>6026318.6568447566</v>
      </c>
      <c r="BK44" cm="1">
        <f t="array" ref="BK44">IFERROR(IF($E44&lt;44348,"",IF(INDEX(Raw_매출!$B$2:$BI$155,MATCH($A44,Raw_매출!$A$2:$A$155,0),MATCH(EDATE($E44,BK$1-1),Raw_매출!$B$1:$BI$1,0))=0,"",INDEX(Raw_매출!$B$2:$BI$155,MATCH($A44,Raw_매출!$A$2:$A$155,0),MATCH(EDATE($E44,BK$1-1),Raw_매출!$B$1:$BI$1,0))/(INDEX(요약_월별시즈널리티!$F$7:$F$18,MONTH(EDATE($E44,BK$1-1)))/100))),"")</f>
        <v>5669197.550405032</v>
      </c>
      <c r="BL44" cm="1">
        <f t="array" ref="BL44">IFERROR(IF($E44&lt;44348,"",IF(INDEX(Raw_매출!$B$2:$BI$155,MATCH($A44,Raw_매출!$A$2:$A$155,0),MATCH(EDATE($E44,BL$1-1),Raw_매출!$B$1:$BI$1,0))=0,"",INDEX(Raw_매출!$B$2:$BI$155,MATCH($A44,Raw_매출!$A$2:$A$155,0),MATCH(EDATE($E44,BL$1-1),Raw_매출!$B$1:$BI$1,0))/(INDEX(요약_월별시즈널리티!$F$7:$F$18,MONTH(EDATE($E44,BL$1-1)))/100))),"")</f>
        <v>5224408.7518455619</v>
      </c>
      <c r="BM44" cm="1">
        <f t="array" ref="BM44">IFERROR(IF($E44&lt;44348,"",IF(INDEX(Raw_매출!$B$2:$BI$155,MATCH($A44,Raw_매출!$A$2:$A$155,0),MATCH(EDATE($E44,BM$1-1),Raw_매출!$B$1:$BI$1,0))=0,"",INDEX(Raw_매출!$B$2:$BI$155,MATCH($A44,Raw_매출!$A$2:$A$155,0),MATCH(EDATE($E44,BM$1-1),Raw_매출!$B$1:$BI$1,0))/(INDEX(요약_월별시즈널리티!$F$7:$F$18,MONTH(EDATE($E44,BM$1-1)))/100))),"")</f>
        <v>5549747.1560804816</v>
      </c>
      <c r="BN44" t="str" cm="1">
        <f t="array" ref="BN44">IFERROR(IF($E44&lt;44348,"",IF(INDEX(Raw_매출!$B$2:$BI$155,MATCH($A44,Raw_매출!$A$2:$A$155,0),MATCH(EDATE($E44,BN$1-1),Raw_매출!$B$1:$BI$1,0))=0,"",INDEX(Raw_매출!$B$2:$BI$155,MATCH($A44,Raw_매출!$A$2:$A$155,0),MATCH(EDATE($E44,BN$1-1),Raw_매출!$B$1:$BI$1,0))/(INDEX(요약_월별시즈널리티!$F$7:$F$18,MONTH(EDATE($E44,BN$1-1)))/100))),"")</f>
        <v/>
      </c>
    </row>
    <row r="45" spans="1:66" x14ac:dyDescent="0.4">
      <c r="A45" t="str">
        <f>세팅!A46</f>
        <v>(1034) #부천심곡점</v>
      </c>
      <c r="B45" t="str">
        <f>세팅!B46</f>
        <v>150-0</v>
      </c>
      <c r="C45">
        <f t="shared" si="0"/>
        <v>0</v>
      </c>
      <c r="D45" t="str">
        <f t="shared" si="1"/>
        <v>0</v>
      </c>
      <c r="E45" s="1">
        <f>세팅!D46</f>
        <v>44531</v>
      </c>
      <c r="F45">
        <f t="shared" si="2"/>
        <v>3216425.391347615</v>
      </c>
      <c r="G45" cm="1">
        <f t="array" ref="G45">IFERROR(IF($E45&lt;44348,"",IF(INDEX(Raw_매출!$B$2:$BI$155,MATCH($A45,Raw_매출!$A$2:$A$155,0),MATCH(EDATE($E45,G$1-1),Raw_매출!$B$1:$BI$1,0))=0,"",INDEX(Raw_매출!$B$2:$BI$155,MATCH($A45,Raw_매출!$A$2:$A$155,0),MATCH(EDATE($E45,G$1-1),Raw_매출!$B$1:$BI$1,0))/(INDEX(요약_월별시즈널리티!$F$7:$F$18,MONTH(EDATE($E45,G$1-1)))/100))),"")</f>
        <v>2204973.7673261664</v>
      </c>
      <c r="H45" cm="1">
        <f t="array" ref="H45">IFERROR(IF($E45&lt;44348,"",IF(INDEX(Raw_매출!$B$2:$BI$155,MATCH($A45,Raw_매출!$A$2:$A$155,0),MATCH(EDATE($E45,H$1-1),Raw_매출!$B$1:$BI$1,0))=0,"",INDEX(Raw_매출!$B$2:$BI$155,MATCH($A45,Raw_매출!$A$2:$A$155,0),MATCH(EDATE($E45,H$1-1),Raw_매출!$B$1:$BI$1,0))/(INDEX(요약_월별시즈널리티!$F$7:$F$18,MONTH(EDATE($E45,H$1-1)))/100))),"")</f>
        <v>2804560.1652065963</v>
      </c>
      <c r="I45" cm="1">
        <f t="array" ref="I45">IFERROR(IF($E45&lt;44348,"",IF(INDEX(Raw_매출!$B$2:$BI$155,MATCH($A45,Raw_매출!$A$2:$A$155,0),MATCH(EDATE($E45,I$1-1),Raw_매출!$B$1:$BI$1,0))=0,"",INDEX(Raw_매출!$B$2:$BI$155,MATCH($A45,Raw_매출!$A$2:$A$155,0),MATCH(EDATE($E45,I$1-1),Raw_매출!$B$1:$BI$1,0))/(INDEX(요약_월별시즈널리티!$F$7:$F$18,MONTH(EDATE($E45,I$1-1)))/100))),"")</f>
        <v>2566208.3994832528</v>
      </c>
      <c r="J45" s="30" cm="1">
        <f t="array" ref="J45">IFERROR(IF($E45&lt;44348,"",IF(INDEX(Raw_매출!$B$2:$BI$155,MATCH($A45,Raw_매출!$A$2:$A$155,0),MATCH(EDATE($E45,J$1-1),Raw_매출!$B$1:$BI$1,0))=0,"",INDEX(Raw_매출!$B$2:$BI$155,MATCH($A45,Raw_매출!$A$2:$A$155,0),MATCH(EDATE($E45,J$1-1),Raw_매출!$B$1:$BI$1,0))/(INDEX(요약_월별시즈널리티!$F$7:$F$18,MONTH(EDATE($E45,J$1-1)))/100))),"")</f>
        <v>3246318.8637833078</v>
      </c>
      <c r="K45" s="30" cm="1">
        <f t="array" ref="K45">IFERROR(IF($E45&lt;44348,"",IF(INDEX(Raw_매출!$B$2:$BI$155,MATCH($A45,Raw_매출!$A$2:$A$155,0),MATCH(EDATE($E45,K$1-1),Raw_매출!$B$1:$BI$1,0))=0,"",INDEX(Raw_매출!$B$2:$BI$155,MATCH($A45,Raw_매출!$A$2:$A$155,0),MATCH(EDATE($E45,K$1-1),Raw_매출!$B$1:$BI$1,0))/(INDEX(요약_월별시즈널리티!$F$7:$F$18,MONTH(EDATE($E45,K$1-1)))/100))),"")</f>
        <v>3054406.8383859717</v>
      </c>
      <c r="L45" s="30" cm="1">
        <f t="array" ref="L45">IFERROR(IF($E45&lt;44348,"",IF(INDEX(Raw_매출!$B$2:$BI$155,MATCH($A45,Raw_매출!$A$2:$A$155,0),MATCH(EDATE($E45,L$1-1),Raw_매출!$B$1:$BI$1,0))=0,"",INDEX(Raw_매출!$B$2:$BI$155,MATCH($A45,Raw_매출!$A$2:$A$155,0),MATCH(EDATE($E45,L$1-1),Raw_매출!$B$1:$BI$1,0))/(INDEX(요약_월별시즈널리티!$F$7:$F$18,MONTH(EDATE($E45,L$1-1)))/100))),"")</f>
        <v>2708628.9047564291</v>
      </c>
      <c r="M45" s="30" cm="1">
        <f t="array" ref="M45">IFERROR(IF($E45&lt;44348,"",IF(INDEX(Raw_매출!$B$2:$BI$155,MATCH($A45,Raw_매출!$A$2:$A$155,0),MATCH(EDATE($E45,M$1-1),Raw_매출!$B$1:$BI$1,0))=0,"",INDEX(Raw_매출!$B$2:$BI$155,MATCH($A45,Raw_매출!$A$2:$A$155,0),MATCH(EDATE($E45,M$1-1),Raw_매출!$B$1:$BI$1,0))/(INDEX(요약_월별시즈널리티!$F$7:$F$18,MONTH(EDATE($E45,M$1-1)))/100))),"")</f>
        <v>3168273.4808232794</v>
      </c>
      <c r="N45" s="30" cm="1">
        <f t="array" ref="N45">IFERROR(IF($E45&lt;44348,"",IF(INDEX(Raw_매출!$B$2:$BI$155,MATCH($A45,Raw_매출!$A$2:$A$155,0),MATCH(EDATE($E45,N$1-1),Raw_매출!$B$1:$BI$1,0))=0,"",INDEX(Raw_매출!$B$2:$BI$155,MATCH($A45,Raw_매출!$A$2:$A$155,0),MATCH(EDATE($E45,N$1-1),Raw_매출!$B$1:$BI$1,0))/(INDEX(요약_월별시즈널리티!$F$7:$F$18,MONTH(EDATE($E45,N$1-1)))/100))),"")</f>
        <v>3567107.5465979576</v>
      </c>
      <c r="O45" s="30" cm="1">
        <f t="array" ref="O45">IFERROR(IF($E45&lt;44348,"",IF(INDEX(Raw_매출!$B$2:$BI$155,MATCH($A45,Raw_매출!$A$2:$A$155,0),MATCH(EDATE($E45,O$1-1),Raw_매출!$B$1:$BI$1,0))=0,"",INDEX(Raw_매출!$B$2:$BI$155,MATCH($A45,Raw_매출!$A$2:$A$155,0),MATCH(EDATE($E45,O$1-1),Raw_매출!$B$1:$BI$1,0))/(INDEX(요약_월별시즈널리티!$F$7:$F$18,MONTH(EDATE($E45,O$1-1)))/100))),"")</f>
        <v>3553816.7137387423</v>
      </c>
      <c r="P45" cm="1">
        <f t="array" ref="P45">IFERROR(IF($E45&lt;44348,"",IF(INDEX(Raw_매출!$B$2:$BI$155,MATCH($A45,Raw_매출!$A$2:$A$155,0),MATCH(EDATE($E45,P$1-1),Raw_매출!$B$1:$BI$1,0))=0,"",INDEX(Raw_매출!$B$2:$BI$155,MATCH($A45,Raw_매출!$A$2:$A$155,0),MATCH(EDATE($E45,P$1-1),Raw_매출!$B$1:$BI$1,0))/(INDEX(요약_월별시즈널리티!$F$7:$F$18,MONTH(EDATE($E45,P$1-1)))/100))),"")</f>
        <v>3583072.0123256408</v>
      </c>
      <c r="Q45" cm="1">
        <f t="array" ref="Q45">IFERROR(IF($E45&lt;44348,"",IF(INDEX(Raw_매출!$B$2:$BI$155,MATCH($A45,Raw_매출!$A$2:$A$155,0),MATCH(EDATE($E45,Q$1-1),Raw_매출!$B$1:$BI$1,0))=0,"",INDEX(Raw_매출!$B$2:$BI$155,MATCH($A45,Raw_매출!$A$2:$A$155,0),MATCH(EDATE($E45,Q$1-1),Raw_매출!$B$1:$BI$1,0))/(INDEX(요약_월별시즈널리티!$F$7:$F$18,MONTH(EDATE($E45,Q$1-1)))/100))),"")</f>
        <v>3616952.1087299297</v>
      </c>
      <c r="R45" cm="1">
        <f t="array" ref="R45">IFERROR(IF($E45&lt;44348,"",IF(INDEX(Raw_매출!$B$2:$BI$155,MATCH($A45,Raw_매출!$A$2:$A$155,0),MATCH(EDATE($E45,R$1-1),Raw_매출!$B$1:$BI$1,0))=0,"",INDEX(Raw_매출!$B$2:$BI$155,MATCH($A45,Raw_매출!$A$2:$A$155,0),MATCH(EDATE($E45,R$1-1),Raw_매출!$B$1:$BI$1,0))/(INDEX(요약_월별시즈널리티!$F$7:$F$18,MONTH(EDATE($E45,R$1-1)))/100))),"")</f>
        <v>3906830.9780424382</v>
      </c>
      <c r="S45" cm="1">
        <f t="array" ref="S45">IFERROR(IF($E45&lt;44348,"",IF(INDEX(Raw_매출!$B$2:$BI$155,MATCH($A45,Raw_매출!$A$2:$A$155,0),MATCH(EDATE($E45,S$1-1),Raw_매출!$B$1:$BI$1,0))=0,"",INDEX(Raw_매출!$B$2:$BI$155,MATCH($A45,Raw_매출!$A$2:$A$155,0),MATCH(EDATE($E45,S$1-1),Raw_매출!$B$1:$BI$1,0))/(INDEX(요약_월별시즈널리티!$F$7:$F$18,MONTH(EDATE($E45,S$1-1)))/100))),"")</f>
        <v>3840539.3144580908</v>
      </c>
      <c r="T45" cm="1">
        <f t="array" ref="T45">IFERROR(IF($E45&lt;44348,"",IF(INDEX(Raw_매출!$B$2:$BI$155,MATCH($A45,Raw_매출!$A$2:$A$155,0),MATCH(EDATE($E45,T$1-1),Raw_매출!$B$1:$BI$1,0))=0,"",INDEX(Raw_매출!$B$2:$BI$155,MATCH($A45,Raw_매출!$A$2:$A$155,0),MATCH(EDATE($E45,T$1-1),Raw_매출!$B$1:$BI$1,0))/(INDEX(요약_월별시즈널리티!$F$7:$F$18,MONTH(EDATE($E45,T$1-1)))/100))),"")</f>
        <v>4460052.5933171883</v>
      </c>
      <c r="U45" cm="1">
        <f t="array" ref="U45">IFERROR(IF($E45&lt;44348,"",IF(INDEX(Raw_매출!$B$2:$BI$155,MATCH($A45,Raw_매출!$A$2:$A$155,0),MATCH(EDATE($E45,U$1-1),Raw_매출!$B$1:$BI$1,0))=0,"",INDEX(Raw_매출!$B$2:$BI$155,MATCH($A45,Raw_매출!$A$2:$A$155,0),MATCH(EDATE($E45,U$1-1),Raw_매출!$B$1:$BI$1,0))/(INDEX(요약_월별시즈널리티!$F$7:$F$18,MONTH(EDATE($E45,U$1-1)))/100))),"")</f>
        <v>4389129.900087052</v>
      </c>
      <c r="V45" cm="1">
        <f t="array" ref="V45">IFERROR(IF($E45&lt;44348,"",IF(INDEX(Raw_매출!$B$2:$BI$155,MATCH($A45,Raw_매출!$A$2:$A$155,0),MATCH(EDATE($E45,V$1-1),Raw_매출!$B$1:$BI$1,0))=0,"",INDEX(Raw_매출!$B$2:$BI$155,MATCH($A45,Raw_매출!$A$2:$A$155,0),MATCH(EDATE($E45,V$1-1),Raw_매출!$B$1:$BI$1,0))/(INDEX(요약_월별시즈널리티!$F$7:$F$18,MONTH(EDATE($E45,V$1-1)))/100))),"")</f>
        <v>4388113.3730137972</v>
      </c>
      <c r="W45" cm="1">
        <f t="array" ref="W45">IFERROR(IF($E45&lt;44348,"",IF(INDEX(Raw_매출!$B$2:$BI$155,MATCH($A45,Raw_매출!$A$2:$A$155,0),MATCH(EDATE($E45,W$1-1),Raw_매출!$B$1:$BI$1,0))=0,"",INDEX(Raw_매출!$B$2:$BI$155,MATCH($A45,Raw_매출!$A$2:$A$155,0),MATCH(EDATE($E45,W$1-1),Raw_매출!$B$1:$BI$1,0))/(INDEX(요약_월별시즈널리티!$F$7:$F$18,MONTH(EDATE($E45,W$1-1)))/100))),"")</f>
        <v>4578242.3789615678</v>
      </c>
      <c r="X45" cm="1">
        <f t="array" ref="X45">IFERROR(IF($E45&lt;44348,"",IF(INDEX(Raw_매출!$B$2:$BI$155,MATCH($A45,Raw_매출!$A$2:$A$155,0),MATCH(EDATE($E45,X$1-1),Raw_매출!$B$1:$BI$1,0))=0,"",INDEX(Raw_매출!$B$2:$BI$155,MATCH($A45,Raw_매출!$A$2:$A$155,0),MATCH(EDATE($E45,X$1-1),Raw_매출!$B$1:$BI$1,0))/(INDEX(요약_월별시즈널리티!$F$7:$F$18,MONTH(EDATE($E45,X$1-1)))/100))),"")</f>
        <v>3922007.3401912907</v>
      </c>
      <c r="Y45" cm="1">
        <f t="array" ref="Y45">IFERROR(IF($E45&lt;44348,"",IF(INDEX(Raw_매출!$B$2:$BI$155,MATCH($A45,Raw_매출!$A$2:$A$155,0),MATCH(EDATE($E45,Y$1-1),Raw_매출!$B$1:$BI$1,0))=0,"",INDEX(Raw_매출!$B$2:$BI$155,MATCH($A45,Raw_매출!$A$2:$A$155,0),MATCH(EDATE($E45,Y$1-1),Raw_매출!$B$1:$BI$1,0))/(INDEX(요약_월별시즈널리티!$F$7:$F$18,MONTH(EDATE($E45,Y$1-1)))/100))),"")</f>
        <v>3924709.1115127006</v>
      </c>
      <c r="Z45" cm="1">
        <f t="array" ref="Z45">IFERROR(IF($E45&lt;44348,"",IF(INDEX(Raw_매출!$B$2:$BI$155,MATCH($A45,Raw_매출!$A$2:$A$155,0),MATCH(EDATE($E45,Z$1-1),Raw_매출!$B$1:$BI$1,0))=0,"",INDEX(Raw_매출!$B$2:$BI$155,MATCH($A45,Raw_매출!$A$2:$A$155,0),MATCH(EDATE($E45,Z$1-1),Raw_매출!$B$1:$BI$1,0))/(INDEX(요약_월별시즈널리티!$F$7:$F$18,MONTH(EDATE($E45,Z$1-1)))/100))),"")</f>
        <v>4215281.7486243946</v>
      </c>
      <c r="AA45" cm="1">
        <f t="array" ref="AA45">IFERROR(IF($E45&lt;44348,"",IF(INDEX(Raw_매출!$B$2:$BI$155,MATCH($A45,Raw_매출!$A$2:$A$155,0),MATCH(EDATE($E45,AA$1-1),Raw_매출!$B$1:$BI$1,0))=0,"",INDEX(Raw_매출!$B$2:$BI$155,MATCH($A45,Raw_매출!$A$2:$A$155,0),MATCH(EDATE($E45,AA$1-1),Raw_매출!$B$1:$BI$1,0))/(INDEX(요약_월별시즈널리티!$F$7:$F$18,MONTH(EDATE($E45,AA$1-1)))/100))),"")</f>
        <v>4253996.5129849389</v>
      </c>
      <c r="AB45" cm="1">
        <f t="array" ref="AB45">IFERROR(IF($E45&lt;44348,"",IF(INDEX(Raw_매출!$B$2:$BI$155,MATCH($A45,Raw_매출!$A$2:$A$155,0),MATCH(EDATE($E45,AB$1-1),Raw_매출!$B$1:$BI$1,0))=0,"",INDEX(Raw_매출!$B$2:$BI$155,MATCH($A45,Raw_매출!$A$2:$A$155,0),MATCH(EDATE($E45,AB$1-1),Raw_매출!$B$1:$BI$1,0))/(INDEX(요약_월별시즈널리티!$F$7:$F$18,MONTH(EDATE($E45,AB$1-1)))/100))),"")</f>
        <v>4121406.7341774935</v>
      </c>
      <c r="AC45" cm="1">
        <f t="array" ref="AC45">IFERROR(IF($E45&lt;44348,"",IF(INDEX(Raw_매출!$B$2:$BI$155,MATCH($A45,Raw_매출!$A$2:$A$155,0),MATCH(EDATE($E45,AC$1-1),Raw_매출!$B$1:$BI$1,0))=0,"",INDEX(Raw_매출!$B$2:$BI$155,MATCH($A45,Raw_매출!$A$2:$A$155,0),MATCH(EDATE($E45,AC$1-1),Raw_매출!$B$1:$BI$1,0))/(INDEX(요약_월별시즈널리티!$F$7:$F$18,MONTH(EDATE($E45,AC$1-1)))/100))),"")</f>
        <v>4514053.1220647627</v>
      </c>
      <c r="AD45" cm="1">
        <f t="array" ref="AD45">IFERROR(IF($E45&lt;44348,"",IF(INDEX(Raw_매출!$B$2:$BI$155,MATCH($A45,Raw_매출!$A$2:$A$155,0),MATCH(EDATE($E45,AD$1-1),Raw_매출!$B$1:$BI$1,0))=0,"",INDEX(Raw_매출!$B$2:$BI$155,MATCH($A45,Raw_매출!$A$2:$A$155,0),MATCH(EDATE($E45,AD$1-1),Raw_매출!$B$1:$BI$1,0))/(INDEX(요약_월별시즈널리티!$F$7:$F$18,MONTH(EDATE($E45,AD$1-1)))/100))),"")</f>
        <v>4778964.3592501907</v>
      </c>
      <c r="AE45" cm="1">
        <f t="array" ref="AE45">IFERROR(IF($E45&lt;44348,"",IF(INDEX(Raw_매출!$B$2:$BI$155,MATCH($A45,Raw_매출!$A$2:$A$155,0),MATCH(EDATE($E45,AE$1-1),Raw_매출!$B$1:$BI$1,0))=0,"",INDEX(Raw_매출!$B$2:$BI$155,MATCH($A45,Raw_매출!$A$2:$A$155,0),MATCH(EDATE($E45,AE$1-1),Raw_매출!$B$1:$BI$1,0))/(INDEX(요약_월별시즈널리티!$F$7:$F$18,MONTH(EDATE($E45,AE$1-1)))/100))),"")</f>
        <v>5038640.4816712458</v>
      </c>
      <c r="AF45" cm="1">
        <f t="array" ref="AF45">IFERROR(IF($E45&lt;44348,"",IF(INDEX(Raw_매출!$B$2:$BI$155,MATCH($A45,Raw_매출!$A$2:$A$155,0),MATCH(EDATE($E45,AF$1-1),Raw_매출!$B$1:$BI$1,0))=0,"",INDEX(Raw_매출!$B$2:$BI$155,MATCH($A45,Raw_매출!$A$2:$A$155,0),MATCH(EDATE($E45,AF$1-1),Raw_매출!$B$1:$BI$1,0))/(INDEX(요약_월별시즈널리티!$F$7:$F$18,MONTH(EDATE($E45,AF$1-1)))/100))),"")</f>
        <v>6268592.9345560931</v>
      </c>
      <c r="AG45" cm="1">
        <f t="array" ref="AG45">IFERROR(IF($E45&lt;44348,"",IF(INDEX(Raw_매출!$B$2:$BI$155,MATCH($A45,Raw_매출!$A$2:$A$155,0),MATCH(EDATE($E45,AG$1-1),Raw_매출!$B$1:$BI$1,0))=0,"",INDEX(Raw_매출!$B$2:$BI$155,MATCH($A45,Raw_매출!$A$2:$A$155,0),MATCH(EDATE($E45,AG$1-1),Raw_매출!$B$1:$BI$1,0))/(INDEX(요약_월별시즈널리티!$F$7:$F$18,MONTH(EDATE($E45,AG$1-1)))/100))),"")</f>
        <v>5601049.400813886</v>
      </c>
      <c r="AH45" cm="1">
        <f t="array" ref="AH45">IFERROR(IF($E45&lt;44348,"",IF(INDEX(Raw_매출!$B$2:$BI$155,MATCH($A45,Raw_매출!$A$2:$A$155,0),MATCH(EDATE($E45,AH$1-1),Raw_매출!$B$1:$BI$1,0))=0,"",INDEX(Raw_매출!$B$2:$BI$155,MATCH($A45,Raw_매출!$A$2:$A$155,0),MATCH(EDATE($E45,AH$1-1),Raw_매출!$B$1:$BI$1,0))/(INDEX(요약_월별시즈널리티!$F$7:$F$18,MONTH(EDATE($E45,AH$1-1)))/100))),"")</f>
        <v>6037854.645530439</v>
      </c>
      <c r="AI45" cm="1">
        <f t="array" ref="AI45">IFERROR(IF($E45&lt;44348,"",IF(INDEX(Raw_매출!$B$2:$BI$155,MATCH($A45,Raw_매출!$A$2:$A$155,0),MATCH(EDATE($E45,AI$1-1),Raw_매출!$B$1:$BI$1,0))=0,"",INDEX(Raw_매출!$B$2:$BI$155,MATCH($A45,Raw_매출!$A$2:$A$155,0),MATCH(EDATE($E45,AI$1-1),Raw_매출!$B$1:$BI$1,0))/(INDEX(요약_월별시즈널리티!$F$7:$F$18,MONTH(EDATE($E45,AI$1-1)))/100))),"")</f>
        <v>6350471.9209489096</v>
      </c>
      <c r="AJ45" cm="1">
        <f t="array" ref="AJ45">IFERROR(IF($E45&lt;44348,"",IF(INDEX(Raw_매출!$B$2:$BI$155,MATCH($A45,Raw_매출!$A$2:$A$155,0),MATCH(EDATE($E45,AJ$1-1),Raw_매출!$B$1:$BI$1,0))=0,"",INDEX(Raw_매출!$B$2:$BI$155,MATCH($A45,Raw_매출!$A$2:$A$155,0),MATCH(EDATE($E45,AJ$1-1),Raw_매출!$B$1:$BI$1,0))/(INDEX(요약_월별시즈널리티!$F$7:$F$18,MONTH(EDATE($E45,AJ$1-1)))/100))),"")</f>
        <v>5511775.1019531852</v>
      </c>
      <c r="AK45" cm="1">
        <f t="array" ref="AK45">IFERROR(IF($E45&lt;44348,"",IF(INDEX(Raw_매출!$B$2:$BI$155,MATCH($A45,Raw_매출!$A$2:$A$155,0),MATCH(EDATE($E45,AK$1-1),Raw_매출!$B$1:$BI$1,0))=0,"",INDEX(Raw_매출!$B$2:$BI$155,MATCH($A45,Raw_매출!$A$2:$A$155,0),MATCH(EDATE($E45,AK$1-1),Raw_매출!$B$1:$BI$1,0))/(INDEX(요약_월별시즈널리티!$F$7:$F$18,MONTH(EDATE($E45,AK$1-1)))/100))),"")</f>
        <v>5447163.5123928813</v>
      </c>
      <c r="AL45" cm="1">
        <f t="array" ref="AL45">IFERROR(IF($E45&lt;44348,"",IF(INDEX(Raw_매출!$B$2:$BI$155,MATCH($A45,Raw_매출!$A$2:$A$155,0),MATCH(EDATE($E45,AL$1-1),Raw_매출!$B$1:$BI$1,0))=0,"",INDEX(Raw_매출!$B$2:$BI$155,MATCH($A45,Raw_매출!$A$2:$A$155,0),MATCH(EDATE($E45,AL$1-1),Raw_매출!$B$1:$BI$1,0))/(INDEX(요약_월별시즈널리티!$F$7:$F$18,MONTH(EDATE($E45,AL$1-1)))/100))),"")</f>
        <v>6309080.2586221285</v>
      </c>
      <c r="AM45" cm="1">
        <f t="array" ref="AM45">IFERROR(IF($E45&lt;44348,"",IF(INDEX(Raw_매출!$B$2:$BI$155,MATCH($A45,Raw_매출!$A$2:$A$155,0),MATCH(EDATE($E45,AM$1-1),Raw_매출!$B$1:$BI$1,0))=0,"",INDEX(Raw_매출!$B$2:$BI$155,MATCH($A45,Raw_매출!$A$2:$A$155,0),MATCH(EDATE($E45,AM$1-1),Raw_매출!$B$1:$BI$1,0))/(INDEX(요약_월별시즈널리티!$F$7:$F$18,MONTH(EDATE($E45,AM$1-1)))/100))),"")</f>
        <v>6093426.1731319968</v>
      </c>
      <c r="AN45" cm="1">
        <f t="array" ref="AN45">IFERROR(IF($E45&lt;44348,"",IF(INDEX(Raw_매출!$B$2:$BI$155,MATCH($A45,Raw_매출!$A$2:$A$155,0),MATCH(EDATE($E45,AN$1-1),Raw_매출!$B$1:$BI$1,0))=0,"",INDEX(Raw_매출!$B$2:$BI$155,MATCH($A45,Raw_매출!$A$2:$A$155,0),MATCH(EDATE($E45,AN$1-1),Raw_매출!$B$1:$BI$1,0))/(INDEX(요약_월별시즈널리티!$F$7:$F$18,MONTH(EDATE($E45,AN$1-1)))/100))),"")</f>
        <v>5787857.3218528815</v>
      </c>
      <c r="AO45" cm="1">
        <f t="array" ref="AO45">IFERROR(IF($E45&lt;44348,"",IF(INDEX(Raw_매출!$B$2:$BI$155,MATCH($A45,Raw_매출!$A$2:$A$155,0),MATCH(EDATE($E45,AO$1-1),Raw_매출!$B$1:$BI$1,0))=0,"",INDEX(Raw_매출!$B$2:$BI$155,MATCH($A45,Raw_매출!$A$2:$A$155,0),MATCH(EDATE($E45,AO$1-1),Raw_매출!$B$1:$BI$1,0))/(INDEX(요약_월별시즈널리티!$F$7:$F$18,MONTH(EDATE($E45,AO$1-1)))/100))),"")</f>
        <v>5160389.7470337637</v>
      </c>
      <c r="AP45" cm="1">
        <f t="array" ref="AP45">IFERROR(IF($E45&lt;44348,"",IF(INDEX(Raw_매출!$B$2:$BI$155,MATCH($A45,Raw_매출!$A$2:$A$155,0),MATCH(EDATE($E45,AP$1-1),Raw_매출!$B$1:$BI$1,0))=0,"",INDEX(Raw_매출!$B$2:$BI$155,MATCH($A45,Raw_매출!$A$2:$A$155,0),MATCH(EDATE($E45,AP$1-1),Raw_매출!$B$1:$BI$1,0))/(INDEX(요약_월별시즈널리티!$F$7:$F$18,MONTH(EDATE($E45,AP$1-1)))/100))),"")</f>
        <v>5755417.5714413943</v>
      </c>
      <c r="AQ45" cm="1">
        <f t="array" ref="AQ45">IFERROR(IF($E45&lt;44348,"",IF(INDEX(Raw_매출!$B$2:$BI$155,MATCH($A45,Raw_매출!$A$2:$A$155,0),MATCH(EDATE($E45,AQ$1-1),Raw_매출!$B$1:$BI$1,0))=0,"",INDEX(Raw_매출!$B$2:$BI$155,MATCH($A45,Raw_매출!$A$2:$A$155,0),MATCH(EDATE($E45,AQ$1-1),Raw_매출!$B$1:$BI$1,0))/(INDEX(요약_월별시즈널리티!$F$7:$F$18,MONTH(EDATE($E45,AQ$1-1)))/100))),"")</f>
        <v>5598932.4412274146</v>
      </c>
      <c r="AR45" cm="1">
        <f t="array" ref="AR45">IFERROR(IF($E45&lt;44348,"",IF(INDEX(Raw_매출!$B$2:$BI$155,MATCH($A45,Raw_매출!$A$2:$A$155,0),MATCH(EDATE($E45,AR$1-1),Raw_매출!$B$1:$BI$1,0))=0,"",INDEX(Raw_매출!$B$2:$BI$155,MATCH($A45,Raw_매출!$A$2:$A$155,0),MATCH(EDATE($E45,AR$1-1),Raw_매출!$B$1:$BI$1,0))/(INDEX(요약_월별시즈널리티!$F$7:$F$18,MONTH(EDATE($E45,AR$1-1)))/100))),"")</f>
        <v>6084511.4042452155</v>
      </c>
      <c r="AS45" cm="1">
        <f t="array" ref="AS45">IFERROR(IF($E45&lt;44348,"",IF(INDEX(Raw_매출!$B$2:$BI$155,MATCH($A45,Raw_매출!$A$2:$A$155,0),MATCH(EDATE($E45,AS$1-1),Raw_매출!$B$1:$BI$1,0))=0,"",INDEX(Raw_매출!$B$2:$BI$155,MATCH($A45,Raw_매출!$A$2:$A$155,0),MATCH(EDATE($E45,AS$1-1),Raw_매출!$B$1:$BI$1,0))/(INDEX(요약_월별시즈널리티!$F$7:$F$18,MONTH(EDATE($E45,AS$1-1)))/100))),"")</f>
        <v>6124648.4544171896</v>
      </c>
      <c r="AT45" cm="1">
        <f t="array" ref="AT45">IFERROR(IF($E45&lt;44348,"",IF(INDEX(Raw_매출!$B$2:$BI$155,MATCH($A45,Raw_매출!$A$2:$A$155,0),MATCH(EDATE($E45,AT$1-1),Raw_매출!$B$1:$BI$1,0))=0,"",INDEX(Raw_매출!$B$2:$BI$155,MATCH($A45,Raw_매출!$A$2:$A$155,0),MATCH(EDATE($E45,AT$1-1),Raw_매출!$B$1:$BI$1,0))/(INDEX(요약_월별시즈널리티!$F$7:$F$18,MONTH(EDATE($E45,AT$1-1)))/100))),"")</f>
        <v>6408065.6926242439</v>
      </c>
      <c r="AU45" cm="1">
        <f t="array" ref="AU45">IFERROR(IF($E45&lt;44348,"",IF(INDEX(Raw_매출!$B$2:$BI$155,MATCH($A45,Raw_매출!$A$2:$A$155,0),MATCH(EDATE($E45,AU$1-1),Raw_매출!$B$1:$BI$1,0))=0,"",INDEX(Raw_매출!$B$2:$BI$155,MATCH($A45,Raw_매출!$A$2:$A$155,0),MATCH(EDATE($E45,AU$1-1),Raw_매출!$B$1:$BI$1,0))/(INDEX(요약_월별시즈널리티!$F$7:$F$18,MONTH(EDATE($E45,AU$1-1)))/100))),"")</f>
        <v>6293829.3839561436</v>
      </c>
      <c r="AV45" cm="1">
        <f t="array" ref="AV45">IFERROR(IF($E45&lt;44348,"",IF(INDEX(Raw_매출!$B$2:$BI$155,MATCH($A45,Raw_매출!$A$2:$A$155,0),MATCH(EDATE($E45,AV$1-1),Raw_매출!$B$1:$BI$1,0))=0,"",INDEX(Raw_매출!$B$2:$BI$155,MATCH($A45,Raw_매출!$A$2:$A$155,0),MATCH(EDATE($E45,AV$1-1),Raw_매출!$B$1:$BI$1,0))/(INDEX(요약_월별시즈널리티!$F$7:$F$18,MONTH(EDATE($E45,AV$1-1)))/100))),"")</f>
        <v>6010527.2610378377</v>
      </c>
      <c r="AW45" cm="1">
        <f t="array" ref="AW45">IFERROR(IF($E45&lt;44348,"",IF(INDEX(Raw_매출!$B$2:$BI$155,MATCH($A45,Raw_매출!$A$2:$A$155,0),MATCH(EDATE($E45,AW$1-1),Raw_매출!$B$1:$BI$1,0))=0,"",INDEX(Raw_매출!$B$2:$BI$155,MATCH($A45,Raw_매출!$A$2:$A$155,0),MATCH(EDATE($E45,AW$1-1),Raw_매출!$B$1:$BI$1,0))/(INDEX(요약_월별시즈널리티!$F$7:$F$18,MONTH(EDATE($E45,AW$1-1)))/100))),"")</f>
        <v>6237534.1589002404</v>
      </c>
      <c r="AX45" cm="1">
        <f t="array" ref="AX45">IFERROR(IF($E45&lt;44348,"",IF(INDEX(Raw_매출!$B$2:$BI$155,MATCH($A45,Raw_매출!$A$2:$A$155,0),MATCH(EDATE($E45,AX$1-1),Raw_매출!$B$1:$BI$1,0))=0,"",INDEX(Raw_매출!$B$2:$BI$155,MATCH($A45,Raw_매출!$A$2:$A$155,0),MATCH(EDATE($E45,AX$1-1),Raw_매출!$B$1:$BI$1,0))/(INDEX(요약_월별시즈널리티!$F$7:$F$18,MONTH(EDATE($E45,AX$1-1)))/100))),"")</f>
        <v>6244071.777490369</v>
      </c>
      <c r="AY45" cm="1">
        <f t="array" ref="AY45">IFERROR(IF($E45&lt;44348,"",IF(INDEX(Raw_매출!$B$2:$BI$155,MATCH($A45,Raw_매출!$A$2:$A$155,0),MATCH(EDATE($E45,AY$1-1),Raw_매출!$B$1:$BI$1,0))=0,"",INDEX(Raw_매출!$B$2:$BI$155,MATCH($A45,Raw_매출!$A$2:$A$155,0),MATCH(EDATE($E45,AY$1-1),Raw_매출!$B$1:$BI$1,0))/(INDEX(요약_월별시즈널리티!$F$7:$F$18,MONTH(EDATE($E45,AY$1-1)))/100))),"")</f>
        <v>6290378.0780340265</v>
      </c>
      <c r="AZ45" cm="1">
        <f t="array" ref="AZ45">IFERROR(IF($E45&lt;44348,"",IF(INDEX(Raw_매출!$B$2:$BI$155,MATCH($A45,Raw_매출!$A$2:$A$155,0),MATCH(EDATE($E45,AZ$1-1),Raw_매출!$B$1:$BI$1,0))=0,"",INDEX(Raw_매출!$B$2:$BI$155,MATCH($A45,Raw_매출!$A$2:$A$155,0),MATCH(EDATE($E45,AZ$1-1),Raw_매출!$B$1:$BI$1,0))/(INDEX(요약_월별시즈널리티!$F$7:$F$18,MONTH(EDATE($E45,AZ$1-1)))/100))),"")</f>
        <v>5091417.9868857265</v>
      </c>
      <c r="BA45" cm="1">
        <f t="array" ref="BA45">IFERROR(IF($E45&lt;44348,"",IF(INDEX(Raw_매출!$B$2:$BI$155,MATCH($A45,Raw_매출!$A$2:$A$155,0),MATCH(EDATE($E45,BA$1-1),Raw_매출!$B$1:$BI$1,0))=0,"",INDEX(Raw_매출!$B$2:$BI$155,MATCH($A45,Raw_매출!$A$2:$A$155,0),MATCH(EDATE($E45,BA$1-1),Raw_매출!$B$1:$BI$1,0))/(INDEX(요약_월별시즈널리티!$F$7:$F$18,MONTH(EDATE($E45,BA$1-1)))/100))),"")</f>
        <v>5179776.471921742</v>
      </c>
      <c r="BB45" cm="1">
        <f t="array" ref="BB45">IFERROR(IF($E45&lt;44348,"",IF(INDEX(Raw_매출!$B$2:$BI$155,MATCH($A45,Raw_매출!$A$2:$A$155,0),MATCH(EDATE($E45,BB$1-1),Raw_매출!$B$1:$BI$1,0))=0,"",INDEX(Raw_매출!$B$2:$BI$155,MATCH($A45,Raw_매출!$A$2:$A$155,0),MATCH(EDATE($E45,BB$1-1),Raw_매출!$B$1:$BI$1,0))/(INDEX(요약_월별시즈널리티!$F$7:$F$18,MONTH(EDATE($E45,BB$1-1)))/100))),"")</f>
        <v>5173960.0989945475</v>
      </c>
      <c r="BC45" cm="1">
        <f t="array" ref="BC45">IFERROR(IF($E45&lt;44348,"",IF(INDEX(Raw_매출!$B$2:$BI$155,MATCH($A45,Raw_매출!$A$2:$A$155,0),MATCH(EDATE($E45,BC$1-1),Raw_매출!$B$1:$BI$1,0))=0,"",INDEX(Raw_매출!$B$2:$BI$155,MATCH($A45,Raw_매출!$A$2:$A$155,0),MATCH(EDATE($E45,BC$1-1),Raw_매출!$B$1:$BI$1,0))/(INDEX(요약_월별시즈널리티!$F$7:$F$18,MONTH(EDATE($E45,BC$1-1)))/100))),"")</f>
        <v>5424542.8268982349</v>
      </c>
      <c r="BD45" cm="1">
        <f t="array" ref="BD45">IFERROR(IF($E45&lt;44348,"",IF(INDEX(Raw_매출!$B$2:$BI$155,MATCH($A45,Raw_매출!$A$2:$A$155,0),MATCH(EDATE($E45,BD$1-1),Raw_매출!$B$1:$BI$1,0))=0,"",INDEX(Raw_매출!$B$2:$BI$155,MATCH($A45,Raw_매출!$A$2:$A$155,0),MATCH(EDATE($E45,BD$1-1),Raw_매출!$B$1:$BI$1,0))/(INDEX(요약_월별시즈널리티!$F$7:$F$18,MONTH(EDATE($E45,BD$1-1)))/100))),"")</f>
        <v>6122476.7780444873</v>
      </c>
      <c r="BE45" cm="1">
        <f t="array" ref="BE45">IFERROR(IF($E45&lt;44348,"",IF(INDEX(Raw_매출!$B$2:$BI$155,MATCH($A45,Raw_매출!$A$2:$A$155,0),MATCH(EDATE($E45,BE$1-1),Raw_매출!$B$1:$BI$1,0))=0,"",INDEX(Raw_매출!$B$2:$BI$155,MATCH($A45,Raw_매출!$A$2:$A$155,0),MATCH(EDATE($E45,BE$1-1),Raw_매출!$B$1:$BI$1,0))/(INDEX(요약_월별시즈널리티!$F$7:$F$18,MONTH(EDATE($E45,BE$1-1)))/100))),"")</f>
        <v>5036115.7653159946</v>
      </c>
      <c r="BF45" cm="1">
        <f t="array" ref="BF45">IFERROR(IF($E45&lt;44348,"",IF(INDEX(Raw_매출!$B$2:$BI$155,MATCH($A45,Raw_매출!$A$2:$A$155,0),MATCH(EDATE($E45,BF$1-1),Raw_매출!$B$1:$BI$1,0))=0,"",INDEX(Raw_매출!$B$2:$BI$155,MATCH($A45,Raw_매출!$A$2:$A$155,0),MATCH(EDATE($E45,BF$1-1),Raw_매출!$B$1:$BI$1,0))/(INDEX(요약_월별시즈널리티!$F$7:$F$18,MONTH(EDATE($E45,BF$1-1)))/100))),"")</f>
        <v>4111098.279733344</v>
      </c>
      <c r="BG45" cm="1">
        <f t="array" ref="BG45">IFERROR(IF($E45&lt;44348,"",IF(INDEX(Raw_매출!$B$2:$BI$155,MATCH($A45,Raw_매출!$A$2:$A$155,0),MATCH(EDATE($E45,BG$1-1),Raw_매출!$B$1:$BI$1,0))=0,"",INDEX(Raw_매출!$B$2:$BI$155,MATCH($A45,Raw_매출!$A$2:$A$155,0),MATCH(EDATE($E45,BG$1-1),Raw_매출!$B$1:$BI$1,0))/(INDEX(요약_월별시즈널리티!$F$7:$F$18,MONTH(EDATE($E45,BG$1-1)))/100))),"")</f>
        <v>4328262.8839237913</v>
      </c>
      <c r="BH45" cm="1">
        <f t="array" ref="BH45">IFERROR(IF($E45&lt;44348,"",IF(INDEX(Raw_매출!$B$2:$BI$155,MATCH($A45,Raw_매출!$A$2:$A$155,0),MATCH(EDATE($E45,BH$1-1),Raw_매출!$B$1:$BI$1,0))=0,"",INDEX(Raw_매출!$B$2:$BI$155,MATCH($A45,Raw_매출!$A$2:$A$155,0),MATCH(EDATE($E45,BH$1-1),Raw_매출!$B$1:$BI$1,0))/(INDEX(요약_월별시즈널리티!$F$7:$F$18,MONTH(EDATE($E45,BH$1-1)))/100))),"")</f>
        <v>3741409.9350454947</v>
      </c>
      <c r="BI45" t="str" cm="1">
        <f t="array" ref="BI45">IFERROR(IF($E45&lt;44348,"",IF(INDEX(Raw_매출!$B$2:$BI$155,MATCH($A45,Raw_매출!$A$2:$A$155,0),MATCH(EDATE($E45,BI$1-1),Raw_매출!$B$1:$BI$1,0))=0,"",INDEX(Raw_매출!$B$2:$BI$155,MATCH($A45,Raw_매출!$A$2:$A$155,0),MATCH(EDATE($E45,BI$1-1),Raw_매출!$B$1:$BI$1,0))/(INDEX(요약_월별시즈널리티!$F$7:$F$18,MONTH(EDATE($E45,BI$1-1)))/100))),"")</f>
        <v/>
      </c>
      <c r="BJ45" t="str" cm="1">
        <f t="array" ref="BJ45">IFERROR(IF($E45&lt;44348,"",IF(INDEX(Raw_매출!$B$2:$BI$155,MATCH($A45,Raw_매출!$A$2:$A$155,0),MATCH(EDATE($E45,BJ$1-1),Raw_매출!$B$1:$BI$1,0))=0,"",INDEX(Raw_매출!$B$2:$BI$155,MATCH($A45,Raw_매출!$A$2:$A$155,0),MATCH(EDATE($E45,BJ$1-1),Raw_매출!$B$1:$BI$1,0))/(INDEX(요약_월별시즈널리티!$F$7:$F$18,MONTH(EDATE($E45,BJ$1-1)))/100))),"")</f>
        <v/>
      </c>
      <c r="BK45" t="str" cm="1">
        <f t="array" ref="BK45">IFERROR(IF($E45&lt;44348,"",IF(INDEX(Raw_매출!$B$2:$BI$155,MATCH($A45,Raw_매출!$A$2:$A$155,0),MATCH(EDATE($E45,BK$1-1),Raw_매출!$B$1:$BI$1,0))=0,"",INDEX(Raw_매출!$B$2:$BI$155,MATCH($A45,Raw_매출!$A$2:$A$155,0),MATCH(EDATE($E45,BK$1-1),Raw_매출!$B$1:$BI$1,0))/(INDEX(요약_월별시즈널리티!$F$7:$F$18,MONTH(EDATE($E45,BK$1-1)))/100))),"")</f>
        <v/>
      </c>
      <c r="BL45" t="str" cm="1">
        <f t="array" ref="BL45">IFERROR(IF($E45&lt;44348,"",IF(INDEX(Raw_매출!$B$2:$BI$155,MATCH($A45,Raw_매출!$A$2:$A$155,0),MATCH(EDATE($E45,BL$1-1),Raw_매출!$B$1:$BI$1,0))=0,"",INDEX(Raw_매출!$B$2:$BI$155,MATCH($A45,Raw_매출!$A$2:$A$155,0),MATCH(EDATE($E45,BL$1-1),Raw_매출!$B$1:$BI$1,0))/(INDEX(요약_월별시즈널리티!$F$7:$F$18,MONTH(EDATE($E45,BL$1-1)))/100))),"")</f>
        <v/>
      </c>
      <c r="BM45" t="str" cm="1">
        <f t="array" ref="BM45">IFERROR(IF($E45&lt;44348,"",IF(INDEX(Raw_매출!$B$2:$BI$155,MATCH($A45,Raw_매출!$A$2:$A$155,0),MATCH(EDATE($E45,BM$1-1),Raw_매출!$B$1:$BI$1,0))=0,"",INDEX(Raw_매출!$B$2:$BI$155,MATCH($A45,Raw_매출!$A$2:$A$155,0),MATCH(EDATE($E45,BM$1-1),Raw_매출!$B$1:$BI$1,0))/(INDEX(요약_월별시즈널리티!$F$7:$F$18,MONTH(EDATE($E45,BM$1-1)))/100))),"")</f>
        <v/>
      </c>
      <c r="BN45" t="str" cm="1">
        <f t="array" ref="BN45">IFERROR(IF($E45&lt;44348,"",IF(INDEX(Raw_매출!$B$2:$BI$155,MATCH($A45,Raw_매출!$A$2:$A$155,0),MATCH(EDATE($E45,BN$1-1),Raw_매출!$B$1:$BI$1,0))=0,"",INDEX(Raw_매출!$B$2:$BI$155,MATCH($A45,Raw_매출!$A$2:$A$155,0),MATCH(EDATE($E45,BN$1-1),Raw_매출!$B$1:$BI$1,0))/(INDEX(요약_월별시즈널리티!$F$7:$F$18,MONTH(EDATE($E45,BN$1-1)))/100))),"")</f>
        <v/>
      </c>
    </row>
    <row r="46" spans="1:66" x14ac:dyDescent="0.4">
      <c r="A46" t="str">
        <f>세팅!A47</f>
        <v>(1035) #신촌대현점</v>
      </c>
      <c r="B46" t="str">
        <f>세팅!B47</f>
        <v>150-1</v>
      </c>
      <c r="C46">
        <f t="shared" si="0"/>
        <v>1</v>
      </c>
      <c r="D46" t="str">
        <f t="shared" si="1"/>
        <v>1</v>
      </c>
      <c r="E46" s="1">
        <f>세팅!D47</f>
        <v>44501</v>
      </c>
      <c r="F46">
        <f t="shared" si="2"/>
        <v>2739357.1904826411</v>
      </c>
      <c r="G46" cm="1">
        <f t="array" ref="G46">IFERROR(IF($E46&lt;44348,"",IF(INDEX(Raw_매출!$B$2:$BI$155,MATCH($A46,Raw_매출!$A$2:$A$155,0),MATCH(EDATE($E46,G$1-1),Raw_매출!$B$1:$BI$1,0))=0,"",INDEX(Raw_매출!$B$2:$BI$155,MATCH($A46,Raw_매출!$A$2:$A$155,0),MATCH(EDATE($E46,G$1-1),Raw_매출!$B$1:$BI$1,0))/(INDEX(요약_월별시즈널리티!$F$7:$F$18,MONTH(EDATE($E46,G$1-1)))/100))),"")</f>
        <v>1934195.8976578191</v>
      </c>
      <c r="H46" cm="1">
        <f t="array" ref="H46">IFERROR(IF($E46&lt;44348,"",IF(INDEX(Raw_매출!$B$2:$BI$155,MATCH($A46,Raw_매출!$A$2:$A$155,0),MATCH(EDATE($E46,H$1-1),Raw_매출!$B$1:$BI$1,0))=0,"",INDEX(Raw_매출!$B$2:$BI$155,MATCH($A46,Raw_매출!$A$2:$A$155,0),MATCH(EDATE($E46,H$1-1),Raw_매출!$B$1:$BI$1,0))/(INDEX(요약_월별시즈널리티!$F$7:$F$18,MONTH(EDATE($E46,H$1-1)))/100))),"")</f>
        <v>2346324.1950116269</v>
      </c>
      <c r="I46" cm="1">
        <f t="array" ref="I46">IFERROR(IF($E46&lt;44348,"",IF(INDEX(Raw_매출!$B$2:$BI$155,MATCH($A46,Raw_매출!$A$2:$A$155,0),MATCH(EDATE($E46,I$1-1),Raw_매출!$B$1:$BI$1,0))=0,"",INDEX(Raw_매출!$B$2:$BI$155,MATCH($A46,Raw_매출!$A$2:$A$155,0),MATCH(EDATE($E46,I$1-1),Raw_매출!$B$1:$BI$1,0))/(INDEX(요약_월별시즈널리티!$F$7:$F$18,MONTH(EDATE($E46,I$1-1)))/100))),"")</f>
        <v>2834220.6134872772</v>
      </c>
      <c r="J46" s="30" cm="1">
        <f t="array" ref="J46">IFERROR(IF($E46&lt;44348,"",IF(INDEX(Raw_매출!$B$2:$BI$155,MATCH($A46,Raw_매출!$A$2:$A$155,0),MATCH(EDATE($E46,J$1-1),Raw_매출!$B$1:$BI$1,0))=0,"",INDEX(Raw_매출!$B$2:$BI$155,MATCH($A46,Raw_매출!$A$2:$A$155,0),MATCH(EDATE($E46,J$1-1),Raw_매출!$B$1:$BI$1,0))/(INDEX(요약_월별시즈널리티!$F$7:$F$18,MONTH(EDATE($E46,J$1-1)))/100))),"")</f>
        <v>3073992.5857887692</v>
      </c>
      <c r="K46" s="30" cm="1">
        <f t="array" ref="K46">IFERROR(IF($E46&lt;44348,"",IF(INDEX(Raw_매출!$B$2:$BI$155,MATCH($A46,Raw_매출!$A$2:$A$155,0),MATCH(EDATE($E46,K$1-1),Raw_매출!$B$1:$BI$1,0))=0,"",INDEX(Raw_매출!$B$2:$BI$155,MATCH($A46,Raw_매출!$A$2:$A$155,0),MATCH(EDATE($E46,K$1-1),Raw_매출!$B$1:$BI$1,0))/(INDEX(요약_월별시즈널리티!$F$7:$F$18,MONTH(EDATE($E46,K$1-1)))/100))),"")</f>
        <v>2973605.4388657054</v>
      </c>
      <c r="L46" s="30" cm="1">
        <f t="array" ref="L46">IFERROR(IF($E46&lt;44348,"",IF(INDEX(Raw_매출!$B$2:$BI$155,MATCH($A46,Raw_매출!$A$2:$A$155,0),MATCH(EDATE($E46,L$1-1),Raw_매출!$B$1:$BI$1,0))=0,"",INDEX(Raw_매출!$B$2:$BI$155,MATCH($A46,Raw_매출!$A$2:$A$155,0),MATCH(EDATE($E46,L$1-1),Raw_매출!$B$1:$BI$1,0))/(INDEX(요약_월별시즈널리티!$F$7:$F$18,MONTH(EDATE($E46,L$1-1)))/100))),"")</f>
        <v>2748188.9517895151</v>
      </c>
      <c r="M46" s="30" cm="1">
        <f t="array" ref="M46">IFERROR(IF($E46&lt;44348,"",IF(INDEX(Raw_매출!$B$2:$BI$155,MATCH($A46,Raw_매출!$A$2:$A$155,0),MATCH(EDATE($E46,M$1-1),Raw_매출!$B$1:$BI$1,0))=0,"",INDEX(Raw_매출!$B$2:$BI$155,MATCH($A46,Raw_매출!$A$2:$A$155,0),MATCH(EDATE($E46,M$1-1),Raw_매출!$B$1:$BI$1,0))/(INDEX(요약_월별시즈널리티!$F$7:$F$18,MONTH(EDATE($E46,M$1-1)))/100))),"")</f>
        <v>2656430.3799625947</v>
      </c>
      <c r="N46" s="30" cm="1">
        <f t="array" ref="N46">IFERROR(IF($E46&lt;44348,"",IF(INDEX(Raw_매출!$B$2:$BI$155,MATCH($A46,Raw_매출!$A$2:$A$155,0),MATCH(EDATE($E46,N$1-1),Raw_매출!$B$1:$BI$1,0))=0,"",INDEX(Raw_매출!$B$2:$BI$155,MATCH($A46,Raw_매출!$A$2:$A$155,0),MATCH(EDATE($E46,N$1-1),Raw_매출!$B$1:$BI$1,0))/(INDEX(요약_월별시즈널리티!$F$7:$F$18,MONTH(EDATE($E46,N$1-1)))/100))),"")</f>
        <v>2311355.9569665226</v>
      </c>
      <c r="O46" s="30" cm="1">
        <f t="array" ref="O46">IFERROR(IF($E46&lt;44348,"",IF(INDEX(Raw_매출!$B$2:$BI$155,MATCH($A46,Raw_매출!$A$2:$A$155,0),MATCH(EDATE($E46,O$1-1),Raw_매출!$B$1:$BI$1,0))=0,"",INDEX(Raw_매출!$B$2:$BI$155,MATCH($A46,Raw_매출!$A$2:$A$155,0),MATCH(EDATE($E46,O$1-1),Raw_매출!$B$1:$BI$1,0))/(INDEX(요약_월별시즈널리티!$F$7:$F$18,MONTH(EDATE($E46,O$1-1)))/100))),"")</f>
        <v>2672569.8295227406</v>
      </c>
      <c r="P46" cm="1">
        <f t="array" ref="P46">IFERROR(IF($E46&lt;44348,"",IF(INDEX(Raw_매출!$B$2:$BI$155,MATCH($A46,Raw_매출!$A$2:$A$155,0),MATCH(EDATE($E46,P$1-1),Raw_매출!$B$1:$BI$1,0))=0,"",INDEX(Raw_매출!$B$2:$BI$155,MATCH($A46,Raw_매출!$A$2:$A$155,0),MATCH(EDATE($E46,P$1-1),Raw_매출!$B$1:$BI$1,0))/(INDEX(요약_월별시즈널리티!$F$7:$F$18,MONTH(EDATE($E46,P$1-1)))/100))),"")</f>
        <v>3586645.2977481862</v>
      </c>
      <c r="Q46" cm="1">
        <f t="array" ref="Q46">IFERROR(IF($E46&lt;44348,"",IF(INDEX(Raw_매출!$B$2:$BI$155,MATCH($A46,Raw_매출!$A$2:$A$155,0),MATCH(EDATE($E46,Q$1-1),Raw_매출!$B$1:$BI$1,0))=0,"",INDEX(Raw_매출!$B$2:$BI$155,MATCH($A46,Raw_매출!$A$2:$A$155,0),MATCH(EDATE($E46,Q$1-1),Raw_매출!$B$1:$BI$1,0))/(INDEX(요약_월별시즈널리티!$F$7:$F$18,MONTH(EDATE($E46,Q$1-1)))/100))),"")</f>
        <v>2950853.3130079741</v>
      </c>
      <c r="R46" cm="1">
        <f t="array" ref="R46">IFERROR(IF($E46&lt;44348,"",IF(INDEX(Raw_매출!$B$2:$BI$155,MATCH($A46,Raw_매출!$A$2:$A$155,0),MATCH(EDATE($E46,R$1-1),Raw_매출!$B$1:$BI$1,0))=0,"",INDEX(Raw_매출!$B$2:$BI$155,MATCH($A46,Raw_매출!$A$2:$A$155,0),MATCH(EDATE($E46,R$1-1),Raw_매출!$B$1:$BI$1,0))/(INDEX(요약_월별시즈널리티!$F$7:$F$18,MONTH(EDATE($E46,R$1-1)))/100))),"")</f>
        <v>2579273.5499110944</v>
      </c>
      <c r="S46" cm="1">
        <f t="array" ref="S46">IFERROR(IF($E46&lt;44348,"",IF(INDEX(Raw_매출!$B$2:$BI$155,MATCH($A46,Raw_매출!$A$2:$A$155,0),MATCH(EDATE($E46,S$1-1),Raw_매출!$B$1:$BI$1,0))=0,"",INDEX(Raw_매출!$B$2:$BI$155,MATCH($A46,Raw_매출!$A$2:$A$155,0),MATCH(EDATE($E46,S$1-1),Raw_매출!$B$1:$BI$1,0))/(INDEX(요약_월별시즈널리티!$F$7:$F$18,MONTH(EDATE($E46,S$1-1)))/100))),"")</f>
        <v>2899747.4425839265</v>
      </c>
      <c r="T46" cm="1">
        <f t="array" ref="T46">IFERROR(IF($E46&lt;44348,"",IF(INDEX(Raw_매출!$B$2:$BI$155,MATCH($A46,Raw_매출!$A$2:$A$155,0),MATCH(EDATE($E46,T$1-1),Raw_매출!$B$1:$BI$1,0))=0,"",INDEX(Raw_매출!$B$2:$BI$155,MATCH($A46,Raw_매출!$A$2:$A$155,0),MATCH(EDATE($E46,T$1-1),Raw_매출!$B$1:$BI$1,0))/(INDEX(요약_월별시즈널리티!$F$7:$F$18,MONTH(EDATE($E46,T$1-1)))/100))),"")</f>
        <v>2380195.6517348303</v>
      </c>
      <c r="U46" cm="1">
        <f t="array" ref="U46">IFERROR(IF($E46&lt;44348,"",IF(INDEX(Raw_매출!$B$2:$BI$155,MATCH($A46,Raw_매출!$A$2:$A$155,0),MATCH(EDATE($E46,U$1-1),Raw_매출!$B$1:$BI$1,0))=0,"",INDEX(Raw_매출!$B$2:$BI$155,MATCH($A46,Raw_매출!$A$2:$A$155,0),MATCH(EDATE($E46,U$1-1),Raw_매출!$B$1:$BI$1,0))/(INDEX(요약_월별시즈널리티!$F$7:$F$18,MONTH(EDATE($E46,U$1-1)))/100))),"")</f>
        <v>3457639.2949423273</v>
      </c>
      <c r="V46" cm="1">
        <f t="array" ref="V46">IFERROR(IF($E46&lt;44348,"",IF(INDEX(Raw_매출!$B$2:$BI$155,MATCH($A46,Raw_매출!$A$2:$A$155,0),MATCH(EDATE($E46,V$1-1),Raw_매출!$B$1:$BI$1,0))=0,"",INDEX(Raw_매출!$B$2:$BI$155,MATCH($A46,Raw_매출!$A$2:$A$155,0),MATCH(EDATE($E46,V$1-1),Raw_매출!$B$1:$BI$1,0))/(INDEX(요약_월별시즈널리티!$F$7:$F$18,MONTH(EDATE($E46,V$1-1)))/100))),"")</f>
        <v>3388984.8789292239</v>
      </c>
      <c r="W46" cm="1">
        <f t="array" ref="W46">IFERROR(IF($E46&lt;44348,"",IF(INDEX(Raw_매출!$B$2:$BI$155,MATCH($A46,Raw_매출!$A$2:$A$155,0),MATCH(EDATE($E46,W$1-1),Raw_매출!$B$1:$BI$1,0))=0,"",INDEX(Raw_매출!$B$2:$BI$155,MATCH($A46,Raw_매출!$A$2:$A$155,0),MATCH(EDATE($E46,W$1-1),Raw_매출!$B$1:$BI$1,0))/(INDEX(요약_월별시즈널리티!$F$7:$F$18,MONTH(EDATE($E46,W$1-1)))/100))),"")</f>
        <v>3331220.2130501084</v>
      </c>
      <c r="X46" cm="1">
        <f t="array" ref="X46">IFERROR(IF($E46&lt;44348,"",IF(INDEX(Raw_매출!$B$2:$BI$155,MATCH($A46,Raw_매출!$A$2:$A$155,0),MATCH(EDATE($E46,X$1-1),Raw_매출!$B$1:$BI$1,0))=0,"",INDEX(Raw_매출!$B$2:$BI$155,MATCH($A46,Raw_매출!$A$2:$A$155,0),MATCH(EDATE($E46,X$1-1),Raw_매출!$B$1:$BI$1,0))/(INDEX(요약_월별시즈널리티!$F$7:$F$18,MONTH(EDATE($E46,X$1-1)))/100))),"")</f>
        <v>3542490.1703214399</v>
      </c>
      <c r="Y46" cm="1">
        <f t="array" ref="Y46">IFERROR(IF($E46&lt;44348,"",IF(INDEX(Raw_매출!$B$2:$BI$155,MATCH($A46,Raw_매출!$A$2:$A$155,0),MATCH(EDATE($E46,Y$1-1),Raw_매출!$B$1:$BI$1,0))=0,"",INDEX(Raw_매출!$B$2:$BI$155,MATCH($A46,Raw_매출!$A$2:$A$155,0),MATCH(EDATE($E46,Y$1-1),Raw_매출!$B$1:$BI$1,0))/(INDEX(요약_월별시즈널리티!$F$7:$F$18,MONTH(EDATE($E46,Y$1-1)))/100))),"")</f>
        <v>3584140.5251621073</v>
      </c>
      <c r="Z46" cm="1">
        <f t="array" ref="Z46">IFERROR(IF($E46&lt;44348,"",IF(INDEX(Raw_매출!$B$2:$BI$155,MATCH($A46,Raw_매출!$A$2:$A$155,0),MATCH(EDATE($E46,Z$1-1),Raw_매출!$B$1:$BI$1,0))=0,"",INDEX(Raw_매출!$B$2:$BI$155,MATCH($A46,Raw_매출!$A$2:$A$155,0),MATCH(EDATE($E46,Z$1-1),Raw_매출!$B$1:$BI$1,0))/(INDEX(요약_월별시즈널리티!$F$7:$F$18,MONTH(EDATE($E46,Z$1-1)))/100))),"")</f>
        <v>3332208.4052878036</v>
      </c>
      <c r="AA46" cm="1">
        <f t="array" ref="AA46">IFERROR(IF($E46&lt;44348,"",IF(INDEX(Raw_매출!$B$2:$BI$155,MATCH($A46,Raw_매출!$A$2:$A$155,0),MATCH(EDATE($E46,AA$1-1),Raw_매출!$B$1:$BI$1,0))=0,"",INDEX(Raw_매출!$B$2:$BI$155,MATCH($A46,Raw_매출!$A$2:$A$155,0),MATCH(EDATE($E46,AA$1-1),Raw_매출!$B$1:$BI$1,0))/(INDEX(요약_월별시즈널리티!$F$7:$F$18,MONTH(EDATE($E46,AA$1-1)))/100))),"")</f>
        <v>1433434.6206936892</v>
      </c>
      <c r="AB46" cm="1">
        <f t="array" ref="AB46">IFERROR(IF($E46&lt;44348,"",IF(INDEX(Raw_매출!$B$2:$BI$155,MATCH($A46,Raw_매출!$A$2:$A$155,0),MATCH(EDATE($E46,AB$1-1),Raw_매출!$B$1:$BI$1,0))=0,"",INDEX(Raw_매출!$B$2:$BI$155,MATCH($A46,Raw_매출!$A$2:$A$155,0),MATCH(EDATE($E46,AB$1-1),Raw_매출!$B$1:$BI$1,0))/(INDEX(요약_월별시즈널리티!$F$7:$F$18,MONTH(EDATE($E46,AB$1-1)))/100))),"")</f>
        <v>1912603.1039675109</v>
      </c>
      <c r="AC46" cm="1">
        <f t="array" ref="AC46">IFERROR(IF($E46&lt;44348,"",IF(INDEX(Raw_매출!$B$2:$BI$155,MATCH($A46,Raw_매출!$A$2:$A$155,0),MATCH(EDATE($E46,AC$1-1),Raw_매출!$B$1:$BI$1,0))=0,"",INDEX(Raw_매출!$B$2:$BI$155,MATCH($A46,Raw_매출!$A$2:$A$155,0),MATCH(EDATE($E46,AC$1-1),Raw_매출!$B$1:$BI$1,0))/(INDEX(요약_월별시즈널리티!$F$7:$F$18,MONTH(EDATE($E46,AC$1-1)))/100))),"")</f>
        <v>2515691.0897967457</v>
      </c>
      <c r="AD46" cm="1">
        <f t="array" ref="AD46">IFERROR(IF($E46&lt;44348,"",IF(INDEX(Raw_매출!$B$2:$BI$155,MATCH($A46,Raw_매출!$A$2:$A$155,0),MATCH(EDATE($E46,AD$1-1),Raw_매출!$B$1:$BI$1,0))=0,"",INDEX(Raw_매출!$B$2:$BI$155,MATCH($A46,Raw_매출!$A$2:$A$155,0),MATCH(EDATE($E46,AD$1-1),Raw_매출!$B$1:$BI$1,0))/(INDEX(요약_월별시즈널리티!$F$7:$F$18,MONTH(EDATE($E46,AD$1-1)))/100))),"")</f>
        <v>2888293.2731254972</v>
      </c>
      <c r="AE46" cm="1">
        <f t="array" ref="AE46">IFERROR(IF($E46&lt;44348,"",IF(INDEX(Raw_매출!$B$2:$BI$155,MATCH($A46,Raw_매출!$A$2:$A$155,0),MATCH(EDATE($E46,AE$1-1),Raw_매출!$B$1:$BI$1,0))=0,"",INDEX(Raw_매출!$B$2:$BI$155,MATCH($A46,Raw_매출!$A$2:$A$155,0),MATCH(EDATE($E46,AE$1-1),Raw_매출!$B$1:$BI$1,0))/(INDEX(요약_월별시즈널리티!$F$7:$F$18,MONTH(EDATE($E46,AE$1-1)))/100))),"")</f>
        <v>2980429.3853388284</v>
      </c>
      <c r="AF46" cm="1">
        <f t="array" ref="AF46">IFERROR(IF($E46&lt;44348,"",IF(INDEX(Raw_매출!$B$2:$BI$155,MATCH($A46,Raw_매출!$A$2:$A$155,0),MATCH(EDATE($E46,AF$1-1),Raw_매출!$B$1:$BI$1,0))=0,"",INDEX(Raw_매출!$B$2:$BI$155,MATCH($A46,Raw_매출!$A$2:$A$155,0),MATCH(EDATE($E46,AF$1-1),Raw_매출!$B$1:$BI$1,0))/(INDEX(요약_월별시즈널리티!$F$7:$F$18,MONTH(EDATE($E46,AF$1-1)))/100))),"")</f>
        <v>3016398.3845872302</v>
      </c>
      <c r="AG46" cm="1">
        <f t="array" ref="AG46">IFERROR(IF($E46&lt;44348,"",IF(INDEX(Raw_매출!$B$2:$BI$155,MATCH($A46,Raw_매출!$A$2:$A$155,0),MATCH(EDATE($E46,AG$1-1),Raw_매출!$B$1:$BI$1,0))=0,"",INDEX(Raw_매출!$B$2:$BI$155,MATCH($A46,Raw_매출!$A$2:$A$155,0),MATCH(EDATE($E46,AG$1-1),Raw_매출!$B$1:$BI$1,0))/(INDEX(요약_월별시즈널리티!$F$7:$F$18,MONTH(EDATE($E46,AG$1-1)))/100))),"")</f>
        <v>3072218.247561703</v>
      </c>
      <c r="AH46" cm="1">
        <f t="array" ref="AH46">IFERROR(IF($E46&lt;44348,"",IF(INDEX(Raw_매출!$B$2:$BI$155,MATCH($A46,Raw_매출!$A$2:$A$155,0),MATCH(EDATE($E46,AH$1-1),Raw_매출!$B$1:$BI$1,0))=0,"",INDEX(Raw_매출!$B$2:$BI$155,MATCH($A46,Raw_매출!$A$2:$A$155,0),MATCH(EDATE($E46,AH$1-1),Raw_매출!$B$1:$BI$1,0))/(INDEX(요약_월별시즈널리티!$F$7:$F$18,MONTH(EDATE($E46,AH$1-1)))/100))),"")</f>
        <v>3179701.8638257356</v>
      </c>
      <c r="AI46" cm="1">
        <f t="array" ref="AI46">IFERROR(IF($E46&lt;44348,"",IF(INDEX(Raw_매출!$B$2:$BI$155,MATCH($A46,Raw_매출!$A$2:$A$155,0),MATCH(EDATE($E46,AI$1-1),Raw_매출!$B$1:$BI$1,0))=0,"",INDEX(Raw_매출!$B$2:$BI$155,MATCH($A46,Raw_매출!$A$2:$A$155,0),MATCH(EDATE($E46,AI$1-1),Raw_매출!$B$1:$BI$1,0))/(INDEX(요약_월별시즈널리티!$F$7:$F$18,MONTH(EDATE($E46,AI$1-1)))/100))),"")</f>
        <v>3422038.9290839895</v>
      </c>
      <c r="AJ46" cm="1">
        <f t="array" ref="AJ46">IFERROR(IF($E46&lt;44348,"",IF(INDEX(Raw_매출!$B$2:$BI$155,MATCH($A46,Raw_매출!$A$2:$A$155,0),MATCH(EDATE($E46,AJ$1-1),Raw_매출!$B$1:$BI$1,0))=0,"",INDEX(Raw_매출!$B$2:$BI$155,MATCH($A46,Raw_매출!$A$2:$A$155,0),MATCH(EDATE($E46,AJ$1-1),Raw_매출!$B$1:$BI$1,0))/(INDEX(요약_월별시즈널리티!$F$7:$F$18,MONTH(EDATE($E46,AJ$1-1)))/100))),"")</f>
        <v>3491142.9747855533</v>
      </c>
      <c r="AK46" cm="1">
        <f t="array" ref="AK46">IFERROR(IF($E46&lt;44348,"",IF(INDEX(Raw_매출!$B$2:$BI$155,MATCH($A46,Raw_매출!$A$2:$A$155,0),MATCH(EDATE($E46,AK$1-1),Raw_매출!$B$1:$BI$1,0))=0,"",INDEX(Raw_매출!$B$2:$BI$155,MATCH($A46,Raw_매출!$A$2:$A$155,0),MATCH(EDATE($E46,AK$1-1),Raw_매출!$B$1:$BI$1,0))/(INDEX(요약_월별시즈널리티!$F$7:$F$18,MONTH(EDATE($E46,AK$1-1)))/100))),"")</f>
        <v>3628319.4584194347</v>
      </c>
      <c r="AL46" cm="1">
        <f t="array" ref="AL46">IFERROR(IF($E46&lt;44348,"",IF(INDEX(Raw_매출!$B$2:$BI$155,MATCH($A46,Raw_매출!$A$2:$A$155,0),MATCH(EDATE($E46,AL$1-1),Raw_매출!$B$1:$BI$1,0))=0,"",INDEX(Raw_매출!$B$2:$BI$155,MATCH($A46,Raw_매출!$A$2:$A$155,0),MATCH(EDATE($E46,AL$1-1),Raw_매출!$B$1:$BI$1,0))/(INDEX(요약_월별시즈널리티!$F$7:$F$18,MONTH(EDATE($E46,AL$1-1)))/100))),"")</f>
        <v>4200041.9520080136</v>
      </c>
      <c r="AM46" cm="1">
        <f t="array" ref="AM46">IFERROR(IF($E46&lt;44348,"",IF(INDEX(Raw_매출!$B$2:$BI$155,MATCH($A46,Raw_매출!$A$2:$A$155,0),MATCH(EDATE($E46,AM$1-1),Raw_매출!$B$1:$BI$1,0))=0,"",INDEX(Raw_매출!$B$2:$BI$155,MATCH($A46,Raw_매출!$A$2:$A$155,0),MATCH(EDATE($E46,AM$1-1),Raw_매출!$B$1:$BI$1,0))/(INDEX(요약_월별시즈널리티!$F$7:$F$18,MONTH(EDATE($E46,AM$1-1)))/100))),"")</f>
        <v>4281436.5953308512</v>
      </c>
      <c r="AN46" cm="1">
        <f t="array" ref="AN46">IFERROR(IF($E46&lt;44348,"",IF(INDEX(Raw_매출!$B$2:$BI$155,MATCH($A46,Raw_매출!$A$2:$A$155,0),MATCH(EDATE($E46,AN$1-1),Raw_매출!$B$1:$BI$1,0))=0,"",INDEX(Raw_매출!$B$2:$BI$155,MATCH($A46,Raw_매출!$A$2:$A$155,0),MATCH(EDATE($E46,AN$1-1),Raw_매출!$B$1:$BI$1,0))/(INDEX(요약_월별시즈널리티!$F$7:$F$18,MONTH(EDATE($E46,AN$1-1)))/100))),"")</f>
        <v>3907042.4781030412</v>
      </c>
      <c r="AO46" cm="1">
        <f t="array" ref="AO46">IFERROR(IF($E46&lt;44348,"",IF(INDEX(Raw_매출!$B$2:$BI$155,MATCH($A46,Raw_매출!$A$2:$A$155,0),MATCH(EDATE($E46,AO$1-1),Raw_매출!$B$1:$BI$1,0))=0,"",INDEX(Raw_매출!$B$2:$BI$155,MATCH($A46,Raw_매출!$A$2:$A$155,0),MATCH(EDATE($E46,AO$1-1),Raw_매출!$B$1:$BI$1,0))/(INDEX(요약_월별시즈널리티!$F$7:$F$18,MONTH(EDATE($E46,AO$1-1)))/100))),"")</f>
        <v>3598952.3872374119</v>
      </c>
      <c r="AP46" cm="1">
        <f t="array" ref="AP46">IFERROR(IF($E46&lt;44348,"",IF(INDEX(Raw_매출!$B$2:$BI$155,MATCH($A46,Raw_매출!$A$2:$A$155,0),MATCH(EDATE($E46,AP$1-1),Raw_매출!$B$1:$BI$1,0))=0,"",INDEX(Raw_매출!$B$2:$BI$155,MATCH($A46,Raw_매출!$A$2:$A$155,0),MATCH(EDATE($E46,AP$1-1),Raw_매출!$B$1:$BI$1,0))/(INDEX(요약_월별시즈널리티!$F$7:$F$18,MONTH(EDATE($E46,AP$1-1)))/100))),"")</f>
        <v>3550383.2341145822</v>
      </c>
      <c r="AQ46" cm="1">
        <f t="array" ref="AQ46">IFERROR(IF($E46&lt;44348,"",IF(INDEX(Raw_매출!$B$2:$BI$155,MATCH($A46,Raw_매출!$A$2:$A$155,0),MATCH(EDATE($E46,AQ$1-1),Raw_매출!$B$1:$BI$1,0))=0,"",INDEX(Raw_매출!$B$2:$BI$155,MATCH($A46,Raw_매출!$A$2:$A$155,0),MATCH(EDATE($E46,AQ$1-1),Raw_매출!$B$1:$BI$1,0))/(INDEX(요약_월별시즈널리티!$F$7:$F$18,MONTH(EDATE($E46,AQ$1-1)))/100))),"")</f>
        <v>3649273.0857837829</v>
      </c>
      <c r="AR46" cm="1">
        <f t="array" ref="AR46">IFERROR(IF($E46&lt;44348,"",IF(INDEX(Raw_매출!$B$2:$BI$155,MATCH($A46,Raw_매출!$A$2:$A$155,0),MATCH(EDATE($E46,AR$1-1),Raw_매출!$B$1:$BI$1,0))=0,"",INDEX(Raw_매출!$B$2:$BI$155,MATCH($A46,Raw_매출!$A$2:$A$155,0),MATCH(EDATE($E46,AR$1-1),Raw_매출!$B$1:$BI$1,0))/(INDEX(요약_월별시즈널리티!$F$7:$F$18,MONTH(EDATE($E46,AR$1-1)))/100))),"")</f>
        <v>3203707.5402665455</v>
      </c>
      <c r="AS46" cm="1">
        <f t="array" ref="AS46">IFERROR(IF($E46&lt;44348,"",IF(INDEX(Raw_매출!$B$2:$BI$155,MATCH($A46,Raw_매출!$A$2:$A$155,0),MATCH(EDATE($E46,AS$1-1),Raw_매출!$B$1:$BI$1,0))=0,"",INDEX(Raw_매출!$B$2:$BI$155,MATCH($A46,Raw_매출!$A$2:$A$155,0),MATCH(EDATE($E46,AS$1-1),Raw_매출!$B$1:$BI$1,0))/(INDEX(요약_월별시즈널리티!$F$7:$F$18,MONTH(EDATE($E46,AS$1-1)))/100))),"")</f>
        <v>3703875.9424280534</v>
      </c>
      <c r="AT46" cm="1">
        <f t="array" ref="AT46">IFERROR(IF($E46&lt;44348,"",IF(INDEX(Raw_매출!$B$2:$BI$155,MATCH($A46,Raw_매출!$A$2:$A$155,0),MATCH(EDATE($E46,AT$1-1),Raw_매출!$B$1:$BI$1,0))=0,"",INDEX(Raw_매출!$B$2:$BI$155,MATCH($A46,Raw_매출!$A$2:$A$155,0),MATCH(EDATE($E46,AT$1-1),Raw_매출!$B$1:$BI$1,0))/(INDEX(요약_월별시즈널리티!$F$7:$F$18,MONTH(EDATE($E46,AT$1-1)))/100))),"")</f>
        <v>3662808.6878061239</v>
      </c>
      <c r="AU46" cm="1">
        <f t="array" ref="AU46">IFERROR(IF($E46&lt;44348,"",IF(INDEX(Raw_매출!$B$2:$BI$155,MATCH($A46,Raw_매출!$A$2:$A$155,0),MATCH(EDATE($E46,AU$1-1),Raw_매출!$B$1:$BI$1,0))=0,"",INDEX(Raw_매출!$B$2:$BI$155,MATCH($A46,Raw_매출!$A$2:$A$155,0),MATCH(EDATE($E46,AU$1-1),Raw_매출!$B$1:$BI$1,0))/(INDEX(요약_월별시즈널리티!$F$7:$F$18,MONTH(EDATE($E46,AU$1-1)))/100))),"")</f>
        <v>4180285.1610813076</v>
      </c>
      <c r="AV46" cm="1">
        <f t="array" ref="AV46">IFERROR(IF($E46&lt;44348,"",IF(INDEX(Raw_매출!$B$2:$BI$155,MATCH($A46,Raw_매출!$A$2:$A$155,0),MATCH(EDATE($E46,AV$1-1),Raw_매출!$B$1:$BI$1,0))=0,"",INDEX(Raw_매출!$B$2:$BI$155,MATCH($A46,Raw_매출!$A$2:$A$155,0),MATCH(EDATE($E46,AV$1-1),Raw_매출!$B$1:$BI$1,0))/(INDEX(요약_월별시즈널리티!$F$7:$F$18,MONTH(EDATE($E46,AV$1-1)))/100))),"")</f>
        <v>4037102.0054229237</v>
      </c>
      <c r="AW46" cm="1">
        <f t="array" ref="AW46">IFERROR(IF($E46&lt;44348,"",IF(INDEX(Raw_매출!$B$2:$BI$155,MATCH($A46,Raw_매출!$A$2:$A$155,0),MATCH(EDATE($E46,AW$1-1),Raw_매출!$B$1:$BI$1,0))=0,"",INDEX(Raw_매출!$B$2:$BI$155,MATCH($A46,Raw_매출!$A$2:$A$155,0),MATCH(EDATE($E46,AW$1-1),Raw_매출!$B$1:$BI$1,0))/(INDEX(요약_월별시즈널리티!$F$7:$F$18,MONTH(EDATE($E46,AW$1-1)))/100))),"")</f>
        <v>4707120.6062949188</v>
      </c>
      <c r="AX46" cm="1">
        <f t="array" ref="AX46">IFERROR(IF($E46&lt;44348,"",IF(INDEX(Raw_매출!$B$2:$BI$155,MATCH($A46,Raw_매출!$A$2:$A$155,0),MATCH(EDATE($E46,AX$1-1),Raw_매출!$B$1:$BI$1,0))=0,"",INDEX(Raw_매출!$B$2:$BI$155,MATCH($A46,Raw_매출!$A$2:$A$155,0),MATCH(EDATE($E46,AX$1-1),Raw_매출!$B$1:$BI$1,0))/(INDEX(요약_월별시즈널리티!$F$7:$F$18,MONTH(EDATE($E46,AX$1-1)))/100))),"")</f>
        <v>5191288.8231693218</v>
      </c>
      <c r="AY46" cm="1">
        <f t="array" ref="AY46">IFERROR(IF($E46&lt;44348,"",IF(INDEX(Raw_매출!$B$2:$BI$155,MATCH($A46,Raw_매출!$A$2:$A$155,0),MATCH(EDATE($E46,AY$1-1),Raw_매출!$B$1:$BI$1,0))=0,"",INDEX(Raw_매출!$B$2:$BI$155,MATCH($A46,Raw_매출!$A$2:$A$155,0),MATCH(EDATE($E46,AY$1-1),Raw_매출!$B$1:$BI$1,0))/(INDEX(요약_월별시즈널리티!$F$7:$F$18,MONTH(EDATE($E46,AY$1-1)))/100))),"")</f>
        <v>5250258.8016464161</v>
      </c>
      <c r="AZ46" cm="1">
        <f t="array" ref="AZ46">IFERROR(IF($E46&lt;44348,"",IF(INDEX(Raw_매출!$B$2:$BI$155,MATCH($A46,Raw_매출!$A$2:$A$155,0),MATCH(EDATE($E46,AZ$1-1),Raw_매출!$B$1:$BI$1,0))=0,"",INDEX(Raw_매출!$B$2:$BI$155,MATCH($A46,Raw_매출!$A$2:$A$155,0),MATCH(EDATE($E46,AZ$1-1),Raw_매출!$B$1:$BI$1,0))/(INDEX(요약_월별시즈널리티!$F$7:$F$18,MONTH(EDATE($E46,AZ$1-1)))/100))),"")</f>
        <v>4396090.3840705911</v>
      </c>
      <c r="BA46" cm="1">
        <f t="array" ref="BA46">IFERROR(IF($E46&lt;44348,"",IF(INDEX(Raw_매출!$B$2:$BI$155,MATCH($A46,Raw_매출!$A$2:$A$155,0),MATCH(EDATE($E46,BA$1-1),Raw_매출!$B$1:$BI$1,0))=0,"",INDEX(Raw_매출!$B$2:$BI$155,MATCH($A46,Raw_매출!$A$2:$A$155,0),MATCH(EDATE($E46,BA$1-1),Raw_매출!$B$1:$BI$1,0))/(INDEX(요약_월별시즈널리티!$F$7:$F$18,MONTH(EDATE($E46,BA$1-1)))/100))),"")</f>
        <v>4572699.0237299232</v>
      </c>
      <c r="BB46" cm="1">
        <f t="array" ref="BB46">IFERROR(IF($E46&lt;44348,"",IF(INDEX(Raw_매출!$B$2:$BI$155,MATCH($A46,Raw_매출!$A$2:$A$155,0),MATCH(EDATE($E46,BB$1-1),Raw_매출!$B$1:$BI$1,0))=0,"",INDEX(Raw_매출!$B$2:$BI$155,MATCH($A46,Raw_매출!$A$2:$A$155,0),MATCH(EDATE($E46,BB$1-1),Raw_매출!$B$1:$BI$1,0))/(INDEX(요약_월별시즈널리티!$F$7:$F$18,MONTH(EDATE($E46,BB$1-1)))/100))),"")</f>
        <v>4891146.9809969263</v>
      </c>
      <c r="BC46" cm="1">
        <f t="array" ref="BC46">IFERROR(IF($E46&lt;44348,"",IF(INDEX(Raw_매출!$B$2:$BI$155,MATCH($A46,Raw_매출!$A$2:$A$155,0),MATCH(EDATE($E46,BC$1-1),Raw_매출!$B$1:$BI$1,0))=0,"",INDEX(Raw_매출!$B$2:$BI$155,MATCH($A46,Raw_매출!$A$2:$A$155,0),MATCH(EDATE($E46,BC$1-1),Raw_매출!$B$1:$BI$1,0))/(INDEX(요약_월별시즈널리티!$F$7:$F$18,MONTH(EDATE($E46,BC$1-1)))/100))),"")</f>
        <v>4580669.2749436479</v>
      </c>
      <c r="BD46" cm="1">
        <f t="array" ref="BD46">IFERROR(IF($E46&lt;44348,"",IF(INDEX(Raw_매출!$B$2:$BI$155,MATCH($A46,Raw_매출!$A$2:$A$155,0),MATCH(EDATE($E46,BD$1-1),Raw_매출!$B$1:$BI$1,0))=0,"",INDEX(Raw_매출!$B$2:$BI$155,MATCH($A46,Raw_매출!$A$2:$A$155,0),MATCH(EDATE($E46,BD$1-1),Raw_매출!$B$1:$BI$1,0))/(INDEX(요약_월별시즈널리티!$F$7:$F$18,MONTH(EDATE($E46,BD$1-1)))/100))),"")</f>
        <v>4018170.9110736335</v>
      </c>
      <c r="BE46" cm="1">
        <f t="array" ref="BE46">IFERROR(IF($E46&lt;44348,"",IF(INDEX(Raw_매출!$B$2:$BI$155,MATCH($A46,Raw_매출!$A$2:$A$155,0),MATCH(EDATE($E46,BE$1-1),Raw_매출!$B$1:$BI$1,0))=0,"",INDEX(Raw_매출!$B$2:$BI$155,MATCH($A46,Raw_매출!$A$2:$A$155,0),MATCH(EDATE($E46,BE$1-1),Raw_매출!$B$1:$BI$1,0))/(INDEX(요약_월별시즈널리티!$F$7:$F$18,MONTH(EDATE($E46,BE$1-1)))/100))),"")</f>
        <v>4441157.7892272724</v>
      </c>
      <c r="BF46" cm="1">
        <f t="array" ref="BF46">IFERROR(IF($E46&lt;44348,"",IF(INDEX(Raw_매출!$B$2:$BI$155,MATCH($A46,Raw_매출!$A$2:$A$155,0),MATCH(EDATE($E46,BF$1-1),Raw_매출!$B$1:$BI$1,0))=0,"",INDEX(Raw_매출!$B$2:$BI$155,MATCH($A46,Raw_매출!$A$2:$A$155,0),MATCH(EDATE($E46,BF$1-1),Raw_매출!$B$1:$BI$1,0))/(INDEX(요약_월별시즈널리티!$F$7:$F$18,MONTH(EDATE($E46,BF$1-1)))/100))),"")</f>
        <v>4219591.6752668228</v>
      </c>
      <c r="BG46" cm="1">
        <f t="array" ref="BG46">IFERROR(IF($E46&lt;44348,"",IF(INDEX(Raw_매출!$B$2:$BI$155,MATCH($A46,Raw_매출!$A$2:$A$155,0),MATCH(EDATE($E46,BG$1-1),Raw_매출!$B$1:$BI$1,0))=0,"",INDEX(Raw_매출!$B$2:$BI$155,MATCH($A46,Raw_매출!$A$2:$A$155,0),MATCH(EDATE($E46,BG$1-1),Raw_매출!$B$1:$BI$1,0))/(INDEX(요약_월별시즈널리티!$F$7:$F$18,MONTH(EDATE($E46,BG$1-1)))/100))),"")</f>
        <v>4540832.890967655</v>
      </c>
      <c r="BH46" cm="1">
        <f t="array" ref="BH46">IFERROR(IF($E46&lt;44348,"",IF(INDEX(Raw_매출!$B$2:$BI$155,MATCH($A46,Raw_매출!$A$2:$A$155,0),MATCH(EDATE($E46,BH$1-1),Raw_매출!$B$1:$BI$1,0))=0,"",INDEX(Raw_매출!$B$2:$BI$155,MATCH($A46,Raw_매출!$A$2:$A$155,0),MATCH(EDATE($E46,BH$1-1),Raw_매출!$B$1:$BI$1,0))/(INDEX(요약_월별시즈널리티!$F$7:$F$18,MONTH(EDATE($E46,BH$1-1)))/100))),"")</f>
        <v>4509174.9605464963</v>
      </c>
      <c r="BI46" cm="1">
        <f t="array" ref="BI46">IFERROR(IF($E46&lt;44348,"",IF(INDEX(Raw_매출!$B$2:$BI$155,MATCH($A46,Raw_매출!$A$2:$A$155,0),MATCH(EDATE($E46,BI$1-1),Raw_매출!$B$1:$BI$1,0))=0,"",INDEX(Raw_매출!$B$2:$BI$155,MATCH($A46,Raw_매출!$A$2:$A$155,0),MATCH(EDATE($E46,BI$1-1),Raw_매출!$B$1:$BI$1,0))/(INDEX(요약_월별시즈널리티!$F$7:$F$18,MONTH(EDATE($E46,BI$1-1)))/100))),"")</f>
        <v>5087647.8520419728</v>
      </c>
      <c r="BJ46" t="str" cm="1">
        <f t="array" ref="BJ46">IFERROR(IF($E46&lt;44348,"",IF(INDEX(Raw_매출!$B$2:$BI$155,MATCH($A46,Raw_매출!$A$2:$A$155,0),MATCH(EDATE($E46,BJ$1-1),Raw_매출!$B$1:$BI$1,0))=0,"",INDEX(Raw_매출!$B$2:$BI$155,MATCH($A46,Raw_매출!$A$2:$A$155,0),MATCH(EDATE($E46,BJ$1-1),Raw_매출!$B$1:$BI$1,0))/(INDEX(요약_월별시즈널리티!$F$7:$F$18,MONTH(EDATE($E46,BJ$1-1)))/100))),"")</f>
        <v/>
      </c>
      <c r="BK46" t="str" cm="1">
        <f t="array" ref="BK46">IFERROR(IF($E46&lt;44348,"",IF(INDEX(Raw_매출!$B$2:$BI$155,MATCH($A46,Raw_매출!$A$2:$A$155,0),MATCH(EDATE($E46,BK$1-1),Raw_매출!$B$1:$BI$1,0))=0,"",INDEX(Raw_매출!$B$2:$BI$155,MATCH($A46,Raw_매출!$A$2:$A$155,0),MATCH(EDATE($E46,BK$1-1),Raw_매출!$B$1:$BI$1,0))/(INDEX(요약_월별시즈널리티!$F$7:$F$18,MONTH(EDATE($E46,BK$1-1)))/100))),"")</f>
        <v/>
      </c>
      <c r="BL46" t="str" cm="1">
        <f t="array" ref="BL46">IFERROR(IF($E46&lt;44348,"",IF(INDEX(Raw_매출!$B$2:$BI$155,MATCH($A46,Raw_매출!$A$2:$A$155,0),MATCH(EDATE($E46,BL$1-1),Raw_매출!$B$1:$BI$1,0))=0,"",INDEX(Raw_매출!$B$2:$BI$155,MATCH($A46,Raw_매출!$A$2:$A$155,0),MATCH(EDATE($E46,BL$1-1),Raw_매출!$B$1:$BI$1,0))/(INDEX(요약_월별시즈널리티!$F$7:$F$18,MONTH(EDATE($E46,BL$1-1)))/100))),"")</f>
        <v/>
      </c>
      <c r="BM46" t="str" cm="1">
        <f t="array" ref="BM46">IFERROR(IF($E46&lt;44348,"",IF(INDEX(Raw_매출!$B$2:$BI$155,MATCH($A46,Raw_매출!$A$2:$A$155,0),MATCH(EDATE($E46,BM$1-1),Raw_매출!$B$1:$BI$1,0))=0,"",INDEX(Raw_매출!$B$2:$BI$155,MATCH($A46,Raw_매출!$A$2:$A$155,0),MATCH(EDATE($E46,BM$1-1),Raw_매출!$B$1:$BI$1,0))/(INDEX(요약_월별시즈널리티!$F$7:$F$18,MONTH(EDATE($E46,BM$1-1)))/100))),"")</f>
        <v/>
      </c>
      <c r="BN46" t="str" cm="1">
        <f t="array" ref="BN46">IFERROR(IF($E46&lt;44348,"",IF(INDEX(Raw_매출!$B$2:$BI$155,MATCH($A46,Raw_매출!$A$2:$A$155,0),MATCH(EDATE($E46,BN$1-1),Raw_매출!$B$1:$BI$1,0))=0,"",INDEX(Raw_매출!$B$2:$BI$155,MATCH($A46,Raw_매출!$A$2:$A$155,0),MATCH(EDATE($E46,BN$1-1),Raw_매출!$B$1:$BI$1,0))/(INDEX(요약_월별시즈널리티!$F$7:$F$18,MONTH(EDATE($E46,BN$1-1)))/100))),"")</f>
        <v/>
      </c>
    </row>
    <row r="47" spans="1:66" x14ac:dyDescent="0.4">
      <c r="A47" t="str">
        <f>세팅!A48</f>
        <v>(1036) #낙성대행운점</v>
      </c>
      <c r="B47" t="str">
        <f>세팅!B48</f>
        <v>150-1</v>
      </c>
      <c r="C47">
        <f t="shared" si="0"/>
        <v>1</v>
      </c>
      <c r="D47" t="str">
        <f t="shared" si="1"/>
        <v>1</v>
      </c>
      <c r="E47" s="1">
        <f>세팅!D48</f>
        <v>44531</v>
      </c>
      <c r="F47">
        <f t="shared" si="2"/>
        <v>5887305.7536237473</v>
      </c>
      <c r="G47" cm="1">
        <f t="array" ref="G47">IFERROR(IF($E47&lt;44348,"",IF(INDEX(Raw_매출!$B$2:$BI$155,MATCH($A47,Raw_매출!$A$2:$A$155,0),MATCH(EDATE($E47,G$1-1),Raw_매출!$B$1:$BI$1,0))=0,"",INDEX(Raw_매출!$B$2:$BI$155,MATCH($A47,Raw_매출!$A$2:$A$155,0),MATCH(EDATE($E47,G$1-1),Raw_매출!$B$1:$BI$1,0))/(INDEX(요약_월별시즈널리티!$F$7:$F$18,MONTH(EDATE($E47,G$1-1)))/100))),"")</f>
        <v>4357804.8464167276</v>
      </c>
      <c r="H47" cm="1">
        <f t="array" ref="H47">IFERROR(IF($E47&lt;44348,"",IF(INDEX(Raw_매출!$B$2:$BI$155,MATCH($A47,Raw_매출!$A$2:$A$155,0),MATCH(EDATE($E47,H$1-1),Raw_매출!$B$1:$BI$1,0))=0,"",INDEX(Raw_매출!$B$2:$BI$155,MATCH($A47,Raw_매출!$A$2:$A$155,0),MATCH(EDATE($E47,H$1-1),Raw_매출!$B$1:$BI$1,0))/(INDEX(요약_월별시즈널리티!$F$7:$F$18,MONTH(EDATE($E47,H$1-1)))/100))),"")</f>
        <v>4915395.4011817137</v>
      </c>
      <c r="I47" cm="1">
        <f t="array" ref="I47">IFERROR(IF($E47&lt;44348,"",IF(INDEX(Raw_매출!$B$2:$BI$155,MATCH($A47,Raw_매출!$A$2:$A$155,0),MATCH(EDATE($E47,I$1-1),Raw_매출!$B$1:$BI$1,0))=0,"",INDEX(Raw_매출!$B$2:$BI$155,MATCH($A47,Raw_매출!$A$2:$A$155,0),MATCH(EDATE($E47,I$1-1),Raw_매출!$B$1:$BI$1,0))/(INDEX(요약_월별시즈널리티!$F$7:$F$18,MONTH(EDATE($E47,I$1-1)))/100))),"")</f>
        <v>4958014.2863802649</v>
      </c>
      <c r="J47" s="30" cm="1">
        <f t="array" ref="J47">IFERROR(IF($E47&lt;44348,"",IF(INDEX(Raw_매출!$B$2:$BI$155,MATCH($A47,Raw_매출!$A$2:$A$155,0),MATCH(EDATE($E47,J$1-1),Raw_매출!$B$1:$BI$1,0))=0,"",INDEX(Raw_매출!$B$2:$BI$155,MATCH($A47,Raw_매출!$A$2:$A$155,0),MATCH(EDATE($E47,J$1-1),Raw_매출!$B$1:$BI$1,0))/(INDEX(요약_월별시즈널리티!$F$7:$F$18,MONTH(EDATE($E47,J$1-1)))/100))),"")</f>
        <v>5552548.2420487674</v>
      </c>
      <c r="K47" s="30" cm="1">
        <f t="array" ref="K47">IFERROR(IF($E47&lt;44348,"",IF(INDEX(Raw_매출!$B$2:$BI$155,MATCH($A47,Raw_매출!$A$2:$A$155,0),MATCH(EDATE($E47,K$1-1),Raw_매출!$B$1:$BI$1,0))=0,"",INDEX(Raw_매출!$B$2:$BI$155,MATCH($A47,Raw_매출!$A$2:$A$155,0),MATCH(EDATE($E47,K$1-1),Raw_매출!$B$1:$BI$1,0))/(INDEX(요약_월별시즈널리티!$F$7:$F$18,MONTH(EDATE($E47,K$1-1)))/100))),"")</f>
        <v>5855963.7128818063</v>
      </c>
      <c r="L47" s="30" cm="1">
        <f t="array" ref="L47">IFERROR(IF($E47&lt;44348,"",IF(INDEX(Raw_매출!$B$2:$BI$155,MATCH($A47,Raw_매출!$A$2:$A$155,0),MATCH(EDATE($E47,L$1-1),Raw_매출!$B$1:$BI$1,0))=0,"",INDEX(Raw_매출!$B$2:$BI$155,MATCH($A47,Raw_매출!$A$2:$A$155,0),MATCH(EDATE($E47,L$1-1),Raw_매출!$B$1:$BI$1,0))/(INDEX(요약_월별시즈널리티!$F$7:$F$18,MONTH(EDATE($E47,L$1-1)))/100))),"")</f>
        <v>5828202.5592534095</v>
      </c>
      <c r="M47" s="30" cm="1">
        <f t="array" ref="M47">IFERROR(IF($E47&lt;44348,"",IF(INDEX(Raw_매출!$B$2:$BI$155,MATCH($A47,Raw_매출!$A$2:$A$155,0),MATCH(EDATE($E47,M$1-1),Raw_매출!$B$1:$BI$1,0))=0,"",INDEX(Raw_매출!$B$2:$BI$155,MATCH($A47,Raw_매출!$A$2:$A$155,0),MATCH(EDATE($E47,M$1-1),Raw_매출!$B$1:$BI$1,0))/(INDEX(요약_월별시즈널리티!$F$7:$F$18,MONTH(EDATE($E47,M$1-1)))/100))),"")</f>
        <v>6239742.6590695847</v>
      </c>
      <c r="N47" s="30" cm="1">
        <f t="array" ref="N47">IFERROR(IF($E47&lt;44348,"",IF(INDEX(Raw_매출!$B$2:$BI$155,MATCH($A47,Raw_매출!$A$2:$A$155,0),MATCH(EDATE($E47,N$1-1),Raw_매출!$B$1:$BI$1,0))=0,"",INDEX(Raw_매출!$B$2:$BI$155,MATCH($A47,Raw_매출!$A$2:$A$155,0),MATCH(EDATE($E47,N$1-1),Raw_매출!$B$1:$BI$1,0))/(INDEX(요약_월별시즈널리티!$F$7:$F$18,MONTH(EDATE($E47,N$1-1)))/100))),"")</f>
        <v>5954891.5082266657</v>
      </c>
      <c r="O47" s="30" cm="1">
        <f t="array" ref="O47">IFERROR(IF($E47&lt;44348,"",IF(INDEX(Raw_매출!$B$2:$BI$155,MATCH($A47,Raw_매출!$A$2:$A$155,0),MATCH(EDATE($E47,O$1-1),Raw_매출!$B$1:$BI$1,0))=0,"",INDEX(Raw_매출!$B$2:$BI$155,MATCH($A47,Raw_매출!$A$2:$A$155,0),MATCH(EDATE($E47,O$1-1),Raw_매출!$B$1:$BI$1,0))/(INDEX(요약_월별시즈널리티!$F$7:$F$18,MONTH(EDATE($E47,O$1-1)))/100))),"")</f>
        <v>5892485.8402622519</v>
      </c>
      <c r="P47" cm="1">
        <f t="array" ref="P47">IFERROR(IF($E47&lt;44348,"",IF(INDEX(Raw_매출!$B$2:$BI$155,MATCH($A47,Raw_매출!$A$2:$A$155,0),MATCH(EDATE($E47,P$1-1),Raw_매출!$B$1:$BI$1,0))=0,"",INDEX(Raw_매출!$B$2:$BI$155,MATCH($A47,Raw_매출!$A$2:$A$155,0),MATCH(EDATE($E47,P$1-1),Raw_매출!$B$1:$BI$1,0))/(INDEX(요약_월별시즈널리티!$F$7:$F$18,MONTH(EDATE($E47,P$1-1)))/100))),"")</f>
        <v>6476995.6794234933</v>
      </c>
      <c r="Q47" cm="1">
        <f t="array" ref="Q47">IFERROR(IF($E47&lt;44348,"",IF(INDEX(Raw_매출!$B$2:$BI$155,MATCH($A47,Raw_매출!$A$2:$A$155,0),MATCH(EDATE($E47,Q$1-1),Raw_매출!$B$1:$BI$1,0))=0,"",INDEX(Raw_매출!$B$2:$BI$155,MATCH($A47,Raw_매출!$A$2:$A$155,0),MATCH(EDATE($E47,Q$1-1),Raw_매출!$B$1:$BI$1,0))/(INDEX(요약_월별시즈널리티!$F$7:$F$18,MONTH(EDATE($E47,Q$1-1)))/100))),"")</f>
        <v>6130046.0756900944</v>
      </c>
      <c r="R47" cm="1">
        <f t="array" ref="R47">IFERROR(IF($E47&lt;44348,"",IF(INDEX(Raw_매출!$B$2:$BI$155,MATCH($A47,Raw_매출!$A$2:$A$155,0),MATCH(EDATE($E47,R$1-1),Raw_매출!$B$1:$BI$1,0))=0,"",INDEX(Raw_매출!$B$2:$BI$155,MATCH($A47,Raw_매출!$A$2:$A$155,0),MATCH(EDATE($E47,R$1-1),Raw_매출!$B$1:$BI$1,0))/(INDEX(요약_월별시즈널리티!$F$7:$F$18,MONTH(EDATE($E47,R$1-1)))/100))),"")</f>
        <v>5749068.6709460383</v>
      </c>
      <c r="S47" cm="1">
        <f t="array" ref="S47">IFERROR(IF($E47&lt;44348,"",IF(INDEX(Raw_매출!$B$2:$BI$155,MATCH($A47,Raw_매출!$A$2:$A$155,0),MATCH(EDATE($E47,S$1-1),Raw_매출!$B$1:$BI$1,0))=0,"",INDEX(Raw_매출!$B$2:$BI$155,MATCH($A47,Raw_매출!$A$2:$A$155,0),MATCH(EDATE($E47,S$1-1),Raw_매출!$B$1:$BI$1,0))/(INDEX(요약_월별시즈널리티!$F$7:$F$18,MONTH(EDATE($E47,S$1-1)))/100))),"")</f>
        <v>5630887.7412559912</v>
      </c>
      <c r="T47" cm="1">
        <f t="array" ref="T47">IFERROR(IF($E47&lt;44348,"",IF(INDEX(Raw_매출!$B$2:$BI$155,MATCH($A47,Raw_매출!$A$2:$A$155,0),MATCH(EDATE($E47,T$1-1),Raw_매출!$B$1:$BI$1,0))=0,"",INDEX(Raw_매출!$B$2:$BI$155,MATCH($A47,Raw_매출!$A$2:$A$155,0),MATCH(EDATE($E47,T$1-1),Raw_매출!$B$1:$BI$1,0))/(INDEX(요약_월별시즈널리티!$F$7:$F$18,MONTH(EDATE($E47,T$1-1)))/100))),"")</f>
        <v>5875515.0973785669</v>
      </c>
      <c r="U47" cm="1">
        <f t="array" ref="U47">IFERROR(IF($E47&lt;44348,"",IF(INDEX(Raw_매출!$B$2:$BI$155,MATCH($A47,Raw_매출!$A$2:$A$155,0),MATCH(EDATE($E47,U$1-1),Raw_매출!$B$1:$BI$1,0))=0,"",INDEX(Raw_매출!$B$2:$BI$155,MATCH($A47,Raw_매출!$A$2:$A$155,0),MATCH(EDATE($E47,U$1-1),Raw_매출!$B$1:$BI$1,0))/(INDEX(요약_월별시즈널리티!$F$7:$F$18,MONTH(EDATE($E47,U$1-1)))/100))),"")</f>
        <v>6632041.1248781243</v>
      </c>
      <c r="V47" cm="1">
        <f t="array" ref="V47">IFERROR(IF($E47&lt;44348,"",IF(INDEX(Raw_매출!$B$2:$BI$155,MATCH($A47,Raw_매출!$A$2:$A$155,0),MATCH(EDATE($E47,V$1-1),Raw_매출!$B$1:$BI$1,0))=0,"",INDEX(Raw_매출!$B$2:$BI$155,MATCH($A47,Raw_매출!$A$2:$A$155,0),MATCH(EDATE($E47,V$1-1),Raw_매출!$B$1:$BI$1,0))/(INDEX(요약_월별시즈널리티!$F$7:$F$18,MONTH(EDATE($E47,V$1-1)))/100))),"")</f>
        <v>6493152.2811985351</v>
      </c>
      <c r="W47" cm="1">
        <f t="array" ref="W47">IFERROR(IF($E47&lt;44348,"",IF(INDEX(Raw_매출!$B$2:$BI$155,MATCH($A47,Raw_매출!$A$2:$A$155,0),MATCH(EDATE($E47,W$1-1),Raw_매출!$B$1:$BI$1,0))=0,"",INDEX(Raw_매출!$B$2:$BI$155,MATCH($A47,Raw_매출!$A$2:$A$155,0),MATCH(EDATE($E47,W$1-1),Raw_매출!$B$1:$BI$1,0))/(INDEX(요약_월별시즈널리티!$F$7:$F$18,MONTH(EDATE($E47,W$1-1)))/100))),"")</f>
        <v>6796379.0498912279</v>
      </c>
      <c r="X47" cm="1">
        <f t="array" ref="X47">IFERROR(IF($E47&lt;44348,"",IF(INDEX(Raw_매출!$B$2:$BI$155,MATCH($A47,Raw_매출!$A$2:$A$155,0),MATCH(EDATE($E47,X$1-1),Raw_매출!$B$1:$BI$1,0))=0,"",INDEX(Raw_매출!$B$2:$BI$155,MATCH($A47,Raw_매출!$A$2:$A$155,0),MATCH(EDATE($E47,X$1-1),Raw_매출!$B$1:$BI$1,0))/(INDEX(요약_월별시즈널리티!$F$7:$F$18,MONTH(EDATE($E47,X$1-1)))/100))),"")</f>
        <v>6817127.3380747829</v>
      </c>
      <c r="Y47" cm="1">
        <f t="array" ref="Y47">IFERROR(IF($E47&lt;44348,"",IF(INDEX(Raw_매출!$B$2:$BI$155,MATCH($A47,Raw_매출!$A$2:$A$155,0),MATCH(EDATE($E47,Y$1-1),Raw_매출!$B$1:$BI$1,0))=0,"",INDEX(Raw_매출!$B$2:$BI$155,MATCH($A47,Raw_매출!$A$2:$A$155,0),MATCH(EDATE($E47,Y$1-1),Raw_매출!$B$1:$BI$1,0))/(INDEX(요약_월별시즈널리티!$F$7:$F$18,MONTH(EDATE($E47,Y$1-1)))/100))),"")</f>
        <v>6020838.4572623568</v>
      </c>
      <c r="Z47" cm="1">
        <f t="array" ref="Z47">IFERROR(IF($E47&lt;44348,"",IF(INDEX(Raw_매출!$B$2:$BI$155,MATCH($A47,Raw_매출!$A$2:$A$155,0),MATCH(EDATE($E47,Z$1-1),Raw_매출!$B$1:$BI$1,0))=0,"",INDEX(Raw_매출!$B$2:$BI$155,MATCH($A47,Raw_매출!$A$2:$A$155,0),MATCH(EDATE($E47,Z$1-1),Raw_매출!$B$1:$BI$1,0))/(INDEX(요약_월별시즈널리티!$F$7:$F$18,MONTH(EDATE($E47,Z$1-1)))/100))),"")</f>
        <v>7034385.7577327434</v>
      </c>
      <c r="AA47" cm="1">
        <f t="array" ref="AA47">IFERROR(IF($E47&lt;44348,"",IF(INDEX(Raw_매출!$B$2:$BI$155,MATCH($A47,Raw_매출!$A$2:$A$155,0),MATCH(EDATE($E47,AA$1-1),Raw_매출!$B$1:$BI$1,0))=0,"",INDEX(Raw_매출!$B$2:$BI$155,MATCH($A47,Raw_매출!$A$2:$A$155,0),MATCH(EDATE($E47,AA$1-1),Raw_매출!$B$1:$BI$1,0))/(INDEX(요약_월별시즈널리티!$F$7:$F$18,MONTH(EDATE($E47,AA$1-1)))/100))),"")</f>
        <v>6512799.0843809955</v>
      </c>
      <c r="AB47" cm="1">
        <f t="array" ref="AB47">IFERROR(IF($E47&lt;44348,"",IF(INDEX(Raw_매출!$B$2:$BI$155,MATCH($A47,Raw_매출!$A$2:$A$155,0),MATCH(EDATE($E47,AB$1-1),Raw_매출!$B$1:$BI$1,0))=0,"",INDEX(Raw_매출!$B$2:$BI$155,MATCH($A47,Raw_매출!$A$2:$A$155,0),MATCH(EDATE($E47,AB$1-1),Raw_매출!$B$1:$BI$1,0))/(INDEX(요약_월별시즈널리티!$F$7:$F$18,MONTH(EDATE($E47,AB$1-1)))/100))),"")</f>
        <v>6243284.5014766781</v>
      </c>
      <c r="AC47" cm="1">
        <f t="array" ref="AC47">IFERROR(IF($E47&lt;44348,"",IF(INDEX(Raw_매출!$B$2:$BI$155,MATCH($A47,Raw_매출!$A$2:$A$155,0),MATCH(EDATE($E47,AC$1-1),Raw_매출!$B$1:$BI$1,0))=0,"",INDEX(Raw_매출!$B$2:$BI$155,MATCH($A47,Raw_매출!$A$2:$A$155,0),MATCH(EDATE($E47,AC$1-1),Raw_매출!$B$1:$BI$1,0))/(INDEX(요약_월별시즈널리티!$F$7:$F$18,MONTH(EDATE($E47,AC$1-1)))/100))),"")</f>
        <v>6629637.045025548</v>
      </c>
      <c r="AD47" cm="1">
        <f t="array" ref="AD47">IFERROR(IF($E47&lt;44348,"",IF(INDEX(Raw_매출!$B$2:$BI$155,MATCH($A47,Raw_매출!$A$2:$A$155,0),MATCH(EDATE($E47,AD$1-1),Raw_매출!$B$1:$BI$1,0))=0,"",INDEX(Raw_매출!$B$2:$BI$155,MATCH($A47,Raw_매출!$A$2:$A$155,0),MATCH(EDATE($E47,AD$1-1),Raw_매출!$B$1:$BI$1,0))/(INDEX(요약_월별시즈널리티!$F$7:$F$18,MONTH(EDATE($E47,AD$1-1)))/100))),"")</f>
        <v>6126544.9031207599</v>
      </c>
      <c r="AE47" cm="1">
        <f t="array" ref="AE47">IFERROR(IF($E47&lt;44348,"",IF(INDEX(Raw_매출!$B$2:$BI$155,MATCH($A47,Raw_매출!$A$2:$A$155,0),MATCH(EDATE($E47,AE$1-1),Raw_매출!$B$1:$BI$1,0))=0,"",INDEX(Raw_매출!$B$2:$BI$155,MATCH($A47,Raw_매출!$A$2:$A$155,0),MATCH(EDATE($E47,AE$1-1),Raw_매출!$B$1:$BI$1,0))/(INDEX(요약_월별시즈널리티!$F$7:$F$18,MONTH(EDATE($E47,AE$1-1)))/100))),"")</f>
        <v>6939855.0251037227</v>
      </c>
      <c r="AF47" cm="1">
        <f t="array" ref="AF47">IFERROR(IF($E47&lt;44348,"",IF(INDEX(Raw_매출!$B$2:$BI$155,MATCH($A47,Raw_매출!$A$2:$A$155,0),MATCH(EDATE($E47,AF$1-1),Raw_매출!$B$1:$BI$1,0))=0,"",INDEX(Raw_매출!$B$2:$BI$155,MATCH($A47,Raw_매출!$A$2:$A$155,0),MATCH(EDATE($E47,AF$1-1),Raw_매출!$B$1:$BI$1,0))/(INDEX(요약_월별시즈널리티!$F$7:$F$18,MONTH(EDATE($E47,AF$1-1)))/100))),"")</f>
        <v>6691100.5276387837</v>
      </c>
      <c r="AG47" cm="1">
        <f t="array" ref="AG47">IFERROR(IF($E47&lt;44348,"",IF(INDEX(Raw_매출!$B$2:$BI$155,MATCH($A47,Raw_매출!$A$2:$A$155,0),MATCH(EDATE($E47,AG$1-1),Raw_매출!$B$1:$BI$1,0))=0,"",INDEX(Raw_매출!$B$2:$BI$155,MATCH($A47,Raw_매출!$A$2:$A$155,0),MATCH(EDATE($E47,AG$1-1),Raw_매출!$B$1:$BI$1,0))/(INDEX(요약_월별시즈널리티!$F$7:$F$18,MONTH(EDATE($E47,AG$1-1)))/100))),"")</f>
        <v>7628282.8517066408</v>
      </c>
      <c r="AH47" cm="1">
        <f t="array" ref="AH47">IFERROR(IF($E47&lt;44348,"",IF(INDEX(Raw_매출!$B$2:$BI$155,MATCH($A47,Raw_매출!$A$2:$A$155,0),MATCH(EDATE($E47,AH$1-1),Raw_매출!$B$1:$BI$1,0))=0,"",INDEX(Raw_매출!$B$2:$BI$155,MATCH($A47,Raw_매출!$A$2:$A$155,0),MATCH(EDATE($E47,AH$1-1),Raw_매출!$B$1:$BI$1,0))/(INDEX(요약_월별시즈널리티!$F$7:$F$18,MONTH(EDATE($E47,AH$1-1)))/100))),"")</f>
        <v>7525305.702539511</v>
      </c>
      <c r="AI47" cm="1">
        <f t="array" ref="AI47">IFERROR(IF($E47&lt;44348,"",IF(INDEX(Raw_매출!$B$2:$BI$155,MATCH($A47,Raw_매출!$A$2:$A$155,0),MATCH(EDATE($E47,AI$1-1),Raw_매출!$B$1:$BI$1,0))=0,"",INDEX(Raw_매출!$B$2:$BI$155,MATCH($A47,Raw_매출!$A$2:$A$155,0),MATCH(EDATE($E47,AI$1-1),Raw_매출!$B$1:$BI$1,0))/(INDEX(요약_월별시즈널리티!$F$7:$F$18,MONTH(EDATE($E47,AI$1-1)))/100))),"")</f>
        <v>7745530.1458989847</v>
      </c>
      <c r="AJ47" cm="1">
        <f t="array" ref="AJ47">IFERROR(IF($E47&lt;44348,"",IF(INDEX(Raw_매출!$B$2:$BI$155,MATCH($A47,Raw_매출!$A$2:$A$155,0),MATCH(EDATE($E47,AJ$1-1),Raw_매출!$B$1:$BI$1,0))=0,"",INDEX(Raw_매출!$B$2:$BI$155,MATCH($A47,Raw_매출!$A$2:$A$155,0),MATCH(EDATE($E47,AJ$1-1),Raw_매출!$B$1:$BI$1,0))/(INDEX(요약_월별시즈널리티!$F$7:$F$18,MONTH(EDATE($E47,AJ$1-1)))/100))),"")</f>
        <v>6531762.7483473253</v>
      </c>
      <c r="AK47" cm="1">
        <f t="array" ref="AK47">IFERROR(IF($E47&lt;44348,"",IF(INDEX(Raw_매출!$B$2:$BI$155,MATCH($A47,Raw_매출!$A$2:$A$155,0),MATCH(EDATE($E47,AK$1-1),Raw_매출!$B$1:$BI$1,0))=0,"",INDEX(Raw_매출!$B$2:$BI$155,MATCH($A47,Raw_매출!$A$2:$A$155,0),MATCH(EDATE($E47,AK$1-1),Raw_매출!$B$1:$BI$1,0))/(INDEX(요약_월별시즈널리티!$F$7:$F$18,MONTH(EDATE($E47,AK$1-1)))/100))),"")</f>
        <v>7165902.0142268762</v>
      </c>
      <c r="AL47" cm="1">
        <f t="array" ref="AL47">IFERROR(IF($E47&lt;44348,"",IF(INDEX(Raw_매출!$B$2:$BI$155,MATCH($A47,Raw_매출!$A$2:$A$155,0),MATCH(EDATE($E47,AL$1-1),Raw_매출!$B$1:$BI$1,0))=0,"",INDEX(Raw_매출!$B$2:$BI$155,MATCH($A47,Raw_매출!$A$2:$A$155,0),MATCH(EDATE($E47,AL$1-1),Raw_매출!$B$1:$BI$1,0))/(INDEX(요약_월별시즈널리티!$F$7:$F$18,MONTH(EDATE($E47,AL$1-1)))/100))),"")</f>
        <v>7267929.0844378322</v>
      </c>
      <c r="AM47" cm="1">
        <f t="array" ref="AM47">IFERROR(IF($E47&lt;44348,"",IF(INDEX(Raw_매출!$B$2:$BI$155,MATCH($A47,Raw_매출!$A$2:$A$155,0),MATCH(EDATE($E47,AM$1-1),Raw_매출!$B$1:$BI$1,0))=0,"",INDEX(Raw_매출!$B$2:$BI$155,MATCH($A47,Raw_매출!$A$2:$A$155,0),MATCH(EDATE($E47,AM$1-1),Raw_매출!$B$1:$BI$1,0))/(INDEX(요약_월별시즈널리티!$F$7:$F$18,MONTH(EDATE($E47,AM$1-1)))/100))),"")</f>
        <v>7185187.2823583018</v>
      </c>
      <c r="AN47" cm="1">
        <f t="array" ref="AN47">IFERROR(IF($E47&lt;44348,"",IF(INDEX(Raw_매출!$B$2:$BI$155,MATCH($A47,Raw_매출!$A$2:$A$155,0),MATCH(EDATE($E47,AN$1-1),Raw_매출!$B$1:$BI$1,0))=0,"",INDEX(Raw_매출!$B$2:$BI$155,MATCH($A47,Raw_매출!$A$2:$A$155,0),MATCH(EDATE($E47,AN$1-1),Raw_매출!$B$1:$BI$1,0))/(INDEX(요약_월별시즈널리티!$F$7:$F$18,MONTH(EDATE($E47,AN$1-1)))/100))),"")</f>
        <v>6802603.2910578577</v>
      </c>
      <c r="AO47" cm="1">
        <f t="array" ref="AO47">IFERROR(IF($E47&lt;44348,"",IF(INDEX(Raw_매출!$B$2:$BI$155,MATCH($A47,Raw_매출!$A$2:$A$155,0),MATCH(EDATE($E47,AO$1-1),Raw_매출!$B$1:$BI$1,0))=0,"",INDEX(Raw_매출!$B$2:$BI$155,MATCH($A47,Raw_매출!$A$2:$A$155,0),MATCH(EDATE($E47,AO$1-1),Raw_매출!$B$1:$BI$1,0))/(INDEX(요약_월별시즈널리티!$F$7:$F$18,MONTH(EDATE($E47,AO$1-1)))/100))),"")</f>
        <v>6778078.2821307788</v>
      </c>
      <c r="AP47" cm="1">
        <f t="array" ref="AP47">IFERROR(IF($E47&lt;44348,"",IF(INDEX(Raw_매출!$B$2:$BI$155,MATCH($A47,Raw_매출!$A$2:$A$155,0),MATCH(EDATE($E47,AP$1-1),Raw_매출!$B$1:$BI$1,0))=0,"",INDEX(Raw_매출!$B$2:$BI$155,MATCH($A47,Raw_매출!$A$2:$A$155,0),MATCH(EDATE($E47,AP$1-1),Raw_매출!$B$1:$BI$1,0))/(INDEX(요약_월별시즈널리티!$F$7:$F$18,MONTH(EDATE($E47,AP$1-1)))/100))),"")</f>
        <v>6614200.0121218478</v>
      </c>
      <c r="AQ47" cm="1">
        <f t="array" ref="AQ47">IFERROR(IF($E47&lt;44348,"",IF(INDEX(Raw_매출!$B$2:$BI$155,MATCH($A47,Raw_매출!$A$2:$A$155,0),MATCH(EDATE($E47,AQ$1-1),Raw_매출!$B$1:$BI$1,0))=0,"",INDEX(Raw_매출!$B$2:$BI$155,MATCH($A47,Raw_매출!$A$2:$A$155,0),MATCH(EDATE($E47,AQ$1-1),Raw_매출!$B$1:$BI$1,0))/(INDEX(요약_월별시즈널리티!$F$7:$F$18,MONTH(EDATE($E47,AQ$1-1)))/100))),"")</f>
        <v>6229551.2225000178</v>
      </c>
      <c r="AR47" cm="1">
        <f t="array" ref="AR47">IFERROR(IF($E47&lt;44348,"",IF(INDEX(Raw_매출!$B$2:$BI$155,MATCH($A47,Raw_매출!$A$2:$A$155,0),MATCH(EDATE($E47,AR$1-1),Raw_매출!$B$1:$BI$1,0))=0,"",INDEX(Raw_매출!$B$2:$BI$155,MATCH($A47,Raw_매출!$A$2:$A$155,0),MATCH(EDATE($E47,AR$1-1),Raw_매출!$B$1:$BI$1,0))/(INDEX(요약_월별시즈널리티!$F$7:$F$18,MONTH(EDATE($E47,AR$1-1)))/100))),"")</f>
        <v>6503778.3187194616</v>
      </c>
      <c r="AS47" cm="1">
        <f t="array" ref="AS47">IFERROR(IF($E47&lt;44348,"",IF(INDEX(Raw_매출!$B$2:$BI$155,MATCH($A47,Raw_매출!$A$2:$A$155,0),MATCH(EDATE($E47,AS$1-1),Raw_매출!$B$1:$BI$1,0))=0,"",INDEX(Raw_매출!$B$2:$BI$155,MATCH($A47,Raw_매출!$A$2:$A$155,0),MATCH(EDATE($E47,AS$1-1),Raw_매출!$B$1:$BI$1,0))/(INDEX(요약_월별시즈널리티!$F$7:$F$18,MONTH(EDATE($E47,AS$1-1)))/100))),"")</f>
        <v>7204983.0390151804</v>
      </c>
      <c r="AT47" cm="1">
        <f t="array" ref="AT47">IFERROR(IF($E47&lt;44348,"",IF(INDEX(Raw_매출!$B$2:$BI$155,MATCH($A47,Raw_매출!$A$2:$A$155,0),MATCH(EDATE($E47,AT$1-1),Raw_매출!$B$1:$BI$1,0))=0,"",INDEX(Raw_매출!$B$2:$BI$155,MATCH($A47,Raw_매출!$A$2:$A$155,0),MATCH(EDATE($E47,AT$1-1),Raw_매출!$B$1:$BI$1,0))/(INDEX(요약_월별시즈널리티!$F$7:$F$18,MONTH(EDATE($E47,AT$1-1)))/100))),"")</f>
        <v>6798303.1670723753</v>
      </c>
      <c r="AU47" cm="1">
        <f t="array" ref="AU47">IFERROR(IF($E47&lt;44348,"",IF(INDEX(Raw_매출!$B$2:$BI$155,MATCH($A47,Raw_매출!$A$2:$A$155,0),MATCH(EDATE($E47,AU$1-1),Raw_매출!$B$1:$BI$1,0))=0,"",INDEX(Raw_매출!$B$2:$BI$155,MATCH($A47,Raw_매출!$A$2:$A$155,0),MATCH(EDATE($E47,AU$1-1),Raw_매출!$B$1:$BI$1,0))/(INDEX(요약_월별시즈널리티!$F$7:$F$18,MONTH(EDATE($E47,AU$1-1)))/100))),"")</f>
        <v>7200534.8466813592</v>
      </c>
      <c r="AV47" cm="1">
        <f t="array" ref="AV47">IFERROR(IF($E47&lt;44348,"",IF(INDEX(Raw_매출!$B$2:$BI$155,MATCH($A47,Raw_매출!$A$2:$A$155,0),MATCH(EDATE($E47,AV$1-1),Raw_매출!$B$1:$BI$1,0))=0,"",INDEX(Raw_매출!$B$2:$BI$155,MATCH($A47,Raw_매출!$A$2:$A$155,0),MATCH(EDATE($E47,AV$1-1),Raw_매출!$B$1:$BI$1,0))/(INDEX(요약_월별시즈널리티!$F$7:$F$18,MONTH(EDATE($E47,AV$1-1)))/100))),"")</f>
        <v>8074855.53830266</v>
      </c>
      <c r="AW47" cm="1">
        <f t="array" ref="AW47">IFERROR(IF($E47&lt;44348,"",IF(INDEX(Raw_매출!$B$2:$BI$155,MATCH($A47,Raw_매출!$A$2:$A$155,0),MATCH(EDATE($E47,AW$1-1),Raw_매출!$B$1:$BI$1,0))=0,"",INDEX(Raw_매출!$B$2:$BI$155,MATCH($A47,Raw_매출!$A$2:$A$155,0),MATCH(EDATE($E47,AW$1-1),Raw_매출!$B$1:$BI$1,0))/(INDEX(요약_월별시즈널리티!$F$7:$F$18,MONTH(EDATE($E47,AW$1-1)))/100))),"")</f>
        <v>8159464.4053895231</v>
      </c>
      <c r="AX47" cm="1">
        <f t="array" ref="AX47">IFERROR(IF($E47&lt;44348,"",IF(INDEX(Raw_매출!$B$2:$BI$155,MATCH($A47,Raw_매출!$A$2:$A$155,0),MATCH(EDATE($E47,AX$1-1),Raw_매출!$B$1:$BI$1,0))=0,"",INDEX(Raw_매출!$B$2:$BI$155,MATCH($A47,Raw_매출!$A$2:$A$155,0),MATCH(EDATE($E47,AX$1-1),Raw_매출!$B$1:$BI$1,0))/(INDEX(요약_월별시즈널리티!$F$7:$F$18,MONTH(EDATE($E47,AX$1-1)))/100))),"")</f>
        <v>7759872.7647260176</v>
      </c>
      <c r="AY47" cm="1">
        <f t="array" ref="AY47">IFERROR(IF($E47&lt;44348,"",IF(INDEX(Raw_매출!$B$2:$BI$155,MATCH($A47,Raw_매출!$A$2:$A$155,0),MATCH(EDATE($E47,AY$1-1),Raw_매출!$B$1:$BI$1,0))=0,"",INDEX(Raw_매출!$B$2:$BI$155,MATCH($A47,Raw_매출!$A$2:$A$155,0),MATCH(EDATE($E47,AY$1-1),Raw_매출!$B$1:$BI$1,0))/(INDEX(요약_월별시즈널리티!$F$7:$F$18,MONTH(EDATE($E47,AY$1-1)))/100))),"")</f>
        <v>8293686.069640765</v>
      </c>
      <c r="AZ47" cm="1">
        <f t="array" ref="AZ47">IFERROR(IF($E47&lt;44348,"",IF(INDEX(Raw_매출!$B$2:$BI$155,MATCH($A47,Raw_매출!$A$2:$A$155,0),MATCH(EDATE($E47,AZ$1-1),Raw_매출!$B$1:$BI$1,0))=0,"",INDEX(Raw_매출!$B$2:$BI$155,MATCH($A47,Raw_매출!$A$2:$A$155,0),MATCH(EDATE($E47,AZ$1-1),Raw_매출!$B$1:$BI$1,0))/(INDEX(요약_월별시즈널리티!$F$7:$F$18,MONTH(EDATE($E47,AZ$1-1)))/100))),"")</f>
        <v>7839162.3035378698</v>
      </c>
      <c r="BA47" cm="1">
        <f t="array" ref="BA47">IFERROR(IF($E47&lt;44348,"",IF(INDEX(Raw_매출!$B$2:$BI$155,MATCH($A47,Raw_매출!$A$2:$A$155,0),MATCH(EDATE($E47,BA$1-1),Raw_매출!$B$1:$BI$1,0))=0,"",INDEX(Raw_매출!$B$2:$BI$155,MATCH($A47,Raw_매출!$A$2:$A$155,0),MATCH(EDATE($E47,BA$1-1),Raw_매출!$B$1:$BI$1,0))/(INDEX(요약_월별시즈널리티!$F$7:$F$18,MONTH(EDATE($E47,BA$1-1)))/100))),"")</f>
        <v>7993524.7167742765</v>
      </c>
      <c r="BB47" cm="1">
        <f t="array" ref="BB47">IFERROR(IF($E47&lt;44348,"",IF(INDEX(Raw_매출!$B$2:$BI$155,MATCH($A47,Raw_매출!$A$2:$A$155,0),MATCH(EDATE($E47,BB$1-1),Raw_매출!$B$1:$BI$1,0))=0,"",INDEX(Raw_매출!$B$2:$BI$155,MATCH($A47,Raw_매출!$A$2:$A$155,0),MATCH(EDATE($E47,BB$1-1),Raw_매출!$B$1:$BI$1,0))/(INDEX(요약_월별시즈널리티!$F$7:$F$18,MONTH(EDATE($E47,BB$1-1)))/100))),"")</f>
        <v>7519979.684457032</v>
      </c>
      <c r="BC47" cm="1">
        <f t="array" ref="BC47">IFERROR(IF($E47&lt;44348,"",IF(INDEX(Raw_매출!$B$2:$BI$155,MATCH($A47,Raw_매출!$A$2:$A$155,0),MATCH(EDATE($E47,BC$1-1),Raw_매출!$B$1:$BI$1,0))=0,"",INDEX(Raw_매출!$B$2:$BI$155,MATCH($A47,Raw_매출!$A$2:$A$155,0),MATCH(EDATE($E47,BC$1-1),Raw_매출!$B$1:$BI$1,0))/(INDEX(요약_월별시즈널리티!$F$7:$F$18,MONTH(EDATE($E47,BC$1-1)))/100))),"")</f>
        <v>7077324.7516046101</v>
      </c>
      <c r="BD47" cm="1">
        <f t="array" ref="BD47">IFERROR(IF($E47&lt;44348,"",IF(INDEX(Raw_매출!$B$2:$BI$155,MATCH($A47,Raw_매출!$A$2:$A$155,0),MATCH(EDATE($E47,BD$1-1),Raw_매출!$B$1:$BI$1,0))=0,"",INDEX(Raw_매출!$B$2:$BI$155,MATCH($A47,Raw_매출!$A$2:$A$155,0),MATCH(EDATE($E47,BD$1-1),Raw_매출!$B$1:$BI$1,0))/(INDEX(요약_월별시즈널리티!$F$7:$F$18,MONTH(EDATE($E47,BD$1-1)))/100))),"")</f>
        <v>7970773.1053307187</v>
      </c>
      <c r="BE47" cm="1">
        <f t="array" ref="BE47">IFERROR(IF($E47&lt;44348,"",IF(INDEX(Raw_매출!$B$2:$BI$155,MATCH($A47,Raw_매출!$A$2:$A$155,0),MATCH(EDATE($E47,BE$1-1),Raw_매출!$B$1:$BI$1,0))=0,"",INDEX(Raw_매출!$B$2:$BI$155,MATCH($A47,Raw_매출!$A$2:$A$155,0),MATCH(EDATE($E47,BE$1-1),Raw_매출!$B$1:$BI$1,0))/(INDEX(요약_월별시즈널리티!$F$7:$F$18,MONTH(EDATE($E47,BE$1-1)))/100))),"")</f>
        <v>7655155.0755847255</v>
      </c>
      <c r="BF47" cm="1">
        <f t="array" ref="BF47">IFERROR(IF($E47&lt;44348,"",IF(INDEX(Raw_매출!$B$2:$BI$155,MATCH($A47,Raw_매출!$A$2:$A$155,0),MATCH(EDATE($E47,BF$1-1),Raw_매출!$B$1:$BI$1,0))=0,"",INDEX(Raw_매출!$B$2:$BI$155,MATCH($A47,Raw_매출!$A$2:$A$155,0),MATCH(EDATE($E47,BF$1-1),Raw_매출!$B$1:$BI$1,0))/(INDEX(요약_월별시즈널리티!$F$7:$F$18,MONTH(EDATE($E47,BF$1-1)))/100))),"")</f>
        <v>7733916.035992519</v>
      </c>
      <c r="BG47" cm="1">
        <f t="array" ref="BG47">IFERROR(IF($E47&lt;44348,"",IF(INDEX(Raw_매출!$B$2:$BI$155,MATCH($A47,Raw_매출!$A$2:$A$155,0),MATCH(EDATE($E47,BG$1-1),Raw_매출!$B$1:$BI$1,0))=0,"",INDEX(Raw_매출!$B$2:$BI$155,MATCH($A47,Raw_매출!$A$2:$A$155,0),MATCH(EDATE($E47,BG$1-1),Raw_매출!$B$1:$BI$1,0))/(INDEX(요약_월별시즈널리티!$F$7:$F$18,MONTH(EDATE($E47,BG$1-1)))/100))),"")</f>
        <v>7858131.2814576002</v>
      </c>
      <c r="BH47" cm="1">
        <f t="array" ref="BH47">IFERROR(IF($E47&lt;44348,"",IF(INDEX(Raw_매출!$B$2:$BI$155,MATCH($A47,Raw_매출!$A$2:$A$155,0),MATCH(EDATE($E47,BH$1-1),Raw_매출!$B$1:$BI$1,0))=0,"",INDEX(Raw_매출!$B$2:$BI$155,MATCH($A47,Raw_매출!$A$2:$A$155,0),MATCH(EDATE($E47,BH$1-1),Raw_매출!$B$1:$BI$1,0))/(INDEX(요약_월별시즈널리티!$F$7:$F$18,MONTH(EDATE($E47,BH$1-1)))/100))),"")</f>
        <v>8190755.2446267158</v>
      </c>
      <c r="BI47" t="str" cm="1">
        <f t="array" ref="BI47">IFERROR(IF($E47&lt;44348,"",IF(INDEX(Raw_매출!$B$2:$BI$155,MATCH($A47,Raw_매출!$A$2:$A$155,0),MATCH(EDATE($E47,BI$1-1),Raw_매출!$B$1:$BI$1,0))=0,"",INDEX(Raw_매출!$B$2:$BI$155,MATCH($A47,Raw_매출!$A$2:$A$155,0),MATCH(EDATE($E47,BI$1-1),Raw_매출!$B$1:$BI$1,0))/(INDEX(요약_월별시즈널리티!$F$7:$F$18,MONTH(EDATE($E47,BI$1-1)))/100))),"")</f>
        <v/>
      </c>
      <c r="BJ47" t="str" cm="1">
        <f t="array" ref="BJ47">IFERROR(IF($E47&lt;44348,"",IF(INDEX(Raw_매출!$B$2:$BI$155,MATCH($A47,Raw_매출!$A$2:$A$155,0),MATCH(EDATE($E47,BJ$1-1),Raw_매출!$B$1:$BI$1,0))=0,"",INDEX(Raw_매출!$B$2:$BI$155,MATCH($A47,Raw_매출!$A$2:$A$155,0),MATCH(EDATE($E47,BJ$1-1),Raw_매출!$B$1:$BI$1,0))/(INDEX(요약_월별시즈널리티!$F$7:$F$18,MONTH(EDATE($E47,BJ$1-1)))/100))),"")</f>
        <v/>
      </c>
      <c r="BK47" t="str" cm="1">
        <f t="array" ref="BK47">IFERROR(IF($E47&lt;44348,"",IF(INDEX(Raw_매출!$B$2:$BI$155,MATCH($A47,Raw_매출!$A$2:$A$155,0),MATCH(EDATE($E47,BK$1-1),Raw_매출!$B$1:$BI$1,0))=0,"",INDEX(Raw_매출!$B$2:$BI$155,MATCH($A47,Raw_매출!$A$2:$A$155,0),MATCH(EDATE($E47,BK$1-1),Raw_매출!$B$1:$BI$1,0))/(INDEX(요약_월별시즈널리티!$F$7:$F$18,MONTH(EDATE($E47,BK$1-1)))/100))),"")</f>
        <v/>
      </c>
      <c r="BL47" t="str" cm="1">
        <f t="array" ref="BL47">IFERROR(IF($E47&lt;44348,"",IF(INDEX(Raw_매출!$B$2:$BI$155,MATCH($A47,Raw_매출!$A$2:$A$155,0),MATCH(EDATE($E47,BL$1-1),Raw_매출!$B$1:$BI$1,0))=0,"",INDEX(Raw_매출!$B$2:$BI$155,MATCH($A47,Raw_매출!$A$2:$A$155,0),MATCH(EDATE($E47,BL$1-1),Raw_매출!$B$1:$BI$1,0))/(INDEX(요약_월별시즈널리티!$F$7:$F$18,MONTH(EDATE($E47,BL$1-1)))/100))),"")</f>
        <v/>
      </c>
      <c r="BM47" t="str" cm="1">
        <f t="array" ref="BM47">IFERROR(IF($E47&lt;44348,"",IF(INDEX(Raw_매출!$B$2:$BI$155,MATCH($A47,Raw_매출!$A$2:$A$155,0),MATCH(EDATE($E47,BM$1-1),Raw_매출!$B$1:$BI$1,0))=0,"",INDEX(Raw_매출!$B$2:$BI$155,MATCH($A47,Raw_매출!$A$2:$A$155,0),MATCH(EDATE($E47,BM$1-1),Raw_매출!$B$1:$BI$1,0))/(INDEX(요약_월별시즈널리티!$F$7:$F$18,MONTH(EDATE($E47,BM$1-1)))/100))),"")</f>
        <v/>
      </c>
      <c r="BN47" t="str" cm="1">
        <f t="array" ref="BN47">IFERROR(IF($E47&lt;44348,"",IF(INDEX(Raw_매출!$B$2:$BI$155,MATCH($A47,Raw_매출!$A$2:$A$155,0),MATCH(EDATE($E47,BN$1-1),Raw_매출!$B$1:$BI$1,0))=0,"",INDEX(Raw_매출!$B$2:$BI$155,MATCH($A47,Raw_매출!$A$2:$A$155,0),MATCH(EDATE($E47,BN$1-1),Raw_매출!$B$1:$BI$1,0))/(INDEX(요약_월별시즈널리티!$F$7:$F$18,MONTH(EDATE($E47,BN$1-1)))/100))),"")</f>
        <v/>
      </c>
    </row>
    <row r="48" spans="1:66" x14ac:dyDescent="0.4">
      <c r="A48" t="str">
        <f>세팅!A49</f>
        <v>(1037) #신림퍼스트점</v>
      </c>
      <c r="B48" t="str">
        <f>세팅!B49</f>
        <v>150-2</v>
      </c>
      <c r="C48">
        <f t="shared" si="0"/>
        <v>2</v>
      </c>
      <c r="D48" t="str">
        <f t="shared" si="1"/>
        <v>2</v>
      </c>
      <c r="E48" s="1" t="e">
        <f>세팅!D49</f>
        <v>#N/A</v>
      </c>
      <c r="F48" t="str">
        <f t="shared" si="2"/>
        <v/>
      </c>
      <c r="G48" t="str" cm="1">
        <f t="array" ref="G48">IFERROR(IF($E48&lt;44348,"",IF(INDEX(Raw_매출!$B$2:$BI$155,MATCH($A48,Raw_매출!$A$2:$A$155,0),MATCH(EDATE($E48,G$1-1),Raw_매출!$B$1:$BI$1,0))=0,"",INDEX(Raw_매출!$B$2:$BI$155,MATCH($A48,Raw_매출!$A$2:$A$155,0),MATCH(EDATE($E48,G$1-1),Raw_매출!$B$1:$BI$1,0))/(INDEX(요약_월별시즈널리티!$F$7:$F$18,MONTH(EDATE($E48,G$1-1)))/100))),"")</f>
        <v/>
      </c>
      <c r="H48" t="str" cm="1">
        <f t="array" ref="H48">IFERROR(IF($E48&lt;44348,"",IF(INDEX(Raw_매출!$B$2:$BI$155,MATCH($A48,Raw_매출!$A$2:$A$155,0),MATCH(EDATE($E48,H$1-1),Raw_매출!$B$1:$BI$1,0))=0,"",INDEX(Raw_매출!$B$2:$BI$155,MATCH($A48,Raw_매출!$A$2:$A$155,0),MATCH(EDATE($E48,H$1-1),Raw_매출!$B$1:$BI$1,0))/(INDEX(요약_월별시즈널리티!$F$7:$F$18,MONTH(EDATE($E48,H$1-1)))/100))),"")</f>
        <v/>
      </c>
      <c r="I48" t="str" cm="1">
        <f t="array" ref="I48">IFERROR(IF($E48&lt;44348,"",IF(INDEX(Raw_매출!$B$2:$BI$155,MATCH($A48,Raw_매출!$A$2:$A$155,0),MATCH(EDATE($E48,I$1-1),Raw_매출!$B$1:$BI$1,0))=0,"",INDEX(Raw_매출!$B$2:$BI$155,MATCH($A48,Raw_매출!$A$2:$A$155,0),MATCH(EDATE($E48,I$1-1),Raw_매출!$B$1:$BI$1,0))/(INDEX(요약_월별시즈널리티!$F$7:$F$18,MONTH(EDATE($E48,I$1-1)))/100))),"")</f>
        <v/>
      </c>
      <c r="J48" s="30" t="str" cm="1">
        <f t="array" ref="J48">IFERROR(IF($E48&lt;44348,"",IF(INDEX(Raw_매출!$B$2:$BI$155,MATCH($A48,Raw_매출!$A$2:$A$155,0),MATCH(EDATE($E48,J$1-1),Raw_매출!$B$1:$BI$1,0))=0,"",INDEX(Raw_매출!$B$2:$BI$155,MATCH($A48,Raw_매출!$A$2:$A$155,0),MATCH(EDATE($E48,J$1-1),Raw_매출!$B$1:$BI$1,0))/(INDEX(요약_월별시즈널리티!$F$7:$F$18,MONTH(EDATE($E48,J$1-1)))/100))),"")</f>
        <v/>
      </c>
      <c r="K48" s="30" t="str" cm="1">
        <f t="array" ref="K48">IFERROR(IF($E48&lt;44348,"",IF(INDEX(Raw_매출!$B$2:$BI$155,MATCH($A48,Raw_매출!$A$2:$A$155,0),MATCH(EDATE($E48,K$1-1),Raw_매출!$B$1:$BI$1,0))=0,"",INDEX(Raw_매출!$B$2:$BI$155,MATCH($A48,Raw_매출!$A$2:$A$155,0),MATCH(EDATE($E48,K$1-1),Raw_매출!$B$1:$BI$1,0))/(INDEX(요약_월별시즈널리티!$F$7:$F$18,MONTH(EDATE($E48,K$1-1)))/100))),"")</f>
        <v/>
      </c>
      <c r="L48" s="30" t="str" cm="1">
        <f t="array" ref="L48">IFERROR(IF($E48&lt;44348,"",IF(INDEX(Raw_매출!$B$2:$BI$155,MATCH($A48,Raw_매출!$A$2:$A$155,0),MATCH(EDATE($E48,L$1-1),Raw_매출!$B$1:$BI$1,0))=0,"",INDEX(Raw_매출!$B$2:$BI$155,MATCH($A48,Raw_매출!$A$2:$A$155,0),MATCH(EDATE($E48,L$1-1),Raw_매출!$B$1:$BI$1,0))/(INDEX(요약_월별시즈널리티!$F$7:$F$18,MONTH(EDATE($E48,L$1-1)))/100))),"")</f>
        <v/>
      </c>
      <c r="M48" s="30" t="str" cm="1">
        <f t="array" ref="M48">IFERROR(IF($E48&lt;44348,"",IF(INDEX(Raw_매출!$B$2:$BI$155,MATCH($A48,Raw_매출!$A$2:$A$155,0),MATCH(EDATE($E48,M$1-1),Raw_매출!$B$1:$BI$1,0))=0,"",INDEX(Raw_매출!$B$2:$BI$155,MATCH($A48,Raw_매출!$A$2:$A$155,0),MATCH(EDATE($E48,M$1-1),Raw_매출!$B$1:$BI$1,0))/(INDEX(요약_월별시즈널리티!$F$7:$F$18,MONTH(EDATE($E48,M$1-1)))/100))),"")</f>
        <v/>
      </c>
      <c r="N48" s="30" t="str" cm="1">
        <f t="array" ref="N48">IFERROR(IF($E48&lt;44348,"",IF(INDEX(Raw_매출!$B$2:$BI$155,MATCH($A48,Raw_매출!$A$2:$A$155,0),MATCH(EDATE($E48,N$1-1),Raw_매출!$B$1:$BI$1,0))=0,"",INDEX(Raw_매출!$B$2:$BI$155,MATCH($A48,Raw_매출!$A$2:$A$155,0),MATCH(EDATE($E48,N$1-1),Raw_매출!$B$1:$BI$1,0))/(INDEX(요약_월별시즈널리티!$F$7:$F$18,MONTH(EDATE($E48,N$1-1)))/100))),"")</f>
        <v/>
      </c>
      <c r="O48" s="30" t="str" cm="1">
        <f t="array" ref="O48">IFERROR(IF($E48&lt;44348,"",IF(INDEX(Raw_매출!$B$2:$BI$155,MATCH($A48,Raw_매출!$A$2:$A$155,0),MATCH(EDATE($E48,O$1-1),Raw_매출!$B$1:$BI$1,0))=0,"",INDEX(Raw_매출!$B$2:$BI$155,MATCH($A48,Raw_매출!$A$2:$A$155,0),MATCH(EDATE($E48,O$1-1),Raw_매출!$B$1:$BI$1,0))/(INDEX(요약_월별시즈널리티!$F$7:$F$18,MONTH(EDATE($E48,O$1-1)))/100))),"")</f>
        <v/>
      </c>
      <c r="P48" t="str" cm="1">
        <f t="array" ref="P48">IFERROR(IF($E48&lt;44348,"",IF(INDEX(Raw_매출!$B$2:$BI$155,MATCH($A48,Raw_매출!$A$2:$A$155,0),MATCH(EDATE($E48,P$1-1),Raw_매출!$B$1:$BI$1,0))=0,"",INDEX(Raw_매출!$B$2:$BI$155,MATCH($A48,Raw_매출!$A$2:$A$155,0),MATCH(EDATE($E48,P$1-1),Raw_매출!$B$1:$BI$1,0))/(INDEX(요약_월별시즈널리티!$F$7:$F$18,MONTH(EDATE($E48,P$1-1)))/100))),"")</f>
        <v/>
      </c>
      <c r="Q48" t="str" cm="1">
        <f t="array" ref="Q48">IFERROR(IF($E48&lt;44348,"",IF(INDEX(Raw_매출!$B$2:$BI$155,MATCH($A48,Raw_매출!$A$2:$A$155,0),MATCH(EDATE($E48,Q$1-1),Raw_매출!$B$1:$BI$1,0))=0,"",INDEX(Raw_매출!$B$2:$BI$155,MATCH($A48,Raw_매출!$A$2:$A$155,0),MATCH(EDATE($E48,Q$1-1),Raw_매출!$B$1:$BI$1,0))/(INDEX(요약_월별시즈널리티!$F$7:$F$18,MONTH(EDATE($E48,Q$1-1)))/100))),"")</f>
        <v/>
      </c>
      <c r="R48" t="str" cm="1">
        <f t="array" ref="R48">IFERROR(IF($E48&lt;44348,"",IF(INDEX(Raw_매출!$B$2:$BI$155,MATCH($A48,Raw_매출!$A$2:$A$155,0),MATCH(EDATE($E48,R$1-1),Raw_매출!$B$1:$BI$1,0))=0,"",INDEX(Raw_매출!$B$2:$BI$155,MATCH($A48,Raw_매출!$A$2:$A$155,0),MATCH(EDATE($E48,R$1-1),Raw_매출!$B$1:$BI$1,0))/(INDEX(요약_월별시즈널리티!$F$7:$F$18,MONTH(EDATE($E48,R$1-1)))/100))),"")</f>
        <v/>
      </c>
      <c r="S48" t="str" cm="1">
        <f t="array" ref="S48">IFERROR(IF($E48&lt;44348,"",IF(INDEX(Raw_매출!$B$2:$BI$155,MATCH($A48,Raw_매출!$A$2:$A$155,0),MATCH(EDATE($E48,S$1-1),Raw_매출!$B$1:$BI$1,0))=0,"",INDEX(Raw_매출!$B$2:$BI$155,MATCH($A48,Raw_매출!$A$2:$A$155,0),MATCH(EDATE($E48,S$1-1),Raw_매출!$B$1:$BI$1,0))/(INDEX(요약_월별시즈널리티!$F$7:$F$18,MONTH(EDATE($E48,S$1-1)))/100))),"")</f>
        <v/>
      </c>
      <c r="T48" t="str" cm="1">
        <f t="array" ref="T48">IFERROR(IF($E48&lt;44348,"",IF(INDEX(Raw_매출!$B$2:$BI$155,MATCH($A48,Raw_매출!$A$2:$A$155,0),MATCH(EDATE($E48,T$1-1),Raw_매출!$B$1:$BI$1,0))=0,"",INDEX(Raw_매출!$B$2:$BI$155,MATCH($A48,Raw_매출!$A$2:$A$155,0),MATCH(EDATE($E48,T$1-1),Raw_매출!$B$1:$BI$1,0))/(INDEX(요약_월별시즈널리티!$F$7:$F$18,MONTH(EDATE($E48,T$1-1)))/100))),"")</f>
        <v/>
      </c>
      <c r="U48" t="str" cm="1">
        <f t="array" ref="U48">IFERROR(IF($E48&lt;44348,"",IF(INDEX(Raw_매출!$B$2:$BI$155,MATCH($A48,Raw_매출!$A$2:$A$155,0),MATCH(EDATE($E48,U$1-1),Raw_매출!$B$1:$BI$1,0))=0,"",INDEX(Raw_매출!$B$2:$BI$155,MATCH($A48,Raw_매출!$A$2:$A$155,0),MATCH(EDATE($E48,U$1-1),Raw_매출!$B$1:$BI$1,0))/(INDEX(요약_월별시즈널리티!$F$7:$F$18,MONTH(EDATE($E48,U$1-1)))/100))),"")</f>
        <v/>
      </c>
      <c r="V48" t="str" cm="1">
        <f t="array" ref="V48">IFERROR(IF($E48&lt;44348,"",IF(INDEX(Raw_매출!$B$2:$BI$155,MATCH($A48,Raw_매출!$A$2:$A$155,0),MATCH(EDATE($E48,V$1-1),Raw_매출!$B$1:$BI$1,0))=0,"",INDEX(Raw_매출!$B$2:$BI$155,MATCH($A48,Raw_매출!$A$2:$A$155,0),MATCH(EDATE($E48,V$1-1),Raw_매출!$B$1:$BI$1,0))/(INDEX(요약_월별시즈널리티!$F$7:$F$18,MONTH(EDATE($E48,V$1-1)))/100))),"")</f>
        <v/>
      </c>
      <c r="W48" t="str" cm="1">
        <f t="array" ref="W48">IFERROR(IF($E48&lt;44348,"",IF(INDEX(Raw_매출!$B$2:$BI$155,MATCH($A48,Raw_매출!$A$2:$A$155,0),MATCH(EDATE($E48,W$1-1),Raw_매출!$B$1:$BI$1,0))=0,"",INDEX(Raw_매출!$B$2:$BI$155,MATCH($A48,Raw_매출!$A$2:$A$155,0),MATCH(EDATE($E48,W$1-1),Raw_매출!$B$1:$BI$1,0))/(INDEX(요약_월별시즈널리티!$F$7:$F$18,MONTH(EDATE($E48,W$1-1)))/100))),"")</f>
        <v/>
      </c>
      <c r="X48" t="str" cm="1">
        <f t="array" ref="X48">IFERROR(IF($E48&lt;44348,"",IF(INDEX(Raw_매출!$B$2:$BI$155,MATCH($A48,Raw_매출!$A$2:$A$155,0),MATCH(EDATE($E48,X$1-1),Raw_매출!$B$1:$BI$1,0))=0,"",INDEX(Raw_매출!$B$2:$BI$155,MATCH($A48,Raw_매출!$A$2:$A$155,0),MATCH(EDATE($E48,X$1-1),Raw_매출!$B$1:$BI$1,0))/(INDEX(요약_월별시즈널리티!$F$7:$F$18,MONTH(EDATE($E48,X$1-1)))/100))),"")</f>
        <v/>
      </c>
      <c r="Y48" t="str" cm="1">
        <f t="array" ref="Y48">IFERROR(IF($E48&lt;44348,"",IF(INDEX(Raw_매출!$B$2:$BI$155,MATCH($A48,Raw_매출!$A$2:$A$155,0),MATCH(EDATE($E48,Y$1-1),Raw_매출!$B$1:$BI$1,0))=0,"",INDEX(Raw_매출!$B$2:$BI$155,MATCH($A48,Raw_매출!$A$2:$A$155,0),MATCH(EDATE($E48,Y$1-1),Raw_매출!$B$1:$BI$1,0))/(INDEX(요약_월별시즈널리티!$F$7:$F$18,MONTH(EDATE($E48,Y$1-1)))/100))),"")</f>
        <v/>
      </c>
      <c r="Z48" t="str" cm="1">
        <f t="array" ref="Z48">IFERROR(IF($E48&lt;44348,"",IF(INDEX(Raw_매출!$B$2:$BI$155,MATCH($A48,Raw_매출!$A$2:$A$155,0),MATCH(EDATE($E48,Z$1-1),Raw_매출!$B$1:$BI$1,0))=0,"",INDEX(Raw_매출!$B$2:$BI$155,MATCH($A48,Raw_매출!$A$2:$A$155,0),MATCH(EDATE($E48,Z$1-1),Raw_매출!$B$1:$BI$1,0))/(INDEX(요약_월별시즈널리티!$F$7:$F$18,MONTH(EDATE($E48,Z$1-1)))/100))),"")</f>
        <v/>
      </c>
      <c r="AA48" t="str" cm="1">
        <f t="array" ref="AA48">IFERROR(IF($E48&lt;44348,"",IF(INDEX(Raw_매출!$B$2:$BI$155,MATCH($A48,Raw_매출!$A$2:$A$155,0),MATCH(EDATE($E48,AA$1-1),Raw_매출!$B$1:$BI$1,0))=0,"",INDEX(Raw_매출!$B$2:$BI$155,MATCH($A48,Raw_매출!$A$2:$A$155,0),MATCH(EDATE($E48,AA$1-1),Raw_매출!$B$1:$BI$1,0))/(INDEX(요약_월별시즈널리티!$F$7:$F$18,MONTH(EDATE($E48,AA$1-1)))/100))),"")</f>
        <v/>
      </c>
      <c r="AB48" t="str" cm="1">
        <f t="array" ref="AB48">IFERROR(IF($E48&lt;44348,"",IF(INDEX(Raw_매출!$B$2:$BI$155,MATCH($A48,Raw_매출!$A$2:$A$155,0),MATCH(EDATE($E48,AB$1-1),Raw_매출!$B$1:$BI$1,0))=0,"",INDEX(Raw_매출!$B$2:$BI$155,MATCH($A48,Raw_매출!$A$2:$A$155,0),MATCH(EDATE($E48,AB$1-1),Raw_매출!$B$1:$BI$1,0))/(INDEX(요약_월별시즈널리티!$F$7:$F$18,MONTH(EDATE($E48,AB$1-1)))/100))),"")</f>
        <v/>
      </c>
      <c r="AC48" t="str" cm="1">
        <f t="array" ref="AC48">IFERROR(IF($E48&lt;44348,"",IF(INDEX(Raw_매출!$B$2:$BI$155,MATCH($A48,Raw_매출!$A$2:$A$155,0),MATCH(EDATE($E48,AC$1-1),Raw_매출!$B$1:$BI$1,0))=0,"",INDEX(Raw_매출!$B$2:$BI$155,MATCH($A48,Raw_매출!$A$2:$A$155,0),MATCH(EDATE($E48,AC$1-1),Raw_매출!$B$1:$BI$1,0))/(INDEX(요약_월별시즈널리티!$F$7:$F$18,MONTH(EDATE($E48,AC$1-1)))/100))),"")</f>
        <v/>
      </c>
      <c r="AD48" t="str" cm="1">
        <f t="array" ref="AD48">IFERROR(IF($E48&lt;44348,"",IF(INDEX(Raw_매출!$B$2:$BI$155,MATCH($A48,Raw_매출!$A$2:$A$155,0),MATCH(EDATE($E48,AD$1-1),Raw_매출!$B$1:$BI$1,0))=0,"",INDEX(Raw_매출!$B$2:$BI$155,MATCH($A48,Raw_매출!$A$2:$A$155,0),MATCH(EDATE($E48,AD$1-1),Raw_매출!$B$1:$BI$1,0))/(INDEX(요약_월별시즈널리티!$F$7:$F$18,MONTH(EDATE($E48,AD$1-1)))/100))),"")</f>
        <v/>
      </c>
      <c r="AE48" t="str" cm="1">
        <f t="array" ref="AE48">IFERROR(IF($E48&lt;44348,"",IF(INDEX(Raw_매출!$B$2:$BI$155,MATCH($A48,Raw_매출!$A$2:$A$155,0),MATCH(EDATE($E48,AE$1-1),Raw_매출!$B$1:$BI$1,0))=0,"",INDEX(Raw_매출!$B$2:$BI$155,MATCH($A48,Raw_매출!$A$2:$A$155,0),MATCH(EDATE($E48,AE$1-1),Raw_매출!$B$1:$BI$1,0))/(INDEX(요약_월별시즈널리티!$F$7:$F$18,MONTH(EDATE($E48,AE$1-1)))/100))),"")</f>
        <v/>
      </c>
      <c r="AF48" t="str" cm="1">
        <f t="array" ref="AF48">IFERROR(IF($E48&lt;44348,"",IF(INDEX(Raw_매출!$B$2:$BI$155,MATCH($A48,Raw_매출!$A$2:$A$155,0),MATCH(EDATE($E48,AF$1-1),Raw_매출!$B$1:$BI$1,0))=0,"",INDEX(Raw_매출!$B$2:$BI$155,MATCH($A48,Raw_매출!$A$2:$A$155,0),MATCH(EDATE($E48,AF$1-1),Raw_매출!$B$1:$BI$1,0))/(INDEX(요약_월별시즈널리티!$F$7:$F$18,MONTH(EDATE($E48,AF$1-1)))/100))),"")</f>
        <v/>
      </c>
      <c r="AG48" t="str" cm="1">
        <f t="array" ref="AG48">IFERROR(IF($E48&lt;44348,"",IF(INDEX(Raw_매출!$B$2:$BI$155,MATCH($A48,Raw_매출!$A$2:$A$155,0),MATCH(EDATE($E48,AG$1-1),Raw_매출!$B$1:$BI$1,0))=0,"",INDEX(Raw_매출!$B$2:$BI$155,MATCH($A48,Raw_매출!$A$2:$A$155,0),MATCH(EDATE($E48,AG$1-1),Raw_매출!$B$1:$BI$1,0))/(INDEX(요약_월별시즈널리티!$F$7:$F$18,MONTH(EDATE($E48,AG$1-1)))/100))),"")</f>
        <v/>
      </c>
      <c r="AH48" t="str" cm="1">
        <f t="array" ref="AH48">IFERROR(IF($E48&lt;44348,"",IF(INDEX(Raw_매출!$B$2:$BI$155,MATCH($A48,Raw_매출!$A$2:$A$155,0),MATCH(EDATE($E48,AH$1-1),Raw_매출!$B$1:$BI$1,0))=0,"",INDEX(Raw_매출!$B$2:$BI$155,MATCH($A48,Raw_매출!$A$2:$A$155,0),MATCH(EDATE($E48,AH$1-1),Raw_매출!$B$1:$BI$1,0))/(INDEX(요약_월별시즈널리티!$F$7:$F$18,MONTH(EDATE($E48,AH$1-1)))/100))),"")</f>
        <v/>
      </c>
      <c r="AI48" t="str" cm="1">
        <f t="array" ref="AI48">IFERROR(IF($E48&lt;44348,"",IF(INDEX(Raw_매출!$B$2:$BI$155,MATCH($A48,Raw_매출!$A$2:$A$155,0),MATCH(EDATE($E48,AI$1-1),Raw_매출!$B$1:$BI$1,0))=0,"",INDEX(Raw_매출!$B$2:$BI$155,MATCH($A48,Raw_매출!$A$2:$A$155,0),MATCH(EDATE($E48,AI$1-1),Raw_매출!$B$1:$BI$1,0))/(INDEX(요약_월별시즈널리티!$F$7:$F$18,MONTH(EDATE($E48,AI$1-1)))/100))),"")</f>
        <v/>
      </c>
      <c r="AJ48" t="str" cm="1">
        <f t="array" ref="AJ48">IFERROR(IF($E48&lt;44348,"",IF(INDEX(Raw_매출!$B$2:$BI$155,MATCH($A48,Raw_매출!$A$2:$A$155,0),MATCH(EDATE($E48,AJ$1-1),Raw_매출!$B$1:$BI$1,0))=0,"",INDEX(Raw_매출!$B$2:$BI$155,MATCH($A48,Raw_매출!$A$2:$A$155,0),MATCH(EDATE($E48,AJ$1-1),Raw_매출!$B$1:$BI$1,0))/(INDEX(요약_월별시즈널리티!$F$7:$F$18,MONTH(EDATE($E48,AJ$1-1)))/100))),"")</f>
        <v/>
      </c>
      <c r="AK48" t="str" cm="1">
        <f t="array" ref="AK48">IFERROR(IF($E48&lt;44348,"",IF(INDEX(Raw_매출!$B$2:$BI$155,MATCH($A48,Raw_매출!$A$2:$A$155,0),MATCH(EDATE($E48,AK$1-1),Raw_매출!$B$1:$BI$1,0))=0,"",INDEX(Raw_매출!$B$2:$BI$155,MATCH($A48,Raw_매출!$A$2:$A$155,0),MATCH(EDATE($E48,AK$1-1),Raw_매출!$B$1:$BI$1,0))/(INDEX(요약_월별시즈널리티!$F$7:$F$18,MONTH(EDATE($E48,AK$1-1)))/100))),"")</f>
        <v/>
      </c>
      <c r="AL48" t="str" cm="1">
        <f t="array" ref="AL48">IFERROR(IF($E48&lt;44348,"",IF(INDEX(Raw_매출!$B$2:$BI$155,MATCH($A48,Raw_매출!$A$2:$A$155,0),MATCH(EDATE($E48,AL$1-1),Raw_매출!$B$1:$BI$1,0))=0,"",INDEX(Raw_매출!$B$2:$BI$155,MATCH($A48,Raw_매출!$A$2:$A$155,0),MATCH(EDATE($E48,AL$1-1),Raw_매출!$B$1:$BI$1,0))/(INDEX(요약_월별시즈널리티!$F$7:$F$18,MONTH(EDATE($E48,AL$1-1)))/100))),"")</f>
        <v/>
      </c>
      <c r="AM48" t="str" cm="1">
        <f t="array" ref="AM48">IFERROR(IF($E48&lt;44348,"",IF(INDEX(Raw_매출!$B$2:$BI$155,MATCH($A48,Raw_매출!$A$2:$A$155,0),MATCH(EDATE($E48,AM$1-1),Raw_매출!$B$1:$BI$1,0))=0,"",INDEX(Raw_매출!$B$2:$BI$155,MATCH($A48,Raw_매출!$A$2:$A$155,0),MATCH(EDATE($E48,AM$1-1),Raw_매출!$B$1:$BI$1,0))/(INDEX(요약_월별시즈널리티!$F$7:$F$18,MONTH(EDATE($E48,AM$1-1)))/100))),"")</f>
        <v/>
      </c>
      <c r="AN48" t="str" cm="1">
        <f t="array" ref="AN48">IFERROR(IF($E48&lt;44348,"",IF(INDEX(Raw_매출!$B$2:$BI$155,MATCH($A48,Raw_매출!$A$2:$A$155,0),MATCH(EDATE($E48,AN$1-1),Raw_매출!$B$1:$BI$1,0))=0,"",INDEX(Raw_매출!$B$2:$BI$155,MATCH($A48,Raw_매출!$A$2:$A$155,0),MATCH(EDATE($E48,AN$1-1),Raw_매출!$B$1:$BI$1,0))/(INDEX(요약_월별시즈널리티!$F$7:$F$18,MONTH(EDATE($E48,AN$1-1)))/100))),"")</f>
        <v/>
      </c>
      <c r="AO48" t="str" cm="1">
        <f t="array" ref="AO48">IFERROR(IF($E48&lt;44348,"",IF(INDEX(Raw_매출!$B$2:$BI$155,MATCH($A48,Raw_매출!$A$2:$A$155,0),MATCH(EDATE($E48,AO$1-1),Raw_매출!$B$1:$BI$1,0))=0,"",INDEX(Raw_매출!$B$2:$BI$155,MATCH($A48,Raw_매출!$A$2:$A$155,0),MATCH(EDATE($E48,AO$1-1),Raw_매출!$B$1:$BI$1,0))/(INDEX(요약_월별시즈널리티!$F$7:$F$18,MONTH(EDATE($E48,AO$1-1)))/100))),"")</f>
        <v/>
      </c>
      <c r="AP48" t="str" cm="1">
        <f t="array" ref="AP48">IFERROR(IF($E48&lt;44348,"",IF(INDEX(Raw_매출!$B$2:$BI$155,MATCH($A48,Raw_매출!$A$2:$A$155,0),MATCH(EDATE($E48,AP$1-1),Raw_매출!$B$1:$BI$1,0))=0,"",INDEX(Raw_매출!$B$2:$BI$155,MATCH($A48,Raw_매출!$A$2:$A$155,0),MATCH(EDATE($E48,AP$1-1),Raw_매출!$B$1:$BI$1,0))/(INDEX(요약_월별시즈널리티!$F$7:$F$18,MONTH(EDATE($E48,AP$1-1)))/100))),"")</f>
        <v/>
      </c>
      <c r="AQ48" t="str" cm="1">
        <f t="array" ref="AQ48">IFERROR(IF($E48&lt;44348,"",IF(INDEX(Raw_매출!$B$2:$BI$155,MATCH($A48,Raw_매출!$A$2:$A$155,0),MATCH(EDATE($E48,AQ$1-1),Raw_매출!$B$1:$BI$1,0))=0,"",INDEX(Raw_매출!$B$2:$BI$155,MATCH($A48,Raw_매출!$A$2:$A$155,0),MATCH(EDATE($E48,AQ$1-1),Raw_매출!$B$1:$BI$1,0))/(INDEX(요약_월별시즈널리티!$F$7:$F$18,MONTH(EDATE($E48,AQ$1-1)))/100))),"")</f>
        <v/>
      </c>
      <c r="AR48" t="str" cm="1">
        <f t="array" ref="AR48">IFERROR(IF($E48&lt;44348,"",IF(INDEX(Raw_매출!$B$2:$BI$155,MATCH($A48,Raw_매출!$A$2:$A$155,0),MATCH(EDATE($E48,AR$1-1),Raw_매출!$B$1:$BI$1,0))=0,"",INDEX(Raw_매출!$B$2:$BI$155,MATCH($A48,Raw_매출!$A$2:$A$155,0),MATCH(EDATE($E48,AR$1-1),Raw_매출!$B$1:$BI$1,0))/(INDEX(요약_월별시즈널리티!$F$7:$F$18,MONTH(EDATE($E48,AR$1-1)))/100))),"")</f>
        <v/>
      </c>
      <c r="AS48" t="str" cm="1">
        <f t="array" ref="AS48">IFERROR(IF($E48&lt;44348,"",IF(INDEX(Raw_매출!$B$2:$BI$155,MATCH($A48,Raw_매출!$A$2:$A$155,0),MATCH(EDATE($E48,AS$1-1),Raw_매출!$B$1:$BI$1,0))=0,"",INDEX(Raw_매출!$B$2:$BI$155,MATCH($A48,Raw_매출!$A$2:$A$155,0),MATCH(EDATE($E48,AS$1-1),Raw_매출!$B$1:$BI$1,0))/(INDEX(요약_월별시즈널리티!$F$7:$F$18,MONTH(EDATE($E48,AS$1-1)))/100))),"")</f>
        <v/>
      </c>
      <c r="AT48" t="str" cm="1">
        <f t="array" ref="AT48">IFERROR(IF($E48&lt;44348,"",IF(INDEX(Raw_매출!$B$2:$BI$155,MATCH($A48,Raw_매출!$A$2:$A$155,0),MATCH(EDATE($E48,AT$1-1),Raw_매출!$B$1:$BI$1,0))=0,"",INDEX(Raw_매출!$B$2:$BI$155,MATCH($A48,Raw_매출!$A$2:$A$155,0),MATCH(EDATE($E48,AT$1-1),Raw_매출!$B$1:$BI$1,0))/(INDEX(요약_월별시즈널리티!$F$7:$F$18,MONTH(EDATE($E48,AT$1-1)))/100))),"")</f>
        <v/>
      </c>
      <c r="AU48" t="str" cm="1">
        <f t="array" ref="AU48">IFERROR(IF($E48&lt;44348,"",IF(INDEX(Raw_매출!$B$2:$BI$155,MATCH($A48,Raw_매출!$A$2:$A$155,0),MATCH(EDATE($E48,AU$1-1),Raw_매출!$B$1:$BI$1,0))=0,"",INDEX(Raw_매출!$B$2:$BI$155,MATCH($A48,Raw_매출!$A$2:$A$155,0),MATCH(EDATE($E48,AU$1-1),Raw_매출!$B$1:$BI$1,0))/(INDEX(요약_월별시즈널리티!$F$7:$F$18,MONTH(EDATE($E48,AU$1-1)))/100))),"")</f>
        <v/>
      </c>
      <c r="AV48" t="str" cm="1">
        <f t="array" ref="AV48">IFERROR(IF($E48&lt;44348,"",IF(INDEX(Raw_매출!$B$2:$BI$155,MATCH($A48,Raw_매출!$A$2:$A$155,0),MATCH(EDATE($E48,AV$1-1),Raw_매출!$B$1:$BI$1,0))=0,"",INDEX(Raw_매출!$B$2:$BI$155,MATCH($A48,Raw_매출!$A$2:$A$155,0),MATCH(EDATE($E48,AV$1-1),Raw_매출!$B$1:$BI$1,0))/(INDEX(요약_월별시즈널리티!$F$7:$F$18,MONTH(EDATE($E48,AV$1-1)))/100))),"")</f>
        <v/>
      </c>
      <c r="AW48" t="str" cm="1">
        <f t="array" ref="AW48">IFERROR(IF($E48&lt;44348,"",IF(INDEX(Raw_매출!$B$2:$BI$155,MATCH($A48,Raw_매출!$A$2:$A$155,0),MATCH(EDATE($E48,AW$1-1),Raw_매출!$B$1:$BI$1,0))=0,"",INDEX(Raw_매출!$B$2:$BI$155,MATCH($A48,Raw_매출!$A$2:$A$155,0),MATCH(EDATE($E48,AW$1-1),Raw_매출!$B$1:$BI$1,0))/(INDEX(요약_월별시즈널리티!$F$7:$F$18,MONTH(EDATE($E48,AW$1-1)))/100))),"")</f>
        <v/>
      </c>
      <c r="AX48" t="str" cm="1">
        <f t="array" ref="AX48">IFERROR(IF($E48&lt;44348,"",IF(INDEX(Raw_매출!$B$2:$BI$155,MATCH($A48,Raw_매출!$A$2:$A$155,0),MATCH(EDATE($E48,AX$1-1),Raw_매출!$B$1:$BI$1,0))=0,"",INDEX(Raw_매출!$B$2:$BI$155,MATCH($A48,Raw_매출!$A$2:$A$155,0),MATCH(EDATE($E48,AX$1-1),Raw_매출!$B$1:$BI$1,0))/(INDEX(요약_월별시즈널리티!$F$7:$F$18,MONTH(EDATE($E48,AX$1-1)))/100))),"")</f>
        <v/>
      </c>
      <c r="AY48" t="str" cm="1">
        <f t="array" ref="AY48">IFERROR(IF($E48&lt;44348,"",IF(INDEX(Raw_매출!$B$2:$BI$155,MATCH($A48,Raw_매출!$A$2:$A$155,0),MATCH(EDATE($E48,AY$1-1),Raw_매출!$B$1:$BI$1,0))=0,"",INDEX(Raw_매출!$B$2:$BI$155,MATCH($A48,Raw_매출!$A$2:$A$155,0),MATCH(EDATE($E48,AY$1-1),Raw_매출!$B$1:$BI$1,0))/(INDEX(요약_월별시즈널리티!$F$7:$F$18,MONTH(EDATE($E48,AY$1-1)))/100))),"")</f>
        <v/>
      </c>
      <c r="AZ48" t="str" cm="1">
        <f t="array" ref="AZ48">IFERROR(IF($E48&lt;44348,"",IF(INDEX(Raw_매출!$B$2:$BI$155,MATCH($A48,Raw_매출!$A$2:$A$155,0),MATCH(EDATE($E48,AZ$1-1),Raw_매출!$B$1:$BI$1,0))=0,"",INDEX(Raw_매출!$B$2:$BI$155,MATCH($A48,Raw_매출!$A$2:$A$155,0),MATCH(EDATE($E48,AZ$1-1),Raw_매출!$B$1:$BI$1,0))/(INDEX(요약_월별시즈널리티!$F$7:$F$18,MONTH(EDATE($E48,AZ$1-1)))/100))),"")</f>
        <v/>
      </c>
      <c r="BA48" t="str" cm="1">
        <f t="array" ref="BA48">IFERROR(IF($E48&lt;44348,"",IF(INDEX(Raw_매출!$B$2:$BI$155,MATCH($A48,Raw_매출!$A$2:$A$155,0),MATCH(EDATE($E48,BA$1-1),Raw_매출!$B$1:$BI$1,0))=0,"",INDEX(Raw_매출!$B$2:$BI$155,MATCH($A48,Raw_매출!$A$2:$A$155,0),MATCH(EDATE($E48,BA$1-1),Raw_매출!$B$1:$BI$1,0))/(INDEX(요약_월별시즈널리티!$F$7:$F$18,MONTH(EDATE($E48,BA$1-1)))/100))),"")</f>
        <v/>
      </c>
      <c r="BB48" t="str" cm="1">
        <f t="array" ref="BB48">IFERROR(IF($E48&lt;44348,"",IF(INDEX(Raw_매출!$B$2:$BI$155,MATCH($A48,Raw_매출!$A$2:$A$155,0),MATCH(EDATE($E48,BB$1-1),Raw_매출!$B$1:$BI$1,0))=0,"",INDEX(Raw_매출!$B$2:$BI$155,MATCH($A48,Raw_매출!$A$2:$A$155,0),MATCH(EDATE($E48,BB$1-1),Raw_매출!$B$1:$BI$1,0))/(INDEX(요약_월별시즈널리티!$F$7:$F$18,MONTH(EDATE($E48,BB$1-1)))/100))),"")</f>
        <v/>
      </c>
      <c r="BC48" t="str" cm="1">
        <f t="array" ref="BC48">IFERROR(IF($E48&lt;44348,"",IF(INDEX(Raw_매출!$B$2:$BI$155,MATCH($A48,Raw_매출!$A$2:$A$155,0),MATCH(EDATE($E48,BC$1-1),Raw_매출!$B$1:$BI$1,0))=0,"",INDEX(Raw_매출!$B$2:$BI$155,MATCH($A48,Raw_매출!$A$2:$A$155,0),MATCH(EDATE($E48,BC$1-1),Raw_매출!$B$1:$BI$1,0))/(INDEX(요약_월별시즈널리티!$F$7:$F$18,MONTH(EDATE($E48,BC$1-1)))/100))),"")</f>
        <v/>
      </c>
      <c r="BD48" t="str" cm="1">
        <f t="array" ref="BD48">IFERROR(IF($E48&lt;44348,"",IF(INDEX(Raw_매출!$B$2:$BI$155,MATCH($A48,Raw_매출!$A$2:$A$155,0),MATCH(EDATE($E48,BD$1-1),Raw_매출!$B$1:$BI$1,0))=0,"",INDEX(Raw_매출!$B$2:$BI$155,MATCH($A48,Raw_매출!$A$2:$A$155,0),MATCH(EDATE($E48,BD$1-1),Raw_매출!$B$1:$BI$1,0))/(INDEX(요약_월별시즈널리티!$F$7:$F$18,MONTH(EDATE($E48,BD$1-1)))/100))),"")</f>
        <v/>
      </c>
      <c r="BE48" t="str" cm="1">
        <f t="array" ref="BE48">IFERROR(IF($E48&lt;44348,"",IF(INDEX(Raw_매출!$B$2:$BI$155,MATCH($A48,Raw_매출!$A$2:$A$155,0),MATCH(EDATE($E48,BE$1-1),Raw_매출!$B$1:$BI$1,0))=0,"",INDEX(Raw_매출!$B$2:$BI$155,MATCH($A48,Raw_매출!$A$2:$A$155,0),MATCH(EDATE($E48,BE$1-1),Raw_매출!$B$1:$BI$1,0))/(INDEX(요약_월별시즈널리티!$F$7:$F$18,MONTH(EDATE($E48,BE$1-1)))/100))),"")</f>
        <v/>
      </c>
      <c r="BF48" t="str" cm="1">
        <f t="array" ref="BF48">IFERROR(IF($E48&lt;44348,"",IF(INDEX(Raw_매출!$B$2:$BI$155,MATCH($A48,Raw_매출!$A$2:$A$155,0),MATCH(EDATE($E48,BF$1-1),Raw_매출!$B$1:$BI$1,0))=0,"",INDEX(Raw_매출!$B$2:$BI$155,MATCH($A48,Raw_매출!$A$2:$A$155,0),MATCH(EDATE($E48,BF$1-1),Raw_매출!$B$1:$BI$1,0))/(INDEX(요약_월별시즈널리티!$F$7:$F$18,MONTH(EDATE($E48,BF$1-1)))/100))),"")</f>
        <v/>
      </c>
      <c r="BG48" t="str" cm="1">
        <f t="array" ref="BG48">IFERROR(IF($E48&lt;44348,"",IF(INDEX(Raw_매출!$B$2:$BI$155,MATCH($A48,Raw_매출!$A$2:$A$155,0),MATCH(EDATE($E48,BG$1-1),Raw_매출!$B$1:$BI$1,0))=0,"",INDEX(Raw_매출!$B$2:$BI$155,MATCH($A48,Raw_매출!$A$2:$A$155,0),MATCH(EDATE($E48,BG$1-1),Raw_매출!$B$1:$BI$1,0))/(INDEX(요약_월별시즈널리티!$F$7:$F$18,MONTH(EDATE($E48,BG$1-1)))/100))),"")</f>
        <v/>
      </c>
      <c r="BH48" t="str" cm="1">
        <f t="array" ref="BH48">IFERROR(IF($E48&lt;44348,"",IF(INDEX(Raw_매출!$B$2:$BI$155,MATCH($A48,Raw_매출!$A$2:$A$155,0),MATCH(EDATE($E48,BH$1-1),Raw_매출!$B$1:$BI$1,0))=0,"",INDEX(Raw_매출!$B$2:$BI$155,MATCH($A48,Raw_매출!$A$2:$A$155,0),MATCH(EDATE($E48,BH$1-1),Raw_매출!$B$1:$BI$1,0))/(INDEX(요약_월별시즈널리티!$F$7:$F$18,MONTH(EDATE($E48,BH$1-1)))/100))),"")</f>
        <v/>
      </c>
      <c r="BI48" t="str" cm="1">
        <f t="array" ref="BI48">IFERROR(IF($E48&lt;44348,"",IF(INDEX(Raw_매출!$B$2:$BI$155,MATCH($A48,Raw_매출!$A$2:$A$155,0),MATCH(EDATE($E48,BI$1-1),Raw_매출!$B$1:$BI$1,0))=0,"",INDEX(Raw_매출!$B$2:$BI$155,MATCH($A48,Raw_매출!$A$2:$A$155,0),MATCH(EDATE($E48,BI$1-1),Raw_매출!$B$1:$BI$1,0))/(INDEX(요약_월별시즈널리티!$F$7:$F$18,MONTH(EDATE($E48,BI$1-1)))/100))),"")</f>
        <v/>
      </c>
      <c r="BJ48" t="str" cm="1">
        <f t="array" ref="BJ48">IFERROR(IF($E48&lt;44348,"",IF(INDEX(Raw_매출!$B$2:$BI$155,MATCH($A48,Raw_매출!$A$2:$A$155,0),MATCH(EDATE($E48,BJ$1-1),Raw_매출!$B$1:$BI$1,0))=0,"",INDEX(Raw_매출!$B$2:$BI$155,MATCH($A48,Raw_매출!$A$2:$A$155,0),MATCH(EDATE($E48,BJ$1-1),Raw_매출!$B$1:$BI$1,0))/(INDEX(요약_월별시즈널리티!$F$7:$F$18,MONTH(EDATE($E48,BJ$1-1)))/100))),"")</f>
        <v/>
      </c>
      <c r="BK48" t="str" cm="1">
        <f t="array" ref="BK48">IFERROR(IF($E48&lt;44348,"",IF(INDEX(Raw_매출!$B$2:$BI$155,MATCH($A48,Raw_매출!$A$2:$A$155,0),MATCH(EDATE($E48,BK$1-1),Raw_매출!$B$1:$BI$1,0))=0,"",INDEX(Raw_매출!$B$2:$BI$155,MATCH($A48,Raw_매출!$A$2:$A$155,0),MATCH(EDATE($E48,BK$1-1),Raw_매출!$B$1:$BI$1,0))/(INDEX(요약_월별시즈널리티!$F$7:$F$18,MONTH(EDATE($E48,BK$1-1)))/100))),"")</f>
        <v/>
      </c>
      <c r="BL48" t="str" cm="1">
        <f t="array" ref="BL48">IFERROR(IF($E48&lt;44348,"",IF(INDEX(Raw_매출!$B$2:$BI$155,MATCH($A48,Raw_매출!$A$2:$A$155,0),MATCH(EDATE($E48,BL$1-1),Raw_매출!$B$1:$BI$1,0))=0,"",INDEX(Raw_매출!$B$2:$BI$155,MATCH($A48,Raw_매출!$A$2:$A$155,0),MATCH(EDATE($E48,BL$1-1),Raw_매출!$B$1:$BI$1,0))/(INDEX(요약_월별시즈널리티!$F$7:$F$18,MONTH(EDATE($E48,BL$1-1)))/100))),"")</f>
        <v/>
      </c>
      <c r="BM48" t="str" cm="1">
        <f t="array" ref="BM48">IFERROR(IF($E48&lt;44348,"",IF(INDEX(Raw_매출!$B$2:$BI$155,MATCH($A48,Raw_매출!$A$2:$A$155,0),MATCH(EDATE($E48,BM$1-1),Raw_매출!$B$1:$BI$1,0))=0,"",INDEX(Raw_매출!$B$2:$BI$155,MATCH($A48,Raw_매출!$A$2:$A$155,0),MATCH(EDATE($E48,BM$1-1),Raw_매출!$B$1:$BI$1,0))/(INDEX(요약_월별시즈널리티!$F$7:$F$18,MONTH(EDATE($E48,BM$1-1)))/100))),"")</f>
        <v/>
      </c>
      <c r="BN48" t="str" cm="1">
        <f t="array" ref="BN48">IFERROR(IF($E48&lt;44348,"",IF(INDEX(Raw_매출!$B$2:$BI$155,MATCH($A48,Raw_매출!$A$2:$A$155,0),MATCH(EDATE($E48,BN$1-1),Raw_매출!$B$1:$BI$1,0))=0,"",INDEX(Raw_매출!$B$2:$BI$155,MATCH($A48,Raw_매출!$A$2:$A$155,0),MATCH(EDATE($E48,BN$1-1),Raw_매출!$B$1:$BI$1,0))/(INDEX(요약_월별시즈널리티!$F$7:$F$18,MONTH(EDATE($E48,BN$1-1)))/100))),"")</f>
        <v/>
      </c>
    </row>
    <row r="49" spans="1:66" x14ac:dyDescent="0.4">
      <c r="A49" t="str">
        <f>세팅!A50</f>
        <v>(1038) #한양여대점</v>
      </c>
      <c r="B49" t="str">
        <f>세팅!B50</f>
        <v>150-2</v>
      </c>
      <c r="C49">
        <f t="shared" si="0"/>
        <v>2</v>
      </c>
      <c r="D49" t="str">
        <f t="shared" si="1"/>
        <v>2</v>
      </c>
      <c r="E49" s="1">
        <f>세팅!D50</f>
        <v>44621</v>
      </c>
      <c r="F49">
        <f t="shared" si="2"/>
        <v>1067284.8522959696</v>
      </c>
      <c r="G49" cm="1">
        <f t="array" ref="G49">IFERROR(IF($E49&lt;44348,"",IF(INDEX(Raw_매출!$B$2:$BI$155,MATCH($A49,Raw_매출!$A$2:$A$155,0),MATCH(EDATE($E49,G$1-1),Raw_매출!$B$1:$BI$1,0))=0,"",INDEX(Raw_매출!$B$2:$BI$155,MATCH($A49,Raw_매출!$A$2:$A$155,0),MATCH(EDATE($E49,G$1-1),Raw_매출!$B$1:$BI$1,0))/(INDEX(요약_월별시즈널리티!$F$7:$F$18,MONTH(EDATE($E49,G$1-1)))/100))),"")</f>
        <v>708025.797521926</v>
      </c>
      <c r="H49" cm="1">
        <f t="array" ref="H49">IFERROR(IF($E49&lt;44348,"",IF(INDEX(Raw_매출!$B$2:$BI$155,MATCH($A49,Raw_매출!$A$2:$A$155,0),MATCH(EDATE($E49,H$1-1),Raw_매출!$B$1:$BI$1,0))=0,"",INDEX(Raw_매출!$B$2:$BI$155,MATCH($A49,Raw_매출!$A$2:$A$155,0),MATCH(EDATE($E49,H$1-1),Raw_매출!$B$1:$BI$1,0))/(INDEX(요약_월별시즈널리티!$F$7:$F$18,MONTH(EDATE($E49,H$1-1)))/100))),"")</f>
        <v>815855.64168321469</v>
      </c>
      <c r="I49" cm="1">
        <f t="array" ref="I49">IFERROR(IF($E49&lt;44348,"",IF(INDEX(Raw_매출!$B$2:$BI$155,MATCH($A49,Raw_매출!$A$2:$A$155,0),MATCH(EDATE($E49,I$1-1),Raw_매출!$B$1:$BI$1,0))=0,"",INDEX(Raw_매출!$B$2:$BI$155,MATCH($A49,Raw_매출!$A$2:$A$155,0),MATCH(EDATE($E49,I$1-1),Raw_매출!$B$1:$BI$1,0))/(INDEX(요약_월별시즈널리티!$F$7:$F$18,MONTH(EDATE($E49,I$1-1)))/100))),"")</f>
        <v>969051.3768362297</v>
      </c>
      <c r="J49" s="30" cm="1">
        <f t="array" ref="J49">IFERROR(IF($E49&lt;44348,"",IF(INDEX(Raw_매출!$B$2:$BI$155,MATCH($A49,Raw_매출!$A$2:$A$155,0),MATCH(EDATE($E49,J$1-1),Raw_매출!$B$1:$BI$1,0))=0,"",INDEX(Raw_매출!$B$2:$BI$155,MATCH($A49,Raw_매출!$A$2:$A$155,0),MATCH(EDATE($E49,J$1-1),Raw_매출!$B$1:$BI$1,0))/(INDEX(요약_월별시즈널리티!$F$7:$F$18,MONTH(EDATE($E49,J$1-1)))/100))),"")</f>
        <v>1195966.0806914272</v>
      </c>
      <c r="K49" s="30" cm="1">
        <f t="array" ref="K49">IFERROR(IF($E49&lt;44348,"",IF(INDEX(Raw_매출!$B$2:$BI$155,MATCH($A49,Raw_매출!$A$2:$A$155,0),MATCH(EDATE($E49,K$1-1),Raw_매출!$B$1:$BI$1,0))=0,"",INDEX(Raw_매출!$B$2:$BI$155,MATCH($A49,Raw_매출!$A$2:$A$155,0),MATCH(EDATE($E49,K$1-1),Raw_매출!$B$1:$BI$1,0))/(INDEX(요약_월별시즈널리티!$F$7:$F$18,MONTH(EDATE($E49,K$1-1)))/100))),"")</f>
        <v>1276869.7423294848</v>
      </c>
      <c r="L49" s="30" cm="1">
        <f t="array" ref="L49">IFERROR(IF($E49&lt;44348,"",IF(INDEX(Raw_매출!$B$2:$BI$155,MATCH($A49,Raw_매출!$A$2:$A$155,0),MATCH(EDATE($E49,L$1-1),Raw_매출!$B$1:$BI$1,0))=0,"",INDEX(Raw_매출!$B$2:$BI$155,MATCH($A49,Raw_매출!$A$2:$A$155,0),MATCH(EDATE($E49,L$1-1),Raw_매출!$B$1:$BI$1,0))/(INDEX(요약_월별시즈널리티!$F$7:$F$18,MONTH(EDATE($E49,L$1-1)))/100))),"")</f>
        <v>1169677.5484678238</v>
      </c>
      <c r="M49" s="30" cm="1">
        <f t="array" ref="M49">IFERROR(IF($E49&lt;44348,"",IF(INDEX(Raw_매출!$B$2:$BI$155,MATCH($A49,Raw_매출!$A$2:$A$155,0),MATCH(EDATE($E49,M$1-1),Raw_매출!$B$1:$BI$1,0))=0,"",INDEX(Raw_매출!$B$2:$BI$155,MATCH($A49,Raw_매출!$A$2:$A$155,0),MATCH(EDATE($E49,M$1-1),Raw_매출!$B$1:$BI$1,0))/(INDEX(요약_월별시즈널리티!$F$7:$F$18,MONTH(EDATE($E49,M$1-1)))/100))),"")</f>
        <v>1304827.4842599889</v>
      </c>
      <c r="N49" s="30" cm="1">
        <f t="array" ref="N49">IFERROR(IF($E49&lt;44348,"",IF(INDEX(Raw_매출!$B$2:$BI$155,MATCH($A49,Raw_매출!$A$2:$A$155,0),MATCH(EDATE($E49,N$1-1),Raw_매출!$B$1:$BI$1,0))=0,"",INDEX(Raw_매출!$B$2:$BI$155,MATCH($A49,Raw_매출!$A$2:$A$155,0),MATCH(EDATE($E49,N$1-1),Raw_매출!$B$1:$BI$1,0))/(INDEX(요약_월별시즈널리티!$F$7:$F$18,MONTH(EDATE($E49,N$1-1)))/100))),"")</f>
        <v>638983.337974453</v>
      </c>
      <c r="O49" s="30" cm="1">
        <f t="array" ref="O49">IFERROR(IF($E49&lt;44348,"",IF(INDEX(Raw_매출!$B$2:$BI$155,MATCH($A49,Raw_매출!$A$2:$A$155,0),MATCH(EDATE($E49,O$1-1),Raw_매출!$B$1:$BI$1,0))=0,"",INDEX(Raw_매출!$B$2:$BI$155,MATCH($A49,Raw_매출!$A$2:$A$155,0),MATCH(EDATE($E49,O$1-1),Raw_매출!$B$1:$BI$1,0))/(INDEX(요약_월별시즈널리티!$F$7:$F$18,MONTH(EDATE($E49,O$1-1)))/100))),"")</f>
        <v>817384.92005264037</v>
      </c>
      <c r="P49" cm="1">
        <f t="array" ref="P49">IFERROR(IF($E49&lt;44348,"",IF(INDEX(Raw_매출!$B$2:$BI$155,MATCH($A49,Raw_매출!$A$2:$A$155,0),MATCH(EDATE($E49,P$1-1),Raw_매출!$B$1:$BI$1,0))=0,"",INDEX(Raw_매출!$B$2:$BI$155,MATCH($A49,Raw_매출!$A$2:$A$155,0),MATCH(EDATE($E49,P$1-1),Raw_매출!$B$1:$BI$1,0))/(INDEX(요약_월별시즈널리티!$F$7:$F$18,MONTH(EDATE($E49,P$1-1)))/100))),"")</f>
        <v>1667395.0388926717</v>
      </c>
      <c r="Q49" cm="1">
        <f t="array" ref="Q49">IFERROR(IF($E49&lt;44348,"",IF(INDEX(Raw_매출!$B$2:$BI$155,MATCH($A49,Raw_매출!$A$2:$A$155,0),MATCH(EDATE($E49,Q$1-1),Raw_매출!$B$1:$BI$1,0))=0,"",INDEX(Raw_매출!$B$2:$BI$155,MATCH($A49,Raw_매출!$A$2:$A$155,0),MATCH(EDATE($E49,Q$1-1),Raw_매출!$B$1:$BI$1,0))/(INDEX(요약_월별시즈널리티!$F$7:$F$18,MONTH(EDATE($E49,Q$1-1)))/100))),"")</f>
        <v>2577514.9262935924</v>
      </c>
      <c r="R49" cm="1">
        <f t="array" ref="R49">IFERROR(IF($E49&lt;44348,"",IF(INDEX(Raw_매출!$B$2:$BI$155,MATCH($A49,Raw_매출!$A$2:$A$155,0),MATCH(EDATE($E49,R$1-1),Raw_매출!$B$1:$BI$1,0))=0,"",INDEX(Raw_매출!$B$2:$BI$155,MATCH($A49,Raw_매출!$A$2:$A$155,0),MATCH(EDATE($E49,R$1-1),Raw_매출!$B$1:$BI$1,0))/(INDEX(요약_월별시즈널리티!$F$7:$F$18,MONTH(EDATE($E49,R$1-1)))/100))),"")</f>
        <v>3186689.8284456874</v>
      </c>
      <c r="S49" cm="1">
        <f t="array" ref="S49">IFERROR(IF($E49&lt;44348,"",IF(INDEX(Raw_매출!$B$2:$BI$155,MATCH($A49,Raw_매출!$A$2:$A$155,0),MATCH(EDATE($E49,S$1-1),Raw_매출!$B$1:$BI$1,0))=0,"",INDEX(Raw_매출!$B$2:$BI$155,MATCH($A49,Raw_매출!$A$2:$A$155,0),MATCH(EDATE($E49,S$1-1),Raw_매출!$B$1:$BI$1,0))/(INDEX(요약_월별시즈널리티!$F$7:$F$18,MONTH(EDATE($E49,S$1-1)))/100))),"")</f>
        <v>6658838.550676777</v>
      </c>
      <c r="T49" cm="1">
        <f t="array" ref="T49">IFERROR(IF($E49&lt;44348,"",IF(INDEX(Raw_매출!$B$2:$BI$155,MATCH($A49,Raw_매출!$A$2:$A$155,0),MATCH(EDATE($E49,T$1-1),Raw_매출!$B$1:$BI$1,0))=0,"",INDEX(Raw_매출!$B$2:$BI$155,MATCH($A49,Raw_매출!$A$2:$A$155,0),MATCH(EDATE($E49,T$1-1),Raw_매출!$B$1:$BI$1,0))/(INDEX(요약_월별시즈널리티!$F$7:$F$18,MONTH(EDATE($E49,T$1-1)))/100))),"")</f>
        <v>4317102.252320935</v>
      </c>
      <c r="U49" cm="1">
        <f t="array" ref="U49">IFERROR(IF($E49&lt;44348,"",IF(INDEX(Raw_매출!$B$2:$BI$155,MATCH($A49,Raw_매출!$A$2:$A$155,0),MATCH(EDATE($E49,U$1-1),Raw_매출!$B$1:$BI$1,0))=0,"",INDEX(Raw_매출!$B$2:$BI$155,MATCH($A49,Raw_매출!$A$2:$A$155,0),MATCH(EDATE($E49,U$1-1),Raw_매출!$B$1:$BI$1,0))/(INDEX(요약_월별시즈널리티!$F$7:$F$18,MONTH(EDATE($E49,U$1-1)))/100))),"")</f>
        <v>4668920.7767867036</v>
      </c>
      <c r="V49" cm="1">
        <f t="array" ref="V49">IFERROR(IF($E49&lt;44348,"",IF(INDEX(Raw_매출!$B$2:$BI$155,MATCH($A49,Raw_매출!$A$2:$A$155,0),MATCH(EDATE($E49,V$1-1),Raw_매출!$B$1:$BI$1,0))=0,"",INDEX(Raw_매출!$B$2:$BI$155,MATCH($A49,Raw_매출!$A$2:$A$155,0),MATCH(EDATE($E49,V$1-1),Raw_매출!$B$1:$BI$1,0))/(INDEX(요약_월별시즈널리티!$F$7:$F$18,MONTH(EDATE($E49,V$1-1)))/100))),"")</f>
        <v>4340627.0949464338</v>
      </c>
      <c r="W49" cm="1">
        <f t="array" ref="W49">IFERROR(IF($E49&lt;44348,"",IF(INDEX(Raw_매출!$B$2:$BI$155,MATCH($A49,Raw_매출!$A$2:$A$155,0),MATCH(EDATE($E49,W$1-1),Raw_매출!$B$1:$BI$1,0))=0,"",INDEX(Raw_매출!$B$2:$BI$155,MATCH($A49,Raw_매출!$A$2:$A$155,0),MATCH(EDATE($E49,W$1-1),Raw_매출!$B$1:$BI$1,0))/(INDEX(요약_월별시즈널리티!$F$7:$F$18,MONTH(EDATE($E49,W$1-1)))/100))),"")</f>
        <v>4641825.2728761323</v>
      </c>
      <c r="X49" cm="1">
        <f t="array" ref="X49">IFERROR(IF($E49&lt;44348,"",IF(INDEX(Raw_매출!$B$2:$BI$155,MATCH($A49,Raw_매출!$A$2:$A$155,0),MATCH(EDATE($E49,X$1-1),Raw_매출!$B$1:$BI$1,0))=0,"",INDEX(Raw_매출!$B$2:$BI$155,MATCH($A49,Raw_매출!$A$2:$A$155,0),MATCH(EDATE($E49,X$1-1),Raw_매출!$B$1:$BI$1,0))/(INDEX(요약_월별시즈널리티!$F$7:$F$18,MONTH(EDATE($E49,X$1-1)))/100))),"")</f>
        <v>4903218.5101866256</v>
      </c>
      <c r="Y49" cm="1">
        <f t="array" ref="Y49">IFERROR(IF($E49&lt;44348,"",IF(INDEX(Raw_매출!$B$2:$BI$155,MATCH($A49,Raw_매출!$A$2:$A$155,0),MATCH(EDATE($E49,Y$1-1),Raw_매출!$B$1:$BI$1,0))=0,"",INDEX(Raw_매출!$B$2:$BI$155,MATCH($A49,Raw_매출!$A$2:$A$155,0),MATCH(EDATE($E49,Y$1-1),Raw_매출!$B$1:$BI$1,0))/(INDEX(요약_월별시즈널리티!$F$7:$F$18,MONTH(EDATE($E49,Y$1-1)))/100))),"")</f>
        <v>4065975.2368439538</v>
      </c>
      <c r="Z49" cm="1">
        <f t="array" ref="Z49">IFERROR(IF($E49&lt;44348,"",IF(INDEX(Raw_매출!$B$2:$BI$155,MATCH($A49,Raw_매출!$A$2:$A$155,0),MATCH(EDATE($E49,Z$1-1),Raw_매출!$B$1:$BI$1,0))=0,"",INDEX(Raw_매출!$B$2:$BI$155,MATCH($A49,Raw_매출!$A$2:$A$155,0),MATCH(EDATE($E49,Z$1-1),Raw_매출!$B$1:$BI$1,0))/(INDEX(요약_월별시즈널리티!$F$7:$F$18,MONTH(EDATE($E49,Z$1-1)))/100))),"")</f>
        <v>3950877.84754116</v>
      </c>
      <c r="AA49" cm="1">
        <f t="array" ref="AA49">IFERROR(IF($E49&lt;44348,"",IF(INDEX(Raw_매출!$B$2:$BI$155,MATCH($A49,Raw_매출!$A$2:$A$155,0),MATCH(EDATE($E49,AA$1-1),Raw_매출!$B$1:$BI$1,0))=0,"",INDEX(Raw_매출!$B$2:$BI$155,MATCH($A49,Raw_매출!$A$2:$A$155,0),MATCH(EDATE($E49,AA$1-1),Raw_매출!$B$1:$BI$1,0))/(INDEX(요약_월별시즈널리티!$F$7:$F$18,MONTH(EDATE($E49,AA$1-1)))/100))),"")</f>
        <v>3859766.5114354119</v>
      </c>
      <c r="AB49" cm="1">
        <f t="array" ref="AB49">IFERROR(IF($E49&lt;44348,"",IF(INDEX(Raw_매출!$B$2:$BI$155,MATCH($A49,Raw_매출!$A$2:$A$155,0),MATCH(EDATE($E49,AB$1-1),Raw_매출!$B$1:$BI$1,0))=0,"",INDEX(Raw_매출!$B$2:$BI$155,MATCH($A49,Raw_매출!$A$2:$A$155,0),MATCH(EDATE($E49,AB$1-1),Raw_매출!$B$1:$BI$1,0))/(INDEX(요약_월별시즈널리티!$F$7:$F$18,MONTH(EDATE($E49,AB$1-1)))/100))),"")</f>
        <v>4442483.4882247364</v>
      </c>
      <c r="AC49" cm="1">
        <f t="array" ref="AC49">IFERROR(IF($E49&lt;44348,"",IF(INDEX(Raw_매출!$B$2:$BI$155,MATCH($A49,Raw_매출!$A$2:$A$155,0),MATCH(EDATE($E49,AC$1-1),Raw_매출!$B$1:$BI$1,0))=0,"",INDEX(Raw_매출!$B$2:$BI$155,MATCH($A49,Raw_매출!$A$2:$A$155,0),MATCH(EDATE($E49,AC$1-1),Raw_매출!$B$1:$BI$1,0))/(INDEX(요약_월별시즈널리티!$F$7:$F$18,MONTH(EDATE($E49,AC$1-1)))/100))),"")</f>
        <v>4043158.5147053967</v>
      </c>
      <c r="AD49" cm="1">
        <f t="array" ref="AD49">IFERROR(IF($E49&lt;44348,"",IF(INDEX(Raw_매출!$B$2:$BI$155,MATCH($A49,Raw_매출!$A$2:$A$155,0),MATCH(EDATE($E49,AD$1-1),Raw_매출!$B$1:$BI$1,0))=0,"",INDEX(Raw_매출!$B$2:$BI$155,MATCH($A49,Raw_매출!$A$2:$A$155,0),MATCH(EDATE($E49,AD$1-1),Raw_매출!$B$1:$BI$1,0))/(INDEX(요약_월별시즈널리티!$F$7:$F$18,MONTH(EDATE($E49,AD$1-1)))/100))),"")</f>
        <v>4208202.1234244555</v>
      </c>
      <c r="AE49" cm="1">
        <f t="array" ref="AE49">IFERROR(IF($E49&lt;44348,"",IF(INDEX(Raw_매출!$B$2:$BI$155,MATCH($A49,Raw_매출!$A$2:$A$155,0),MATCH(EDATE($E49,AE$1-1),Raw_매출!$B$1:$BI$1,0))=0,"",INDEX(Raw_매출!$B$2:$BI$155,MATCH($A49,Raw_매출!$A$2:$A$155,0),MATCH(EDATE($E49,AE$1-1),Raw_매출!$B$1:$BI$1,0))/(INDEX(요약_월별시즈널리티!$F$7:$F$18,MONTH(EDATE($E49,AE$1-1)))/100))),"")</f>
        <v>5046742.0218714029</v>
      </c>
      <c r="AF49" cm="1">
        <f t="array" ref="AF49">IFERROR(IF($E49&lt;44348,"",IF(INDEX(Raw_매출!$B$2:$BI$155,MATCH($A49,Raw_매출!$A$2:$A$155,0),MATCH(EDATE($E49,AF$1-1),Raw_매출!$B$1:$BI$1,0))=0,"",INDEX(Raw_매출!$B$2:$BI$155,MATCH($A49,Raw_매출!$A$2:$A$155,0),MATCH(EDATE($E49,AF$1-1),Raw_매출!$B$1:$BI$1,0))/(INDEX(요약_월별시즈널리티!$F$7:$F$18,MONTH(EDATE($E49,AF$1-1)))/100))),"")</f>
        <v>4770988.6629106067</v>
      </c>
      <c r="AG49" cm="1">
        <f t="array" ref="AG49">IFERROR(IF($E49&lt;44348,"",IF(INDEX(Raw_매출!$B$2:$BI$155,MATCH($A49,Raw_매출!$A$2:$A$155,0),MATCH(EDATE($E49,AG$1-1),Raw_매출!$B$1:$BI$1,0))=0,"",INDEX(Raw_매출!$B$2:$BI$155,MATCH($A49,Raw_매출!$A$2:$A$155,0),MATCH(EDATE($E49,AG$1-1),Raw_매출!$B$1:$BI$1,0))/(INDEX(요약_월별시즈널리티!$F$7:$F$18,MONTH(EDATE($E49,AG$1-1)))/100))),"")</f>
        <v>4693121.9110092996</v>
      </c>
      <c r="AH49" cm="1">
        <f t="array" ref="AH49">IFERROR(IF($E49&lt;44348,"",IF(INDEX(Raw_매출!$B$2:$BI$155,MATCH($A49,Raw_매출!$A$2:$A$155,0),MATCH(EDATE($E49,AH$1-1),Raw_매출!$B$1:$BI$1,0))=0,"",INDEX(Raw_매출!$B$2:$BI$155,MATCH($A49,Raw_매출!$A$2:$A$155,0),MATCH(EDATE($E49,AH$1-1),Raw_매출!$B$1:$BI$1,0))/(INDEX(요약_월별시즈널리티!$F$7:$F$18,MONTH(EDATE($E49,AH$1-1)))/100))),"")</f>
        <v>5021175.9356760159</v>
      </c>
      <c r="AI49" cm="1">
        <f t="array" ref="AI49">IFERROR(IF($E49&lt;44348,"",IF(INDEX(Raw_매출!$B$2:$BI$155,MATCH($A49,Raw_매출!$A$2:$A$155,0),MATCH(EDATE($E49,AI$1-1),Raw_매출!$B$1:$BI$1,0))=0,"",INDEX(Raw_매출!$B$2:$BI$155,MATCH($A49,Raw_매출!$A$2:$A$155,0),MATCH(EDATE($E49,AI$1-1),Raw_매출!$B$1:$BI$1,0))/(INDEX(요약_월별시즈널리티!$F$7:$F$18,MONTH(EDATE($E49,AI$1-1)))/100))),"")</f>
        <v>4961852.3291456327</v>
      </c>
      <c r="AJ49" cm="1">
        <f t="array" ref="AJ49">IFERROR(IF($E49&lt;44348,"",IF(INDEX(Raw_매출!$B$2:$BI$155,MATCH($A49,Raw_매출!$A$2:$A$155,0),MATCH(EDATE($E49,AJ$1-1),Raw_매출!$B$1:$BI$1,0))=0,"",INDEX(Raw_매출!$B$2:$BI$155,MATCH($A49,Raw_매출!$A$2:$A$155,0),MATCH(EDATE($E49,AJ$1-1),Raw_매출!$B$1:$BI$1,0))/(INDEX(요약_월별시즈널리티!$F$7:$F$18,MONTH(EDATE($E49,AJ$1-1)))/100))),"")</f>
        <v>4689587.7246923344</v>
      </c>
      <c r="AK49" cm="1">
        <f t="array" ref="AK49">IFERROR(IF($E49&lt;44348,"",IF(INDEX(Raw_매출!$B$2:$BI$155,MATCH($A49,Raw_매출!$A$2:$A$155,0),MATCH(EDATE($E49,AK$1-1),Raw_매출!$B$1:$BI$1,0))=0,"",INDEX(Raw_매출!$B$2:$BI$155,MATCH($A49,Raw_매출!$A$2:$A$155,0),MATCH(EDATE($E49,AK$1-1),Raw_매출!$B$1:$BI$1,0))/(INDEX(요약_월별시즈널리티!$F$7:$F$18,MONTH(EDATE($E49,AK$1-1)))/100))),"")</f>
        <v>5452262.0530413026</v>
      </c>
      <c r="AL49" cm="1">
        <f t="array" ref="AL49">IFERROR(IF($E49&lt;44348,"",IF(INDEX(Raw_매출!$B$2:$BI$155,MATCH($A49,Raw_매출!$A$2:$A$155,0),MATCH(EDATE($E49,AL$1-1),Raw_매출!$B$1:$BI$1,0))=0,"",INDEX(Raw_매출!$B$2:$BI$155,MATCH($A49,Raw_매출!$A$2:$A$155,0),MATCH(EDATE($E49,AL$1-1),Raw_매출!$B$1:$BI$1,0))/(INDEX(요약_월별시즈널리티!$F$7:$F$18,MONTH(EDATE($E49,AL$1-1)))/100))),"")</f>
        <v>4347522.7989529446</v>
      </c>
      <c r="AM49" cm="1">
        <f t="array" ref="AM49">IFERROR(IF($E49&lt;44348,"",IF(INDEX(Raw_매출!$B$2:$BI$155,MATCH($A49,Raw_매출!$A$2:$A$155,0),MATCH(EDATE($E49,AM$1-1),Raw_매출!$B$1:$BI$1,0))=0,"",INDEX(Raw_매출!$B$2:$BI$155,MATCH($A49,Raw_매출!$A$2:$A$155,0),MATCH(EDATE($E49,AM$1-1),Raw_매출!$B$1:$BI$1,0))/(INDEX(요약_월별시즈널리티!$F$7:$F$18,MONTH(EDATE($E49,AM$1-1)))/100))),"")</f>
        <v>4705486.1613841187</v>
      </c>
      <c r="AN49" cm="1">
        <f t="array" ref="AN49">IFERROR(IF($E49&lt;44348,"",IF(INDEX(Raw_매출!$B$2:$BI$155,MATCH($A49,Raw_매출!$A$2:$A$155,0),MATCH(EDATE($E49,AN$1-1),Raw_매출!$B$1:$BI$1,0))=0,"",INDEX(Raw_매출!$B$2:$BI$155,MATCH($A49,Raw_매출!$A$2:$A$155,0),MATCH(EDATE($E49,AN$1-1),Raw_매출!$B$1:$BI$1,0))/(INDEX(요약_월별시즈널리티!$F$7:$F$18,MONTH(EDATE($E49,AN$1-1)))/100))),"")</f>
        <v>4123995.019435985</v>
      </c>
      <c r="AO49" cm="1">
        <f t="array" ref="AO49">IFERROR(IF($E49&lt;44348,"",IF(INDEX(Raw_매출!$B$2:$BI$155,MATCH($A49,Raw_매출!$A$2:$A$155,0),MATCH(EDATE($E49,AO$1-1),Raw_매출!$B$1:$BI$1,0))=0,"",INDEX(Raw_매출!$B$2:$BI$155,MATCH($A49,Raw_매출!$A$2:$A$155,0),MATCH(EDATE($E49,AO$1-1),Raw_매출!$B$1:$BI$1,0))/(INDEX(요약_월별시즈널리티!$F$7:$F$18,MONTH(EDATE($E49,AO$1-1)))/100))),"")</f>
        <v>4124120.5531604402</v>
      </c>
      <c r="AP49" cm="1">
        <f t="array" ref="AP49">IFERROR(IF($E49&lt;44348,"",IF(INDEX(Raw_매출!$B$2:$BI$155,MATCH($A49,Raw_매출!$A$2:$A$155,0),MATCH(EDATE($E49,AP$1-1),Raw_매출!$B$1:$BI$1,0))=0,"",INDEX(Raw_매출!$B$2:$BI$155,MATCH($A49,Raw_매출!$A$2:$A$155,0),MATCH(EDATE($E49,AP$1-1),Raw_매출!$B$1:$BI$1,0))/(INDEX(요약_월별시즈널리티!$F$7:$F$18,MONTH(EDATE($E49,AP$1-1)))/100))),"")</f>
        <v>4510974.3765673712</v>
      </c>
      <c r="AQ49" cm="1">
        <f t="array" ref="AQ49">IFERROR(IF($E49&lt;44348,"",IF(INDEX(Raw_매출!$B$2:$BI$155,MATCH($A49,Raw_매출!$A$2:$A$155,0),MATCH(EDATE($E49,AQ$1-1),Raw_매출!$B$1:$BI$1,0))=0,"",INDEX(Raw_매출!$B$2:$BI$155,MATCH($A49,Raw_매출!$A$2:$A$155,0),MATCH(EDATE($E49,AQ$1-1),Raw_매출!$B$1:$BI$1,0))/(INDEX(요약_월별시즈널리티!$F$7:$F$18,MONTH(EDATE($E49,AQ$1-1)))/100))),"")</f>
        <v>4707136.6248042006</v>
      </c>
      <c r="AR49" cm="1">
        <f t="array" ref="AR49">IFERROR(IF($E49&lt;44348,"",IF(INDEX(Raw_매출!$B$2:$BI$155,MATCH($A49,Raw_매출!$A$2:$A$155,0),MATCH(EDATE($E49,AR$1-1),Raw_매출!$B$1:$BI$1,0))=0,"",INDEX(Raw_매출!$B$2:$BI$155,MATCH($A49,Raw_매출!$A$2:$A$155,0),MATCH(EDATE($E49,AR$1-1),Raw_매출!$B$1:$BI$1,0))/(INDEX(요약_월별시즈널리티!$F$7:$F$18,MONTH(EDATE($E49,AR$1-1)))/100))),"")</f>
        <v>3408106.6321358951</v>
      </c>
      <c r="AS49" cm="1">
        <f t="array" ref="AS49">IFERROR(IF($E49&lt;44348,"",IF(INDEX(Raw_매출!$B$2:$BI$155,MATCH($A49,Raw_매출!$A$2:$A$155,0),MATCH(EDATE($E49,AS$1-1),Raw_매출!$B$1:$BI$1,0))=0,"",INDEX(Raw_매출!$B$2:$BI$155,MATCH($A49,Raw_매출!$A$2:$A$155,0),MATCH(EDATE($E49,AS$1-1),Raw_매출!$B$1:$BI$1,0))/(INDEX(요약_월별시즈널리티!$F$7:$F$18,MONTH(EDATE($E49,AS$1-1)))/100))),"")</f>
        <v>3055407.4315640507</v>
      </c>
      <c r="AT49" cm="1">
        <f t="array" ref="AT49">IFERROR(IF($E49&lt;44348,"",IF(INDEX(Raw_매출!$B$2:$BI$155,MATCH($A49,Raw_매출!$A$2:$A$155,0),MATCH(EDATE($E49,AT$1-1),Raw_매출!$B$1:$BI$1,0))=0,"",INDEX(Raw_매출!$B$2:$BI$155,MATCH($A49,Raw_매출!$A$2:$A$155,0),MATCH(EDATE($E49,AT$1-1),Raw_매출!$B$1:$BI$1,0))/(INDEX(요약_월별시즈널리티!$F$7:$F$18,MONTH(EDATE($E49,AT$1-1)))/100))),"")</f>
        <v>3442331.8124102931</v>
      </c>
      <c r="AU49" cm="1">
        <f t="array" ref="AU49">IFERROR(IF($E49&lt;44348,"",IF(INDEX(Raw_매출!$B$2:$BI$155,MATCH($A49,Raw_매출!$A$2:$A$155,0),MATCH(EDATE($E49,AU$1-1),Raw_매출!$B$1:$BI$1,0))=0,"",INDEX(Raw_매출!$B$2:$BI$155,MATCH($A49,Raw_매출!$A$2:$A$155,0),MATCH(EDATE($E49,AU$1-1),Raw_매출!$B$1:$BI$1,0))/(INDEX(요약_월별시즈널리티!$F$7:$F$18,MONTH(EDATE($E49,AU$1-1)))/100))),"")</f>
        <v>2599001.8187665786</v>
      </c>
      <c r="AV49" cm="1">
        <f t="array" ref="AV49">IFERROR(IF($E49&lt;44348,"",IF(INDEX(Raw_매출!$B$2:$BI$155,MATCH($A49,Raw_매출!$A$2:$A$155,0),MATCH(EDATE($E49,AV$1-1),Raw_매출!$B$1:$BI$1,0))=0,"",INDEX(Raw_매출!$B$2:$BI$155,MATCH($A49,Raw_매출!$A$2:$A$155,0),MATCH(EDATE($E49,AV$1-1),Raw_매출!$B$1:$BI$1,0))/(INDEX(요약_월별시즈널리티!$F$7:$F$18,MONTH(EDATE($E49,AV$1-1)))/100))),"")</f>
        <v>2882898.452358874</v>
      </c>
      <c r="AW49" cm="1">
        <f t="array" ref="AW49">IFERROR(IF($E49&lt;44348,"",IF(INDEX(Raw_매출!$B$2:$BI$155,MATCH($A49,Raw_매출!$A$2:$A$155,0),MATCH(EDATE($E49,AW$1-1),Raw_매출!$B$1:$BI$1,0))=0,"",INDEX(Raw_매출!$B$2:$BI$155,MATCH($A49,Raw_매출!$A$2:$A$155,0),MATCH(EDATE($E49,AW$1-1),Raw_매출!$B$1:$BI$1,0))/(INDEX(요약_월별시즈널리티!$F$7:$F$18,MONTH(EDATE($E49,AW$1-1)))/100))),"")</f>
        <v>2868555.0178677277</v>
      </c>
      <c r="AX49" cm="1">
        <f t="array" ref="AX49">IFERROR(IF($E49&lt;44348,"",IF(INDEX(Raw_매출!$B$2:$BI$155,MATCH($A49,Raw_매출!$A$2:$A$155,0),MATCH(EDATE($E49,AX$1-1),Raw_매출!$B$1:$BI$1,0))=0,"",INDEX(Raw_매출!$B$2:$BI$155,MATCH($A49,Raw_매출!$A$2:$A$155,0),MATCH(EDATE($E49,AX$1-1),Raw_매출!$B$1:$BI$1,0))/(INDEX(요약_월별시즈널리티!$F$7:$F$18,MONTH(EDATE($E49,AX$1-1)))/100))),"")</f>
        <v>2772007.5275011305</v>
      </c>
      <c r="AY49" cm="1">
        <f t="array" ref="AY49">IFERROR(IF($E49&lt;44348,"",IF(INDEX(Raw_매출!$B$2:$BI$155,MATCH($A49,Raw_매출!$A$2:$A$155,0),MATCH(EDATE($E49,AY$1-1),Raw_매출!$B$1:$BI$1,0))=0,"",INDEX(Raw_매출!$B$2:$BI$155,MATCH($A49,Raw_매출!$A$2:$A$155,0),MATCH(EDATE($E49,AY$1-1),Raw_매출!$B$1:$BI$1,0))/(INDEX(요약_월별시즈널리티!$F$7:$F$18,MONTH(EDATE($E49,AY$1-1)))/100))),"")</f>
        <v>2909246.7808439974</v>
      </c>
      <c r="AZ49" cm="1">
        <f t="array" ref="AZ49">IFERROR(IF($E49&lt;44348,"",IF(INDEX(Raw_매출!$B$2:$BI$155,MATCH($A49,Raw_매출!$A$2:$A$155,0),MATCH(EDATE($E49,AZ$1-1),Raw_매출!$B$1:$BI$1,0))=0,"",INDEX(Raw_매출!$B$2:$BI$155,MATCH($A49,Raw_매출!$A$2:$A$155,0),MATCH(EDATE($E49,AZ$1-1),Raw_매출!$B$1:$BI$1,0))/(INDEX(요약_월별시즈널리티!$F$7:$F$18,MONTH(EDATE($E49,AZ$1-1)))/100))),"")</f>
        <v>2664019.1039571483</v>
      </c>
      <c r="BA49" cm="1">
        <f t="array" ref="BA49">IFERROR(IF($E49&lt;44348,"",IF(INDEX(Raw_매출!$B$2:$BI$155,MATCH($A49,Raw_매출!$A$2:$A$155,0),MATCH(EDATE($E49,BA$1-1),Raw_매출!$B$1:$BI$1,0))=0,"",INDEX(Raw_매출!$B$2:$BI$155,MATCH($A49,Raw_매출!$A$2:$A$155,0),MATCH(EDATE($E49,BA$1-1),Raw_매출!$B$1:$BI$1,0))/(INDEX(요약_월별시즈널리티!$F$7:$F$18,MONTH(EDATE($E49,BA$1-1)))/100))),"")</f>
        <v>2644822.1731883073</v>
      </c>
      <c r="BB49" cm="1">
        <f t="array" ref="BB49">IFERROR(IF($E49&lt;44348,"",IF(INDEX(Raw_매출!$B$2:$BI$155,MATCH($A49,Raw_매출!$A$2:$A$155,0),MATCH(EDATE($E49,BB$1-1),Raw_매출!$B$1:$BI$1,0))=0,"",INDEX(Raw_매출!$B$2:$BI$155,MATCH($A49,Raw_매출!$A$2:$A$155,0),MATCH(EDATE($E49,BB$1-1),Raw_매출!$B$1:$BI$1,0))/(INDEX(요약_월별시즈널리티!$F$7:$F$18,MONTH(EDATE($E49,BB$1-1)))/100))),"")</f>
        <v>2753981.7713677716</v>
      </c>
      <c r="BC49" cm="1">
        <f t="array" ref="BC49">IFERROR(IF($E49&lt;44348,"",IF(INDEX(Raw_매출!$B$2:$BI$155,MATCH($A49,Raw_매출!$A$2:$A$155,0),MATCH(EDATE($E49,BC$1-1),Raw_매출!$B$1:$BI$1,0))=0,"",INDEX(Raw_매출!$B$2:$BI$155,MATCH($A49,Raw_매출!$A$2:$A$155,0),MATCH(EDATE($E49,BC$1-1),Raw_매출!$B$1:$BI$1,0))/(INDEX(요약_월별시즈널리티!$F$7:$F$18,MONTH(EDATE($E49,BC$1-1)))/100))),"")</f>
        <v>3231417.3906029044</v>
      </c>
      <c r="BD49" cm="1">
        <f t="array" ref="BD49">IFERROR(IF($E49&lt;44348,"",IF(INDEX(Raw_매출!$B$2:$BI$155,MATCH($A49,Raw_매출!$A$2:$A$155,0),MATCH(EDATE($E49,BD$1-1),Raw_매출!$B$1:$BI$1,0))=0,"",INDEX(Raw_매출!$B$2:$BI$155,MATCH($A49,Raw_매출!$A$2:$A$155,0),MATCH(EDATE($E49,BD$1-1),Raw_매출!$B$1:$BI$1,0))/(INDEX(요약_월별시즈널리티!$F$7:$F$18,MONTH(EDATE($E49,BD$1-1)))/100))),"")</f>
        <v>3062064.8762267423</v>
      </c>
      <c r="BE49" cm="1">
        <f t="array" ref="BE49">IFERROR(IF($E49&lt;44348,"",IF(INDEX(Raw_매출!$B$2:$BI$155,MATCH($A49,Raw_매출!$A$2:$A$155,0),MATCH(EDATE($E49,BE$1-1),Raw_매출!$B$1:$BI$1,0))=0,"",INDEX(Raw_매출!$B$2:$BI$155,MATCH($A49,Raw_매출!$A$2:$A$155,0),MATCH(EDATE($E49,BE$1-1),Raw_매출!$B$1:$BI$1,0))/(INDEX(요약_월별시즈널리티!$F$7:$F$18,MONTH(EDATE($E49,BE$1-1)))/100))),"")</f>
        <v>3283078.4154330133</v>
      </c>
      <c r="BF49" t="str" cm="1">
        <f t="array" ref="BF49">IFERROR(IF($E49&lt;44348,"",IF(INDEX(Raw_매출!$B$2:$BI$155,MATCH($A49,Raw_매출!$A$2:$A$155,0),MATCH(EDATE($E49,BF$1-1),Raw_매출!$B$1:$BI$1,0))=0,"",INDEX(Raw_매출!$B$2:$BI$155,MATCH($A49,Raw_매출!$A$2:$A$155,0),MATCH(EDATE($E49,BF$1-1),Raw_매출!$B$1:$BI$1,0))/(INDEX(요약_월별시즈널리티!$F$7:$F$18,MONTH(EDATE($E49,BF$1-1)))/100))),"")</f>
        <v/>
      </c>
      <c r="BG49" t="str" cm="1">
        <f t="array" ref="BG49">IFERROR(IF($E49&lt;44348,"",IF(INDEX(Raw_매출!$B$2:$BI$155,MATCH($A49,Raw_매출!$A$2:$A$155,0),MATCH(EDATE($E49,BG$1-1),Raw_매출!$B$1:$BI$1,0))=0,"",INDEX(Raw_매출!$B$2:$BI$155,MATCH($A49,Raw_매출!$A$2:$A$155,0),MATCH(EDATE($E49,BG$1-1),Raw_매출!$B$1:$BI$1,0))/(INDEX(요약_월별시즈널리티!$F$7:$F$18,MONTH(EDATE($E49,BG$1-1)))/100))),"")</f>
        <v/>
      </c>
      <c r="BH49" t="str" cm="1">
        <f t="array" ref="BH49">IFERROR(IF($E49&lt;44348,"",IF(INDEX(Raw_매출!$B$2:$BI$155,MATCH($A49,Raw_매출!$A$2:$A$155,0),MATCH(EDATE($E49,BH$1-1),Raw_매출!$B$1:$BI$1,0))=0,"",INDEX(Raw_매출!$B$2:$BI$155,MATCH($A49,Raw_매출!$A$2:$A$155,0),MATCH(EDATE($E49,BH$1-1),Raw_매출!$B$1:$BI$1,0))/(INDEX(요약_월별시즈널리티!$F$7:$F$18,MONTH(EDATE($E49,BH$1-1)))/100))),"")</f>
        <v/>
      </c>
      <c r="BI49" t="str" cm="1">
        <f t="array" ref="BI49">IFERROR(IF($E49&lt;44348,"",IF(INDEX(Raw_매출!$B$2:$BI$155,MATCH($A49,Raw_매출!$A$2:$A$155,0),MATCH(EDATE($E49,BI$1-1),Raw_매출!$B$1:$BI$1,0))=0,"",INDEX(Raw_매출!$B$2:$BI$155,MATCH($A49,Raw_매출!$A$2:$A$155,0),MATCH(EDATE($E49,BI$1-1),Raw_매출!$B$1:$BI$1,0))/(INDEX(요약_월별시즈널리티!$F$7:$F$18,MONTH(EDATE($E49,BI$1-1)))/100))),"")</f>
        <v/>
      </c>
      <c r="BJ49" t="str" cm="1">
        <f t="array" ref="BJ49">IFERROR(IF($E49&lt;44348,"",IF(INDEX(Raw_매출!$B$2:$BI$155,MATCH($A49,Raw_매출!$A$2:$A$155,0),MATCH(EDATE($E49,BJ$1-1),Raw_매출!$B$1:$BI$1,0))=0,"",INDEX(Raw_매출!$B$2:$BI$155,MATCH($A49,Raw_매출!$A$2:$A$155,0),MATCH(EDATE($E49,BJ$1-1),Raw_매출!$B$1:$BI$1,0))/(INDEX(요약_월별시즈널리티!$F$7:$F$18,MONTH(EDATE($E49,BJ$1-1)))/100))),"")</f>
        <v/>
      </c>
      <c r="BK49" t="str" cm="1">
        <f t="array" ref="BK49">IFERROR(IF($E49&lt;44348,"",IF(INDEX(Raw_매출!$B$2:$BI$155,MATCH($A49,Raw_매출!$A$2:$A$155,0),MATCH(EDATE($E49,BK$1-1),Raw_매출!$B$1:$BI$1,0))=0,"",INDEX(Raw_매출!$B$2:$BI$155,MATCH($A49,Raw_매출!$A$2:$A$155,0),MATCH(EDATE($E49,BK$1-1),Raw_매출!$B$1:$BI$1,0))/(INDEX(요약_월별시즈널리티!$F$7:$F$18,MONTH(EDATE($E49,BK$1-1)))/100))),"")</f>
        <v/>
      </c>
      <c r="BL49" t="str" cm="1">
        <f t="array" ref="BL49">IFERROR(IF($E49&lt;44348,"",IF(INDEX(Raw_매출!$B$2:$BI$155,MATCH($A49,Raw_매출!$A$2:$A$155,0),MATCH(EDATE($E49,BL$1-1),Raw_매출!$B$1:$BI$1,0))=0,"",INDEX(Raw_매출!$B$2:$BI$155,MATCH($A49,Raw_매출!$A$2:$A$155,0),MATCH(EDATE($E49,BL$1-1),Raw_매출!$B$1:$BI$1,0))/(INDEX(요약_월별시즈널리티!$F$7:$F$18,MONTH(EDATE($E49,BL$1-1)))/100))),"")</f>
        <v/>
      </c>
      <c r="BM49" t="str" cm="1">
        <f t="array" ref="BM49">IFERROR(IF($E49&lt;44348,"",IF(INDEX(Raw_매출!$B$2:$BI$155,MATCH($A49,Raw_매출!$A$2:$A$155,0),MATCH(EDATE($E49,BM$1-1),Raw_매출!$B$1:$BI$1,0))=0,"",INDEX(Raw_매출!$B$2:$BI$155,MATCH($A49,Raw_매출!$A$2:$A$155,0),MATCH(EDATE($E49,BM$1-1),Raw_매출!$B$1:$BI$1,0))/(INDEX(요약_월별시즈널리티!$F$7:$F$18,MONTH(EDATE($E49,BM$1-1)))/100))),"")</f>
        <v/>
      </c>
      <c r="BN49" t="str" cm="1">
        <f t="array" ref="BN49">IFERROR(IF($E49&lt;44348,"",IF(INDEX(Raw_매출!$B$2:$BI$155,MATCH($A49,Raw_매출!$A$2:$A$155,0),MATCH(EDATE($E49,BN$1-1),Raw_매출!$B$1:$BI$1,0))=0,"",INDEX(Raw_매출!$B$2:$BI$155,MATCH($A49,Raw_매출!$A$2:$A$155,0),MATCH(EDATE($E49,BN$1-1),Raw_매출!$B$1:$BI$1,0))/(INDEX(요약_월별시즈널리티!$F$7:$F$18,MONTH(EDATE($E49,BN$1-1)))/100))),"")</f>
        <v/>
      </c>
    </row>
    <row r="50" spans="1:66" x14ac:dyDescent="0.4">
      <c r="A50" t="str">
        <f>세팅!A51</f>
        <v>(1039) #이문점</v>
      </c>
      <c r="B50" t="str">
        <f>세팅!B51</f>
        <v>150-2</v>
      </c>
      <c r="C50">
        <f t="shared" si="0"/>
        <v>2</v>
      </c>
      <c r="D50" t="str">
        <f t="shared" si="1"/>
        <v>2</v>
      </c>
      <c r="E50" s="1">
        <f>세팅!D51</f>
        <v>44652</v>
      </c>
      <c r="F50">
        <f t="shared" si="2"/>
        <v>7086949.8513906868</v>
      </c>
      <c r="G50" cm="1">
        <f t="array" ref="G50">IFERROR(IF($E50&lt;44348,"",IF(INDEX(Raw_매출!$B$2:$BI$155,MATCH($A50,Raw_매출!$A$2:$A$155,0),MATCH(EDATE($E50,G$1-1),Raw_매출!$B$1:$BI$1,0))=0,"",INDEX(Raw_매출!$B$2:$BI$155,MATCH($A50,Raw_매출!$A$2:$A$155,0),MATCH(EDATE($E50,G$1-1),Raw_매출!$B$1:$BI$1,0))/(INDEX(요약_월별시즈널리티!$F$7:$F$18,MONTH(EDATE($E50,G$1-1)))/100))),"")</f>
        <v>4401040.1501697106</v>
      </c>
      <c r="H50" cm="1">
        <f t="array" ref="H50">IFERROR(IF($E50&lt;44348,"",IF(INDEX(Raw_매출!$B$2:$BI$155,MATCH($A50,Raw_매출!$A$2:$A$155,0),MATCH(EDATE($E50,H$1-1),Raw_매출!$B$1:$BI$1,0))=0,"",INDEX(Raw_매출!$B$2:$BI$155,MATCH($A50,Raw_매출!$A$2:$A$155,0),MATCH(EDATE($E50,H$1-1),Raw_매출!$B$1:$BI$1,0))/(INDEX(요약_월별시즈널리티!$F$7:$F$18,MONTH(EDATE($E50,H$1-1)))/100))),"")</f>
        <v>5062307.840914784</v>
      </c>
      <c r="I50" cm="1">
        <f t="array" ref="I50">IFERROR(IF($E50&lt;44348,"",IF(INDEX(Raw_매출!$B$2:$BI$155,MATCH($A50,Raw_매출!$A$2:$A$155,0),MATCH(EDATE($E50,I$1-1),Raw_매출!$B$1:$BI$1,0))=0,"",INDEX(Raw_매출!$B$2:$BI$155,MATCH($A50,Raw_매출!$A$2:$A$155,0),MATCH(EDATE($E50,I$1-1),Raw_매출!$B$1:$BI$1,0))/(INDEX(요약_월별시즈널리티!$F$7:$F$18,MONTH(EDATE($E50,I$1-1)))/100))),"")</f>
        <v>6525291.0289825685</v>
      </c>
      <c r="J50" s="30" cm="1">
        <f t="array" ref="J50">IFERROR(IF($E50&lt;44348,"",IF(INDEX(Raw_매출!$B$2:$BI$155,MATCH($A50,Raw_매출!$A$2:$A$155,0),MATCH(EDATE($E50,J$1-1),Raw_매출!$B$1:$BI$1,0))=0,"",INDEX(Raw_매출!$B$2:$BI$155,MATCH($A50,Raw_매출!$A$2:$A$155,0),MATCH(EDATE($E50,J$1-1),Raw_매출!$B$1:$BI$1,0))/(INDEX(요약_월별시즈널리티!$F$7:$F$18,MONTH(EDATE($E50,J$1-1)))/100))),"")</f>
        <v>6848579.0041673165</v>
      </c>
      <c r="K50" s="30" cm="1">
        <f t="array" ref="K50">IFERROR(IF($E50&lt;44348,"",IF(INDEX(Raw_매출!$B$2:$BI$155,MATCH($A50,Raw_매출!$A$2:$A$155,0),MATCH(EDATE($E50,K$1-1),Raw_매출!$B$1:$BI$1,0))=0,"",INDEX(Raw_매출!$B$2:$BI$155,MATCH($A50,Raw_매출!$A$2:$A$155,0),MATCH(EDATE($E50,K$1-1),Raw_매출!$B$1:$BI$1,0))/(INDEX(요약_월별시즈널리티!$F$7:$F$18,MONTH(EDATE($E50,K$1-1)))/100))),"")</f>
        <v>7578993.0963891996</v>
      </c>
      <c r="L50" s="30" cm="1">
        <f t="array" ref="L50">IFERROR(IF($E50&lt;44348,"",IF(INDEX(Raw_매출!$B$2:$BI$155,MATCH($A50,Raw_매출!$A$2:$A$155,0),MATCH(EDATE($E50,L$1-1),Raw_매출!$B$1:$BI$1,0))=0,"",INDEX(Raw_매출!$B$2:$BI$155,MATCH($A50,Raw_매출!$A$2:$A$155,0),MATCH(EDATE($E50,L$1-1),Raw_매출!$B$1:$BI$1,0))/(INDEX(요약_월별시즈널리티!$F$7:$F$18,MONTH(EDATE($E50,L$1-1)))/100))),"")</f>
        <v>7446297.8084721435</v>
      </c>
      <c r="M50" s="30" cm="1">
        <f t="array" ref="M50">IFERROR(IF($E50&lt;44348,"",IF(INDEX(Raw_매출!$B$2:$BI$155,MATCH($A50,Raw_매출!$A$2:$A$155,0),MATCH(EDATE($E50,M$1-1),Raw_매출!$B$1:$BI$1,0))=0,"",INDEX(Raw_매출!$B$2:$BI$155,MATCH($A50,Raw_매출!$A$2:$A$155,0),MATCH(EDATE($E50,M$1-1),Raw_매출!$B$1:$BI$1,0))/(INDEX(요약_월별시즈널리티!$F$7:$F$18,MONTH(EDATE($E50,M$1-1)))/100))),"")</f>
        <v>7238662.226691626</v>
      </c>
      <c r="N50" s="30" cm="1">
        <f t="array" ref="N50">IFERROR(IF($E50&lt;44348,"",IF(INDEX(Raw_매출!$B$2:$BI$155,MATCH($A50,Raw_매출!$A$2:$A$155,0),MATCH(EDATE($E50,N$1-1),Raw_매출!$B$1:$BI$1,0))=0,"",INDEX(Raw_매출!$B$2:$BI$155,MATCH($A50,Raw_매출!$A$2:$A$155,0),MATCH(EDATE($E50,N$1-1),Raw_매출!$B$1:$BI$1,0))/(INDEX(요약_월별시즈널리티!$F$7:$F$18,MONTH(EDATE($E50,N$1-1)))/100))),"")</f>
        <v>6860846.6321222214</v>
      </c>
      <c r="O50" s="30" cm="1">
        <f t="array" ref="O50">IFERROR(IF($E50&lt;44348,"",IF(INDEX(Raw_매출!$B$2:$BI$155,MATCH($A50,Raw_매출!$A$2:$A$155,0),MATCH(EDATE($E50,O$1-1),Raw_매출!$B$1:$BI$1,0))=0,"",INDEX(Raw_매출!$B$2:$BI$155,MATCH($A50,Raw_매출!$A$2:$A$155,0),MATCH(EDATE($E50,O$1-1),Raw_매출!$B$1:$BI$1,0))/(INDEX(요약_월별시즈널리티!$F$7:$F$18,MONTH(EDATE($E50,O$1-1)))/100))),"")</f>
        <v>6548320.3405016176</v>
      </c>
      <c r="P50" cm="1">
        <f t="array" ref="P50">IFERROR(IF($E50&lt;44348,"",IF(INDEX(Raw_매출!$B$2:$BI$155,MATCH($A50,Raw_매출!$A$2:$A$155,0),MATCH(EDATE($E50,P$1-1),Raw_매출!$B$1:$BI$1,0))=0,"",INDEX(Raw_매출!$B$2:$BI$155,MATCH($A50,Raw_매출!$A$2:$A$155,0),MATCH(EDATE($E50,P$1-1),Raw_매출!$B$1:$BI$1,0))/(INDEX(요약_월별시즈널리티!$F$7:$F$18,MONTH(EDATE($E50,P$1-1)))/100))),"")</f>
        <v>6847718.6799119925</v>
      </c>
      <c r="Q50" cm="1">
        <f t="array" ref="Q50">IFERROR(IF($E50&lt;44348,"",IF(INDEX(Raw_매출!$B$2:$BI$155,MATCH($A50,Raw_매출!$A$2:$A$155,0),MATCH(EDATE($E50,Q$1-1),Raw_매출!$B$1:$BI$1,0))=0,"",INDEX(Raw_매출!$B$2:$BI$155,MATCH($A50,Raw_매출!$A$2:$A$155,0),MATCH(EDATE($E50,Q$1-1),Raw_매출!$B$1:$BI$1,0))/(INDEX(요약_월별시즈널리티!$F$7:$F$18,MONTH(EDATE($E50,Q$1-1)))/100))),"")</f>
        <v>8106157.6003094427</v>
      </c>
      <c r="R50" cm="1">
        <f t="array" ref="R50">IFERROR(IF($E50&lt;44348,"",IF(INDEX(Raw_매출!$B$2:$BI$155,MATCH($A50,Raw_매출!$A$2:$A$155,0),MATCH(EDATE($E50,R$1-1),Raw_매출!$B$1:$BI$1,0))=0,"",INDEX(Raw_매출!$B$2:$BI$155,MATCH($A50,Raw_매출!$A$2:$A$155,0),MATCH(EDATE($E50,R$1-1),Raw_매출!$B$1:$BI$1,0))/(INDEX(요약_월별시즈널리티!$F$7:$F$18,MONTH(EDATE($E50,R$1-1)))/100))),"")</f>
        <v>7952426.3813236682</v>
      </c>
      <c r="S50" cm="1">
        <f t="array" ref="S50">IFERROR(IF($E50&lt;44348,"",IF(INDEX(Raw_매출!$B$2:$BI$155,MATCH($A50,Raw_매출!$A$2:$A$155,0),MATCH(EDATE($E50,S$1-1),Raw_매출!$B$1:$BI$1,0))=0,"",INDEX(Raw_매출!$B$2:$BI$155,MATCH($A50,Raw_매출!$A$2:$A$155,0),MATCH(EDATE($E50,S$1-1),Raw_매출!$B$1:$BI$1,0))/(INDEX(요약_월별시즈널리티!$F$7:$F$18,MONTH(EDATE($E50,S$1-1)))/100))),"")</f>
        <v>7998970.7838850934</v>
      </c>
      <c r="T50" cm="1">
        <f t="array" ref="T50">IFERROR(IF($E50&lt;44348,"",IF(INDEX(Raw_매출!$B$2:$BI$155,MATCH($A50,Raw_매출!$A$2:$A$155,0),MATCH(EDATE($E50,T$1-1),Raw_매출!$B$1:$BI$1,0))=0,"",INDEX(Raw_매출!$B$2:$BI$155,MATCH($A50,Raw_매출!$A$2:$A$155,0),MATCH(EDATE($E50,T$1-1),Raw_매출!$B$1:$BI$1,0))/(INDEX(요약_월별시즈널리티!$F$7:$F$18,MONTH(EDATE($E50,T$1-1)))/100))),"")</f>
        <v>8599469.6937624402</v>
      </c>
      <c r="U50" cm="1">
        <f t="array" ref="U50">IFERROR(IF($E50&lt;44348,"",IF(INDEX(Raw_매출!$B$2:$BI$155,MATCH($A50,Raw_매출!$A$2:$A$155,0),MATCH(EDATE($E50,U$1-1),Raw_매출!$B$1:$BI$1,0))=0,"",INDEX(Raw_매출!$B$2:$BI$155,MATCH($A50,Raw_매출!$A$2:$A$155,0),MATCH(EDATE($E50,U$1-1),Raw_매출!$B$1:$BI$1,0))/(INDEX(요약_월별시즈널리티!$F$7:$F$18,MONTH(EDATE($E50,U$1-1)))/100))),"")</f>
        <v>8972737.2959437352</v>
      </c>
      <c r="V50" cm="1">
        <f t="array" ref="V50">IFERROR(IF($E50&lt;44348,"",IF(INDEX(Raw_매출!$B$2:$BI$155,MATCH($A50,Raw_매출!$A$2:$A$155,0),MATCH(EDATE($E50,V$1-1),Raw_매출!$B$1:$BI$1,0))=0,"",INDEX(Raw_매출!$B$2:$BI$155,MATCH($A50,Raw_매출!$A$2:$A$155,0),MATCH(EDATE($E50,V$1-1),Raw_매출!$B$1:$BI$1,0))/(INDEX(요약_월별시즈널리티!$F$7:$F$18,MONTH(EDATE($E50,V$1-1)))/100))),"")</f>
        <v>9123732.5480820723</v>
      </c>
      <c r="W50" cm="1">
        <f t="array" ref="W50">IFERROR(IF($E50&lt;44348,"",IF(INDEX(Raw_매출!$B$2:$BI$155,MATCH($A50,Raw_매출!$A$2:$A$155,0),MATCH(EDATE($E50,W$1-1),Raw_매출!$B$1:$BI$1,0))=0,"",INDEX(Raw_매출!$B$2:$BI$155,MATCH($A50,Raw_매출!$A$2:$A$155,0),MATCH(EDATE($E50,W$1-1),Raw_매출!$B$1:$BI$1,0))/(INDEX(요약_월별시즈널리티!$F$7:$F$18,MONTH(EDATE($E50,W$1-1)))/100))),"")</f>
        <v>9301268.8097204659</v>
      </c>
      <c r="X50" cm="1">
        <f t="array" ref="X50">IFERROR(IF($E50&lt;44348,"",IF(INDEX(Raw_매출!$B$2:$BI$155,MATCH($A50,Raw_매출!$A$2:$A$155,0),MATCH(EDATE($E50,X$1-1),Raw_매출!$B$1:$BI$1,0))=0,"",INDEX(Raw_매출!$B$2:$BI$155,MATCH($A50,Raw_매출!$A$2:$A$155,0),MATCH(EDATE($E50,X$1-1),Raw_매출!$B$1:$BI$1,0))/(INDEX(요약_월별시즈널리티!$F$7:$F$18,MONTH(EDATE($E50,X$1-1)))/100))),"")</f>
        <v>10037495.586528629</v>
      </c>
      <c r="Y50" cm="1">
        <f t="array" ref="Y50">IFERROR(IF($E50&lt;44348,"",IF(INDEX(Raw_매출!$B$2:$BI$155,MATCH($A50,Raw_매출!$A$2:$A$155,0),MATCH(EDATE($E50,Y$1-1),Raw_매출!$B$1:$BI$1,0))=0,"",INDEX(Raw_매출!$B$2:$BI$155,MATCH($A50,Raw_매출!$A$2:$A$155,0),MATCH(EDATE($E50,Y$1-1),Raw_매출!$B$1:$BI$1,0))/(INDEX(요약_월별시즈널리티!$F$7:$F$18,MONTH(EDATE($E50,Y$1-1)))/100))),"")</f>
        <v>9456024.2925828286</v>
      </c>
      <c r="Z50" cm="1">
        <f t="array" ref="Z50">IFERROR(IF($E50&lt;44348,"",IF(INDEX(Raw_매출!$B$2:$BI$155,MATCH($A50,Raw_매출!$A$2:$A$155,0),MATCH(EDATE($E50,Z$1-1),Raw_매출!$B$1:$BI$1,0))=0,"",INDEX(Raw_매출!$B$2:$BI$155,MATCH($A50,Raw_매출!$A$2:$A$155,0),MATCH(EDATE($E50,Z$1-1),Raw_매출!$B$1:$BI$1,0))/(INDEX(요약_월별시즈널리티!$F$7:$F$18,MONTH(EDATE($E50,Z$1-1)))/100))),"")</f>
        <v>9727696.973047154</v>
      </c>
      <c r="AA50" cm="1">
        <f t="array" ref="AA50">IFERROR(IF($E50&lt;44348,"",IF(INDEX(Raw_매출!$B$2:$BI$155,MATCH($A50,Raw_매출!$A$2:$A$155,0),MATCH(EDATE($E50,AA$1-1),Raw_매출!$B$1:$BI$1,0))=0,"",INDEX(Raw_매출!$B$2:$BI$155,MATCH($A50,Raw_매출!$A$2:$A$155,0),MATCH(EDATE($E50,AA$1-1),Raw_매출!$B$1:$BI$1,0))/(INDEX(요약_월별시즈널리티!$F$7:$F$18,MONTH(EDATE($E50,AA$1-1)))/100))),"")</f>
        <v>9643610.1865767203</v>
      </c>
      <c r="AB50" cm="1">
        <f t="array" ref="AB50">IFERROR(IF($E50&lt;44348,"",IF(INDEX(Raw_매출!$B$2:$BI$155,MATCH($A50,Raw_매출!$A$2:$A$155,0),MATCH(EDATE($E50,AB$1-1),Raw_매출!$B$1:$BI$1,0))=0,"",INDEX(Raw_매출!$B$2:$BI$155,MATCH($A50,Raw_매출!$A$2:$A$155,0),MATCH(EDATE($E50,AB$1-1),Raw_매출!$B$1:$BI$1,0))/(INDEX(요약_월별시즈널리티!$F$7:$F$18,MONTH(EDATE($E50,AB$1-1)))/100))),"")</f>
        <v>8432102.9296074566</v>
      </c>
      <c r="AC50" cm="1">
        <f t="array" ref="AC50">IFERROR(IF($E50&lt;44348,"",IF(INDEX(Raw_매출!$B$2:$BI$155,MATCH($A50,Raw_매출!$A$2:$A$155,0),MATCH(EDATE($E50,AC$1-1),Raw_매출!$B$1:$BI$1,0))=0,"",INDEX(Raw_매출!$B$2:$BI$155,MATCH($A50,Raw_매출!$A$2:$A$155,0),MATCH(EDATE($E50,AC$1-1),Raw_매출!$B$1:$BI$1,0))/(INDEX(요약_월별시즈널리티!$F$7:$F$18,MONTH(EDATE($E50,AC$1-1)))/100))),"")</f>
        <v>8987732.6411416326</v>
      </c>
      <c r="AD50" cm="1">
        <f t="array" ref="AD50">IFERROR(IF($E50&lt;44348,"",IF(INDEX(Raw_매출!$B$2:$BI$155,MATCH($A50,Raw_매출!$A$2:$A$155,0),MATCH(EDATE($E50,AD$1-1),Raw_매출!$B$1:$BI$1,0))=0,"",INDEX(Raw_매출!$B$2:$BI$155,MATCH($A50,Raw_매출!$A$2:$A$155,0),MATCH(EDATE($E50,AD$1-1),Raw_매출!$B$1:$BI$1,0))/(INDEX(요약_월별시즈널리티!$F$7:$F$18,MONTH(EDATE($E50,AD$1-1)))/100))),"")</f>
        <v>9183650.3117818553</v>
      </c>
      <c r="AE50" cm="1">
        <f t="array" ref="AE50">IFERROR(IF($E50&lt;44348,"",IF(INDEX(Raw_매출!$B$2:$BI$155,MATCH($A50,Raw_매출!$A$2:$A$155,0),MATCH(EDATE($E50,AE$1-1),Raw_매출!$B$1:$BI$1,0))=0,"",INDEX(Raw_매출!$B$2:$BI$155,MATCH($A50,Raw_매출!$A$2:$A$155,0),MATCH(EDATE($E50,AE$1-1),Raw_매출!$B$1:$BI$1,0))/(INDEX(요약_월별시즈널리티!$F$7:$F$18,MONTH(EDATE($E50,AE$1-1)))/100))),"")</f>
        <v>9924868.8551563211</v>
      </c>
      <c r="AF50" cm="1">
        <f t="array" ref="AF50">IFERROR(IF($E50&lt;44348,"",IF(INDEX(Raw_매출!$B$2:$BI$155,MATCH($A50,Raw_매출!$A$2:$A$155,0),MATCH(EDATE($E50,AF$1-1),Raw_매출!$B$1:$BI$1,0))=0,"",INDEX(Raw_매출!$B$2:$BI$155,MATCH($A50,Raw_매출!$A$2:$A$155,0),MATCH(EDATE($E50,AF$1-1),Raw_매출!$B$1:$BI$1,0))/(INDEX(요약_월별시즈널리티!$F$7:$F$18,MONTH(EDATE($E50,AF$1-1)))/100))),"")</f>
        <v>9438062.7211775705</v>
      </c>
      <c r="AG50" cm="1">
        <f t="array" ref="AG50">IFERROR(IF($E50&lt;44348,"",IF(INDEX(Raw_매출!$B$2:$BI$155,MATCH($A50,Raw_매출!$A$2:$A$155,0),MATCH(EDATE($E50,AG$1-1),Raw_매출!$B$1:$BI$1,0))=0,"",INDEX(Raw_매출!$B$2:$BI$155,MATCH($A50,Raw_매출!$A$2:$A$155,0),MATCH(EDATE($E50,AG$1-1),Raw_매출!$B$1:$BI$1,0))/(INDEX(요약_월별시즈널리티!$F$7:$F$18,MONTH(EDATE($E50,AG$1-1)))/100))),"")</f>
        <v>10061547.337581616</v>
      </c>
      <c r="AH50" cm="1">
        <f t="array" ref="AH50">IFERROR(IF($E50&lt;44348,"",IF(INDEX(Raw_매출!$B$2:$BI$155,MATCH($A50,Raw_매출!$A$2:$A$155,0),MATCH(EDATE($E50,AH$1-1),Raw_매출!$B$1:$BI$1,0))=0,"",INDEX(Raw_매출!$B$2:$BI$155,MATCH($A50,Raw_매출!$A$2:$A$155,0),MATCH(EDATE($E50,AH$1-1),Raw_매출!$B$1:$BI$1,0))/(INDEX(요약_월별시즈널리티!$F$7:$F$18,MONTH(EDATE($E50,AH$1-1)))/100))),"")</f>
        <v>9752227.4744095486</v>
      </c>
      <c r="AI50" cm="1">
        <f t="array" ref="AI50">IFERROR(IF($E50&lt;44348,"",IF(INDEX(Raw_매출!$B$2:$BI$155,MATCH($A50,Raw_매출!$A$2:$A$155,0),MATCH(EDATE($E50,AI$1-1),Raw_매출!$B$1:$BI$1,0))=0,"",INDEX(Raw_매출!$B$2:$BI$155,MATCH($A50,Raw_매출!$A$2:$A$155,0),MATCH(EDATE($E50,AI$1-1),Raw_매출!$B$1:$BI$1,0))/(INDEX(요약_월별시즈널리티!$F$7:$F$18,MONTH(EDATE($E50,AI$1-1)))/100))),"")</f>
        <v>10542081.489926962</v>
      </c>
      <c r="AJ50" cm="1">
        <f t="array" ref="AJ50">IFERROR(IF($E50&lt;44348,"",IF(INDEX(Raw_매출!$B$2:$BI$155,MATCH($A50,Raw_매출!$A$2:$A$155,0),MATCH(EDATE($E50,AJ$1-1),Raw_매출!$B$1:$BI$1,0))=0,"",INDEX(Raw_매출!$B$2:$BI$155,MATCH($A50,Raw_매출!$A$2:$A$155,0),MATCH(EDATE($E50,AJ$1-1),Raw_매출!$B$1:$BI$1,0))/(INDEX(요약_월별시즈널리티!$F$7:$F$18,MONTH(EDATE($E50,AJ$1-1)))/100))),"")</f>
        <v>9896090.3362136297</v>
      </c>
      <c r="AK50" cm="1">
        <f t="array" ref="AK50">IFERROR(IF($E50&lt;44348,"",IF(INDEX(Raw_매출!$B$2:$BI$155,MATCH($A50,Raw_매출!$A$2:$A$155,0),MATCH(EDATE($E50,AK$1-1),Raw_매출!$B$1:$BI$1,0))=0,"",INDEX(Raw_매출!$B$2:$BI$155,MATCH($A50,Raw_매출!$A$2:$A$155,0),MATCH(EDATE($E50,AK$1-1),Raw_매출!$B$1:$BI$1,0))/(INDEX(요약_월별시즈널리티!$F$7:$F$18,MONTH(EDATE($E50,AK$1-1)))/100))),"")</f>
        <v>8989228.9832430575</v>
      </c>
      <c r="AL50" cm="1">
        <f t="array" ref="AL50">IFERROR(IF($E50&lt;44348,"",IF(INDEX(Raw_매출!$B$2:$BI$155,MATCH($A50,Raw_매출!$A$2:$A$155,0),MATCH(EDATE($E50,AL$1-1),Raw_매출!$B$1:$BI$1,0))=0,"",INDEX(Raw_매출!$B$2:$BI$155,MATCH($A50,Raw_매출!$A$2:$A$155,0),MATCH(EDATE($E50,AL$1-1),Raw_매출!$B$1:$BI$1,0))/(INDEX(요약_월별시즈널리티!$F$7:$F$18,MONTH(EDATE($E50,AL$1-1)))/100))),"")</f>
        <v>9531399.7273231149</v>
      </c>
      <c r="AM50" cm="1">
        <f t="array" ref="AM50">IFERROR(IF($E50&lt;44348,"",IF(INDEX(Raw_매출!$B$2:$BI$155,MATCH($A50,Raw_매출!$A$2:$A$155,0),MATCH(EDATE($E50,AM$1-1),Raw_매출!$B$1:$BI$1,0))=0,"",INDEX(Raw_매출!$B$2:$BI$155,MATCH($A50,Raw_매출!$A$2:$A$155,0),MATCH(EDATE($E50,AM$1-1),Raw_매출!$B$1:$BI$1,0))/(INDEX(요약_월별시즈널리티!$F$7:$F$18,MONTH(EDATE($E50,AM$1-1)))/100))),"")</f>
        <v>8576117.356488239</v>
      </c>
      <c r="AN50" cm="1">
        <f t="array" ref="AN50">IFERROR(IF($E50&lt;44348,"",IF(INDEX(Raw_매출!$B$2:$BI$155,MATCH($A50,Raw_매출!$A$2:$A$155,0),MATCH(EDATE($E50,AN$1-1),Raw_매출!$B$1:$BI$1,0))=0,"",INDEX(Raw_매출!$B$2:$BI$155,MATCH($A50,Raw_매출!$A$2:$A$155,0),MATCH(EDATE($E50,AN$1-1),Raw_매출!$B$1:$BI$1,0))/(INDEX(요약_월별시즈널리티!$F$7:$F$18,MONTH(EDATE($E50,AN$1-1)))/100))),"")</f>
        <v>8407528.6989393514</v>
      </c>
      <c r="AO50" cm="1">
        <f t="array" ref="AO50">IFERROR(IF($E50&lt;44348,"",IF(INDEX(Raw_매출!$B$2:$BI$155,MATCH($A50,Raw_매출!$A$2:$A$155,0),MATCH(EDATE($E50,AO$1-1),Raw_매출!$B$1:$BI$1,0))=0,"",INDEX(Raw_매출!$B$2:$BI$155,MATCH($A50,Raw_매출!$A$2:$A$155,0),MATCH(EDATE($E50,AO$1-1),Raw_매출!$B$1:$BI$1,0))/(INDEX(요약_월별시즈널리티!$F$7:$F$18,MONTH(EDATE($E50,AO$1-1)))/100))),"")</f>
        <v>10197931.844975609</v>
      </c>
      <c r="AP50" cm="1">
        <f t="array" ref="AP50">IFERROR(IF($E50&lt;44348,"",IF(INDEX(Raw_매출!$B$2:$BI$155,MATCH($A50,Raw_매출!$A$2:$A$155,0),MATCH(EDATE($E50,AP$1-1),Raw_매출!$B$1:$BI$1,0))=0,"",INDEX(Raw_매출!$B$2:$BI$155,MATCH($A50,Raw_매출!$A$2:$A$155,0),MATCH(EDATE($E50,AP$1-1),Raw_매출!$B$1:$BI$1,0))/(INDEX(요약_월별시즈널리티!$F$7:$F$18,MONTH(EDATE($E50,AP$1-1)))/100))),"")</f>
        <v>10205533.242629707</v>
      </c>
      <c r="AQ50" cm="1">
        <f t="array" ref="AQ50">IFERROR(IF($E50&lt;44348,"",IF(INDEX(Raw_매출!$B$2:$BI$155,MATCH($A50,Raw_매출!$A$2:$A$155,0),MATCH(EDATE($E50,AQ$1-1),Raw_매출!$B$1:$BI$1,0))=0,"",INDEX(Raw_매출!$B$2:$BI$155,MATCH($A50,Raw_매출!$A$2:$A$155,0),MATCH(EDATE($E50,AQ$1-1),Raw_매출!$B$1:$BI$1,0))/(INDEX(요약_월별시즈널리티!$F$7:$F$18,MONTH(EDATE($E50,AQ$1-1)))/100))),"")</f>
        <v>11074797.330277661</v>
      </c>
      <c r="AR50" cm="1">
        <f t="array" ref="AR50">IFERROR(IF($E50&lt;44348,"",IF(INDEX(Raw_매출!$B$2:$BI$155,MATCH($A50,Raw_매출!$A$2:$A$155,0),MATCH(EDATE($E50,AR$1-1),Raw_매출!$B$1:$BI$1,0))=0,"",INDEX(Raw_매출!$B$2:$BI$155,MATCH($A50,Raw_매출!$A$2:$A$155,0),MATCH(EDATE($E50,AR$1-1),Raw_매출!$B$1:$BI$1,0))/(INDEX(요약_월별시즈널리티!$F$7:$F$18,MONTH(EDATE($E50,AR$1-1)))/100))),"")</f>
        <v>12049099.365851272</v>
      </c>
      <c r="AS50" cm="1">
        <f t="array" ref="AS50">IFERROR(IF($E50&lt;44348,"",IF(INDEX(Raw_매출!$B$2:$BI$155,MATCH($A50,Raw_매출!$A$2:$A$155,0),MATCH(EDATE($E50,AS$1-1),Raw_매출!$B$1:$BI$1,0))=0,"",INDEX(Raw_매출!$B$2:$BI$155,MATCH($A50,Raw_매출!$A$2:$A$155,0),MATCH(EDATE($E50,AS$1-1),Raw_매출!$B$1:$BI$1,0))/(INDEX(요약_월별시즈널리티!$F$7:$F$18,MONTH(EDATE($E50,AS$1-1)))/100))),"")</f>
        <v>11383417.386076925</v>
      </c>
      <c r="AT50" cm="1">
        <f t="array" ref="AT50">IFERROR(IF($E50&lt;44348,"",IF(INDEX(Raw_매출!$B$2:$BI$155,MATCH($A50,Raw_매출!$A$2:$A$155,0),MATCH(EDATE($E50,AT$1-1),Raw_매출!$B$1:$BI$1,0))=0,"",INDEX(Raw_매출!$B$2:$BI$155,MATCH($A50,Raw_매출!$A$2:$A$155,0),MATCH(EDATE($E50,AT$1-1),Raw_매출!$B$1:$BI$1,0))/(INDEX(요약_월별시즈널리티!$F$7:$F$18,MONTH(EDATE($E50,AT$1-1)))/100))),"")</f>
        <v>10363211.666583532</v>
      </c>
      <c r="AU50" cm="1">
        <f t="array" ref="AU50">IFERROR(IF($E50&lt;44348,"",IF(INDEX(Raw_매출!$B$2:$BI$155,MATCH($A50,Raw_매출!$A$2:$A$155,0),MATCH(EDATE($E50,AU$1-1),Raw_매출!$B$1:$BI$1,0))=0,"",INDEX(Raw_매출!$B$2:$BI$155,MATCH($A50,Raw_매출!$A$2:$A$155,0),MATCH(EDATE($E50,AU$1-1),Raw_매출!$B$1:$BI$1,0))/(INDEX(요약_월별시즈널리티!$F$7:$F$18,MONTH(EDATE($E50,AU$1-1)))/100))),"")</f>
        <v>11146999.598081874</v>
      </c>
      <c r="AV50" cm="1">
        <f t="array" ref="AV50">IFERROR(IF($E50&lt;44348,"",IF(INDEX(Raw_매출!$B$2:$BI$155,MATCH($A50,Raw_매출!$A$2:$A$155,0),MATCH(EDATE($E50,AV$1-1),Raw_매출!$B$1:$BI$1,0))=0,"",INDEX(Raw_매출!$B$2:$BI$155,MATCH($A50,Raw_매출!$A$2:$A$155,0),MATCH(EDATE($E50,AV$1-1),Raw_매출!$B$1:$BI$1,0))/(INDEX(요약_월별시즈널리티!$F$7:$F$18,MONTH(EDATE($E50,AV$1-1)))/100))),"")</f>
        <v>11736605.813173508</v>
      </c>
      <c r="AW50" cm="1">
        <f t="array" ref="AW50">IFERROR(IF($E50&lt;44348,"",IF(INDEX(Raw_매출!$B$2:$BI$155,MATCH($A50,Raw_매출!$A$2:$A$155,0),MATCH(EDATE($E50,AW$1-1),Raw_매출!$B$1:$BI$1,0))=0,"",INDEX(Raw_매출!$B$2:$BI$155,MATCH($A50,Raw_매출!$A$2:$A$155,0),MATCH(EDATE($E50,AW$1-1),Raw_매출!$B$1:$BI$1,0))/(INDEX(요약_월별시즈널리티!$F$7:$F$18,MONTH(EDATE($E50,AW$1-1)))/100))),"")</f>
        <v>11213537.742612639</v>
      </c>
      <c r="AX50" cm="1">
        <f t="array" ref="AX50">IFERROR(IF($E50&lt;44348,"",IF(INDEX(Raw_매출!$B$2:$BI$155,MATCH($A50,Raw_매출!$A$2:$A$155,0),MATCH(EDATE($E50,AX$1-1),Raw_매출!$B$1:$BI$1,0))=0,"",INDEX(Raw_매출!$B$2:$BI$155,MATCH($A50,Raw_매출!$A$2:$A$155,0),MATCH(EDATE($E50,AX$1-1),Raw_매출!$B$1:$BI$1,0))/(INDEX(요약_월별시즈널리티!$F$7:$F$18,MONTH(EDATE($E50,AX$1-1)))/100))),"")</f>
        <v>10587545.567971155</v>
      </c>
      <c r="AY50" cm="1">
        <f t="array" ref="AY50">IFERROR(IF($E50&lt;44348,"",IF(INDEX(Raw_매출!$B$2:$BI$155,MATCH($A50,Raw_매출!$A$2:$A$155,0),MATCH(EDATE($E50,AY$1-1),Raw_매출!$B$1:$BI$1,0))=0,"",INDEX(Raw_매출!$B$2:$BI$155,MATCH($A50,Raw_매출!$A$2:$A$155,0),MATCH(EDATE($E50,AY$1-1),Raw_매출!$B$1:$BI$1,0))/(INDEX(요약_월별시즈널리티!$F$7:$F$18,MONTH(EDATE($E50,AY$1-1)))/100))),"")</f>
        <v>10433182.875471786</v>
      </c>
      <c r="AZ50" cm="1">
        <f t="array" ref="AZ50">IFERROR(IF($E50&lt;44348,"",IF(INDEX(Raw_매출!$B$2:$BI$155,MATCH($A50,Raw_매출!$A$2:$A$155,0),MATCH(EDATE($E50,AZ$1-1),Raw_매출!$B$1:$BI$1,0))=0,"",INDEX(Raw_매출!$B$2:$BI$155,MATCH($A50,Raw_매출!$A$2:$A$155,0),MATCH(EDATE($E50,AZ$1-1),Raw_매출!$B$1:$BI$1,0))/(INDEX(요약_월별시즈널리티!$F$7:$F$18,MONTH(EDATE($E50,AZ$1-1)))/100))),"")</f>
        <v>10733446.126354264</v>
      </c>
      <c r="BA50" cm="1">
        <f t="array" ref="BA50">IFERROR(IF($E50&lt;44348,"",IF(INDEX(Raw_매출!$B$2:$BI$155,MATCH($A50,Raw_매출!$A$2:$A$155,0),MATCH(EDATE($E50,BA$1-1),Raw_매출!$B$1:$BI$1,0))=0,"",INDEX(Raw_매출!$B$2:$BI$155,MATCH($A50,Raw_매출!$A$2:$A$155,0),MATCH(EDATE($E50,BA$1-1),Raw_매출!$B$1:$BI$1,0))/(INDEX(요약_월별시즈널리티!$F$7:$F$18,MONTH(EDATE($E50,BA$1-1)))/100))),"")</f>
        <v>11390382.330521898</v>
      </c>
      <c r="BB50" cm="1">
        <f t="array" ref="BB50">IFERROR(IF($E50&lt;44348,"",IF(INDEX(Raw_매출!$B$2:$BI$155,MATCH($A50,Raw_매출!$A$2:$A$155,0),MATCH(EDATE($E50,BB$1-1),Raw_매출!$B$1:$BI$1,0))=0,"",INDEX(Raw_매출!$B$2:$BI$155,MATCH($A50,Raw_매출!$A$2:$A$155,0),MATCH(EDATE($E50,BB$1-1),Raw_매출!$B$1:$BI$1,0))/(INDEX(요약_월별시즈널리티!$F$7:$F$18,MONTH(EDATE($E50,BB$1-1)))/100))),"")</f>
        <v>11328402.469278179</v>
      </c>
      <c r="BC50" cm="1">
        <f t="array" ref="BC50">IFERROR(IF($E50&lt;44348,"",IF(INDEX(Raw_매출!$B$2:$BI$155,MATCH($A50,Raw_매출!$A$2:$A$155,0),MATCH(EDATE($E50,BC$1-1),Raw_매출!$B$1:$BI$1,0))=0,"",INDEX(Raw_매출!$B$2:$BI$155,MATCH($A50,Raw_매출!$A$2:$A$155,0),MATCH(EDATE($E50,BC$1-1),Raw_매출!$B$1:$BI$1,0))/(INDEX(요약_월별시즈널리티!$F$7:$F$18,MONTH(EDATE($E50,BC$1-1)))/100))),"")</f>
        <v>10817677.932571018</v>
      </c>
      <c r="BD50" cm="1">
        <f t="array" ref="BD50">IFERROR(IF($E50&lt;44348,"",IF(INDEX(Raw_매출!$B$2:$BI$155,MATCH($A50,Raw_매출!$A$2:$A$155,0),MATCH(EDATE($E50,BD$1-1),Raw_매출!$B$1:$BI$1,0))=0,"",INDEX(Raw_매출!$B$2:$BI$155,MATCH($A50,Raw_매출!$A$2:$A$155,0),MATCH(EDATE($E50,BD$1-1),Raw_매출!$B$1:$BI$1,0))/(INDEX(요약_월별시즈널리티!$F$7:$F$18,MONTH(EDATE($E50,BD$1-1)))/100))),"")</f>
        <v>12354327.866923001</v>
      </c>
      <c r="BE50" t="str" cm="1">
        <f t="array" ref="BE50">IFERROR(IF($E50&lt;44348,"",IF(INDEX(Raw_매출!$B$2:$BI$155,MATCH($A50,Raw_매출!$A$2:$A$155,0),MATCH(EDATE($E50,BE$1-1),Raw_매출!$B$1:$BI$1,0))=0,"",INDEX(Raw_매출!$B$2:$BI$155,MATCH($A50,Raw_매출!$A$2:$A$155,0),MATCH(EDATE($E50,BE$1-1),Raw_매출!$B$1:$BI$1,0))/(INDEX(요약_월별시즈널리티!$F$7:$F$18,MONTH(EDATE($E50,BE$1-1)))/100))),"")</f>
        <v/>
      </c>
      <c r="BF50" t="str" cm="1">
        <f t="array" ref="BF50">IFERROR(IF($E50&lt;44348,"",IF(INDEX(Raw_매출!$B$2:$BI$155,MATCH($A50,Raw_매출!$A$2:$A$155,0),MATCH(EDATE($E50,BF$1-1),Raw_매출!$B$1:$BI$1,0))=0,"",INDEX(Raw_매출!$B$2:$BI$155,MATCH($A50,Raw_매출!$A$2:$A$155,0),MATCH(EDATE($E50,BF$1-1),Raw_매출!$B$1:$BI$1,0))/(INDEX(요약_월별시즈널리티!$F$7:$F$18,MONTH(EDATE($E50,BF$1-1)))/100))),"")</f>
        <v/>
      </c>
      <c r="BG50" t="str" cm="1">
        <f t="array" ref="BG50">IFERROR(IF($E50&lt;44348,"",IF(INDEX(Raw_매출!$B$2:$BI$155,MATCH($A50,Raw_매출!$A$2:$A$155,0),MATCH(EDATE($E50,BG$1-1),Raw_매출!$B$1:$BI$1,0))=0,"",INDEX(Raw_매출!$B$2:$BI$155,MATCH($A50,Raw_매출!$A$2:$A$155,0),MATCH(EDATE($E50,BG$1-1),Raw_매출!$B$1:$BI$1,0))/(INDEX(요약_월별시즈널리티!$F$7:$F$18,MONTH(EDATE($E50,BG$1-1)))/100))),"")</f>
        <v/>
      </c>
      <c r="BH50" t="str" cm="1">
        <f t="array" ref="BH50">IFERROR(IF($E50&lt;44348,"",IF(INDEX(Raw_매출!$B$2:$BI$155,MATCH($A50,Raw_매출!$A$2:$A$155,0),MATCH(EDATE($E50,BH$1-1),Raw_매출!$B$1:$BI$1,0))=0,"",INDEX(Raw_매출!$B$2:$BI$155,MATCH($A50,Raw_매출!$A$2:$A$155,0),MATCH(EDATE($E50,BH$1-1),Raw_매출!$B$1:$BI$1,0))/(INDEX(요약_월별시즈널리티!$F$7:$F$18,MONTH(EDATE($E50,BH$1-1)))/100))),"")</f>
        <v/>
      </c>
      <c r="BI50" t="str" cm="1">
        <f t="array" ref="BI50">IFERROR(IF($E50&lt;44348,"",IF(INDEX(Raw_매출!$B$2:$BI$155,MATCH($A50,Raw_매출!$A$2:$A$155,0),MATCH(EDATE($E50,BI$1-1),Raw_매출!$B$1:$BI$1,0))=0,"",INDEX(Raw_매출!$B$2:$BI$155,MATCH($A50,Raw_매출!$A$2:$A$155,0),MATCH(EDATE($E50,BI$1-1),Raw_매출!$B$1:$BI$1,0))/(INDEX(요약_월별시즈널리티!$F$7:$F$18,MONTH(EDATE($E50,BI$1-1)))/100))),"")</f>
        <v/>
      </c>
      <c r="BJ50" t="str" cm="1">
        <f t="array" ref="BJ50">IFERROR(IF($E50&lt;44348,"",IF(INDEX(Raw_매출!$B$2:$BI$155,MATCH($A50,Raw_매출!$A$2:$A$155,0),MATCH(EDATE($E50,BJ$1-1),Raw_매출!$B$1:$BI$1,0))=0,"",INDEX(Raw_매출!$B$2:$BI$155,MATCH($A50,Raw_매출!$A$2:$A$155,0),MATCH(EDATE($E50,BJ$1-1),Raw_매출!$B$1:$BI$1,0))/(INDEX(요약_월별시즈널리티!$F$7:$F$18,MONTH(EDATE($E50,BJ$1-1)))/100))),"")</f>
        <v/>
      </c>
      <c r="BK50" t="str" cm="1">
        <f t="array" ref="BK50">IFERROR(IF($E50&lt;44348,"",IF(INDEX(Raw_매출!$B$2:$BI$155,MATCH($A50,Raw_매출!$A$2:$A$155,0),MATCH(EDATE($E50,BK$1-1),Raw_매출!$B$1:$BI$1,0))=0,"",INDEX(Raw_매출!$B$2:$BI$155,MATCH($A50,Raw_매출!$A$2:$A$155,0),MATCH(EDATE($E50,BK$1-1),Raw_매출!$B$1:$BI$1,0))/(INDEX(요약_월별시즈널리티!$F$7:$F$18,MONTH(EDATE($E50,BK$1-1)))/100))),"")</f>
        <v/>
      </c>
      <c r="BL50" t="str" cm="1">
        <f t="array" ref="BL50">IFERROR(IF($E50&lt;44348,"",IF(INDEX(Raw_매출!$B$2:$BI$155,MATCH($A50,Raw_매출!$A$2:$A$155,0),MATCH(EDATE($E50,BL$1-1),Raw_매출!$B$1:$BI$1,0))=0,"",INDEX(Raw_매출!$B$2:$BI$155,MATCH($A50,Raw_매출!$A$2:$A$155,0),MATCH(EDATE($E50,BL$1-1),Raw_매출!$B$1:$BI$1,0))/(INDEX(요약_월별시즈널리티!$F$7:$F$18,MONTH(EDATE($E50,BL$1-1)))/100))),"")</f>
        <v/>
      </c>
      <c r="BM50" t="str" cm="1">
        <f t="array" ref="BM50">IFERROR(IF($E50&lt;44348,"",IF(INDEX(Raw_매출!$B$2:$BI$155,MATCH($A50,Raw_매출!$A$2:$A$155,0),MATCH(EDATE($E50,BM$1-1),Raw_매출!$B$1:$BI$1,0))=0,"",INDEX(Raw_매출!$B$2:$BI$155,MATCH($A50,Raw_매출!$A$2:$A$155,0),MATCH(EDATE($E50,BM$1-1),Raw_매출!$B$1:$BI$1,0))/(INDEX(요약_월별시즈널리티!$F$7:$F$18,MONTH(EDATE($E50,BM$1-1)))/100))),"")</f>
        <v/>
      </c>
      <c r="BN50" t="str" cm="1">
        <f t="array" ref="BN50">IFERROR(IF($E50&lt;44348,"",IF(INDEX(Raw_매출!$B$2:$BI$155,MATCH($A50,Raw_매출!$A$2:$A$155,0),MATCH(EDATE($E50,BN$1-1),Raw_매출!$B$1:$BI$1,0))=0,"",INDEX(Raw_매출!$B$2:$BI$155,MATCH($A50,Raw_매출!$A$2:$A$155,0),MATCH(EDATE($E50,BN$1-1),Raw_매출!$B$1:$BI$1,0))/(INDEX(요약_월별시즈널리티!$F$7:$F$18,MONTH(EDATE($E50,BN$1-1)))/100))),"")</f>
        <v/>
      </c>
    </row>
    <row r="51" spans="1:66" x14ac:dyDescent="0.4">
      <c r="A51" t="str">
        <f>세팅!A52</f>
        <v>(1040) #독산역점</v>
      </c>
      <c r="B51" t="str">
        <f>세팅!B52</f>
        <v>150-1</v>
      </c>
      <c r="C51">
        <f t="shared" si="0"/>
        <v>1</v>
      </c>
      <c r="D51" t="str">
        <f t="shared" si="1"/>
        <v>1</v>
      </c>
      <c r="E51" s="1">
        <f>세팅!D52</f>
        <v>44652</v>
      </c>
      <c r="F51">
        <f t="shared" si="2"/>
        <v>4543607.7917041583</v>
      </c>
      <c r="G51" cm="1">
        <f t="array" ref="G51">IFERROR(IF($E51&lt;44348,"",IF(INDEX(Raw_매출!$B$2:$BI$155,MATCH($A51,Raw_매출!$A$2:$A$155,0),MATCH(EDATE($E51,G$1-1),Raw_매출!$B$1:$BI$1,0))=0,"",INDEX(Raw_매출!$B$2:$BI$155,MATCH($A51,Raw_매출!$A$2:$A$155,0),MATCH(EDATE($E51,G$1-1),Raw_매출!$B$1:$BI$1,0))/(INDEX(요약_월별시즈널리티!$F$7:$F$18,MONTH(EDATE($E51,G$1-1)))/100))),"")</f>
        <v>3237691.9740960062</v>
      </c>
      <c r="H51" cm="1">
        <f t="array" ref="H51">IFERROR(IF($E51&lt;44348,"",IF(INDEX(Raw_매출!$B$2:$BI$155,MATCH($A51,Raw_매출!$A$2:$A$155,0),MATCH(EDATE($E51,H$1-1),Raw_매출!$B$1:$BI$1,0))=0,"",INDEX(Raw_매출!$B$2:$BI$155,MATCH($A51,Raw_매출!$A$2:$A$155,0),MATCH(EDATE($E51,H$1-1),Raw_매출!$B$1:$BI$1,0))/(INDEX(요약_월별시즈널리티!$F$7:$F$18,MONTH(EDATE($E51,H$1-1)))/100))),"")</f>
        <v>3434178.9087498565</v>
      </c>
      <c r="I51" cm="1">
        <f t="array" ref="I51">IFERROR(IF($E51&lt;44348,"",IF(INDEX(Raw_매출!$B$2:$BI$155,MATCH($A51,Raw_매출!$A$2:$A$155,0),MATCH(EDATE($E51,I$1-1),Raw_매출!$B$1:$BI$1,0))=0,"",INDEX(Raw_매출!$B$2:$BI$155,MATCH($A51,Raw_매출!$A$2:$A$155,0),MATCH(EDATE($E51,I$1-1),Raw_매출!$B$1:$BI$1,0))/(INDEX(요약_월별시즈널리티!$F$7:$F$18,MONTH(EDATE($E51,I$1-1)))/100))),"")</f>
        <v>4458348.9101405432</v>
      </c>
      <c r="J51" s="30" cm="1">
        <f t="array" ref="J51">IFERROR(IF($E51&lt;44348,"",IF(INDEX(Raw_매출!$B$2:$BI$155,MATCH($A51,Raw_매출!$A$2:$A$155,0),MATCH(EDATE($E51,J$1-1),Raw_매출!$B$1:$BI$1,0))=0,"",INDEX(Raw_매출!$B$2:$BI$155,MATCH($A51,Raw_매출!$A$2:$A$155,0),MATCH(EDATE($E51,J$1-1),Raw_매출!$B$1:$BI$1,0))/(INDEX(요약_월별시즈널리티!$F$7:$F$18,MONTH(EDATE($E51,J$1-1)))/100))),"")</f>
        <v>4525278.1061152993</v>
      </c>
      <c r="K51" s="30" cm="1">
        <f t="array" ref="K51">IFERROR(IF($E51&lt;44348,"",IF(INDEX(Raw_매출!$B$2:$BI$155,MATCH($A51,Raw_매출!$A$2:$A$155,0),MATCH(EDATE($E51,K$1-1),Raw_매출!$B$1:$BI$1,0))=0,"",INDEX(Raw_매출!$B$2:$BI$155,MATCH($A51,Raw_매출!$A$2:$A$155,0),MATCH(EDATE($E51,K$1-1),Raw_매출!$B$1:$BI$1,0))/(INDEX(요약_월별시즈널리티!$F$7:$F$18,MONTH(EDATE($E51,K$1-1)))/100))),"")</f>
        <v>4499965.903622861</v>
      </c>
      <c r="L51" s="30" cm="1">
        <f t="array" ref="L51">IFERROR(IF($E51&lt;44348,"",IF(INDEX(Raw_매출!$B$2:$BI$155,MATCH($A51,Raw_매출!$A$2:$A$155,0),MATCH(EDATE($E51,L$1-1),Raw_매출!$B$1:$BI$1,0))=0,"",INDEX(Raw_매출!$B$2:$BI$155,MATCH($A51,Raw_매출!$A$2:$A$155,0),MATCH(EDATE($E51,L$1-1),Raw_매출!$B$1:$BI$1,0))/(INDEX(요약_월별시즈널리티!$F$7:$F$18,MONTH(EDATE($E51,L$1-1)))/100))),"")</f>
        <v>4467978.4382268302</v>
      </c>
      <c r="M51" s="30" cm="1">
        <f t="array" ref="M51">IFERROR(IF($E51&lt;44348,"",IF(INDEX(Raw_매출!$B$2:$BI$155,MATCH($A51,Raw_매출!$A$2:$A$155,0),MATCH(EDATE($E51,M$1-1),Raw_매출!$B$1:$BI$1,0))=0,"",INDEX(Raw_매출!$B$2:$BI$155,MATCH($A51,Raw_매출!$A$2:$A$155,0),MATCH(EDATE($E51,M$1-1),Raw_매출!$B$1:$BI$1,0))/(INDEX(요약_월별시즈널리티!$F$7:$F$18,MONTH(EDATE($E51,M$1-1)))/100))),"")</f>
        <v>4463877.7519843187</v>
      </c>
      <c r="N51" s="30" cm="1">
        <f t="array" ref="N51">IFERROR(IF($E51&lt;44348,"",IF(INDEX(Raw_매출!$B$2:$BI$155,MATCH($A51,Raw_매출!$A$2:$A$155,0),MATCH(EDATE($E51,N$1-1),Raw_매출!$B$1:$BI$1,0))=0,"",INDEX(Raw_매출!$B$2:$BI$155,MATCH($A51,Raw_매출!$A$2:$A$155,0),MATCH(EDATE($E51,N$1-1),Raw_매출!$B$1:$BI$1,0))/(INDEX(요약_월별시즈널리티!$F$7:$F$18,MONTH(EDATE($E51,N$1-1)))/100))),"")</f>
        <v>4731899.8926431639</v>
      </c>
      <c r="O51" s="30" cm="1">
        <f t="array" ref="O51">IFERROR(IF($E51&lt;44348,"",IF(INDEX(Raw_매출!$B$2:$BI$155,MATCH($A51,Raw_매출!$A$2:$A$155,0),MATCH(EDATE($E51,O$1-1),Raw_매출!$B$1:$BI$1,0))=0,"",INDEX(Raw_매출!$B$2:$BI$155,MATCH($A51,Raw_매출!$A$2:$A$155,0),MATCH(EDATE($E51,O$1-1),Raw_매출!$B$1:$BI$1,0))/(INDEX(요약_월별시즈널리티!$F$7:$F$18,MONTH(EDATE($E51,O$1-1)))/100))),"")</f>
        <v>4572646.6576324757</v>
      </c>
      <c r="P51" cm="1">
        <f t="array" ref="P51">IFERROR(IF($E51&lt;44348,"",IF(INDEX(Raw_매출!$B$2:$BI$155,MATCH($A51,Raw_매출!$A$2:$A$155,0),MATCH(EDATE($E51,P$1-1),Raw_매출!$B$1:$BI$1,0))=0,"",INDEX(Raw_매출!$B$2:$BI$155,MATCH($A51,Raw_매출!$A$2:$A$155,0),MATCH(EDATE($E51,P$1-1),Raw_매출!$B$1:$BI$1,0))/(INDEX(요약_월별시즈널리티!$F$7:$F$18,MONTH(EDATE($E51,P$1-1)))/100))),"")</f>
        <v>5505308.7614308102</v>
      </c>
      <c r="Q51" cm="1">
        <f t="array" ref="Q51">IFERROR(IF($E51&lt;44348,"",IF(INDEX(Raw_매출!$B$2:$BI$155,MATCH($A51,Raw_매출!$A$2:$A$155,0),MATCH(EDATE($E51,Q$1-1),Raw_매출!$B$1:$BI$1,0))=0,"",INDEX(Raw_매출!$B$2:$BI$155,MATCH($A51,Raw_매출!$A$2:$A$155,0),MATCH(EDATE($E51,Q$1-1),Raw_매출!$B$1:$BI$1,0))/(INDEX(요약_월별시즈널리티!$F$7:$F$18,MONTH(EDATE($E51,Q$1-1)))/100))),"")</f>
        <v>5100976.8902349724</v>
      </c>
      <c r="R51" cm="1">
        <f t="array" ref="R51">IFERROR(IF($E51&lt;44348,"",IF(INDEX(Raw_매출!$B$2:$BI$155,MATCH($A51,Raw_매출!$A$2:$A$155,0),MATCH(EDATE($E51,R$1-1),Raw_매출!$B$1:$BI$1,0))=0,"",INDEX(Raw_매출!$B$2:$BI$155,MATCH($A51,Raw_매출!$A$2:$A$155,0),MATCH(EDATE($E51,R$1-1),Raw_매출!$B$1:$BI$1,0))/(INDEX(요약_월별시즈널리티!$F$7:$F$18,MONTH(EDATE($E51,R$1-1)))/100))),"")</f>
        <v>5035421.8419691632</v>
      </c>
      <c r="S51" cm="1">
        <f t="array" ref="S51">IFERROR(IF($E51&lt;44348,"",IF(INDEX(Raw_매출!$B$2:$BI$155,MATCH($A51,Raw_매출!$A$2:$A$155,0),MATCH(EDATE($E51,S$1-1),Raw_매출!$B$1:$BI$1,0))=0,"",INDEX(Raw_매출!$B$2:$BI$155,MATCH($A51,Raw_매출!$A$2:$A$155,0),MATCH(EDATE($E51,S$1-1),Raw_매출!$B$1:$BI$1,0))/(INDEX(요약_월별시즈널리티!$F$7:$F$18,MONTH(EDATE($E51,S$1-1)))/100))),"")</f>
        <v>5632647.4537903136</v>
      </c>
      <c r="T51" cm="1">
        <f t="array" ref="T51">IFERROR(IF($E51&lt;44348,"",IF(INDEX(Raw_매출!$B$2:$BI$155,MATCH($A51,Raw_매출!$A$2:$A$155,0),MATCH(EDATE($E51,T$1-1),Raw_매출!$B$1:$BI$1,0))=0,"",INDEX(Raw_매출!$B$2:$BI$155,MATCH($A51,Raw_매출!$A$2:$A$155,0),MATCH(EDATE($E51,T$1-1),Raw_매출!$B$1:$BI$1,0))/(INDEX(요약_월별시즈널리티!$F$7:$F$18,MONTH(EDATE($E51,T$1-1)))/100))),"")</f>
        <v>5534941.7563207755</v>
      </c>
      <c r="U51" cm="1">
        <f t="array" ref="U51">IFERROR(IF($E51&lt;44348,"",IF(INDEX(Raw_매출!$B$2:$BI$155,MATCH($A51,Raw_매출!$A$2:$A$155,0),MATCH(EDATE($E51,U$1-1),Raw_매출!$B$1:$BI$1,0))=0,"",INDEX(Raw_매출!$B$2:$BI$155,MATCH($A51,Raw_매출!$A$2:$A$155,0),MATCH(EDATE($E51,U$1-1),Raw_매출!$B$1:$BI$1,0))/(INDEX(요약_월별시즈널리티!$F$7:$F$18,MONTH(EDATE($E51,U$1-1)))/100))),"")</f>
        <v>5077118.1205823077</v>
      </c>
      <c r="V51" cm="1">
        <f t="array" ref="V51">IFERROR(IF($E51&lt;44348,"",IF(INDEX(Raw_매출!$B$2:$BI$155,MATCH($A51,Raw_매출!$A$2:$A$155,0),MATCH(EDATE($E51,V$1-1),Raw_매출!$B$1:$BI$1,0))=0,"",INDEX(Raw_매출!$B$2:$BI$155,MATCH($A51,Raw_매출!$A$2:$A$155,0),MATCH(EDATE($E51,V$1-1),Raw_매출!$B$1:$BI$1,0))/(INDEX(요약_월별시즈널리티!$F$7:$F$18,MONTH(EDATE($E51,V$1-1)))/100))),"")</f>
        <v>5302418.4352951162</v>
      </c>
      <c r="W51" cm="1">
        <f t="array" ref="W51">IFERROR(IF($E51&lt;44348,"",IF(INDEX(Raw_매출!$B$2:$BI$155,MATCH($A51,Raw_매출!$A$2:$A$155,0),MATCH(EDATE($E51,W$1-1),Raw_매출!$B$1:$BI$1,0))=0,"",INDEX(Raw_매출!$B$2:$BI$155,MATCH($A51,Raw_매출!$A$2:$A$155,0),MATCH(EDATE($E51,W$1-1),Raw_매출!$B$1:$BI$1,0))/(INDEX(요약_월별시즈널리티!$F$7:$F$18,MONTH(EDATE($E51,W$1-1)))/100))),"")</f>
        <v>5015423.6704577096</v>
      </c>
      <c r="X51" cm="1">
        <f t="array" ref="X51">IFERROR(IF($E51&lt;44348,"",IF(INDEX(Raw_매출!$B$2:$BI$155,MATCH($A51,Raw_매출!$A$2:$A$155,0),MATCH(EDATE($E51,X$1-1),Raw_매출!$B$1:$BI$1,0))=0,"",INDEX(Raw_매출!$B$2:$BI$155,MATCH($A51,Raw_매출!$A$2:$A$155,0),MATCH(EDATE($E51,X$1-1),Raw_매출!$B$1:$BI$1,0))/(INDEX(요약_월별시즈널리티!$F$7:$F$18,MONTH(EDATE($E51,X$1-1)))/100))),"")</f>
        <v>5682946.9708634224</v>
      </c>
      <c r="Y51" cm="1">
        <f t="array" ref="Y51">IFERROR(IF($E51&lt;44348,"",IF(INDEX(Raw_매출!$B$2:$BI$155,MATCH($A51,Raw_매출!$A$2:$A$155,0),MATCH(EDATE($E51,Y$1-1),Raw_매출!$B$1:$BI$1,0))=0,"",INDEX(Raw_매출!$B$2:$BI$155,MATCH($A51,Raw_매출!$A$2:$A$155,0),MATCH(EDATE($E51,Y$1-1),Raw_매출!$B$1:$BI$1,0))/(INDEX(요약_월별시즈널리티!$F$7:$F$18,MONTH(EDATE($E51,Y$1-1)))/100))),"")</f>
        <v>5740564.0909035858</v>
      </c>
      <c r="Z51" cm="1">
        <f t="array" ref="Z51">IFERROR(IF($E51&lt;44348,"",IF(INDEX(Raw_매출!$B$2:$BI$155,MATCH($A51,Raw_매출!$A$2:$A$155,0),MATCH(EDATE($E51,Z$1-1),Raw_매출!$B$1:$BI$1,0))=0,"",INDEX(Raw_매출!$B$2:$BI$155,MATCH($A51,Raw_매출!$A$2:$A$155,0),MATCH(EDATE($E51,Z$1-1),Raw_매출!$B$1:$BI$1,0))/(INDEX(요약_월별시즈널리티!$F$7:$F$18,MONTH(EDATE($E51,Z$1-1)))/100))),"")</f>
        <v>5984150.8791515427</v>
      </c>
      <c r="AA51" cm="1">
        <f t="array" ref="AA51">IFERROR(IF($E51&lt;44348,"",IF(INDEX(Raw_매출!$B$2:$BI$155,MATCH($A51,Raw_매출!$A$2:$A$155,0),MATCH(EDATE($E51,AA$1-1),Raw_매출!$B$1:$BI$1,0))=0,"",INDEX(Raw_매출!$B$2:$BI$155,MATCH($A51,Raw_매출!$A$2:$A$155,0),MATCH(EDATE($E51,AA$1-1),Raw_매출!$B$1:$BI$1,0))/(INDEX(요약_월별시즈널리티!$F$7:$F$18,MONTH(EDATE($E51,AA$1-1)))/100))),"")</f>
        <v>6044758.2321772827</v>
      </c>
      <c r="AB51" cm="1">
        <f t="array" ref="AB51">IFERROR(IF($E51&lt;44348,"",IF(INDEX(Raw_매출!$B$2:$BI$155,MATCH($A51,Raw_매출!$A$2:$A$155,0),MATCH(EDATE($E51,AB$1-1),Raw_매출!$B$1:$BI$1,0))=0,"",INDEX(Raw_매출!$B$2:$BI$155,MATCH($A51,Raw_매출!$A$2:$A$155,0),MATCH(EDATE($E51,AB$1-1),Raw_매출!$B$1:$BI$1,0))/(INDEX(요약_월별시즈널리티!$F$7:$F$18,MONTH(EDATE($E51,AB$1-1)))/100))),"")</f>
        <v>7069260.2578662485</v>
      </c>
      <c r="AC51" cm="1">
        <f t="array" ref="AC51">IFERROR(IF($E51&lt;44348,"",IF(INDEX(Raw_매출!$B$2:$BI$155,MATCH($A51,Raw_매출!$A$2:$A$155,0),MATCH(EDATE($E51,AC$1-1),Raw_매출!$B$1:$BI$1,0))=0,"",INDEX(Raw_매출!$B$2:$BI$155,MATCH($A51,Raw_매출!$A$2:$A$155,0),MATCH(EDATE($E51,AC$1-1),Raw_매출!$B$1:$BI$1,0))/(INDEX(요약_월별시즈널리티!$F$7:$F$18,MONTH(EDATE($E51,AC$1-1)))/100))),"")</f>
        <v>6571747.6848125951</v>
      </c>
      <c r="AD51" cm="1">
        <f t="array" ref="AD51">IFERROR(IF($E51&lt;44348,"",IF(INDEX(Raw_매출!$B$2:$BI$155,MATCH($A51,Raw_매출!$A$2:$A$155,0),MATCH(EDATE($E51,AD$1-1),Raw_매출!$B$1:$BI$1,0))=0,"",INDEX(Raw_매출!$B$2:$BI$155,MATCH($A51,Raw_매출!$A$2:$A$155,0),MATCH(EDATE($E51,AD$1-1),Raw_매출!$B$1:$BI$1,0))/(INDEX(요약_월별시즈널리티!$F$7:$F$18,MONTH(EDATE($E51,AD$1-1)))/100))),"")</f>
        <v>6759680.7714604596</v>
      </c>
      <c r="AE51" cm="1">
        <f t="array" ref="AE51">IFERROR(IF($E51&lt;44348,"",IF(INDEX(Raw_매출!$B$2:$BI$155,MATCH($A51,Raw_매출!$A$2:$A$155,0),MATCH(EDATE($E51,AE$1-1),Raw_매출!$B$1:$BI$1,0))=0,"",INDEX(Raw_매출!$B$2:$BI$155,MATCH($A51,Raw_매출!$A$2:$A$155,0),MATCH(EDATE($E51,AE$1-1),Raw_매출!$B$1:$BI$1,0))/(INDEX(요약_월별시즈널리티!$F$7:$F$18,MONTH(EDATE($E51,AE$1-1)))/100))),"")</f>
        <v>6784845.3609646</v>
      </c>
      <c r="AF51" cm="1">
        <f t="array" ref="AF51">IFERROR(IF($E51&lt;44348,"",IF(INDEX(Raw_매출!$B$2:$BI$155,MATCH($A51,Raw_매출!$A$2:$A$155,0),MATCH(EDATE($E51,AF$1-1),Raw_매출!$B$1:$BI$1,0))=0,"",INDEX(Raw_매출!$B$2:$BI$155,MATCH($A51,Raw_매출!$A$2:$A$155,0),MATCH(EDATE($E51,AF$1-1),Raw_매출!$B$1:$BI$1,0))/(INDEX(요약_월별시즈널리티!$F$7:$F$18,MONTH(EDATE($E51,AF$1-1)))/100))),"")</f>
        <v>5882707.3097790442</v>
      </c>
      <c r="AG51" cm="1">
        <f t="array" ref="AG51">IFERROR(IF($E51&lt;44348,"",IF(INDEX(Raw_매출!$B$2:$BI$155,MATCH($A51,Raw_매출!$A$2:$A$155,0),MATCH(EDATE($E51,AG$1-1),Raw_매출!$B$1:$BI$1,0))=0,"",INDEX(Raw_매출!$B$2:$BI$155,MATCH($A51,Raw_매출!$A$2:$A$155,0),MATCH(EDATE($E51,AG$1-1),Raw_매출!$B$1:$BI$1,0))/(INDEX(요약_월별시즈널리티!$F$7:$F$18,MONTH(EDATE($E51,AG$1-1)))/100))),"")</f>
        <v>6812843.5884765433</v>
      </c>
      <c r="AH51" cm="1">
        <f t="array" ref="AH51">IFERROR(IF($E51&lt;44348,"",IF(INDEX(Raw_매출!$B$2:$BI$155,MATCH($A51,Raw_매출!$A$2:$A$155,0),MATCH(EDATE($E51,AH$1-1),Raw_매출!$B$1:$BI$1,0))=0,"",INDEX(Raw_매출!$B$2:$BI$155,MATCH($A51,Raw_매출!$A$2:$A$155,0),MATCH(EDATE($E51,AH$1-1),Raw_매출!$B$1:$BI$1,0))/(INDEX(요약_월별시즈널리티!$F$7:$F$18,MONTH(EDATE($E51,AH$1-1)))/100))),"")</f>
        <v>6678162.2084421935</v>
      </c>
      <c r="AI51" cm="1">
        <f t="array" ref="AI51">IFERROR(IF($E51&lt;44348,"",IF(INDEX(Raw_매출!$B$2:$BI$155,MATCH($A51,Raw_매출!$A$2:$A$155,0),MATCH(EDATE($E51,AI$1-1),Raw_매출!$B$1:$BI$1,0))=0,"",INDEX(Raw_매출!$B$2:$BI$155,MATCH($A51,Raw_매출!$A$2:$A$155,0),MATCH(EDATE($E51,AI$1-1),Raw_매출!$B$1:$BI$1,0))/(INDEX(요약_월별시즈널리티!$F$7:$F$18,MONTH(EDATE($E51,AI$1-1)))/100))),"")</f>
        <v>6338337.2094197636</v>
      </c>
      <c r="AJ51" cm="1">
        <f t="array" ref="AJ51">IFERROR(IF($E51&lt;44348,"",IF(INDEX(Raw_매출!$B$2:$BI$155,MATCH($A51,Raw_매출!$A$2:$A$155,0),MATCH(EDATE($E51,AJ$1-1),Raw_매출!$B$1:$BI$1,0))=0,"",INDEX(Raw_매출!$B$2:$BI$155,MATCH($A51,Raw_매출!$A$2:$A$155,0),MATCH(EDATE($E51,AJ$1-1),Raw_매출!$B$1:$BI$1,0))/(INDEX(요약_월별시즈널리티!$F$7:$F$18,MONTH(EDATE($E51,AJ$1-1)))/100))),"")</f>
        <v>6254051.1959137153</v>
      </c>
      <c r="AK51" cm="1">
        <f t="array" ref="AK51">IFERROR(IF($E51&lt;44348,"",IF(INDEX(Raw_매출!$B$2:$BI$155,MATCH($A51,Raw_매출!$A$2:$A$155,0),MATCH(EDATE($E51,AK$1-1),Raw_매출!$B$1:$BI$1,0))=0,"",INDEX(Raw_매출!$B$2:$BI$155,MATCH($A51,Raw_매출!$A$2:$A$155,0),MATCH(EDATE($E51,AK$1-1),Raw_매출!$B$1:$BI$1,0))/(INDEX(요약_월별시즈널리티!$F$7:$F$18,MONTH(EDATE($E51,AK$1-1)))/100))),"")</f>
        <v>6081350.0139344353</v>
      </c>
      <c r="AL51" cm="1">
        <f t="array" ref="AL51">IFERROR(IF($E51&lt;44348,"",IF(INDEX(Raw_매출!$B$2:$BI$155,MATCH($A51,Raw_매출!$A$2:$A$155,0),MATCH(EDATE($E51,AL$1-1),Raw_매출!$B$1:$BI$1,0))=0,"",INDEX(Raw_매출!$B$2:$BI$155,MATCH($A51,Raw_매출!$A$2:$A$155,0),MATCH(EDATE($E51,AL$1-1),Raw_매출!$B$1:$BI$1,0))/(INDEX(요약_월별시즈널리티!$F$7:$F$18,MONTH(EDATE($E51,AL$1-1)))/100))),"")</f>
        <v>5802606.9029598273</v>
      </c>
      <c r="AM51" cm="1">
        <f t="array" ref="AM51">IFERROR(IF($E51&lt;44348,"",IF(INDEX(Raw_매출!$B$2:$BI$155,MATCH($A51,Raw_매출!$A$2:$A$155,0),MATCH(EDATE($E51,AM$1-1),Raw_매출!$B$1:$BI$1,0))=0,"",INDEX(Raw_매출!$B$2:$BI$155,MATCH($A51,Raw_매출!$A$2:$A$155,0),MATCH(EDATE($E51,AM$1-1),Raw_매출!$B$1:$BI$1,0))/(INDEX(요약_월별시즈널리티!$F$7:$F$18,MONTH(EDATE($E51,AM$1-1)))/100))),"")</f>
        <v>6031403.2006692775</v>
      </c>
      <c r="AN51" cm="1">
        <f t="array" ref="AN51">IFERROR(IF($E51&lt;44348,"",IF(INDEX(Raw_매출!$B$2:$BI$155,MATCH($A51,Raw_매출!$A$2:$A$155,0),MATCH(EDATE($E51,AN$1-1),Raw_매출!$B$1:$BI$1,0))=0,"",INDEX(Raw_매출!$B$2:$BI$155,MATCH($A51,Raw_매출!$A$2:$A$155,0),MATCH(EDATE($E51,AN$1-1),Raw_매출!$B$1:$BI$1,0))/(INDEX(요약_월별시즈널리티!$F$7:$F$18,MONTH(EDATE($E51,AN$1-1)))/100))),"")</f>
        <v>7119551.1957288254</v>
      </c>
      <c r="AO51" cm="1">
        <f t="array" ref="AO51">IFERROR(IF($E51&lt;44348,"",IF(INDEX(Raw_매출!$B$2:$BI$155,MATCH($A51,Raw_매출!$A$2:$A$155,0),MATCH(EDATE($E51,AO$1-1),Raw_매출!$B$1:$BI$1,0))=0,"",INDEX(Raw_매출!$B$2:$BI$155,MATCH($A51,Raw_매출!$A$2:$A$155,0),MATCH(EDATE($E51,AO$1-1),Raw_매출!$B$1:$BI$1,0))/(INDEX(요약_월별시즈널리티!$F$7:$F$18,MONTH(EDATE($E51,AO$1-1)))/100))),"")</f>
        <v>5962655.8076925278</v>
      </c>
      <c r="AP51" cm="1">
        <f t="array" ref="AP51">IFERROR(IF($E51&lt;44348,"",IF(INDEX(Raw_매출!$B$2:$BI$155,MATCH($A51,Raw_매출!$A$2:$A$155,0),MATCH(EDATE($E51,AP$1-1),Raw_매출!$B$1:$BI$1,0))=0,"",INDEX(Raw_매출!$B$2:$BI$155,MATCH($A51,Raw_매출!$A$2:$A$155,0),MATCH(EDATE($E51,AP$1-1),Raw_매출!$B$1:$BI$1,0))/(INDEX(요약_월별시즈널리티!$F$7:$F$18,MONTH(EDATE($E51,AP$1-1)))/100))),"")</f>
        <v>7158501.0004890161</v>
      </c>
      <c r="AQ51" cm="1">
        <f t="array" ref="AQ51">IFERROR(IF($E51&lt;44348,"",IF(INDEX(Raw_매출!$B$2:$BI$155,MATCH($A51,Raw_매출!$A$2:$A$155,0),MATCH(EDATE($E51,AQ$1-1),Raw_매출!$B$1:$BI$1,0))=0,"",INDEX(Raw_매출!$B$2:$BI$155,MATCH($A51,Raw_매출!$A$2:$A$155,0),MATCH(EDATE($E51,AQ$1-1),Raw_매출!$B$1:$BI$1,0))/(INDEX(요약_월별시즈널리티!$F$7:$F$18,MONTH(EDATE($E51,AQ$1-1)))/100))),"")</f>
        <v>7030534.696778995</v>
      </c>
      <c r="AR51" cm="1">
        <f t="array" ref="AR51">IFERROR(IF($E51&lt;44348,"",IF(INDEX(Raw_매출!$B$2:$BI$155,MATCH($A51,Raw_매출!$A$2:$A$155,0),MATCH(EDATE($E51,AR$1-1),Raw_매출!$B$1:$BI$1,0))=0,"",INDEX(Raw_매출!$B$2:$BI$155,MATCH($A51,Raw_매출!$A$2:$A$155,0),MATCH(EDATE($E51,AR$1-1),Raw_매출!$B$1:$BI$1,0))/(INDEX(요약_월별시즈널리티!$F$7:$F$18,MONTH(EDATE($E51,AR$1-1)))/100))),"")</f>
        <v>6888079.3692309111</v>
      </c>
      <c r="AS51" cm="1">
        <f t="array" ref="AS51">IFERROR(IF($E51&lt;44348,"",IF(INDEX(Raw_매출!$B$2:$BI$155,MATCH($A51,Raw_매출!$A$2:$A$155,0),MATCH(EDATE($E51,AS$1-1),Raw_매출!$B$1:$BI$1,0))=0,"",INDEX(Raw_매출!$B$2:$BI$155,MATCH($A51,Raw_매출!$A$2:$A$155,0),MATCH(EDATE($E51,AS$1-1),Raw_매출!$B$1:$BI$1,0))/(INDEX(요약_월별시즈널리티!$F$7:$F$18,MONTH(EDATE($E51,AS$1-1)))/100))),"")</f>
        <v>6585990.731874804</v>
      </c>
      <c r="AT51" cm="1">
        <f t="array" ref="AT51">IFERROR(IF($E51&lt;44348,"",IF(INDEX(Raw_매출!$B$2:$BI$155,MATCH($A51,Raw_매출!$A$2:$A$155,0),MATCH(EDATE($E51,AT$1-1),Raw_매출!$B$1:$BI$1,0))=0,"",INDEX(Raw_매출!$B$2:$BI$155,MATCH($A51,Raw_매출!$A$2:$A$155,0),MATCH(EDATE($E51,AT$1-1),Raw_매출!$B$1:$BI$1,0))/(INDEX(요약_월별시즈널리티!$F$7:$F$18,MONTH(EDATE($E51,AT$1-1)))/100))),"")</f>
        <v>6252593.0949289482</v>
      </c>
      <c r="AU51" cm="1">
        <f t="array" ref="AU51">IFERROR(IF($E51&lt;44348,"",IF(INDEX(Raw_매출!$B$2:$BI$155,MATCH($A51,Raw_매출!$A$2:$A$155,0),MATCH(EDATE($E51,AU$1-1),Raw_매출!$B$1:$BI$1,0))=0,"",INDEX(Raw_매출!$B$2:$BI$155,MATCH($A51,Raw_매출!$A$2:$A$155,0),MATCH(EDATE($E51,AU$1-1),Raw_매출!$B$1:$BI$1,0))/(INDEX(요약_월별시즈널리티!$F$7:$F$18,MONTH(EDATE($E51,AU$1-1)))/100))),"")</f>
        <v>6769322.619788521</v>
      </c>
      <c r="AV51" cm="1">
        <f t="array" ref="AV51">IFERROR(IF($E51&lt;44348,"",IF(INDEX(Raw_매출!$B$2:$BI$155,MATCH($A51,Raw_매출!$A$2:$A$155,0),MATCH(EDATE($E51,AV$1-1),Raw_매출!$B$1:$BI$1,0))=0,"",INDEX(Raw_매출!$B$2:$BI$155,MATCH($A51,Raw_매출!$A$2:$A$155,0),MATCH(EDATE($E51,AV$1-1),Raw_매출!$B$1:$BI$1,0))/(INDEX(요약_월별시즈널리티!$F$7:$F$18,MONTH(EDATE($E51,AV$1-1)))/100))),"")</f>
        <v>5707876.1631777491</v>
      </c>
      <c r="AW51" cm="1">
        <f t="array" ref="AW51">IFERROR(IF($E51&lt;44348,"",IF(INDEX(Raw_매출!$B$2:$BI$155,MATCH($A51,Raw_매출!$A$2:$A$155,0),MATCH(EDATE($E51,AW$1-1),Raw_매출!$B$1:$BI$1,0))=0,"",INDEX(Raw_매출!$B$2:$BI$155,MATCH($A51,Raw_매출!$A$2:$A$155,0),MATCH(EDATE($E51,AW$1-1),Raw_매출!$B$1:$BI$1,0))/(INDEX(요약_월별시즈널리티!$F$7:$F$18,MONTH(EDATE($E51,AW$1-1)))/100))),"")</f>
        <v>6339372.5291101802</v>
      </c>
      <c r="AX51" cm="1">
        <f t="array" ref="AX51">IFERROR(IF($E51&lt;44348,"",IF(INDEX(Raw_매출!$B$2:$BI$155,MATCH($A51,Raw_매출!$A$2:$A$155,0),MATCH(EDATE($E51,AX$1-1),Raw_매출!$B$1:$BI$1,0))=0,"",INDEX(Raw_매출!$B$2:$BI$155,MATCH($A51,Raw_매출!$A$2:$A$155,0),MATCH(EDATE($E51,AX$1-1),Raw_매출!$B$1:$BI$1,0))/(INDEX(요약_월별시즈널리티!$F$7:$F$18,MONTH(EDATE($E51,AX$1-1)))/100))),"")</f>
        <v>6907565.3189745834</v>
      </c>
      <c r="AY51" cm="1">
        <f t="array" ref="AY51">IFERROR(IF($E51&lt;44348,"",IF(INDEX(Raw_매출!$B$2:$BI$155,MATCH($A51,Raw_매출!$A$2:$A$155,0),MATCH(EDATE($E51,AY$1-1),Raw_매출!$B$1:$BI$1,0))=0,"",INDEX(Raw_매출!$B$2:$BI$155,MATCH($A51,Raw_매출!$A$2:$A$155,0),MATCH(EDATE($E51,AY$1-1),Raw_매출!$B$1:$BI$1,0))/(INDEX(요약_월별시즈널리티!$F$7:$F$18,MONTH(EDATE($E51,AY$1-1)))/100))),"")</f>
        <v>6098526.750335603</v>
      </c>
      <c r="AZ51" cm="1">
        <f t="array" ref="AZ51">IFERROR(IF($E51&lt;44348,"",IF(INDEX(Raw_매출!$B$2:$BI$155,MATCH($A51,Raw_매출!$A$2:$A$155,0),MATCH(EDATE($E51,AZ$1-1),Raw_매출!$B$1:$BI$1,0))=0,"",INDEX(Raw_매출!$B$2:$BI$155,MATCH($A51,Raw_매출!$A$2:$A$155,0),MATCH(EDATE($E51,AZ$1-1),Raw_매출!$B$1:$BI$1,0))/(INDEX(요약_월별시즈널리티!$F$7:$F$18,MONTH(EDATE($E51,AZ$1-1)))/100))),"")</f>
        <v>7230777.8767813779</v>
      </c>
      <c r="BA51" cm="1">
        <f t="array" ref="BA51">IFERROR(IF($E51&lt;44348,"",IF(INDEX(Raw_매출!$B$2:$BI$155,MATCH($A51,Raw_매출!$A$2:$A$155,0),MATCH(EDATE($E51,BA$1-1),Raw_매출!$B$1:$BI$1,0))=0,"",INDEX(Raw_매출!$B$2:$BI$155,MATCH($A51,Raw_매출!$A$2:$A$155,0),MATCH(EDATE($E51,BA$1-1),Raw_매출!$B$1:$BI$1,0))/(INDEX(요약_월별시즈널리티!$F$7:$F$18,MONTH(EDATE($E51,BA$1-1)))/100))),"")</f>
        <v>7490718.420860556</v>
      </c>
      <c r="BB51" cm="1">
        <f t="array" ref="BB51">IFERROR(IF($E51&lt;44348,"",IF(INDEX(Raw_매출!$B$2:$BI$155,MATCH($A51,Raw_매출!$A$2:$A$155,0),MATCH(EDATE($E51,BB$1-1),Raw_매출!$B$1:$BI$1,0))=0,"",INDEX(Raw_매출!$B$2:$BI$155,MATCH($A51,Raw_매출!$A$2:$A$155,0),MATCH(EDATE($E51,BB$1-1),Raw_매출!$B$1:$BI$1,0))/(INDEX(요약_월별시즈널리티!$F$7:$F$18,MONTH(EDATE($E51,BB$1-1)))/100))),"")</f>
        <v>6977254.6291815136</v>
      </c>
      <c r="BC51" cm="1">
        <f t="array" ref="BC51">IFERROR(IF($E51&lt;44348,"",IF(INDEX(Raw_매출!$B$2:$BI$155,MATCH($A51,Raw_매출!$A$2:$A$155,0),MATCH(EDATE($E51,BC$1-1),Raw_매출!$B$1:$BI$1,0))=0,"",INDEX(Raw_매출!$B$2:$BI$155,MATCH($A51,Raw_매출!$A$2:$A$155,0),MATCH(EDATE($E51,BC$1-1),Raw_매출!$B$1:$BI$1,0))/(INDEX(요약_월별시즈널리티!$F$7:$F$18,MONTH(EDATE($E51,BC$1-1)))/100))),"")</f>
        <v>7298503.8449853491</v>
      </c>
      <c r="BD51" cm="1">
        <f t="array" ref="BD51">IFERROR(IF($E51&lt;44348,"",IF(INDEX(Raw_매출!$B$2:$BI$155,MATCH($A51,Raw_매출!$A$2:$A$155,0),MATCH(EDATE($E51,BD$1-1),Raw_매출!$B$1:$BI$1,0))=0,"",INDEX(Raw_매출!$B$2:$BI$155,MATCH($A51,Raw_매출!$A$2:$A$155,0),MATCH(EDATE($E51,BD$1-1),Raw_매출!$B$1:$BI$1,0))/(INDEX(요약_월별시즈널리티!$F$7:$F$18,MONTH(EDATE($E51,BD$1-1)))/100))),"")</f>
        <v>7621079.5263085496</v>
      </c>
      <c r="BE51" t="str" cm="1">
        <f t="array" ref="BE51">IFERROR(IF($E51&lt;44348,"",IF(INDEX(Raw_매출!$B$2:$BI$155,MATCH($A51,Raw_매출!$A$2:$A$155,0),MATCH(EDATE($E51,BE$1-1),Raw_매출!$B$1:$BI$1,0))=0,"",INDEX(Raw_매출!$B$2:$BI$155,MATCH($A51,Raw_매출!$A$2:$A$155,0),MATCH(EDATE($E51,BE$1-1),Raw_매출!$B$1:$BI$1,0))/(INDEX(요약_월별시즈널리티!$F$7:$F$18,MONTH(EDATE($E51,BE$1-1)))/100))),"")</f>
        <v/>
      </c>
      <c r="BF51" t="str" cm="1">
        <f t="array" ref="BF51">IFERROR(IF($E51&lt;44348,"",IF(INDEX(Raw_매출!$B$2:$BI$155,MATCH($A51,Raw_매출!$A$2:$A$155,0),MATCH(EDATE($E51,BF$1-1),Raw_매출!$B$1:$BI$1,0))=0,"",INDEX(Raw_매출!$B$2:$BI$155,MATCH($A51,Raw_매출!$A$2:$A$155,0),MATCH(EDATE($E51,BF$1-1),Raw_매출!$B$1:$BI$1,0))/(INDEX(요약_월별시즈널리티!$F$7:$F$18,MONTH(EDATE($E51,BF$1-1)))/100))),"")</f>
        <v/>
      </c>
      <c r="BG51" t="str" cm="1">
        <f t="array" ref="BG51">IFERROR(IF($E51&lt;44348,"",IF(INDEX(Raw_매출!$B$2:$BI$155,MATCH($A51,Raw_매출!$A$2:$A$155,0),MATCH(EDATE($E51,BG$1-1),Raw_매출!$B$1:$BI$1,0))=0,"",INDEX(Raw_매출!$B$2:$BI$155,MATCH($A51,Raw_매출!$A$2:$A$155,0),MATCH(EDATE($E51,BG$1-1),Raw_매출!$B$1:$BI$1,0))/(INDEX(요약_월별시즈널리티!$F$7:$F$18,MONTH(EDATE($E51,BG$1-1)))/100))),"")</f>
        <v/>
      </c>
      <c r="BH51" t="str" cm="1">
        <f t="array" ref="BH51">IFERROR(IF($E51&lt;44348,"",IF(INDEX(Raw_매출!$B$2:$BI$155,MATCH($A51,Raw_매출!$A$2:$A$155,0),MATCH(EDATE($E51,BH$1-1),Raw_매출!$B$1:$BI$1,0))=0,"",INDEX(Raw_매출!$B$2:$BI$155,MATCH($A51,Raw_매출!$A$2:$A$155,0),MATCH(EDATE($E51,BH$1-1),Raw_매출!$B$1:$BI$1,0))/(INDEX(요약_월별시즈널리티!$F$7:$F$18,MONTH(EDATE($E51,BH$1-1)))/100))),"")</f>
        <v/>
      </c>
      <c r="BI51" t="str" cm="1">
        <f t="array" ref="BI51">IFERROR(IF($E51&lt;44348,"",IF(INDEX(Raw_매출!$B$2:$BI$155,MATCH($A51,Raw_매출!$A$2:$A$155,0),MATCH(EDATE($E51,BI$1-1),Raw_매출!$B$1:$BI$1,0))=0,"",INDEX(Raw_매출!$B$2:$BI$155,MATCH($A51,Raw_매출!$A$2:$A$155,0),MATCH(EDATE($E51,BI$1-1),Raw_매출!$B$1:$BI$1,0))/(INDEX(요약_월별시즈널리티!$F$7:$F$18,MONTH(EDATE($E51,BI$1-1)))/100))),"")</f>
        <v/>
      </c>
      <c r="BJ51" t="str" cm="1">
        <f t="array" ref="BJ51">IFERROR(IF($E51&lt;44348,"",IF(INDEX(Raw_매출!$B$2:$BI$155,MATCH($A51,Raw_매출!$A$2:$A$155,0),MATCH(EDATE($E51,BJ$1-1),Raw_매출!$B$1:$BI$1,0))=0,"",INDEX(Raw_매출!$B$2:$BI$155,MATCH($A51,Raw_매출!$A$2:$A$155,0),MATCH(EDATE($E51,BJ$1-1),Raw_매출!$B$1:$BI$1,0))/(INDEX(요약_월별시즈널리티!$F$7:$F$18,MONTH(EDATE($E51,BJ$1-1)))/100))),"")</f>
        <v/>
      </c>
      <c r="BK51" t="str" cm="1">
        <f t="array" ref="BK51">IFERROR(IF($E51&lt;44348,"",IF(INDEX(Raw_매출!$B$2:$BI$155,MATCH($A51,Raw_매출!$A$2:$A$155,0),MATCH(EDATE($E51,BK$1-1),Raw_매출!$B$1:$BI$1,0))=0,"",INDEX(Raw_매출!$B$2:$BI$155,MATCH($A51,Raw_매출!$A$2:$A$155,0),MATCH(EDATE($E51,BK$1-1),Raw_매출!$B$1:$BI$1,0))/(INDEX(요약_월별시즈널리티!$F$7:$F$18,MONTH(EDATE($E51,BK$1-1)))/100))),"")</f>
        <v/>
      </c>
      <c r="BL51" t="str" cm="1">
        <f t="array" ref="BL51">IFERROR(IF($E51&lt;44348,"",IF(INDEX(Raw_매출!$B$2:$BI$155,MATCH($A51,Raw_매출!$A$2:$A$155,0),MATCH(EDATE($E51,BL$1-1),Raw_매출!$B$1:$BI$1,0))=0,"",INDEX(Raw_매출!$B$2:$BI$155,MATCH($A51,Raw_매출!$A$2:$A$155,0),MATCH(EDATE($E51,BL$1-1),Raw_매출!$B$1:$BI$1,0))/(INDEX(요약_월별시즈널리티!$F$7:$F$18,MONTH(EDATE($E51,BL$1-1)))/100))),"")</f>
        <v/>
      </c>
      <c r="BM51" t="str" cm="1">
        <f t="array" ref="BM51">IFERROR(IF($E51&lt;44348,"",IF(INDEX(Raw_매출!$B$2:$BI$155,MATCH($A51,Raw_매출!$A$2:$A$155,0),MATCH(EDATE($E51,BM$1-1),Raw_매출!$B$1:$BI$1,0))=0,"",INDEX(Raw_매출!$B$2:$BI$155,MATCH($A51,Raw_매출!$A$2:$A$155,0),MATCH(EDATE($E51,BM$1-1),Raw_매출!$B$1:$BI$1,0))/(INDEX(요약_월별시즈널리티!$F$7:$F$18,MONTH(EDATE($E51,BM$1-1)))/100))),"")</f>
        <v/>
      </c>
      <c r="BN51" t="str" cm="1">
        <f t="array" ref="BN51">IFERROR(IF($E51&lt;44348,"",IF(INDEX(Raw_매출!$B$2:$BI$155,MATCH($A51,Raw_매출!$A$2:$A$155,0),MATCH(EDATE($E51,BN$1-1),Raw_매출!$B$1:$BI$1,0))=0,"",INDEX(Raw_매출!$B$2:$BI$155,MATCH($A51,Raw_매출!$A$2:$A$155,0),MATCH(EDATE($E51,BN$1-1),Raw_매출!$B$1:$BI$1,0))/(INDEX(요약_월별시즈널리티!$F$7:$F$18,MONTH(EDATE($E51,BN$1-1)))/100))),"")</f>
        <v/>
      </c>
    </row>
    <row r="52" spans="1:66" x14ac:dyDescent="0.4">
      <c r="A52" t="str">
        <f>세팅!A53</f>
        <v>(1041) #인하대점</v>
      </c>
      <c r="B52" t="str">
        <f>세팅!B53</f>
        <v>150-3</v>
      </c>
      <c r="C52">
        <f t="shared" si="0"/>
        <v>3</v>
      </c>
      <c r="D52" t="str">
        <f t="shared" si="1"/>
        <v>3+</v>
      </c>
      <c r="E52" s="1">
        <f>세팅!D53</f>
        <v>44682</v>
      </c>
      <c r="F52">
        <f t="shared" si="2"/>
        <v>7489387.5084916456</v>
      </c>
      <c r="G52" cm="1">
        <f t="array" ref="G52">IFERROR(IF($E52&lt;44348,"",IF(INDEX(Raw_매출!$B$2:$BI$155,MATCH($A52,Raw_매출!$A$2:$A$155,0),MATCH(EDATE($E52,G$1-1),Raw_매출!$B$1:$BI$1,0))=0,"",INDEX(Raw_매출!$B$2:$BI$155,MATCH($A52,Raw_매출!$A$2:$A$155,0),MATCH(EDATE($E52,G$1-1),Raw_매출!$B$1:$BI$1,0))/(INDEX(요약_월별시즈널리티!$F$7:$F$18,MONTH(EDATE($E52,G$1-1)))/100))),"")</f>
        <v>5800015.355864739</v>
      </c>
      <c r="H52" cm="1">
        <f t="array" ref="H52">IFERROR(IF($E52&lt;44348,"",IF(INDEX(Raw_매출!$B$2:$BI$155,MATCH($A52,Raw_매출!$A$2:$A$155,0),MATCH(EDATE($E52,H$1-1),Raw_매출!$B$1:$BI$1,0))=0,"",INDEX(Raw_매출!$B$2:$BI$155,MATCH($A52,Raw_매출!$A$2:$A$155,0),MATCH(EDATE($E52,H$1-1),Raw_매출!$B$1:$BI$1,0))/(INDEX(요약_월별시즈널리티!$F$7:$F$18,MONTH(EDATE($E52,H$1-1)))/100))),"")</f>
        <v>7263241.4159638239</v>
      </c>
      <c r="I52" cm="1">
        <f t="array" ref="I52">IFERROR(IF($E52&lt;44348,"",IF(INDEX(Raw_매출!$B$2:$BI$155,MATCH($A52,Raw_매출!$A$2:$A$155,0),MATCH(EDATE($E52,I$1-1),Raw_매출!$B$1:$BI$1,0))=0,"",INDEX(Raw_매출!$B$2:$BI$155,MATCH($A52,Raw_매출!$A$2:$A$155,0),MATCH(EDATE($E52,I$1-1),Raw_매출!$B$1:$BI$1,0))/(INDEX(요약_월별시즈널리티!$F$7:$F$18,MONTH(EDATE($E52,I$1-1)))/100))),"")</f>
        <v>7207295.898582831</v>
      </c>
      <c r="J52" s="30" cm="1">
        <f t="array" ref="J52">IFERROR(IF($E52&lt;44348,"",IF(INDEX(Raw_매출!$B$2:$BI$155,MATCH($A52,Raw_매출!$A$2:$A$155,0),MATCH(EDATE($E52,J$1-1),Raw_매출!$B$1:$BI$1,0))=0,"",INDEX(Raw_매출!$B$2:$BI$155,MATCH($A52,Raw_매출!$A$2:$A$155,0),MATCH(EDATE($E52,J$1-1),Raw_매출!$B$1:$BI$1,0))/(INDEX(요약_월별시즈널리티!$F$7:$F$18,MONTH(EDATE($E52,J$1-1)))/100))),"")</f>
        <v>8533471.9269921314</v>
      </c>
      <c r="K52" s="30" cm="1">
        <f t="array" ref="K52">IFERROR(IF($E52&lt;44348,"",IF(INDEX(Raw_매출!$B$2:$BI$155,MATCH($A52,Raw_매출!$A$2:$A$155,0),MATCH(EDATE($E52,K$1-1),Raw_매출!$B$1:$BI$1,0))=0,"",INDEX(Raw_매출!$B$2:$BI$155,MATCH($A52,Raw_매출!$A$2:$A$155,0),MATCH(EDATE($E52,K$1-1),Raw_매출!$B$1:$BI$1,0))/(INDEX(요약_월별시즈널리티!$F$7:$F$18,MONTH(EDATE($E52,K$1-1)))/100))),"")</f>
        <v>8621345.6753714103</v>
      </c>
      <c r="L52" s="30" cm="1">
        <f t="array" ref="L52">IFERROR(IF($E52&lt;44348,"",IF(INDEX(Raw_매출!$B$2:$BI$155,MATCH($A52,Raw_매출!$A$2:$A$155,0),MATCH(EDATE($E52,L$1-1),Raw_매출!$B$1:$BI$1,0))=0,"",INDEX(Raw_매출!$B$2:$BI$155,MATCH($A52,Raw_매출!$A$2:$A$155,0),MATCH(EDATE($E52,L$1-1),Raw_매출!$B$1:$BI$1,0))/(INDEX(요약_월별시즈널리티!$F$7:$F$18,MONTH(EDATE($E52,L$1-1)))/100))),"")</f>
        <v>7284079.5875403034</v>
      </c>
      <c r="M52" s="30" cm="1">
        <f t="array" ref="M52">IFERROR(IF($E52&lt;44348,"",IF(INDEX(Raw_매출!$B$2:$BI$155,MATCH($A52,Raw_매출!$A$2:$A$155,0),MATCH(EDATE($E52,M$1-1),Raw_매출!$B$1:$BI$1,0))=0,"",INDEX(Raw_매출!$B$2:$BI$155,MATCH($A52,Raw_매출!$A$2:$A$155,0),MATCH(EDATE($E52,M$1-1),Raw_매출!$B$1:$BI$1,0))/(INDEX(요약_월별시즈널리티!$F$7:$F$18,MONTH(EDATE($E52,M$1-1)))/100))),"")</f>
        <v>7106254.2080017151</v>
      </c>
      <c r="N52" s="30" cm="1">
        <f t="array" ref="N52">IFERROR(IF($E52&lt;44348,"",IF(INDEX(Raw_매출!$B$2:$BI$155,MATCH($A52,Raw_매출!$A$2:$A$155,0),MATCH(EDATE($E52,N$1-1),Raw_매출!$B$1:$BI$1,0))=0,"",INDEX(Raw_매출!$B$2:$BI$155,MATCH($A52,Raw_매출!$A$2:$A$155,0),MATCH(EDATE($E52,N$1-1),Raw_매출!$B$1:$BI$1,0))/(INDEX(요약_월별시즈널리티!$F$7:$F$18,MONTH(EDATE($E52,N$1-1)))/100))),"")</f>
        <v>6885099.3959208988</v>
      </c>
      <c r="O52" s="30" cm="1">
        <f t="array" ref="O52">IFERROR(IF($E52&lt;44348,"",IF(INDEX(Raw_매출!$B$2:$BI$155,MATCH($A52,Raw_매출!$A$2:$A$155,0),MATCH(EDATE($E52,O$1-1),Raw_매출!$B$1:$BI$1,0))=0,"",INDEX(Raw_매출!$B$2:$BI$155,MATCH($A52,Raw_매출!$A$2:$A$155,0),MATCH(EDATE($E52,O$1-1),Raw_매출!$B$1:$BI$1,0))/(INDEX(요약_월별시즈널리티!$F$7:$F$18,MONTH(EDATE($E52,O$1-1)))/100))),"")</f>
        <v>6506074.2571234107</v>
      </c>
      <c r="P52" cm="1">
        <f t="array" ref="P52">IFERROR(IF($E52&lt;44348,"",IF(INDEX(Raw_매출!$B$2:$BI$155,MATCH($A52,Raw_매출!$A$2:$A$155,0),MATCH(EDATE($E52,P$1-1),Raw_매출!$B$1:$BI$1,0))=0,"",INDEX(Raw_매출!$B$2:$BI$155,MATCH($A52,Raw_매출!$A$2:$A$155,0),MATCH(EDATE($E52,P$1-1),Raw_매출!$B$1:$BI$1,0))/(INDEX(요약_월별시즈널리티!$F$7:$F$18,MONTH(EDATE($E52,P$1-1)))/100))),"")</f>
        <v>7018218.1170333708</v>
      </c>
      <c r="Q52" cm="1">
        <f t="array" ref="Q52">IFERROR(IF($E52&lt;44348,"",IF(INDEX(Raw_매출!$B$2:$BI$155,MATCH($A52,Raw_매출!$A$2:$A$155,0),MATCH(EDATE($E52,Q$1-1),Raw_매출!$B$1:$BI$1,0))=0,"",INDEX(Raw_매출!$B$2:$BI$155,MATCH($A52,Raw_매출!$A$2:$A$155,0),MATCH(EDATE($E52,Q$1-1),Raw_매출!$B$1:$BI$1,0))/(INDEX(요약_월별시즈널리티!$F$7:$F$18,MONTH(EDATE($E52,Q$1-1)))/100))),"")</f>
        <v>7405764.602771855</v>
      </c>
      <c r="R52" cm="1">
        <f t="array" ref="R52">IFERROR(IF($E52&lt;44348,"",IF(INDEX(Raw_매출!$B$2:$BI$155,MATCH($A52,Raw_매출!$A$2:$A$155,0),MATCH(EDATE($E52,R$1-1),Raw_매출!$B$1:$BI$1,0))=0,"",INDEX(Raw_매출!$B$2:$BI$155,MATCH($A52,Raw_매출!$A$2:$A$155,0),MATCH(EDATE($E52,R$1-1),Raw_매출!$B$1:$BI$1,0))/(INDEX(요약_월별시즈널리티!$F$7:$F$18,MONTH(EDATE($E52,R$1-1)))/100))),"")</f>
        <v>7572649.1644408228</v>
      </c>
      <c r="S52" cm="1">
        <f t="array" ref="S52">IFERROR(IF($E52&lt;44348,"",IF(INDEX(Raw_매출!$B$2:$BI$155,MATCH($A52,Raw_매출!$A$2:$A$155,0),MATCH(EDATE($E52,S$1-1),Raw_매출!$B$1:$BI$1,0))=0,"",INDEX(Raw_매출!$B$2:$BI$155,MATCH($A52,Raw_매출!$A$2:$A$155,0),MATCH(EDATE($E52,S$1-1),Raw_매출!$B$1:$BI$1,0))/(INDEX(요약_월별시즈널리티!$F$7:$F$18,MONTH(EDATE($E52,S$1-1)))/100))),"")</f>
        <v>7681345.0958432499</v>
      </c>
      <c r="T52" cm="1">
        <f t="array" ref="T52">IFERROR(IF($E52&lt;44348,"",IF(INDEX(Raw_매출!$B$2:$BI$155,MATCH($A52,Raw_매출!$A$2:$A$155,0),MATCH(EDATE($E52,T$1-1),Raw_매출!$B$1:$BI$1,0))=0,"",INDEX(Raw_매출!$B$2:$BI$155,MATCH($A52,Raw_매출!$A$2:$A$155,0),MATCH(EDATE($E52,T$1-1),Raw_매출!$B$1:$BI$1,0))/(INDEX(요약_월별시즈널리티!$F$7:$F$18,MONTH(EDATE($E52,T$1-1)))/100))),"")</f>
        <v>7640243.0968540497</v>
      </c>
      <c r="U52" cm="1">
        <f t="array" ref="U52">IFERROR(IF($E52&lt;44348,"",IF(INDEX(Raw_매출!$B$2:$BI$155,MATCH($A52,Raw_매출!$A$2:$A$155,0),MATCH(EDATE($E52,U$1-1),Raw_매출!$B$1:$BI$1,0))=0,"",INDEX(Raw_매출!$B$2:$BI$155,MATCH($A52,Raw_매출!$A$2:$A$155,0),MATCH(EDATE($E52,U$1-1),Raw_매출!$B$1:$BI$1,0))/(INDEX(요약_월별시즈널리티!$F$7:$F$18,MONTH(EDATE($E52,U$1-1)))/100))),"")</f>
        <v>7660492.4224462677</v>
      </c>
      <c r="V52" cm="1">
        <f t="array" ref="V52">IFERROR(IF($E52&lt;44348,"",IF(INDEX(Raw_매출!$B$2:$BI$155,MATCH($A52,Raw_매출!$A$2:$A$155,0),MATCH(EDATE($E52,V$1-1),Raw_매출!$B$1:$BI$1,0))=0,"",INDEX(Raw_매출!$B$2:$BI$155,MATCH($A52,Raw_매출!$A$2:$A$155,0),MATCH(EDATE($E52,V$1-1),Raw_매출!$B$1:$BI$1,0))/(INDEX(요약_월별시즈널리티!$F$7:$F$18,MONTH(EDATE($E52,V$1-1)))/100))),"")</f>
        <v>8218121.5289551467</v>
      </c>
      <c r="W52" cm="1">
        <f t="array" ref="W52">IFERROR(IF($E52&lt;44348,"",IF(INDEX(Raw_매출!$B$2:$BI$155,MATCH($A52,Raw_매출!$A$2:$A$155,0),MATCH(EDATE($E52,W$1-1),Raw_매출!$B$1:$BI$1,0))=0,"",INDEX(Raw_매출!$B$2:$BI$155,MATCH($A52,Raw_매출!$A$2:$A$155,0),MATCH(EDATE($E52,W$1-1),Raw_매출!$B$1:$BI$1,0))/(INDEX(요약_월별시즈널리티!$F$7:$F$18,MONTH(EDATE($E52,W$1-1)))/100))),"")</f>
        <v>7344723.3349798741</v>
      </c>
      <c r="X52" cm="1">
        <f t="array" ref="X52">IFERROR(IF($E52&lt;44348,"",IF(INDEX(Raw_매출!$B$2:$BI$155,MATCH($A52,Raw_매출!$A$2:$A$155,0),MATCH(EDATE($E52,X$1-1),Raw_매출!$B$1:$BI$1,0))=0,"",INDEX(Raw_매출!$B$2:$BI$155,MATCH($A52,Raw_매출!$A$2:$A$155,0),MATCH(EDATE($E52,X$1-1),Raw_매출!$B$1:$BI$1,0))/(INDEX(요약_월별시즈널리티!$F$7:$F$18,MONTH(EDATE($E52,X$1-1)))/100))),"")</f>
        <v>7655031.289100551</v>
      </c>
      <c r="Y52" cm="1">
        <f t="array" ref="Y52">IFERROR(IF($E52&lt;44348,"",IF(INDEX(Raw_매출!$B$2:$BI$155,MATCH($A52,Raw_매출!$A$2:$A$155,0),MATCH(EDATE($E52,Y$1-1),Raw_매출!$B$1:$BI$1,0))=0,"",INDEX(Raw_매출!$B$2:$BI$155,MATCH($A52,Raw_매출!$A$2:$A$155,0),MATCH(EDATE($E52,Y$1-1),Raw_매출!$B$1:$BI$1,0))/(INDEX(요약_월별시즈널리티!$F$7:$F$18,MONTH(EDATE($E52,Y$1-1)))/100))),"")</f>
        <v>7331587.3481243355</v>
      </c>
      <c r="Z52" cm="1">
        <f t="array" ref="Z52">IFERROR(IF($E52&lt;44348,"",IF(INDEX(Raw_매출!$B$2:$BI$155,MATCH($A52,Raw_매출!$A$2:$A$155,0),MATCH(EDATE($E52,Z$1-1),Raw_매출!$B$1:$BI$1,0))=0,"",INDEX(Raw_매출!$B$2:$BI$155,MATCH($A52,Raw_매출!$A$2:$A$155,0),MATCH(EDATE($E52,Z$1-1),Raw_매출!$B$1:$BI$1,0))/(INDEX(요약_월별시즈널리티!$F$7:$F$18,MONTH(EDATE($E52,Z$1-1)))/100))),"")</f>
        <v>7661433.1840167232</v>
      </c>
      <c r="AA52" cm="1">
        <f t="array" ref="AA52">IFERROR(IF($E52&lt;44348,"",IF(INDEX(Raw_매출!$B$2:$BI$155,MATCH($A52,Raw_매출!$A$2:$A$155,0),MATCH(EDATE($E52,AA$1-1),Raw_매출!$B$1:$BI$1,0))=0,"",INDEX(Raw_매출!$B$2:$BI$155,MATCH($A52,Raw_매출!$A$2:$A$155,0),MATCH(EDATE($E52,AA$1-1),Raw_매출!$B$1:$BI$1,0))/(INDEX(요약_월별시즈널리티!$F$7:$F$18,MONTH(EDATE($E52,AA$1-1)))/100))),"")</f>
        <v>7629655.9794004597</v>
      </c>
      <c r="AB52" cm="1">
        <f t="array" ref="AB52">IFERROR(IF($E52&lt;44348,"",IF(INDEX(Raw_매출!$B$2:$BI$155,MATCH($A52,Raw_매출!$A$2:$A$155,0),MATCH(EDATE($E52,AB$1-1),Raw_매출!$B$1:$BI$1,0))=0,"",INDEX(Raw_매출!$B$2:$BI$155,MATCH($A52,Raw_매출!$A$2:$A$155,0),MATCH(EDATE($E52,AB$1-1),Raw_매출!$B$1:$BI$1,0))/(INDEX(요약_월별시즈널리티!$F$7:$F$18,MONTH(EDATE($E52,AB$1-1)))/100))),"")</f>
        <v>7122147.7775949677</v>
      </c>
      <c r="AC52" cm="1">
        <f t="array" ref="AC52">IFERROR(IF($E52&lt;44348,"",IF(INDEX(Raw_매출!$B$2:$BI$155,MATCH($A52,Raw_매출!$A$2:$A$155,0),MATCH(EDATE($E52,AC$1-1),Raw_매출!$B$1:$BI$1,0))=0,"",INDEX(Raw_매출!$B$2:$BI$155,MATCH($A52,Raw_매출!$A$2:$A$155,0),MATCH(EDATE($E52,AC$1-1),Raw_매출!$B$1:$BI$1,0))/(INDEX(요약_월별시즈널리티!$F$7:$F$18,MONTH(EDATE($E52,AC$1-1)))/100))),"")</f>
        <v>7895105.1067277798</v>
      </c>
      <c r="AD52" cm="1">
        <f t="array" ref="AD52">IFERROR(IF($E52&lt;44348,"",IF(INDEX(Raw_매출!$B$2:$BI$155,MATCH($A52,Raw_매출!$A$2:$A$155,0),MATCH(EDATE($E52,AD$1-1),Raw_매출!$B$1:$BI$1,0))=0,"",INDEX(Raw_매출!$B$2:$BI$155,MATCH($A52,Raw_매출!$A$2:$A$155,0),MATCH(EDATE($E52,AD$1-1),Raw_매출!$B$1:$BI$1,0))/(INDEX(요약_월별시즈널리티!$F$7:$F$18,MONTH(EDATE($E52,AD$1-1)))/100))),"")</f>
        <v>8325292.3151515033</v>
      </c>
      <c r="AE52" cm="1">
        <f t="array" ref="AE52">IFERROR(IF($E52&lt;44348,"",IF(INDEX(Raw_매출!$B$2:$BI$155,MATCH($A52,Raw_매출!$A$2:$A$155,0),MATCH(EDATE($E52,AE$1-1),Raw_매출!$B$1:$BI$1,0))=0,"",INDEX(Raw_매출!$B$2:$BI$155,MATCH($A52,Raw_매출!$A$2:$A$155,0),MATCH(EDATE($E52,AE$1-1),Raw_매출!$B$1:$BI$1,0))/(INDEX(요약_월별시즈널리티!$F$7:$F$18,MONTH(EDATE($E52,AE$1-1)))/100))),"")</f>
        <v>8580773.1312453765</v>
      </c>
      <c r="AF52" cm="1">
        <f t="array" ref="AF52">IFERROR(IF($E52&lt;44348,"",IF(INDEX(Raw_매출!$B$2:$BI$155,MATCH($A52,Raw_매출!$A$2:$A$155,0),MATCH(EDATE($E52,AF$1-1),Raw_매출!$B$1:$BI$1,0))=0,"",INDEX(Raw_매출!$B$2:$BI$155,MATCH($A52,Raw_매출!$A$2:$A$155,0),MATCH(EDATE($E52,AF$1-1),Raw_매출!$B$1:$BI$1,0))/(INDEX(요약_월별시즈널리티!$F$7:$F$18,MONTH(EDATE($E52,AF$1-1)))/100))),"")</f>
        <v>8502531.0704618096</v>
      </c>
      <c r="AG52" cm="1">
        <f t="array" ref="AG52">IFERROR(IF($E52&lt;44348,"",IF(INDEX(Raw_매출!$B$2:$BI$155,MATCH($A52,Raw_매출!$A$2:$A$155,0),MATCH(EDATE($E52,AG$1-1),Raw_매출!$B$1:$BI$1,0))=0,"",INDEX(Raw_매출!$B$2:$BI$155,MATCH($A52,Raw_매출!$A$2:$A$155,0),MATCH(EDATE($E52,AG$1-1),Raw_매출!$B$1:$BI$1,0))/(INDEX(요약_월별시즈널리티!$F$7:$F$18,MONTH(EDATE($E52,AG$1-1)))/100))),"")</f>
        <v>8772658.0908312015</v>
      </c>
      <c r="AH52" cm="1">
        <f t="array" ref="AH52">IFERROR(IF($E52&lt;44348,"",IF(INDEX(Raw_매출!$B$2:$BI$155,MATCH($A52,Raw_매출!$A$2:$A$155,0),MATCH(EDATE($E52,AH$1-1),Raw_매출!$B$1:$BI$1,0))=0,"",INDEX(Raw_매출!$B$2:$BI$155,MATCH($A52,Raw_매출!$A$2:$A$155,0),MATCH(EDATE($E52,AH$1-1),Raw_매출!$B$1:$BI$1,0))/(INDEX(요약_월별시즈널리티!$F$7:$F$18,MONTH(EDATE($E52,AH$1-1)))/100))),"")</f>
        <v>8339146.3088108571</v>
      </c>
      <c r="AI52" cm="1">
        <f t="array" ref="AI52">IFERROR(IF($E52&lt;44348,"",IF(INDEX(Raw_매출!$B$2:$BI$155,MATCH($A52,Raw_매출!$A$2:$A$155,0),MATCH(EDATE($E52,AI$1-1),Raw_매출!$B$1:$BI$1,0))=0,"",INDEX(Raw_매출!$B$2:$BI$155,MATCH($A52,Raw_매출!$A$2:$A$155,0),MATCH(EDATE($E52,AI$1-1),Raw_매출!$B$1:$BI$1,0))/(INDEX(요약_월별시즈널리티!$F$7:$F$18,MONTH(EDATE($E52,AI$1-1)))/100))),"")</f>
        <v>8978004.9131697342</v>
      </c>
      <c r="AJ52" cm="1">
        <f t="array" ref="AJ52">IFERROR(IF($E52&lt;44348,"",IF(INDEX(Raw_매출!$B$2:$BI$155,MATCH($A52,Raw_매출!$A$2:$A$155,0),MATCH(EDATE($E52,AJ$1-1),Raw_매출!$B$1:$BI$1,0))=0,"",INDEX(Raw_매출!$B$2:$BI$155,MATCH($A52,Raw_매출!$A$2:$A$155,0),MATCH(EDATE($E52,AJ$1-1),Raw_매출!$B$1:$BI$1,0))/(INDEX(요약_월별시즈널리티!$F$7:$F$18,MONTH(EDATE($E52,AJ$1-1)))/100))),"")</f>
        <v>8051243.6942185387</v>
      </c>
      <c r="AK52" cm="1">
        <f t="array" ref="AK52">IFERROR(IF($E52&lt;44348,"",IF(INDEX(Raw_매출!$B$2:$BI$155,MATCH($A52,Raw_매출!$A$2:$A$155,0),MATCH(EDATE($E52,AK$1-1),Raw_매출!$B$1:$BI$1,0))=0,"",INDEX(Raw_매출!$B$2:$BI$155,MATCH($A52,Raw_매출!$A$2:$A$155,0),MATCH(EDATE($E52,AK$1-1),Raw_매출!$B$1:$BI$1,0))/(INDEX(요약_월별시즈널리티!$F$7:$F$18,MONTH(EDATE($E52,AK$1-1)))/100))),"")</f>
        <v>9118596.3302135691</v>
      </c>
      <c r="AL52" cm="1">
        <f t="array" ref="AL52">IFERROR(IF($E52&lt;44348,"",IF(INDEX(Raw_매출!$B$2:$BI$155,MATCH($A52,Raw_매출!$A$2:$A$155,0),MATCH(EDATE($E52,AL$1-1),Raw_매출!$B$1:$BI$1,0))=0,"",INDEX(Raw_매출!$B$2:$BI$155,MATCH($A52,Raw_매출!$A$2:$A$155,0),MATCH(EDATE($E52,AL$1-1),Raw_매출!$B$1:$BI$1,0))/(INDEX(요약_월별시즈널리티!$F$7:$F$18,MONTH(EDATE($E52,AL$1-1)))/100))),"")</f>
        <v>7895533.337769378</v>
      </c>
      <c r="AM52" cm="1">
        <f t="array" ref="AM52">IFERROR(IF($E52&lt;44348,"",IF(INDEX(Raw_매출!$B$2:$BI$155,MATCH($A52,Raw_매출!$A$2:$A$155,0),MATCH(EDATE($E52,AM$1-1),Raw_매출!$B$1:$BI$1,0))=0,"",INDEX(Raw_매출!$B$2:$BI$155,MATCH($A52,Raw_매출!$A$2:$A$155,0),MATCH(EDATE($E52,AM$1-1),Raw_매출!$B$1:$BI$1,0))/(INDEX(요약_월별시즈널리티!$F$7:$F$18,MONTH(EDATE($E52,AM$1-1)))/100))),"")</f>
        <v>7325911.0183038581</v>
      </c>
      <c r="AN52" cm="1">
        <f t="array" ref="AN52">IFERROR(IF($E52&lt;44348,"",IF(INDEX(Raw_매출!$B$2:$BI$155,MATCH($A52,Raw_매출!$A$2:$A$155,0),MATCH(EDATE($E52,AN$1-1),Raw_매출!$B$1:$BI$1,0))=0,"",INDEX(Raw_매출!$B$2:$BI$155,MATCH($A52,Raw_매출!$A$2:$A$155,0),MATCH(EDATE($E52,AN$1-1),Raw_매출!$B$1:$BI$1,0))/(INDEX(요약_월별시즈널리티!$F$7:$F$18,MONTH(EDATE($E52,AN$1-1)))/100))),"")</f>
        <v>7617356.0004078709</v>
      </c>
      <c r="AO52" cm="1">
        <f t="array" ref="AO52">IFERROR(IF($E52&lt;44348,"",IF(INDEX(Raw_매출!$B$2:$BI$155,MATCH($A52,Raw_매출!$A$2:$A$155,0),MATCH(EDATE($E52,AO$1-1),Raw_매출!$B$1:$BI$1,0))=0,"",INDEX(Raw_매출!$B$2:$BI$155,MATCH($A52,Raw_매출!$A$2:$A$155,0),MATCH(EDATE($E52,AO$1-1),Raw_매출!$B$1:$BI$1,0))/(INDEX(요약_월별시즈널리티!$F$7:$F$18,MONTH(EDATE($E52,AO$1-1)))/100))),"")</f>
        <v>8636679.8010508902</v>
      </c>
      <c r="AP52" cm="1">
        <f t="array" ref="AP52">IFERROR(IF($E52&lt;44348,"",IF(INDEX(Raw_매출!$B$2:$BI$155,MATCH($A52,Raw_매출!$A$2:$A$155,0),MATCH(EDATE($E52,AP$1-1),Raw_매출!$B$1:$BI$1,0))=0,"",INDEX(Raw_매출!$B$2:$BI$155,MATCH($A52,Raw_매출!$A$2:$A$155,0),MATCH(EDATE($E52,AP$1-1),Raw_매출!$B$1:$BI$1,0))/(INDEX(요약_월별시즈널리티!$F$7:$F$18,MONTH(EDATE($E52,AP$1-1)))/100))),"")</f>
        <v>8155033.0976631865</v>
      </c>
      <c r="AQ52" cm="1">
        <f t="array" ref="AQ52">IFERROR(IF($E52&lt;44348,"",IF(INDEX(Raw_매출!$B$2:$BI$155,MATCH($A52,Raw_매출!$A$2:$A$155,0),MATCH(EDATE($E52,AQ$1-1),Raw_매출!$B$1:$BI$1,0))=0,"",INDEX(Raw_매출!$B$2:$BI$155,MATCH($A52,Raw_매출!$A$2:$A$155,0),MATCH(EDATE($E52,AQ$1-1),Raw_매출!$B$1:$BI$1,0))/(INDEX(요약_월별시즈널리티!$F$7:$F$18,MONTH(EDATE($E52,AQ$1-1)))/100))),"")</f>
        <v>7491627.1848198399</v>
      </c>
      <c r="AR52" cm="1">
        <f t="array" ref="AR52">IFERROR(IF($E52&lt;44348,"",IF(INDEX(Raw_매출!$B$2:$BI$155,MATCH($A52,Raw_매출!$A$2:$A$155,0),MATCH(EDATE($E52,AR$1-1),Raw_매출!$B$1:$BI$1,0))=0,"",INDEX(Raw_매출!$B$2:$BI$155,MATCH($A52,Raw_매출!$A$2:$A$155,0),MATCH(EDATE($E52,AR$1-1),Raw_매출!$B$1:$BI$1,0))/(INDEX(요약_월별시즈널리티!$F$7:$F$18,MONTH(EDATE($E52,AR$1-1)))/100))),"")</f>
        <v>7029549.0191900628</v>
      </c>
      <c r="AS52" cm="1">
        <f t="array" ref="AS52">IFERROR(IF($E52&lt;44348,"",IF(INDEX(Raw_매출!$B$2:$BI$155,MATCH($A52,Raw_매출!$A$2:$A$155,0),MATCH(EDATE($E52,AS$1-1),Raw_매출!$B$1:$BI$1,0))=0,"",INDEX(Raw_매출!$B$2:$BI$155,MATCH($A52,Raw_매출!$A$2:$A$155,0),MATCH(EDATE($E52,AS$1-1),Raw_매출!$B$1:$BI$1,0))/(INDEX(요약_월별시즈널리티!$F$7:$F$18,MONTH(EDATE($E52,AS$1-1)))/100))),"")</f>
        <v>6379237.8317935681</v>
      </c>
      <c r="AT52" cm="1">
        <f t="array" ref="AT52">IFERROR(IF($E52&lt;44348,"",IF(INDEX(Raw_매출!$B$2:$BI$155,MATCH($A52,Raw_매출!$A$2:$A$155,0),MATCH(EDATE($E52,AT$1-1),Raw_매출!$B$1:$BI$1,0))=0,"",INDEX(Raw_매출!$B$2:$BI$155,MATCH($A52,Raw_매출!$A$2:$A$155,0),MATCH(EDATE($E52,AT$1-1),Raw_매출!$B$1:$BI$1,0))/(INDEX(요약_월별시즈널리티!$F$7:$F$18,MONTH(EDATE($E52,AT$1-1)))/100))),"")</f>
        <v>6585413.9522944223</v>
      </c>
      <c r="AU52" cm="1">
        <f t="array" ref="AU52">IFERROR(IF($E52&lt;44348,"",IF(INDEX(Raw_매출!$B$2:$BI$155,MATCH($A52,Raw_매출!$A$2:$A$155,0),MATCH(EDATE($E52,AU$1-1),Raw_매출!$B$1:$BI$1,0))=0,"",INDEX(Raw_매출!$B$2:$BI$155,MATCH($A52,Raw_매출!$A$2:$A$155,0),MATCH(EDATE($E52,AU$1-1),Raw_매출!$B$1:$BI$1,0))/(INDEX(요약_월별시즈널리티!$F$7:$F$18,MONTH(EDATE($E52,AU$1-1)))/100))),"")</f>
        <v>6039636.171633278</v>
      </c>
      <c r="AV52" cm="1">
        <f t="array" ref="AV52">IFERROR(IF($E52&lt;44348,"",IF(INDEX(Raw_매출!$B$2:$BI$155,MATCH($A52,Raw_매출!$A$2:$A$155,0),MATCH(EDATE($E52,AV$1-1),Raw_매출!$B$1:$BI$1,0))=0,"",INDEX(Raw_매출!$B$2:$BI$155,MATCH($A52,Raw_매출!$A$2:$A$155,0),MATCH(EDATE($E52,AV$1-1),Raw_매출!$B$1:$BI$1,0))/(INDEX(요약_월별시즈널리티!$F$7:$F$18,MONTH(EDATE($E52,AV$1-1)))/100))),"")</f>
        <v>5481053.6164771803</v>
      </c>
      <c r="AW52" cm="1">
        <f t="array" ref="AW52">IFERROR(IF($E52&lt;44348,"",IF(INDEX(Raw_매출!$B$2:$BI$155,MATCH($A52,Raw_매출!$A$2:$A$155,0),MATCH(EDATE($E52,AW$1-1),Raw_매출!$B$1:$BI$1,0))=0,"",INDEX(Raw_매출!$B$2:$BI$155,MATCH($A52,Raw_매출!$A$2:$A$155,0),MATCH(EDATE($E52,AW$1-1),Raw_매출!$B$1:$BI$1,0))/(INDEX(요약_월별시즈널리티!$F$7:$F$18,MONTH(EDATE($E52,AW$1-1)))/100))),"")</f>
        <v>5138671.3540324634</v>
      </c>
      <c r="AX52" cm="1">
        <f t="array" ref="AX52">IFERROR(IF($E52&lt;44348,"",IF(INDEX(Raw_매출!$B$2:$BI$155,MATCH($A52,Raw_매출!$A$2:$A$155,0),MATCH(EDATE($E52,AX$1-1),Raw_매출!$B$1:$BI$1,0))=0,"",INDEX(Raw_매출!$B$2:$BI$155,MATCH($A52,Raw_매출!$A$2:$A$155,0),MATCH(EDATE($E52,AX$1-1),Raw_매출!$B$1:$BI$1,0))/(INDEX(요약_월별시즈널리티!$F$7:$F$18,MONTH(EDATE($E52,AX$1-1)))/100))),"")</f>
        <v>4663906.0396038489</v>
      </c>
      <c r="AY52" cm="1">
        <f t="array" ref="AY52">IFERROR(IF($E52&lt;44348,"",IF(INDEX(Raw_매출!$B$2:$BI$155,MATCH($A52,Raw_매출!$A$2:$A$155,0),MATCH(EDATE($E52,AY$1-1),Raw_매출!$B$1:$BI$1,0))=0,"",INDEX(Raw_매출!$B$2:$BI$155,MATCH($A52,Raw_매출!$A$2:$A$155,0),MATCH(EDATE($E52,AY$1-1),Raw_매출!$B$1:$BI$1,0))/(INDEX(요약_월별시즈널리티!$F$7:$F$18,MONTH(EDATE($E52,AY$1-1)))/100))),"")</f>
        <v>4264183.7811525436</v>
      </c>
      <c r="AZ52" cm="1">
        <f t="array" ref="AZ52">IFERROR(IF($E52&lt;44348,"",IF(INDEX(Raw_매출!$B$2:$BI$155,MATCH($A52,Raw_매출!$A$2:$A$155,0),MATCH(EDATE($E52,AZ$1-1),Raw_매출!$B$1:$BI$1,0))=0,"",INDEX(Raw_매출!$B$2:$BI$155,MATCH($A52,Raw_매출!$A$2:$A$155,0),MATCH(EDATE($E52,AZ$1-1),Raw_매출!$B$1:$BI$1,0))/(INDEX(요약_월별시즈널리티!$F$7:$F$18,MONTH(EDATE($E52,AZ$1-1)))/100))),"")</f>
        <v>4968217.4265723852</v>
      </c>
      <c r="BA52" cm="1">
        <f t="array" ref="BA52">IFERROR(IF($E52&lt;44348,"",IF(INDEX(Raw_매출!$B$2:$BI$155,MATCH($A52,Raw_매출!$A$2:$A$155,0),MATCH(EDATE($E52,BA$1-1),Raw_매출!$B$1:$BI$1,0))=0,"",INDEX(Raw_매출!$B$2:$BI$155,MATCH($A52,Raw_매출!$A$2:$A$155,0),MATCH(EDATE($E52,BA$1-1),Raw_매출!$B$1:$BI$1,0))/(INDEX(요약_월별시즈널리티!$F$7:$F$18,MONTH(EDATE($E52,BA$1-1)))/100))),"")</f>
        <v>5729040.1377973286</v>
      </c>
      <c r="BB52" cm="1">
        <f t="array" ref="BB52">IFERROR(IF($E52&lt;44348,"",IF(INDEX(Raw_매출!$B$2:$BI$155,MATCH($A52,Raw_매출!$A$2:$A$155,0),MATCH(EDATE($E52,BB$1-1),Raw_매출!$B$1:$BI$1,0))=0,"",INDEX(Raw_매출!$B$2:$BI$155,MATCH($A52,Raw_매출!$A$2:$A$155,0),MATCH(EDATE($E52,BB$1-1),Raw_매출!$B$1:$BI$1,0))/(INDEX(요약_월별시즈널리티!$F$7:$F$18,MONTH(EDATE($E52,BB$1-1)))/100))),"")</f>
        <v>5207465.7317242352</v>
      </c>
      <c r="BC52" cm="1">
        <f t="array" ref="BC52">IFERROR(IF($E52&lt;44348,"",IF(INDEX(Raw_매출!$B$2:$BI$155,MATCH($A52,Raw_매출!$A$2:$A$155,0),MATCH(EDATE($E52,BC$1-1),Raw_매출!$B$1:$BI$1,0))=0,"",INDEX(Raw_매출!$B$2:$BI$155,MATCH($A52,Raw_매출!$A$2:$A$155,0),MATCH(EDATE($E52,BC$1-1),Raw_매출!$B$1:$BI$1,0))/(INDEX(요약_월별시즈널리티!$F$7:$F$18,MONTH(EDATE($E52,BC$1-1)))/100))),"")</f>
        <v>5870435.9111320572</v>
      </c>
      <c r="BD52" t="str" cm="1">
        <f t="array" ref="BD52">IFERROR(IF($E52&lt;44348,"",IF(INDEX(Raw_매출!$B$2:$BI$155,MATCH($A52,Raw_매출!$A$2:$A$155,0),MATCH(EDATE($E52,BD$1-1),Raw_매출!$B$1:$BI$1,0))=0,"",INDEX(Raw_매출!$B$2:$BI$155,MATCH($A52,Raw_매출!$A$2:$A$155,0),MATCH(EDATE($E52,BD$1-1),Raw_매출!$B$1:$BI$1,0))/(INDEX(요약_월별시즈널리티!$F$7:$F$18,MONTH(EDATE($E52,BD$1-1)))/100))),"")</f>
        <v/>
      </c>
      <c r="BE52" t="str" cm="1">
        <f t="array" ref="BE52">IFERROR(IF($E52&lt;44348,"",IF(INDEX(Raw_매출!$B$2:$BI$155,MATCH($A52,Raw_매출!$A$2:$A$155,0),MATCH(EDATE($E52,BE$1-1),Raw_매출!$B$1:$BI$1,0))=0,"",INDEX(Raw_매출!$B$2:$BI$155,MATCH($A52,Raw_매출!$A$2:$A$155,0),MATCH(EDATE($E52,BE$1-1),Raw_매출!$B$1:$BI$1,0))/(INDEX(요약_월별시즈널리티!$F$7:$F$18,MONTH(EDATE($E52,BE$1-1)))/100))),"")</f>
        <v/>
      </c>
      <c r="BF52" t="str" cm="1">
        <f t="array" ref="BF52">IFERROR(IF($E52&lt;44348,"",IF(INDEX(Raw_매출!$B$2:$BI$155,MATCH($A52,Raw_매출!$A$2:$A$155,0),MATCH(EDATE($E52,BF$1-1),Raw_매출!$B$1:$BI$1,0))=0,"",INDEX(Raw_매출!$B$2:$BI$155,MATCH($A52,Raw_매출!$A$2:$A$155,0),MATCH(EDATE($E52,BF$1-1),Raw_매출!$B$1:$BI$1,0))/(INDEX(요약_월별시즈널리티!$F$7:$F$18,MONTH(EDATE($E52,BF$1-1)))/100))),"")</f>
        <v/>
      </c>
      <c r="BG52" t="str" cm="1">
        <f t="array" ref="BG52">IFERROR(IF($E52&lt;44348,"",IF(INDEX(Raw_매출!$B$2:$BI$155,MATCH($A52,Raw_매출!$A$2:$A$155,0),MATCH(EDATE($E52,BG$1-1),Raw_매출!$B$1:$BI$1,0))=0,"",INDEX(Raw_매출!$B$2:$BI$155,MATCH($A52,Raw_매출!$A$2:$A$155,0),MATCH(EDATE($E52,BG$1-1),Raw_매출!$B$1:$BI$1,0))/(INDEX(요약_월별시즈널리티!$F$7:$F$18,MONTH(EDATE($E52,BG$1-1)))/100))),"")</f>
        <v/>
      </c>
      <c r="BH52" t="str" cm="1">
        <f t="array" ref="BH52">IFERROR(IF($E52&lt;44348,"",IF(INDEX(Raw_매출!$B$2:$BI$155,MATCH($A52,Raw_매출!$A$2:$A$155,0),MATCH(EDATE($E52,BH$1-1),Raw_매출!$B$1:$BI$1,0))=0,"",INDEX(Raw_매출!$B$2:$BI$155,MATCH($A52,Raw_매출!$A$2:$A$155,0),MATCH(EDATE($E52,BH$1-1),Raw_매출!$B$1:$BI$1,0))/(INDEX(요약_월별시즈널리티!$F$7:$F$18,MONTH(EDATE($E52,BH$1-1)))/100))),"")</f>
        <v/>
      </c>
      <c r="BI52" t="str" cm="1">
        <f t="array" ref="BI52">IFERROR(IF($E52&lt;44348,"",IF(INDEX(Raw_매출!$B$2:$BI$155,MATCH($A52,Raw_매출!$A$2:$A$155,0),MATCH(EDATE($E52,BI$1-1),Raw_매출!$B$1:$BI$1,0))=0,"",INDEX(Raw_매출!$B$2:$BI$155,MATCH($A52,Raw_매출!$A$2:$A$155,0),MATCH(EDATE($E52,BI$1-1),Raw_매출!$B$1:$BI$1,0))/(INDEX(요약_월별시즈널리티!$F$7:$F$18,MONTH(EDATE($E52,BI$1-1)))/100))),"")</f>
        <v/>
      </c>
      <c r="BJ52" t="str" cm="1">
        <f t="array" ref="BJ52">IFERROR(IF($E52&lt;44348,"",IF(INDEX(Raw_매출!$B$2:$BI$155,MATCH($A52,Raw_매출!$A$2:$A$155,0),MATCH(EDATE($E52,BJ$1-1),Raw_매출!$B$1:$BI$1,0))=0,"",INDEX(Raw_매출!$B$2:$BI$155,MATCH($A52,Raw_매출!$A$2:$A$155,0),MATCH(EDATE($E52,BJ$1-1),Raw_매출!$B$1:$BI$1,0))/(INDEX(요약_월별시즈널리티!$F$7:$F$18,MONTH(EDATE($E52,BJ$1-1)))/100))),"")</f>
        <v/>
      </c>
      <c r="BK52" t="str" cm="1">
        <f t="array" ref="BK52">IFERROR(IF($E52&lt;44348,"",IF(INDEX(Raw_매출!$B$2:$BI$155,MATCH($A52,Raw_매출!$A$2:$A$155,0),MATCH(EDATE($E52,BK$1-1),Raw_매출!$B$1:$BI$1,0))=0,"",INDEX(Raw_매출!$B$2:$BI$155,MATCH($A52,Raw_매출!$A$2:$A$155,0),MATCH(EDATE($E52,BK$1-1),Raw_매출!$B$1:$BI$1,0))/(INDEX(요약_월별시즈널리티!$F$7:$F$18,MONTH(EDATE($E52,BK$1-1)))/100))),"")</f>
        <v/>
      </c>
      <c r="BL52" t="str" cm="1">
        <f t="array" ref="BL52">IFERROR(IF($E52&lt;44348,"",IF(INDEX(Raw_매출!$B$2:$BI$155,MATCH($A52,Raw_매출!$A$2:$A$155,0),MATCH(EDATE($E52,BL$1-1),Raw_매출!$B$1:$BI$1,0))=0,"",INDEX(Raw_매출!$B$2:$BI$155,MATCH($A52,Raw_매출!$A$2:$A$155,0),MATCH(EDATE($E52,BL$1-1),Raw_매출!$B$1:$BI$1,0))/(INDEX(요약_월별시즈널리티!$F$7:$F$18,MONTH(EDATE($E52,BL$1-1)))/100))),"")</f>
        <v/>
      </c>
      <c r="BM52" t="str" cm="1">
        <f t="array" ref="BM52">IFERROR(IF($E52&lt;44348,"",IF(INDEX(Raw_매출!$B$2:$BI$155,MATCH($A52,Raw_매출!$A$2:$A$155,0),MATCH(EDATE($E52,BM$1-1),Raw_매출!$B$1:$BI$1,0))=0,"",INDEX(Raw_매출!$B$2:$BI$155,MATCH($A52,Raw_매출!$A$2:$A$155,0),MATCH(EDATE($E52,BM$1-1),Raw_매출!$B$1:$BI$1,0))/(INDEX(요약_월별시즈널리티!$F$7:$F$18,MONTH(EDATE($E52,BM$1-1)))/100))),"")</f>
        <v/>
      </c>
      <c r="BN52" t="str" cm="1">
        <f t="array" ref="BN52">IFERROR(IF($E52&lt;44348,"",IF(INDEX(Raw_매출!$B$2:$BI$155,MATCH($A52,Raw_매출!$A$2:$A$155,0),MATCH(EDATE($E52,BN$1-1),Raw_매출!$B$1:$BI$1,0))=0,"",INDEX(Raw_매출!$B$2:$BI$155,MATCH($A52,Raw_매출!$A$2:$A$155,0),MATCH(EDATE($E52,BN$1-1),Raw_매출!$B$1:$BI$1,0))/(INDEX(요약_월별시즈널리티!$F$7:$F$18,MONTH(EDATE($E52,BN$1-1)))/100))),"")</f>
        <v/>
      </c>
    </row>
    <row r="53" spans="1:66" x14ac:dyDescent="0.4">
      <c r="A53" t="str">
        <f>세팅!A54</f>
        <v>(1042) #연희점</v>
      </c>
      <c r="B53" t="str">
        <f>세팅!B54</f>
        <v>150-1</v>
      </c>
      <c r="C53">
        <f t="shared" si="0"/>
        <v>1</v>
      </c>
      <c r="D53" t="str">
        <f t="shared" si="1"/>
        <v>1</v>
      </c>
      <c r="E53" s="1">
        <f>세팅!D54</f>
        <v>44682</v>
      </c>
      <c r="F53">
        <f t="shared" si="2"/>
        <v>4987022.3279893976</v>
      </c>
      <c r="G53" cm="1">
        <f t="array" ref="G53">IFERROR(IF($E53&lt;44348,"",IF(INDEX(Raw_매출!$B$2:$BI$155,MATCH($A53,Raw_매출!$A$2:$A$155,0),MATCH(EDATE($E53,G$1-1),Raw_매출!$B$1:$BI$1,0))=0,"",INDEX(Raw_매출!$B$2:$BI$155,MATCH($A53,Raw_매출!$A$2:$A$155,0),MATCH(EDATE($E53,G$1-1),Raw_매출!$B$1:$BI$1,0))/(INDEX(요약_월별시즈널리티!$F$7:$F$18,MONTH(EDATE($E53,G$1-1)))/100))),"")</f>
        <v>3280829.1335464427</v>
      </c>
      <c r="H53" cm="1">
        <f t="array" ref="H53">IFERROR(IF($E53&lt;44348,"",IF(INDEX(Raw_매출!$B$2:$BI$155,MATCH($A53,Raw_매출!$A$2:$A$155,0),MATCH(EDATE($E53,H$1-1),Raw_매출!$B$1:$BI$1,0))=0,"",INDEX(Raw_매출!$B$2:$BI$155,MATCH($A53,Raw_매출!$A$2:$A$155,0),MATCH(EDATE($E53,H$1-1),Raw_매출!$B$1:$BI$1,0))/(INDEX(요약_월별시즈널리티!$F$7:$F$18,MONTH(EDATE($E53,H$1-1)))/100))),"")</f>
        <v>4088157.5821954305</v>
      </c>
      <c r="I53" cm="1">
        <f t="array" ref="I53">IFERROR(IF($E53&lt;44348,"",IF(INDEX(Raw_매출!$B$2:$BI$155,MATCH($A53,Raw_매출!$A$2:$A$155,0),MATCH(EDATE($E53,I$1-1),Raw_매출!$B$1:$BI$1,0))=0,"",INDEX(Raw_매출!$B$2:$BI$155,MATCH($A53,Raw_매출!$A$2:$A$155,0),MATCH(EDATE($E53,I$1-1),Raw_매출!$B$1:$BI$1,0))/(INDEX(요약_월별시즈널리티!$F$7:$F$18,MONTH(EDATE($E53,I$1-1)))/100))),"")</f>
        <v>4611733.1765403431</v>
      </c>
      <c r="J53" s="30" cm="1">
        <f t="array" ref="J53">IFERROR(IF($E53&lt;44348,"",IF(INDEX(Raw_매출!$B$2:$BI$155,MATCH($A53,Raw_매출!$A$2:$A$155,0),MATCH(EDATE($E53,J$1-1),Raw_매출!$B$1:$BI$1,0))=0,"",INDEX(Raw_매출!$B$2:$BI$155,MATCH($A53,Raw_매출!$A$2:$A$155,0),MATCH(EDATE($E53,J$1-1),Raw_매출!$B$1:$BI$1,0))/(INDEX(요약_월별시즈널리티!$F$7:$F$18,MONTH(EDATE($E53,J$1-1)))/100))),"")</f>
        <v>5082550.7750740349</v>
      </c>
      <c r="K53" s="30" cm="1">
        <f t="array" ref="K53">IFERROR(IF($E53&lt;44348,"",IF(INDEX(Raw_매출!$B$2:$BI$155,MATCH($A53,Raw_매출!$A$2:$A$155,0),MATCH(EDATE($E53,K$1-1),Raw_매출!$B$1:$BI$1,0))=0,"",INDEX(Raw_매출!$B$2:$BI$155,MATCH($A53,Raw_매출!$A$2:$A$155,0),MATCH(EDATE($E53,K$1-1),Raw_매출!$B$1:$BI$1,0))/(INDEX(요약_월별시즈널리티!$F$7:$F$18,MONTH(EDATE($E53,K$1-1)))/100))),"")</f>
        <v>5094204.5432381695</v>
      </c>
      <c r="L53" s="30" cm="1">
        <f t="array" ref="L53">IFERROR(IF($E53&lt;44348,"",IF(INDEX(Raw_매출!$B$2:$BI$155,MATCH($A53,Raw_매출!$A$2:$A$155,0),MATCH(EDATE($E53,L$1-1),Raw_매출!$B$1:$BI$1,0))=0,"",INDEX(Raw_매출!$B$2:$BI$155,MATCH($A53,Raw_매출!$A$2:$A$155,0),MATCH(EDATE($E53,L$1-1),Raw_매출!$B$1:$BI$1,0))/(INDEX(요약_월별시즈널리티!$F$7:$F$18,MONTH(EDATE($E53,L$1-1)))/100))),"")</f>
        <v>5194880.9885011306</v>
      </c>
      <c r="M53" s="30" cm="1">
        <f t="array" ref="M53">IFERROR(IF($E53&lt;44348,"",IF(INDEX(Raw_매출!$B$2:$BI$155,MATCH($A53,Raw_매출!$A$2:$A$155,0),MATCH(EDATE($E53,M$1-1),Raw_매출!$B$1:$BI$1,0))=0,"",INDEX(Raw_매출!$B$2:$BI$155,MATCH($A53,Raw_매출!$A$2:$A$155,0),MATCH(EDATE($E53,M$1-1),Raw_매출!$B$1:$BI$1,0))/(INDEX(요약_월별시즈널리티!$F$7:$F$18,MONTH(EDATE($E53,M$1-1)))/100))),"")</f>
        <v>4804417.5911907256</v>
      </c>
      <c r="N53" s="30" cm="1">
        <f t="array" ref="N53">IFERROR(IF($E53&lt;44348,"",IF(INDEX(Raw_매출!$B$2:$BI$155,MATCH($A53,Raw_매출!$A$2:$A$155,0),MATCH(EDATE($E53,N$1-1),Raw_매출!$B$1:$BI$1,0))=0,"",INDEX(Raw_매출!$B$2:$BI$155,MATCH($A53,Raw_매출!$A$2:$A$155,0),MATCH(EDATE($E53,N$1-1),Raw_매출!$B$1:$BI$1,0))/(INDEX(요약_월별시즈널리티!$F$7:$F$18,MONTH(EDATE($E53,N$1-1)))/100))),"")</f>
        <v>4606034.2364024902</v>
      </c>
      <c r="O53" s="30" cm="1">
        <f t="array" ref="O53">IFERROR(IF($E53&lt;44348,"",IF(INDEX(Raw_매출!$B$2:$BI$155,MATCH($A53,Raw_매출!$A$2:$A$155,0),MATCH(EDATE($E53,O$1-1),Raw_매출!$B$1:$BI$1,0))=0,"",INDEX(Raw_매출!$B$2:$BI$155,MATCH($A53,Raw_매출!$A$2:$A$155,0),MATCH(EDATE($E53,O$1-1),Raw_매출!$B$1:$BI$1,0))/(INDEX(요약_월별시즈널리티!$F$7:$F$18,MONTH(EDATE($E53,O$1-1)))/100))),"")</f>
        <v>5140045.8335298328</v>
      </c>
      <c r="P53" cm="1">
        <f t="array" ref="P53">IFERROR(IF($E53&lt;44348,"",IF(INDEX(Raw_매출!$B$2:$BI$155,MATCH($A53,Raw_매출!$A$2:$A$155,0),MATCH(EDATE($E53,P$1-1),Raw_매출!$B$1:$BI$1,0))=0,"",INDEX(Raw_매출!$B$2:$BI$155,MATCH($A53,Raw_매출!$A$2:$A$155,0),MATCH(EDATE($E53,P$1-1),Raw_매출!$B$1:$BI$1,0))/(INDEX(요약_월별시즈널리티!$F$7:$F$18,MONTH(EDATE($E53,P$1-1)))/100))),"")</f>
        <v>5544694.8474271763</v>
      </c>
      <c r="Q53" cm="1">
        <f t="array" ref="Q53">IFERROR(IF($E53&lt;44348,"",IF(INDEX(Raw_매출!$B$2:$BI$155,MATCH($A53,Raw_매출!$A$2:$A$155,0),MATCH(EDATE($E53,Q$1-1),Raw_매출!$B$1:$BI$1,0))=0,"",INDEX(Raw_매출!$B$2:$BI$155,MATCH($A53,Raw_매출!$A$2:$A$155,0),MATCH(EDATE($E53,Q$1-1),Raw_매출!$B$1:$BI$1,0))/(INDEX(요약_월별시즈널리티!$F$7:$F$18,MONTH(EDATE($E53,Q$1-1)))/100))),"")</f>
        <v>5615838.3387749279</v>
      </c>
      <c r="R53" cm="1">
        <f t="array" ref="R53">IFERROR(IF($E53&lt;44348,"",IF(INDEX(Raw_매출!$B$2:$BI$155,MATCH($A53,Raw_매출!$A$2:$A$155,0),MATCH(EDATE($E53,R$1-1),Raw_매출!$B$1:$BI$1,0))=0,"",INDEX(Raw_매출!$B$2:$BI$155,MATCH($A53,Raw_매출!$A$2:$A$155,0),MATCH(EDATE($E53,R$1-1),Raw_매출!$B$1:$BI$1,0))/(INDEX(요약_월별시즈널리티!$F$7:$F$18,MONTH(EDATE($E53,R$1-1)))/100))),"")</f>
        <v>5918139.9335105289</v>
      </c>
      <c r="S53" cm="1">
        <f t="array" ref="S53">IFERROR(IF($E53&lt;44348,"",IF(INDEX(Raw_매출!$B$2:$BI$155,MATCH($A53,Raw_매출!$A$2:$A$155,0),MATCH(EDATE($E53,S$1-1),Raw_매출!$B$1:$BI$1,0))=0,"",INDEX(Raw_매출!$B$2:$BI$155,MATCH($A53,Raw_매출!$A$2:$A$155,0),MATCH(EDATE($E53,S$1-1),Raw_매출!$B$1:$BI$1,0))/(INDEX(요약_월별시즈널리티!$F$7:$F$18,MONTH(EDATE($E53,S$1-1)))/100))),"")</f>
        <v>6117667.105837401</v>
      </c>
      <c r="T53" cm="1">
        <f t="array" ref="T53">IFERROR(IF($E53&lt;44348,"",IF(INDEX(Raw_매출!$B$2:$BI$155,MATCH($A53,Raw_매출!$A$2:$A$155,0),MATCH(EDATE($E53,T$1-1),Raw_매출!$B$1:$BI$1,0))=0,"",INDEX(Raw_매출!$B$2:$BI$155,MATCH($A53,Raw_매출!$A$2:$A$155,0),MATCH(EDATE($E53,T$1-1),Raw_매출!$B$1:$BI$1,0))/(INDEX(요약_월별시즈널리티!$F$7:$F$18,MONTH(EDATE($E53,T$1-1)))/100))),"")</f>
        <v>5986922.89959569</v>
      </c>
      <c r="U53" cm="1">
        <f t="array" ref="U53">IFERROR(IF($E53&lt;44348,"",IF(INDEX(Raw_매출!$B$2:$BI$155,MATCH($A53,Raw_매출!$A$2:$A$155,0),MATCH(EDATE($E53,U$1-1),Raw_매출!$B$1:$BI$1,0))=0,"",INDEX(Raw_매출!$B$2:$BI$155,MATCH($A53,Raw_매출!$A$2:$A$155,0),MATCH(EDATE($E53,U$1-1),Raw_매출!$B$1:$BI$1,0))/(INDEX(요약_월별시즈널리티!$F$7:$F$18,MONTH(EDATE($E53,U$1-1)))/100))),"")</f>
        <v>6836503.953447178</v>
      </c>
      <c r="V53" cm="1">
        <f t="array" ref="V53">IFERROR(IF($E53&lt;44348,"",IF(INDEX(Raw_매출!$B$2:$BI$155,MATCH($A53,Raw_매출!$A$2:$A$155,0),MATCH(EDATE($E53,V$1-1),Raw_매출!$B$1:$BI$1,0))=0,"",INDEX(Raw_매출!$B$2:$BI$155,MATCH($A53,Raw_매출!$A$2:$A$155,0),MATCH(EDATE($E53,V$1-1),Raw_매출!$B$1:$BI$1,0))/(INDEX(요약_월별시즈널리티!$F$7:$F$18,MONTH(EDATE($E53,V$1-1)))/100))),"")</f>
        <v>6194959.5937056821</v>
      </c>
      <c r="W53" cm="1">
        <f t="array" ref="W53">IFERROR(IF($E53&lt;44348,"",IF(INDEX(Raw_매출!$B$2:$BI$155,MATCH($A53,Raw_매출!$A$2:$A$155,0),MATCH(EDATE($E53,W$1-1),Raw_매출!$B$1:$BI$1,0))=0,"",INDEX(Raw_매출!$B$2:$BI$155,MATCH($A53,Raw_매출!$A$2:$A$155,0),MATCH(EDATE($E53,W$1-1),Raw_매출!$B$1:$BI$1,0))/(INDEX(요약_월별시즈널리티!$F$7:$F$18,MONTH(EDATE($E53,W$1-1)))/100))),"")</f>
        <v>6761593.9706882155</v>
      </c>
      <c r="X53" cm="1">
        <f t="array" ref="X53">IFERROR(IF($E53&lt;44348,"",IF(INDEX(Raw_매출!$B$2:$BI$155,MATCH($A53,Raw_매출!$A$2:$A$155,0),MATCH(EDATE($E53,X$1-1),Raw_매출!$B$1:$BI$1,0))=0,"",INDEX(Raw_매출!$B$2:$BI$155,MATCH($A53,Raw_매출!$A$2:$A$155,0),MATCH(EDATE($E53,X$1-1),Raw_매출!$B$1:$BI$1,0))/(INDEX(요약_월별시즈널리티!$F$7:$F$18,MONTH(EDATE($E53,X$1-1)))/100))),"")</f>
        <v>5873995.9716140628</v>
      </c>
      <c r="Y53" cm="1">
        <f t="array" ref="Y53">IFERROR(IF($E53&lt;44348,"",IF(INDEX(Raw_매출!$B$2:$BI$155,MATCH($A53,Raw_매출!$A$2:$A$155,0),MATCH(EDATE($E53,Y$1-1),Raw_매출!$B$1:$BI$1,0))=0,"",INDEX(Raw_매출!$B$2:$BI$155,MATCH($A53,Raw_매출!$A$2:$A$155,0),MATCH(EDATE($E53,Y$1-1),Raw_매출!$B$1:$BI$1,0))/(INDEX(요약_월별시즈널리티!$F$7:$F$18,MONTH(EDATE($E53,Y$1-1)))/100))),"")</f>
        <v>5741749.6661389871</v>
      </c>
      <c r="Z53" cm="1">
        <f t="array" ref="Z53">IFERROR(IF($E53&lt;44348,"",IF(INDEX(Raw_매출!$B$2:$BI$155,MATCH($A53,Raw_매출!$A$2:$A$155,0),MATCH(EDATE($E53,Z$1-1),Raw_매출!$B$1:$BI$1,0))=0,"",INDEX(Raw_매출!$B$2:$BI$155,MATCH($A53,Raw_매출!$A$2:$A$155,0),MATCH(EDATE($E53,Z$1-1),Raw_매출!$B$1:$BI$1,0))/(INDEX(요약_월별시즈널리티!$F$7:$F$18,MONTH(EDATE($E53,Z$1-1)))/100))),"")</f>
        <v>4576556.3914942397</v>
      </c>
      <c r="AA53" cm="1">
        <f t="array" ref="AA53">IFERROR(IF($E53&lt;44348,"",IF(INDEX(Raw_매출!$B$2:$BI$155,MATCH($A53,Raw_매출!$A$2:$A$155,0),MATCH(EDATE($E53,AA$1-1),Raw_매출!$B$1:$BI$1,0))=0,"",INDEX(Raw_매출!$B$2:$BI$155,MATCH($A53,Raw_매출!$A$2:$A$155,0),MATCH(EDATE($E53,AA$1-1),Raw_매출!$B$1:$BI$1,0))/(INDEX(요약_월별시즈널리티!$F$7:$F$18,MONTH(EDATE($E53,AA$1-1)))/100))),"")</f>
        <v>4744408.4095191965</v>
      </c>
      <c r="AB53" cm="1">
        <f t="array" ref="AB53">IFERROR(IF($E53&lt;44348,"",IF(INDEX(Raw_매출!$B$2:$BI$155,MATCH($A53,Raw_매출!$A$2:$A$155,0),MATCH(EDATE($E53,AB$1-1),Raw_매출!$B$1:$BI$1,0))=0,"",INDEX(Raw_매출!$B$2:$BI$155,MATCH($A53,Raw_매출!$A$2:$A$155,0),MATCH(EDATE($E53,AB$1-1),Raw_매출!$B$1:$BI$1,0))/(INDEX(요약_월별시즈널리티!$F$7:$F$18,MONTH(EDATE($E53,AB$1-1)))/100))),"")</f>
        <v>4560471.4706156561</v>
      </c>
      <c r="AC53" cm="1">
        <f t="array" ref="AC53">IFERROR(IF($E53&lt;44348,"",IF(INDEX(Raw_매출!$B$2:$BI$155,MATCH($A53,Raw_매출!$A$2:$A$155,0),MATCH(EDATE($E53,AC$1-1),Raw_매출!$B$1:$BI$1,0))=0,"",INDEX(Raw_매출!$B$2:$BI$155,MATCH($A53,Raw_매출!$A$2:$A$155,0),MATCH(EDATE($E53,AC$1-1),Raw_매출!$B$1:$BI$1,0))/(INDEX(요약_월별시즈널리티!$F$7:$F$18,MONTH(EDATE($E53,AC$1-1)))/100))),"")</f>
        <v>4936689.2910763528</v>
      </c>
      <c r="AD53" cm="1">
        <f t="array" ref="AD53">IFERROR(IF($E53&lt;44348,"",IF(INDEX(Raw_매출!$B$2:$BI$155,MATCH($A53,Raw_매출!$A$2:$A$155,0),MATCH(EDATE($E53,AD$1-1),Raw_매출!$B$1:$BI$1,0))=0,"",INDEX(Raw_매출!$B$2:$BI$155,MATCH($A53,Raw_매출!$A$2:$A$155,0),MATCH(EDATE($E53,AD$1-1),Raw_매출!$B$1:$BI$1,0))/(INDEX(요약_월별시즈널리티!$F$7:$F$18,MONTH(EDATE($E53,AD$1-1)))/100))),"")</f>
        <v>5019994.0638252003</v>
      </c>
      <c r="AE53" cm="1">
        <f t="array" ref="AE53">IFERROR(IF($E53&lt;44348,"",IF(INDEX(Raw_매출!$B$2:$BI$155,MATCH($A53,Raw_매출!$A$2:$A$155,0),MATCH(EDATE($E53,AE$1-1),Raw_매출!$B$1:$BI$1,0))=0,"",INDEX(Raw_매출!$B$2:$BI$155,MATCH($A53,Raw_매출!$A$2:$A$155,0),MATCH(EDATE($E53,AE$1-1),Raw_매출!$B$1:$BI$1,0))/(INDEX(요약_월별시즈널리티!$F$7:$F$18,MONTH(EDATE($E53,AE$1-1)))/100))),"")</f>
        <v>5194123.3519805232</v>
      </c>
      <c r="AF53" cm="1">
        <f t="array" ref="AF53">IFERROR(IF($E53&lt;44348,"",IF(INDEX(Raw_매출!$B$2:$BI$155,MATCH($A53,Raw_매출!$A$2:$A$155,0),MATCH(EDATE($E53,AF$1-1),Raw_매출!$B$1:$BI$1,0))=0,"",INDEX(Raw_매출!$B$2:$BI$155,MATCH($A53,Raw_매출!$A$2:$A$155,0),MATCH(EDATE($E53,AF$1-1),Raw_매출!$B$1:$BI$1,0))/(INDEX(요약_월별시즈널리티!$F$7:$F$18,MONTH(EDATE($E53,AF$1-1)))/100))),"")</f>
        <v>4792503.7419303674</v>
      </c>
      <c r="AG53" cm="1">
        <f t="array" ref="AG53">IFERROR(IF($E53&lt;44348,"",IF(INDEX(Raw_매출!$B$2:$BI$155,MATCH($A53,Raw_매출!$A$2:$A$155,0),MATCH(EDATE($E53,AG$1-1),Raw_매출!$B$1:$BI$1,0))=0,"",INDEX(Raw_매출!$B$2:$BI$155,MATCH($A53,Raw_매출!$A$2:$A$155,0),MATCH(EDATE($E53,AG$1-1),Raw_매출!$B$1:$BI$1,0))/(INDEX(요약_월별시즈널리티!$F$7:$F$18,MONTH(EDATE($E53,AG$1-1)))/100))),"")</f>
        <v>5505095.8689014968</v>
      </c>
      <c r="AH53" cm="1">
        <f t="array" ref="AH53">IFERROR(IF($E53&lt;44348,"",IF(INDEX(Raw_매출!$B$2:$BI$155,MATCH($A53,Raw_매출!$A$2:$A$155,0),MATCH(EDATE($E53,AH$1-1),Raw_매출!$B$1:$BI$1,0))=0,"",INDEX(Raw_매출!$B$2:$BI$155,MATCH($A53,Raw_매출!$A$2:$A$155,0),MATCH(EDATE($E53,AH$1-1),Raw_매출!$B$1:$BI$1,0))/(INDEX(요약_월별시즈널리티!$F$7:$F$18,MONTH(EDATE($E53,AH$1-1)))/100))),"")</f>
        <v>5127893.4193163319</v>
      </c>
      <c r="AI53" cm="1">
        <f t="array" ref="AI53">IFERROR(IF($E53&lt;44348,"",IF(INDEX(Raw_매출!$B$2:$BI$155,MATCH($A53,Raw_매출!$A$2:$A$155,0),MATCH(EDATE($E53,AI$1-1),Raw_매출!$B$1:$BI$1,0))=0,"",INDEX(Raw_매출!$B$2:$BI$155,MATCH($A53,Raw_매출!$A$2:$A$155,0),MATCH(EDATE($E53,AI$1-1),Raw_매출!$B$1:$BI$1,0))/(INDEX(요약_월별시즈널리티!$F$7:$F$18,MONTH(EDATE($E53,AI$1-1)))/100))),"")</f>
        <v>5378942.6617033724</v>
      </c>
      <c r="AJ53" cm="1">
        <f t="array" ref="AJ53">IFERROR(IF($E53&lt;44348,"",IF(INDEX(Raw_매출!$B$2:$BI$155,MATCH($A53,Raw_매출!$A$2:$A$155,0),MATCH(EDATE($E53,AJ$1-1),Raw_매출!$B$1:$BI$1,0))=0,"",INDEX(Raw_매출!$B$2:$BI$155,MATCH($A53,Raw_매출!$A$2:$A$155,0),MATCH(EDATE($E53,AJ$1-1),Raw_매출!$B$1:$BI$1,0))/(INDEX(요약_월별시즈널리티!$F$7:$F$18,MONTH(EDATE($E53,AJ$1-1)))/100))),"")</f>
        <v>4570958.9124766868</v>
      </c>
      <c r="AK53" cm="1">
        <f t="array" ref="AK53">IFERROR(IF($E53&lt;44348,"",IF(INDEX(Raw_매출!$B$2:$BI$155,MATCH($A53,Raw_매출!$A$2:$A$155,0),MATCH(EDATE($E53,AK$1-1),Raw_매출!$B$1:$BI$1,0))=0,"",INDEX(Raw_매출!$B$2:$BI$155,MATCH($A53,Raw_매출!$A$2:$A$155,0),MATCH(EDATE($E53,AK$1-1),Raw_매출!$B$1:$BI$1,0))/(INDEX(요약_월별시즈널리티!$F$7:$F$18,MONTH(EDATE($E53,AK$1-1)))/100))),"")</f>
        <v>4508747.0859735636</v>
      </c>
      <c r="AL53" cm="1">
        <f t="array" ref="AL53">IFERROR(IF($E53&lt;44348,"",IF(INDEX(Raw_매출!$B$2:$BI$155,MATCH($A53,Raw_매출!$A$2:$A$155,0),MATCH(EDATE($E53,AL$1-1),Raw_매출!$B$1:$BI$1,0))=0,"",INDEX(Raw_매출!$B$2:$BI$155,MATCH($A53,Raw_매출!$A$2:$A$155,0),MATCH(EDATE($E53,AL$1-1),Raw_매출!$B$1:$BI$1,0))/(INDEX(요약_월별시즈널리티!$F$7:$F$18,MONTH(EDATE($E53,AL$1-1)))/100))),"")</f>
        <v>4307762.1884979596</v>
      </c>
      <c r="AM53" cm="1">
        <f t="array" ref="AM53">IFERROR(IF($E53&lt;44348,"",IF(INDEX(Raw_매출!$B$2:$BI$155,MATCH($A53,Raw_매출!$A$2:$A$155,0),MATCH(EDATE($E53,AM$1-1),Raw_매출!$B$1:$BI$1,0))=0,"",INDEX(Raw_매출!$B$2:$BI$155,MATCH($A53,Raw_매출!$A$2:$A$155,0),MATCH(EDATE($E53,AM$1-1),Raw_매출!$B$1:$BI$1,0))/(INDEX(요약_월별시즈널리티!$F$7:$F$18,MONTH(EDATE($E53,AM$1-1)))/100))),"")</f>
        <v>4046717.7684990782</v>
      </c>
      <c r="AN53" cm="1">
        <f t="array" ref="AN53">IFERROR(IF($E53&lt;44348,"",IF(INDEX(Raw_매출!$B$2:$BI$155,MATCH($A53,Raw_매출!$A$2:$A$155,0),MATCH(EDATE($E53,AN$1-1),Raw_매출!$B$1:$BI$1,0))=0,"",INDEX(Raw_매출!$B$2:$BI$155,MATCH($A53,Raw_매출!$A$2:$A$155,0),MATCH(EDATE($E53,AN$1-1),Raw_매출!$B$1:$BI$1,0))/(INDEX(요약_월별시즈널리티!$F$7:$F$18,MONTH(EDATE($E53,AN$1-1)))/100))),"")</f>
        <v>4593180.839812953</v>
      </c>
      <c r="AO53" cm="1">
        <f t="array" ref="AO53">IFERROR(IF($E53&lt;44348,"",IF(INDEX(Raw_매출!$B$2:$BI$155,MATCH($A53,Raw_매출!$A$2:$A$155,0),MATCH(EDATE($E53,AO$1-1),Raw_매출!$B$1:$BI$1,0))=0,"",INDEX(Raw_매출!$B$2:$BI$155,MATCH($A53,Raw_매출!$A$2:$A$155,0),MATCH(EDATE($E53,AO$1-1),Raw_매출!$B$1:$BI$1,0))/(INDEX(요약_월별시즈널리티!$F$7:$F$18,MONTH(EDATE($E53,AO$1-1)))/100))),"")</f>
        <v>5150918.5501899272</v>
      </c>
      <c r="AP53" cm="1">
        <f t="array" ref="AP53">IFERROR(IF($E53&lt;44348,"",IF(INDEX(Raw_매출!$B$2:$BI$155,MATCH($A53,Raw_매출!$A$2:$A$155,0),MATCH(EDATE($E53,AP$1-1),Raw_매출!$B$1:$BI$1,0))=0,"",INDEX(Raw_매출!$B$2:$BI$155,MATCH($A53,Raw_매출!$A$2:$A$155,0),MATCH(EDATE($E53,AP$1-1),Raw_매출!$B$1:$BI$1,0))/(INDEX(요약_월별시즈널리티!$F$7:$F$18,MONTH(EDATE($E53,AP$1-1)))/100))),"")</f>
        <v>4834781.4652756751</v>
      </c>
      <c r="AQ53" cm="1">
        <f t="array" ref="AQ53">IFERROR(IF($E53&lt;44348,"",IF(INDEX(Raw_매출!$B$2:$BI$155,MATCH($A53,Raw_매출!$A$2:$A$155,0),MATCH(EDATE($E53,AQ$1-1),Raw_매출!$B$1:$BI$1,0))=0,"",INDEX(Raw_매출!$B$2:$BI$155,MATCH($A53,Raw_매출!$A$2:$A$155,0),MATCH(EDATE($E53,AQ$1-1),Raw_매출!$B$1:$BI$1,0))/(INDEX(요약_월별시즈널리티!$F$7:$F$18,MONTH(EDATE($E53,AQ$1-1)))/100))),"")</f>
        <v>5724564.7609354695</v>
      </c>
      <c r="AR53" cm="1">
        <f t="array" ref="AR53">IFERROR(IF($E53&lt;44348,"",IF(INDEX(Raw_매출!$B$2:$BI$155,MATCH($A53,Raw_매출!$A$2:$A$155,0),MATCH(EDATE($E53,AR$1-1),Raw_매출!$B$1:$BI$1,0))=0,"",INDEX(Raw_매출!$B$2:$BI$155,MATCH($A53,Raw_매출!$A$2:$A$155,0),MATCH(EDATE($E53,AR$1-1),Raw_매출!$B$1:$BI$1,0))/(INDEX(요약_월별시즈널리티!$F$7:$F$18,MONTH(EDATE($E53,AR$1-1)))/100))),"")</f>
        <v>5609843.386100377</v>
      </c>
      <c r="AS53" cm="1">
        <f t="array" ref="AS53">IFERROR(IF($E53&lt;44348,"",IF(INDEX(Raw_매출!$B$2:$BI$155,MATCH($A53,Raw_매출!$A$2:$A$155,0),MATCH(EDATE($E53,AS$1-1),Raw_매출!$B$1:$BI$1,0))=0,"",INDEX(Raw_매출!$B$2:$BI$155,MATCH($A53,Raw_매출!$A$2:$A$155,0),MATCH(EDATE($E53,AS$1-1),Raw_매출!$B$1:$BI$1,0))/(INDEX(요약_월별시즈널리티!$F$7:$F$18,MONTH(EDATE($E53,AS$1-1)))/100))),"")</f>
        <v>5166449.9250896294</v>
      </c>
      <c r="AT53" cm="1">
        <f t="array" ref="AT53">IFERROR(IF($E53&lt;44348,"",IF(INDEX(Raw_매출!$B$2:$BI$155,MATCH($A53,Raw_매출!$A$2:$A$155,0),MATCH(EDATE($E53,AT$1-1),Raw_매출!$B$1:$BI$1,0))=0,"",INDEX(Raw_매출!$B$2:$BI$155,MATCH($A53,Raw_매출!$A$2:$A$155,0),MATCH(EDATE($E53,AT$1-1),Raw_매출!$B$1:$BI$1,0))/(INDEX(요약_월별시즈널리티!$F$7:$F$18,MONTH(EDATE($E53,AT$1-1)))/100))),"")</f>
        <v>6073954.4130046042</v>
      </c>
      <c r="AU53" cm="1">
        <f t="array" ref="AU53">IFERROR(IF($E53&lt;44348,"",IF(INDEX(Raw_매출!$B$2:$BI$155,MATCH($A53,Raw_매출!$A$2:$A$155,0),MATCH(EDATE($E53,AU$1-1),Raw_매출!$B$1:$BI$1,0))=0,"",INDEX(Raw_매출!$B$2:$BI$155,MATCH($A53,Raw_매출!$A$2:$A$155,0),MATCH(EDATE($E53,AU$1-1),Raw_매출!$B$1:$BI$1,0))/(INDEX(요약_월별시즈널리티!$F$7:$F$18,MONTH(EDATE($E53,AU$1-1)))/100))),"")</f>
        <v>5608948.4188374411</v>
      </c>
      <c r="AV53" cm="1">
        <f t="array" ref="AV53">IFERROR(IF($E53&lt;44348,"",IF(INDEX(Raw_매출!$B$2:$BI$155,MATCH($A53,Raw_매출!$A$2:$A$155,0),MATCH(EDATE($E53,AV$1-1),Raw_매출!$B$1:$BI$1,0))=0,"",INDEX(Raw_매출!$B$2:$BI$155,MATCH($A53,Raw_매출!$A$2:$A$155,0),MATCH(EDATE($E53,AV$1-1),Raw_매출!$B$1:$BI$1,0))/(INDEX(요약_월별시즈널리티!$F$7:$F$18,MONTH(EDATE($E53,AV$1-1)))/100))),"")</f>
        <v>5164152.8997897971</v>
      </c>
      <c r="AW53" cm="1">
        <f t="array" ref="AW53">IFERROR(IF($E53&lt;44348,"",IF(INDEX(Raw_매출!$B$2:$BI$155,MATCH($A53,Raw_매출!$A$2:$A$155,0),MATCH(EDATE($E53,AW$1-1),Raw_매출!$B$1:$BI$1,0))=0,"",INDEX(Raw_매출!$B$2:$BI$155,MATCH($A53,Raw_매출!$A$2:$A$155,0),MATCH(EDATE($E53,AW$1-1),Raw_매출!$B$1:$BI$1,0))/(INDEX(요약_월별시즈널리티!$F$7:$F$18,MONTH(EDATE($E53,AW$1-1)))/100))),"")</f>
        <v>5814228.9447138077</v>
      </c>
      <c r="AX53" cm="1">
        <f t="array" ref="AX53">IFERROR(IF($E53&lt;44348,"",IF(INDEX(Raw_매출!$B$2:$BI$155,MATCH($A53,Raw_매출!$A$2:$A$155,0),MATCH(EDATE($E53,AX$1-1),Raw_매출!$B$1:$BI$1,0))=0,"",INDEX(Raw_매출!$B$2:$BI$155,MATCH($A53,Raw_매출!$A$2:$A$155,0),MATCH(EDATE($E53,AX$1-1),Raw_매출!$B$1:$BI$1,0))/(INDEX(요약_월별시즈널리티!$F$7:$F$18,MONTH(EDATE($E53,AX$1-1)))/100))),"")</f>
        <v>4960387.7390815821</v>
      </c>
      <c r="AY53" cm="1">
        <f t="array" ref="AY53">IFERROR(IF($E53&lt;44348,"",IF(INDEX(Raw_매출!$B$2:$BI$155,MATCH($A53,Raw_매출!$A$2:$A$155,0),MATCH(EDATE($E53,AY$1-1),Raw_매출!$B$1:$BI$1,0))=0,"",INDEX(Raw_매출!$B$2:$BI$155,MATCH($A53,Raw_매출!$A$2:$A$155,0),MATCH(EDATE($E53,AY$1-1),Raw_매출!$B$1:$BI$1,0))/(INDEX(요약_월별시즈널리티!$F$7:$F$18,MONTH(EDATE($E53,AY$1-1)))/100))),"")</f>
        <v>5314207.5916935047</v>
      </c>
      <c r="AZ53" cm="1">
        <f t="array" ref="AZ53">IFERROR(IF($E53&lt;44348,"",IF(INDEX(Raw_매출!$B$2:$BI$155,MATCH($A53,Raw_매출!$A$2:$A$155,0),MATCH(EDATE($E53,AZ$1-1),Raw_매출!$B$1:$BI$1,0))=0,"",INDEX(Raw_매출!$B$2:$BI$155,MATCH($A53,Raw_매출!$A$2:$A$155,0),MATCH(EDATE($E53,AZ$1-1),Raw_매출!$B$1:$BI$1,0))/(INDEX(요약_월별시즈널리티!$F$7:$F$18,MONTH(EDATE($E53,AZ$1-1)))/100))),"")</f>
        <v>5708894.2198212966</v>
      </c>
      <c r="BA53" cm="1">
        <f t="array" ref="BA53">IFERROR(IF($E53&lt;44348,"",IF(INDEX(Raw_매출!$B$2:$BI$155,MATCH($A53,Raw_매출!$A$2:$A$155,0),MATCH(EDATE($E53,BA$1-1),Raw_매출!$B$1:$BI$1,0))=0,"",INDEX(Raw_매출!$B$2:$BI$155,MATCH($A53,Raw_매출!$A$2:$A$155,0),MATCH(EDATE($E53,BA$1-1),Raw_매출!$B$1:$BI$1,0))/(INDEX(요약_월별시즈널리티!$F$7:$F$18,MONTH(EDATE($E53,BA$1-1)))/100))),"")</f>
        <v>5985740.653689581</v>
      </c>
      <c r="BB53" cm="1">
        <f t="array" ref="BB53">IFERROR(IF($E53&lt;44348,"",IF(INDEX(Raw_매출!$B$2:$BI$155,MATCH($A53,Raw_매출!$A$2:$A$155,0),MATCH(EDATE($E53,BB$1-1),Raw_매출!$B$1:$BI$1,0))=0,"",INDEX(Raw_매출!$B$2:$BI$155,MATCH($A53,Raw_매출!$A$2:$A$155,0),MATCH(EDATE($E53,BB$1-1),Raw_매출!$B$1:$BI$1,0))/(INDEX(요약_월별시즈널리티!$F$7:$F$18,MONTH(EDATE($E53,BB$1-1)))/100))),"")</f>
        <v>6050906.8899597265</v>
      </c>
      <c r="BC53" cm="1">
        <f t="array" ref="BC53">IFERROR(IF($E53&lt;44348,"",IF(INDEX(Raw_매출!$B$2:$BI$155,MATCH($A53,Raw_매출!$A$2:$A$155,0),MATCH(EDATE($E53,BC$1-1),Raw_매출!$B$1:$BI$1,0))=0,"",INDEX(Raw_매출!$B$2:$BI$155,MATCH($A53,Raw_매출!$A$2:$A$155,0),MATCH(EDATE($E53,BC$1-1),Raw_매출!$B$1:$BI$1,0))/(INDEX(요약_월별시즈널리티!$F$7:$F$18,MONTH(EDATE($E53,BC$1-1)))/100))),"")</f>
        <v>6112105.5902866395</v>
      </c>
      <c r="BD53" t="str" cm="1">
        <f t="array" ref="BD53">IFERROR(IF($E53&lt;44348,"",IF(INDEX(Raw_매출!$B$2:$BI$155,MATCH($A53,Raw_매출!$A$2:$A$155,0),MATCH(EDATE($E53,BD$1-1),Raw_매출!$B$1:$BI$1,0))=0,"",INDEX(Raw_매출!$B$2:$BI$155,MATCH($A53,Raw_매출!$A$2:$A$155,0),MATCH(EDATE($E53,BD$1-1),Raw_매출!$B$1:$BI$1,0))/(INDEX(요약_월별시즈널리티!$F$7:$F$18,MONTH(EDATE($E53,BD$1-1)))/100))),"")</f>
        <v/>
      </c>
      <c r="BE53" t="str" cm="1">
        <f t="array" ref="BE53">IFERROR(IF($E53&lt;44348,"",IF(INDEX(Raw_매출!$B$2:$BI$155,MATCH($A53,Raw_매출!$A$2:$A$155,0),MATCH(EDATE($E53,BE$1-1),Raw_매출!$B$1:$BI$1,0))=0,"",INDEX(Raw_매출!$B$2:$BI$155,MATCH($A53,Raw_매출!$A$2:$A$155,0),MATCH(EDATE($E53,BE$1-1),Raw_매출!$B$1:$BI$1,0))/(INDEX(요약_월별시즈널리티!$F$7:$F$18,MONTH(EDATE($E53,BE$1-1)))/100))),"")</f>
        <v/>
      </c>
      <c r="BF53" t="str" cm="1">
        <f t="array" ref="BF53">IFERROR(IF($E53&lt;44348,"",IF(INDEX(Raw_매출!$B$2:$BI$155,MATCH($A53,Raw_매출!$A$2:$A$155,0),MATCH(EDATE($E53,BF$1-1),Raw_매출!$B$1:$BI$1,0))=0,"",INDEX(Raw_매출!$B$2:$BI$155,MATCH($A53,Raw_매출!$A$2:$A$155,0),MATCH(EDATE($E53,BF$1-1),Raw_매출!$B$1:$BI$1,0))/(INDEX(요약_월별시즈널리티!$F$7:$F$18,MONTH(EDATE($E53,BF$1-1)))/100))),"")</f>
        <v/>
      </c>
      <c r="BG53" t="str" cm="1">
        <f t="array" ref="BG53">IFERROR(IF($E53&lt;44348,"",IF(INDEX(Raw_매출!$B$2:$BI$155,MATCH($A53,Raw_매출!$A$2:$A$155,0),MATCH(EDATE($E53,BG$1-1),Raw_매출!$B$1:$BI$1,0))=0,"",INDEX(Raw_매출!$B$2:$BI$155,MATCH($A53,Raw_매출!$A$2:$A$155,0),MATCH(EDATE($E53,BG$1-1),Raw_매출!$B$1:$BI$1,0))/(INDEX(요약_월별시즈널리티!$F$7:$F$18,MONTH(EDATE($E53,BG$1-1)))/100))),"")</f>
        <v/>
      </c>
      <c r="BH53" t="str" cm="1">
        <f t="array" ref="BH53">IFERROR(IF($E53&lt;44348,"",IF(INDEX(Raw_매출!$B$2:$BI$155,MATCH($A53,Raw_매출!$A$2:$A$155,0),MATCH(EDATE($E53,BH$1-1),Raw_매출!$B$1:$BI$1,0))=0,"",INDEX(Raw_매출!$B$2:$BI$155,MATCH($A53,Raw_매출!$A$2:$A$155,0),MATCH(EDATE($E53,BH$1-1),Raw_매출!$B$1:$BI$1,0))/(INDEX(요약_월별시즈널리티!$F$7:$F$18,MONTH(EDATE($E53,BH$1-1)))/100))),"")</f>
        <v/>
      </c>
      <c r="BI53" t="str" cm="1">
        <f t="array" ref="BI53">IFERROR(IF($E53&lt;44348,"",IF(INDEX(Raw_매출!$B$2:$BI$155,MATCH($A53,Raw_매출!$A$2:$A$155,0),MATCH(EDATE($E53,BI$1-1),Raw_매출!$B$1:$BI$1,0))=0,"",INDEX(Raw_매출!$B$2:$BI$155,MATCH($A53,Raw_매출!$A$2:$A$155,0),MATCH(EDATE($E53,BI$1-1),Raw_매출!$B$1:$BI$1,0))/(INDEX(요약_월별시즈널리티!$F$7:$F$18,MONTH(EDATE($E53,BI$1-1)))/100))),"")</f>
        <v/>
      </c>
      <c r="BJ53" t="str" cm="1">
        <f t="array" ref="BJ53">IFERROR(IF($E53&lt;44348,"",IF(INDEX(Raw_매출!$B$2:$BI$155,MATCH($A53,Raw_매출!$A$2:$A$155,0),MATCH(EDATE($E53,BJ$1-1),Raw_매출!$B$1:$BI$1,0))=0,"",INDEX(Raw_매출!$B$2:$BI$155,MATCH($A53,Raw_매출!$A$2:$A$155,0),MATCH(EDATE($E53,BJ$1-1),Raw_매출!$B$1:$BI$1,0))/(INDEX(요약_월별시즈널리티!$F$7:$F$18,MONTH(EDATE($E53,BJ$1-1)))/100))),"")</f>
        <v/>
      </c>
      <c r="BK53" t="str" cm="1">
        <f t="array" ref="BK53">IFERROR(IF($E53&lt;44348,"",IF(INDEX(Raw_매출!$B$2:$BI$155,MATCH($A53,Raw_매출!$A$2:$A$155,0),MATCH(EDATE($E53,BK$1-1),Raw_매출!$B$1:$BI$1,0))=0,"",INDEX(Raw_매출!$B$2:$BI$155,MATCH($A53,Raw_매출!$A$2:$A$155,0),MATCH(EDATE($E53,BK$1-1),Raw_매출!$B$1:$BI$1,0))/(INDEX(요약_월별시즈널리티!$F$7:$F$18,MONTH(EDATE($E53,BK$1-1)))/100))),"")</f>
        <v/>
      </c>
      <c r="BL53" t="str" cm="1">
        <f t="array" ref="BL53">IFERROR(IF($E53&lt;44348,"",IF(INDEX(Raw_매출!$B$2:$BI$155,MATCH($A53,Raw_매출!$A$2:$A$155,0),MATCH(EDATE($E53,BL$1-1),Raw_매출!$B$1:$BI$1,0))=0,"",INDEX(Raw_매출!$B$2:$BI$155,MATCH($A53,Raw_매출!$A$2:$A$155,0),MATCH(EDATE($E53,BL$1-1),Raw_매출!$B$1:$BI$1,0))/(INDEX(요약_월별시즈널리티!$F$7:$F$18,MONTH(EDATE($E53,BL$1-1)))/100))),"")</f>
        <v/>
      </c>
      <c r="BM53" t="str" cm="1">
        <f t="array" ref="BM53">IFERROR(IF($E53&lt;44348,"",IF(INDEX(Raw_매출!$B$2:$BI$155,MATCH($A53,Raw_매출!$A$2:$A$155,0),MATCH(EDATE($E53,BM$1-1),Raw_매출!$B$1:$BI$1,0))=0,"",INDEX(Raw_매출!$B$2:$BI$155,MATCH($A53,Raw_매출!$A$2:$A$155,0),MATCH(EDATE($E53,BM$1-1),Raw_매출!$B$1:$BI$1,0))/(INDEX(요약_월별시즈널리티!$F$7:$F$18,MONTH(EDATE($E53,BM$1-1)))/100))),"")</f>
        <v/>
      </c>
      <c r="BN53" t="str" cm="1">
        <f t="array" ref="BN53">IFERROR(IF($E53&lt;44348,"",IF(INDEX(Raw_매출!$B$2:$BI$155,MATCH($A53,Raw_매출!$A$2:$A$155,0),MATCH(EDATE($E53,BN$1-1),Raw_매출!$B$1:$BI$1,0))=0,"",INDEX(Raw_매출!$B$2:$BI$155,MATCH($A53,Raw_매출!$A$2:$A$155,0),MATCH(EDATE($E53,BN$1-1),Raw_매출!$B$1:$BI$1,0))/(INDEX(요약_월별시즈널리티!$F$7:$F$18,MONTH(EDATE($E53,BN$1-1)))/100))),"")</f>
        <v/>
      </c>
    </row>
    <row r="54" spans="1:66" x14ac:dyDescent="0.4">
      <c r="A54" t="str">
        <f>세팅!A55</f>
        <v>(1043) #고대정문점</v>
      </c>
      <c r="B54" t="str">
        <f>세팅!B55</f>
        <v>150-0</v>
      </c>
      <c r="C54">
        <f t="shared" si="0"/>
        <v>0</v>
      </c>
      <c r="D54" t="str">
        <f t="shared" si="1"/>
        <v>0</v>
      </c>
      <c r="E54" s="1">
        <f>세팅!D55</f>
        <v>44713</v>
      </c>
      <c r="F54">
        <f t="shared" si="2"/>
        <v>4894821.8171262555</v>
      </c>
      <c r="G54" cm="1">
        <f t="array" ref="G54">IFERROR(IF($E54&lt;44348,"",IF(INDEX(Raw_매출!$B$2:$BI$155,MATCH($A54,Raw_매출!$A$2:$A$155,0),MATCH(EDATE($E54,G$1-1),Raw_매출!$B$1:$BI$1,0))=0,"",INDEX(Raw_매출!$B$2:$BI$155,MATCH($A54,Raw_매출!$A$2:$A$155,0),MATCH(EDATE($E54,G$1-1),Raw_매출!$B$1:$BI$1,0))/(INDEX(요약_월별시즈널리티!$F$7:$F$18,MONTH(EDATE($E54,G$1-1)))/100))),"")</f>
        <v>2748862.7592362664</v>
      </c>
      <c r="H54" cm="1">
        <f t="array" ref="H54">IFERROR(IF($E54&lt;44348,"",IF(INDEX(Raw_매출!$B$2:$BI$155,MATCH($A54,Raw_매출!$A$2:$A$155,0),MATCH(EDATE($E54,H$1-1),Raw_매출!$B$1:$BI$1,0))=0,"",INDEX(Raw_매출!$B$2:$BI$155,MATCH($A54,Raw_매출!$A$2:$A$155,0),MATCH(EDATE($E54,H$1-1),Raw_매출!$B$1:$BI$1,0))/(INDEX(요약_월별시즈널리티!$F$7:$F$18,MONTH(EDATE($E54,H$1-1)))/100))),"")</f>
        <v>4066340.2013319233</v>
      </c>
      <c r="I54" cm="1">
        <f t="array" ref="I54">IFERROR(IF($E54&lt;44348,"",IF(INDEX(Raw_매출!$B$2:$BI$155,MATCH($A54,Raw_매출!$A$2:$A$155,0),MATCH(EDATE($E54,I$1-1),Raw_매출!$B$1:$BI$1,0))=0,"",INDEX(Raw_매출!$B$2:$BI$155,MATCH($A54,Raw_매출!$A$2:$A$155,0),MATCH(EDATE($E54,I$1-1),Raw_매출!$B$1:$BI$1,0))/(INDEX(요약_월별시즈널리티!$F$7:$F$18,MONTH(EDATE($E54,I$1-1)))/100))),"")</f>
        <v>4744955.3365291581</v>
      </c>
      <c r="J54" s="30" cm="1">
        <f t="array" ref="J54">IFERROR(IF($E54&lt;44348,"",IF(INDEX(Raw_매출!$B$2:$BI$155,MATCH($A54,Raw_매출!$A$2:$A$155,0),MATCH(EDATE($E54,J$1-1),Raw_매출!$B$1:$BI$1,0))=0,"",INDEX(Raw_매출!$B$2:$BI$155,MATCH($A54,Raw_매출!$A$2:$A$155,0),MATCH(EDATE($E54,J$1-1),Raw_매출!$B$1:$BI$1,0))/(INDEX(요약_월별시즈널리티!$F$7:$F$18,MONTH(EDATE($E54,J$1-1)))/100))),"")</f>
        <v>4922416.8397900825</v>
      </c>
      <c r="K54" s="30" cm="1">
        <f t="array" ref="K54">IFERROR(IF($E54&lt;44348,"",IF(INDEX(Raw_매출!$B$2:$BI$155,MATCH($A54,Raw_매출!$A$2:$A$155,0),MATCH(EDATE($E54,K$1-1),Raw_매출!$B$1:$BI$1,0))=0,"",INDEX(Raw_매출!$B$2:$BI$155,MATCH($A54,Raw_매출!$A$2:$A$155,0),MATCH(EDATE($E54,K$1-1),Raw_매출!$B$1:$BI$1,0))/(INDEX(요약_월별시즈널리티!$F$7:$F$18,MONTH(EDATE($E54,K$1-1)))/100))),"")</f>
        <v>4511457.8443019819</v>
      </c>
      <c r="L54" s="30" cm="1">
        <f t="array" ref="L54">IFERROR(IF($E54&lt;44348,"",IF(INDEX(Raw_매출!$B$2:$BI$155,MATCH($A54,Raw_매출!$A$2:$A$155,0),MATCH(EDATE($E54,L$1-1),Raw_매출!$B$1:$BI$1,0))=0,"",INDEX(Raw_매출!$B$2:$BI$155,MATCH($A54,Raw_매출!$A$2:$A$155,0),MATCH(EDATE($E54,L$1-1),Raw_매출!$B$1:$BI$1,0))/(INDEX(요약_월별시즈널리티!$F$7:$F$18,MONTH(EDATE($E54,L$1-1)))/100))),"")</f>
        <v>4450953.8419787725</v>
      </c>
      <c r="M54" s="30" cm="1">
        <f t="array" ref="M54">IFERROR(IF($E54&lt;44348,"",IF(INDEX(Raw_매출!$B$2:$BI$155,MATCH($A54,Raw_매출!$A$2:$A$155,0),MATCH(EDATE($E54,M$1-1),Raw_매출!$B$1:$BI$1,0))=0,"",INDEX(Raw_매출!$B$2:$BI$155,MATCH($A54,Raw_매출!$A$2:$A$155,0),MATCH(EDATE($E54,M$1-1),Raw_매출!$B$1:$BI$1,0))/(INDEX(요약_월별시즈널리티!$F$7:$F$18,MONTH(EDATE($E54,M$1-1)))/100))),"")</f>
        <v>4775875.3979716962</v>
      </c>
      <c r="N54" s="30" cm="1">
        <f t="array" ref="N54">IFERROR(IF($E54&lt;44348,"",IF(INDEX(Raw_매출!$B$2:$BI$155,MATCH($A54,Raw_매출!$A$2:$A$155,0),MATCH(EDATE($E54,N$1-1),Raw_매출!$B$1:$BI$1,0))=0,"",INDEX(Raw_매출!$B$2:$BI$155,MATCH($A54,Raw_매출!$A$2:$A$155,0),MATCH(EDATE($E54,N$1-1),Raw_매출!$B$1:$BI$1,0))/(INDEX(요약_월별시즈널리티!$F$7:$F$18,MONTH(EDATE($E54,N$1-1)))/100))),"")</f>
        <v>5091161.0206227852</v>
      </c>
      <c r="O54" s="30" cm="1">
        <f t="array" ref="O54">IFERROR(IF($E54&lt;44348,"",IF(INDEX(Raw_매출!$B$2:$BI$155,MATCH($A54,Raw_매출!$A$2:$A$155,0),MATCH(EDATE($E54,O$1-1),Raw_매출!$B$1:$BI$1,0))=0,"",INDEX(Raw_매출!$B$2:$BI$155,MATCH($A54,Raw_매출!$A$2:$A$155,0),MATCH(EDATE($E54,O$1-1),Raw_매출!$B$1:$BI$1,0))/(INDEX(요약_월별시즈널리티!$F$7:$F$18,MONTH(EDATE($E54,O$1-1)))/100))),"")</f>
        <v>5617065.9580922145</v>
      </c>
      <c r="P54" cm="1">
        <f t="array" ref="P54">IFERROR(IF($E54&lt;44348,"",IF(INDEX(Raw_매출!$B$2:$BI$155,MATCH($A54,Raw_매출!$A$2:$A$155,0),MATCH(EDATE($E54,P$1-1),Raw_매출!$B$1:$BI$1,0))=0,"",INDEX(Raw_매출!$B$2:$BI$155,MATCH($A54,Raw_매출!$A$2:$A$155,0),MATCH(EDATE($E54,P$1-1),Raw_매출!$B$1:$BI$1,0))/(INDEX(요약_월별시즈널리티!$F$7:$F$18,MONTH(EDATE($E54,P$1-1)))/100))),"")</f>
        <v>5269029.1908608451</v>
      </c>
      <c r="Q54" cm="1">
        <f t="array" ref="Q54">IFERROR(IF($E54&lt;44348,"",IF(INDEX(Raw_매출!$B$2:$BI$155,MATCH($A54,Raw_매출!$A$2:$A$155,0),MATCH(EDATE($E54,Q$1-1),Raw_매출!$B$1:$BI$1,0))=0,"",INDEX(Raw_매출!$B$2:$BI$155,MATCH($A54,Raw_매출!$A$2:$A$155,0),MATCH(EDATE($E54,Q$1-1),Raw_매출!$B$1:$BI$1,0))/(INDEX(요약_월별시즈널리티!$F$7:$F$18,MONTH(EDATE($E54,Q$1-1)))/100))),"")</f>
        <v>5730056.8661086448</v>
      </c>
      <c r="R54" cm="1">
        <f t="array" ref="R54">IFERROR(IF($E54&lt;44348,"",IF(INDEX(Raw_매출!$B$2:$BI$155,MATCH($A54,Raw_매출!$A$2:$A$155,0),MATCH(EDATE($E54,R$1-1),Raw_매출!$B$1:$BI$1,0))=0,"",INDEX(Raw_매출!$B$2:$BI$155,MATCH($A54,Raw_매출!$A$2:$A$155,0),MATCH(EDATE($E54,R$1-1),Raw_매출!$B$1:$BI$1,0))/(INDEX(요약_월별시즈널리티!$F$7:$F$18,MONTH(EDATE($E54,R$1-1)))/100))),"")</f>
        <v>6316496.032097552</v>
      </c>
      <c r="S54" cm="1">
        <f t="array" ref="S54">IFERROR(IF($E54&lt;44348,"",IF(INDEX(Raw_매출!$B$2:$BI$155,MATCH($A54,Raw_매출!$A$2:$A$155,0),MATCH(EDATE($E54,S$1-1),Raw_매출!$B$1:$BI$1,0))=0,"",INDEX(Raw_매출!$B$2:$BI$155,MATCH($A54,Raw_매출!$A$2:$A$155,0),MATCH(EDATE($E54,S$1-1),Raw_매출!$B$1:$BI$1,0))/(INDEX(요약_월별시즈널리티!$F$7:$F$18,MONTH(EDATE($E54,S$1-1)))/100))),"")</f>
        <v>6092026.1036900673</v>
      </c>
      <c r="T54" cm="1">
        <f t="array" ref="T54">IFERROR(IF($E54&lt;44348,"",IF(INDEX(Raw_매출!$B$2:$BI$155,MATCH($A54,Raw_매출!$A$2:$A$155,0),MATCH(EDATE($E54,T$1-1),Raw_매출!$B$1:$BI$1,0))=0,"",INDEX(Raw_매출!$B$2:$BI$155,MATCH($A54,Raw_매출!$A$2:$A$155,0),MATCH(EDATE($E54,T$1-1),Raw_매출!$B$1:$BI$1,0))/(INDEX(요약_월별시즈널리티!$F$7:$F$18,MONTH(EDATE($E54,T$1-1)))/100))),"")</f>
        <v>6308249.143580474</v>
      </c>
      <c r="U54" cm="1">
        <f t="array" ref="U54">IFERROR(IF($E54&lt;44348,"",IF(INDEX(Raw_매출!$B$2:$BI$155,MATCH($A54,Raw_매출!$A$2:$A$155,0),MATCH(EDATE($E54,U$1-1),Raw_매출!$B$1:$BI$1,0))=0,"",INDEX(Raw_매출!$B$2:$BI$155,MATCH($A54,Raw_매출!$A$2:$A$155,0),MATCH(EDATE($E54,U$1-1),Raw_매출!$B$1:$BI$1,0))/(INDEX(요약_월별시즈널리티!$F$7:$F$18,MONTH(EDATE($E54,U$1-1)))/100))),"")</f>
        <v>6078628.8113844562</v>
      </c>
      <c r="V54" cm="1">
        <f t="array" ref="V54">IFERROR(IF($E54&lt;44348,"",IF(INDEX(Raw_매출!$B$2:$BI$155,MATCH($A54,Raw_매출!$A$2:$A$155,0),MATCH(EDATE($E54,V$1-1),Raw_매출!$B$1:$BI$1,0))=0,"",INDEX(Raw_매출!$B$2:$BI$155,MATCH($A54,Raw_매출!$A$2:$A$155,0),MATCH(EDATE($E54,V$1-1),Raw_매출!$B$1:$BI$1,0))/(INDEX(요약_월별시즈널리티!$F$7:$F$18,MONTH(EDATE($E54,V$1-1)))/100))),"")</f>
        <v>6575643.7693628389</v>
      </c>
      <c r="W54" cm="1">
        <f t="array" ref="W54">IFERROR(IF($E54&lt;44348,"",IF(INDEX(Raw_매출!$B$2:$BI$155,MATCH($A54,Raw_매출!$A$2:$A$155,0),MATCH(EDATE($E54,W$1-1),Raw_매출!$B$1:$BI$1,0))=0,"",INDEX(Raw_매출!$B$2:$BI$155,MATCH($A54,Raw_매출!$A$2:$A$155,0),MATCH(EDATE($E54,W$1-1),Raw_매출!$B$1:$BI$1,0))/(INDEX(요약_월별시즈널리티!$F$7:$F$18,MONTH(EDATE($E54,W$1-1)))/100))),"")</f>
        <v>6261280.621228083</v>
      </c>
      <c r="X54" cm="1">
        <f t="array" ref="X54">IFERROR(IF($E54&lt;44348,"",IF(INDEX(Raw_매출!$B$2:$BI$155,MATCH($A54,Raw_매출!$A$2:$A$155,0),MATCH(EDATE($E54,X$1-1),Raw_매출!$B$1:$BI$1,0))=0,"",INDEX(Raw_매출!$B$2:$BI$155,MATCH($A54,Raw_매출!$A$2:$A$155,0),MATCH(EDATE($E54,X$1-1),Raw_매출!$B$1:$BI$1,0))/(INDEX(요약_월별시즈널리티!$F$7:$F$18,MONTH(EDATE($E54,X$1-1)))/100))),"")</f>
        <v>6577797.0879502911</v>
      </c>
      <c r="Y54" cm="1">
        <f t="array" ref="Y54">IFERROR(IF($E54&lt;44348,"",IF(INDEX(Raw_매출!$B$2:$BI$155,MATCH($A54,Raw_매출!$A$2:$A$155,0),MATCH(EDATE($E54,Y$1-1),Raw_매출!$B$1:$BI$1,0))=0,"",INDEX(Raw_매출!$B$2:$BI$155,MATCH($A54,Raw_매출!$A$2:$A$155,0),MATCH(EDATE($E54,Y$1-1),Raw_매출!$B$1:$BI$1,0))/(INDEX(요약_월별시즈널리티!$F$7:$F$18,MONTH(EDATE($E54,Y$1-1)))/100))),"")</f>
        <v>7125693.191805345</v>
      </c>
      <c r="Z54" cm="1">
        <f t="array" ref="Z54">IFERROR(IF($E54&lt;44348,"",IF(INDEX(Raw_매출!$B$2:$BI$155,MATCH($A54,Raw_매출!$A$2:$A$155,0),MATCH(EDATE($E54,Z$1-1),Raw_매출!$B$1:$BI$1,0))=0,"",INDEX(Raw_매출!$B$2:$BI$155,MATCH($A54,Raw_매출!$A$2:$A$155,0),MATCH(EDATE($E54,Z$1-1),Raw_매출!$B$1:$BI$1,0))/(INDEX(요약_월별시즈널리티!$F$7:$F$18,MONTH(EDATE($E54,Z$1-1)))/100))),"")</f>
        <v>6496857.5474539688</v>
      </c>
      <c r="AA54" cm="1">
        <f t="array" ref="AA54">IFERROR(IF($E54&lt;44348,"",IF(INDEX(Raw_매출!$B$2:$BI$155,MATCH($A54,Raw_매출!$A$2:$A$155,0),MATCH(EDATE($E54,AA$1-1),Raw_매출!$B$1:$BI$1,0))=0,"",INDEX(Raw_매출!$B$2:$BI$155,MATCH($A54,Raw_매출!$A$2:$A$155,0),MATCH(EDATE($E54,AA$1-1),Raw_매출!$B$1:$BI$1,0))/(INDEX(요약_월별시즈널리티!$F$7:$F$18,MONTH(EDATE($E54,AA$1-1)))/100))),"")</f>
        <v>7106783.7467242749</v>
      </c>
      <c r="AB54" cm="1">
        <f t="array" ref="AB54">IFERROR(IF($E54&lt;44348,"",IF(INDEX(Raw_매출!$B$2:$BI$155,MATCH($A54,Raw_매출!$A$2:$A$155,0),MATCH(EDATE($E54,AB$1-1),Raw_매출!$B$1:$BI$1,0))=0,"",INDEX(Raw_매출!$B$2:$BI$155,MATCH($A54,Raw_매출!$A$2:$A$155,0),MATCH(EDATE($E54,AB$1-1),Raw_매출!$B$1:$BI$1,0))/(INDEX(요약_월별시즈널리티!$F$7:$F$18,MONTH(EDATE($E54,AB$1-1)))/100))),"")</f>
        <v>8072111.5561082605</v>
      </c>
      <c r="AC54" cm="1">
        <f t="array" ref="AC54">IFERROR(IF($E54&lt;44348,"",IF(INDEX(Raw_매출!$B$2:$BI$155,MATCH($A54,Raw_매출!$A$2:$A$155,0),MATCH(EDATE($E54,AC$1-1),Raw_매출!$B$1:$BI$1,0))=0,"",INDEX(Raw_매출!$B$2:$BI$155,MATCH($A54,Raw_매출!$A$2:$A$155,0),MATCH(EDATE($E54,AC$1-1),Raw_매출!$B$1:$BI$1,0))/(INDEX(요약_월별시즈널리티!$F$7:$F$18,MONTH(EDATE($E54,AC$1-1)))/100))),"")</f>
        <v>7080980.3371157646</v>
      </c>
      <c r="AD54" cm="1">
        <f t="array" ref="AD54">IFERROR(IF($E54&lt;44348,"",IF(INDEX(Raw_매출!$B$2:$BI$155,MATCH($A54,Raw_매출!$A$2:$A$155,0),MATCH(EDATE($E54,AD$1-1),Raw_매출!$B$1:$BI$1,0))=0,"",INDEX(Raw_매출!$B$2:$BI$155,MATCH($A54,Raw_매출!$A$2:$A$155,0),MATCH(EDATE($E54,AD$1-1),Raw_매출!$B$1:$BI$1,0))/(INDEX(요약_월별시즈널리티!$F$7:$F$18,MONTH(EDATE($E54,AD$1-1)))/100))),"")</f>
        <v>6829265.8677495671</v>
      </c>
      <c r="AE54" cm="1">
        <f t="array" ref="AE54">IFERROR(IF($E54&lt;44348,"",IF(INDEX(Raw_매출!$B$2:$BI$155,MATCH($A54,Raw_매출!$A$2:$A$155,0),MATCH(EDATE($E54,AE$1-1),Raw_매출!$B$1:$BI$1,0))=0,"",INDEX(Raw_매출!$B$2:$BI$155,MATCH($A54,Raw_매출!$A$2:$A$155,0),MATCH(EDATE($E54,AE$1-1),Raw_매출!$B$1:$BI$1,0))/(INDEX(요약_월별시즈널리티!$F$7:$F$18,MONTH(EDATE($E54,AE$1-1)))/100))),"")</f>
        <v>7297059.6828741319</v>
      </c>
      <c r="AF54" cm="1">
        <f t="array" ref="AF54">IFERROR(IF($E54&lt;44348,"",IF(INDEX(Raw_매출!$B$2:$BI$155,MATCH($A54,Raw_매출!$A$2:$A$155,0),MATCH(EDATE($E54,AF$1-1),Raw_매출!$B$1:$BI$1,0))=0,"",INDEX(Raw_매출!$B$2:$BI$155,MATCH($A54,Raw_매출!$A$2:$A$155,0),MATCH(EDATE($E54,AF$1-1),Raw_매출!$B$1:$BI$1,0))/(INDEX(요약_월별시즈널리티!$F$7:$F$18,MONTH(EDATE($E54,AF$1-1)))/100))),"")</f>
        <v>7529501.0494442564</v>
      </c>
      <c r="AG54" cm="1">
        <f t="array" ref="AG54">IFERROR(IF($E54&lt;44348,"",IF(INDEX(Raw_매출!$B$2:$BI$155,MATCH($A54,Raw_매출!$A$2:$A$155,0),MATCH(EDATE($E54,AG$1-1),Raw_매출!$B$1:$BI$1,0))=0,"",INDEX(Raw_매출!$B$2:$BI$155,MATCH($A54,Raw_매출!$A$2:$A$155,0),MATCH(EDATE($E54,AG$1-1),Raw_매출!$B$1:$BI$1,0))/(INDEX(요약_월별시즈널리티!$F$7:$F$18,MONTH(EDATE($E54,AG$1-1)))/100))),"")</f>
        <v>6976348.4901716579</v>
      </c>
      <c r="AH54" cm="1">
        <f t="array" ref="AH54">IFERROR(IF($E54&lt;44348,"",IF(INDEX(Raw_매출!$B$2:$BI$155,MATCH($A54,Raw_매출!$A$2:$A$155,0),MATCH(EDATE($E54,AH$1-1),Raw_매출!$B$1:$BI$1,0))=0,"",INDEX(Raw_매출!$B$2:$BI$155,MATCH($A54,Raw_매출!$A$2:$A$155,0),MATCH(EDATE($E54,AH$1-1),Raw_매출!$B$1:$BI$1,0))/(INDEX(요약_월별시즈널리티!$F$7:$F$18,MONTH(EDATE($E54,AH$1-1)))/100))),"")</f>
        <v>7656358.2142233159</v>
      </c>
      <c r="AI54" cm="1">
        <f t="array" ref="AI54">IFERROR(IF($E54&lt;44348,"",IF(INDEX(Raw_매출!$B$2:$BI$155,MATCH($A54,Raw_매출!$A$2:$A$155,0),MATCH(EDATE($E54,AI$1-1),Raw_매출!$B$1:$BI$1,0))=0,"",INDEX(Raw_매출!$B$2:$BI$155,MATCH($A54,Raw_매출!$A$2:$A$155,0),MATCH(EDATE($E54,AI$1-1),Raw_매출!$B$1:$BI$1,0))/(INDEX(요약_월별시즈널리티!$F$7:$F$18,MONTH(EDATE($E54,AI$1-1)))/100))),"")</f>
        <v>7088049.6071915347</v>
      </c>
      <c r="AJ54" cm="1">
        <f t="array" ref="AJ54">IFERROR(IF($E54&lt;44348,"",IF(INDEX(Raw_매출!$B$2:$BI$155,MATCH($A54,Raw_매출!$A$2:$A$155,0),MATCH(EDATE($E54,AJ$1-1),Raw_매출!$B$1:$BI$1,0))=0,"",INDEX(Raw_매출!$B$2:$BI$155,MATCH($A54,Raw_매출!$A$2:$A$155,0),MATCH(EDATE($E54,AJ$1-1),Raw_매출!$B$1:$BI$1,0))/(INDEX(요약_월별시즈널리티!$F$7:$F$18,MONTH(EDATE($E54,AJ$1-1)))/100))),"")</f>
        <v>7336399.4497100739</v>
      </c>
      <c r="AK54" cm="1">
        <f t="array" ref="AK54">IFERROR(IF($E54&lt;44348,"",IF(INDEX(Raw_매출!$B$2:$BI$155,MATCH($A54,Raw_매출!$A$2:$A$155,0),MATCH(EDATE($E54,AK$1-1),Raw_매출!$B$1:$BI$1,0))=0,"",INDEX(Raw_매출!$B$2:$BI$155,MATCH($A54,Raw_매출!$A$2:$A$155,0),MATCH(EDATE($E54,AK$1-1),Raw_매출!$B$1:$BI$1,0))/(INDEX(요약_월별시즈널리티!$F$7:$F$18,MONTH(EDATE($E54,AK$1-1)))/100))),"")</f>
        <v>7874871.7491682246</v>
      </c>
      <c r="AL54" cm="1">
        <f t="array" ref="AL54">IFERROR(IF($E54&lt;44348,"",IF(INDEX(Raw_매출!$B$2:$BI$155,MATCH($A54,Raw_매출!$A$2:$A$155,0),MATCH(EDATE($E54,AL$1-1),Raw_매출!$B$1:$BI$1,0))=0,"",INDEX(Raw_매출!$B$2:$BI$155,MATCH($A54,Raw_매출!$A$2:$A$155,0),MATCH(EDATE($E54,AL$1-1),Raw_매출!$B$1:$BI$1,0))/(INDEX(요약_월별시즈널리티!$F$7:$F$18,MONTH(EDATE($E54,AL$1-1)))/100))),"")</f>
        <v>6682949.3970372034</v>
      </c>
      <c r="AM54" cm="1">
        <f t="array" ref="AM54">IFERROR(IF($E54&lt;44348,"",IF(INDEX(Raw_매출!$B$2:$BI$155,MATCH($A54,Raw_매출!$A$2:$A$155,0),MATCH(EDATE($E54,AM$1-1),Raw_매출!$B$1:$BI$1,0))=0,"",INDEX(Raw_매출!$B$2:$BI$155,MATCH($A54,Raw_매출!$A$2:$A$155,0),MATCH(EDATE($E54,AM$1-1),Raw_매출!$B$1:$BI$1,0))/(INDEX(요약_월별시즈널리티!$F$7:$F$18,MONTH(EDATE($E54,AM$1-1)))/100))),"")</f>
        <v>7384404.072881964</v>
      </c>
      <c r="AN54" cm="1">
        <f t="array" ref="AN54">IFERROR(IF($E54&lt;44348,"",IF(INDEX(Raw_매출!$B$2:$BI$155,MATCH($A54,Raw_매출!$A$2:$A$155,0),MATCH(EDATE($E54,AN$1-1),Raw_매출!$B$1:$BI$1,0))=0,"",INDEX(Raw_매출!$B$2:$BI$155,MATCH($A54,Raw_매출!$A$2:$A$155,0),MATCH(EDATE($E54,AN$1-1),Raw_매출!$B$1:$BI$1,0))/(INDEX(요약_월별시즈널리티!$F$7:$F$18,MONTH(EDATE($E54,AN$1-1)))/100))),"")</f>
        <v>7946097.3716510516</v>
      </c>
      <c r="AO54" cm="1">
        <f t="array" ref="AO54">IFERROR(IF($E54&lt;44348,"",IF(INDEX(Raw_매출!$B$2:$BI$155,MATCH($A54,Raw_매출!$A$2:$A$155,0),MATCH(EDATE($E54,AO$1-1),Raw_매출!$B$1:$BI$1,0))=0,"",INDEX(Raw_매출!$B$2:$BI$155,MATCH($A54,Raw_매출!$A$2:$A$155,0),MATCH(EDATE($E54,AO$1-1),Raw_매출!$B$1:$BI$1,0))/(INDEX(요약_월별시즈널리티!$F$7:$F$18,MONTH(EDATE($E54,AO$1-1)))/100))),"")</f>
        <v>7847488.7850266509</v>
      </c>
      <c r="AP54" cm="1">
        <f t="array" ref="AP54">IFERROR(IF($E54&lt;44348,"",IF(INDEX(Raw_매출!$B$2:$BI$155,MATCH($A54,Raw_매출!$A$2:$A$155,0),MATCH(EDATE($E54,AP$1-1),Raw_매출!$B$1:$BI$1,0))=0,"",INDEX(Raw_매출!$B$2:$BI$155,MATCH($A54,Raw_매출!$A$2:$A$155,0),MATCH(EDATE($E54,AP$1-1),Raw_매출!$B$1:$BI$1,0))/(INDEX(요약_월별시즈널리티!$F$7:$F$18,MONTH(EDATE($E54,AP$1-1)))/100))),"")</f>
        <v>7890025.3073281283</v>
      </c>
      <c r="AQ54" cm="1">
        <f t="array" ref="AQ54">IFERROR(IF($E54&lt;44348,"",IF(INDEX(Raw_매출!$B$2:$BI$155,MATCH($A54,Raw_매출!$A$2:$A$155,0),MATCH(EDATE($E54,AQ$1-1),Raw_매출!$B$1:$BI$1,0))=0,"",INDEX(Raw_매출!$B$2:$BI$155,MATCH($A54,Raw_매출!$A$2:$A$155,0),MATCH(EDATE($E54,AQ$1-1),Raw_매출!$B$1:$BI$1,0))/(INDEX(요약_월별시즈널리티!$F$7:$F$18,MONTH(EDATE($E54,AQ$1-1)))/100))),"")</f>
        <v>7460663.8187670354</v>
      </c>
      <c r="AR54" cm="1">
        <f t="array" ref="AR54">IFERROR(IF($E54&lt;44348,"",IF(INDEX(Raw_매출!$B$2:$BI$155,MATCH($A54,Raw_매출!$A$2:$A$155,0),MATCH(EDATE($E54,AR$1-1),Raw_매출!$B$1:$BI$1,0))=0,"",INDEX(Raw_매출!$B$2:$BI$155,MATCH($A54,Raw_매출!$A$2:$A$155,0),MATCH(EDATE($E54,AR$1-1),Raw_매출!$B$1:$BI$1,0))/(INDEX(요약_월별시즈널리티!$F$7:$F$18,MONTH(EDATE($E54,AR$1-1)))/100))),"")</f>
        <v>6762897.7305051927</v>
      </c>
      <c r="AS54" cm="1">
        <f t="array" ref="AS54">IFERROR(IF($E54&lt;44348,"",IF(INDEX(Raw_매출!$B$2:$BI$155,MATCH($A54,Raw_매출!$A$2:$A$155,0),MATCH(EDATE($E54,AS$1-1),Raw_매출!$B$1:$BI$1,0))=0,"",INDEX(Raw_매출!$B$2:$BI$155,MATCH($A54,Raw_매출!$A$2:$A$155,0),MATCH(EDATE($E54,AS$1-1),Raw_매출!$B$1:$BI$1,0))/(INDEX(요약_월별시즈널리티!$F$7:$F$18,MONTH(EDATE($E54,AS$1-1)))/100))),"")</f>
        <v>7048865.362311922</v>
      </c>
      <c r="AT54" cm="1">
        <f t="array" ref="AT54">IFERROR(IF($E54&lt;44348,"",IF(INDEX(Raw_매출!$B$2:$BI$155,MATCH($A54,Raw_매출!$A$2:$A$155,0),MATCH(EDATE($E54,AT$1-1),Raw_매출!$B$1:$BI$1,0))=0,"",INDEX(Raw_매출!$B$2:$BI$155,MATCH($A54,Raw_매출!$A$2:$A$155,0),MATCH(EDATE($E54,AT$1-1),Raw_매출!$B$1:$BI$1,0))/(INDEX(요약_월별시즈널리티!$F$7:$F$18,MONTH(EDATE($E54,AT$1-1)))/100))),"")</f>
        <v>7008269.1276510553</v>
      </c>
      <c r="AU54" cm="1">
        <f t="array" ref="AU54">IFERROR(IF($E54&lt;44348,"",IF(INDEX(Raw_매출!$B$2:$BI$155,MATCH($A54,Raw_매출!$A$2:$A$155,0),MATCH(EDATE($E54,AU$1-1),Raw_매출!$B$1:$BI$1,0))=0,"",INDEX(Raw_매출!$B$2:$BI$155,MATCH($A54,Raw_매출!$A$2:$A$155,0),MATCH(EDATE($E54,AU$1-1),Raw_매출!$B$1:$BI$1,0))/(INDEX(요약_월별시즈널리티!$F$7:$F$18,MONTH(EDATE($E54,AU$1-1)))/100))),"")</f>
        <v>7592952.2450148156</v>
      </c>
      <c r="AV54" cm="1">
        <f t="array" ref="AV54">IFERROR(IF($E54&lt;44348,"",IF(INDEX(Raw_매출!$B$2:$BI$155,MATCH($A54,Raw_매출!$A$2:$A$155,0),MATCH(EDATE($E54,AV$1-1),Raw_매출!$B$1:$BI$1,0))=0,"",INDEX(Raw_매출!$B$2:$BI$155,MATCH($A54,Raw_매출!$A$2:$A$155,0),MATCH(EDATE($E54,AV$1-1),Raw_매출!$B$1:$BI$1,0))/(INDEX(요약_월별시즈널리티!$F$7:$F$18,MONTH(EDATE($E54,AV$1-1)))/100))),"")</f>
        <v>6008989.3915282302</v>
      </c>
      <c r="AW54" cm="1">
        <f t="array" ref="AW54">IFERROR(IF($E54&lt;44348,"",IF(INDEX(Raw_매출!$B$2:$BI$155,MATCH($A54,Raw_매출!$A$2:$A$155,0),MATCH(EDATE($E54,AW$1-1),Raw_매출!$B$1:$BI$1,0))=0,"",INDEX(Raw_매출!$B$2:$BI$155,MATCH($A54,Raw_매출!$A$2:$A$155,0),MATCH(EDATE($E54,AW$1-1),Raw_매출!$B$1:$BI$1,0))/(INDEX(요약_월별시즈널리티!$F$7:$F$18,MONTH(EDATE($E54,AW$1-1)))/100))),"")</f>
        <v>5871365.4064316722</v>
      </c>
      <c r="AX54" cm="1">
        <f t="array" ref="AX54">IFERROR(IF($E54&lt;44348,"",IF(INDEX(Raw_매출!$B$2:$BI$155,MATCH($A54,Raw_매출!$A$2:$A$155,0),MATCH(EDATE($E54,AX$1-1),Raw_매출!$B$1:$BI$1,0))=0,"",INDEX(Raw_매출!$B$2:$BI$155,MATCH($A54,Raw_매출!$A$2:$A$155,0),MATCH(EDATE($E54,AX$1-1),Raw_매출!$B$1:$BI$1,0))/(INDEX(요약_월별시즈널리티!$F$7:$F$18,MONTH(EDATE($E54,AX$1-1)))/100))),"")</f>
        <v>6120785.0339573668</v>
      </c>
      <c r="AY54" cm="1">
        <f t="array" ref="AY54">IFERROR(IF($E54&lt;44348,"",IF(INDEX(Raw_매출!$B$2:$BI$155,MATCH($A54,Raw_매출!$A$2:$A$155,0),MATCH(EDATE($E54,AY$1-1),Raw_매출!$B$1:$BI$1,0))=0,"",INDEX(Raw_매출!$B$2:$BI$155,MATCH($A54,Raw_매출!$A$2:$A$155,0),MATCH(EDATE($E54,AY$1-1),Raw_매출!$B$1:$BI$1,0))/(INDEX(요약_월별시즈널리티!$F$7:$F$18,MONTH(EDATE($E54,AY$1-1)))/100))),"")</f>
        <v>5357360.4478532486</v>
      </c>
      <c r="AZ54" cm="1">
        <f t="array" ref="AZ54">IFERROR(IF($E54&lt;44348,"",IF(INDEX(Raw_매출!$B$2:$BI$155,MATCH($A54,Raw_매출!$A$2:$A$155,0),MATCH(EDATE($E54,AZ$1-1),Raw_매출!$B$1:$BI$1,0))=0,"",INDEX(Raw_매출!$B$2:$BI$155,MATCH($A54,Raw_매출!$A$2:$A$155,0),MATCH(EDATE($E54,AZ$1-1),Raw_매출!$B$1:$BI$1,0))/(INDEX(요약_월별시즈널리티!$F$7:$F$18,MONTH(EDATE($E54,AZ$1-1)))/100))),"")</f>
        <v>6304321.3893565321</v>
      </c>
      <c r="BA54" cm="1">
        <f t="array" ref="BA54">IFERROR(IF($E54&lt;44348,"",IF(INDEX(Raw_매출!$B$2:$BI$155,MATCH($A54,Raw_매출!$A$2:$A$155,0),MATCH(EDATE($E54,BA$1-1),Raw_매출!$B$1:$BI$1,0))=0,"",INDEX(Raw_매출!$B$2:$BI$155,MATCH($A54,Raw_매출!$A$2:$A$155,0),MATCH(EDATE($E54,BA$1-1),Raw_매출!$B$1:$BI$1,0))/(INDEX(요약_월별시즈널리티!$F$7:$F$18,MONTH(EDATE($E54,BA$1-1)))/100))),"")</f>
        <v>6103466.5217978731</v>
      </c>
      <c r="BB54" cm="1">
        <f t="array" ref="BB54">IFERROR(IF($E54&lt;44348,"",IF(INDEX(Raw_매출!$B$2:$BI$155,MATCH($A54,Raw_매출!$A$2:$A$155,0),MATCH(EDATE($E54,BB$1-1),Raw_매출!$B$1:$BI$1,0))=0,"",INDEX(Raw_매출!$B$2:$BI$155,MATCH($A54,Raw_매출!$A$2:$A$155,0),MATCH(EDATE($E54,BB$1-1),Raw_매출!$B$1:$BI$1,0))/(INDEX(요약_월별시즈널리티!$F$7:$F$18,MONTH(EDATE($E54,BB$1-1)))/100))),"")</f>
        <v>6024013.4617163902</v>
      </c>
      <c r="BC54" t="str" cm="1">
        <f t="array" ref="BC54">IFERROR(IF($E54&lt;44348,"",IF(INDEX(Raw_매출!$B$2:$BI$155,MATCH($A54,Raw_매출!$A$2:$A$155,0),MATCH(EDATE($E54,BC$1-1),Raw_매출!$B$1:$BI$1,0))=0,"",INDEX(Raw_매출!$B$2:$BI$155,MATCH($A54,Raw_매출!$A$2:$A$155,0),MATCH(EDATE($E54,BC$1-1),Raw_매출!$B$1:$BI$1,0))/(INDEX(요약_월별시즈널리티!$F$7:$F$18,MONTH(EDATE($E54,BC$1-1)))/100))),"")</f>
        <v/>
      </c>
      <c r="BD54" t="str" cm="1">
        <f t="array" ref="BD54">IFERROR(IF($E54&lt;44348,"",IF(INDEX(Raw_매출!$B$2:$BI$155,MATCH($A54,Raw_매출!$A$2:$A$155,0),MATCH(EDATE($E54,BD$1-1),Raw_매출!$B$1:$BI$1,0))=0,"",INDEX(Raw_매출!$B$2:$BI$155,MATCH($A54,Raw_매출!$A$2:$A$155,0),MATCH(EDATE($E54,BD$1-1),Raw_매출!$B$1:$BI$1,0))/(INDEX(요약_월별시즈널리티!$F$7:$F$18,MONTH(EDATE($E54,BD$1-1)))/100))),"")</f>
        <v/>
      </c>
      <c r="BE54" t="str" cm="1">
        <f t="array" ref="BE54">IFERROR(IF($E54&lt;44348,"",IF(INDEX(Raw_매출!$B$2:$BI$155,MATCH($A54,Raw_매출!$A$2:$A$155,0),MATCH(EDATE($E54,BE$1-1),Raw_매출!$B$1:$BI$1,0))=0,"",INDEX(Raw_매출!$B$2:$BI$155,MATCH($A54,Raw_매출!$A$2:$A$155,0),MATCH(EDATE($E54,BE$1-1),Raw_매출!$B$1:$BI$1,0))/(INDEX(요약_월별시즈널리티!$F$7:$F$18,MONTH(EDATE($E54,BE$1-1)))/100))),"")</f>
        <v/>
      </c>
      <c r="BF54" t="str" cm="1">
        <f t="array" ref="BF54">IFERROR(IF($E54&lt;44348,"",IF(INDEX(Raw_매출!$B$2:$BI$155,MATCH($A54,Raw_매출!$A$2:$A$155,0),MATCH(EDATE($E54,BF$1-1),Raw_매출!$B$1:$BI$1,0))=0,"",INDEX(Raw_매출!$B$2:$BI$155,MATCH($A54,Raw_매출!$A$2:$A$155,0),MATCH(EDATE($E54,BF$1-1),Raw_매출!$B$1:$BI$1,0))/(INDEX(요약_월별시즈널리티!$F$7:$F$18,MONTH(EDATE($E54,BF$1-1)))/100))),"")</f>
        <v/>
      </c>
      <c r="BG54" t="str" cm="1">
        <f t="array" ref="BG54">IFERROR(IF($E54&lt;44348,"",IF(INDEX(Raw_매출!$B$2:$BI$155,MATCH($A54,Raw_매출!$A$2:$A$155,0),MATCH(EDATE($E54,BG$1-1),Raw_매출!$B$1:$BI$1,0))=0,"",INDEX(Raw_매출!$B$2:$BI$155,MATCH($A54,Raw_매출!$A$2:$A$155,0),MATCH(EDATE($E54,BG$1-1),Raw_매출!$B$1:$BI$1,0))/(INDEX(요약_월별시즈널리티!$F$7:$F$18,MONTH(EDATE($E54,BG$1-1)))/100))),"")</f>
        <v/>
      </c>
      <c r="BH54" t="str" cm="1">
        <f t="array" ref="BH54">IFERROR(IF($E54&lt;44348,"",IF(INDEX(Raw_매출!$B$2:$BI$155,MATCH($A54,Raw_매출!$A$2:$A$155,0),MATCH(EDATE($E54,BH$1-1),Raw_매출!$B$1:$BI$1,0))=0,"",INDEX(Raw_매출!$B$2:$BI$155,MATCH($A54,Raw_매출!$A$2:$A$155,0),MATCH(EDATE($E54,BH$1-1),Raw_매출!$B$1:$BI$1,0))/(INDEX(요약_월별시즈널리티!$F$7:$F$18,MONTH(EDATE($E54,BH$1-1)))/100))),"")</f>
        <v/>
      </c>
      <c r="BI54" t="str" cm="1">
        <f t="array" ref="BI54">IFERROR(IF($E54&lt;44348,"",IF(INDEX(Raw_매출!$B$2:$BI$155,MATCH($A54,Raw_매출!$A$2:$A$155,0),MATCH(EDATE($E54,BI$1-1),Raw_매출!$B$1:$BI$1,0))=0,"",INDEX(Raw_매출!$B$2:$BI$155,MATCH($A54,Raw_매출!$A$2:$A$155,0),MATCH(EDATE($E54,BI$1-1),Raw_매출!$B$1:$BI$1,0))/(INDEX(요약_월별시즈널리티!$F$7:$F$18,MONTH(EDATE($E54,BI$1-1)))/100))),"")</f>
        <v/>
      </c>
      <c r="BJ54" t="str" cm="1">
        <f t="array" ref="BJ54">IFERROR(IF($E54&lt;44348,"",IF(INDEX(Raw_매출!$B$2:$BI$155,MATCH($A54,Raw_매출!$A$2:$A$155,0),MATCH(EDATE($E54,BJ$1-1),Raw_매출!$B$1:$BI$1,0))=0,"",INDEX(Raw_매출!$B$2:$BI$155,MATCH($A54,Raw_매출!$A$2:$A$155,0),MATCH(EDATE($E54,BJ$1-1),Raw_매출!$B$1:$BI$1,0))/(INDEX(요약_월별시즈널리티!$F$7:$F$18,MONTH(EDATE($E54,BJ$1-1)))/100))),"")</f>
        <v/>
      </c>
      <c r="BK54" t="str" cm="1">
        <f t="array" ref="BK54">IFERROR(IF($E54&lt;44348,"",IF(INDEX(Raw_매출!$B$2:$BI$155,MATCH($A54,Raw_매출!$A$2:$A$155,0),MATCH(EDATE($E54,BK$1-1),Raw_매출!$B$1:$BI$1,0))=0,"",INDEX(Raw_매출!$B$2:$BI$155,MATCH($A54,Raw_매출!$A$2:$A$155,0),MATCH(EDATE($E54,BK$1-1),Raw_매출!$B$1:$BI$1,0))/(INDEX(요약_월별시즈널리티!$F$7:$F$18,MONTH(EDATE($E54,BK$1-1)))/100))),"")</f>
        <v/>
      </c>
      <c r="BL54" t="str" cm="1">
        <f t="array" ref="BL54">IFERROR(IF($E54&lt;44348,"",IF(INDEX(Raw_매출!$B$2:$BI$155,MATCH($A54,Raw_매출!$A$2:$A$155,0),MATCH(EDATE($E54,BL$1-1),Raw_매출!$B$1:$BI$1,0))=0,"",INDEX(Raw_매출!$B$2:$BI$155,MATCH($A54,Raw_매출!$A$2:$A$155,0),MATCH(EDATE($E54,BL$1-1),Raw_매출!$B$1:$BI$1,0))/(INDEX(요약_월별시즈널리티!$F$7:$F$18,MONTH(EDATE($E54,BL$1-1)))/100))),"")</f>
        <v/>
      </c>
      <c r="BM54" t="str" cm="1">
        <f t="array" ref="BM54">IFERROR(IF($E54&lt;44348,"",IF(INDEX(Raw_매출!$B$2:$BI$155,MATCH($A54,Raw_매출!$A$2:$A$155,0),MATCH(EDATE($E54,BM$1-1),Raw_매출!$B$1:$BI$1,0))=0,"",INDEX(Raw_매출!$B$2:$BI$155,MATCH($A54,Raw_매출!$A$2:$A$155,0),MATCH(EDATE($E54,BM$1-1),Raw_매출!$B$1:$BI$1,0))/(INDEX(요약_월별시즈널리티!$F$7:$F$18,MONTH(EDATE($E54,BM$1-1)))/100))),"")</f>
        <v/>
      </c>
      <c r="BN54" t="str" cm="1">
        <f t="array" ref="BN54">IFERROR(IF($E54&lt;44348,"",IF(INDEX(Raw_매출!$B$2:$BI$155,MATCH($A54,Raw_매출!$A$2:$A$155,0),MATCH(EDATE($E54,BN$1-1),Raw_매출!$B$1:$BI$1,0))=0,"",INDEX(Raw_매출!$B$2:$BI$155,MATCH($A54,Raw_매출!$A$2:$A$155,0),MATCH(EDATE($E54,BN$1-1),Raw_매출!$B$1:$BI$1,0))/(INDEX(요약_월별시즈널리티!$F$7:$F$18,MONTH(EDATE($E54,BN$1-1)))/100))),"")</f>
        <v/>
      </c>
    </row>
    <row r="55" spans="1:66" x14ac:dyDescent="0.4">
      <c r="A55" t="str">
        <f>세팅!A56</f>
        <v>(1044) #정왕역점</v>
      </c>
      <c r="B55" t="str">
        <f>세팅!B56</f>
        <v>150-2</v>
      </c>
      <c r="C55">
        <f t="shared" si="0"/>
        <v>2</v>
      </c>
      <c r="D55" t="str">
        <f t="shared" si="1"/>
        <v>2</v>
      </c>
      <c r="E55" s="1">
        <f>세팅!D56</f>
        <v>44713</v>
      </c>
      <c r="F55">
        <f t="shared" si="2"/>
        <v>4905238.5817883424</v>
      </c>
      <c r="G55" cm="1">
        <f t="array" ref="G55">IFERROR(IF($E55&lt;44348,"",IF(INDEX(Raw_매출!$B$2:$BI$155,MATCH($A55,Raw_매출!$A$2:$A$155,0),MATCH(EDATE($E55,G$1-1),Raw_매출!$B$1:$BI$1,0))=0,"",INDEX(Raw_매출!$B$2:$BI$155,MATCH($A55,Raw_매출!$A$2:$A$155,0),MATCH(EDATE($E55,G$1-1),Raw_매출!$B$1:$BI$1,0))/(INDEX(요약_월별시즈널리티!$F$7:$F$18,MONTH(EDATE($E55,G$1-1)))/100))),"")</f>
        <v>2870962.6584665203</v>
      </c>
      <c r="H55" cm="1">
        <f t="array" ref="H55">IFERROR(IF($E55&lt;44348,"",IF(INDEX(Raw_매출!$B$2:$BI$155,MATCH($A55,Raw_매출!$A$2:$A$155,0),MATCH(EDATE($E55,H$1-1),Raw_매출!$B$1:$BI$1,0))=0,"",INDEX(Raw_매출!$B$2:$BI$155,MATCH($A55,Raw_매출!$A$2:$A$155,0),MATCH(EDATE($E55,H$1-1),Raw_매출!$B$1:$BI$1,0))/(INDEX(요약_월별시즈널리티!$F$7:$F$18,MONTH(EDATE($E55,H$1-1)))/100))),"")</f>
        <v>3736253.7871444589</v>
      </c>
      <c r="I55" cm="1">
        <f t="array" ref="I55">IFERROR(IF($E55&lt;44348,"",IF(INDEX(Raw_매출!$B$2:$BI$155,MATCH($A55,Raw_매출!$A$2:$A$155,0),MATCH(EDATE($E55,I$1-1),Raw_매출!$B$1:$BI$1,0))=0,"",INDEX(Raw_매출!$B$2:$BI$155,MATCH($A55,Raw_매출!$A$2:$A$155,0),MATCH(EDATE($E55,I$1-1),Raw_매출!$B$1:$BI$1,0))/(INDEX(요약_월별시즈널리티!$F$7:$F$18,MONTH(EDATE($E55,I$1-1)))/100))),"")</f>
        <v>4350865.3347560884</v>
      </c>
      <c r="J55" s="30" cm="1">
        <f t="array" ref="J55">IFERROR(IF($E55&lt;44348,"",IF(INDEX(Raw_매출!$B$2:$BI$155,MATCH($A55,Raw_매출!$A$2:$A$155,0),MATCH(EDATE($E55,J$1-1),Raw_매출!$B$1:$BI$1,0))=0,"",INDEX(Raw_매출!$B$2:$BI$155,MATCH($A55,Raw_매출!$A$2:$A$155,0),MATCH(EDATE($E55,J$1-1),Raw_매출!$B$1:$BI$1,0))/(INDEX(요약_월별시즈널리티!$F$7:$F$18,MONTH(EDATE($E55,J$1-1)))/100))),"")</f>
        <v>4339137.6606407659</v>
      </c>
      <c r="K55" s="30" cm="1">
        <f t="array" ref="K55">IFERROR(IF($E55&lt;44348,"",IF(INDEX(Raw_매출!$B$2:$BI$155,MATCH($A55,Raw_매출!$A$2:$A$155,0),MATCH(EDATE($E55,K$1-1),Raw_매출!$B$1:$BI$1,0))=0,"",INDEX(Raw_매출!$B$2:$BI$155,MATCH($A55,Raw_매출!$A$2:$A$155,0),MATCH(EDATE($E55,K$1-1),Raw_매출!$B$1:$BI$1,0))/(INDEX(요약_월별시즈널리티!$F$7:$F$18,MONTH(EDATE($E55,K$1-1)))/100))),"")</f>
        <v>4820295.8980729897</v>
      </c>
      <c r="L55" s="30" cm="1">
        <f t="array" ref="L55">IFERROR(IF($E55&lt;44348,"",IF(INDEX(Raw_매출!$B$2:$BI$155,MATCH($A55,Raw_매출!$A$2:$A$155,0),MATCH(EDATE($E55,L$1-1),Raw_매출!$B$1:$BI$1,0))=0,"",INDEX(Raw_매출!$B$2:$BI$155,MATCH($A55,Raw_매출!$A$2:$A$155,0),MATCH(EDATE($E55,L$1-1),Raw_매출!$B$1:$BI$1,0))/(INDEX(요약_월별시즈널리티!$F$7:$F$18,MONTH(EDATE($E55,L$1-1)))/100))),"")</f>
        <v>4553247.0194001663</v>
      </c>
      <c r="M55" s="30" cm="1">
        <f t="array" ref="M55">IFERROR(IF($E55&lt;44348,"",IF(INDEX(Raw_매출!$B$2:$BI$155,MATCH($A55,Raw_매출!$A$2:$A$155,0),MATCH(EDATE($E55,M$1-1),Raw_매출!$B$1:$BI$1,0))=0,"",INDEX(Raw_매출!$B$2:$BI$155,MATCH($A55,Raw_매출!$A$2:$A$155,0),MATCH(EDATE($E55,M$1-1),Raw_매출!$B$1:$BI$1,0))/(INDEX(요약_월별시즈널리티!$F$7:$F$18,MONTH(EDATE($E55,M$1-1)))/100))),"")</f>
        <v>4966620.0871186508</v>
      </c>
      <c r="N55" s="30" cm="1">
        <f t="array" ref="N55">IFERROR(IF($E55&lt;44348,"",IF(INDEX(Raw_매출!$B$2:$BI$155,MATCH($A55,Raw_매출!$A$2:$A$155,0),MATCH(EDATE($E55,N$1-1),Raw_매출!$B$1:$BI$1,0))=0,"",INDEX(Raw_매출!$B$2:$BI$155,MATCH($A55,Raw_매출!$A$2:$A$155,0),MATCH(EDATE($E55,N$1-1),Raw_매출!$B$1:$BI$1,0))/(INDEX(요약_월별시즈널리티!$F$7:$F$18,MONTH(EDATE($E55,N$1-1)))/100))),"")</f>
        <v>5510801.4370383434</v>
      </c>
      <c r="O55" s="30" cm="1">
        <f t="array" ref="O55">IFERROR(IF($E55&lt;44348,"",IF(INDEX(Raw_매출!$B$2:$BI$155,MATCH($A55,Raw_매출!$A$2:$A$155,0),MATCH(EDATE($E55,O$1-1),Raw_매출!$B$1:$BI$1,0))=0,"",INDEX(Raw_매출!$B$2:$BI$155,MATCH($A55,Raw_매출!$A$2:$A$155,0),MATCH(EDATE($E55,O$1-1),Raw_매출!$B$1:$BI$1,0))/(INDEX(요약_월별시즈널리티!$F$7:$F$18,MONTH(EDATE($E55,O$1-1)))/100))),"")</f>
        <v>5241329.3884591376</v>
      </c>
      <c r="P55" cm="1">
        <f t="array" ref="P55">IFERROR(IF($E55&lt;44348,"",IF(INDEX(Raw_매출!$B$2:$BI$155,MATCH($A55,Raw_매출!$A$2:$A$155,0),MATCH(EDATE($E55,P$1-1),Raw_매출!$B$1:$BI$1,0))=0,"",INDEX(Raw_매출!$B$2:$BI$155,MATCH($A55,Raw_매출!$A$2:$A$155,0),MATCH(EDATE($E55,P$1-1),Raw_매출!$B$1:$BI$1,0))/(INDEX(요약_월별시즈널리티!$F$7:$F$18,MONTH(EDATE($E55,P$1-1)))/100))),"")</f>
        <v>5587846.62119848</v>
      </c>
      <c r="Q55" cm="1">
        <f t="array" ref="Q55">IFERROR(IF($E55&lt;44348,"",IF(INDEX(Raw_매출!$B$2:$BI$155,MATCH($A55,Raw_매출!$A$2:$A$155,0),MATCH(EDATE($E55,Q$1-1),Raw_매출!$B$1:$BI$1,0))=0,"",INDEX(Raw_매출!$B$2:$BI$155,MATCH($A55,Raw_매출!$A$2:$A$155,0),MATCH(EDATE($E55,Q$1-1),Raw_매출!$B$1:$BI$1,0))/(INDEX(요약_월별시즈널리티!$F$7:$F$18,MONTH(EDATE($E55,Q$1-1)))/100))),"")</f>
        <v>6027259.2007139362</v>
      </c>
      <c r="R55" cm="1">
        <f t="array" ref="R55">IFERROR(IF($E55&lt;44348,"",IF(INDEX(Raw_매출!$B$2:$BI$155,MATCH($A55,Raw_매출!$A$2:$A$155,0),MATCH(EDATE($E55,R$1-1),Raw_매출!$B$1:$BI$1,0))=0,"",INDEX(Raw_매출!$B$2:$BI$155,MATCH($A55,Raw_매출!$A$2:$A$155,0),MATCH(EDATE($E55,R$1-1),Raw_매출!$B$1:$BI$1,0))/(INDEX(요약_월별시즈널리티!$F$7:$F$18,MONTH(EDATE($E55,R$1-1)))/100))),"")</f>
        <v>7018234.0181441195</v>
      </c>
      <c r="S55" cm="1">
        <f t="array" ref="S55">IFERROR(IF($E55&lt;44348,"",IF(INDEX(Raw_매출!$B$2:$BI$155,MATCH($A55,Raw_매출!$A$2:$A$155,0),MATCH(EDATE($E55,S$1-1),Raw_매출!$B$1:$BI$1,0))=0,"",INDEX(Raw_매출!$B$2:$BI$155,MATCH($A55,Raw_매출!$A$2:$A$155,0),MATCH(EDATE($E55,S$1-1),Raw_매출!$B$1:$BI$1,0))/(INDEX(요약_월별시즈널리티!$F$7:$F$18,MONTH(EDATE($E55,S$1-1)))/100))),"")</f>
        <v>6912508.2392904656</v>
      </c>
      <c r="T55" cm="1">
        <f t="array" ref="T55">IFERROR(IF($E55&lt;44348,"",IF(INDEX(Raw_매출!$B$2:$BI$155,MATCH($A55,Raw_매출!$A$2:$A$155,0),MATCH(EDATE($E55,T$1-1),Raw_매출!$B$1:$BI$1,0))=0,"",INDEX(Raw_매출!$B$2:$BI$155,MATCH($A55,Raw_매출!$A$2:$A$155,0),MATCH(EDATE($E55,T$1-1),Raw_매출!$B$1:$BI$1,0))/(INDEX(요약_월별시즈널리티!$F$7:$F$18,MONTH(EDATE($E55,T$1-1)))/100))),"")</f>
        <v>7741120.1345332703</v>
      </c>
      <c r="U55" cm="1">
        <f t="array" ref="U55">IFERROR(IF($E55&lt;44348,"",IF(INDEX(Raw_매출!$B$2:$BI$155,MATCH($A55,Raw_매출!$A$2:$A$155,0),MATCH(EDATE($E55,U$1-1),Raw_매출!$B$1:$BI$1,0))=0,"",INDEX(Raw_매출!$B$2:$BI$155,MATCH($A55,Raw_매출!$A$2:$A$155,0),MATCH(EDATE($E55,U$1-1),Raw_매출!$B$1:$BI$1,0))/(INDEX(요약_월별시즈널리티!$F$7:$F$18,MONTH(EDATE($E55,U$1-1)))/100))),"")</f>
        <v>6656264.8962909235</v>
      </c>
      <c r="V55" cm="1">
        <f t="array" ref="V55">IFERROR(IF($E55&lt;44348,"",IF(INDEX(Raw_매출!$B$2:$BI$155,MATCH($A55,Raw_매출!$A$2:$A$155,0),MATCH(EDATE($E55,V$1-1),Raw_매출!$B$1:$BI$1,0))=0,"",INDEX(Raw_매출!$B$2:$BI$155,MATCH($A55,Raw_매출!$A$2:$A$155,0),MATCH(EDATE($E55,V$1-1),Raw_매출!$B$1:$BI$1,0))/(INDEX(요약_월별시즈널리티!$F$7:$F$18,MONTH(EDATE($E55,V$1-1)))/100))),"")</f>
        <v>7029512.8744669901</v>
      </c>
      <c r="W55" cm="1">
        <f t="array" ref="W55">IFERROR(IF($E55&lt;44348,"",IF(INDEX(Raw_매출!$B$2:$BI$155,MATCH($A55,Raw_매출!$A$2:$A$155,0),MATCH(EDATE($E55,W$1-1),Raw_매출!$B$1:$BI$1,0))=0,"",INDEX(Raw_매출!$B$2:$BI$155,MATCH($A55,Raw_매출!$A$2:$A$155,0),MATCH(EDATE($E55,W$1-1),Raw_매출!$B$1:$BI$1,0))/(INDEX(요약_월별시즈널리티!$F$7:$F$18,MONTH(EDATE($E55,W$1-1)))/100))),"")</f>
        <v>6068105.4464183738</v>
      </c>
      <c r="X55" cm="1">
        <f t="array" ref="X55">IFERROR(IF($E55&lt;44348,"",IF(INDEX(Raw_매출!$B$2:$BI$155,MATCH($A55,Raw_매출!$A$2:$A$155,0),MATCH(EDATE($E55,X$1-1),Raw_매출!$B$1:$BI$1,0))=0,"",INDEX(Raw_매출!$B$2:$BI$155,MATCH($A55,Raw_매출!$A$2:$A$155,0),MATCH(EDATE($E55,X$1-1),Raw_매출!$B$1:$BI$1,0))/(INDEX(요약_월별시즈널리티!$F$7:$F$18,MONTH(EDATE($E55,X$1-1)))/100))),"")</f>
        <v>6408739.6028992152</v>
      </c>
      <c r="Y55" cm="1">
        <f t="array" ref="Y55">IFERROR(IF($E55&lt;44348,"",IF(INDEX(Raw_매출!$B$2:$BI$155,MATCH($A55,Raw_매출!$A$2:$A$155,0),MATCH(EDATE($E55,Y$1-1),Raw_매출!$B$1:$BI$1,0))=0,"",INDEX(Raw_매출!$B$2:$BI$155,MATCH($A55,Raw_매출!$A$2:$A$155,0),MATCH(EDATE($E55,Y$1-1),Raw_매출!$B$1:$BI$1,0))/(INDEX(요약_월별시즈널리티!$F$7:$F$18,MONTH(EDATE($E55,Y$1-1)))/100))),"")</f>
        <v>6466061.0884595523</v>
      </c>
      <c r="Z55" cm="1">
        <f t="array" ref="Z55">IFERROR(IF($E55&lt;44348,"",IF(INDEX(Raw_매출!$B$2:$BI$155,MATCH($A55,Raw_매출!$A$2:$A$155,0),MATCH(EDATE($E55,Z$1-1),Raw_매출!$B$1:$BI$1,0))=0,"",INDEX(Raw_매출!$B$2:$BI$155,MATCH($A55,Raw_매출!$A$2:$A$155,0),MATCH(EDATE($E55,Z$1-1),Raw_매출!$B$1:$BI$1,0))/(INDEX(요약_월별시즈널리티!$F$7:$F$18,MONTH(EDATE($E55,Z$1-1)))/100))),"")</f>
        <v>6864965.6813196484</v>
      </c>
      <c r="AA55" cm="1">
        <f t="array" ref="AA55">IFERROR(IF($E55&lt;44348,"",IF(INDEX(Raw_매출!$B$2:$BI$155,MATCH($A55,Raw_매출!$A$2:$A$155,0),MATCH(EDATE($E55,AA$1-1),Raw_매출!$B$1:$BI$1,0))=0,"",INDEX(Raw_매출!$B$2:$BI$155,MATCH($A55,Raw_매출!$A$2:$A$155,0),MATCH(EDATE($E55,AA$1-1),Raw_매출!$B$1:$BI$1,0))/(INDEX(요약_월별시즈널리티!$F$7:$F$18,MONTH(EDATE($E55,AA$1-1)))/100))),"")</f>
        <v>5187584.9407029692</v>
      </c>
      <c r="AB55" cm="1">
        <f t="array" ref="AB55">IFERROR(IF($E55&lt;44348,"",IF(INDEX(Raw_매출!$B$2:$BI$155,MATCH($A55,Raw_매출!$A$2:$A$155,0),MATCH(EDATE($E55,AB$1-1),Raw_매출!$B$1:$BI$1,0))=0,"",INDEX(Raw_매출!$B$2:$BI$155,MATCH($A55,Raw_매출!$A$2:$A$155,0),MATCH(EDATE($E55,AB$1-1),Raw_매출!$B$1:$BI$1,0))/(INDEX(요약_월별시즈널리티!$F$7:$F$18,MONTH(EDATE($E55,AB$1-1)))/100))),"")</f>
        <v>4561723.7684236066</v>
      </c>
      <c r="AC55" cm="1">
        <f t="array" ref="AC55">IFERROR(IF($E55&lt;44348,"",IF(INDEX(Raw_매출!$B$2:$BI$155,MATCH($A55,Raw_매출!$A$2:$A$155,0),MATCH(EDATE($E55,AC$1-1),Raw_매출!$B$1:$BI$1,0))=0,"",INDEX(Raw_매출!$B$2:$BI$155,MATCH($A55,Raw_매출!$A$2:$A$155,0),MATCH(EDATE($E55,AC$1-1),Raw_매출!$B$1:$BI$1,0))/(INDEX(요약_월별시즈널리티!$F$7:$F$18,MONTH(EDATE($E55,AC$1-1)))/100))),"")</f>
        <v>4143029.5599673898</v>
      </c>
      <c r="AD55" cm="1">
        <f t="array" ref="AD55">IFERROR(IF($E55&lt;44348,"",IF(INDEX(Raw_매출!$B$2:$BI$155,MATCH($A55,Raw_매출!$A$2:$A$155,0),MATCH(EDATE($E55,AD$1-1),Raw_매출!$B$1:$BI$1,0))=0,"",INDEX(Raw_매출!$B$2:$BI$155,MATCH($A55,Raw_매출!$A$2:$A$155,0),MATCH(EDATE($E55,AD$1-1),Raw_매출!$B$1:$BI$1,0))/(INDEX(요약_월별시즈널리티!$F$7:$F$18,MONTH(EDATE($E55,AD$1-1)))/100))),"")</f>
        <v>3882867.9372367864</v>
      </c>
      <c r="AE55" cm="1">
        <f t="array" ref="AE55">IFERROR(IF($E55&lt;44348,"",IF(INDEX(Raw_매출!$B$2:$BI$155,MATCH($A55,Raw_매출!$A$2:$A$155,0),MATCH(EDATE($E55,AE$1-1),Raw_매출!$B$1:$BI$1,0))=0,"",INDEX(Raw_매출!$B$2:$BI$155,MATCH($A55,Raw_매출!$A$2:$A$155,0),MATCH(EDATE($E55,AE$1-1),Raw_매출!$B$1:$BI$1,0))/(INDEX(요약_월별시즈널리티!$F$7:$F$18,MONTH(EDATE($E55,AE$1-1)))/100))),"")</f>
        <v>3816161.8146432228</v>
      </c>
      <c r="AF55" cm="1">
        <f t="array" ref="AF55">IFERROR(IF($E55&lt;44348,"",IF(INDEX(Raw_매출!$B$2:$BI$155,MATCH($A55,Raw_매출!$A$2:$A$155,0),MATCH(EDATE($E55,AF$1-1),Raw_매출!$B$1:$BI$1,0))=0,"",INDEX(Raw_매출!$B$2:$BI$155,MATCH($A55,Raw_매출!$A$2:$A$155,0),MATCH(EDATE($E55,AF$1-1),Raw_매출!$B$1:$BI$1,0))/(INDEX(요약_월별시즈널리티!$F$7:$F$18,MONTH(EDATE($E55,AF$1-1)))/100))),"")</f>
        <v>4052593.3674820182</v>
      </c>
      <c r="AG55" cm="1">
        <f t="array" ref="AG55">IFERROR(IF($E55&lt;44348,"",IF(INDEX(Raw_매출!$B$2:$BI$155,MATCH($A55,Raw_매출!$A$2:$A$155,0),MATCH(EDATE($E55,AG$1-1),Raw_매출!$B$1:$BI$1,0))=0,"",INDEX(Raw_매출!$B$2:$BI$155,MATCH($A55,Raw_매출!$A$2:$A$155,0),MATCH(EDATE($E55,AG$1-1),Raw_매출!$B$1:$BI$1,0))/(INDEX(요약_월별시즈널리티!$F$7:$F$18,MONTH(EDATE($E55,AG$1-1)))/100))),"")</f>
        <v>3857642.8088518153</v>
      </c>
      <c r="AH55" cm="1">
        <f t="array" ref="AH55">IFERROR(IF($E55&lt;44348,"",IF(INDEX(Raw_매출!$B$2:$BI$155,MATCH($A55,Raw_매출!$A$2:$A$155,0),MATCH(EDATE($E55,AH$1-1),Raw_매출!$B$1:$BI$1,0))=0,"",INDEX(Raw_매출!$B$2:$BI$155,MATCH($A55,Raw_매출!$A$2:$A$155,0),MATCH(EDATE($E55,AH$1-1),Raw_매출!$B$1:$BI$1,0))/(INDEX(요약_월별시즈널리티!$F$7:$F$18,MONTH(EDATE($E55,AH$1-1)))/100))),"")</f>
        <v>4210696.3893417893</v>
      </c>
      <c r="AI55" cm="1">
        <f t="array" ref="AI55">IFERROR(IF($E55&lt;44348,"",IF(INDEX(Raw_매출!$B$2:$BI$155,MATCH($A55,Raw_매출!$A$2:$A$155,0),MATCH(EDATE($E55,AI$1-1),Raw_매출!$B$1:$BI$1,0))=0,"",INDEX(Raw_매출!$B$2:$BI$155,MATCH($A55,Raw_매출!$A$2:$A$155,0),MATCH(EDATE($E55,AI$1-1),Raw_매출!$B$1:$BI$1,0))/(INDEX(요약_월별시즈널리티!$F$7:$F$18,MONTH(EDATE($E55,AI$1-1)))/100))),"")</f>
        <v>3937555.4216922144</v>
      </c>
      <c r="AJ55" cm="1">
        <f t="array" ref="AJ55">IFERROR(IF($E55&lt;44348,"",IF(INDEX(Raw_매출!$B$2:$BI$155,MATCH($A55,Raw_매출!$A$2:$A$155,0),MATCH(EDATE($E55,AJ$1-1),Raw_매출!$B$1:$BI$1,0))=0,"",INDEX(Raw_매출!$B$2:$BI$155,MATCH($A55,Raw_매출!$A$2:$A$155,0),MATCH(EDATE($E55,AJ$1-1),Raw_매출!$B$1:$BI$1,0))/(INDEX(요약_월별시즈널리티!$F$7:$F$18,MONTH(EDATE($E55,AJ$1-1)))/100))),"")</f>
        <v>3985832.0469899466</v>
      </c>
      <c r="AK55" cm="1">
        <f t="array" ref="AK55">IFERROR(IF($E55&lt;44348,"",IF(INDEX(Raw_매출!$B$2:$BI$155,MATCH($A55,Raw_매출!$A$2:$A$155,0),MATCH(EDATE($E55,AK$1-1),Raw_매출!$B$1:$BI$1,0))=0,"",INDEX(Raw_매출!$B$2:$BI$155,MATCH($A55,Raw_매출!$A$2:$A$155,0),MATCH(EDATE($E55,AK$1-1),Raw_매출!$B$1:$BI$1,0))/(INDEX(요약_월별시즈널리티!$F$7:$F$18,MONTH(EDATE($E55,AK$1-1)))/100))),"")</f>
        <v>4017425.7390257232</v>
      </c>
      <c r="AL55" cm="1">
        <f t="array" ref="AL55">IFERROR(IF($E55&lt;44348,"",IF(INDEX(Raw_매출!$B$2:$BI$155,MATCH($A55,Raw_매출!$A$2:$A$155,0),MATCH(EDATE($E55,AL$1-1),Raw_매출!$B$1:$BI$1,0))=0,"",INDEX(Raw_매출!$B$2:$BI$155,MATCH($A55,Raw_매출!$A$2:$A$155,0),MATCH(EDATE($E55,AL$1-1),Raw_매출!$B$1:$BI$1,0))/(INDEX(요약_월별시즈널리티!$F$7:$F$18,MONTH(EDATE($E55,AL$1-1)))/100))),"")</f>
        <v>4151858.5649784841</v>
      </c>
      <c r="AM55" cm="1">
        <f t="array" ref="AM55">IFERROR(IF($E55&lt;44348,"",IF(INDEX(Raw_매출!$B$2:$BI$155,MATCH($A55,Raw_매출!$A$2:$A$155,0),MATCH(EDATE($E55,AM$1-1),Raw_매출!$B$1:$BI$1,0))=0,"",INDEX(Raw_매출!$B$2:$BI$155,MATCH($A55,Raw_매출!$A$2:$A$155,0),MATCH(EDATE($E55,AM$1-1),Raw_매출!$B$1:$BI$1,0))/(INDEX(요약_월별시즈널리티!$F$7:$F$18,MONTH(EDATE($E55,AM$1-1)))/100))),"")</f>
        <v>3461106.8431477109</v>
      </c>
      <c r="AN55" cm="1">
        <f t="array" ref="AN55">IFERROR(IF($E55&lt;44348,"",IF(INDEX(Raw_매출!$B$2:$BI$155,MATCH($A55,Raw_매출!$A$2:$A$155,0),MATCH(EDATE($E55,AN$1-1),Raw_매출!$B$1:$BI$1,0))=0,"",INDEX(Raw_매출!$B$2:$BI$155,MATCH($A55,Raw_매출!$A$2:$A$155,0),MATCH(EDATE($E55,AN$1-1),Raw_매출!$B$1:$BI$1,0))/(INDEX(요약_월별시즈널리티!$F$7:$F$18,MONTH(EDATE($E55,AN$1-1)))/100))),"")</f>
        <v>3378528.2739688335</v>
      </c>
      <c r="AO55" cm="1">
        <f t="array" ref="AO55">IFERROR(IF($E55&lt;44348,"",IF(INDEX(Raw_매출!$B$2:$BI$155,MATCH($A55,Raw_매출!$A$2:$A$155,0),MATCH(EDATE($E55,AO$1-1),Raw_매출!$B$1:$BI$1,0))=0,"",INDEX(Raw_매출!$B$2:$BI$155,MATCH($A55,Raw_매출!$A$2:$A$155,0),MATCH(EDATE($E55,AO$1-1),Raw_매출!$B$1:$BI$1,0))/(INDEX(요약_월별시즈널리티!$F$7:$F$18,MONTH(EDATE($E55,AO$1-1)))/100))),"")</f>
        <v>3482635.1952628568</v>
      </c>
      <c r="AP55" cm="1">
        <f t="array" ref="AP55">IFERROR(IF($E55&lt;44348,"",IF(INDEX(Raw_매출!$B$2:$BI$155,MATCH($A55,Raw_매출!$A$2:$A$155,0),MATCH(EDATE($E55,AP$1-1),Raw_매출!$B$1:$BI$1,0))=0,"",INDEX(Raw_매출!$B$2:$BI$155,MATCH($A55,Raw_매출!$A$2:$A$155,0),MATCH(EDATE($E55,AP$1-1),Raw_매출!$B$1:$BI$1,0))/(INDEX(요약_월별시즈널리티!$F$7:$F$18,MONTH(EDATE($E55,AP$1-1)))/100))),"")</f>
        <v>3603719.717280231</v>
      </c>
      <c r="AQ55" cm="1">
        <f t="array" ref="AQ55">IFERROR(IF($E55&lt;44348,"",IF(INDEX(Raw_매출!$B$2:$BI$155,MATCH($A55,Raw_매출!$A$2:$A$155,0),MATCH(EDATE($E55,AQ$1-1),Raw_매출!$B$1:$BI$1,0))=0,"",INDEX(Raw_매출!$B$2:$BI$155,MATCH($A55,Raw_매출!$A$2:$A$155,0),MATCH(EDATE($E55,AQ$1-1),Raw_매출!$B$1:$BI$1,0))/(INDEX(요약_월별시즈널리티!$F$7:$F$18,MONTH(EDATE($E55,AQ$1-1)))/100))),"")</f>
        <v>3983394.8957483093</v>
      </c>
      <c r="AR55" cm="1">
        <f t="array" ref="AR55">IFERROR(IF($E55&lt;44348,"",IF(INDEX(Raw_매출!$B$2:$BI$155,MATCH($A55,Raw_매출!$A$2:$A$155,0),MATCH(EDATE($E55,AR$1-1),Raw_매출!$B$1:$BI$1,0))=0,"",INDEX(Raw_매출!$B$2:$BI$155,MATCH($A55,Raw_매출!$A$2:$A$155,0),MATCH(EDATE($E55,AR$1-1),Raw_매출!$B$1:$BI$1,0))/(INDEX(요약_월별시즈널리티!$F$7:$F$18,MONTH(EDATE($E55,AR$1-1)))/100))),"")</f>
        <v>3331510.3149048705</v>
      </c>
      <c r="AS55" cm="1">
        <f t="array" ref="AS55">IFERROR(IF($E55&lt;44348,"",IF(INDEX(Raw_매출!$B$2:$BI$155,MATCH($A55,Raw_매출!$A$2:$A$155,0),MATCH(EDATE($E55,AS$1-1),Raw_매출!$B$1:$BI$1,0))=0,"",INDEX(Raw_매출!$B$2:$BI$155,MATCH($A55,Raw_매출!$A$2:$A$155,0),MATCH(EDATE($E55,AS$1-1),Raw_매출!$B$1:$BI$1,0))/(INDEX(요약_월별시즈널리티!$F$7:$F$18,MONTH(EDATE($E55,AS$1-1)))/100))),"")</f>
        <v>3259584.4048182797</v>
      </c>
      <c r="AT55" cm="1">
        <f t="array" ref="AT55">IFERROR(IF($E55&lt;44348,"",IF(INDEX(Raw_매출!$B$2:$BI$155,MATCH($A55,Raw_매출!$A$2:$A$155,0),MATCH(EDATE($E55,AT$1-1),Raw_매출!$B$1:$BI$1,0))=0,"",INDEX(Raw_매출!$B$2:$BI$155,MATCH($A55,Raw_매출!$A$2:$A$155,0),MATCH(EDATE($E55,AT$1-1),Raw_매출!$B$1:$BI$1,0))/(INDEX(요약_월별시즈널리티!$F$7:$F$18,MONTH(EDATE($E55,AT$1-1)))/100))),"")</f>
        <v>3420832.5091389716</v>
      </c>
      <c r="AU55" cm="1">
        <f t="array" ref="AU55">IFERROR(IF($E55&lt;44348,"",IF(INDEX(Raw_매출!$B$2:$BI$155,MATCH($A55,Raw_매출!$A$2:$A$155,0),MATCH(EDATE($E55,AU$1-1),Raw_매출!$B$1:$BI$1,0))=0,"",INDEX(Raw_매출!$B$2:$BI$155,MATCH($A55,Raw_매출!$A$2:$A$155,0),MATCH(EDATE($E55,AU$1-1),Raw_매출!$B$1:$BI$1,0))/(INDEX(요약_월별시즈널리티!$F$7:$F$18,MONTH(EDATE($E55,AU$1-1)))/100))),"")</f>
        <v>3389951.8137453008</v>
      </c>
      <c r="AV55" cm="1">
        <f t="array" ref="AV55">IFERROR(IF($E55&lt;44348,"",IF(INDEX(Raw_매출!$B$2:$BI$155,MATCH($A55,Raw_매출!$A$2:$A$155,0),MATCH(EDATE($E55,AV$1-1),Raw_매출!$B$1:$BI$1,0))=0,"",INDEX(Raw_매출!$B$2:$BI$155,MATCH($A55,Raw_매출!$A$2:$A$155,0),MATCH(EDATE($E55,AV$1-1),Raw_매출!$B$1:$BI$1,0))/(INDEX(요약_월별시즈널리티!$F$7:$F$18,MONTH(EDATE($E55,AV$1-1)))/100))),"")</f>
        <v>3606963.0908033848</v>
      </c>
      <c r="AW55" cm="1">
        <f t="array" ref="AW55">IFERROR(IF($E55&lt;44348,"",IF(INDEX(Raw_매출!$B$2:$BI$155,MATCH($A55,Raw_매출!$A$2:$A$155,0),MATCH(EDATE($E55,AW$1-1),Raw_매출!$B$1:$BI$1,0))=0,"",INDEX(Raw_매출!$B$2:$BI$155,MATCH($A55,Raw_매출!$A$2:$A$155,0),MATCH(EDATE($E55,AW$1-1),Raw_매출!$B$1:$BI$1,0))/(INDEX(요약_월별시즈널리티!$F$7:$F$18,MONTH(EDATE($E55,AW$1-1)))/100))),"")</f>
        <v>3560083.6527899653</v>
      </c>
      <c r="AX55" cm="1">
        <f t="array" ref="AX55">IFERROR(IF($E55&lt;44348,"",IF(INDEX(Raw_매출!$B$2:$BI$155,MATCH($A55,Raw_매출!$A$2:$A$155,0),MATCH(EDATE($E55,AX$1-1),Raw_매출!$B$1:$BI$1,0))=0,"",INDEX(Raw_매출!$B$2:$BI$155,MATCH($A55,Raw_매출!$A$2:$A$155,0),MATCH(EDATE($E55,AX$1-1),Raw_매출!$B$1:$BI$1,0))/(INDEX(요약_월별시즈널리티!$F$7:$F$18,MONTH(EDATE($E55,AX$1-1)))/100))),"")</f>
        <v>3896943.4900328554</v>
      </c>
      <c r="AY55" cm="1">
        <f t="array" ref="AY55">IFERROR(IF($E55&lt;44348,"",IF(INDEX(Raw_매출!$B$2:$BI$155,MATCH($A55,Raw_매출!$A$2:$A$155,0),MATCH(EDATE($E55,AY$1-1),Raw_매출!$B$1:$BI$1,0))=0,"",INDEX(Raw_매출!$B$2:$BI$155,MATCH($A55,Raw_매출!$A$2:$A$155,0),MATCH(EDATE($E55,AY$1-1),Raw_매출!$B$1:$BI$1,0))/(INDEX(요약_월별시즈널리티!$F$7:$F$18,MONTH(EDATE($E55,AY$1-1)))/100))),"")</f>
        <v>4005207.0900672735</v>
      </c>
      <c r="AZ55" cm="1">
        <f t="array" ref="AZ55">IFERROR(IF($E55&lt;44348,"",IF(INDEX(Raw_매출!$B$2:$BI$155,MATCH($A55,Raw_매출!$A$2:$A$155,0),MATCH(EDATE($E55,AZ$1-1),Raw_매출!$B$1:$BI$1,0))=0,"",INDEX(Raw_매출!$B$2:$BI$155,MATCH($A55,Raw_매출!$A$2:$A$155,0),MATCH(EDATE($E55,AZ$1-1),Raw_매출!$B$1:$BI$1,0))/(INDEX(요약_월별시즈널리티!$F$7:$F$18,MONTH(EDATE($E55,AZ$1-1)))/100))),"")</f>
        <v>3733601.1532115517</v>
      </c>
      <c r="BA55" cm="1">
        <f t="array" ref="BA55">IFERROR(IF($E55&lt;44348,"",IF(INDEX(Raw_매출!$B$2:$BI$155,MATCH($A55,Raw_매출!$A$2:$A$155,0),MATCH(EDATE($E55,BA$1-1),Raw_매출!$B$1:$BI$1,0))=0,"",INDEX(Raw_매출!$B$2:$BI$155,MATCH($A55,Raw_매출!$A$2:$A$155,0),MATCH(EDATE($E55,BA$1-1),Raw_매출!$B$1:$BI$1,0))/(INDEX(요약_월별시즈널리티!$F$7:$F$18,MONTH(EDATE($E55,BA$1-1)))/100))),"")</f>
        <v>3477308.7656956627</v>
      </c>
      <c r="BB55" cm="1">
        <f t="array" ref="BB55">IFERROR(IF($E55&lt;44348,"",IF(INDEX(Raw_매출!$B$2:$BI$155,MATCH($A55,Raw_매출!$A$2:$A$155,0),MATCH(EDATE($E55,BB$1-1),Raw_매출!$B$1:$BI$1,0))=0,"",INDEX(Raw_매출!$B$2:$BI$155,MATCH($A55,Raw_매출!$A$2:$A$155,0),MATCH(EDATE($E55,BB$1-1),Raw_매출!$B$1:$BI$1,0))/(INDEX(요약_월별시즈널리티!$F$7:$F$18,MONTH(EDATE($E55,BB$1-1)))/100))),"")</f>
        <v>3817135.7585600414</v>
      </c>
      <c r="BC55" t="str" cm="1">
        <f t="array" ref="BC55">IFERROR(IF($E55&lt;44348,"",IF(INDEX(Raw_매출!$B$2:$BI$155,MATCH($A55,Raw_매출!$A$2:$A$155,0),MATCH(EDATE($E55,BC$1-1),Raw_매출!$B$1:$BI$1,0))=0,"",INDEX(Raw_매출!$B$2:$BI$155,MATCH($A55,Raw_매출!$A$2:$A$155,0),MATCH(EDATE($E55,BC$1-1),Raw_매출!$B$1:$BI$1,0))/(INDEX(요약_월별시즈널리티!$F$7:$F$18,MONTH(EDATE($E55,BC$1-1)))/100))),"")</f>
        <v/>
      </c>
      <c r="BD55" t="str" cm="1">
        <f t="array" ref="BD55">IFERROR(IF($E55&lt;44348,"",IF(INDEX(Raw_매출!$B$2:$BI$155,MATCH($A55,Raw_매출!$A$2:$A$155,0),MATCH(EDATE($E55,BD$1-1),Raw_매출!$B$1:$BI$1,0))=0,"",INDEX(Raw_매출!$B$2:$BI$155,MATCH($A55,Raw_매출!$A$2:$A$155,0),MATCH(EDATE($E55,BD$1-1),Raw_매출!$B$1:$BI$1,0))/(INDEX(요약_월별시즈널리티!$F$7:$F$18,MONTH(EDATE($E55,BD$1-1)))/100))),"")</f>
        <v/>
      </c>
      <c r="BE55" t="str" cm="1">
        <f t="array" ref="BE55">IFERROR(IF($E55&lt;44348,"",IF(INDEX(Raw_매출!$B$2:$BI$155,MATCH($A55,Raw_매출!$A$2:$A$155,0),MATCH(EDATE($E55,BE$1-1),Raw_매출!$B$1:$BI$1,0))=0,"",INDEX(Raw_매출!$B$2:$BI$155,MATCH($A55,Raw_매출!$A$2:$A$155,0),MATCH(EDATE($E55,BE$1-1),Raw_매출!$B$1:$BI$1,0))/(INDEX(요약_월별시즈널리티!$F$7:$F$18,MONTH(EDATE($E55,BE$1-1)))/100))),"")</f>
        <v/>
      </c>
      <c r="BF55" t="str" cm="1">
        <f t="array" ref="BF55">IFERROR(IF($E55&lt;44348,"",IF(INDEX(Raw_매출!$B$2:$BI$155,MATCH($A55,Raw_매출!$A$2:$A$155,0),MATCH(EDATE($E55,BF$1-1),Raw_매출!$B$1:$BI$1,0))=0,"",INDEX(Raw_매출!$B$2:$BI$155,MATCH($A55,Raw_매출!$A$2:$A$155,0),MATCH(EDATE($E55,BF$1-1),Raw_매출!$B$1:$BI$1,0))/(INDEX(요약_월별시즈널리티!$F$7:$F$18,MONTH(EDATE($E55,BF$1-1)))/100))),"")</f>
        <v/>
      </c>
      <c r="BG55" t="str" cm="1">
        <f t="array" ref="BG55">IFERROR(IF($E55&lt;44348,"",IF(INDEX(Raw_매출!$B$2:$BI$155,MATCH($A55,Raw_매출!$A$2:$A$155,0),MATCH(EDATE($E55,BG$1-1),Raw_매출!$B$1:$BI$1,0))=0,"",INDEX(Raw_매출!$B$2:$BI$155,MATCH($A55,Raw_매출!$A$2:$A$155,0),MATCH(EDATE($E55,BG$1-1),Raw_매출!$B$1:$BI$1,0))/(INDEX(요약_월별시즈널리티!$F$7:$F$18,MONTH(EDATE($E55,BG$1-1)))/100))),"")</f>
        <v/>
      </c>
      <c r="BH55" t="str" cm="1">
        <f t="array" ref="BH55">IFERROR(IF($E55&lt;44348,"",IF(INDEX(Raw_매출!$B$2:$BI$155,MATCH($A55,Raw_매출!$A$2:$A$155,0),MATCH(EDATE($E55,BH$1-1),Raw_매출!$B$1:$BI$1,0))=0,"",INDEX(Raw_매출!$B$2:$BI$155,MATCH($A55,Raw_매출!$A$2:$A$155,0),MATCH(EDATE($E55,BH$1-1),Raw_매출!$B$1:$BI$1,0))/(INDEX(요약_월별시즈널리티!$F$7:$F$18,MONTH(EDATE($E55,BH$1-1)))/100))),"")</f>
        <v/>
      </c>
      <c r="BI55" t="str" cm="1">
        <f t="array" ref="BI55">IFERROR(IF($E55&lt;44348,"",IF(INDEX(Raw_매출!$B$2:$BI$155,MATCH($A55,Raw_매출!$A$2:$A$155,0),MATCH(EDATE($E55,BI$1-1),Raw_매출!$B$1:$BI$1,0))=0,"",INDEX(Raw_매출!$B$2:$BI$155,MATCH($A55,Raw_매출!$A$2:$A$155,0),MATCH(EDATE($E55,BI$1-1),Raw_매출!$B$1:$BI$1,0))/(INDEX(요약_월별시즈널리티!$F$7:$F$18,MONTH(EDATE($E55,BI$1-1)))/100))),"")</f>
        <v/>
      </c>
      <c r="BJ55" t="str" cm="1">
        <f t="array" ref="BJ55">IFERROR(IF($E55&lt;44348,"",IF(INDEX(Raw_매출!$B$2:$BI$155,MATCH($A55,Raw_매출!$A$2:$A$155,0),MATCH(EDATE($E55,BJ$1-1),Raw_매출!$B$1:$BI$1,0))=0,"",INDEX(Raw_매출!$B$2:$BI$155,MATCH($A55,Raw_매출!$A$2:$A$155,0),MATCH(EDATE($E55,BJ$1-1),Raw_매출!$B$1:$BI$1,0))/(INDEX(요약_월별시즈널리티!$F$7:$F$18,MONTH(EDATE($E55,BJ$1-1)))/100))),"")</f>
        <v/>
      </c>
      <c r="BK55" t="str" cm="1">
        <f t="array" ref="BK55">IFERROR(IF($E55&lt;44348,"",IF(INDEX(Raw_매출!$B$2:$BI$155,MATCH($A55,Raw_매출!$A$2:$A$155,0),MATCH(EDATE($E55,BK$1-1),Raw_매출!$B$1:$BI$1,0))=0,"",INDEX(Raw_매출!$B$2:$BI$155,MATCH($A55,Raw_매출!$A$2:$A$155,0),MATCH(EDATE($E55,BK$1-1),Raw_매출!$B$1:$BI$1,0))/(INDEX(요약_월별시즈널리티!$F$7:$F$18,MONTH(EDATE($E55,BK$1-1)))/100))),"")</f>
        <v/>
      </c>
      <c r="BL55" t="str" cm="1">
        <f t="array" ref="BL55">IFERROR(IF($E55&lt;44348,"",IF(INDEX(Raw_매출!$B$2:$BI$155,MATCH($A55,Raw_매출!$A$2:$A$155,0),MATCH(EDATE($E55,BL$1-1),Raw_매출!$B$1:$BI$1,0))=0,"",INDEX(Raw_매출!$B$2:$BI$155,MATCH($A55,Raw_매출!$A$2:$A$155,0),MATCH(EDATE($E55,BL$1-1),Raw_매출!$B$1:$BI$1,0))/(INDEX(요약_월별시즈널리티!$F$7:$F$18,MONTH(EDATE($E55,BL$1-1)))/100))),"")</f>
        <v/>
      </c>
      <c r="BM55" t="str" cm="1">
        <f t="array" ref="BM55">IFERROR(IF($E55&lt;44348,"",IF(INDEX(Raw_매출!$B$2:$BI$155,MATCH($A55,Raw_매출!$A$2:$A$155,0),MATCH(EDATE($E55,BM$1-1),Raw_매출!$B$1:$BI$1,0))=0,"",INDEX(Raw_매출!$B$2:$BI$155,MATCH($A55,Raw_매출!$A$2:$A$155,0),MATCH(EDATE($E55,BM$1-1),Raw_매출!$B$1:$BI$1,0))/(INDEX(요약_월별시즈널리티!$F$7:$F$18,MONTH(EDATE($E55,BM$1-1)))/100))),"")</f>
        <v/>
      </c>
      <c r="BN55" t="str" cm="1">
        <f t="array" ref="BN55">IFERROR(IF($E55&lt;44348,"",IF(INDEX(Raw_매출!$B$2:$BI$155,MATCH($A55,Raw_매출!$A$2:$A$155,0),MATCH(EDATE($E55,BN$1-1),Raw_매출!$B$1:$BI$1,0))=0,"",INDEX(Raw_매출!$B$2:$BI$155,MATCH($A55,Raw_매출!$A$2:$A$155,0),MATCH(EDATE($E55,BN$1-1),Raw_매출!$B$1:$BI$1,0))/(INDEX(요약_월별시즈널리티!$F$7:$F$18,MONTH(EDATE($E55,BN$1-1)))/100))),"")</f>
        <v/>
      </c>
    </row>
    <row r="56" spans="1:66" x14ac:dyDescent="0.4">
      <c r="A56" t="str">
        <f>세팅!A57</f>
        <v>(1045) #병점진안점</v>
      </c>
      <c r="B56" t="str">
        <f>세팅!B57</f>
        <v>150-2</v>
      </c>
      <c r="C56">
        <f t="shared" si="0"/>
        <v>2</v>
      </c>
      <c r="D56" t="str">
        <f t="shared" si="1"/>
        <v>2</v>
      </c>
      <c r="E56" s="1">
        <f>세팅!D57</f>
        <v>44774</v>
      </c>
      <c r="F56">
        <f t="shared" si="2"/>
        <v>3314580.2864709701</v>
      </c>
      <c r="G56" cm="1">
        <f t="array" ref="G56">IFERROR(IF($E56&lt;44348,"",IF(INDEX(Raw_매출!$B$2:$BI$155,MATCH($A56,Raw_매출!$A$2:$A$155,0),MATCH(EDATE($E56,G$1-1),Raw_매출!$B$1:$BI$1,0))=0,"",INDEX(Raw_매출!$B$2:$BI$155,MATCH($A56,Raw_매출!$A$2:$A$155,0),MATCH(EDATE($E56,G$1-1),Raw_매출!$B$1:$BI$1,0))/(INDEX(요약_월별시즈널리티!$F$7:$F$18,MONTH(EDATE($E56,G$1-1)))/100))),"")</f>
        <v>1907242.7351755211</v>
      </c>
      <c r="H56" cm="1">
        <f t="array" ref="H56">IFERROR(IF($E56&lt;44348,"",IF(INDEX(Raw_매출!$B$2:$BI$155,MATCH($A56,Raw_매출!$A$2:$A$155,0),MATCH(EDATE($E56,H$1-1),Raw_매출!$B$1:$BI$1,0))=0,"",INDEX(Raw_매출!$B$2:$BI$155,MATCH($A56,Raw_매출!$A$2:$A$155,0),MATCH(EDATE($E56,H$1-1),Raw_매출!$B$1:$BI$1,0))/(INDEX(요약_월별시즈널리티!$F$7:$F$18,MONTH(EDATE($E56,H$1-1)))/100))),"")</f>
        <v>2088518.9923272885</v>
      </c>
      <c r="I56" cm="1">
        <f t="array" ref="I56">IFERROR(IF($E56&lt;44348,"",IF(INDEX(Raw_매출!$B$2:$BI$155,MATCH($A56,Raw_매출!$A$2:$A$155,0),MATCH(EDATE($E56,I$1-1),Raw_매출!$B$1:$BI$1,0))=0,"",INDEX(Raw_매출!$B$2:$BI$155,MATCH($A56,Raw_매출!$A$2:$A$155,0),MATCH(EDATE($E56,I$1-1),Raw_매출!$B$1:$BI$1,0))/(INDEX(요약_월별시즈널리티!$F$7:$F$18,MONTH(EDATE($E56,I$1-1)))/100))),"")</f>
        <v>2617337.6237652241</v>
      </c>
      <c r="J56" s="30" cm="1">
        <f t="array" ref="J56">IFERROR(IF($E56&lt;44348,"",IF(INDEX(Raw_매출!$B$2:$BI$155,MATCH($A56,Raw_매출!$A$2:$A$155,0),MATCH(EDATE($E56,J$1-1),Raw_매출!$B$1:$BI$1,0))=0,"",INDEX(Raw_매출!$B$2:$BI$155,MATCH($A56,Raw_매출!$A$2:$A$155,0),MATCH(EDATE($E56,J$1-1),Raw_매출!$B$1:$BI$1,0))/(INDEX(요약_월별시즈널리티!$F$7:$F$18,MONTH(EDATE($E56,J$1-1)))/100))),"")</f>
        <v>2321046.6031812052</v>
      </c>
      <c r="K56" s="30" cm="1">
        <f t="array" ref="K56">IFERROR(IF($E56&lt;44348,"",IF(INDEX(Raw_매출!$B$2:$BI$155,MATCH($A56,Raw_매출!$A$2:$A$155,0),MATCH(EDATE($E56,K$1-1),Raw_매출!$B$1:$BI$1,0))=0,"",INDEX(Raw_매출!$B$2:$BI$155,MATCH($A56,Raw_매출!$A$2:$A$155,0),MATCH(EDATE($E56,K$1-1),Raw_매출!$B$1:$BI$1,0))/(INDEX(요약_월별시즈널리티!$F$7:$F$18,MONTH(EDATE($E56,K$1-1)))/100))),"")</f>
        <v>2921267.9789903471</v>
      </c>
      <c r="L56" s="30" cm="1">
        <f t="array" ref="L56">IFERROR(IF($E56&lt;44348,"",IF(INDEX(Raw_매출!$B$2:$BI$155,MATCH($A56,Raw_매출!$A$2:$A$155,0),MATCH(EDATE($E56,L$1-1),Raw_매출!$B$1:$BI$1,0))=0,"",INDEX(Raw_매출!$B$2:$BI$155,MATCH($A56,Raw_매출!$A$2:$A$155,0),MATCH(EDATE($E56,L$1-1),Raw_매출!$B$1:$BI$1,0))/(INDEX(요약_월별시즈널리티!$F$7:$F$18,MONTH(EDATE($E56,L$1-1)))/100))),"")</f>
        <v>3432713.5330353403</v>
      </c>
      <c r="M56" s="30" cm="1">
        <f t="array" ref="M56">IFERROR(IF($E56&lt;44348,"",IF(INDEX(Raw_매출!$B$2:$BI$155,MATCH($A56,Raw_매출!$A$2:$A$155,0),MATCH(EDATE($E56,M$1-1),Raw_매출!$B$1:$BI$1,0))=0,"",INDEX(Raw_매출!$B$2:$BI$155,MATCH($A56,Raw_매출!$A$2:$A$155,0),MATCH(EDATE($E56,M$1-1),Raw_매출!$B$1:$BI$1,0))/(INDEX(요약_월별시즈널리티!$F$7:$F$18,MONTH(EDATE($E56,M$1-1)))/100))),"")</f>
        <v>3598386.5351977372</v>
      </c>
      <c r="N56" s="30" cm="1">
        <f t="array" ref="N56">IFERROR(IF($E56&lt;44348,"",IF(INDEX(Raw_매출!$B$2:$BI$155,MATCH($A56,Raw_매출!$A$2:$A$155,0),MATCH(EDATE($E56,N$1-1),Raw_매출!$B$1:$BI$1,0))=0,"",INDEX(Raw_매출!$B$2:$BI$155,MATCH($A56,Raw_매출!$A$2:$A$155,0),MATCH(EDATE($E56,N$1-1),Raw_매출!$B$1:$BI$1,0))/(INDEX(요약_월별시즈널리티!$F$7:$F$18,MONTH(EDATE($E56,N$1-1)))/100))),"")</f>
        <v>3637379.624042511</v>
      </c>
      <c r="O56" s="30" cm="1">
        <f t="array" ref="O56">IFERROR(IF($E56&lt;44348,"",IF(INDEX(Raw_매출!$B$2:$BI$155,MATCH($A56,Raw_매출!$A$2:$A$155,0),MATCH(EDATE($E56,O$1-1),Raw_매출!$B$1:$BI$1,0))=0,"",INDEX(Raw_매출!$B$2:$BI$155,MATCH($A56,Raw_매출!$A$2:$A$155,0),MATCH(EDATE($E56,O$1-1),Raw_매출!$B$1:$BI$1,0))/(INDEX(요약_월별시즈널리티!$F$7:$F$18,MONTH(EDATE($E56,O$1-1)))/100))),"")</f>
        <v>3976687.4443786819</v>
      </c>
      <c r="P56" cm="1">
        <f t="array" ref="P56">IFERROR(IF($E56&lt;44348,"",IF(INDEX(Raw_매출!$B$2:$BI$155,MATCH($A56,Raw_매출!$A$2:$A$155,0),MATCH(EDATE($E56,P$1-1),Raw_매출!$B$1:$BI$1,0))=0,"",INDEX(Raw_매출!$B$2:$BI$155,MATCH($A56,Raw_매출!$A$2:$A$155,0),MATCH(EDATE($E56,P$1-1),Raw_매출!$B$1:$BI$1,0))/(INDEX(요약_월별시즈널리티!$F$7:$F$18,MONTH(EDATE($E56,P$1-1)))/100))),"")</f>
        <v>3547601.5578064234</v>
      </c>
      <c r="Q56" cm="1">
        <f t="array" ref="Q56">IFERROR(IF($E56&lt;44348,"",IF(INDEX(Raw_매출!$B$2:$BI$155,MATCH($A56,Raw_매출!$A$2:$A$155,0),MATCH(EDATE($E56,Q$1-1),Raw_매출!$B$1:$BI$1,0))=0,"",INDEX(Raw_매출!$B$2:$BI$155,MATCH($A56,Raw_매출!$A$2:$A$155,0),MATCH(EDATE($E56,Q$1-1),Raw_매출!$B$1:$BI$1,0))/(INDEX(요약_월별시즈널리티!$F$7:$F$18,MONTH(EDATE($E56,Q$1-1)))/100))),"")</f>
        <v>2824837.1108768284</v>
      </c>
      <c r="R56" cm="1">
        <f t="array" ref="R56">IFERROR(IF($E56&lt;44348,"",IF(INDEX(Raw_매출!$B$2:$BI$155,MATCH($A56,Raw_매출!$A$2:$A$155,0),MATCH(EDATE($E56,R$1-1),Raw_매출!$B$1:$BI$1,0))=0,"",INDEX(Raw_매출!$B$2:$BI$155,MATCH($A56,Raw_매출!$A$2:$A$155,0),MATCH(EDATE($E56,R$1-1),Raw_매출!$B$1:$BI$1,0))/(INDEX(요약_월별시즈널리티!$F$7:$F$18,MONTH(EDATE($E56,R$1-1)))/100))),"")</f>
        <v>3521252.9236100889</v>
      </c>
      <c r="S56" cm="1">
        <f t="array" ref="S56">IFERROR(IF($E56&lt;44348,"",IF(INDEX(Raw_매출!$B$2:$BI$155,MATCH($A56,Raw_매출!$A$2:$A$155,0),MATCH(EDATE($E56,S$1-1),Raw_매출!$B$1:$BI$1,0))=0,"",INDEX(Raw_매출!$B$2:$BI$155,MATCH($A56,Raw_매출!$A$2:$A$155,0),MATCH(EDATE($E56,S$1-1),Raw_매출!$B$1:$BI$1,0))/(INDEX(요약_월별시즈널리티!$F$7:$F$18,MONTH(EDATE($E56,S$1-1)))/100))),"")</f>
        <v>2983971.2927986956</v>
      </c>
      <c r="T56" cm="1">
        <f t="array" ref="T56">IFERROR(IF($E56&lt;44348,"",IF(INDEX(Raw_매출!$B$2:$BI$155,MATCH($A56,Raw_매출!$A$2:$A$155,0),MATCH(EDATE($E56,T$1-1),Raw_매출!$B$1:$BI$1,0))=0,"",INDEX(Raw_매출!$B$2:$BI$155,MATCH($A56,Raw_매출!$A$2:$A$155,0),MATCH(EDATE($E56,T$1-1),Raw_매출!$B$1:$BI$1,0))/(INDEX(요약_월별시즈널리티!$F$7:$F$18,MONTH(EDATE($E56,T$1-1)))/100))),"")</f>
        <v>3338873.7943427507</v>
      </c>
      <c r="U56" cm="1">
        <f t="array" ref="U56">IFERROR(IF($E56&lt;44348,"",IF(INDEX(Raw_매출!$B$2:$BI$155,MATCH($A56,Raw_매출!$A$2:$A$155,0),MATCH(EDATE($E56,U$1-1),Raw_매출!$B$1:$BI$1,0))=0,"",INDEX(Raw_매출!$B$2:$BI$155,MATCH($A56,Raw_매출!$A$2:$A$155,0),MATCH(EDATE($E56,U$1-1),Raw_매출!$B$1:$BI$1,0))/(INDEX(요약_월별시즈널리티!$F$7:$F$18,MONTH(EDATE($E56,U$1-1)))/100))),"")</f>
        <v>2998843.4548941166</v>
      </c>
      <c r="V56" cm="1">
        <f t="array" ref="V56">IFERROR(IF($E56&lt;44348,"",IF(INDEX(Raw_매출!$B$2:$BI$155,MATCH($A56,Raw_매출!$A$2:$A$155,0),MATCH(EDATE($E56,V$1-1),Raw_매출!$B$1:$BI$1,0))=0,"",INDEX(Raw_매출!$B$2:$BI$155,MATCH($A56,Raw_매출!$A$2:$A$155,0),MATCH(EDATE($E56,V$1-1),Raw_매출!$B$1:$BI$1,0))/(INDEX(요약_월별시즈널리티!$F$7:$F$18,MONTH(EDATE($E56,V$1-1)))/100))),"")</f>
        <v>3771880.823791679</v>
      </c>
      <c r="W56" cm="1">
        <f t="array" ref="W56">IFERROR(IF($E56&lt;44348,"",IF(INDEX(Raw_매출!$B$2:$BI$155,MATCH($A56,Raw_매출!$A$2:$A$155,0),MATCH(EDATE($E56,W$1-1),Raw_매출!$B$1:$BI$1,0))=0,"",INDEX(Raw_매출!$B$2:$BI$155,MATCH($A56,Raw_매출!$A$2:$A$155,0),MATCH(EDATE($E56,W$1-1),Raw_매출!$B$1:$BI$1,0))/(INDEX(요약_월별시즈널리티!$F$7:$F$18,MONTH(EDATE($E56,W$1-1)))/100))),"")</f>
        <v>4451193.2913821312</v>
      </c>
      <c r="X56" cm="1">
        <f t="array" ref="X56">IFERROR(IF($E56&lt;44348,"",IF(INDEX(Raw_매출!$B$2:$BI$155,MATCH($A56,Raw_매출!$A$2:$A$155,0),MATCH(EDATE($E56,X$1-1),Raw_매출!$B$1:$BI$1,0))=0,"",INDEX(Raw_매출!$B$2:$BI$155,MATCH($A56,Raw_매출!$A$2:$A$155,0),MATCH(EDATE($E56,X$1-1),Raw_매출!$B$1:$BI$1,0))/(INDEX(요약_월별시즈널리티!$F$7:$F$18,MONTH(EDATE($E56,X$1-1)))/100))),"")</f>
        <v>4839047.2102369983</v>
      </c>
      <c r="Y56" cm="1">
        <f t="array" ref="Y56">IFERROR(IF($E56&lt;44348,"",IF(INDEX(Raw_매출!$B$2:$BI$155,MATCH($A56,Raw_매출!$A$2:$A$155,0),MATCH(EDATE($E56,Y$1-1),Raw_매출!$B$1:$BI$1,0))=0,"",INDEX(Raw_매출!$B$2:$BI$155,MATCH($A56,Raw_매출!$A$2:$A$155,0),MATCH(EDATE($E56,Y$1-1),Raw_매출!$B$1:$BI$1,0))/(INDEX(요약_월별시즈널리티!$F$7:$F$18,MONTH(EDATE($E56,Y$1-1)))/100))),"")</f>
        <v>3854058.2458258653</v>
      </c>
      <c r="Z56" cm="1">
        <f t="array" ref="Z56">IFERROR(IF($E56&lt;44348,"",IF(INDEX(Raw_매출!$B$2:$BI$155,MATCH($A56,Raw_매출!$A$2:$A$155,0),MATCH(EDATE($E56,Z$1-1),Raw_매출!$B$1:$BI$1,0))=0,"",INDEX(Raw_매출!$B$2:$BI$155,MATCH($A56,Raw_매출!$A$2:$A$155,0),MATCH(EDATE($E56,Z$1-1),Raw_매출!$B$1:$BI$1,0))/(INDEX(요약_월별시즈널리티!$F$7:$F$18,MONTH(EDATE($E56,Z$1-1)))/100))),"")</f>
        <v>4527557.407264119</v>
      </c>
      <c r="AA56" cm="1">
        <f t="array" ref="AA56">IFERROR(IF($E56&lt;44348,"",IF(INDEX(Raw_매출!$B$2:$BI$155,MATCH($A56,Raw_매출!$A$2:$A$155,0),MATCH(EDATE($E56,AA$1-1),Raw_매출!$B$1:$BI$1,0))=0,"",INDEX(Raw_매출!$B$2:$BI$155,MATCH($A56,Raw_매출!$A$2:$A$155,0),MATCH(EDATE($E56,AA$1-1),Raw_매출!$B$1:$BI$1,0))/(INDEX(요약_월별시즈널리티!$F$7:$F$18,MONTH(EDATE($E56,AA$1-1)))/100))),"")</f>
        <v>3957516.4430181594</v>
      </c>
      <c r="AB56" cm="1">
        <f t="array" ref="AB56">IFERROR(IF($E56&lt;44348,"",IF(INDEX(Raw_매출!$B$2:$BI$155,MATCH($A56,Raw_매출!$A$2:$A$155,0),MATCH(EDATE($E56,AB$1-1),Raw_매출!$B$1:$BI$1,0))=0,"",INDEX(Raw_매출!$B$2:$BI$155,MATCH($A56,Raw_매출!$A$2:$A$155,0),MATCH(EDATE($E56,AB$1-1),Raw_매출!$B$1:$BI$1,0))/(INDEX(요약_월별시즈널리티!$F$7:$F$18,MONTH(EDATE($E56,AB$1-1)))/100))),"")</f>
        <v>3703248.0681007663</v>
      </c>
      <c r="AC56" cm="1">
        <f t="array" ref="AC56">IFERROR(IF($E56&lt;44348,"",IF(INDEX(Raw_매출!$B$2:$BI$155,MATCH($A56,Raw_매출!$A$2:$A$155,0),MATCH(EDATE($E56,AC$1-1),Raw_매출!$B$1:$BI$1,0))=0,"",INDEX(Raw_매출!$B$2:$BI$155,MATCH($A56,Raw_매출!$A$2:$A$155,0),MATCH(EDATE($E56,AC$1-1),Raw_매출!$B$1:$BI$1,0))/(INDEX(요약_월별시즈널리티!$F$7:$F$18,MONTH(EDATE($E56,AC$1-1)))/100))),"")</f>
        <v>4090589.8511043997</v>
      </c>
      <c r="AD56" cm="1">
        <f t="array" ref="AD56">IFERROR(IF($E56&lt;44348,"",IF(INDEX(Raw_매출!$B$2:$BI$155,MATCH($A56,Raw_매출!$A$2:$A$155,0),MATCH(EDATE($E56,AD$1-1),Raw_매출!$B$1:$BI$1,0))=0,"",INDEX(Raw_매출!$B$2:$BI$155,MATCH($A56,Raw_매출!$A$2:$A$155,0),MATCH(EDATE($E56,AD$1-1),Raw_매출!$B$1:$BI$1,0))/(INDEX(요약_월별시즈널리티!$F$7:$F$18,MONTH(EDATE($E56,AD$1-1)))/100))),"")</f>
        <v>3799246.5754740434</v>
      </c>
      <c r="AE56" cm="1">
        <f t="array" ref="AE56">IFERROR(IF($E56&lt;44348,"",IF(INDEX(Raw_매출!$B$2:$BI$155,MATCH($A56,Raw_매출!$A$2:$A$155,0),MATCH(EDATE($E56,AE$1-1),Raw_매출!$B$1:$BI$1,0))=0,"",INDEX(Raw_매출!$B$2:$BI$155,MATCH($A56,Raw_매출!$A$2:$A$155,0),MATCH(EDATE($E56,AE$1-1),Raw_매출!$B$1:$BI$1,0))/(INDEX(요약_월별시즈널리티!$F$7:$F$18,MONTH(EDATE($E56,AE$1-1)))/100))),"")</f>
        <v>3208871.5922066765</v>
      </c>
      <c r="AF56" cm="1">
        <f t="array" ref="AF56">IFERROR(IF($E56&lt;44348,"",IF(INDEX(Raw_매출!$B$2:$BI$155,MATCH($A56,Raw_매출!$A$2:$A$155,0),MATCH(EDATE($E56,AF$1-1),Raw_매출!$B$1:$BI$1,0))=0,"",INDEX(Raw_매출!$B$2:$BI$155,MATCH($A56,Raw_매출!$A$2:$A$155,0),MATCH(EDATE($E56,AF$1-1),Raw_매출!$B$1:$BI$1,0))/(INDEX(요약_월별시즈널리티!$F$7:$F$18,MONTH(EDATE($E56,AF$1-1)))/100))),"")</f>
        <v>3203541.0395914963</v>
      </c>
      <c r="AG56" cm="1">
        <f t="array" ref="AG56">IFERROR(IF($E56&lt;44348,"",IF(INDEX(Raw_매출!$B$2:$BI$155,MATCH($A56,Raw_매출!$A$2:$A$155,0),MATCH(EDATE($E56,AG$1-1),Raw_매출!$B$1:$BI$1,0))=0,"",INDEX(Raw_매출!$B$2:$BI$155,MATCH($A56,Raw_매출!$A$2:$A$155,0),MATCH(EDATE($E56,AG$1-1),Raw_매출!$B$1:$BI$1,0))/(INDEX(요약_월별시즈널리티!$F$7:$F$18,MONTH(EDATE($E56,AG$1-1)))/100))),"")</f>
        <v>3156290.3058361993</v>
      </c>
      <c r="AH56" cm="1">
        <f t="array" ref="AH56">IFERROR(IF($E56&lt;44348,"",IF(INDEX(Raw_매출!$B$2:$BI$155,MATCH($A56,Raw_매출!$A$2:$A$155,0),MATCH(EDATE($E56,AH$1-1),Raw_매출!$B$1:$BI$1,0))=0,"",INDEX(Raw_매출!$B$2:$BI$155,MATCH($A56,Raw_매출!$A$2:$A$155,0),MATCH(EDATE($E56,AH$1-1),Raw_매출!$B$1:$BI$1,0))/(INDEX(요약_월별시즈널리티!$F$7:$F$18,MONTH(EDATE($E56,AH$1-1)))/100))),"")</f>
        <v>3148997.0157374637</v>
      </c>
      <c r="AI56" cm="1">
        <f t="array" ref="AI56">IFERROR(IF($E56&lt;44348,"",IF(INDEX(Raw_매출!$B$2:$BI$155,MATCH($A56,Raw_매출!$A$2:$A$155,0),MATCH(EDATE($E56,AI$1-1),Raw_매출!$B$1:$BI$1,0))=0,"",INDEX(Raw_매출!$B$2:$BI$155,MATCH($A56,Raw_매출!$A$2:$A$155,0),MATCH(EDATE($E56,AI$1-1),Raw_매출!$B$1:$BI$1,0))/(INDEX(요약_월별시즈널리티!$F$7:$F$18,MONTH(EDATE($E56,AI$1-1)))/100))),"")</f>
        <v>3130206.4791771937</v>
      </c>
      <c r="AJ56" cm="1">
        <f t="array" ref="AJ56">IFERROR(IF($E56&lt;44348,"",IF(INDEX(Raw_매출!$B$2:$BI$155,MATCH($A56,Raw_매출!$A$2:$A$155,0),MATCH(EDATE($E56,AJ$1-1),Raw_매출!$B$1:$BI$1,0))=0,"",INDEX(Raw_매출!$B$2:$BI$155,MATCH($A56,Raw_매출!$A$2:$A$155,0),MATCH(EDATE($E56,AJ$1-1),Raw_매출!$B$1:$BI$1,0))/(INDEX(요약_월별시즈널리티!$F$7:$F$18,MONTH(EDATE($E56,AJ$1-1)))/100))),"")</f>
        <v>3386234.5120443921</v>
      </c>
      <c r="AK56" cm="1">
        <f t="array" ref="AK56">IFERROR(IF($E56&lt;44348,"",IF(INDEX(Raw_매출!$B$2:$BI$155,MATCH($A56,Raw_매출!$A$2:$A$155,0),MATCH(EDATE($E56,AK$1-1),Raw_매출!$B$1:$BI$1,0))=0,"",INDEX(Raw_매출!$B$2:$BI$155,MATCH($A56,Raw_매출!$A$2:$A$155,0),MATCH(EDATE($E56,AK$1-1),Raw_매출!$B$1:$BI$1,0))/(INDEX(요약_월별시즈널리티!$F$7:$F$18,MONTH(EDATE($E56,AK$1-1)))/100))),"")</f>
        <v>3426950.0517371129</v>
      </c>
      <c r="AL56" cm="1">
        <f t="array" ref="AL56">IFERROR(IF($E56&lt;44348,"",IF(INDEX(Raw_매출!$B$2:$BI$155,MATCH($A56,Raw_매출!$A$2:$A$155,0),MATCH(EDATE($E56,AL$1-1),Raw_매출!$B$1:$BI$1,0))=0,"",INDEX(Raw_매출!$B$2:$BI$155,MATCH($A56,Raw_매출!$A$2:$A$155,0),MATCH(EDATE($E56,AL$1-1),Raw_매출!$B$1:$BI$1,0))/(INDEX(요약_월별시즈널리티!$F$7:$F$18,MONTH(EDATE($E56,AL$1-1)))/100))),"")</f>
        <v>3615253.817869951</v>
      </c>
      <c r="AM56" cm="1">
        <f t="array" ref="AM56">IFERROR(IF($E56&lt;44348,"",IF(INDEX(Raw_매출!$B$2:$BI$155,MATCH($A56,Raw_매출!$A$2:$A$155,0),MATCH(EDATE($E56,AM$1-1),Raw_매출!$B$1:$BI$1,0))=0,"",INDEX(Raw_매출!$B$2:$BI$155,MATCH($A56,Raw_매출!$A$2:$A$155,0),MATCH(EDATE($E56,AM$1-1),Raw_매출!$B$1:$BI$1,0))/(INDEX(요약_월별시즈널리티!$F$7:$F$18,MONTH(EDATE($E56,AM$1-1)))/100))),"")</f>
        <v>3725837.4822521028</v>
      </c>
      <c r="AN56" cm="1">
        <f t="array" ref="AN56">IFERROR(IF($E56&lt;44348,"",IF(INDEX(Raw_매출!$B$2:$BI$155,MATCH($A56,Raw_매출!$A$2:$A$155,0),MATCH(EDATE($E56,AN$1-1),Raw_매출!$B$1:$BI$1,0))=0,"",INDEX(Raw_매출!$B$2:$BI$155,MATCH($A56,Raw_매출!$A$2:$A$155,0),MATCH(EDATE($E56,AN$1-1),Raw_매출!$B$1:$BI$1,0))/(INDEX(요약_월별시즈널리티!$F$7:$F$18,MONTH(EDATE($E56,AN$1-1)))/100))),"")</f>
        <v>3699641.6245695557</v>
      </c>
      <c r="AO56" cm="1">
        <f t="array" ref="AO56">IFERROR(IF($E56&lt;44348,"",IF(INDEX(Raw_매출!$B$2:$BI$155,MATCH($A56,Raw_매출!$A$2:$A$155,0),MATCH(EDATE($E56,AO$1-1),Raw_매출!$B$1:$BI$1,0))=0,"",INDEX(Raw_매출!$B$2:$BI$155,MATCH($A56,Raw_매출!$A$2:$A$155,0),MATCH(EDATE($E56,AO$1-1),Raw_매출!$B$1:$BI$1,0))/(INDEX(요약_월별시즈널리티!$F$7:$F$18,MONTH(EDATE($E56,AO$1-1)))/100))),"")</f>
        <v>3372496.5074959691</v>
      </c>
      <c r="AP56" cm="1">
        <f t="array" ref="AP56">IFERROR(IF($E56&lt;44348,"",IF(INDEX(Raw_매출!$B$2:$BI$155,MATCH($A56,Raw_매출!$A$2:$A$155,0),MATCH(EDATE($E56,AP$1-1),Raw_매출!$B$1:$BI$1,0))=0,"",INDEX(Raw_매출!$B$2:$BI$155,MATCH($A56,Raw_매출!$A$2:$A$155,0),MATCH(EDATE($E56,AP$1-1),Raw_매출!$B$1:$BI$1,0))/(INDEX(요약_월별시즈널리티!$F$7:$F$18,MONTH(EDATE($E56,AP$1-1)))/100))),"")</f>
        <v>3257588.8414298436</v>
      </c>
      <c r="AQ56" cm="1">
        <f t="array" ref="AQ56">IFERROR(IF($E56&lt;44348,"",IF(INDEX(Raw_매출!$B$2:$BI$155,MATCH($A56,Raw_매출!$A$2:$A$155,0),MATCH(EDATE($E56,AQ$1-1),Raw_매출!$B$1:$BI$1,0))=0,"",INDEX(Raw_매출!$B$2:$BI$155,MATCH($A56,Raw_매출!$A$2:$A$155,0),MATCH(EDATE($E56,AQ$1-1),Raw_매출!$B$1:$BI$1,0))/(INDEX(요약_월별시즈널리티!$F$7:$F$18,MONTH(EDATE($E56,AQ$1-1)))/100))),"")</f>
        <v>3670921.662667952</v>
      </c>
      <c r="AR56" cm="1">
        <f t="array" ref="AR56">IFERROR(IF($E56&lt;44348,"",IF(INDEX(Raw_매출!$B$2:$BI$155,MATCH($A56,Raw_매출!$A$2:$A$155,0),MATCH(EDATE($E56,AR$1-1),Raw_매출!$B$1:$BI$1,0))=0,"",INDEX(Raw_매출!$B$2:$BI$155,MATCH($A56,Raw_매출!$A$2:$A$155,0),MATCH(EDATE($E56,AR$1-1),Raw_매출!$B$1:$BI$1,0))/(INDEX(요약_월별시즈널리티!$F$7:$F$18,MONTH(EDATE($E56,AR$1-1)))/100))),"")</f>
        <v>3660476.3554490521</v>
      </c>
      <c r="AS56" cm="1">
        <f t="array" ref="AS56">IFERROR(IF($E56&lt;44348,"",IF(INDEX(Raw_매출!$B$2:$BI$155,MATCH($A56,Raw_매출!$A$2:$A$155,0),MATCH(EDATE($E56,AS$1-1),Raw_매출!$B$1:$BI$1,0))=0,"",INDEX(Raw_매출!$B$2:$BI$155,MATCH($A56,Raw_매출!$A$2:$A$155,0),MATCH(EDATE($E56,AS$1-1),Raw_매출!$B$1:$BI$1,0))/(INDEX(요약_월별시즈널리티!$F$7:$F$18,MONTH(EDATE($E56,AS$1-1)))/100))),"")</f>
        <v>3665397.2936351858</v>
      </c>
      <c r="AT56" cm="1">
        <f t="array" ref="AT56">IFERROR(IF($E56&lt;44348,"",IF(INDEX(Raw_매출!$B$2:$BI$155,MATCH($A56,Raw_매출!$A$2:$A$155,0),MATCH(EDATE($E56,AT$1-1),Raw_매출!$B$1:$BI$1,0))=0,"",INDEX(Raw_매출!$B$2:$BI$155,MATCH($A56,Raw_매출!$A$2:$A$155,0),MATCH(EDATE($E56,AT$1-1),Raw_매출!$B$1:$BI$1,0))/(INDEX(요약_월별시즈널리티!$F$7:$F$18,MONTH(EDATE($E56,AT$1-1)))/100))),"")</f>
        <v>3380957.6011578073</v>
      </c>
      <c r="AU56" cm="1">
        <f t="array" ref="AU56">IFERROR(IF($E56&lt;44348,"",IF(INDEX(Raw_매출!$B$2:$BI$155,MATCH($A56,Raw_매출!$A$2:$A$155,0),MATCH(EDATE($E56,AU$1-1),Raw_매출!$B$1:$BI$1,0))=0,"",INDEX(Raw_매출!$B$2:$BI$155,MATCH($A56,Raw_매출!$A$2:$A$155,0),MATCH(EDATE($E56,AU$1-1),Raw_매출!$B$1:$BI$1,0))/(INDEX(요약_월별시즈널리티!$F$7:$F$18,MONTH(EDATE($E56,AU$1-1)))/100))),"")</f>
        <v>3390532.8179926723</v>
      </c>
      <c r="AV56" cm="1">
        <f t="array" ref="AV56">IFERROR(IF($E56&lt;44348,"",IF(INDEX(Raw_매출!$B$2:$BI$155,MATCH($A56,Raw_매출!$A$2:$A$155,0),MATCH(EDATE($E56,AV$1-1),Raw_매출!$B$1:$BI$1,0))=0,"",INDEX(Raw_매출!$B$2:$BI$155,MATCH($A56,Raw_매출!$A$2:$A$155,0),MATCH(EDATE($E56,AV$1-1),Raw_매출!$B$1:$BI$1,0))/(INDEX(요약_월별시즈널리티!$F$7:$F$18,MONTH(EDATE($E56,AV$1-1)))/100))),"")</f>
        <v>4047003.3876306703</v>
      </c>
      <c r="AW56" cm="1">
        <f t="array" ref="AW56">IFERROR(IF($E56&lt;44348,"",IF(INDEX(Raw_매출!$B$2:$BI$155,MATCH($A56,Raw_매출!$A$2:$A$155,0),MATCH(EDATE($E56,AW$1-1),Raw_매출!$B$1:$BI$1,0))=0,"",INDEX(Raw_매출!$B$2:$BI$155,MATCH($A56,Raw_매출!$A$2:$A$155,0),MATCH(EDATE($E56,AW$1-1),Raw_매출!$B$1:$BI$1,0))/(INDEX(요약_월별시즈널리티!$F$7:$F$18,MONTH(EDATE($E56,AW$1-1)))/100))),"")</f>
        <v>3991681.9972544634</v>
      </c>
      <c r="AX56" cm="1">
        <f t="array" ref="AX56">IFERROR(IF($E56&lt;44348,"",IF(INDEX(Raw_매출!$B$2:$BI$155,MATCH($A56,Raw_매출!$A$2:$A$155,0),MATCH(EDATE($E56,AX$1-1),Raw_매출!$B$1:$BI$1,0))=0,"",INDEX(Raw_매출!$B$2:$BI$155,MATCH($A56,Raw_매출!$A$2:$A$155,0),MATCH(EDATE($E56,AX$1-1),Raw_매출!$B$1:$BI$1,0))/(INDEX(요약_월별시즈널리티!$F$7:$F$18,MONTH(EDATE($E56,AX$1-1)))/100))),"")</f>
        <v>3842686.5231785928</v>
      </c>
      <c r="AY56" cm="1">
        <f t="array" ref="AY56">IFERROR(IF($E56&lt;44348,"",IF(INDEX(Raw_매출!$B$2:$BI$155,MATCH($A56,Raw_매출!$A$2:$A$155,0),MATCH(EDATE($E56,AY$1-1),Raw_매출!$B$1:$BI$1,0))=0,"",INDEX(Raw_매출!$B$2:$BI$155,MATCH($A56,Raw_매출!$A$2:$A$155,0),MATCH(EDATE($E56,AY$1-1),Raw_매출!$B$1:$BI$1,0))/(INDEX(요약_월별시즈널리티!$F$7:$F$18,MONTH(EDATE($E56,AY$1-1)))/100))),"")</f>
        <v>3703112.0736123049</v>
      </c>
      <c r="AZ56" cm="1">
        <f t="array" ref="AZ56">IFERROR(IF($E56&lt;44348,"",IF(INDEX(Raw_매출!$B$2:$BI$155,MATCH($A56,Raw_매출!$A$2:$A$155,0),MATCH(EDATE($E56,AZ$1-1),Raw_매출!$B$1:$BI$1,0))=0,"",INDEX(Raw_매출!$B$2:$BI$155,MATCH($A56,Raw_매출!$A$2:$A$155,0),MATCH(EDATE($E56,AZ$1-1),Raw_매출!$B$1:$BI$1,0))/(INDEX(요약_월별시즈널리티!$F$7:$F$18,MONTH(EDATE($E56,AZ$1-1)))/100))),"")</f>
        <v>3860792.70656943</v>
      </c>
      <c r="BA56" t="str" cm="1">
        <f t="array" ref="BA56">IFERROR(IF($E56&lt;44348,"",IF(INDEX(Raw_매출!$B$2:$BI$155,MATCH($A56,Raw_매출!$A$2:$A$155,0),MATCH(EDATE($E56,BA$1-1),Raw_매출!$B$1:$BI$1,0))=0,"",INDEX(Raw_매출!$B$2:$BI$155,MATCH($A56,Raw_매출!$A$2:$A$155,0),MATCH(EDATE($E56,BA$1-1),Raw_매출!$B$1:$BI$1,0))/(INDEX(요약_월별시즈널리티!$F$7:$F$18,MONTH(EDATE($E56,BA$1-1)))/100))),"")</f>
        <v/>
      </c>
      <c r="BB56" t="str" cm="1">
        <f t="array" ref="BB56">IFERROR(IF($E56&lt;44348,"",IF(INDEX(Raw_매출!$B$2:$BI$155,MATCH($A56,Raw_매출!$A$2:$A$155,0),MATCH(EDATE($E56,BB$1-1),Raw_매출!$B$1:$BI$1,0))=0,"",INDEX(Raw_매출!$B$2:$BI$155,MATCH($A56,Raw_매출!$A$2:$A$155,0),MATCH(EDATE($E56,BB$1-1),Raw_매출!$B$1:$BI$1,0))/(INDEX(요약_월별시즈널리티!$F$7:$F$18,MONTH(EDATE($E56,BB$1-1)))/100))),"")</f>
        <v/>
      </c>
      <c r="BC56" t="str" cm="1">
        <f t="array" ref="BC56">IFERROR(IF($E56&lt;44348,"",IF(INDEX(Raw_매출!$B$2:$BI$155,MATCH($A56,Raw_매출!$A$2:$A$155,0),MATCH(EDATE($E56,BC$1-1),Raw_매출!$B$1:$BI$1,0))=0,"",INDEX(Raw_매출!$B$2:$BI$155,MATCH($A56,Raw_매출!$A$2:$A$155,0),MATCH(EDATE($E56,BC$1-1),Raw_매출!$B$1:$BI$1,0))/(INDEX(요약_월별시즈널리티!$F$7:$F$18,MONTH(EDATE($E56,BC$1-1)))/100))),"")</f>
        <v/>
      </c>
      <c r="BD56" t="str" cm="1">
        <f t="array" ref="BD56">IFERROR(IF($E56&lt;44348,"",IF(INDEX(Raw_매출!$B$2:$BI$155,MATCH($A56,Raw_매출!$A$2:$A$155,0),MATCH(EDATE($E56,BD$1-1),Raw_매출!$B$1:$BI$1,0))=0,"",INDEX(Raw_매출!$B$2:$BI$155,MATCH($A56,Raw_매출!$A$2:$A$155,0),MATCH(EDATE($E56,BD$1-1),Raw_매출!$B$1:$BI$1,0))/(INDEX(요약_월별시즈널리티!$F$7:$F$18,MONTH(EDATE($E56,BD$1-1)))/100))),"")</f>
        <v/>
      </c>
      <c r="BE56" t="str" cm="1">
        <f t="array" ref="BE56">IFERROR(IF($E56&lt;44348,"",IF(INDEX(Raw_매출!$B$2:$BI$155,MATCH($A56,Raw_매출!$A$2:$A$155,0),MATCH(EDATE($E56,BE$1-1),Raw_매출!$B$1:$BI$1,0))=0,"",INDEX(Raw_매출!$B$2:$BI$155,MATCH($A56,Raw_매출!$A$2:$A$155,0),MATCH(EDATE($E56,BE$1-1),Raw_매출!$B$1:$BI$1,0))/(INDEX(요약_월별시즈널리티!$F$7:$F$18,MONTH(EDATE($E56,BE$1-1)))/100))),"")</f>
        <v/>
      </c>
      <c r="BF56" t="str" cm="1">
        <f t="array" ref="BF56">IFERROR(IF($E56&lt;44348,"",IF(INDEX(Raw_매출!$B$2:$BI$155,MATCH($A56,Raw_매출!$A$2:$A$155,0),MATCH(EDATE($E56,BF$1-1),Raw_매출!$B$1:$BI$1,0))=0,"",INDEX(Raw_매출!$B$2:$BI$155,MATCH($A56,Raw_매출!$A$2:$A$155,0),MATCH(EDATE($E56,BF$1-1),Raw_매출!$B$1:$BI$1,0))/(INDEX(요약_월별시즈널리티!$F$7:$F$18,MONTH(EDATE($E56,BF$1-1)))/100))),"")</f>
        <v/>
      </c>
      <c r="BG56" t="str" cm="1">
        <f t="array" ref="BG56">IFERROR(IF($E56&lt;44348,"",IF(INDEX(Raw_매출!$B$2:$BI$155,MATCH($A56,Raw_매출!$A$2:$A$155,0),MATCH(EDATE($E56,BG$1-1),Raw_매출!$B$1:$BI$1,0))=0,"",INDEX(Raw_매출!$B$2:$BI$155,MATCH($A56,Raw_매출!$A$2:$A$155,0),MATCH(EDATE($E56,BG$1-1),Raw_매출!$B$1:$BI$1,0))/(INDEX(요약_월별시즈널리티!$F$7:$F$18,MONTH(EDATE($E56,BG$1-1)))/100))),"")</f>
        <v/>
      </c>
      <c r="BH56" t="str" cm="1">
        <f t="array" ref="BH56">IFERROR(IF($E56&lt;44348,"",IF(INDEX(Raw_매출!$B$2:$BI$155,MATCH($A56,Raw_매출!$A$2:$A$155,0),MATCH(EDATE($E56,BH$1-1),Raw_매출!$B$1:$BI$1,0))=0,"",INDEX(Raw_매출!$B$2:$BI$155,MATCH($A56,Raw_매출!$A$2:$A$155,0),MATCH(EDATE($E56,BH$1-1),Raw_매출!$B$1:$BI$1,0))/(INDEX(요약_월별시즈널리티!$F$7:$F$18,MONTH(EDATE($E56,BH$1-1)))/100))),"")</f>
        <v/>
      </c>
      <c r="BI56" t="str" cm="1">
        <f t="array" ref="BI56">IFERROR(IF($E56&lt;44348,"",IF(INDEX(Raw_매출!$B$2:$BI$155,MATCH($A56,Raw_매출!$A$2:$A$155,0),MATCH(EDATE($E56,BI$1-1),Raw_매출!$B$1:$BI$1,0))=0,"",INDEX(Raw_매출!$B$2:$BI$155,MATCH($A56,Raw_매출!$A$2:$A$155,0),MATCH(EDATE($E56,BI$1-1),Raw_매출!$B$1:$BI$1,0))/(INDEX(요약_월별시즈널리티!$F$7:$F$18,MONTH(EDATE($E56,BI$1-1)))/100))),"")</f>
        <v/>
      </c>
      <c r="BJ56" t="str" cm="1">
        <f t="array" ref="BJ56">IFERROR(IF($E56&lt;44348,"",IF(INDEX(Raw_매출!$B$2:$BI$155,MATCH($A56,Raw_매출!$A$2:$A$155,0),MATCH(EDATE($E56,BJ$1-1),Raw_매출!$B$1:$BI$1,0))=0,"",INDEX(Raw_매출!$B$2:$BI$155,MATCH($A56,Raw_매출!$A$2:$A$155,0),MATCH(EDATE($E56,BJ$1-1),Raw_매출!$B$1:$BI$1,0))/(INDEX(요약_월별시즈널리티!$F$7:$F$18,MONTH(EDATE($E56,BJ$1-1)))/100))),"")</f>
        <v/>
      </c>
      <c r="BK56" t="str" cm="1">
        <f t="array" ref="BK56">IFERROR(IF($E56&lt;44348,"",IF(INDEX(Raw_매출!$B$2:$BI$155,MATCH($A56,Raw_매출!$A$2:$A$155,0),MATCH(EDATE($E56,BK$1-1),Raw_매출!$B$1:$BI$1,0))=0,"",INDEX(Raw_매출!$B$2:$BI$155,MATCH($A56,Raw_매출!$A$2:$A$155,0),MATCH(EDATE($E56,BK$1-1),Raw_매출!$B$1:$BI$1,0))/(INDEX(요약_월별시즈널리티!$F$7:$F$18,MONTH(EDATE($E56,BK$1-1)))/100))),"")</f>
        <v/>
      </c>
      <c r="BL56" t="str" cm="1">
        <f t="array" ref="BL56">IFERROR(IF($E56&lt;44348,"",IF(INDEX(Raw_매출!$B$2:$BI$155,MATCH($A56,Raw_매출!$A$2:$A$155,0),MATCH(EDATE($E56,BL$1-1),Raw_매출!$B$1:$BI$1,0))=0,"",INDEX(Raw_매출!$B$2:$BI$155,MATCH($A56,Raw_매출!$A$2:$A$155,0),MATCH(EDATE($E56,BL$1-1),Raw_매출!$B$1:$BI$1,0))/(INDEX(요약_월별시즈널리티!$F$7:$F$18,MONTH(EDATE($E56,BL$1-1)))/100))),"")</f>
        <v/>
      </c>
      <c r="BM56" t="str" cm="1">
        <f t="array" ref="BM56">IFERROR(IF($E56&lt;44348,"",IF(INDEX(Raw_매출!$B$2:$BI$155,MATCH($A56,Raw_매출!$A$2:$A$155,0),MATCH(EDATE($E56,BM$1-1),Raw_매출!$B$1:$BI$1,0))=0,"",INDEX(Raw_매출!$B$2:$BI$155,MATCH($A56,Raw_매출!$A$2:$A$155,0),MATCH(EDATE($E56,BM$1-1),Raw_매출!$B$1:$BI$1,0))/(INDEX(요약_월별시즈널리티!$F$7:$F$18,MONTH(EDATE($E56,BM$1-1)))/100))),"")</f>
        <v/>
      </c>
      <c r="BN56" t="str" cm="1">
        <f t="array" ref="BN56">IFERROR(IF($E56&lt;44348,"",IF(INDEX(Raw_매출!$B$2:$BI$155,MATCH($A56,Raw_매출!$A$2:$A$155,0),MATCH(EDATE($E56,BN$1-1),Raw_매출!$B$1:$BI$1,0))=0,"",INDEX(Raw_매출!$B$2:$BI$155,MATCH($A56,Raw_매출!$A$2:$A$155,0),MATCH(EDATE($E56,BN$1-1),Raw_매출!$B$1:$BI$1,0))/(INDEX(요약_월별시즈널리티!$F$7:$F$18,MONTH(EDATE($E56,BN$1-1)))/100))),"")</f>
        <v/>
      </c>
    </row>
    <row r="57" spans="1:66" x14ac:dyDescent="0.4">
      <c r="A57" t="str">
        <f>세팅!A58</f>
        <v>(1046) #인천시청점</v>
      </c>
      <c r="B57" t="str">
        <f>세팅!B58</f>
        <v>150-3</v>
      </c>
      <c r="C57">
        <f t="shared" si="0"/>
        <v>3</v>
      </c>
      <c r="D57" t="str">
        <f t="shared" si="1"/>
        <v>3+</v>
      </c>
      <c r="E57" s="1">
        <f>세팅!D58</f>
        <v>44805</v>
      </c>
      <c r="F57">
        <f t="shared" si="2"/>
        <v>4718044.3808412366</v>
      </c>
      <c r="G57" cm="1">
        <f t="array" ref="G57">IFERROR(IF($E57&lt;44348,"",IF(INDEX(Raw_매출!$B$2:$BI$155,MATCH($A57,Raw_매출!$A$2:$A$155,0),MATCH(EDATE($E57,G$1-1),Raw_매출!$B$1:$BI$1,0))=0,"",INDEX(Raw_매출!$B$2:$BI$155,MATCH($A57,Raw_매출!$A$2:$A$155,0),MATCH(EDATE($E57,G$1-1),Raw_매출!$B$1:$BI$1,0))/(INDEX(요약_월별시즈널리티!$F$7:$F$18,MONTH(EDATE($E57,G$1-1)))/100))),"")</f>
        <v>2992721.5718948562</v>
      </c>
      <c r="H57" cm="1">
        <f t="array" ref="H57">IFERROR(IF($E57&lt;44348,"",IF(INDEX(Raw_매출!$B$2:$BI$155,MATCH($A57,Raw_매출!$A$2:$A$155,0),MATCH(EDATE($E57,H$1-1),Raw_매출!$B$1:$BI$1,0))=0,"",INDEX(Raw_매출!$B$2:$BI$155,MATCH($A57,Raw_매출!$A$2:$A$155,0),MATCH(EDATE($E57,H$1-1),Raw_매출!$B$1:$BI$1,0))/(INDEX(요약_월별시즈널리티!$F$7:$F$18,MONTH(EDATE($E57,H$1-1)))/100))),"")</f>
        <v>3919094.3458729615</v>
      </c>
      <c r="I57" cm="1">
        <f t="array" ref="I57">IFERROR(IF($E57&lt;44348,"",IF(INDEX(Raw_매출!$B$2:$BI$155,MATCH($A57,Raw_매출!$A$2:$A$155,0),MATCH(EDATE($E57,I$1-1),Raw_매출!$B$1:$BI$1,0))=0,"",INDEX(Raw_매출!$B$2:$BI$155,MATCH($A57,Raw_매출!$A$2:$A$155,0),MATCH(EDATE($E57,I$1-1),Raw_매출!$B$1:$BI$1,0))/(INDEX(요약_월별시즈널리티!$F$7:$F$18,MONTH(EDATE($E57,I$1-1)))/100))),"")</f>
        <v>3647496.1620445382</v>
      </c>
      <c r="J57" s="30" cm="1">
        <f t="array" ref="J57">IFERROR(IF($E57&lt;44348,"",IF(INDEX(Raw_매출!$B$2:$BI$155,MATCH($A57,Raw_매출!$A$2:$A$155,0),MATCH(EDATE($E57,J$1-1),Raw_매출!$B$1:$BI$1,0))=0,"",INDEX(Raw_매출!$B$2:$BI$155,MATCH($A57,Raw_매출!$A$2:$A$155,0),MATCH(EDATE($E57,J$1-1),Raw_매출!$B$1:$BI$1,0))/(INDEX(요약_월별시즈널리티!$F$7:$F$18,MONTH(EDATE($E57,J$1-1)))/100))),"")</f>
        <v>3555051.322076804</v>
      </c>
      <c r="K57" s="30" cm="1">
        <f t="array" ref="K57">IFERROR(IF($E57&lt;44348,"",IF(INDEX(Raw_매출!$B$2:$BI$155,MATCH($A57,Raw_매출!$A$2:$A$155,0),MATCH(EDATE($E57,K$1-1),Raw_매출!$B$1:$BI$1,0))=0,"",INDEX(Raw_매출!$B$2:$BI$155,MATCH($A57,Raw_매출!$A$2:$A$155,0),MATCH(EDATE($E57,K$1-1),Raw_매출!$B$1:$BI$1,0))/(INDEX(요약_월별시즈널리티!$F$7:$F$18,MONTH(EDATE($E57,K$1-1)))/100))),"")</f>
        <v>4754460.0058809826</v>
      </c>
      <c r="L57" s="30" cm="1">
        <f t="array" ref="L57">IFERROR(IF($E57&lt;44348,"",IF(INDEX(Raw_매출!$B$2:$BI$155,MATCH($A57,Raw_매출!$A$2:$A$155,0),MATCH(EDATE($E57,L$1-1),Raw_매출!$B$1:$BI$1,0))=0,"",INDEX(Raw_매출!$B$2:$BI$155,MATCH($A57,Raw_매출!$A$2:$A$155,0),MATCH(EDATE($E57,L$1-1),Raw_매출!$B$1:$BI$1,0))/(INDEX(요약_월별시즈널리티!$F$7:$F$18,MONTH(EDATE($E57,L$1-1)))/100))),"")</f>
        <v>4706495.0165280001</v>
      </c>
      <c r="M57" s="30" cm="1">
        <f t="array" ref="M57">IFERROR(IF($E57&lt;44348,"",IF(INDEX(Raw_매출!$B$2:$BI$155,MATCH($A57,Raw_매출!$A$2:$A$155,0),MATCH(EDATE($E57,M$1-1),Raw_매출!$B$1:$BI$1,0))=0,"",INDEX(Raw_매출!$B$2:$BI$155,MATCH($A57,Raw_매출!$A$2:$A$155,0),MATCH(EDATE($E57,M$1-1),Raw_매출!$B$1:$BI$1,0))/(INDEX(요약_월별시즈널리티!$F$7:$F$18,MONTH(EDATE($E57,M$1-1)))/100))),"")</f>
        <v>4823940.2992500411</v>
      </c>
      <c r="N57" s="30" cm="1">
        <f t="array" ref="N57">IFERROR(IF($E57&lt;44348,"",IF(INDEX(Raw_매출!$B$2:$BI$155,MATCH($A57,Raw_매출!$A$2:$A$155,0),MATCH(EDATE($E57,N$1-1),Raw_매출!$B$1:$BI$1,0))=0,"",INDEX(Raw_매출!$B$2:$BI$155,MATCH($A57,Raw_매출!$A$2:$A$155,0),MATCH(EDATE($E57,N$1-1),Raw_매출!$B$1:$BI$1,0))/(INDEX(요약_월별시즈널리티!$F$7:$F$18,MONTH(EDATE($E57,N$1-1)))/100))),"")</f>
        <v>4930056.1606857534</v>
      </c>
      <c r="O57" s="30" cm="1">
        <f t="array" ref="O57">IFERROR(IF($E57&lt;44348,"",IF(INDEX(Raw_매출!$B$2:$BI$155,MATCH($A57,Raw_매출!$A$2:$A$155,0),MATCH(EDATE($E57,O$1-1),Raw_매출!$B$1:$BI$1,0))=0,"",INDEX(Raw_매출!$B$2:$BI$155,MATCH($A57,Raw_매출!$A$2:$A$155,0),MATCH(EDATE($E57,O$1-1),Raw_매출!$B$1:$BI$1,0))/(INDEX(요약_월별시즈널리티!$F$7:$F$18,MONTH(EDATE($E57,O$1-1)))/100))),"")</f>
        <v>5538263.480625838</v>
      </c>
      <c r="P57" cm="1">
        <f t="array" ref="P57">IFERROR(IF($E57&lt;44348,"",IF(INDEX(Raw_매출!$B$2:$BI$155,MATCH($A57,Raw_매출!$A$2:$A$155,0),MATCH(EDATE($E57,P$1-1),Raw_매출!$B$1:$BI$1,0))=0,"",INDEX(Raw_매출!$B$2:$BI$155,MATCH($A57,Raw_매출!$A$2:$A$155,0),MATCH(EDATE($E57,P$1-1),Raw_매출!$B$1:$BI$1,0))/(INDEX(요약_월별시즈널리티!$F$7:$F$18,MONTH(EDATE($E57,P$1-1)))/100))),"")</f>
        <v>4806649.8179049324</v>
      </c>
      <c r="Q57" cm="1">
        <f t="array" ref="Q57">IFERROR(IF($E57&lt;44348,"",IF(INDEX(Raw_매출!$B$2:$BI$155,MATCH($A57,Raw_매출!$A$2:$A$155,0),MATCH(EDATE($E57,Q$1-1),Raw_매출!$B$1:$BI$1,0))=0,"",INDEX(Raw_매출!$B$2:$BI$155,MATCH($A57,Raw_매출!$A$2:$A$155,0),MATCH(EDATE($E57,Q$1-1),Raw_매출!$B$1:$BI$1,0))/(INDEX(요약_월별시즈널리티!$F$7:$F$18,MONTH(EDATE($E57,Q$1-1)))/100))),"")</f>
        <v>5802042.7649337696</v>
      </c>
      <c r="R57" cm="1">
        <f t="array" ref="R57">IFERROR(IF($E57&lt;44348,"",IF(INDEX(Raw_매출!$B$2:$BI$155,MATCH($A57,Raw_매출!$A$2:$A$155,0),MATCH(EDATE($E57,R$1-1),Raw_매출!$B$1:$BI$1,0))=0,"",INDEX(Raw_매출!$B$2:$BI$155,MATCH($A57,Raw_매출!$A$2:$A$155,0),MATCH(EDATE($E57,R$1-1),Raw_매출!$B$1:$BI$1,0))/(INDEX(요약_월별시즈널리티!$F$7:$F$18,MONTH(EDATE($E57,R$1-1)))/100))),"")</f>
        <v>5082060.7962082224</v>
      </c>
      <c r="S57" cm="1">
        <f t="array" ref="S57">IFERROR(IF($E57&lt;44348,"",IF(INDEX(Raw_매출!$B$2:$BI$155,MATCH($A57,Raw_매출!$A$2:$A$155,0),MATCH(EDATE($E57,S$1-1),Raw_매출!$B$1:$BI$1,0))=0,"",INDEX(Raw_매출!$B$2:$BI$155,MATCH($A57,Raw_매출!$A$2:$A$155,0),MATCH(EDATE($E57,S$1-1),Raw_매출!$B$1:$BI$1,0))/(INDEX(요약_월별시즈널리티!$F$7:$F$18,MONTH(EDATE($E57,S$1-1)))/100))),"")</f>
        <v>5751252.5582983913</v>
      </c>
      <c r="T57" cm="1">
        <f t="array" ref="T57">IFERROR(IF($E57&lt;44348,"",IF(INDEX(Raw_매출!$B$2:$BI$155,MATCH($A57,Raw_매출!$A$2:$A$155,0),MATCH(EDATE($E57,T$1-1),Raw_매출!$B$1:$BI$1,0))=0,"",INDEX(Raw_매출!$B$2:$BI$155,MATCH($A57,Raw_매출!$A$2:$A$155,0),MATCH(EDATE($E57,T$1-1),Raw_매출!$B$1:$BI$1,0))/(INDEX(요약_월별시즈널리티!$F$7:$F$18,MONTH(EDATE($E57,T$1-1)))/100))),"")</f>
        <v>6316239.9533179207</v>
      </c>
      <c r="U57" cm="1">
        <f t="array" ref="U57">IFERROR(IF($E57&lt;44348,"",IF(INDEX(Raw_매출!$B$2:$BI$155,MATCH($A57,Raw_매출!$A$2:$A$155,0),MATCH(EDATE($E57,U$1-1),Raw_매출!$B$1:$BI$1,0))=0,"",INDEX(Raw_매출!$B$2:$BI$155,MATCH($A57,Raw_매출!$A$2:$A$155,0),MATCH(EDATE($E57,U$1-1),Raw_매출!$B$1:$BI$1,0))/(INDEX(요약_월별시즈널리티!$F$7:$F$18,MONTH(EDATE($E57,U$1-1)))/100))),"")</f>
        <v>5651818.1149468264</v>
      </c>
      <c r="V57" cm="1">
        <f t="array" ref="V57">IFERROR(IF($E57&lt;44348,"",IF(INDEX(Raw_매출!$B$2:$BI$155,MATCH($A57,Raw_매출!$A$2:$A$155,0),MATCH(EDATE($E57,V$1-1),Raw_매출!$B$1:$BI$1,0))=0,"",INDEX(Raw_매출!$B$2:$BI$155,MATCH($A57,Raw_매출!$A$2:$A$155,0),MATCH(EDATE($E57,V$1-1),Raw_매출!$B$1:$BI$1,0))/(INDEX(요약_월별시즈널리티!$F$7:$F$18,MONTH(EDATE($E57,V$1-1)))/100))),"")</f>
        <v>5407026.4449928068</v>
      </c>
      <c r="W57" cm="1">
        <f t="array" ref="W57">IFERROR(IF($E57&lt;44348,"",IF(INDEX(Raw_매출!$B$2:$BI$155,MATCH($A57,Raw_매출!$A$2:$A$155,0),MATCH(EDATE($E57,W$1-1),Raw_매출!$B$1:$BI$1,0))=0,"",INDEX(Raw_매출!$B$2:$BI$155,MATCH($A57,Raw_매출!$A$2:$A$155,0),MATCH(EDATE($E57,W$1-1),Raw_매출!$B$1:$BI$1,0))/(INDEX(요약_월별시즈널리티!$F$7:$F$18,MONTH(EDATE($E57,W$1-1)))/100))),"")</f>
        <v>5527630.9950998258</v>
      </c>
      <c r="X57" cm="1">
        <f t="array" ref="X57">IFERROR(IF($E57&lt;44348,"",IF(INDEX(Raw_매출!$B$2:$BI$155,MATCH($A57,Raw_매출!$A$2:$A$155,0),MATCH(EDATE($E57,X$1-1),Raw_매출!$B$1:$BI$1,0))=0,"",INDEX(Raw_매출!$B$2:$BI$155,MATCH($A57,Raw_매출!$A$2:$A$155,0),MATCH(EDATE($E57,X$1-1),Raw_매출!$B$1:$BI$1,0))/(INDEX(요약_월별시즈널리티!$F$7:$F$18,MONTH(EDATE($E57,X$1-1)))/100))),"")</f>
        <v>5657214.1283365572</v>
      </c>
      <c r="Y57" cm="1">
        <f t="array" ref="Y57">IFERROR(IF($E57&lt;44348,"",IF(INDEX(Raw_매출!$B$2:$BI$155,MATCH($A57,Raw_매출!$A$2:$A$155,0),MATCH(EDATE($E57,Y$1-1),Raw_매출!$B$1:$BI$1,0))=0,"",INDEX(Raw_매출!$B$2:$BI$155,MATCH($A57,Raw_매출!$A$2:$A$155,0),MATCH(EDATE($E57,Y$1-1),Raw_매출!$B$1:$BI$1,0))/(INDEX(요약_월별시즈널리티!$F$7:$F$18,MONTH(EDATE($E57,Y$1-1)))/100))),"")</f>
        <v>6005211.3631214341</v>
      </c>
      <c r="Z57" cm="1">
        <f t="array" ref="Z57">IFERROR(IF($E57&lt;44348,"",IF(INDEX(Raw_매출!$B$2:$BI$155,MATCH($A57,Raw_매출!$A$2:$A$155,0),MATCH(EDATE($E57,Z$1-1),Raw_매출!$B$1:$BI$1,0))=0,"",INDEX(Raw_매출!$B$2:$BI$155,MATCH($A57,Raw_매출!$A$2:$A$155,0),MATCH(EDATE($E57,Z$1-1),Raw_매출!$B$1:$BI$1,0))/(INDEX(요약_월별시즈널리티!$F$7:$F$18,MONTH(EDATE($E57,Z$1-1)))/100))),"")</f>
        <v>5196128.9341629315</v>
      </c>
      <c r="AA57" cm="1">
        <f t="array" ref="AA57">IFERROR(IF($E57&lt;44348,"",IF(INDEX(Raw_매출!$B$2:$BI$155,MATCH($A57,Raw_매출!$A$2:$A$155,0),MATCH(EDATE($E57,AA$1-1),Raw_매출!$B$1:$BI$1,0))=0,"",INDEX(Raw_매출!$B$2:$BI$155,MATCH($A57,Raw_매출!$A$2:$A$155,0),MATCH(EDATE($E57,AA$1-1),Raw_매출!$B$1:$BI$1,0))/(INDEX(요약_월별시즈널리티!$F$7:$F$18,MONTH(EDATE($E57,AA$1-1)))/100))),"")</f>
        <v>5602875.7636797335</v>
      </c>
      <c r="AB57" cm="1">
        <f t="array" ref="AB57">IFERROR(IF($E57&lt;44348,"",IF(INDEX(Raw_매출!$B$2:$BI$155,MATCH($A57,Raw_매출!$A$2:$A$155,0),MATCH(EDATE($E57,AB$1-1),Raw_매출!$B$1:$BI$1,0))=0,"",INDEX(Raw_매출!$B$2:$BI$155,MATCH($A57,Raw_매출!$A$2:$A$155,0),MATCH(EDATE($E57,AB$1-1),Raw_매출!$B$1:$BI$1,0))/(INDEX(요약_월별시즈널리티!$F$7:$F$18,MONTH(EDATE($E57,AB$1-1)))/100))),"")</f>
        <v>6158543.7938125571</v>
      </c>
      <c r="AC57" cm="1">
        <f t="array" ref="AC57">IFERROR(IF($E57&lt;44348,"",IF(INDEX(Raw_매출!$B$2:$BI$155,MATCH($A57,Raw_매출!$A$2:$A$155,0),MATCH(EDATE($E57,AC$1-1),Raw_매출!$B$1:$BI$1,0))=0,"",INDEX(Raw_매출!$B$2:$BI$155,MATCH($A57,Raw_매출!$A$2:$A$155,0),MATCH(EDATE($E57,AC$1-1),Raw_매출!$B$1:$BI$1,0))/(INDEX(요약_월별시즈널리티!$F$7:$F$18,MONTH(EDATE($E57,AC$1-1)))/100))),"")</f>
        <v>5871875.534525712</v>
      </c>
      <c r="AD57" cm="1">
        <f t="array" ref="AD57">IFERROR(IF($E57&lt;44348,"",IF(INDEX(Raw_매출!$B$2:$BI$155,MATCH($A57,Raw_매출!$A$2:$A$155,0),MATCH(EDATE($E57,AD$1-1),Raw_매출!$B$1:$BI$1,0))=0,"",INDEX(Raw_매출!$B$2:$BI$155,MATCH($A57,Raw_매출!$A$2:$A$155,0),MATCH(EDATE($E57,AD$1-1),Raw_매출!$B$1:$BI$1,0))/(INDEX(요약_월별시즈널리티!$F$7:$F$18,MONTH(EDATE($E57,AD$1-1)))/100))),"")</f>
        <v>6164620.1023345664</v>
      </c>
      <c r="AE57" cm="1">
        <f t="array" ref="AE57">IFERROR(IF($E57&lt;44348,"",IF(INDEX(Raw_매출!$B$2:$BI$155,MATCH($A57,Raw_매출!$A$2:$A$155,0),MATCH(EDATE($E57,AE$1-1),Raw_매출!$B$1:$BI$1,0))=0,"",INDEX(Raw_매출!$B$2:$BI$155,MATCH($A57,Raw_매출!$A$2:$A$155,0),MATCH(EDATE($E57,AE$1-1),Raw_매출!$B$1:$BI$1,0))/(INDEX(요약_월별시즈널리티!$F$7:$F$18,MONTH(EDATE($E57,AE$1-1)))/100))),"")</f>
        <v>5527928.5438158782</v>
      </c>
      <c r="AF57" cm="1">
        <f t="array" ref="AF57">IFERROR(IF($E57&lt;44348,"",IF(INDEX(Raw_매출!$B$2:$BI$155,MATCH($A57,Raw_매출!$A$2:$A$155,0),MATCH(EDATE($E57,AF$1-1),Raw_매출!$B$1:$BI$1,0))=0,"",INDEX(Raw_매출!$B$2:$BI$155,MATCH($A57,Raw_매출!$A$2:$A$155,0),MATCH(EDATE($E57,AF$1-1),Raw_매출!$B$1:$BI$1,0))/(INDEX(요약_월별시즈널리티!$F$7:$F$18,MONTH(EDATE($E57,AF$1-1)))/100))),"")</f>
        <v>5572199.7715060692</v>
      </c>
      <c r="AG57" cm="1">
        <f t="array" ref="AG57">IFERROR(IF($E57&lt;44348,"",IF(INDEX(Raw_매출!$B$2:$BI$155,MATCH($A57,Raw_매출!$A$2:$A$155,0),MATCH(EDATE($E57,AG$1-1),Raw_매출!$B$1:$BI$1,0))=0,"",INDEX(Raw_매출!$B$2:$BI$155,MATCH($A57,Raw_매출!$A$2:$A$155,0),MATCH(EDATE($E57,AG$1-1),Raw_매출!$B$1:$BI$1,0))/(INDEX(요약_월별시즈널리티!$F$7:$F$18,MONTH(EDATE($E57,AG$1-1)))/100))),"")</f>
        <v>5106744.3566851662</v>
      </c>
      <c r="AH57" cm="1">
        <f t="array" ref="AH57">IFERROR(IF($E57&lt;44348,"",IF(INDEX(Raw_매출!$B$2:$BI$155,MATCH($A57,Raw_매출!$A$2:$A$155,0),MATCH(EDATE($E57,AH$1-1),Raw_매출!$B$1:$BI$1,0))=0,"",INDEX(Raw_매출!$B$2:$BI$155,MATCH($A57,Raw_매출!$A$2:$A$155,0),MATCH(EDATE($E57,AH$1-1),Raw_매출!$B$1:$BI$1,0))/(INDEX(요약_월별시즈널리티!$F$7:$F$18,MONTH(EDATE($E57,AH$1-1)))/100))),"")</f>
        <v>4725861.7727301205</v>
      </c>
      <c r="AI57" cm="1">
        <f t="array" ref="AI57">IFERROR(IF($E57&lt;44348,"",IF(INDEX(Raw_매출!$B$2:$BI$155,MATCH($A57,Raw_매출!$A$2:$A$155,0),MATCH(EDATE($E57,AI$1-1),Raw_매출!$B$1:$BI$1,0))=0,"",INDEX(Raw_매출!$B$2:$BI$155,MATCH($A57,Raw_매출!$A$2:$A$155,0),MATCH(EDATE($E57,AI$1-1),Raw_매출!$B$1:$BI$1,0))/(INDEX(요약_월별시즈널리티!$F$7:$F$18,MONTH(EDATE($E57,AI$1-1)))/100))),"")</f>
        <v>6015907.8859071219</v>
      </c>
      <c r="AJ57" cm="1">
        <f t="array" ref="AJ57">IFERROR(IF($E57&lt;44348,"",IF(INDEX(Raw_매출!$B$2:$BI$155,MATCH($A57,Raw_매출!$A$2:$A$155,0),MATCH(EDATE($E57,AJ$1-1),Raw_매출!$B$1:$BI$1,0))=0,"",INDEX(Raw_매출!$B$2:$BI$155,MATCH($A57,Raw_매출!$A$2:$A$155,0),MATCH(EDATE($E57,AJ$1-1),Raw_매출!$B$1:$BI$1,0))/(INDEX(요약_월별시즈널리티!$F$7:$F$18,MONTH(EDATE($E57,AJ$1-1)))/100))),"")</f>
        <v>5628384.3252355661</v>
      </c>
      <c r="AK57" cm="1">
        <f t="array" ref="AK57">IFERROR(IF($E57&lt;44348,"",IF(INDEX(Raw_매출!$B$2:$BI$155,MATCH($A57,Raw_매출!$A$2:$A$155,0),MATCH(EDATE($E57,AK$1-1),Raw_매출!$B$1:$BI$1,0))=0,"",INDEX(Raw_매출!$B$2:$BI$155,MATCH($A57,Raw_매출!$A$2:$A$155,0),MATCH(EDATE($E57,AK$1-1),Raw_매출!$B$1:$BI$1,0))/(INDEX(요약_월별시즈널리티!$F$7:$F$18,MONTH(EDATE($E57,AK$1-1)))/100))),"")</f>
        <v>5397173.6273542028</v>
      </c>
      <c r="AL57" cm="1">
        <f t="array" ref="AL57">IFERROR(IF($E57&lt;44348,"",IF(INDEX(Raw_매출!$B$2:$BI$155,MATCH($A57,Raw_매출!$A$2:$A$155,0),MATCH(EDATE($E57,AL$1-1),Raw_매출!$B$1:$BI$1,0))=0,"",INDEX(Raw_매출!$B$2:$BI$155,MATCH($A57,Raw_매출!$A$2:$A$155,0),MATCH(EDATE($E57,AL$1-1),Raw_매출!$B$1:$BI$1,0))/(INDEX(요약_월별시즈널리티!$F$7:$F$18,MONTH(EDATE($E57,AL$1-1)))/100))),"")</f>
        <v>5078201.3690371225</v>
      </c>
      <c r="AM57" cm="1">
        <f t="array" ref="AM57">IFERROR(IF($E57&lt;44348,"",IF(INDEX(Raw_매출!$B$2:$BI$155,MATCH($A57,Raw_매출!$A$2:$A$155,0),MATCH(EDATE($E57,AM$1-1),Raw_매출!$B$1:$BI$1,0))=0,"",INDEX(Raw_매출!$B$2:$BI$155,MATCH($A57,Raw_매출!$A$2:$A$155,0),MATCH(EDATE($E57,AM$1-1),Raw_매출!$B$1:$BI$1,0))/(INDEX(요약_월별시즈널리티!$F$7:$F$18,MONTH(EDATE($E57,AM$1-1)))/100))),"")</f>
        <v>6006854.3830205258</v>
      </c>
      <c r="AN57" cm="1">
        <f t="array" ref="AN57">IFERROR(IF($E57&lt;44348,"",IF(INDEX(Raw_매출!$B$2:$BI$155,MATCH($A57,Raw_매출!$A$2:$A$155,0),MATCH(EDATE($E57,AN$1-1),Raw_매출!$B$1:$BI$1,0))=0,"",INDEX(Raw_매출!$B$2:$BI$155,MATCH($A57,Raw_매출!$A$2:$A$155,0),MATCH(EDATE($E57,AN$1-1),Raw_매출!$B$1:$BI$1,0))/(INDEX(요약_월별시즈널리티!$F$7:$F$18,MONTH(EDATE($E57,AN$1-1)))/100))),"")</f>
        <v>6287278.9226264786</v>
      </c>
      <c r="AO57" cm="1">
        <f t="array" ref="AO57">IFERROR(IF($E57&lt;44348,"",IF(INDEX(Raw_매출!$B$2:$BI$155,MATCH($A57,Raw_매출!$A$2:$A$155,0),MATCH(EDATE($E57,AO$1-1),Raw_매출!$B$1:$BI$1,0))=0,"",INDEX(Raw_매출!$B$2:$BI$155,MATCH($A57,Raw_매출!$A$2:$A$155,0),MATCH(EDATE($E57,AO$1-1),Raw_매출!$B$1:$BI$1,0))/(INDEX(요약_월별시즈널리티!$F$7:$F$18,MONTH(EDATE($E57,AO$1-1)))/100))),"")</f>
        <v>5603778.8387899725</v>
      </c>
      <c r="AP57" cm="1">
        <f t="array" ref="AP57">IFERROR(IF($E57&lt;44348,"",IF(INDEX(Raw_매출!$B$2:$BI$155,MATCH($A57,Raw_매출!$A$2:$A$155,0),MATCH(EDATE($E57,AP$1-1),Raw_매출!$B$1:$BI$1,0))=0,"",INDEX(Raw_매출!$B$2:$BI$155,MATCH($A57,Raw_매출!$A$2:$A$155,0),MATCH(EDATE($E57,AP$1-1),Raw_매출!$B$1:$BI$1,0))/(INDEX(요약_월별시즈널리티!$F$7:$F$18,MONTH(EDATE($E57,AP$1-1)))/100))),"")</f>
        <v>5414168.4714559978</v>
      </c>
      <c r="AQ57" cm="1">
        <f t="array" ref="AQ57">IFERROR(IF($E57&lt;44348,"",IF(INDEX(Raw_매출!$B$2:$BI$155,MATCH($A57,Raw_매출!$A$2:$A$155,0),MATCH(EDATE($E57,AQ$1-1),Raw_매출!$B$1:$BI$1,0))=0,"",INDEX(Raw_매출!$B$2:$BI$155,MATCH($A57,Raw_매출!$A$2:$A$155,0),MATCH(EDATE($E57,AQ$1-1),Raw_매출!$B$1:$BI$1,0))/(INDEX(요약_월별시즈널리티!$F$7:$F$18,MONTH(EDATE($E57,AQ$1-1)))/100))),"")</f>
        <v>4907794.9096826408</v>
      </c>
      <c r="AR57" cm="1">
        <f t="array" ref="AR57">IFERROR(IF($E57&lt;44348,"",IF(INDEX(Raw_매출!$B$2:$BI$155,MATCH($A57,Raw_매출!$A$2:$A$155,0),MATCH(EDATE($E57,AR$1-1),Raw_매출!$B$1:$BI$1,0))=0,"",INDEX(Raw_매출!$B$2:$BI$155,MATCH($A57,Raw_매출!$A$2:$A$155,0),MATCH(EDATE($E57,AR$1-1),Raw_매출!$B$1:$BI$1,0))/(INDEX(요약_월별시즈널리티!$F$7:$F$18,MONTH(EDATE($E57,AR$1-1)))/100))),"")</f>
        <v>5321617.0525836311</v>
      </c>
      <c r="AS57" cm="1">
        <f t="array" ref="AS57">IFERROR(IF($E57&lt;44348,"",IF(INDEX(Raw_매출!$B$2:$BI$155,MATCH($A57,Raw_매출!$A$2:$A$155,0),MATCH(EDATE($E57,AS$1-1),Raw_매출!$B$1:$BI$1,0))=0,"",INDEX(Raw_매출!$B$2:$BI$155,MATCH($A57,Raw_매출!$A$2:$A$155,0),MATCH(EDATE($E57,AS$1-1),Raw_매출!$B$1:$BI$1,0))/(INDEX(요약_월별시즈널리티!$F$7:$F$18,MONTH(EDATE($E57,AS$1-1)))/100))),"")</f>
        <v>5095141.524917556</v>
      </c>
      <c r="AT57" cm="1">
        <f t="array" ref="AT57">IFERROR(IF($E57&lt;44348,"",IF(INDEX(Raw_매출!$B$2:$BI$155,MATCH($A57,Raw_매출!$A$2:$A$155,0),MATCH(EDATE($E57,AT$1-1),Raw_매출!$B$1:$BI$1,0))=0,"",INDEX(Raw_매출!$B$2:$BI$155,MATCH($A57,Raw_매출!$A$2:$A$155,0),MATCH(EDATE($E57,AT$1-1),Raw_매출!$B$1:$BI$1,0))/(INDEX(요약_월별시즈널리티!$F$7:$F$18,MONTH(EDATE($E57,AT$1-1)))/100))),"")</f>
        <v>4954852.1752971038</v>
      </c>
      <c r="AU57" cm="1">
        <f t="array" ref="AU57">IFERROR(IF($E57&lt;44348,"",IF(INDEX(Raw_매출!$B$2:$BI$155,MATCH($A57,Raw_매출!$A$2:$A$155,0),MATCH(EDATE($E57,AU$1-1),Raw_매출!$B$1:$BI$1,0))=0,"",INDEX(Raw_매출!$B$2:$BI$155,MATCH($A57,Raw_매출!$A$2:$A$155,0),MATCH(EDATE($E57,AU$1-1),Raw_매출!$B$1:$BI$1,0))/(INDEX(요약_월별시즈널리티!$F$7:$F$18,MONTH(EDATE($E57,AU$1-1)))/100))),"")</f>
        <v>5988202.8301427234</v>
      </c>
      <c r="AV57" cm="1">
        <f t="array" ref="AV57">IFERROR(IF($E57&lt;44348,"",IF(INDEX(Raw_매출!$B$2:$BI$155,MATCH($A57,Raw_매출!$A$2:$A$155,0),MATCH(EDATE($E57,AV$1-1),Raw_매출!$B$1:$BI$1,0))=0,"",INDEX(Raw_매출!$B$2:$BI$155,MATCH($A57,Raw_매출!$A$2:$A$155,0),MATCH(EDATE($E57,AV$1-1),Raw_매출!$B$1:$BI$1,0))/(INDEX(요약_월별시즈널리티!$F$7:$F$18,MONTH(EDATE($E57,AV$1-1)))/100))),"")</f>
        <v>6036248.9223573199</v>
      </c>
      <c r="AW57" cm="1">
        <f t="array" ref="AW57">IFERROR(IF($E57&lt;44348,"",IF(INDEX(Raw_매출!$B$2:$BI$155,MATCH($A57,Raw_매출!$A$2:$A$155,0),MATCH(EDATE($E57,AW$1-1),Raw_매출!$B$1:$BI$1,0))=0,"",INDEX(Raw_매출!$B$2:$BI$155,MATCH($A57,Raw_매출!$A$2:$A$155,0),MATCH(EDATE($E57,AW$1-1),Raw_매출!$B$1:$BI$1,0))/(INDEX(요약_월별시즈널리티!$F$7:$F$18,MONTH(EDATE($E57,AW$1-1)))/100))),"")</f>
        <v>5187132.8348044567</v>
      </c>
      <c r="AX57" cm="1">
        <f t="array" ref="AX57">IFERROR(IF($E57&lt;44348,"",IF(INDEX(Raw_매출!$B$2:$BI$155,MATCH($A57,Raw_매출!$A$2:$A$155,0),MATCH(EDATE($E57,AX$1-1),Raw_매출!$B$1:$BI$1,0))=0,"",INDEX(Raw_매출!$B$2:$BI$155,MATCH($A57,Raw_매출!$A$2:$A$155,0),MATCH(EDATE($E57,AX$1-1),Raw_매출!$B$1:$BI$1,0))/(INDEX(요약_월별시즈널리티!$F$7:$F$18,MONTH(EDATE($E57,AX$1-1)))/100))),"")</f>
        <v>5186512.3453723565</v>
      </c>
      <c r="AY57" cm="1">
        <f t="array" ref="AY57">IFERROR(IF($E57&lt;44348,"",IF(INDEX(Raw_매출!$B$2:$BI$155,MATCH($A57,Raw_매출!$A$2:$A$155,0),MATCH(EDATE($E57,AY$1-1),Raw_매출!$B$1:$BI$1,0))=0,"",INDEX(Raw_매출!$B$2:$BI$155,MATCH($A57,Raw_매출!$A$2:$A$155,0),MATCH(EDATE($E57,AY$1-1),Raw_매출!$B$1:$BI$1,0))/(INDEX(요약_월별시즈널리티!$F$7:$F$18,MONTH(EDATE($E57,AY$1-1)))/100))),"")</f>
        <v>5849366.6883970918</v>
      </c>
      <c r="AZ57" t="str" cm="1">
        <f t="array" ref="AZ57">IFERROR(IF($E57&lt;44348,"",IF(INDEX(Raw_매출!$B$2:$BI$155,MATCH($A57,Raw_매출!$A$2:$A$155,0),MATCH(EDATE($E57,AZ$1-1),Raw_매출!$B$1:$BI$1,0))=0,"",INDEX(Raw_매출!$B$2:$BI$155,MATCH($A57,Raw_매출!$A$2:$A$155,0),MATCH(EDATE($E57,AZ$1-1),Raw_매출!$B$1:$BI$1,0))/(INDEX(요약_월별시즈널리티!$F$7:$F$18,MONTH(EDATE($E57,AZ$1-1)))/100))),"")</f>
        <v/>
      </c>
      <c r="BA57" t="str" cm="1">
        <f t="array" ref="BA57">IFERROR(IF($E57&lt;44348,"",IF(INDEX(Raw_매출!$B$2:$BI$155,MATCH($A57,Raw_매출!$A$2:$A$155,0),MATCH(EDATE($E57,BA$1-1),Raw_매출!$B$1:$BI$1,0))=0,"",INDEX(Raw_매출!$B$2:$BI$155,MATCH($A57,Raw_매출!$A$2:$A$155,0),MATCH(EDATE($E57,BA$1-1),Raw_매출!$B$1:$BI$1,0))/(INDEX(요약_월별시즈널리티!$F$7:$F$18,MONTH(EDATE($E57,BA$1-1)))/100))),"")</f>
        <v/>
      </c>
      <c r="BB57" t="str" cm="1">
        <f t="array" ref="BB57">IFERROR(IF($E57&lt;44348,"",IF(INDEX(Raw_매출!$B$2:$BI$155,MATCH($A57,Raw_매출!$A$2:$A$155,0),MATCH(EDATE($E57,BB$1-1),Raw_매출!$B$1:$BI$1,0))=0,"",INDEX(Raw_매출!$B$2:$BI$155,MATCH($A57,Raw_매출!$A$2:$A$155,0),MATCH(EDATE($E57,BB$1-1),Raw_매출!$B$1:$BI$1,0))/(INDEX(요약_월별시즈널리티!$F$7:$F$18,MONTH(EDATE($E57,BB$1-1)))/100))),"")</f>
        <v/>
      </c>
      <c r="BC57" t="str" cm="1">
        <f t="array" ref="BC57">IFERROR(IF($E57&lt;44348,"",IF(INDEX(Raw_매출!$B$2:$BI$155,MATCH($A57,Raw_매출!$A$2:$A$155,0),MATCH(EDATE($E57,BC$1-1),Raw_매출!$B$1:$BI$1,0))=0,"",INDEX(Raw_매출!$B$2:$BI$155,MATCH($A57,Raw_매출!$A$2:$A$155,0),MATCH(EDATE($E57,BC$1-1),Raw_매출!$B$1:$BI$1,0))/(INDEX(요약_월별시즈널리티!$F$7:$F$18,MONTH(EDATE($E57,BC$1-1)))/100))),"")</f>
        <v/>
      </c>
      <c r="BD57" t="str" cm="1">
        <f t="array" ref="BD57">IFERROR(IF($E57&lt;44348,"",IF(INDEX(Raw_매출!$B$2:$BI$155,MATCH($A57,Raw_매출!$A$2:$A$155,0),MATCH(EDATE($E57,BD$1-1),Raw_매출!$B$1:$BI$1,0))=0,"",INDEX(Raw_매출!$B$2:$BI$155,MATCH($A57,Raw_매출!$A$2:$A$155,0),MATCH(EDATE($E57,BD$1-1),Raw_매출!$B$1:$BI$1,0))/(INDEX(요약_월별시즈널리티!$F$7:$F$18,MONTH(EDATE($E57,BD$1-1)))/100))),"")</f>
        <v/>
      </c>
      <c r="BE57" t="str" cm="1">
        <f t="array" ref="BE57">IFERROR(IF($E57&lt;44348,"",IF(INDEX(Raw_매출!$B$2:$BI$155,MATCH($A57,Raw_매출!$A$2:$A$155,0),MATCH(EDATE($E57,BE$1-1),Raw_매출!$B$1:$BI$1,0))=0,"",INDEX(Raw_매출!$B$2:$BI$155,MATCH($A57,Raw_매출!$A$2:$A$155,0),MATCH(EDATE($E57,BE$1-1),Raw_매출!$B$1:$BI$1,0))/(INDEX(요약_월별시즈널리티!$F$7:$F$18,MONTH(EDATE($E57,BE$1-1)))/100))),"")</f>
        <v/>
      </c>
      <c r="BF57" t="str" cm="1">
        <f t="array" ref="BF57">IFERROR(IF($E57&lt;44348,"",IF(INDEX(Raw_매출!$B$2:$BI$155,MATCH($A57,Raw_매출!$A$2:$A$155,0),MATCH(EDATE($E57,BF$1-1),Raw_매출!$B$1:$BI$1,0))=0,"",INDEX(Raw_매출!$B$2:$BI$155,MATCH($A57,Raw_매출!$A$2:$A$155,0),MATCH(EDATE($E57,BF$1-1),Raw_매출!$B$1:$BI$1,0))/(INDEX(요약_월별시즈널리티!$F$7:$F$18,MONTH(EDATE($E57,BF$1-1)))/100))),"")</f>
        <v/>
      </c>
      <c r="BG57" t="str" cm="1">
        <f t="array" ref="BG57">IFERROR(IF($E57&lt;44348,"",IF(INDEX(Raw_매출!$B$2:$BI$155,MATCH($A57,Raw_매출!$A$2:$A$155,0),MATCH(EDATE($E57,BG$1-1),Raw_매출!$B$1:$BI$1,0))=0,"",INDEX(Raw_매출!$B$2:$BI$155,MATCH($A57,Raw_매출!$A$2:$A$155,0),MATCH(EDATE($E57,BG$1-1),Raw_매출!$B$1:$BI$1,0))/(INDEX(요약_월별시즈널리티!$F$7:$F$18,MONTH(EDATE($E57,BG$1-1)))/100))),"")</f>
        <v/>
      </c>
      <c r="BH57" t="str" cm="1">
        <f t="array" ref="BH57">IFERROR(IF($E57&lt;44348,"",IF(INDEX(Raw_매출!$B$2:$BI$155,MATCH($A57,Raw_매출!$A$2:$A$155,0),MATCH(EDATE($E57,BH$1-1),Raw_매출!$B$1:$BI$1,0))=0,"",INDEX(Raw_매출!$B$2:$BI$155,MATCH($A57,Raw_매출!$A$2:$A$155,0),MATCH(EDATE($E57,BH$1-1),Raw_매출!$B$1:$BI$1,0))/(INDEX(요약_월별시즈널리티!$F$7:$F$18,MONTH(EDATE($E57,BH$1-1)))/100))),"")</f>
        <v/>
      </c>
      <c r="BI57" t="str" cm="1">
        <f t="array" ref="BI57">IFERROR(IF($E57&lt;44348,"",IF(INDEX(Raw_매출!$B$2:$BI$155,MATCH($A57,Raw_매출!$A$2:$A$155,0),MATCH(EDATE($E57,BI$1-1),Raw_매출!$B$1:$BI$1,0))=0,"",INDEX(Raw_매출!$B$2:$BI$155,MATCH($A57,Raw_매출!$A$2:$A$155,0),MATCH(EDATE($E57,BI$1-1),Raw_매출!$B$1:$BI$1,0))/(INDEX(요약_월별시즈널리티!$F$7:$F$18,MONTH(EDATE($E57,BI$1-1)))/100))),"")</f>
        <v/>
      </c>
      <c r="BJ57" t="str" cm="1">
        <f t="array" ref="BJ57">IFERROR(IF($E57&lt;44348,"",IF(INDEX(Raw_매출!$B$2:$BI$155,MATCH($A57,Raw_매출!$A$2:$A$155,0),MATCH(EDATE($E57,BJ$1-1),Raw_매출!$B$1:$BI$1,0))=0,"",INDEX(Raw_매출!$B$2:$BI$155,MATCH($A57,Raw_매출!$A$2:$A$155,0),MATCH(EDATE($E57,BJ$1-1),Raw_매출!$B$1:$BI$1,0))/(INDEX(요약_월별시즈널리티!$F$7:$F$18,MONTH(EDATE($E57,BJ$1-1)))/100))),"")</f>
        <v/>
      </c>
      <c r="BK57" t="str" cm="1">
        <f t="array" ref="BK57">IFERROR(IF($E57&lt;44348,"",IF(INDEX(Raw_매출!$B$2:$BI$155,MATCH($A57,Raw_매출!$A$2:$A$155,0),MATCH(EDATE($E57,BK$1-1),Raw_매출!$B$1:$BI$1,0))=0,"",INDEX(Raw_매출!$B$2:$BI$155,MATCH($A57,Raw_매출!$A$2:$A$155,0),MATCH(EDATE($E57,BK$1-1),Raw_매출!$B$1:$BI$1,0))/(INDEX(요약_월별시즈널리티!$F$7:$F$18,MONTH(EDATE($E57,BK$1-1)))/100))),"")</f>
        <v/>
      </c>
      <c r="BL57" t="str" cm="1">
        <f t="array" ref="BL57">IFERROR(IF($E57&lt;44348,"",IF(INDEX(Raw_매출!$B$2:$BI$155,MATCH($A57,Raw_매출!$A$2:$A$155,0),MATCH(EDATE($E57,BL$1-1),Raw_매출!$B$1:$BI$1,0))=0,"",INDEX(Raw_매출!$B$2:$BI$155,MATCH($A57,Raw_매출!$A$2:$A$155,0),MATCH(EDATE($E57,BL$1-1),Raw_매출!$B$1:$BI$1,0))/(INDEX(요약_월별시즈널리티!$F$7:$F$18,MONTH(EDATE($E57,BL$1-1)))/100))),"")</f>
        <v/>
      </c>
      <c r="BM57" t="str" cm="1">
        <f t="array" ref="BM57">IFERROR(IF($E57&lt;44348,"",IF(INDEX(Raw_매출!$B$2:$BI$155,MATCH($A57,Raw_매출!$A$2:$A$155,0),MATCH(EDATE($E57,BM$1-1),Raw_매출!$B$1:$BI$1,0))=0,"",INDEX(Raw_매출!$B$2:$BI$155,MATCH($A57,Raw_매출!$A$2:$A$155,0),MATCH(EDATE($E57,BM$1-1),Raw_매출!$B$1:$BI$1,0))/(INDEX(요약_월별시즈널리티!$F$7:$F$18,MONTH(EDATE($E57,BM$1-1)))/100))),"")</f>
        <v/>
      </c>
      <c r="BN57" t="str" cm="1">
        <f t="array" ref="BN57">IFERROR(IF($E57&lt;44348,"",IF(INDEX(Raw_매출!$B$2:$BI$155,MATCH($A57,Raw_매출!$A$2:$A$155,0),MATCH(EDATE($E57,BN$1-1),Raw_매출!$B$1:$BI$1,0))=0,"",INDEX(Raw_매출!$B$2:$BI$155,MATCH($A57,Raw_매출!$A$2:$A$155,0),MATCH(EDATE($E57,BN$1-1),Raw_매출!$B$1:$BI$1,0))/(INDEX(요약_월별시즈널리티!$F$7:$F$18,MONTH(EDATE($E57,BN$1-1)))/100))),"")</f>
        <v/>
      </c>
    </row>
    <row r="58" spans="1:66" x14ac:dyDescent="0.4">
      <c r="A58" t="str">
        <f>세팅!A59</f>
        <v>(1047) #복우물공원점</v>
      </c>
      <c r="B58" t="str">
        <f>세팅!B59</f>
        <v>150-2</v>
      </c>
      <c r="C58">
        <f t="shared" si="0"/>
        <v>2</v>
      </c>
      <c r="D58" t="str">
        <f t="shared" si="1"/>
        <v>2</v>
      </c>
      <c r="E58" s="1">
        <f>세팅!D59</f>
        <v>44805</v>
      </c>
      <c r="F58">
        <f t="shared" si="2"/>
        <v>2818268.3051231508</v>
      </c>
      <c r="G58" cm="1">
        <f t="array" ref="G58">IFERROR(IF($E58&lt;44348,"",IF(INDEX(Raw_매출!$B$2:$BI$155,MATCH($A58,Raw_매출!$A$2:$A$155,0),MATCH(EDATE($E58,G$1-1),Raw_매출!$B$1:$BI$1,0))=0,"",INDEX(Raw_매출!$B$2:$BI$155,MATCH($A58,Raw_매출!$A$2:$A$155,0),MATCH(EDATE($E58,G$1-1),Raw_매출!$B$1:$BI$1,0))/(INDEX(요약_월별시즈널리티!$F$7:$F$18,MONTH(EDATE($E58,G$1-1)))/100))),"")</f>
        <v>2207511.9399366202</v>
      </c>
      <c r="H58" cm="1">
        <f t="array" ref="H58">IFERROR(IF($E58&lt;44348,"",IF(INDEX(Raw_매출!$B$2:$BI$155,MATCH($A58,Raw_매출!$A$2:$A$155,0),MATCH(EDATE($E58,H$1-1),Raw_매출!$B$1:$BI$1,0))=0,"",INDEX(Raw_매출!$B$2:$BI$155,MATCH($A58,Raw_매출!$A$2:$A$155,0),MATCH(EDATE($E58,H$1-1),Raw_매출!$B$1:$BI$1,0))/(INDEX(요약_월별시즈널리티!$F$7:$F$18,MONTH(EDATE($E58,H$1-1)))/100))),"")</f>
        <v>2399507.3102090904</v>
      </c>
      <c r="I58" cm="1">
        <f t="array" ref="I58">IFERROR(IF($E58&lt;44348,"",IF(INDEX(Raw_매출!$B$2:$BI$155,MATCH($A58,Raw_매출!$A$2:$A$155,0),MATCH(EDATE($E58,I$1-1),Raw_매출!$B$1:$BI$1,0))=0,"",INDEX(Raw_매출!$B$2:$BI$155,MATCH($A58,Raw_매출!$A$2:$A$155,0),MATCH(EDATE($E58,I$1-1),Raw_매출!$B$1:$BI$1,0))/(INDEX(요약_월별시즈널리티!$F$7:$F$18,MONTH(EDATE($E58,I$1-1)))/100))),"")</f>
        <v>2509784.7192685655</v>
      </c>
      <c r="J58" s="30" cm="1">
        <f t="array" ref="J58">IFERROR(IF($E58&lt;44348,"",IF(INDEX(Raw_매출!$B$2:$BI$155,MATCH($A58,Raw_매출!$A$2:$A$155,0),MATCH(EDATE($E58,J$1-1),Raw_매출!$B$1:$BI$1,0))=0,"",INDEX(Raw_매출!$B$2:$BI$155,MATCH($A58,Raw_매출!$A$2:$A$155,0),MATCH(EDATE($E58,J$1-1),Raw_매출!$B$1:$BI$1,0))/(INDEX(요약_월별시즈널리티!$F$7:$F$18,MONTH(EDATE($E58,J$1-1)))/100))),"")</f>
        <v>2404418.5820714529</v>
      </c>
      <c r="K58" s="30" cm="1">
        <f t="array" ref="K58">IFERROR(IF($E58&lt;44348,"",IF(INDEX(Raw_매출!$B$2:$BI$155,MATCH($A58,Raw_매출!$A$2:$A$155,0),MATCH(EDATE($E58,K$1-1),Raw_매출!$B$1:$BI$1,0))=0,"",INDEX(Raw_매출!$B$2:$BI$155,MATCH($A58,Raw_매출!$A$2:$A$155,0),MATCH(EDATE($E58,K$1-1),Raw_매출!$B$1:$BI$1,0))/(INDEX(요약_월별시즈널리티!$F$7:$F$18,MONTH(EDATE($E58,K$1-1)))/100))),"")</f>
        <v>2914446.6334109111</v>
      </c>
      <c r="L58" s="30" cm="1">
        <f t="array" ref="L58">IFERROR(IF($E58&lt;44348,"",IF(INDEX(Raw_매출!$B$2:$BI$155,MATCH($A58,Raw_매출!$A$2:$A$155,0),MATCH(EDATE($E58,L$1-1),Raw_매출!$B$1:$BI$1,0))=0,"",INDEX(Raw_매출!$B$2:$BI$155,MATCH($A58,Raw_매출!$A$2:$A$155,0),MATCH(EDATE($E58,L$1-1),Raw_매출!$B$1:$BI$1,0))/(INDEX(요약_월별시즈널리티!$F$7:$F$18,MONTH(EDATE($E58,L$1-1)))/100))),"")</f>
        <v>2823659.7275867504</v>
      </c>
      <c r="M58" s="30" cm="1">
        <f t="array" ref="M58">IFERROR(IF($E58&lt;44348,"",IF(INDEX(Raw_매출!$B$2:$BI$155,MATCH($A58,Raw_매출!$A$2:$A$155,0),MATCH(EDATE($E58,M$1-1),Raw_매출!$B$1:$BI$1,0))=0,"",INDEX(Raw_매출!$B$2:$BI$155,MATCH($A58,Raw_매출!$A$2:$A$155,0),MATCH(EDATE($E58,M$1-1),Raw_매출!$B$1:$BI$1,0))/(INDEX(요약_월별시즈널리티!$F$7:$F$18,MONTH(EDATE($E58,M$1-1)))/100))),"")</f>
        <v>2786822.4704787438</v>
      </c>
      <c r="N58" s="30" cm="1">
        <f t="array" ref="N58">IFERROR(IF($E58&lt;44348,"",IF(INDEX(Raw_매출!$B$2:$BI$155,MATCH($A58,Raw_매출!$A$2:$A$155,0),MATCH(EDATE($E58,N$1-1),Raw_매출!$B$1:$BI$1,0))=0,"",INDEX(Raw_매출!$B$2:$BI$155,MATCH($A58,Raw_매출!$A$2:$A$155,0),MATCH(EDATE($E58,N$1-1),Raw_매출!$B$1:$BI$1,0))/(INDEX(요약_월별시즈널리티!$F$7:$F$18,MONTH(EDATE($E58,N$1-1)))/100))),"")</f>
        <v>2788085.3600262785</v>
      </c>
      <c r="O58" s="30" cm="1">
        <f t="array" ref="O58">IFERROR(IF($E58&lt;44348,"",IF(INDEX(Raw_매출!$B$2:$BI$155,MATCH($A58,Raw_매출!$A$2:$A$155,0),MATCH(EDATE($E58,O$1-1),Raw_매출!$B$1:$BI$1,0))=0,"",INDEX(Raw_매출!$B$2:$BI$155,MATCH($A58,Raw_매출!$A$2:$A$155,0),MATCH(EDATE($E58,O$1-1),Raw_매출!$B$1:$BI$1,0))/(INDEX(요약_월별시즈널리티!$F$7:$F$18,MONTH(EDATE($E58,O$1-1)))/100))),"")</f>
        <v>3192177.0571647687</v>
      </c>
      <c r="P58" cm="1">
        <f t="array" ref="P58">IFERROR(IF($E58&lt;44348,"",IF(INDEX(Raw_매출!$B$2:$BI$155,MATCH($A58,Raw_매출!$A$2:$A$155,0),MATCH(EDATE($E58,P$1-1),Raw_매출!$B$1:$BI$1,0))=0,"",INDEX(Raw_매출!$B$2:$BI$155,MATCH($A58,Raw_매출!$A$2:$A$155,0),MATCH(EDATE($E58,P$1-1),Raw_매출!$B$1:$BI$1,0))/(INDEX(요약_월별시즈널리티!$F$7:$F$18,MONTH(EDATE($E58,P$1-1)))/100))),"")</f>
        <v>2904615.5310910181</v>
      </c>
      <c r="Q58" cm="1">
        <f t="array" ref="Q58">IFERROR(IF($E58&lt;44348,"",IF(INDEX(Raw_매출!$B$2:$BI$155,MATCH($A58,Raw_매출!$A$2:$A$155,0),MATCH(EDATE($E58,Q$1-1),Raw_매출!$B$1:$BI$1,0))=0,"",INDEX(Raw_매출!$B$2:$BI$155,MATCH($A58,Raw_매출!$A$2:$A$155,0),MATCH(EDATE($E58,Q$1-1),Raw_매출!$B$1:$BI$1,0))/(INDEX(요약_월별시즈널리티!$F$7:$F$18,MONTH(EDATE($E58,Q$1-1)))/100))),"")</f>
        <v>2764173.991987464</v>
      </c>
      <c r="R58" cm="1">
        <f t="array" ref="R58">IFERROR(IF($E58&lt;44348,"",IF(INDEX(Raw_매출!$B$2:$BI$155,MATCH($A58,Raw_매출!$A$2:$A$155,0),MATCH(EDATE($E58,R$1-1),Raw_매출!$B$1:$BI$1,0))=0,"",INDEX(Raw_매출!$B$2:$BI$155,MATCH($A58,Raw_매출!$A$2:$A$155,0),MATCH(EDATE($E58,R$1-1),Raw_매출!$B$1:$BI$1,0))/(INDEX(요약_월별시즈널리티!$F$7:$F$18,MONTH(EDATE($E58,R$1-1)))/100))),"")</f>
        <v>2711543.0434068935</v>
      </c>
      <c r="S58" cm="1">
        <f t="array" ref="S58">IFERROR(IF($E58&lt;44348,"",IF(INDEX(Raw_매출!$B$2:$BI$155,MATCH($A58,Raw_매출!$A$2:$A$155,0),MATCH(EDATE($E58,S$1-1),Raw_매출!$B$1:$BI$1,0))=0,"",INDEX(Raw_매출!$B$2:$BI$155,MATCH($A58,Raw_매출!$A$2:$A$155,0),MATCH(EDATE($E58,S$1-1),Raw_매출!$B$1:$BI$1,0))/(INDEX(요약_월별시즈널리티!$F$7:$F$18,MONTH(EDATE($E58,S$1-1)))/100))),"")</f>
        <v>3544619.532193366</v>
      </c>
      <c r="T58" cm="1">
        <f t="array" ref="T58">IFERROR(IF($E58&lt;44348,"",IF(INDEX(Raw_매출!$B$2:$BI$155,MATCH($A58,Raw_매출!$A$2:$A$155,0),MATCH(EDATE($E58,T$1-1),Raw_매출!$B$1:$BI$1,0))=0,"",INDEX(Raw_매출!$B$2:$BI$155,MATCH($A58,Raw_매출!$A$2:$A$155,0),MATCH(EDATE($E58,T$1-1),Raw_매출!$B$1:$BI$1,0))/(INDEX(요약_월별시즈널리티!$F$7:$F$18,MONTH(EDATE($E58,T$1-1)))/100))),"")</f>
        <v>3242367.0183017883</v>
      </c>
      <c r="U58" cm="1">
        <f t="array" ref="U58">IFERROR(IF($E58&lt;44348,"",IF(INDEX(Raw_매출!$B$2:$BI$155,MATCH($A58,Raw_매출!$A$2:$A$155,0),MATCH(EDATE($E58,U$1-1),Raw_매출!$B$1:$BI$1,0))=0,"",INDEX(Raw_매출!$B$2:$BI$155,MATCH($A58,Raw_매출!$A$2:$A$155,0),MATCH(EDATE($E58,U$1-1),Raw_매출!$B$1:$BI$1,0))/(INDEX(요약_월별시즈널리티!$F$7:$F$18,MONTH(EDATE($E58,U$1-1)))/100))),"")</f>
        <v>3176851.4959742748</v>
      </c>
      <c r="V58" cm="1">
        <f t="array" ref="V58">IFERROR(IF($E58&lt;44348,"",IF(INDEX(Raw_매출!$B$2:$BI$155,MATCH($A58,Raw_매출!$A$2:$A$155,0),MATCH(EDATE($E58,V$1-1),Raw_매출!$B$1:$BI$1,0))=0,"",INDEX(Raw_매출!$B$2:$BI$155,MATCH($A58,Raw_매출!$A$2:$A$155,0),MATCH(EDATE($E58,V$1-1),Raw_매출!$B$1:$BI$1,0))/(INDEX(요약_월별시즈널리티!$F$7:$F$18,MONTH(EDATE($E58,V$1-1)))/100))),"")</f>
        <v>3361500.1408013552</v>
      </c>
      <c r="W58" cm="1">
        <f t="array" ref="W58">IFERROR(IF($E58&lt;44348,"",IF(INDEX(Raw_매출!$B$2:$BI$155,MATCH($A58,Raw_매출!$A$2:$A$155,0),MATCH(EDATE($E58,W$1-1),Raw_매출!$B$1:$BI$1,0))=0,"",INDEX(Raw_매출!$B$2:$BI$155,MATCH($A58,Raw_매출!$A$2:$A$155,0),MATCH(EDATE($E58,W$1-1),Raw_매출!$B$1:$BI$1,0))/(INDEX(요약_월별시즈널리티!$F$7:$F$18,MONTH(EDATE($E58,W$1-1)))/100))),"")</f>
        <v>3776214.4801792693</v>
      </c>
      <c r="X58" cm="1">
        <f t="array" ref="X58">IFERROR(IF($E58&lt;44348,"",IF(INDEX(Raw_매출!$B$2:$BI$155,MATCH($A58,Raw_매출!$A$2:$A$155,0),MATCH(EDATE($E58,X$1-1),Raw_매출!$B$1:$BI$1,0))=0,"",INDEX(Raw_매출!$B$2:$BI$155,MATCH($A58,Raw_매출!$A$2:$A$155,0),MATCH(EDATE($E58,X$1-1),Raw_매출!$B$1:$BI$1,0))/(INDEX(요약_월별시즈널리티!$F$7:$F$18,MONTH(EDATE($E58,X$1-1)))/100))),"")</f>
        <v>3495761.9274514122</v>
      </c>
      <c r="Y58" cm="1">
        <f t="array" ref="Y58">IFERROR(IF($E58&lt;44348,"",IF(INDEX(Raw_매출!$B$2:$BI$155,MATCH($A58,Raw_매출!$A$2:$A$155,0),MATCH(EDATE($E58,Y$1-1),Raw_매출!$B$1:$BI$1,0))=0,"",INDEX(Raw_매출!$B$2:$BI$155,MATCH($A58,Raw_매출!$A$2:$A$155,0),MATCH(EDATE($E58,Y$1-1),Raw_매출!$B$1:$BI$1,0))/(INDEX(요약_월별시즈널리티!$F$7:$F$18,MONTH(EDATE($E58,Y$1-1)))/100))),"")</f>
        <v>3661049.0911108311</v>
      </c>
      <c r="Z58" cm="1">
        <f t="array" ref="Z58">IFERROR(IF($E58&lt;44348,"",IF(INDEX(Raw_매출!$B$2:$BI$155,MATCH($A58,Raw_매출!$A$2:$A$155,0),MATCH(EDATE($E58,Z$1-1),Raw_매출!$B$1:$BI$1,0))=0,"",INDEX(Raw_매출!$B$2:$BI$155,MATCH($A58,Raw_매출!$A$2:$A$155,0),MATCH(EDATE($E58,Z$1-1),Raw_매출!$B$1:$BI$1,0))/(INDEX(요약_월별시즈널리티!$F$7:$F$18,MONTH(EDATE($E58,Z$1-1)))/100))),"")</f>
        <v>3970469.8223158098</v>
      </c>
      <c r="AA58" cm="1">
        <f t="array" ref="AA58">IFERROR(IF($E58&lt;44348,"",IF(INDEX(Raw_매출!$B$2:$BI$155,MATCH($A58,Raw_매출!$A$2:$A$155,0),MATCH(EDATE($E58,AA$1-1),Raw_매출!$B$1:$BI$1,0))=0,"",INDEX(Raw_매출!$B$2:$BI$155,MATCH($A58,Raw_매출!$A$2:$A$155,0),MATCH(EDATE($E58,AA$1-1),Raw_매출!$B$1:$BI$1,0))/(INDEX(요약_월별시즈널리티!$F$7:$F$18,MONTH(EDATE($E58,AA$1-1)))/100))),"")</f>
        <v>3284710.8056629295</v>
      </c>
      <c r="AB58" cm="1">
        <f t="array" ref="AB58">IFERROR(IF($E58&lt;44348,"",IF(INDEX(Raw_매출!$B$2:$BI$155,MATCH($A58,Raw_매출!$A$2:$A$155,0),MATCH(EDATE($E58,AB$1-1),Raw_매출!$B$1:$BI$1,0))=0,"",INDEX(Raw_매출!$B$2:$BI$155,MATCH($A58,Raw_매출!$A$2:$A$155,0),MATCH(EDATE($E58,AB$1-1),Raw_매출!$B$1:$BI$1,0))/(INDEX(요약_월별시즈널리티!$F$7:$F$18,MONTH(EDATE($E58,AB$1-1)))/100))),"")</f>
        <v>3877036.6408969043</v>
      </c>
      <c r="AC58" cm="1">
        <f t="array" ref="AC58">IFERROR(IF($E58&lt;44348,"",IF(INDEX(Raw_매출!$B$2:$BI$155,MATCH($A58,Raw_매출!$A$2:$A$155,0),MATCH(EDATE($E58,AC$1-1),Raw_매출!$B$1:$BI$1,0))=0,"",INDEX(Raw_매출!$B$2:$BI$155,MATCH($A58,Raw_매출!$A$2:$A$155,0),MATCH(EDATE($E58,AC$1-1),Raw_매출!$B$1:$BI$1,0))/(INDEX(요약_월별시즈널리티!$F$7:$F$18,MONTH(EDATE($E58,AC$1-1)))/100))),"")</f>
        <v>3805456.0556703173</v>
      </c>
      <c r="AD58" cm="1">
        <f t="array" ref="AD58">IFERROR(IF($E58&lt;44348,"",IF(INDEX(Raw_매출!$B$2:$BI$155,MATCH($A58,Raw_매출!$A$2:$A$155,0),MATCH(EDATE($E58,AD$1-1),Raw_매출!$B$1:$BI$1,0))=0,"",INDEX(Raw_매출!$B$2:$BI$155,MATCH($A58,Raw_매출!$A$2:$A$155,0),MATCH(EDATE($E58,AD$1-1),Raw_매출!$B$1:$BI$1,0))/(INDEX(요약_월별시즈널리티!$F$7:$F$18,MONTH(EDATE($E58,AD$1-1)))/100))),"")</f>
        <v>3647402.6771089477</v>
      </c>
      <c r="AE58" cm="1">
        <f t="array" ref="AE58">IFERROR(IF($E58&lt;44348,"",IF(INDEX(Raw_매출!$B$2:$BI$155,MATCH($A58,Raw_매출!$A$2:$A$155,0),MATCH(EDATE($E58,AE$1-1),Raw_매출!$B$1:$BI$1,0))=0,"",INDEX(Raw_매출!$B$2:$BI$155,MATCH($A58,Raw_매출!$A$2:$A$155,0),MATCH(EDATE($E58,AE$1-1),Raw_매출!$B$1:$BI$1,0))/(INDEX(요약_월별시즈널리티!$F$7:$F$18,MONTH(EDATE($E58,AE$1-1)))/100))),"")</f>
        <v>3611037.4524218412</v>
      </c>
      <c r="AF58" cm="1">
        <f t="array" ref="AF58">IFERROR(IF($E58&lt;44348,"",IF(INDEX(Raw_매출!$B$2:$BI$155,MATCH($A58,Raw_매출!$A$2:$A$155,0),MATCH(EDATE($E58,AF$1-1),Raw_매출!$B$1:$BI$1,0))=0,"",INDEX(Raw_매출!$B$2:$BI$155,MATCH($A58,Raw_매출!$A$2:$A$155,0),MATCH(EDATE($E58,AF$1-1),Raw_매출!$B$1:$BI$1,0))/(INDEX(요약_월별시즈널리티!$F$7:$F$18,MONTH(EDATE($E58,AF$1-1)))/100))),"")</f>
        <v>3339689.9344060975</v>
      </c>
      <c r="AG58" cm="1">
        <f t="array" ref="AG58">IFERROR(IF($E58&lt;44348,"",IF(INDEX(Raw_매출!$B$2:$BI$155,MATCH($A58,Raw_매출!$A$2:$A$155,0),MATCH(EDATE($E58,AG$1-1),Raw_매출!$B$1:$BI$1,0))=0,"",INDEX(Raw_매출!$B$2:$BI$155,MATCH($A58,Raw_매출!$A$2:$A$155,0),MATCH(EDATE($E58,AG$1-1),Raw_매출!$B$1:$BI$1,0))/(INDEX(요약_월별시즈널리티!$F$7:$F$18,MONTH(EDATE($E58,AG$1-1)))/100))),"")</f>
        <v>3454435.7990238792</v>
      </c>
      <c r="AH58" cm="1">
        <f t="array" ref="AH58">IFERROR(IF($E58&lt;44348,"",IF(INDEX(Raw_매출!$B$2:$BI$155,MATCH($A58,Raw_매출!$A$2:$A$155,0),MATCH(EDATE($E58,AH$1-1),Raw_매출!$B$1:$BI$1,0))=0,"",INDEX(Raw_매출!$B$2:$BI$155,MATCH($A58,Raw_매출!$A$2:$A$155,0),MATCH(EDATE($E58,AH$1-1),Raw_매출!$B$1:$BI$1,0))/(INDEX(요약_월별시즈널리티!$F$7:$F$18,MONTH(EDATE($E58,AH$1-1)))/100))),"")</f>
        <v>3016882.2625404187</v>
      </c>
      <c r="AI58" cm="1">
        <f t="array" ref="AI58">IFERROR(IF($E58&lt;44348,"",IF(INDEX(Raw_매출!$B$2:$BI$155,MATCH($A58,Raw_매출!$A$2:$A$155,0),MATCH(EDATE($E58,AI$1-1),Raw_매출!$B$1:$BI$1,0))=0,"",INDEX(Raw_매출!$B$2:$BI$155,MATCH($A58,Raw_매출!$A$2:$A$155,0),MATCH(EDATE($E58,AI$1-1),Raw_매출!$B$1:$BI$1,0))/(INDEX(요약_월별시즈널리티!$F$7:$F$18,MONTH(EDATE($E58,AI$1-1)))/100))),"")</f>
        <v>3474446.8823013799</v>
      </c>
      <c r="AJ58" cm="1">
        <f t="array" ref="AJ58">IFERROR(IF($E58&lt;44348,"",IF(INDEX(Raw_매출!$B$2:$BI$155,MATCH($A58,Raw_매출!$A$2:$A$155,0),MATCH(EDATE($E58,AJ$1-1),Raw_매출!$B$1:$BI$1,0))=0,"",INDEX(Raw_매출!$B$2:$BI$155,MATCH($A58,Raw_매출!$A$2:$A$155,0),MATCH(EDATE($E58,AJ$1-1),Raw_매출!$B$1:$BI$1,0))/(INDEX(요약_월별시즈널리티!$F$7:$F$18,MONTH(EDATE($E58,AJ$1-1)))/100))),"")</f>
        <v>4121712.7141214833</v>
      </c>
      <c r="AK58" cm="1">
        <f t="array" ref="AK58">IFERROR(IF($E58&lt;44348,"",IF(INDEX(Raw_매출!$B$2:$BI$155,MATCH($A58,Raw_매출!$A$2:$A$155,0),MATCH(EDATE($E58,AK$1-1),Raw_매출!$B$1:$BI$1,0))=0,"",INDEX(Raw_매출!$B$2:$BI$155,MATCH($A58,Raw_매출!$A$2:$A$155,0),MATCH(EDATE($E58,AK$1-1),Raw_매출!$B$1:$BI$1,0))/(INDEX(요약_월별시즈널리티!$F$7:$F$18,MONTH(EDATE($E58,AK$1-1)))/100))),"")</f>
        <v>3854315.4352599848</v>
      </c>
      <c r="AL58" cm="1">
        <f t="array" ref="AL58">IFERROR(IF($E58&lt;44348,"",IF(INDEX(Raw_매출!$B$2:$BI$155,MATCH($A58,Raw_매출!$A$2:$A$155,0),MATCH(EDATE($E58,AL$1-1),Raw_매출!$B$1:$BI$1,0))=0,"",INDEX(Raw_매출!$B$2:$BI$155,MATCH($A58,Raw_매출!$A$2:$A$155,0),MATCH(EDATE($E58,AL$1-1),Raw_매출!$B$1:$BI$1,0))/(INDEX(요약_월별시즈널리티!$F$7:$F$18,MONTH(EDATE($E58,AL$1-1)))/100))),"")</f>
        <v>4005485.3972332184</v>
      </c>
      <c r="AM58" cm="1">
        <f t="array" ref="AM58">IFERROR(IF($E58&lt;44348,"",IF(INDEX(Raw_매출!$B$2:$BI$155,MATCH($A58,Raw_매출!$A$2:$A$155,0),MATCH(EDATE($E58,AM$1-1),Raw_매출!$B$1:$BI$1,0))=0,"",INDEX(Raw_매출!$B$2:$BI$155,MATCH($A58,Raw_매출!$A$2:$A$155,0),MATCH(EDATE($E58,AM$1-1),Raw_매출!$B$1:$BI$1,0))/(INDEX(요약_월별시즈널리티!$F$7:$F$18,MONTH(EDATE($E58,AM$1-1)))/100))),"")</f>
        <v>4178226.1718020448</v>
      </c>
      <c r="AN58" cm="1">
        <f t="array" ref="AN58">IFERROR(IF($E58&lt;44348,"",IF(INDEX(Raw_매출!$B$2:$BI$155,MATCH($A58,Raw_매출!$A$2:$A$155,0),MATCH(EDATE($E58,AN$1-1),Raw_매출!$B$1:$BI$1,0))=0,"",INDEX(Raw_매출!$B$2:$BI$155,MATCH($A58,Raw_매출!$A$2:$A$155,0),MATCH(EDATE($E58,AN$1-1),Raw_매출!$B$1:$BI$1,0))/(INDEX(요약_월별시즈널리티!$F$7:$F$18,MONTH(EDATE($E58,AN$1-1)))/100))),"")</f>
        <v>4339566.6257021232</v>
      </c>
      <c r="AO58" cm="1">
        <f t="array" ref="AO58">IFERROR(IF($E58&lt;44348,"",IF(INDEX(Raw_매출!$B$2:$BI$155,MATCH($A58,Raw_매출!$A$2:$A$155,0),MATCH(EDATE($E58,AO$1-1),Raw_매출!$B$1:$BI$1,0))=0,"",INDEX(Raw_매출!$B$2:$BI$155,MATCH($A58,Raw_매출!$A$2:$A$155,0),MATCH(EDATE($E58,AO$1-1),Raw_매출!$B$1:$BI$1,0))/(INDEX(요약_월별시즈널리티!$F$7:$F$18,MONTH(EDATE($E58,AO$1-1)))/100))),"")</f>
        <v>3366264.2979110926</v>
      </c>
      <c r="AP58" cm="1">
        <f t="array" ref="AP58">IFERROR(IF($E58&lt;44348,"",IF(INDEX(Raw_매출!$B$2:$BI$155,MATCH($A58,Raw_매출!$A$2:$A$155,0),MATCH(EDATE($E58,AP$1-1),Raw_매출!$B$1:$BI$1,0))=0,"",INDEX(Raw_매출!$B$2:$BI$155,MATCH($A58,Raw_매출!$A$2:$A$155,0),MATCH(EDATE($E58,AP$1-1),Raw_매출!$B$1:$BI$1,0))/(INDEX(요약_월별시즈널리티!$F$7:$F$18,MONTH(EDATE($E58,AP$1-1)))/100))),"")</f>
        <v>3872890.9511559033</v>
      </c>
      <c r="AQ58" cm="1">
        <f t="array" ref="AQ58">IFERROR(IF($E58&lt;44348,"",IF(INDEX(Raw_매출!$B$2:$BI$155,MATCH($A58,Raw_매출!$A$2:$A$155,0),MATCH(EDATE($E58,AQ$1-1),Raw_매출!$B$1:$BI$1,0))=0,"",INDEX(Raw_매출!$B$2:$BI$155,MATCH($A58,Raw_매출!$A$2:$A$155,0),MATCH(EDATE($E58,AQ$1-1),Raw_매출!$B$1:$BI$1,0))/(INDEX(요약_월별시즈널리티!$F$7:$F$18,MONTH(EDATE($E58,AQ$1-1)))/100))),"")</f>
        <v>3628116.3461948778</v>
      </c>
      <c r="AR58" cm="1">
        <f t="array" ref="AR58">IFERROR(IF($E58&lt;44348,"",IF(INDEX(Raw_매출!$B$2:$BI$155,MATCH($A58,Raw_매출!$A$2:$A$155,0),MATCH(EDATE($E58,AR$1-1),Raw_매출!$B$1:$BI$1,0))=0,"",INDEX(Raw_매출!$B$2:$BI$155,MATCH($A58,Raw_매출!$A$2:$A$155,0),MATCH(EDATE($E58,AR$1-1),Raw_매출!$B$1:$BI$1,0))/(INDEX(요약_월별시즈널리티!$F$7:$F$18,MONTH(EDATE($E58,AR$1-1)))/100))),"")</f>
        <v>3854593.042541963</v>
      </c>
      <c r="AS58" cm="1">
        <f t="array" ref="AS58">IFERROR(IF($E58&lt;44348,"",IF(INDEX(Raw_매출!$B$2:$BI$155,MATCH($A58,Raw_매출!$A$2:$A$155,0),MATCH(EDATE($E58,AS$1-1),Raw_매출!$B$1:$BI$1,0))=0,"",INDEX(Raw_매출!$B$2:$BI$155,MATCH($A58,Raw_매출!$A$2:$A$155,0),MATCH(EDATE($E58,AS$1-1),Raw_매출!$B$1:$BI$1,0))/(INDEX(요약_월별시즈널리티!$F$7:$F$18,MONTH(EDATE($E58,AS$1-1)))/100))),"")</f>
        <v>3513314.4072485873</v>
      </c>
      <c r="AT58" cm="1">
        <f t="array" ref="AT58">IFERROR(IF($E58&lt;44348,"",IF(INDEX(Raw_매출!$B$2:$BI$155,MATCH($A58,Raw_매출!$A$2:$A$155,0),MATCH(EDATE($E58,AT$1-1),Raw_매출!$B$1:$BI$1,0))=0,"",INDEX(Raw_매출!$B$2:$BI$155,MATCH($A58,Raw_매출!$A$2:$A$155,0),MATCH(EDATE($E58,AT$1-1),Raw_매출!$B$1:$BI$1,0))/(INDEX(요약_월별시즈널리티!$F$7:$F$18,MONTH(EDATE($E58,AT$1-1)))/100))),"")</f>
        <v>3429243.0542477621</v>
      </c>
      <c r="AU58" cm="1">
        <f t="array" ref="AU58">IFERROR(IF($E58&lt;44348,"",IF(INDEX(Raw_매출!$B$2:$BI$155,MATCH($A58,Raw_매출!$A$2:$A$155,0),MATCH(EDATE($E58,AU$1-1),Raw_매출!$B$1:$BI$1,0))=0,"",INDEX(Raw_매출!$B$2:$BI$155,MATCH($A58,Raw_매출!$A$2:$A$155,0),MATCH(EDATE($E58,AU$1-1),Raw_매출!$B$1:$BI$1,0))/(INDEX(요약_월별시즈널리티!$F$7:$F$18,MONTH(EDATE($E58,AU$1-1)))/100))),"")</f>
        <v>3579247.1328931185</v>
      </c>
      <c r="AV58" cm="1">
        <f t="array" ref="AV58">IFERROR(IF($E58&lt;44348,"",IF(INDEX(Raw_매출!$B$2:$BI$155,MATCH($A58,Raw_매출!$A$2:$A$155,0),MATCH(EDATE($E58,AV$1-1),Raw_매출!$B$1:$BI$1,0))=0,"",INDEX(Raw_매출!$B$2:$BI$155,MATCH($A58,Raw_매출!$A$2:$A$155,0),MATCH(EDATE($E58,AV$1-1),Raw_매출!$B$1:$BI$1,0))/(INDEX(요약_월별시즈널리티!$F$7:$F$18,MONTH(EDATE($E58,AV$1-1)))/100))),"")</f>
        <v>3923463.3273652876</v>
      </c>
      <c r="AW58" cm="1">
        <f t="array" ref="AW58">IFERROR(IF($E58&lt;44348,"",IF(INDEX(Raw_매출!$B$2:$BI$155,MATCH($A58,Raw_매출!$A$2:$A$155,0),MATCH(EDATE($E58,AW$1-1),Raw_매출!$B$1:$BI$1,0))=0,"",INDEX(Raw_매출!$B$2:$BI$155,MATCH($A58,Raw_매출!$A$2:$A$155,0),MATCH(EDATE($E58,AW$1-1),Raw_매출!$B$1:$BI$1,0))/(INDEX(요약_월별시즈널리티!$F$7:$F$18,MONTH(EDATE($E58,AW$1-1)))/100))),"")</f>
        <v>3668664.4848632473</v>
      </c>
      <c r="AX58" cm="1">
        <f t="array" ref="AX58">IFERROR(IF($E58&lt;44348,"",IF(INDEX(Raw_매출!$B$2:$BI$155,MATCH($A58,Raw_매출!$A$2:$A$155,0),MATCH(EDATE($E58,AX$1-1),Raw_매출!$B$1:$BI$1,0))=0,"",INDEX(Raw_매출!$B$2:$BI$155,MATCH($A58,Raw_매출!$A$2:$A$155,0),MATCH(EDATE($E58,AX$1-1),Raw_매출!$B$1:$BI$1,0))/(INDEX(요약_월별시즈널리티!$F$7:$F$18,MONTH(EDATE($E58,AX$1-1)))/100))),"")</f>
        <v>3810987.816403138</v>
      </c>
      <c r="AY58" cm="1">
        <f t="array" ref="AY58">IFERROR(IF($E58&lt;44348,"",IF(INDEX(Raw_매출!$B$2:$BI$155,MATCH($A58,Raw_매출!$A$2:$A$155,0),MATCH(EDATE($E58,AY$1-1),Raw_매출!$B$1:$BI$1,0))=0,"",INDEX(Raw_매출!$B$2:$BI$155,MATCH($A58,Raw_매출!$A$2:$A$155,0),MATCH(EDATE($E58,AY$1-1),Raw_매출!$B$1:$BI$1,0))/(INDEX(요약_월별시즈널리티!$F$7:$F$18,MONTH(EDATE($E58,AY$1-1)))/100))),"")</f>
        <v>3925329.0644963528</v>
      </c>
      <c r="AZ58" t="str" cm="1">
        <f t="array" ref="AZ58">IFERROR(IF($E58&lt;44348,"",IF(INDEX(Raw_매출!$B$2:$BI$155,MATCH($A58,Raw_매출!$A$2:$A$155,0),MATCH(EDATE($E58,AZ$1-1),Raw_매출!$B$1:$BI$1,0))=0,"",INDEX(Raw_매출!$B$2:$BI$155,MATCH($A58,Raw_매출!$A$2:$A$155,0),MATCH(EDATE($E58,AZ$1-1),Raw_매출!$B$1:$BI$1,0))/(INDEX(요약_월별시즈널리티!$F$7:$F$18,MONTH(EDATE($E58,AZ$1-1)))/100))),"")</f>
        <v/>
      </c>
      <c r="BA58" t="str" cm="1">
        <f t="array" ref="BA58">IFERROR(IF($E58&lt;44348,"",IF(INDEX(Raw_매출!$B$2:$BI$155,MATCH($A58,Raw_매출!$A$2:$A$155,0),MATCH(EDATE($E58,BA$1-1),Raw_매출!$B$1:$BI$1,0))=0,"",INDEX(Raw_매출!$B$2:$BI$155,MATCH($A58,Raw_매출!$A$2:$A$155,0),MATCH(EDATE($E58,BA$1-1),Raw_매출!$B$1:$BI$1,0))/(INDEX(요약_월별시즈널리티!$F$7:$F$18,MONTH(EDATE($E58,BA$1-1)))/100))),"")</f>
        <v/>
      </c>
      <c r="BB58" t="str" cm="1">
        <f t="array" ref="BB58">IFERROR(IF($E58&lt;44348,"",IF(INDEX(Raw_매출!$B$2:$BI$155,MATCH($A58,Raw_매출!$A$2:$A$155,0),MATCH(EDATE($E58,BB$1-1),Raw_매출!$B$1:$BI$1,0))=0,"",INDEX(Raw_매출!$B$2:$BI$155,MATCH($A58,Raw_매출!$A$2:$A$155,0),MATCH(EDATE($E58,BB$1-1),Raw_매출!$B$1:$BI$1,0))/(INDEX(요약_월별시즈널리티!$F$7:$F$18,MONTH(EDATE($E58,BB$1-1)))/100))),"")</f>
        <v/>
      </c>
      <c r="BC58" t="str" cm="1">
        <f t="array" ref="BC58">IFERROR(IF($E58&lt;44348,"",IF(INDEX(Raw_매출!$B$2:$BI$155,MATCH($A58,Raw_매출!$A$2:$A$155,0),MATCH(EDATE($E58,BC$1-1),Raw_매출!$B$1:$BI$1,0))=0,"",INDEX(Raw_매출!$B$2:$BI$155,MATCH($A58,Raw_매출!$A$2:$A$155,0),MATCH(EDATE($E58,BC$1-1),Raw_매출!$B$1:$BI$1,0))/(INDEX(요약_월별시즈널리티!$F$7:$F$18,MONTH(EDATE($E58,BC$1-1)))/100))),"")</f>
        <v/>
      </c>
      <c r="BD58" t="str" cm="1">
        <f t="array" ref="BD58">IFERROR(IF($E58&lt;44348,"",IF(INDEX(Raw_매출!$B$2:$BI$155,MATCH($A58,Raw_매출!$A$2:$A$155,0),MATCH(EDATE($E58,BD$1-1),Raw_매출!$B$1:$BI$1,0))=0,"",INDEX(Raw_매출!$B$2:$BI$155,MATCH($A58,Raw_매출!$A$2:$A$155,0),MATCH(EDATE($E58,BD$1-1),Raw_매출!$B$1:$BI$1,0))/(INDEX(요약_월별시즈널리티!$F$7:$F$18,MONTH(EDATE($E58,BD$1-1)))/100))),"")</f>
        <v/>
      </c>
      <c r="BE58" t="str" cm="1">
        <f t="array" ref="BE58">IFERROR(IF($E58&lt;44348,"",IF(INDEX(Raw_매출!$B$2:$BI$155,MATCH($A58,Raw_매출!$A$2:$A$155,0),MATCH(EDATE($E58,BE$1-1),Raw_매출!$B$1:$BI$1,0))=0,"",INDEX(Raw_매출!$B$2:$BI$155,MATCH($A58,Raw_매출!$A$2:$A$155,0),MATCH(EDATE($E58,BE$1-1),Raw_매출!$B$1:$BI$1,0))/(INDEX(요약_월별시즈널리티!$F$7:$F$18,MONTH(EDATE($E58,BE$1-1)))/100))),"")</f>
        <v/>
      </c>
      <c r="BF58" t="str" cm="1">
        <f t="array" ref="BF58">IFERROR(IF($E58&lt;44348,"",IF(INDEX(Raw_매출!$B$2:$BI$155,MATCH($A58,Raw_매출!$A$2:$A$155,0),MATCH(EDATE($E58,BF$1-1),Raw_매출!$B$1:$BI$1,0))=0,"",INDEX(Raw_매출!$B$2:$BI$155,MATCH($A58,Raw_매출!$A$2:$A$155,0),MATCH(EDATE($E58,BF$1-1),Raw_매출!$B$1:$BI$1,0))/(INDEX(요약_월별시즈널리티!$F$7:$F$18,MONTH(EDATE($E58,BF$1-1)))/100))),"")</f>
        <v/>
      </c>
      <c r="BG58" t="str" cm="1">
        <f t="array" ref="BG58">IFERROR(IF($E58&lt;44348,"",IF(INDEX(Raw_매출!$B$2:$BI$155,MATCH($A58,Raw_매출!$A$2:$A$155,0),MATCH(EDATE($E58,BG$1-1),Raw_매출!$B$1:$BI$1,0))=0,"",INDEX(Raw_매출!$B$2:$BI$155,MATCH($A58,Raw_매출!$A$2:$A$155,0),MATCH(EDATE($E58,BG$1-1),Raw_매출!$B$1:$BI$1,0))/(INDEX(요약_월별시즈널리티!$F$7:$F$18,MONTH(EDATE($E58,BG$1-1)))/100))),"")</f>
        <v/>
      </c>
      <c r="BH58" t="str" cm="1">
        <f t="array" ref="BH58">IFERROR(IF($E58&lt;44348,"",IF(INDEX(Raw_매출!$B$2:$BI$155,MATCH($A58,Raw_매출!$A$2:$A$155,0),MATCH(EDATE($E58,BH$1-1),Raw_매출!$B$1:$BI$1,0))=0,"",INDEX(Raw_매출!$B$2:$BI$155,MATCH($A58,Raw_매출!$A$2:$A$155,0),MATCH(EDATE($E58,BH$1-1),Raw_매출!$B$1:$BI$1,0))/(INDEX(요약_월별시즈널리티!$F$7:$F$18,MONTH(EDATE($E58,BH$1-1)))/100))),"")</f>
        <v/>
      </c>
      <c r="BI58" t="str" cm="1">
        <f t="array" ref="BI58">IFERROR(IF($E58&lt;44348,"",IF(INDEX(Raw_매출!$B$2:$BI$155,MATCH($A58,Raw_매출!$A$2:$A$155,0),MATCH(EDATE($E58,BI$1-1),Raw_매출!$B$1:$BI$1,0))=0,"",INDEX(Raw_매출!$B$2:$BI$155,MATCH($A58,Raw_매출!$A$2:$A$155,0),MATCH(EDATE($E58,BI$1-1),Raw_매출!$B$1:$BI$1,0))/(INDEX(요약_월별시즈널리티!$F$7:$F$18,MONTH(EDATE($E58,BI$1-1)))/100))),"")</f>
        <v/>
      </c>
      <c r="BJ58" t="str" cm="1">
        <f t="array" ref="BJ58">IFERROR(IF($E58&lt;44348,"",IF(INDEX(Raw_매출!$B$2:$BI$155,MATCH($A58,Raw_매출!$A$2:$A$155,0),MATCH(EDATE($E58,BJ$1-1),Raw_매출!$B$1:$BI$1,0))=0,"",INDEX(Raw_매출!$B$2:$BI$155,MATCH($A58,Raw_매출!$A$2:$A$155,0),MATCH(EDATE($E58,BJ$1-1),Raw_매출!$B$1:$BI$1,0))/(INDEX(요약_월별시즈널리티!$F$7:$F$18,MONTH(EDATE($E58,BJ$1-1)))/100))),"")</f>
        <v/>
      </c>
      <c r="BK58" t="str" cm="1">
        <f t="array" ref="BK58">IFERROR(IF($E58&lt;44348,"",IF(INDEX(Raw_매출!$B$2:$BI$155,MATCH($A58,Raw_매출!$A$2:$A$155,0),MATCH(EDATE($E58,BK$1-1),Raw_매출!$B$1:$BI$1,0))=0,"",INDEX(Raw_매출!$B$2:$BI$155,MATCH($A58,Raw_매출!$A$2:$A$155,0),MATCH(EDATE($E58,BK$1-1),Raw_매출!$B$1:$BI$1,0))/(INDEX(요약_월별시즈널리티!$F$7:$F$18,MONTH(EDATE($E58,BK$1-1)))/100))),"")</f>
        <v/>
      </c>
      <c r="BL58" t="str" cm="1">
        <f t="array" ref="BL58">IFERROR(IF($E58&lt;44348,"",IF(INDEX(Raw_매출!$B$2:$BI$155,MATCH($A58,Raw_매출!$A$2:$A$155,0),MATCH(EDATE($E58,BL$1-1),Raw_매출!$B$1:$BI$1,0))=0,"",INDEX(Raw_매출!$B$2:$BI$155,MATCH($A58,Raw_매출!$A$2:$A$155,0),MATCH(EDATE($E58,BL$1-1),Raw_매출!$B$1:$BI$1,0))/(INDEX(요약_월별시즈널리티!$F$7:$F$18,MONTH(EDATE($E58,BL$1-1)))/100))),"")</f>
        <v/>
      </c>
      <c r="BM58" t="str" cm="1">
        <f t="array" ref="BM58">IFERROR(IF($E58&lt;44348,"",IF(INDEX(Raw_매출!$B$2:$BI$155,MATCH($A58,Raw_매출!$A$2:$A$155,0),MATCH(EDATE($E58,BM$1-1),Raw_매출!$B$1:$BI$1,0))=0,"",INDEX(Raw_매출!$B$2:$BI$155,MATCH($A58,Raw_매출!$A$2:$A$155,0),MATCH(EDATE($E58,BM$1-1),Raw_매출!$B$1:$BI$1,0))/(INDEX(요약_월별시즈널리티!$F$7:$F$18,MONTH(EDATE($E58,BM$1-1)))/100))),"")</f>
        <v/>
      </c>
      <c r="BN58" t="str" cm="1">
        <f t="array" ref="BN58">IFERROR(IF($E58&lt;44348,"",IF(INDEX(Raw_매출!$B$2:$BI$155,MATCH($A58,Raw_매출!$A$2:$A$155,0),MATCH(EDATE($E58,BN$1-1),Raw_매출!$B$1:$BI$1,0))=0,"",INDEX(Raw_매출!$B$2:$BI$155,MATCH($A58,Raw_매출!$A$2:$A$155,0),MATCH(EDATE($E58,BN$1-1),Raw_매출!$B$1:$BI$1,0))/(INDEX(요약_월별시즈널리티!$F$7:$F$18,MONTH(EDATE($E58,BN$1-1)))/100))),"")</f>
        <v/>
      </c>
    </row>
    <row r="59" spans="1:66" x14ac:dyDescent="0.4">
      <c r="A59" t="str">
        <f>세팅!A60</f>
        <v>(1048) #라페스타호수점</v>
      </c>
      <c r="B59" t="str">
        <f>세팅!B60</f>
        <v>150-2</v>
      </c>
      <c r="C59">
        <f t="shared" si="0"/>
        <v>2</v>
      </c>
      <c r="D59" t="str">
        <f t="shared" si="1"/>
        <v>2</v>
      </c>
      <c r="E59" s="1">
        <f>세팅!D60</f>
        <v>44805</v>
      </c>
      <c r="F59">
        <f t="shared" si="2"/>
        <v>2392537.2372368961</v>
      </c>
      <c r="G59" cm="1">
        <f t="array" ref="G59">IFERROR(IF($E59&lt;44348,"",IF(INDEX(Raw_매출!$B$2:$BI$155,MATCH($A59,Raw_매출!$A$2:$A$155,0),MATCH(EDATE($E59,G$1-1),Raw_매출!$B$1:$BI$1,0))=0,"",INDEX(Raw_매출!$B$2:$BI$155,MATCH($A59,Raw_매출!$A$2:$A$155,0),MATCH(EDATE($E59,G$1-1),Raw_매출!$B$1:$BI$1,0))/(INDEX(요약_월별시즈널리티!$F$7:$F$18,MONTH(EDATE($E59,G$1-1)))/100))),"")</f>
        <v>1213959.7792616929</v>
      </c>
      <c r="H59" cm="1">
        <f t="array" ref="H59">IFERROR(IF($E59&lt;44348,"",IF(INDEX(Raw_매출!$B$2:$BI$155,MATCH($A59,Raw_매출!$A$2:$A$155,0),MATCH(EDATE($E59,H$1-1),Raw_매출!$B$1:$BI$1,0))=0,"",INDEX(Raw_매출!$B$2:$BI$155,MATCH($A59,Raw_매출!$A$2:$A$155,0),MATCH(EDATE($E59,H$1-1),Raw_매출!$B$1:$BI$1,0))/(INDEX(요약_월별시즈널리티!$F$7:$F$18,MONTH(EDATE($E59,H$1-1)))/100))),"")</f>
        <v>1668763.6014685566</v>
      </c>
      <c r="I59" cm="1">
        <f t="array" ref="I59">IFERROR(IF($E59&lt;44348,"",IF(INDEX(Raw_매출!$B$2:$BI$155,MATCH($A59,Raw_매출!$A$2:$A$155,0),MATCH(EDATE($E59,I$1-1),Raw_매출!$B$1:$BI$1,0))=0,"",INDEX(Raw_매출!$B$2:$BI$155,MATCH($A59,Raw_매출!$A$2:$A$155,0),MATCH(EDATE($E59,I$1-1),Raw_매출!$B$1:$BI$1,0))/(INDEX(요약_월별시즈널리티!$F$7:$F$18,MONTH(EDATE($E59,I$1-1)))/100))),"")</f>
        <v>2129426.9891383122</v>
      </c>
      <c r="J59" s="30" cm="1">
        <f t="array" ref="J59">IFERROR(IF($E59&lt;44348,"",IF(INDEX(Raw_매출!$B$2:$BI$155,MATCH($A59,Raw_매출!$A$2:$A$155,0),MATCH(EDATE($E59,J$1-1),Raw_매출!$B$1:$BI$1,0))=0,"",INDEX(Raw_매출!$B$2:$BI$155,MATCH($A59,Raw_매출!$A$2:$A$155,0),MATCH(EDATE($E59,J$1-1),Raw_매출!$B$1:$BI$1,0))/(INDEX(요약_월별시즈널리티!$F$7:$F$18,MONTH(EDATE($E59,J$1-1)))/100))),"")</f>
        <v>1705031.0660916825</v>
      </c>
      <c r="K59" s="30" cm="1">
        <f t="array" ref="K59">IFERROR(IF($E59&lt;44348,"",IF(INDEX(Raw_매출!$B$2:$BI$155,MATCH($A59,Raw_매출!$A$2:$A$155,0),MATCH(EDATE($E59,K$1-1),Raw_매출!$B$1:$BI$1,0))=0,"",INDEX(Raw_매출!$B$2:$BI$155,MATCH($A59,Raw_매출!$A$2:$A$155,0),MATCH(EDATE($E59,K$1-1),Raw_매출!$B$1:$BI$1,0))/(INDEX(요약_월별시즈널리티!$F$7:$F$18,MONTH(EDATE($E59,K$1-1)))/100))),"")</f>
        <v>2219029.9600923122</v>
      </c>
      <c r="L59" s="30" cm="1">
        <f t="array" ref="L59">IFERROR(IF($E59&lt;44348,"",IF(INDEX(Raw_매출!$B$2:$BI$155,MATCH($A59,Raw_매출!$A$2:$A$155,0),MATCH(EDATE($E59,L$1-1),Raw_매출!$B$1:$BI$1,0))=0,"",INDEX(Raw_매출!$B$2:$BI$155,MATCH($A59,Raw_매출!$A$2:$A$155,0),MATCH(EDATE($E59,L$1-1),Raw_매출!$B$1:$BI$1,0))/(INDEX(요약_월별시즈널리티!$F$7:$F$18,MONTH(EDATE($E59,L$1-1)))/100))),"")</f>
        <v>2375789.329618684</v>
      </c>
      <c r="M59" s="30" cm="1">
        <f t="array" ref="M59">IFERROR(IF($E59&lt;44348,"",IF(INDEX(Raw_매출!$B$2:$BI$155,MATCH($A59,Raw_매출!$A$2:$A$155,0),MATCH(EDATE($E59,M$1-1),Raw_매출!$B$1:$BI$1,0))=0,"",INDEX(Raw_매출!$B$2:$BI$155,MATCH($A59,Raw_매출!$A$2:$A$155,0),MATCH(EDATE($E59,M$1-1),Raw_매출!$B$1:$BI$1,0))/(INDEX(요약_월별시즈널리티!$F$7:$F$18,MONTH(EDATE($E59,M$1-1)))/100))),"")</f>
        <v>2642747.4535411424</v>
      </c>
      <c r="N59" s="30" cm="1">
        <f t="array" ref="N59">IFERROR(IF($E59&lt;44348,"",IF(INDEX(Raw_매출!$B$2:$BI$155,MATCH($A59,Raw_매출!$A$2:$A$155,0),MATCH(EDATE($E59,N$1-1),Raw_매출!$B$1:$BI$1,0))=0,"",INDEX(Raw_매출!$B$2:$BI$155,MATCH($A59,Raw_매출!$A$2:$A$155,0),MATCH(EDATE($E59,N$1-1),Raw_매출!$B$1:$BI$1,0))/(INDEX(요약_월별시즈널리티!$F$7:$F$18,MONTH(EDATE($E59,N$1-1)))/100))),"")</f>
        <v>2583940.1022953079</v>
      </c>
      <c r="O59" s="30" cm="1">
        <f t="array" ref="O59">IFERROR(IF($E59&lt;44348,"",IF(INDEX(Raw_매출!$B$2:$BI$155,MATCH($A59,Raw_매출!$A$2:$A$155,0),MATCH(EDATE($E59,O$1-1),Raw_매출!$B$1:$BI$1,0))=0,"",INDEX(Raw_매출!$B$2:$BI$155,MATCH($A59,Raw_매출!$A$2:$A$155,0),MATCH(EDATE($E59,O$1-1),Raw_매출!$B$1:$BI$1,0))/(INDEX(요약_월별시즈널리티!$F$7:$F$18,MONTH(EDATE($E59,O$1-1)))/100))),"")</f>
        <v>2828685.5117822485</v>
      </c>
      <c r="P59" cm="1">
        <f t="array" ref="P59">IFERROR(IF($E59&lt;44348,"",IF(INDEX(Raw_매출!$B$2:$BI$155,MATCH($A59,Raw_매출!$A$2:$A$155,0),MATCH(EDATE($E59,P$1-1),Raw_매출!$B$1:$BI$1,0))=0,"",INDEX(Raw_매출!$B$2:$BI$155,MATCH($A59,Raw_매출!$A$2:$A$155,0),MATCH(EDATE($E59,P$1-1),Raw_매출!$B$1:$BI$1,0))/(INDEX(요약_월별시즈널리티!$F$7:$F$18,MONTH(EDATE($E59,P$1-1)))/100))),"")</f>
        <v>3095791.8673359971</v>
      </c>
      <c r="Q59" cm="1">
        <f t="array" ref="Q59">IFERROR(IF($E59&lt;44348,"",IF(INDEX(Raw_매출!$B$2:$BI$155,MATCH($A59,Raw_매출!$A$2:$A$155,0),MATCH(EDATE($E59,Q$1-1),Raw_매출!$B$1:$BI$1,0))=0,"",INDEX(Raw_매출!$B$2:$BI$155,MATCH($A59,Raw_매출!$A$2:$A$155,0),MATCH(EDATE($E59,Q$1-1),Raw_매출!$B$1:$BI$1,0))/(INDEX(요약_월별시즈널리티!$F$7:$F$18,MONTH(EDATE($E59,Q$1-1)))/100))),"")</f>
        <v>3222720.2218661518</v>
      </c>
      <c r="R59" cm="1">
        <f t="array" ref="R59">IFERROR(IF($E59&lt;44348,"",IF(INDEX(Raw_매출!$B$2:$BI$155,MATCH($A59,Raw_매출!$A$2:$A$155,0),MATCH(EDATE($E59,R$1-1),Raw_매출!$B$1:$BI$1,0))=0,"",INDEX(Raw_매출!$B$2:$BI$155,MATCH($A59,Raw_매출!$A$2:$A$155,0),MATCH(EDATE($E59,R$1-1),Raw_매출!$B$1:$BI$1,0))/(INDEX(요약_월별시즈널리티!$F$7:$F$18,MONTH(EDATE($E59,R$1-1)))/100))),"")</f>
        <v>2897245.0335498666</v>
      </c>
      <c r="S59" cm="1">
        <f t="array" ref="S59">IFERROR(IF($E59&lt;44348,"",IF(INDEX(Raw_매출!$B$2:$BI$155,MATCH($A59,Raw_매출!$A$2:$A$155,0),MATCH(EDATE($E59,S$1-1),Raw_매출!$B$1:$BI$1,0))=0,"",INDEX(Raw_매출!$B$2:$BI$155,MATCH($A59,Raw_매출!$A$2:$A$155,0),MATCH(EDATE($E59,S$1-1),Raw_매출!$B$1:$BI$1,0))/(INDEX(요약_월별시즈널리티!$F$7:$F$18,MONTH(EDATE($E59,S$1-1)))/100))),"")</f>
        <v>2947857.0158548094</v>
      </c>
      <c r="T59" cm="1">
        <f t="array" ref="T59">IFERROR(IF($E59&lt;44348,"",IF(INDEX(Raw_매출!$B$2:$BI$155,MATCH($A59,Raw_매출!$A$2:$A$155,0),MATCH(EDATE($E59,T$1-1),Raw_매출!$B$1:$BI$1,0))=0,"",INDEX(Raw_매출!$B$2:$BI$155,MATCH($A59,Raw_매출!$A$2:$A$155,0),MATCH(EDATE($E59,T$1-1),Raw_매출!$B$1:$BI$1,0))/(INDEX(요약_월별시즈널리티!$F$7:$F$18,MONTH(EDATE($E59,T$1-1)))/100))),"")</f>
        <v>2915794.566485106</v>
      </c>
      <c r="U59" cm="1">
        <f t="array" ref="U59">IFERROR(IF($E59&lt;44348,"",IF(INDEX(Raw_매출!$B$2:$BI$155,MATCH($A59,Raw_매출!$A$2:$A$155,0),MATCH(EDATE($E59,U$1-1),Raw_매출!$B$1:$BI$1,0))=0,"",INDEX(Raw_매출!$B$2:$BI$155,MATCH($A59,Raw_매출!$A$2:$A$155,0),MATCH(EDATE($E59,U$1-1),Raw_매출!$B$1:$BI$1,0))/(INDEX(요약_월별시즈널리티!$F$7:$F$18,MONTH(EDATE($E59,U$1-1)))/100))),"")</f>
        <v>2917036.4303171197</v>
      </c>
      <c r="V59" cm="1">
        <f t="array" ref="V59">IFERROR(IF($E59&lt;44348,"",IF(INDEX(Raw_매출!$B$2:$BI$155,MATCH($A59,Raw_매출!$A$2:$A$155,0),MATCH(EDATE($E59,V$1-1),Raw_매출!$B$1:$BI$1,0))=0,"",INDEX(Raw_매출!$B$2:$BI$155,MATCH($A59,Raw_매출!$A$2:$A$155,0),MATCH(EDATE($E59,V$1-1),Raw_매출!$B$1:$BI$1,0))/(INDEX(요약_월별시즈널리티!$F$7:$F$18,MONTH(EDATE($E59,V$1-1)))/100))),"")</f>
        <v>2848154.0202635461</v>
      </c>
      <c r="W59" cm="1">
        <f t="array" ref="W59">IFERROR(IF($E59&lt;44348,"",IF(INDEX(Raw_매출!$B$2:$BI$155,MATCH($A59,Raw_매출!$A$2:$A$155,0),MATCH(EDATE($E59,W$1-1),Raw_매출!$B$1:$BI$1,0))=0,"",INDEX(Raw_매출!$B$2:$BI$155,MATCH($A59,Raw_매출!$A$2:$A$155,0),MATCH(EDATE($E59,W$1-1),Raw_매출!$B$1:$BI$1,0))/(INDEX(요약_월별시즈널리티!$F$7:$F$18,MONTH(EDATE($E59,W$1-1)))/100))),"")</f>
        <v>3205580.411312616</v>
      </c>
      <c r="X59" cm="1">
        <f t="array" ref="X59">IFERROR(IF($E59&lt;44348,"",IF(INDEX(Raw_매출!$B$2:$BI$155,MATCH($A59,Raw_매출!$A$2:$A$155,0),MATCH(EDATE($E59,X$1-1),Raw_매출!$B$1:$BI$1,0))=0,"",INDEX(Raw_매출!$B$2:$BI$155,MATCH($A59,Raw_매출!$A$2:$A$155,0),MATCH(EDATE($E59,X$1-1),Raw_매출!$B$1:$BI$1,0))/(INDEX(요약_월별시즈널리티!$F$7:$F$18,MONTH(EDATE($E59,X$1-1)))/100))),"")</f>
        <v>3180473.0313983955</v>
      </c>
      <c r="Y59" cm="1">
        <f t="array" ref="Y59">IFERROR(IF($E59&lt;44348,"",IF(INDEX(Raw_매출!$B$2:$BI$155,MATCH($A59,Raw_매출!$A$2:$A$155,0),MATCH(EDATE($E59,Y$1-1),Raw_매출!$B$1:$BI$1,0))=0,"",INDEX(Raw_매출!$B$2:$BI$155,MATCH($A59,Raw_매출!$A$2:$A$155,0),MATCH(EDATE($E59,Y$1-1),Raw_매출!$B$1:$BI$1,0))/(INDEX(요약_월별시즈널리티!$F$7:$F$18,MONTH(EDATE($E59,Y$1-1)))/100))),"")</f>
        <v>3282389.0733809001</v>
      </c>
      <c r="Z59" cm="1">
        <f t="array" ref="Z59">IFERROR(IF($E59&lt;44348,"",IF(INDEX(Raw_매출!$B$2:$BI$155,MATCH($A59,Raw_매출!$A$2:$A$155,0),MATCH(EDATE($E59,Z$1-1),Raw_매출!$B$1:$BI$1,0))=0,"",INDEX(Raw_매출!$B$2:$BI$155,MATCH($A59,Raw_매출!$A$2:$A$155,0),MATCH(EDATE($E59,Z$1-1),Raw_매출!$B$1:$BI$1,0))/(INDEX(요약_월별시즈널리티!$F$7:$F$18,MONTH(EDATE($E59,Z$1-1)))/100))),"")</f>
        <v>3601246.6988155819</v>
      </c>
      <c r="AA59" cm="1">
        <f t="array" ref="AA59">IFERROR(IF($E59&lt;44348,"",IF(INDEX(Raw_매출!$B$2:$BI$155,MATCH($A59,Raw_매출!$A$2:$A$155,0),MATCH(EDATE($E59,AA$1-1),Raw_매출!$B$1:$BI$1,0))=0,"",INDEX(Raw_매출!$B$2:$BI$155,MATCH($A59,Raw_매출!$A$2:$A$155,0),MATCH(EDATE($E59,AA$1-1),Raw_매출!$B$1:$BI$1,0))/(INDEX(요약_월별시즈널리티!$F$7:$F$18,MONTH(EDATE($E59,AA$1-1)))/100))),"")</f>
        <v>2874193.1347616003</v>
      </c>
      <c r="AB59" cm="1">
        <f t="array" ref="AB59">IFERROR(IF($E59&lt;44348,"",IF(INDEX(Raw_매출!$B$2:$BI$155,MATCH($A59,Raw_매출!$A$2:$A$155,0),MATCH(EDATE($E59,AB$1-1),Raw_매출!$B$1:$BI$1,0))=0,"",INDEX(Raw_매출!$B$2:$BI$155,MATCH($A59,Raw_매출!$A$2:$A$155,0),MATCH(EDATE($E59,AB$1-1),Raw_매출!$B$1:$BI$1,0))/(INDEX(요약_월별시즈널리티!$F$7:$F$18,MONTH(EDATE($E59,AB$1-1)))/100))),"")</f>
        <v>3145361.5077007897</v>
      </c>
      <c r="AC59" cm="1">
        <f t="array" ref="AC59">IFERROR(IF($E59&lt;44348,"",IF(INDEX(Raw_매출!$B$2:$BI$155,MATCH($A59,Raw_매출!$A$2:$A$155,0),MATCH(EDATE($E59,AC$1-1),Raw_매출!$B$1:$BI$1,0))=0,"",INDEX(Raw_매출!$B$2:$BI$155,MATCH($A59,Raw_매출!$A$2:$A$155,0),MATCH(EDATE($E59,AC$1-1),Raw_매출!$B$1:$BI$1,0))/(INDEX(요약_월별시즈널리티!$F$7:$F$18,MONTH(EDATE($E59,AC$1-1)))/100))),"")</f>
        <v>3018858.2104992517</v>
      </c>
      <c r="AD59" cm="1">
        <f t="array" ref="AD59">IFERROR(IF($E59&lt;44348,"",IF(INDEX(Raw_매출!$B$2:$BI$155,MATCH($A59,Raw_매출!$A$2:$A$155,0),MATCH(EDATE($E59,AD$1-1),Raw_매출!$B$1:$BI$1,0))=0,"",INDEX(Raw_매출!$B$2:$BI$155,MATCH($A59,Raw_매출!$A$2:$A$155,0),MATCH(EDATE($E59,AD$1-1),Raw_매출!$B$1:$BI$1,0))/(INDEX(요약_월별시즈널리티!$F$7:$F$18,MONTH(EDATE($E59,AD$1-1)))/100))),"")</f>
        <v>3485415.6640713043</v>
      </c>
      <c r="AE59" cm="1">
        <f t="array" ref="AE59">IFERROR(IF($E59&lt;44348,"",IF(INDEX(Raw_매출!$B$2:$BI$155,MATCH($A59,Raw_매출!$A$2:$A$155,0),MATCH(EDATE($E59,AE$1-1),Raw_매출!$B$1:$BI$1,0))=0,"",INDEX(Raw_매출!$B$2:$BI$155,MATCH($A59,Raw_매출!$A$2:$A$155,0),MATCH(EDATE($E59,AE$1-1),Raw_매출!$B$1:$BI$1,0))/(INDEX(요약_월별시즈널리티!$F$7:$F$18,MONTH(EDATE($E59,AE$1-1)))/100))),"")</f>
        <v>3392407.6368126194</v>
      </c>
      <c r="AF59" cm="1">
        <f t="array" ref="AF59">IFERROR(IF($E59&lt;44348,"",IF(INDEX(Raw_매출!$B$2:$BI$155,MATCH($A59,Raw_매출!$A$2:$A$155,0),MATCH(EDATE($E59,AF$1-1),Raw_매출!$B$1:$BI$1,0))=0,"",INDEX(Raw_매출!$B$2:$BI$155,MATCH($A59,Raw_매출!$A$2:$A$155,0),MATCH(EDATE($E59,AF$1-1),Raw_매출!$B$1:$BI$1,0))/(INDEX(요약_월별시즈널리티!$F$7:$F$18,MONTH(EDATE($E59,AF$1-1)))/100))),"")</f>
        <v>3522354.234276541</v>
      </c>
      <c r="AG59" cm="1">
        <f t="array" ref="AG59">IFERROR(IF($E59&lt;44348,"",IF(INDEX(Raw_매출!$B$2:$BI$155,MATCH($A59,Raw_매출!$A$2:$A$155,0),MATCH(EDATE($E59,AG$1-1),Raw_매출!$B$1:$BI$1,0))=0,"",INDEX(Raw_매출!$B$2:$BI$155,MATCH($A59,Raw_매출!$A$2:$A$155,0),MATCH(EDATE($E59,AG$1-1),Raw_매출!$B$1:$BI$1,0))/(INDEX(요약_월별시즈널리티!$F$7:$F$18,MONTH(EDATE($E59,AG$1-1)))/100))),"")</f>
        <v>3325440.7405478866</v>
      </c>
      <c r="AH59" cm="1">
        <f t="array" ref="AH59">IFERROR(IF($E59&lt;44348,"",IF(INDEX(Raw_매출!$B$2:$BI$155,MATCH($A59,Raw_매출!$A$2:$A$155,0),MATCH(EDATE($E59,AH$1-1),Raw_매출!$B$1:$BI$1,0))=0,"",INDEX(Raw_매출!$B$2:$BI$155,MATCH($A59,Raw_매출!$A$2:$A$155,0),MATCH(EDATE($E59,AH$1-1),Raw_매출!$B$1:$BI$1,0))/(INDEX(요약_월별시즈널리티!$F$7:$F$18,MONTH(EDATE($E59,AH$1-1)))/100))),"")</f>
        <v>3458759.6093922681</v>
      </c>
      <c r="AI59" cm="1">
        <f t="array" ref="AI59">IFERROR(IF($E59&lt;44348,"",IF(INDEX(Raw_매출!$B$2:$BI$155,MATCH($A59,Raw_매출!$A$2:$A$155,0),MATCH(EDATE($E59,AI$1-1),Raw_매출!$B$1:$BI$1,0))=0,"",INDEX(Raw_매출!$B$2:$BI$155,MATCH($A59,Raw_매출!$A$2:$A$155,0),MATCH(EDATE($E59,AI$1-1),Raw_매출!$B$1:$BI$1,0))/(INDEX(요약_월별시즈널리티!$F$7:$F$18,MONTH(EDATE($E59,AI$1-1)))/100))),"")</f>
        <v>4046673.8270942182</v>
      </c>
      <c r="AJ59" cm="1">
        <f t="array" ref="AJ59">IFERROR(IF($E59&lt;44348,"",IF(INDEX(Raw_매출!$B$2:$BI$155,MATCH($A59,Raw_매출!$A$2:$A$155,0),MATCH(EDATE($E59,AJ$1-1),Raw_매출!$B$1:$BI$1,0))=0,"",INDEX(Raw_매출!$B$2:$BI$155,MATCH($A59,Raw_매출!$A$2:$A$155,0),MATCH(EDATE($E59,AJ$1-1),Raw_매출!$B$1:$BI$1,0))/(INDEX(요약_월별시즈널리티!$F$7:$F$18,MONTH(EDATE($E59,AJ$1-1)))/100))),"")</f>
        <v>3801974.7743800422</v>
      </c>
      <c r="AK59" cm="1">
        <f t="array" ref="AK59">IFERROR(IF($E59&lt;44348,"",IF(INDEX(Raw_매출!$B$2:$BI$155,MATCH($A59,Raw_매출!$A$2:$A$155,0),MATCH(EDATE($E59,AK$1-1),Raw_매출!$B$1:$BI$1,0))=0,"",INDEX(Raw_매출!$B$2:$BI$155,MATCH($A59,Raw_매출!$A$2:$A$155,0),MATCH(EDATE($E59,AK$1-1),Raw_매출!$B$1:$BI$1,0))/(INDEX(요약_월별시즈널리티!$F$7:$F$18,MONTH(EDATE($E59,AK$1-1)))/100))),"")</f>
        <v>3677206.0751531194</v>
      </c>
      <c r="AL59" cm="1">
        <f t="array" ref="AL59">IFERROR(IF($E59&lt;44348,"",IF(INDEX(Raw_매출!$B$2:$BI$155,MATCH($A59,Raw_매출!$A$2:$A$155,0),MATCH(EDATE($E59,AL$1-1),Raw_매출!$B$1:$BI$1,0))=0,"",INDEX(Raw_매출!$B$2:$BI$155,MATCH($A59,Raw_매출!$A$2:$A$155,0),MATCH(EDATE($E59,AL$1-1),Raw_매출!$B$1:$BI$1,0))/(INDEX(요약_월별시즈널리티!$F$7:$F$18,MONTH(EDATE($E59,AL$1-1)))/100))),"")</f>
        <v>4035081.2782524903</v>
      </c>
      <c r="AM59" cm="1">
        <f t="array" ref="AM59">IFERROR(IF($E59&lt;44348,"",IF(INDEX(Raw_매출!$B$2:$BI$155,MATCH($A59,Raw_매출!$A$2:$A$155,0),MATCH(EDATE($E59,AM$1-1),Raw_매출!$B$1:$BI$1,0))=0,"",INDEX(Raw_매출!$B$2:$BI$155,MATCH($A59,Raw_매출!$A$2:$A$155,0),MATCH(EDATE($E59,AM$1-1),Raw_매출!$B$1:$BI$1,0))/(INDEX(요약_월별시즈널리티!$F$7:$F$18,MONTH(EDATE($E59,AM$1-1)))/100))),"")</f>
        <v>4213464.921358319</v>
      </c>
      <c r="AN59" cm="1">
        <f t="array" ref="AN59">IFERROR(IF($E59&lt;44348,"",IF(INDEX(Raw_매출!$B$2:$BI$155,MATCH($A59,Raw_매출!$A$2:$A$155,0),MATCH(EDATE($E59,AN$1-1),Raw_매출!$B$1:$BI$1,0))=0,"",INDEX(Raw_매출!$B$2:$BI$155,MATCH($A59,Raw_매출!$A$2:$A$155,0),MATCH(EDATE($E59,AN$1-1),Raw_매출!$B$1:$BI$1,0))/(INDEX(요약_월별시즈널리티!$F$7:$F$18,MONTH(EDATE($E59,AN$1-1)))/100))),"")</f>
        <v>3997677.1787817762</v>
      </c>
      <c r="AO59" cm="1">
        <f t="array" ref="AO59">IFERROR(IF($E59&lt;44348,"",IF(INDEX(Raw_매출!$B$2:$BI$155,MATCH($A59,Raw_매출!$A$2:$A$155,0),MATCH(EDATE($E59,AO$1-1),Raw_매출!$B$1:$BI$1,0))=0,"",INDEX(Raw_매출!$B$2:$BI$155,MATCH($A59,Raw_매출!$A$2:$A$155,0),MATCH(EDATE($E59,AO$1-1),Raw_매출!$B$1:$BI$1,0))/(INDEX(요약_월별시즈널리티!$F$7:$F$18,MONTH(EDATE($E59,AO$1-1)))/100))),"")</f>
        <v>3602262.7575553237</v>
      </c>
      <c r="AP59" cm="1">
        <f t="array" ref="AP59">IFERROR(IF($E59&lt;44348,"",IF(INDEX(Raw_매출!$B$2:$BI$155,MATCH($A59,Raw_매출!$A$2:$A$155,0),MATCH(EDATE($E59,AP$1-1),Raw_매출!$B$1:$BI$1,0))=0,"",INDEX(Raw_매출!$B$2:$BI$155,MATCH($A59,Raw_매출!$A$2:$A$155,0),MATCH(EDATE($E59,AP$1-1),Raw_매출!$B$1:$BI$1,0))/(INDEX(요약_월별시즈널리티!$F$7:$F$18,MONTH(EDATE($E59,AP$1-1)))/100))),"")</f>
        <v>3700663.3798227767</v>
      </c>
      <c r="AQ59" cm="1">
        <f t="array" ref="AQ59">IFERROR(IF($E59&lt;44348,"",IF(INDEX(Raw_매출!$B$2:$BI$155,MATCH($A59,Raw_매출!$A$2:$A$155,0),MATCH(EDATE($E59,AQ$1-1),Raw_매출!$B$1:$BI$1,0))=0,"",INDEX(Raw_매출!$B$2:$BI$155,MATCH($A59,Raw_매출!$A$2:$A$155,0),MATCH(EDATE($E59,AQ$1-1),Raw_매출!$B$1:$BI$1,0))/(INDEX(요약_월별시즈널리티!$F$7:$F$18,MONTH(EDATE($E59,AQ$1-1)))/100))),"")</f>
        <v>3448488.3318626778</v>
      </c>
      <c r="AR59" cm="1">
        <f t="array" ref="AR59">IFERROR(IF($E59&lt;44348,"",IF(INDEX(Raw_매출!$B$2:$BI$155,MATCH($A59,Raw_매출!$A$2:$A$155,0),MATCH(EDATE($E59,AR$1-1),Raw_매출!$B$1:$BI$1,0))=0,"",INDEX(Raw_매출!$B$2:$BI$155,MATCH($A59,Raw_매출!$A$2:$A$155,0),MATCH(EDATE($E59,AR$1-1),Raw_매출!$B$1:$BI$1,0))/(INDEX(요약_월별시즈널리티!$F$7:$F$18,MONTH(EDATE($E59,AR$1-1)))/100))),"")</f>
        <v>3876263.6118611894</v>
      </c>
      <c r="AS59" cm="1">
        <f t="array" ref="AS59">IFERROR(IF($E59&lt;44348,"",IF(INDEX(Raw_매출!$B$2:$BI$155,MATCH($A59,Raw_매출!$A$2:$A$155,0),MATCH(EDATE($E59,AS$1-1),Raw_매출!$B$1:$BI$1,0))=0,"",INDEX(Raw_매출!$B$2:$BI$155,MATCH($A59,Raw_매출!$A$2:$A$155,0),MATCH(EDATE($E59,AS$1-1),Raw_매출!$B$1:$BI$1,0))/(INDEX(요약_월별시즈널리티!$F$7:$F$18,MONTH(EDATE($E59,AS$1-1)))/100))),"")</f>
        <v>3310024.7264857893</v>
      </c>
      <c r="AT59" cm="1">
        <f t="array" ref="AT59">IFERROR(IF($E59&lt;44348,"",IF(INDEX(Raw_매출!$B$2:$BI$155,MATCH($A59,Raw_매출!$A$2:$A$155,0),MATCH(EDATE($E59,AT$1-1),Raw_매출!$B$1:$BI$1,0))=0,"",INDEX(Raw_매출!$B$2:$BI$155,MATCH($A59,Raw_매출!$A$2:$A$155,0),MATCH(EDATE($E59,AT$1-1),Raw_매출!$B$1:$BI$1,0))/(INDEX(요약_월별시즈널리티!$F$7:$F$18,MONTH(EDATE($E59,AT$1-1)))/100))),"")</f>
        <v>3718940.7848217902</v>
      </c>
      <c r="AU59" cm="1">
        <f t="array" ref="AU59">IFERROR(IF($E59&lt;44348,"",IF(INDEX(Raw_매출!$B$2:$BI$155,MATCH($A59,Raw_매출!$A$2:$A$155,0),MATCH(EDATE($E59,AU$1-1),Raw_매출!$B$1:$BI$1,0))=0,"",INDEX(Raw_매출!$B$2:$BI$155,MATCH($A59,Raw_매출!$A$2:$A$155,0),MATCH(EDATE($E59,AU$1-1),Raw_매출!$B$1:$BI$1,0))/(INDEX(요약_월별시즈널리티!$F$7:$F$18,MONTH(EDATE($E59,AU$1-1)))/100))),"")</f>
        <v>4644386.7867060117</v>
      </c>
      <c r="AV59" cm="1">
        <f t="array" ref="AV59">IFERROR(IF($E59&lt;44348,"",IF(INDEX(Raw_매출!$B$2:$BI$155,MATCH($A59,Raw_매출!$A$2:$A$155,0),MATCH(EDATE($E59,AV$1-1),Raw_매출!$B$1:$BI$1,0))=0,"",INDEX(Raw_매출!$B$2:$BI$155,MATCH($A59,Raw_매출!$A$2:$A$155,0),MATCH(EDATE($E59,AV$1-1),Raw_매출!$B$1:$BI$1,0))/(INDEX(요약_월별시즈널리티!$F$7:$F$18,MONTH(EDATE($E59,AV$1-1)))/100))),"")</f>
        <v>3995300.5527877151</v>
      </c>
      <c r="AW59" cm="1">
        <f t="array" ref="AW59">IFERROR(IF($E59&lt;44348,"",IF(INDEX(Raw_매출!$B$2:$BI$155,MATCH($A59,Raw_매출!$A$2:$A$155,0),MATCH(EDATE($E59,AW$1-1),Raw_매출!$B$1:$BI$1,0))=0,"",INDEX(Raw_매출!$B$2:$BI$155,MATCH($A59,Raw_매출!$A$2:$A$155,0),MATCH(EDATE($E59,AW$1-1),Raw_매출!$B$1:$BI$1,0))/(INDEX(요약_월별시즈널리티!$F$7:$F$18,MONTH(EDATE($E59,AW$1-1)))/100))),"")</f>
        <v>3813717.1537014968</v>
      </c>
      <c r="AX59" cm="1">
        <f t="array" ref="AX59">IFERROR(IF($E59&lt;44348,"",IF(INDEX(Raw_매출!$B$2:$BI$155,MATCH($A59,Raw_매출!$A$2:$A$155,0),MATCH(EDATE($E59,AX$1-1),Raw_매출!$B$1:$BI$1,0))=0,"",INDEX(Raw_매출!$B$2:$BI$155,MATCH($A59,Raw_매출!$A$2:$A$155,0),MATCH(EDATE($E59,AX$1-1),Raw_매출!$B$1:$BI$1,0))/(INDEX(요약_월별시즈널리티!$F$7:$F$18,MONTH(EDATE($E59,AX$1-1)))/100))),"")</f>
        <v>4517983.258468898</v>
      </c>
      <c r="AY59" cm="1">
        <f t="array" ref="AY59">IFERROR(IF($E59&lt;44348,"",IF(INDEX(Raw_매출!$B$2:$BI$155,MATCH($A59,Raw_매출!$A$2:$A$155,0),MATCH(EDATE($E59,AY$1-1),Raw_매출!$B$1:$BI$1,0))=0,"",INDEX(Raw_매출!$B$2:$BI$155,MATCH($A59,Raw_매출!$A$2:$A$155,0),MATCH(EDATE($E59,AY$1-1),Raw_매출!$B$1:$BI$1,0))/(INDEX(요약_월별시즈널리티!$F$7:$F$18,MONTH(EDATE($E59,AY$1-1)))/100))),"")</f>
        <v>4729091.439912688</v>
      </c>
      <c r="AZ59" t="str" cm="1">
        <f t="array" ref="AZ59">IFERROR(IF($E59&lt;44348,"",IF(INDEX(Raw_매출!$B$2:$BI$155,MATCH($A59,Raw_매출!$A$2:$A$155,0),MATCH(EDATE($E59,AZ$1-1),Raw_매출!$B$1:$BI$1,0))=0,"",INDEX(Raw_매출!$B$2:$BI$155,MATCH($A59,Raw_매출!$A$2:$A$155,0),MATCH(EDATE($E59,AZ$1-1),Raw_매출!$B$1:$BI$1,0))/(INDEX(요약_월별시즈널리티!$F$7:$F$18,MONTH(EDATE($E59,AZ$1-1)))/100))),"")</f>
        <v/>
      </c>
      <c r="BA59" t="str" cm="1">
        <f t="array" ref="BA59">IFERROR(IF($E59&lt;44348,"",IF(INDEX(Raw_매출!$B$2:$BI$155,MATCH($A59,Raw_매출!$A$2:$A$155,0),MATCH(EDATE($E59,BA$1-1),Raw_매출!$B$1:$BI$1,0))=0,"",INDEX(Raw_매출!$B$2:$BI$155,MATCH($A59,Raw_매출!$A$2:$A$155,0),MATCH(EDATE($E59,BA$1-1),Raw_매출!$B$1:$BI$1,0))/(INDEX(요약_월별시즈널리티!$F$7:$F$18,MONTH(EDATE($E59,BA$1-1)))/100))),"")</f>
        <v/>
      </c>
      <c r="BB59" t="str" cm="1">
        <f t="array" ref="BB59">IFERROR(IF($E59&lt;44348,"",IF(INDEX(Raw_매출!$B$2:$BI$155,MATCH($A59,Raw_매출!$A$2:$A$155,0),MATCH(EDATE($E59,BB$1-1),Raw_매출!$B$1:$BI$1,0))=0,"",INDEX(Raw_매출!$B$2:$BI$155,MATCH($A59,Raw_매출!$A$2:$A$155,0),MATCH(EDATE($E59,BB$1-1),Raw_매출!$B$1:$BI$1,0))/(INDEX(요약_월별시즈널리티!$F$7:$F$18,MONTH(EDATE($E59,BB$1-1)))/100))),"")</f>
        <v/>
      </c>
      <c r="BC59" t="str" cm="1">
        <f t="array" ref="BC59">IFERROR(IF($E59&lt;44348,"",IF(INDEX(Raw_매출!$B$2:$BI$155,MATCH($A59,Raw_매출!$A$2:$A$155,0),MATCH(EDATE($E59,BC$1-1),Raw_매출!$B$1:$BI$1,0))=0,"",INDEX(Raw_매출!$B$2:$BI$155,MATCH($A59,Raw_매출!$A$2:$A$155,0),MATCH(EDATE($E59,BC$1-1),Raw_매출!$B$1:$BI$1,0))/(INDEX(요약_월별시즈널리티!$F$7:$F$18,MONTH(EDATE($E59,BC$1-1)))/100))),"")</f>
        <v/>
      </c>
      <c r="BD59" t="str" cm="1">
        <f t="array" ref="BD59">IFERROR(IF($E59&lt;44348,"",IF(INDEX(Raw_매출!$B$2:$BI$155,MATCH($A59,Raw_매출!$A$2:$A$155,0),MATCH(EDATE($E59,BD$1-1),Raw_매출!$B$1:$BI$1,0))=0,"",INDEX(Raw_매출!$B$2:$BI$155,MATCH($A59,Raw_매출!$A$2:$A$155,0),MATCH(EDATE($E59,BD$1-1),Raw_매출!$B$1:$BI$1,0))/(INDEX(요약_월별시즈널리티!$F$7:$F$18,MONTH(EDATE($E59,BD$1-1)))/100))),"")</f>
        <v/>
      </c>
      <c r="BE59" t="str" cm="1">
        <f t="array" ref="BE59">IFERROR(IF($E59&lt;44348,"",IF(INDEX(Raw_매출!$B$2:$BI$155,MATCH($A59,Raw_매출!$A$2:$A$155,0),MATCH(EDATE($E59,BE$1-1),Raw_매출!$B$1:$BI$1,0))=0,"",INDEX(Raw_매출!$B$2:$BI$155,MATCH($A59,Raw_매출!$A$2:$A$155,0),MATCH(EDATE($E59,BE$1-1),Raw_매출!$B$1:$BI$1,0))/(INDEX(요약_월별시즈널리티!$F$7:$F$18,MONTH(EDATE($E59,BE$1-1)))/100))),"")</f>
        <v/>
      </c>
      <c r="BF59" t="str" cm="1">
        <f t="array" ref="BF59">IFERROR(IF($E59&lt;44348,"",IF(INDEX(Raw_매출!$B$2:$BI$155,MATCH($A59,Raw_매출!$A$2:$A$155,0),MATCH(EDATE($E59,BF$1-1),Raw_매출!$B$1:$BI$1,0))=0,"",INDEX(Raw_매출!$B$2:$BI$155,MATCH($A59,Raw_매출!$A$2:$A$155,0),MATCH(EDATE($E59,BF$1-1),Raw_매출!$B$1:$BI$1,0))/(INDEX(요약_월별시즈널리티!$F$7:$F$18,MONTH(EDATE($E59,BF$1-1)))/100))),"")</f>
        <v/>
      </c>
      <c r="BG59" t="str" cm="1">
        <f t="array" ref="BG59">IFERROR(IF($E59&lt;44348,"",IF(INDEX(Raw_매출!$B$2:$BI$155,MATCH($A59,Raw_매출!$A$2:$A$155,0),MATCH(EDATE($E59,BG$1-1),Raw_매출!$B$1:$BI$1,0))=0,"",INDEX(Raw_매출!$B$2:$BI$155,MATCH($A59,Raw_매출!$A$2:$A$155,0),MATCH(EDATE($E59,BG$1-1),Raw_매출!$B$1:$BI$1,0))/(INDEX(요약_월별시즈널리티!$F$7:$F$18,MONTH(EDATE($E59,BG$1-1)))/100))),"")</f>
        <v/>
      </c>
      <c r="BH59" t="str" cm="1">
        <f t="array" ref="BH59">IFERROR(IF($E59&lt;44348,"",IF(INDEX(Raw_매출!$B$2:$BI$155,MATCH($A59,Raw_매출!$A$2:$A$155,0),MATCH(EDATE($E59,BH$1-1),Raw_매출!$B$1:$BI$1,0))=0,"",INDEX(Raw_매출!$B$2:$BI$155,MATCH($A59,Raw_매출!$A$2:$A$155,0),MATCH(EDATE($E59,BH$1-1),Raw_매출!$B$1:$BI$1,0))/(INDEX(요약_월별시즈널리티!$F$7:$F$18,MONTH(EDATE($E59,BH$1-1)))/100))),"")</f>
        <v/>
      </c>
      <c r="BI59" t="str" cm="1">
        <f t="array" ref="BI59">IFERROR(IF($E59&lt;44348,"",IF(INDEX(Raw_매출!$B$2:$BI$155,MATCH($A59,Raw_매출!$A$2:$A$155,0),MATCH(EDATE($E59,BI$1-1),Raw_매출!$B$1:$BI$1,0))=0,"",INDEX(Raw_매출!$B$2:$BI$155,MATCH($A59,Raw_매출!$A$2:$A$155,0),MATCH(EDATE($E59,BI$1-1),Raw_매출!$B$1:$BI$1,0))/(INDEX(요약_월별시즈널리티!$F$7:$F$18,MONTH(EDATE($E59,BI$1-1)))/100))),"")</f>
        <v/>
      </c>
      <c r="BJ59" t="str" cm="1">
        <f t="array" ref="BJ59">IFERROR(IF($E59&lt;44348,"",IF(INDEX(Raw_매출!$B$2:$BI$155,MATCH($A59,Raw_매출!$A$2:$A$155,0),MATCH(EDATE($E59,BJ$1-1),Raw_매출!$B$1:$BI$1,0))=0,"",INDEX(Raw_매출!$B$2:$BI$155,MATCH($A59,Raw_매출!$A$2:$A$155,0),MATCH(EDATE($E59,BJ$1-1),Raw_매출!$B$1:$BI$1,0))/(INDEX(요약_월별시즈널리티!$F$7:$F$18,MONTH(EDATE($E59,BJ$1-1)))/100))),"")</f>
        <v/>
      </c>
      <c r="BK59" t="str" cm="1">
        <f t="array" ref="BK59">IFERROR(IF($E59&lt;44348,"",IF(INDEX(Raw_매출!$B$2:$BI$155,MATCH($A59,Raw_매출!$A$2:$A$155,0),MATCH(EDATE($E59,BK$1-1),Raw_매출!$B$1:$BI$1,0))=0,"",INDEX(Raw_매출!$B$2:$BI$155,MATCH($A59,Raw_매출!$A$2:$A$155,0),MATCH(EDATE($E59,BK$1-1),Raw_매출!$B$1:$BI$1,0))/(INDEX(요약_월별시즈널리티!$F$7:$F$18,MONTH(EDATE($E59,BK$1-1)))/100))),"")</f>
        <v/>
      </c>
      <c r="BL59" t="str" cm="1">
        <f t="array" ref="BL59">IFERROR(IF($E59&lt;44348,"",IF(INDEX(Raw_매출!$B$2:$BI$155,MATCH($A59,Raw_매출!$A$2:$A$155,0),MATCH(EDATE($E59,BL$1-1),Raw_매출!$B$1:$BI$1,0))=0,"",INDEX(Raw_매출!$B$2:$BI$155,MATCH($A59,Raw_매출!$A$2:$A$155,0),MATCH(EDATE($E59,BL$1-1),Raw_매출!$B$1:$BI$1,0))/(INDEX(요약_월별시즈널리티!$F$7:$F$18,MONTH(EDATE($E59,BL$1-1)))/100))),"")</f>
        <v/>
      </c>
      <c r="BM59" t="str" cm="1">
        <f t="array" ref="BM59">IFERROR(IF($E59&lt;44348,"",IF(INDEX(Raw_매출!$B$2:$BI$155,MATCH($A59,Raw_매출!$A$2:$A$155,0),MATCH(EDATE($E59,BM$1-1),Raw_매출!$B$1:$BI$1,0))=0,"",INDEX(Raw_매출!$B$2:$BI$155,MATCH($A59,Raw_매출!$A$2:$A$155,0),MATCH(EDATE($E59,BM$1-1),Raw_매출!$B$1:$BI$1,0))/(INDEX(요약_월별시즈널리티!$F$7:$F$18,MONTH(EDATE($E59,BM$1-1)))/100))),"")</f>
        <v/>
      </c>
      <c r="BN59" t="str" cm="1">
        <f t="array" ref="BN59">IFERROR(IF($E59&lt;44348,"",IF(INDEX(Raw_매출!$B$2:$BI$155,MATCH($A59,Raw_매출!$A$2:$A$155,0),MATCH(EDATE($E59,BN$1-1),Raw_매출!$B$1:$BI$1,0))=0,"",INDEX(Raw_매출!$B$2:$BI$155,MATCH($A59,Raw_매출!$A$2:$A$155,0),MATCH(EDATE($E59,BN$1-1),Raw_매출!$B$1:$BI$1,0))/(INDEX(요약_월별시즈널리티!$F$7:$F$18,MONTH(EDATE($E59,BN$1-1)))/100))),"")</f>
        <v/>
      </c>
    </row>
    <row r="60" spans="1:66" x14ac:dyDescent="0.4">
      <c r="A60" t="str">
        <f>세팅!A61</f>
        <v>(1049) #천호역점</v>
      </c>
      <c r="B60" t="str">
        <f>세팅!B61</f>
        <v>150-1</v>
      </c>
      <c r="C60">
        <f t="shared" si="0"/>
        <v>1</v>
      </c>
      <c r="D60" t="str">
        <f t="shared" si="1"/>
        <v>1</v>
      </c>
      <c r="E60" s="1">
        <f>세팅!D61</f>
        <v>44805</v>
      </c>
      <c r="F60">
        <f t="shared" si="2"/>
        <v>4759207.7819465417</v>
      </c>
      <c r="G60" cm="1">
        <f t="array" ref="G60">IFERROR(IF($E60&lt;44348,"",IF(INDEX(Raw_매출!$B$2:$BI$155,MATCH($A60,Raw_매출!$A$2:$A$155,0),MATCH(EDATE($E60,G$1-1),Raw_매출!$B$1:$BI$1,0))=0,"",INDEX(Raw_매출!$B$2:$BI$155,MATCH($A60,Raw_매출!$A$2:$A$155,0),MATCH(EDATE($E60,G$1-1),Raw_매출!$B$1:$BI$1,0))/(INDEX(요약_월별시즈널리티!$F$7:$F$18,MONTH(EDATE($E60,G$1-1)))/100))),"")</f>
        <v>3709435.8509317567</v>
      </c>
      <c r="H60" cm="1">
        <f t="array" ref="H60">IFERROR(IF($E60&lt;44348,"",IF(INDEX(Raw_매출!$B$2:$BI$155,MATCH($A60,Raw_매출!$A$2:$A$155,0),MATCH(EDATE($E60,H$1-1),Raw_매출!$B$1:$BI$1,0))=0,"",INDEX(Raw_매출!$B$2:$BI$155,MATCH($A60,Raw_매출!$A$2:$A$155,0),MATCH(EDATE($E60,H$1-1),Raw_매출!$B$1:$BI$1,0))/(INDEX(요약_월별시즈널리티!$F$7:$F$18,MONTH(EDATE($E60,H$1-1)))/100))),"")</f>
        <v>4025146.0461860928</v>
      </c>
      <c r="I60" cm="1">
        <f t="array" ref="I60">IFERROR(IF($E60&lt;44348,"",IF(INDEX(Raw_매출!$B$2:$BI$155,MATCH($A60,Raw_매출!$A$2:$A$155,0),MATCH(EDATE($E60,I$1-1),Raw_매출!$B$1:$BI$1,0))=0,"",INDEX(Raw_매출!$B$2:$BI$155,MATCH($A60,Raw_매출!$A$2:$A$155,0),MATCH(EDATE($E60,I$1-1),Raw_매출!$B$1:$BI$1,0))/(INDEX(요약_월별시즈널리티!$F$7:$F$18,MONTH(EDATE($E60,I$1-1)))/100))),"")</f>
        <v>3664304.9001184758</v>
      </c>
      <c r="J60" s="30" cm="1">
        <f t="array" ref="J60">IFERROR(IF($E60&lt;44348,"",IF(INDEX(Raw_매출!$B$2:$BI$155,MATCH($A60,Raw_매출!$A$2:$A$155,0),MATCH(EDATE($E60,J$1-1),Raw_매출!$B$1:$BI$1,0))=0,"",INDEX(Raw_매출!$B$2:$BI$155,MATCH($A60,Raw_매출!$A$2:$A$155,0),MATCH(EDATE($E60,J$1-1),Raw_매출!$B$1:$BI$1,0))/(INDEX(요약_월별시즈널리티!$F$7:$F$18,MONTH(EDATE($E60,J$1-1)))/100))),"")</f>
        <v>4008928.8421677309</v>
      </c>
      <c r="K60" s="30" cm="1">
        <f t="array" ref="K60">IFERROR(IF($E60&lt;44348,"",IF(INDEX(Raw_매출!$B$2:$BI$155,MATCH($A60,Raw_매출!$A$2:$A$155,0),MATCH(EDATE($E60,K$1-1),Raw_매출!$B$1:$BI$1,0))=0,"",INDEX(Raw_매출!$B$2:$BI$155,MATCH($A60,Raw_매출!$A$2:$A$155,0),MATCH(EDATE($E60,K$1-1),Raw_매출!$B$1:$BI$1,0))/(INDEX(요약_월별시즈널리티!$F$7:$F$18,MONTH(EDATE($E60,K$1-1)))/100))),"")</f>
        <v>5095555.1611088123</v>
      </c>
      <c r="L60" s="30" cm="1">
        <f t="array" ref="L60">IFERROR(IF($E60&lt;44348,"",IF(INDEX(Raw_매출!$B$2:$BI$155,MATCH($A60,Raw_매출!$A$2:$A$155,0),MATCH(EDATE($E60,L$1-1),Raw_매출!$B$1:$BI$1,0))=0,"",INDEX(Raw_매출!$B$2:$BI$155,MATCH($A60,Raw_매출!$A$2:$A$155,0),MATCH(EDATE($E60,L$1-1),Raw_매출!$B$1:$BI$1,0))/(INDEX(요약_월별시즈널리티!$F$7:$F$18,MONTH(EDATE($E60,L$1-1)))/100))),"")</f>
        <v>4545736.2379195942</v>
      </c>
      <c r="M60" s="30" cm="1">
        <f t="array" ref="M60">IFERROR(IF($E60&lt;44348,"",IF(INDEX(Raw_매출!$B$2:$BI$155,MATCH($A60,Raw_매출!$A$2:$A$155,0),MATCH(EDATE($E60,M$1-1),Raw_매출!$B$1:$BI$1,0))=0,"",INDEX(Raw_매출!$B$2:$BI$155,MATCH($A60,Raw_매출!$A$2:$A$155,0),MATCH(EDATE($E60,M$1-1),Raw_매출!$B$1:$BI$1,0))/(INDEX(요약_월별시즈널리티!$F$7:$F$18,MONTH(EDATE($E60,M$1-1)))/100))),"")</f>
        <v>4903181.5585657218</v>
      </c>
      <c r="N60" s="30" cm="1">
        <f t="array" ref="N60">IFERROR(IF($E60&lt;44348,"",IF(INDEX(Raw_매출!$B$2:$BI$155,MATCH($A60,Raw_매출!$A$2:$A$155,0),MATCH(EDATE($E60,N$1-1),Raw_매출!$B$1:$BI$1,0))=0,"",INDEX(Raw_매출!$B$2:$BI$155,MATCH($A60,Raw_매출!$A$2:$A$155,0),MATCH(EDATE($E60,N$1-1),Raw_매출!$B$1:$BI$1,0))/(INDEX(요약_월별시즈널리티!$F$7:$F$18,MONTH(EDATE($E60,N$1-1)))/100))),"")</f>
        <v>5352854.4609610643</v>
      </c>
      <c r="O60" s="30" cm="1">
        <f t="array" ref="O60">IFERROR(IF($E60&lt;44348,"",IF(INDEX(Raw_매출!$B$2:$BI$155,MATCH($A60,Raw_매출!$A$2:$A$155,0),MATCH(EDATE($E60,O$1-1),Raw_매출!$B$1:$BI$1,0))=0,"",INDEX(Raw_매출!$B$2:$BI$155,MATCH($A60,Raw_매출!$A$2:$A$155,0),MATCH(EDATE($E60,O$1-1),Raw_매출!$B$1:$BI$1,0))/(INDEX(요약_월별시즈널리티!$F$7:$F$18,MONTH(EDATE($E60,O$1-1)))/100))),"")</f>
        <v>4648990.4309563311</v>
      </c>
      <c r="P60" cm="1">
        <f t="array" ref="P60">IFERROR(IF($E60&lt;44348,"",IF(INDEX(Raw_매출!$B$2:$BI$155,MATCH($A60,Raw_매출!$A$2:$A$155,0),MATCH(EDATE($E60,P$1-1),Raw_매출!$B$1:$BI$1,0))=0,"",INDEX(Raw_매출!$B$2:$BI$155,MATCH($A60,Raw_매출!$A$2:$A$155,0),MATCH(EDATE($E60,P$1-1),Raw_매출!$B$1:$BI$1,0))/(INDEX(요약_월별시즈널리티!$F$7:$F$18,MONTH(EDATE($E60,P$1-1)))/100))),"")</f>
        <v>4362031.0613453621</v>
      </c>
      <c r="Q60" cm="1">
        <f t="array" ref="Q60">IFERROR(IF($E60&lt;44348,"",IF(INDEX(Raw_매출!$B$2:$BI$155,MATCH($A60,Raw_매출!$A$2:$A$155,0),MATCH(EDATE($E60,Q$1-1),Raw_매출!$B$1:$BI$1,0))=0,"",INDEX(Raw_매출!$B$2:$BI$155,MATCH($A60,Raw_매출!$A$2:$A$155,0),MATCH(EDATE($E60,Q$1-1),Raw_매출!$B$1:$BI$1,0))/(INDEX(요약_월별시즈널리티!$F$7:$F$18,MONTH(EDATE($E60,Q$1-1)))/100))),"")</f>
        <v>5358781.4093843717</v>
      </c>
      <c r="R60" cm="1">
        <f t="array" ref="R60">IFERROR(IF($E60&lt;44348,"",IF(INDEX(Raw_매출!$B$2:$BI$155,MATCH($A60,Raw_매출!$A$2:$A$155,0),MATCH(EDATE($E60,R$1-1),Raw_매출!$B$1:$BI$1,0))=0,"",INDEX(Raw_매출!$B$2:$BI$155,MATCH($A60,Raw_매출!$A$2:$A$155,0),MATCH(EDATE($E60,R$1-1),Raw_매출!$B$1:$BI$1,0))/(INDEX(요약_월별시즈널리티!$F$7:$F$18,MONTH(EDATE($E60,R$1-1)))/100))),"")</f>
        <v>4948786.5447071968</v>
      </c>
      <c r="S60" cm="1">
        <f t="array" ref="S60">IFERROR(IF($E60&lt;44348,"",IF(INDEX(Raw_매출!$B$2:$BI$155,MATCH($A60,Raw_매출!$A$2:$A$155,0),MATCH(EDATE($E60,S$1-1),Raw_매출!$B$1:$BI$1,0))=0,"",INDEX(Raw_매출!$B$2:$BI$155,MATCH($A60,Raw_매출!$A$2:$A$155,0),MATCH(EDATE($E60,S$1-1),Raw_매출!$B$1:$BI$1,0))/(INDEX(요약_월별시즈널리티!$F$7:$F$18,MONTH(EDATE($E60,S$1-1)))/100))),"")</f>
        <v>6414572.8220659038</v>
      </c>
      <c r="T60" cm="1">
        <f t="array" ref="T60">IFERROR(IF($E60&lt;44348,"",IF(INDEX(Raw_매출!$B$2:$BI$155,MATCH($A60,Raw_매출!$A$2:$A$155,0),MATCH(EDATE($E60,T$1-1),Raw_매출!$B$1:$BI$1,0))=0,"",INDEX(Raw_매출!$B$2:$BI$155,MATCH($A60,Raw_매출!$A$2:$A$155,0),MATCH(EDATE($E60,T$1-1),Raw_매출!$B$1:$BI$1,0))/(INDEX(요약_월별시즈널리티!$F$7:$F$18,MONTH(EDATE($E60,T$1-1)))/100))),"")</f>
        <v>7186324.1251421971</v>
      </c>
      <c r="U60" cm="1">
        <f t="array" ref="U60">IFERROR(IF($E60&lt;44348,"",IF(INDEX(Raw_매출!$B$2:$BI$155,MATCH($A60,Raw_매출!$A$2:$A$155,0),MATCH(EDATE($E60,U$1-1),Raw_매출!$B$1:$BI$1,0))=0,"",INDEX(Raw_매출!$B$2:$BI$155,MATCH($A60,Raw_매출!$A$2:$A$155,0),MATCH(EDATE($E60,U$1-1),Raw_매출!$B$1:$BI$1,0))/(INDEX(요약_월별시즈널리티!$F$7:$F$18,MONTH(EDATE($E60,U$1-1)))/100))),"")</f>
        <v>6586624.0766874049</v>
      </c>
      <c r="V60" cm="1">
        <f t="array" ref="V60">IFERROR(IF($E60&lt;44348,"",IF(INDEX(Raw_매출!$B$2:$BI$155,MATCH($A60,Raw_매출!$A$2:$A$155,0),MATCH(EDATE($E60,V$1-1),Raw_매출!$B$1:$BI$1,0))=0,"",INDEX(Raw_매출!$B$2:$BI$155,MATCH($A60,Raw_매출!$A$2:$A$155,0),MATCH(EDATE($E60,V$1-1),Raw_매출!$B$1:$BI$1,0))/(INDEX(요약_월별시즈널리티!$F$7:$F$18,MONTH(EDATE($E60,V$1-1)))/100))),"")</f>
        <v>6155595.3161346689</v>
      </c>
      <c r="W60" cm="1">
        <f t="array" ref="W60">IFERROR(IF($E60&lt;44348,"",IF(INDEX(Raw_매출!$B$2:$BI$155,MATCH($A60,Raw_매출!$A$2:$A$155,0),MATCH(EDATE($E60,W$1-1),Raw_매출!$B$1:$BI$1,0))=0,"",INDEX(Raw_매출!$B$2:$BI$155,MATCH($A60,Raw_매출!$A$2:$A$155,0),MATCH(EDATE($E60,W$1-1),Raw_매출!$B$1:$BI$1,0))/(INDEX(요약_월별시즈널리티!$F$7:$F$18,MONTH(EDATE($E60,W$1-1)))/100))),"")</f>
        <v>6989759.2711228086</v>
      </c>
      <c r="X60" cm="1">
        <f t="array" ref="X60">IFERROR(IF($E60&lt;44348,"",IF(INDEX(Raw_매출!$B$2:$BI$155,MATCH($A60,Raw_매출!$A$2:$A$155,0),MATCH(EDATE($E60,X$1-1),Raw_매출!$B$1:$BI$1,0))=0,"",INDEX(Raw_매출!$B$2:$BI$155,MATCH($A60,Raw_매출!$A$2:$A$155,0),MATCH(EDATE($E60,X$1-1),Raw_매출!$B$1:$BI$1,0))/(INDEX(요약_월별시즈널리티!$F$7:$F$18,MONTH(EDATE($E60,X$1-1)))/100))),"")</f>
        <v>6154332.4739063578</v>
      </c>
      <c r="Y60" cm="1">
        <f t="array" ref="Y60">IFERROR(IF($E60&lt;44348,"",IF(INDEX(Raw_매출!$B$2:$BI$155,MATCH($A60,Raw_매출!$A$2:$A$155,0),MATCH(EDATE($E60,Y$1-1),Raw_매출!$B$1:$BI$1,0))=0,"",INDEX(Raw_매출!$B$2:$BI$155,MATCH($A60,Raw_매출!$A$2:$A$155,0),MATCH(EDATE($E60,Y$1-1),Raw_매출!$B$1:$BI$1,0))/(INDEX(요약_월별시즈널리티!$F$7:$F$18,MONTH(EDATE($E60,Y$1-1)))/100))),"")</f>
        <v>6800783.3155782297</v>
      </c>
      <c r="Z60" cm="1">
        <f t="array" ref="Z60">IFERROR(IF($E60&lt;44348,"",IF(INDEX(Raw_매출!$B$2:$BI$155,MATCH($A60,Raw_매출!$A$2:$A$155,0),MATCH(EDATE($E60,Z$1-1),Raw_매출!$B$1:$BI$1,0))=0,"",INDEX(Raw_매출!$B$2:$BI$155,MATCH($A60,Raw_매출!$A$2:$A$155,0),MATCH(EDATE($E60,Z$1-1),Raw_매출!$B$1:$BI$1,0))/(INDEX(요약_월별시즈널리티!$F$7:$F$18,MONTH(EDATE($E60,Z$1-1)))/100))),"")</f>
        <v>7684037.8636971787</v>
      </c>
      <c r="AA60" cm="1">
        <f t="array" ref="AA60">IFERROR(IF($E60&lt;44348,"",IF(INDEX(Raw_매출!$B$2:$BI$155,MATCH($A60,Raw_매출!$A$2:$A$155,0),MATCH(EDATE($E60,AA$1-1),Raw_매출!$B$1:$BI$1,0))=0,"",INDEX(Raw_매출!$B$2:$BI$155,MATCH($A60,Raw_매출!$A$2:$A$155,0),MATCH(EDATE($E60,AA$1-1),Raw_매출!$B$1:$BI$1,0))/(INDEX(요약_월별시즈널리티!$F$7:$F$18,MONTH(EDATE($E60,AA$1-1)))/100))),"")</f>
        <v>6391870.7018998489</v>
      </c>
      <c r="AB60" cm="1">
        <f t="array" ref="AB60">IFERROR(IF($E60&lt;44348,"",IF(INDEX(Raw_매출!$B$2:$BI$155,MATCH($A60,Raw_매출!$A$2:$A$155,0),MATCH(EDATE($E60,AB$1-1),Raw_매출!$B$1:$BI$1,0))=0,"",INDEX(Raw_매출!$B$2:$BI$155,MATCH($A60,Raw_매출!$A$2:$A$155,0),MATCH(EDATE($E60,AB$1-1),Raw_매출!$B$1:$BI$1,0))/(INDEX(요약_월별시즈널리티!$F$7:$F$18,MONTH(EDATE($E60,AB$1-1)))/100))),"")</f>
        <v>7224694.8182944795</v>
      </c>
      <c r="AC60" cm="1">
        <f t="array" ref="AC60">IFERROR(IF($E60&lt;44348,"",IF(INDEX(Raw_매출!$B$2:$BI$155,MATCH($A60,Raw_매출!$A$2:$A$155,0),MATCH(EDATE($E60,AC$1-1),Raw_매출!$B$1:$BI$1,0))=0,"",INDEX(Raw_매출!$B$2:$BI$155,MATCH($A60,Raw_매출!$A$2:$A$155,0),MATCH(EDATE($E60,AC$1-1),Raw_매출!$B$1:$BI$1,0))/(INDEX(요약_월별시즈널리티!$F$7:$F$18,MONTH(EDATE($E60,AC$1-1)))/100))),"")</f>
        <v>6795177.4744793605</v>
      </c>
      <c r="AD60" cm="1">
        <f t="array" ref="AD60">IFERROR(IF($E60&lt;44348,"",IF(INDEX(Raw_매출!$B$2:$BI$155,MATCH($A60,Raw_매출!$A$2:$A$155,0),MATCH(EDATE($E60,AD$1-1),Raw_매출!$B$1:$BI$1,0))=0,"",INDEX(Raw_매출!$B$2:$BI$155,MATCH($A60,Raw_매출!$A$2:$A$155,0),MATCH(EDATE($E60,AD$1-1),Raw_매출!$B$1:$BI$1,0))/(INDEX(요약_월별시즈널리티!$F$7:$F$18,MONTH(EDATE($E60,AD$1-1)))/100))),"")</f>
        <v>6229718.6944464277</v>
      </c>
      <c r="AE60" cm="1">
        <f t="array" ref="AE60">IFERROR(IF($E60&lt;44348,"",IF(INDEX(Raw_매출!$B$2:$BI$155,MATCH($A60,Raw_매출!$A$2:$A$155,0),MATCH(EDATE($E60,AE$1-1),Raw_매출!$B$1:$BI$1,0))=0,"",INDEX(Raw_매출!$B$2:$BI$155,MATCH($A60,Raw_매출!$A$2:$A$155,0),MATCH(EDATE($E60,AE$1-1),Raw_매출!$B$1:$BI$1,0))/(INDEX(요약_월별시즈널리티!$F$7:$F$18,MONTH(EDATE($E60,AE$1-1)))/100))),"")</f>
        <v>6704834.1149501065</v>
      </c>
      <c r="AF60" cm="1">
        <f t="array" ref="AF60">IFERROR(IF($E60&lt;44348,"",IF(INDEX(Raw_매출!$B$2:$BI$155,MATCH($A60,Raw_매출!$A$2:$A$155,0),MATCH(EDATE($E60,AF$1-1),Raw_매출!$B$1:$BI$1,0))=0,"",INDEX(Raw_매출!$B$2:$BI$155,MATCH($A60,Raw_매출!$A$2:$A$155,0),MATCH(EDATE($E60,AF$1-1),Raw_매출!$B$1:$BI$1,0))/(INDEX(요약_월별시즈널리티!$F$7:$F$18,MONTH(EDATE($E60,AF$1-1)))/100))),"")</f>
        <v>6444662.947946229</v>
      </c>
      <c r="AG60" cm="1">
        <f t="array" ref="AG60">IFERROR(IF($E60&lt;44348,"",IF(INDEX(Raw_매출!$B$2:$BI$155,MATCH($A60,Raw_매출!$A$2:$A$155,0),MATCH(EDATE($E60,AG$1-1),Raw_매출!$B$1:$BI$1,0))=0,"",INDEX(Raw_매출!$B$2:$BI$155,MATCH($A60,Raw_매출!$A$2:$A$155,0),MATCH(EDATE($E60,AG$1-1),Raw_매출!$B$1:$BI$1,0))/(INDEX(요약_월별시즈널리티!$F$7:$F$18,MONTH(EDATE($E60,AG$1-1)))/100))),"")</f>
        <v>6256308.3610515613</v>
      </c>
      <c r="AH60" cm="1">
        <f t="array" ref="AH60">IFERROR(IF($E60&lt;44348,"",IF(INDEX(Raw_매출!$B$2:$BI$155,MATCH($A60,Raw_매출!$A$2:$A$155,0),MATCH(EDATE($E60,AH$1-1),Raw_매출!$B$1:$BI$1,0))=0,"",INDEX(Raw_매출!$B$2:$BI$155,MATCH($A60,Raw_매출!$A$2:$A$155,0),MATCH(EDATE($E60,AH$1-1),Raw_매출!$B$1:$BI$1,0))/(INDEX(요약_월별시즈널리티!$F$7:$F$18,MONTH(EDATE($E60,AH$1-1)))/100))),"")</f>
        <v>6356414.3442670107</v>
      </c>
      <c r="AI60" cm="1">
        <f t="array" ref="AI60">IFERROR(IF($E60&lt;44348,"",IF(INDEX(Raw_매출!$B$2:$BI$155,MATCH($A60,Raw_매출!$A$2:$A$155,0),MATCH(EDATE($E60,AI$1-1),Raw_매출!$B$1:$BI$1,0))=0,"",INDEX(Raw_매출!$B$2:$BI$155,MATCH($A60,Raw_매출!$A$2:$A$155,0),MATCH(EDATE($E60,AI$1-1),Raw_매출!$B$1:$BI$1,0))/(INDEX(요약_월별시즈널리티!$F$7:$F$18,MONTH(EDATE($E60,AI$1-1)))/100))),"")</f>
        <v>7387802.4870495452</v>
      </c>
      <c r="AJ60" cm="1">
        <f t="array" ref="AJ60">IFERROR(IF($E60&lt;44348,"",IF(INDEX(Raw_매출!$B$2:$BI$155,MATCH($A60,Raw_매출!$A$2:$A$155,0),MATCH(EDATE($E60,AJ$1-1),Raw_매출!$B$1:$BI$1,0))=0,"",INDEX(Raw_매출!$B$2:$BI$155,MATCH($A60,Raw_매출!$A$2:$A$155,0),MATCH(EDATE($E60,AJ$1-1),Raw_매출!$B$1:$BI$1,0))/(INDEX(요약_월별시즈널리티!$F$7:$F$18,MONTH(EDATE($E60,AJ$1-1)))/100))),"")</f>
        <v>7086674.0692525962</v>
      </c>
      <c r="AK60" cm="1">
        <f t="array" ref="AK60">IFERROR(IF($E60&lt;44348,"",IF(INDEX(Raw_매출!$B$2:$BI$155,MATCH($A60,Raw_매출!$A$2:$A$155,0),MATCH(EDATE($E60,AK$1-1),Raw_매출!$B$1:$BI$1,0))=0,"",INDEX(Raw_매출!$B$2:$BI$155,MATCH($A60,Raw_매출!$A$2:$A$155,0),MATCH(EDATE($E60,AK$1-1),Raw_매출!$B$1:$BI$1,0))/(INDEX(요약_월별시즈널리티!$F$7:$F$18,MONTH(EDATE($E60,AK$1-1)))/100))),"")</f>
        <v>7532427.1248052837</v>
      </c>
      <c r="AL60" cm="1">
        <f t="array" ref="AL60">IFERROR(IF($E60&lt;44348,"",IF(INDEX(Raw_매출!$B$2:$BI$155,MATCH($A60,Raw_매출!$A$2:$A$155,0),MATCH(EDATE($E60,AL$1-1),Raw_매출!$B$1:$BI$1,0))=0,"",INDEX(Raw_매출!$B$2:$BI$155,MATCH($A60,Raw_매출!$A$2:$A$155,0),MATCH(EDATE($E60,AL$1-1),Raw_매출!$B$1:$BI$1,0))/(INDEX(요약_월별시즈널리티!$F$7:$F$18,MONTH(EDATE($E60,AL$1-1)))/100))),"")</f>
        <v>7305571.2087301472</v>
      </c>
      <c r="AM60" cm="1">
        <f t="array" ref="AM60">IFERROR(IF($E60&lt;44348,"",IF(INDEX(Raw_매출!$B$2:$BI$155,MATCH($A60,Raw_매출!$A$2:$A$155,0),MATCH(EDATE($E60,AM$1-1),Raw_매출!$B$1:$BI$1,0))=0,"",INDEX(Raw_매출!$B$2:$BI$155,MATCH($A60,Raw_매출!$A$2:$A$155,0),MATCH(EDATE($E60,AM$1-1),Raw_매출!$B$1:$BI$1,0))/(INDEX(요약_월별시즈널리티!$F$7:$F$18,MONTH(EDATE($E60,AM$1-1)))/100))),"")</f>
        <v>6917547.8091372484</v>
      </c>
      <c r="AN60" cm="1">
        <f t="array" ref="AN60">IFERROR(IF($E60&lt;44348,"",IF(INDEX(Raw_매출!$B$2:$BI$155,MATCH($A60,Raw_매출!$A$2:$A$155,0),MATCH(EDATE($E60,AN$1-1),Raw_매출!$B$1:$BI$1,0))=0,"",INDEX(Raw_매출!$B$2:$BI$155,MATCH($A60,Raw_매출!$A$2:$A$155,0),MATCH(EDATE($E60,AN$1-1),Raw_매출!$B$1:$BI$1,0))/(INDEX(요약_월별시즈널리티!$F$7:$F$18,MONTH(EDATE($E60,AN$1-1)))/100))),"")</f>
        <v>7438666.3787543187</v>
      </c>
      <c r="AO60" cm="1">
        <f t="array" ref="AO60">IFERROR(IF($E60&lt;44348,"",IF(INDEX(Raw_매출!$B$2:$BI$155,MATCH($A60,Raw_매출!$A$2:$A$155,0),MATCH(EDATE($E60,AO$1-1),Raw_매출!$B$1:$BI$1,0))=0,"",INDEX(Raw_매출!$B$2:$BI$155,MATCH($A60,Raw_매출!$A$2:$A$155,0),MATCH(EDATE($E60,AO$1-1),Raw_매출!$B$1:$BI$1,0))/(INDEX(요약_월별시즈널리티!$F$7:$F$18,MONTH(EDATE($E60,AO$1-1)))/100))),"")</f>
        <v>7253198.2868029792</v>
      </c>
      <c r="AP60" cm="1">
        <f t="array" ref="AP60">IFERROR(IF($E60&lt;44348,"",IF(INDEX(Raw_매출!$B$2:$BI$155,MATCH($A60,Raw_매출!$A$2:$A$155,0),MATCH(EDATE($E60,AP$1-1),Raw_매출!$B$1:$BI$1,0))=0,"",INDEX(Raw_매출!$B$2:$BI$155,MATCH($A60,Raw_매출!$A$2:$A$155,0),MATCH(EDATE($E60,AP$1-1),Raw_매출!$B$1:$BI$1,0))/(INDEX(요약_월별시즈널리티!$F$7:$F$18,MONTH(EDATE($E60,AP$1-1)))/100))),"")</f>
        <v>6946469.5789344059</v>
      </c>
      <c r="AQ60" cm="1">
        <f t="array" ref="AQ60">IFERROR(IF($E60&lt;44348,"",IF(INDEX(Raw_매출!$B$2:$BI$155,MATCH($A60,Raw_매출!$A$2:$A$155,0),MATCH(EDATE($E60,AQ$1-1),Raw_매출!$B$1:$BI$1,0))=0,"",INDEX(Raw_매출!$B$2:$BI$155,MATCH($A60,Raw_매출!$A$2:$A$155,0),MATCH(EDATE($E60,AQ$1-1),Raw_매출!$B$1:$BI$1,0))/(INDEX(요약_월별시즈널리티!$F$7:$F$18,MONTH(EDATE($E60,AQ$1-1)))/100))),"")</f>
        <v>6700489.484078018</v>
      </c>
      <c r="AR60" cm="1">
        <f t="array" ref="AR60">IFERROR(IF($E60&lt;44348,"",IF(INDEX(Raw_매출!$B$2:$BI$155,MATCH($A60,Raw_매출!$A$2:$A$155,0),MATCH(EDATE($E60,AR$1-1),Raw_매출!$B$1:$BI$1,0))=0,"",INDEX(Raw_매출!$B$2:$BI$155,MATCH($A60,Raw_매출!$A$2:$A$155,0),MATCH(EDATE($E60,AR$1-1),Raw_매출!$B$1:$BI$1,0))/(INDEX(요약_월별시즈널리티!$F$7:$F$18,MONTH(EDATE($E60,AR$1-1)))/100))),"")</f>
        <v>7574006.7173465099</v>
      </c>
      <c r="AS60" cm="1">
        <f t="array" ref="AS60">IFERROR(IF($E60&lt;44348,"",IF(INDEX(Raw_매출!$B$2:$BI$155,MATCH($A60,Raw_매출!$A$2:$A$155,0),MATCH(EDATE($E60,AS$1-1),Raw_매출!$B$1:$BI$1,0))=0,"",INDEX(Raw_매출!$B$2:$BI$155,MATCH($A60,Raw_매출!$A$2:$A$155,0),MATCH(EDATE($E60,AS$1-1),Raw_매출!$B$1:$BI$1,0))/(INDEX(요약_월별시즈널리티!$F$7:$F$18,MONTH(EDATE($E60,AS$1-1)))/100))),"")</f>
        <v>6907065.8593289582</v>
      </c>
      <c r="AT60" cm="1">
        <f t="array" ref="AT60">IFERROR(IF($E60&lt;44348,"",IF(INDEX(Raw_매출!$B$2:$BI$155,MATCH($A60,Raw_매출!$A$2:$A$155,0),MATCH(EDATE($E60,AT$1-1),Raw_매출!$B$1:$BI$1,0))=0,"",INDEX(Raw_매출!$B$2:$BI$155,MATCH($A60,Raw_매출!$A$2:$A$155,0),MATCH(EDATE($E60,AT$1-1),Raw_매출!$B$1:$BI$1,0))/(INDEX(요약_월별시즈널리티!$F$7:$F$18,MONTH(EDATE($E60,AT$1-1)))/100))),"")</f>
        <v>6599766.2444846323</v>
      </c>
      <c r="AU60" cm="1">
        <f t="array" ref="AU60">IFERROR(IF($E60&lt;44348,"",IF(INDEX(Raw_매출!$B$2:$BI$155,MATCH($A60,Raw_매출!$A$2:$A$155,0),MATCH(EDATE($E60,AU$1-1),Raw_매출!$B$1:$BI$1,0))=0,"",INDEX(Raw_매출!$B$2:$BI$155,MATCH($A60,Raw_매출!$A$2:$A$155,0),MATCH(EDATE($E60,AU$1-1),Raw_매출!$B$1:$BI$1,0))/(INDEX(요약_월별시즈널리티!$F$7:$F$18,MONTH(EDATE($E60,AU$1-1)))/100))),"")</f>
        <v>7753153.2977602426</v>
      </c>
      <c r="AV60" cm="1">
        <f t="array" ref="AV60">IFERROR(IF($E60&lt;44348,"",IF(INDEX(Raw_매출!$B$2:$BI$155,MATCH($A60,Raw_매출!$A$2:$A$155,0),MATCH(EDATE($E60,AV$1-1),Raw_매출!$B$1:$BI$1,0))=0,"",INDEX(Raw_매출!$B$2:$BI$155,MATCH($A60,Raw_매출!$A$2:$A$155,0),MATCH(EDATE($E60,AV$1-1),Raw_매출!$B$1:$BI$1,0))/(INDEX(요약_월별시즈널리티!$F$7:$F$18,MONTH(EDATE($E60,AV$1-1)))/100))),"")</f>
        <v>8193714.7800976364</v>
      </c>
      <c r="AW60" cm="1">
        <f t="array" ref="AW60">IFERROR(IF($E60&lt;44348,"",IF(INDEX(Raw_매출!$B$2:$BI$155,MATCH($A60,Raw_매출!$A$2:$A$155,0),MATCH(EDATE($E60,AW$1-1),Raw_매출!$B$1:$BI$1,0))=0,"",INDEX(Raw_매출!$B$2:$BI$155,MATCH($A60,Raw_매출!$A$2:$A$155,0),MATCH(EDATE($E60,AW$1-1),Raw_매출!$B$1:$BI$1,0))/(INDEX(요약_월별시즈널리티!$F$7:$F$18,MONTH(EDATE($E60,AW$1-1)))/100))),"")</f>
        <v>7354679.7181948377</v>
      </c>
      <c r="AX60" cm="1">
        <f t="array" ref="AX60">IFERROR(IF($E60&lt;44348,"",IF(INDEX(Raw_매출!$B$2:$BI$155,MATCH($A60,Raw_매출!$A$2:$A$155,0),MATCH(EDATE($E60,AX$1-1),Raw_매출!$B$1:$BI$1,0))=0,"",INDEX(Raw_매출!$B$2:$BI$155,MATCH($A60,Raw_매출!$A$2:$A$155,0),MATCH(EDATE($E60,AX$1-1),Raw_매출!$B$1:$BI$1,0))/(INDEX(요약_월별시즈널리티!$F$7:$F$18,MONTH(EDATE($E60,AX$1-1)))/100))),"")</f>
        <v>7623281.3334394787</v>
      </c>
      <c r="AY60" cm="1">
        <f t="array" ref="AY60">IFERROR(IF($E60&lt;44348,"",IF(INDEX(Raw_매출!$B$2:$BI$155,MATCH($A60,Raw_매출!$A$2:$A$155,0),MATCH(EDATE($E60,AY$1-1),Raw_매출!$B$1:$BI$1,0))=0,"",INDEX(Raw_매출!$B$2:$BI$155,MATCH($A60,Raw_매출!$A$2:$A$155,0),MATCH(EDATE($E60,AY$1-1),Raw_매출!$B$1:$BI$1,0))/(INDEX(요약_월별시즈널리티!$F$7:$F$18,MONTH(EDATE($E60,AY$1-1)))/100))),"")</f>
        <v>8135984.7561566764</v>
      </c>
      <c r="AZ60" t="str" cm="1">
        <f t="array" ref="AZ60">IFERROR(IF($E60&lt;44348,"",IF(INDEX(Raw_매출!$B$2:$BI$155,MATCH($A60,Raw_매출!$A$2:$A$155,0),MATCH(EDATE($E60,AZ$1-1),Raw_매출!$B$1:$BI$1,0))=0,"",INDEX(Raw_매출!$B$2:$BI$155,MATCH($A60,Raw_매출!$A$2:$A$155,0),MATCH(EDATE($E60,AZ$1-1),Raw_매출!$B$1:$BI$1,0))/(INDEX(요약_월별시즈널리티!$F$7:$F$18,MONTH(EDATE($E60,AZ$1-1)))/100))),"")</f>
        <v/>
      </c>
      <c r="BA60" t="str" cm="1">
        <f t="array" ref="BA60">IFERROR(IF($E60&lt;44348,"",IF(INDEX(Raw_매출!$B$2:$BI$155,MATCH($A60,Raw_매출!$A$2:$A$155,0),MATCH(EDATE($E60,BA$1-1),Raw_매출!$B$1:$BI$1,0))=0,"",INDEX(Raw_매출!$B$2:$BI$155,MATCH($A60,Raw_매출!$A$2:$A$155,0),MATCH(EDATE($E60,BA$1-1),Raw_매출!$B$1:$BI$1,0))/(INDEX(요약_월별시즈널리티!$F$7:$F$18,MONTH(EDATE($E60,BA$1-1)))/100))),"")</f>
        <v/>
      </c>
      <c r="BB60" t="str" cm="1">
        <f t="array" ref="BB60">IFERROR(IF($E60&lt;44348,"",IF(INDEX(Raw_매출!$B$2:$BI$155,MATCH($A60,Raw_매출!$A$2:$A$155,0),MATCH(EDATE($E60,BB$1-1),Raw_매출!$B$1:$BI$1,0))=0,"",INDEX(Raw_매출!$B$2:$BI$155,MATCH($A60,Raw_매출!$A$2:$A$155,0),MATCH(EDATE($E60,BB$1-1),Raw_매출!$B$1:$BI$1,0))/(INDEX(요약_월별시즈널리티!$F$7:$F$18,MONTH(EDATE($E60,BB$1-1)))/100))),"")</f>
        <v/>
      </c>
      <c r="BC60" t="str" cm="1">
        <f t="array" ref="BC60">IFERROR(IF($E60&lt;44348,"",IF(INDEX(Raw_매출!$B$2:$BI$155,MATCH($A60,Raw_매출!$A$2:$A$155,0),MATCH(EDATE($E60,BC$1-1),Raw_매출!$B$1:$BI$1,0))=0,"",INDEX(Raw_매출!$B$2:$BI$155,MATCH($A60,Raw_매출!$A$2:$A$155,0),MATCH(EDATE($E60,BC$1-1),Raw_매출!$B$1:$BI$1,0))/(INDEX(요약_월별시즈널리티!$F$7:$F$18,MONTH(EDATE($E60,BC$1-1)))/100))),"")</f>
        <v/>
      </c>
      <c r="BD60" t="str" cm="1">
        <f t="array" ref="BD60">IFERROR(IF($E60&lt;44348,"",IF(INDEX(Raw_매출!$B$2:$BI$155,MATCH($A60,Raw_매출!$A$2:$A$155,0),MATCH(EDATE($E60,BD$1-1),Raw_매출!$B$1:$BI$1,0))=0,"",INDEX(Raw_매출!$B$2:$BI$155,MATCH($A60,Raw_매출!$A$2:$A$155,0),MATCH(EDATE($E60,BD$1-1),Raw_매출!$B$1:$BI$1,0))/(INDEX(요약_월별시즈널리티!$F$7:$F$18,MONTH(EDATE($E60,BD$1-1)))/100))),"")</f>
        <v/>
      </c>
      <c r="BE60" t="str" cm="1">
        <f t="array" ref="BE60">IFERROR(IF($E60&lt;44348,"",IF(INDEX(Raw_매출!$B$2:$BI$155,MATCH($A60,Raw_매출!$A$2:$A$155,0),MATCH(EDATE($E60,BE$1-1),Raw_매출!$B$1:$BI$1,0))=0,"",INDEX(Raw_매출!$B$2:$BI$155,MATCH($A60,Raw_매출!$A$2:$A$155,0),MATCH(EDATE($E60,BE$1-1),Raw_매출!$B$1:$BI$1,0))/(INDEX(요약_월별시즈널리티!$F$7:$F$18,MONTH(EDATE($E60,BE$1-1)))/100))),"")</f>
        <v/>
      </c>
      <c r="BF60" t="str" cm="1">
        <f t="array" ref="BF60">IFERROR(IF($E60&lt;44348,"",IF(INDEX(Raw_매출!$B$2:$BI$155,MATCH($A60,Raw_매출!$A$2:$A$155,0),MATCH(EDATE($E60,BF$1-1),Raw_매출!$B$1:$BI$1,0))=0,"",INDEX(Raw_매출!$B$2:$BI$155,MATCH($A60,Raw_매출!$A$2:$A$155,0),MATCH(EDATE($E60,BF$1-1),Raw_매출!$B$1:$BI$1,0))/(INDEX(요약_월별시즈널리티!$F$7:$F$18,MONTH(EDATE($E60,BF$1-1)))/100))),"")</f>
        <v/>
      </c>
      <c r="BG60" t="str" cm="1">
        <f t="array" ref="BG60">IFERROR(IF($E60&lt;44348,"",IF(INDEX(Raw_매출!$B$2:$BI$155,MATCH($A60,Raw_매출!$A$2:$A$155,0),MATCH(EDATE($E60,BG$1-1),Raw_매출!$B$1:$BI$1,0))=0,"",INDEX(Raw_매출!$B$2:$BI$155,MATCH($A60,Raw_매출!$A$2:$A$155,0),MATCH(EDATE($E60,BG$1-1),Raw_매출!$B$1:$BI$1,0))/(INDEX(요약_월별시즈널리티!$F$7:$F$18,MONTH(EDATE($E60,BG$1-1)))/100))),"")</f>
        <v/>
      </c>
      <c r="BH60" t="str" cm="1">
        <f t="array" ref="BH60">IFERROR(IF($E60&lt;44348,"",IF(INDEX(Raw_매출!$B$2:$BI$155,MATCH($A60,Raw_매출!$A$2:$A$155,0),MATCH(EDATE($E60,BH$1-1),Raw_매출!$B$1:$BI$1,0))=0,"",INDEX(Raw_매출!$B$2:$BI$155,MATCH($A60,Raw_매출!$A$2:$A$155,0),MATCH(EDATE($E60,BH$1-1),Raw_매출!$B$1:$BI$1,0))/(INDEX(요약_월별시즈널리티!$F$7:$F$18,MONTH(EDATE($E60,BH$1-1)))/100))),"")</f>
        <v/>
      </c>
      <c r="BI60" t="str" cm="1">
        <f t="array" ref="BI60">IFERROR(IF($E60&lt;44348,"",IF(INDEX(Raw_매출!$B$2:$BI$155,MATCH($A60,Raw_매출!$A$2:$A$155,0),MATCH(EDATE($E60,BI$1-1),Raw_매출!$B$1:$BI$1,0))=0,"",INDEX(Raw_매출!$B$2:$BI$155,MATCH($A60,Raw_매출!$A$2:$A$155,0),MATCH(EDATE($E60,BI$1-1),Raw_매출!$B$1:$BI$1,0))/(INDEX(요약_월별시즈널리티!$F$7:$F$18,MONTH(EDATE($E60,BI$1-1)))/100))),"")</f>
        <v/>
      </c>
      <c r="BJ60" t="str" cm="1">
        <f t="array" ref="BJ60">IFERROR(IF($E60&lt;44348,"",IF(INDEX(Raw_매출!$B$2:$BI$155,MATCH($A60,Raw_매출!$A$2:$A$155,0),MATCH(EDATE($E60,BJ$1-1),Raw_매출!$B$1:$BI$1,0))=0,"",INDEX(Raw_매출!$B$2:$BI$155,MATCH($A60,Raw_매출!$A$2:$A$155,0),MATCH(EDATE($E60,BJ$1-1),Raw_매출!$B$1:$BI$1,0))/(INDEX(요약_월별시즈널리티!$F$7:$F$18,MONTH(EDATE($E60,BJ$1-1)))/100))),"")</f>
        <v/>
      </c>
      <c r="BK60" t="str" cm="1">
        <f t="array" ref="BK60">IFERROR(IF($E60&lt;44348,"",IF(INDEX(Raw_매출!$B$2:$BI$155,MATCH($A60,Raw_매출!$A$2:$A$155,0),MATCH(EDATE($E60,BK$1-1),Raw_매출!$B$1:$BI$1,0))=0,"",INDEX(Raw_매출!$B$2:$BI$155,MATCH($A60,Raw_매출!$A$2:$A$155,0),MATCH(EDATE($E60,BK$1-1),Raw_매출!$B$1:$BI$1,0))/(INDEX(요약_월별시즈널리티!$F$7:$F$18,MONTH(EDATE($E60,BK$1-1)))/100))),"")</f>
        <v/>
      </c>
      <c r="BL60" t="str" cm="1">
        <f t="array" ref="BL60">IFERROR(IF($E60&lt;44348,"",IF(INDEX(Raw_매출!$B$2:$BI$155,MATCH($A60,Raw_매출!$A$2:$A$155,0),MATCH(EDATE($E60,BL$1-1),Raw_매출!$B$1:$BI$1,0))=0,"",INDEX(Raw_매출!$B$2:$BI$155,MATCH($A60,Raw_매출!$A$2:$A$155,0),MATCH(EDATE($E60,BL$1-1),Raw_매출!$B$1:$BI$1,0))/(INDEX(요약_월별시즈널리티!$F$7:$F$18,MONTH(EDATE($E60,BL$1-1)))/100))),"")</f>
        <v/>
      </c>
      <c r="BM60" t="str" cm="1">
        <f t="array" ref="BM60">IFERROR(IF($E60&lt;44348,"",IF(INDEX(Raw_매출!$B$2:$BI$155,MATCH($A60,Raw_매출!$A$2:$A$155,0),MATCH(EDATE($E60,BM$1-1),Raw_매출!$B$1:$BI$1,0))=0,"",INDEX(Raw_매출!$B$2:$BI$155,MATCH($A60,Raw_매출!$A$2:$A$155,0),MATCH(EDATE($E60,BM$1-1),Raw_매출!$B$1:$BI$1,0))/(INDEX(요약_월별시즈널리티!$F$7:$F$18,MONTH(EDATE($E60,BM$1-1)))/100))),"")</f>
        <v/>
      </c>
      <c r="BN60" t="str" cm="1">
        <f t="array" ref="BN60">IFERROR(IF($E60&lt;44348,"",IF(INDEX(Raw_매출!$B$2:$BI$155,MATCH($A60,Raw_매출!$A$2:$A$155,0),MATCH(EDATE($E60,BN$1-1),Raw_매출!$B$1:$BI$1,0))=0,"",INDEX(Raw_매출!$B$2:$BI$155,MATCH($A60,Raw_매출!$A$2:$A$155,0),MATCH(EDATE($E60,BN$1-1),Raw_매출!$B$1:$BI$1,0))/(INDEX(요약_월별시즈널리티!$F$7:$F$18,MONTH(EDATE($E60,BN$1-1)))/100))),"")</f>
        <v/>
      </c>
    </row>
    <row r="61" spans="1:66" x14ac:dyDescent="0.4">
      <c r="A61" t="str">
        <f>세팅!A62</f>
        <v>(1050) #라페스타장항점</v>
      </c>
      <c r="B61" t="str">
        <f>세팅!B62</f>
        <v>150-2</v>
      </c>
      <c r="C61">
        <f t="shared" si="0"/>
        <v>2</v>
      </c>
      <c r="D61" t="str">
        <f t="shared" si="1"/>
        <v>2</v>
      </c>
      <c r="E61" s="1">
        <f>세팅!D62</f>
        <v>44835</v>
      </c>
      <c r="F61">
        <f t="shared" si="2"/>
        <v>2606158.6603749529</v>
      </c>
      <c r="G61" cm="1">
        <f t="array" ref="G61">IFERROR(IF($E61&lt;44348,"",IF(INDEX(Raw_매출!$B$2:$BI$155,MATCH($A61,Raw_매출!$A$2:$A$155,0),MATCH(EDATE($E61,G$1-1),Raw_매출!$B$1:$BI$1,0))=0,"",INDEX(Raw_매출!$B$2:$BI$155,MATCH($A61,Raw_매출!$A$2:$A$155,0),MATCH(EDATE($E61,G$1-1),Raw_매출!$B$1:$BI$1,0))/(INDEX(요약_월별시즈널리티!$F$7:$F$18,MONTH(EDATE($E61,G$1-1)))/100))),"")</f>
        <v>2031808.3567781958</v>
      </c>
      <c r="H61" cm="1">
        <f t="array" ref="H61">IFERROR(IF($E61&lt;44348,"",IF(INDEX(Raw_매출!$B$2:$BI$155,MATCH($A61,Raw_매출!$A$2:$A$155,0),MATCH(EDATE($E61,H$1-1),Raw_매출!$B$1:$BI$1,0))=0,"",INDEX(Raw_매출!$B$2:$BI$155,MATCH($A61,Raw_매출!$A$2:$A$155,0),MATCH(EDATE($E61,H$1-1),Raw_매출!$B$1:$BI$1,0))/(INDEX(요약_월별시즈널리티!$F$7:$F$18,MONTH(EDATE($E61,H$1-1)))/100))),"")</f>
        <v>2722756.2331619523</v>
      </c>
      <c r="I61" cm="1">
        <f t="array" ref="I61">IFERROR(IF($E61&lt;44348,"",IF(INDEX(Raw_매출!$B$2:$BI$155,MATCH($A61,Raw_매출!$A$2:$A$155,0),MATCH(EDATE($E61,I$1-1),Raw_매출!$B$1:$BI$1,0))=0,"",INDEX(Raw_매출!$B$2:$BI$155,MATCH($A61,Raw_매출!$A$2:$A$155,0),MATCH(EDATE($E61,I$1-1),Raw_매출!$B$1:$BI$1,0))/(INDEX(요약_월별시즈널리티!$F$7:$F$18,MONTH(EDATE($E61,I$1-1)))/100))),"")</f>
        <v>2606089.2354014064</v>
      </c>
      <c r="J61" s="30" cm="1">
        <f t="array" ref="J61">IFERROR(IF($E61&lt;44348,"",IF(INDEX(Raw_매출!$B$2:$BI$155,MATCH($A61,Raw_매출!$A$2:$A$155,0),MATCH(EDATE($E61,J$1-1),Raw_매출!$B$1:$BI$1,0))=0,"",INDEX(Raw_매출!$B$2:$BI$155,MATCH($A61,Raw_매출!$A$2:$A$155,0),MATCH(EDATE($E61,J$1-1),Raw_매출!$B$1:$BI$1,0))/(INDEX(요약_월별시즈널리티!$F$7:$F$18,MONTH(EDATE($E61,J$1-1)))/100))),"")</f>
        <v>2360642.1226057401</v>
      </c>
      <c r="K61" s="30" cm="1">
        <f t="array" ref="K61">IFERROR(IF($E61&lt;44348,"",IF(INDEX(Raw_매출!$B$2:$BI$155,MATCH($A61,Raw_매출!$A$2:$A$155,0),MATCH(EDATE($E61,K$1-1),Raw_매출!$B$1:$BI$1,0))=0,"",INDEX(Raw_매출!$B$2:$BI$155,MATCH($A61,Raw_매출!$A$2:$A$155,0),MATCH(EDATE($E61,K$1-1),Raw_매출!$B$1:$BI$1,0))/(INDEX(요약_월별시즈널리티!$F$7:$F$18,MONTH(EDATE($E61,K$1-1)))/100))),"")</f>
        <v>2611885.2480177442</v>
      </c>
      <c r="L61" s="30" cm="1">
        <f t="array" ref="L61">IFERROR(IF($E61&lt;44348,"",IF(INDEX(Raw_매출!$B$2:$BI$155,MATCH($A61,Raw_매출!$A$2:$A$155,0),MATCH(EDATE($E61,L$1-1),Raw_매출!$B$1:$BI$1,0))=0,"",INDEX(Raw_매출!$B$2:$BI$155,MATCH($A61,Raw_매출!$A$2:$A$155,0),MATCH(EDATE($E61,L$1-1),Raw_매출!$B$1:$BI$1,0))/(INDEX(요약_월별시즈널리티!$F$7:$F$18,MONTH(EDATE($E61,L$1-1)))/100))),"")</f>
        <v>3019400.712106586</v>
      </c>
      <c r="M61" s="30" cm="1">
        <f t="array" ref="M61">IFERROR(IF($E61&lt;44348,"",IF(INDEX(Raw_매출!$B$2:$BI$155,MATCH($A61,Raw_매출!$A$2:$A$155,0),MATCH(EDATE($E61,M$1-1),Raw_매출!$B$1:$BI$1,0))=0,"",INDEX(Raw_매출!$B$2:$BI$155,MATCH($A61,Raw_매출!$A$2:$A$155,0),MATCH(EDATE($E61,M$1-1),Raw_매출!$B$1:$BI$1,0))/(INDEX(요약_월별시즈널리티!$F$7:$F$18,MONTH(EDATE($E61,M$1-1)))/100))),"")</f>
        <v>2647152.5932678422</v>
      </c>
      <c r="N61" s="30" cm="1">
        <f t="array" ref="N61">IFERROR(IF($E61&lt;44348,"",IF(INDEX(Raw_매출!$B$2:$BI$155,MATCH($A61,Raw_매출!$A$2:$A$155,0),MATCH(EDATE($E61,N$1-1),Raw_매출!$B$1:$BI$1,0))=0,"",INDEX(Raw_매출!$B$2:$BI$155,MATCH($A61,Raw_매출!$A$2:$A$155,0),MATCH(EDATE($E61,N$1-1),Raw_매출!$B$1:$BI$1,0))/(INDEX(요약_월별시즈널리티!$F$7:$F$18,MONTH(EDATE($E61,N$1-1)))/100))),"")</f>
        <v>2883256.6967939846</v>
      </c>
      <c r="O61" s="30" cm="1">
        <f t="array" ref="O61">IFERROR(IF($E61&lt;44348,"",IF(INDEX(Raw_매출!$B$2:$BI$155,MATCH($A61,Raw_매출!$A$2:$A$155,0),MATCH(EDATE($E61,O$1-1),Raw_매출!$B$1:$BI$1,0))=0,"",INDEX(Raw_매출!$B$2:$BI$155,MATCH($A61,Raw_매출!$A$2:$A$155,0),MATCH(EDATE($E61,O$1-1),Raw_매출!$B$1:$BI$1,0))/(INDEX(요약_월별시즈널리티!$F$7:$F$18,MONTH(EDATE($E61,O$1-1)))/100))),"")</f>
        <v>2114614.589457822</v>
      </c>
      <c r="P61" cm="1">
        <f t="array" ref="P61">IFERROR(IF($E61&lt;44348,"",IF(INDEX(Raw_매출!$B$2:$BI$155,MATCH($A61,Raw_매출!$A$2:$A$155,0),MATCH(EDATE($E61,P$1-1),Raw_매출!$B$1:$BI$1,0))=0,"",INDEX(Raw_매출!$B$2:$BI$155,MATCH($A61,Raw_매출!$A$2:$A$155,0),MATCH(EDATE($E61,P$1-1),Raw_매출!$B$1:$BI$1,0))/(INDEX(요약_월별시즈널리티!$F$7:$F$18,MONTH(EDATE($E61,P$1-1)))/100))),"")</f>
        <v>2226337.4765255866</v>
      </c>
      <c r="Q61" cm="1">
        <f t="array" ref="Q61">IFERROR(IF($E61&lt;44348,"",IF(INDEX(Raw_매출!$B$2:$BI$155,MATCH($A61,Raw_매출!$A$2:$A$155,0),MATCH(EDATE($E61,Q$1-1),Raw_매출!$B$1:$BI$1,0))=0,"",INDEX(Raw_매출!$B$2:$BI$155,MATCH($A61,Raw_매출!$A$2:$A$155,0),MATCH(EDATE($E61,Q$1-1),Raw_매출!$B$1:$BI$1,0))/(INDEX(요약_월별시즈널리티!$F$7:$F$18,MONTH(EDATE($E61,Q$1-1)))/100))),"")</f>
        <v>2240183.3744951785</v>
      </c>
      <c r="R61" cm="1">
        <f t="array" ref="R61">IFERROR(IF($E61&lt;44348,"",IF(INDEX(Raw_매출!$B$2:$BI$155,MATCH($A61,Raw_매출!$A$2:$A$155,0),MATCH(EDATE($E61,R$1-1),Raw_매출!$B$1:$BI$1,0))=0,"",INDEX(Raw_매출!$B$2:$BI$155,MATCH($A61,Raw_매출!$A$2:$A$155,0),MATCH(EDATE($E61,R$1-1),Raw_매출!$B$1:$BI$1,0))/(INDEX(요약_월별시즈널리티!$F$7:$F$18,MONTH(EDATE($E61,R$1-1)))/100))),"")</f>
        <v>1067181.1693853512</v>
      </c>
      <c r="S61" cm="1">
        <f t="array" ref="S61">IFERROR(IF($E61&lt;44348,"",IF(INDEX(Raw_매출!$B$2:$BI$155,MATCH($A61,Raw_매출!$A$2:$A$155,0),MATCH(EDATE($E61,S$1-1),Raw_매출!$B$1:$BI$1,0))=0,"",INDEX(Raw_매출!$B$2:$BI$155,MATCH($A61,Raw_매출!$A$2:$A$155,0),MATCH(EDATE($E61,S$1-1),Raw_매출!$B$1:$BI$1,0))/(INDEX(요약_월별시즈널리티!$F$7:$F$18,MONTH(EDATE($E61,S$1-1)))/100))),"")</f>
        <v>2380734.8010583036</v>
      </c>
      <c r="T61" cm="1">
        <f t="array" ref="T61">IFERROR(IF($E61&lt;44348,"",IF(INDEX(Raw_매출!$B$2:$BI$155,MATCH($A61,Raw_매출!$A$2:$A$155,0),MATCH(EDATE($E61,T$1-1),Raw_매출!$B$1:$BI$1,0))=0,"",INDEX(Raw_매출!$B$2:$BI$155,MATCH($A61,Raw_매출!$A$2:$A$155,0),MATCH(EDATE($E61,T$1-1),Raw_매출!$B$1:$BI$1,0))/(INDEX(요약_월별시즈널리티!$F$7:$F$18,MONTH(EDATE($E61,T$1-1)))/100))),"")</f>
        <v>2243246.1583818351</v>
      </c>
      <c r="U61" cm="1">
        <f t="array" ref="U61">IFERROR(IF($E61&lt;44348,"",IF(INDEX(Raw_매출!$B$2:$BI$155,MATCH($A61,Raw_매출!$A$2:$A$155,0),MATCH(EDATE($E61,U$1-1),Raw_매출!$B$1:$BI$1,0))=0,"",INDEX(Raw_매출!$B$2:$BI$155,MATCH($A61,Raw_매출!$A$2:$A$155,0),MATCH(EDATE($E61,U$1-1),Raw_매출!$B$1:$BI$1,0))/(INDEX(요약_월별시즈널리티!$F$7:$F$18,MONTH(EDATE($E61,U$1-1)))/100))),"")</f>
        <v>2325614.2186151538</v>
      </c>
      <c r="V61" cm="1">
        <f t="array" ref="V61">IFERROR(IF($E61&lt;44348,"",IF(INDEX(Raw_매출!$B$2:$BI$155,MATCH($A61,Raw_매출!$A$2:$A$155,0),MATCH(EDATE($E61,V$1-1),Raw_매출!$B$1:$BI$1,0))=0,"",INDEX(Raw_매출!$B$2:$BI$155,MATCH($A61,Raw_매출!$A$2:$A$155,0),MATCH(EDATE($E61,V$1-1),Raw_매출!$B$1:$BI$1,0))/(INDEX(요약_월별시즈널리티!$F$7:$F$18,MONTH(EDATE($E61,V$1-1)))/100))),"")</f>
        <v>2664387.0837023417</v>
      </c>
      <c r="W61" cm="1">
        <f t="array" ref="W61">IFERROR(IF($E61&lt;44348,"",IF(INDEX(Raw_매출!$B$2:$BI$155,MATCH($A61,Raw_매출!$A$2:$A$155,0),MATCH(EDATE($E61,W$1-1),Raw_매출!$B$1:$BI$1,0))=0,"",INDEX(Raw_매출!$B$2:$BI$155,MATCH($A61,Raw_매출!$A$2:$A$155,0),MATCH(EDATE($E61,W$1-1),Raw_매출!$B$1:$BI$1,0))/(INDEX(요약_월별시즈널리티!$F$7:$F$18,MONTH(EDATE($E61,W$1-1)))/100))),"")</f>
        <v>2899827.3555325782</v>
      </c>
      <c r="X61" cm="1">
        <f t="array" ref="X61">IFERROR(IF($E61&lt;44348,"",IF(INDEX(Raw_매출!$B$2:$BI$155,MATCH($A61,Raw_매출!$A$2:$A$155,0),MATCH(EDATE($E61,X$1-1),Raw_매출!$B$1:$BI$1,0))=0,"",INDEX(Raw_매출!$B$2:$BI$155,MATCH($A61,Raw_매출!$A$2:$A$155,0),MATCH(EDATE($E61,X$1-1),Raw_매출!$B$1:$BI$1,0))/(INDEX(요약_월별시즈널리티!$F$7:$F$18,MONTH(EDATE($E61,X$1-1)))/100))),"")</f>
        <v>2793768.9445096641</v>
      </c>
      <c r="Y61" cm="1">
        <f t="array" ref="Y61">IFERROR(IF($E61&lt;44348,"",IF(INDEX(Raw_매출!$B$2:$BI$155,MATCH($A61,Raw_매출!$A$2:$A$155,0),MATCH(EDATE($E61,Y$1-1),Raw_매출!$B$1:$BI$1,0))=0,"",INDEX(Raw_매출!$B$2:$BI$155,MATCH($A61,Raw_매출!$A$2:$A$155,0),MATCH(EDATE($E61,Y$1-1),Raw_매출!$B$1:$BI$1,0))/(INDEX(요약_월별시즈널리티!$F$7:$F$18,MONTH(EDATE($E61,Y$1-1)))/100))),"")</f>
        <v>2726012.7664319379</v>
      </c>
      <c r="Z61" cm="1">
        <f t="array" ref="Z61">IFERROR(IF($E61&lt;44348,"",IF(INDEX(Raw_매출!$B$2:$BI$155,MATCH($A61,Raw_매출!$A$2:$A$155,0),MATCH(EDATE($E61,Z$1-1),Raw_매출!$B$1:$BI$1,0))=0,"",INDEX(Raw_매출!$B$2:$BI$155,MATCH($A61,Raw_매출!$A$2:$A$155,0),MATCH(EDATE($E61,Z$1-1),Raw_매출!$B$1:$BI$1,0))/(INDEX(요약_월별시즈널리티!$F$7:$F$18,MONTH(EDATE($E61,Z$1-1)))/100))),"")</f>
        <v>2215732.4710895577</v>
      </c>
      <c r="AA61" cm="1">
        <f t="array" ref="AA61">IFERROR(IF($E61&lt;44348,"",IF(INDEX(Raw_매출!$B$2:$BI$155,MATCH($A61,Raw_매출!$A$2:$A$155,0),MATCH(EDATE($E61,AA$1-1),Raw_매출!$B$1:$BI$1,0))=0,"",INDEX(Raw_매출!$B$2:$BI$155,MATCH($A61,Raw_매출!$A$2:$A$155,0),MATCH(EDATE($E61,AA$1-1),Raw_매출!$B$1:$BI$1,0))/(INDEX(요약_월별시즈널리티!$F$7:$F$18,MONTH(EDATE($E61,AA$1-1)))/100))),"")</f>
        <v>2228493.4197757603</v>
      </c>
      <c r="AB61" cm="1">
        <f t="array" ref="AB61">IFERROR(IF($E61&lt;44348,"",IF(INDEX(Raw_매출!$B$2:$BI$155,MATCH($A61,Raw_매출!$A$2:$A$155,0),MATCH(EDATE($E61,AB$1-1),Raw_매출!$B$1:$BI$1,0))=0,"",INDEX(Raw_매출!$B$2:$BI$155,MATCH($A61,Raw_매출!$A$2:$A$155,0),MATCH(EDATE($E61,AB$1-1),Raw_매출!$B$1:$BI$1,0))/(INDEX(요약_월별시즈널리티!$F$7:$F$18,MONTH(EDATE($E61,AB$1-1)))/100))),"")</f>
        <v>2161758.8824843382</v>
      </c>
      <c r="AC61" cm="1">
        <f t="array" ref="AC61">IFERROR(IF($E61&lt;44348,"",IF(INDEX(Raw_매출!$B$2:$BI$155,MATCH($A61,Raw_매출!$A$2:$A$155,0),MATCH(EDATE($E61,AC$1-1),Raw_매출!$B$1:$BI$1,0))=0,"",INDEX(Raw_매출!$B$2:$BI$155,MATCH($A61,Raw_매출!$A$2:$A$155,0),MATCH(EDATE($E61,AC$1-1),Raw_매출!$B$1:$BI$1,0))/(INDEX(요약_월별시즈널리티!$F$7:$F$18,MONTH(EDATE($E61,AC$1-1)))/100))),"")</f>
        <v>2062517.0377515319</v>
      </c>
      <c r="AD61" cm="1">
        <f t="array" ref="AD61">IFERROR(IF($E61&lt;44348,"",IF(INDEX(Raw_매출!$B$2:$BI$155,MATCH($A61,Raw_매출!$A$2:$A$155,0),MATCH(EDATE($E61,AD$1-1),Raw_매출!$B$1:$BI$1,0))=0,"",INDEX(Raw_매출!$B$2:$BI$155,MATCH($A61,Raw_매출!$A$2:$A$155,0),MATCH(EDATE($E61,AD$1-1),Raw_매출!$B$1:$BI$1,0))/(INDEX(요약_월별시즈널리티!$F$7:$F$18,MONTH(EDATE($E61,AD$1-1)))/100))),"")</f>
        <v>2026495.6412567876</v>
      </c>
      <c r="AE61" cm="1">
        <f t="array" ref="AE61">IFERROR(IF($E61&lt;44348,"",IF(INDEX(Raw_매출!$B$2:$BI$155,MATCH($A61,Raw_매출!$A$2:$A$155,0),MATCH(EDATE($E61,AE$1-1),Raw_매출!$B$1:$BI$1,0))=0,"",INDEX(Raw_매출!$B$2:$BI$155,MATCH($A61,Raw_매출!$A$2:$A$155,0),MATCH(EDATE($E61,AE$1-1),Raw_매출!$B$1:$BI$1,0))/(INDEX(요약_월별시즈널리티!$F$7:$F$18,MONTH(EDATE($E61,AE$1-1)))/100))),"")</f>
        <v>2276793.9266589014</v>
      </c>
      <c r="AF61" cm="1">
        <f t="array" ref="AF61">IFERROR(IF($E61&lt;44348,"",IF(INDEX(Raw_매출!$B$2:$BI$155,MATCH($A61,Raw_매출!$A$2:$A$155,0),MATCH(EDATE($E61,AF$1-1),Raw_매출!$B$1:$BI$1,0))=0,"",INDEX(Raw_매출!$B$2:$BI$155,MATCH($A61,Raw_매출!$A$2:$A$155,0),MATCH(EDATE($E61,AF$1-1),Raw_매출!$B$1:$BI$1,0))/(INDEX(요약_월별시즈널리티!$F$7:$F$18,MONTH(EDATE($E61,AF$1-1)))/100))),"")</f>
        <v>2561363.5326725924</v>
      </c>
      <c r="AG61" cm="1">
        <f t="array" ref="AG61">IFERROR(IF($E61&lt;44348,"",IF(INDEX(Raw_매출!$B$2:$BI$155,MATCH($A61,Raw_매출!$A$2:$A$155,0),MATCH(EDATE($E61,AG$1-1),Raw_매출!$B$1:$BI$1,0))=0,"",INDEX(Raw_매출!$B$2:$BI$155,MATCH($A61,Raw_매출!$A$2:$A$155,0),MATCH(EDATE($E61,AG$1-1),Raw_매출!$B$1:$BI$1,0))/(INDEX(요약_월별시즈널리티!$F$7:$F$18,MONTH(EDATE($E61,AG$1-1)))/100))),"")</f>
        <v>2331275.5906674606</v>
      </c>
      <c r="AH61" cm="1">
        <f t="array" ref="AH61">IFERROR(IF($E61&lt;44348,"",IF(INDEX(Raw_매출!$B$2:$BI$155,MATCH($A61,Raw_매출!$A$2:$A$155,0),MATCH(EDATE($E61,AH$1-1),Raw_매출!$B$1:$BI$1,0))=0,"",INDEX(Raw_매출!$B$2:$BI$155,MATCH($A61,Raw_매출!$A$2:$A$155,0),MATCH(EDATE($E61,AH$1-1),Raw_매출!$B$1:$BI$1,0))/(INDEX(요약_월별시즈널리티!$F$7:$F$18,MONTH(EDATE($E61,AH$1-1)))/100))),"")</f>
        <v>2341912.0987840509</v>
      </c>
      <c r="AI61" cm="1">
        <f t="array" ref="AI61">IFERROR(IF($E61&lt;44348,"",IF(INDEX(Raw_매출!$B$2:$BI$155,MATCH($A61,Raw_매출!$A$2:$A$155,0),MATCH(EDATE($E61,AI$1-1),Raw_매출!$B$1:$BI$1,0))=0,"",INDEX(Raw_매출!$B$2:$BI$155,MATCH($A61,Raw_매출!$A$2:$A$155,0),MATCH(EDATE($E61,AI$1-1),Raw_매출!$B$1:$BI$1,0))/(INDEX(요약_월별시즈널리티!$F$7:$F$18,MONTH(EDATE($E61,AI$1-1)))/100))),"")</f>
        <v>2081737.2021050807</v>
      </c>
      <c r="AJ61" cm="1">
        <f t="array" ref="AJ61">IFERROR(IF($E61&lt;44348,"",IF(INDEX(Raw_매출!$B$2:$BI$155,MATCH($A61,Raw_매출!$A$2:$A$155,0),MATCH(EDATE($E61,AJ$1-1),Raw_매출!$B$1:$BI$1,0))=0,"",INDEX(Raw_매출!$B$2:$BI$155,MATCH($A61,Raw_매출!$A$2:$A$155,0),MATCH(EDATE($E61,AJ$1-1),Raw_매출!$B$1:$BI$1,0))/(INDEX(요약_월별시즈널리티!$F$7:$F$18,MONTH(EDATE($E61,AJ$1-1)))/100))),"")</f>
        <v>2400392.6929068207</v>
      </c>
      <c r="AK61" cm="1">
        <f t="array" ref="AK61">IFERROR(IF($E61&lt;44348,"",IF(INDEX(Raw_매출!$B$2:$BI$155,MATCH($A61,Raw_매출!$A$2:$A$155,0),MATCH(EDATE($E61,AK$1-1),Raw_매출!$B$1:$BI$1,0))=0,"",INDEX(Raw_매출!$B$2:$BI$155,MATCH($A61,Raw_매출!$A$2:$A$155,0),MATCH(EDATE($E61,AK$1-1),Raw_매출!$B$1:$BI$1,0))/(INDEX(요약_월별시즈널리티!$F$7:$F$18,MONTH(EDATE($E61,AK$1-1)))/100))),"")</f>
        <v>2149898.2687896374</v>
      </c>
      <c r="AL61" cm="1">
        <f t="array" ref="AL61">IFERROR(IF($E61&lt;44348,"",IF(INDEX(Raw_매출!$B$2:$BI$155,MATCH($A61,Raw_매출!$A$2:$A$155,0),MATCH(EDATE($E61,AL$1-1),Raw_매출!$B$1:$BI$1,0))=0,"",INDEX(Raw_매출!$B$2:$BI$155,MATCH($A61,Raw_매출!$A$2:$A$155,0),MATCH(EDATE($E61,AL$1-1),Raw_매출!$B$1:$BI$1,0))/(INDEX(요약_월별시즈널리티!$F$7:$F$18,MONTH(EDATE($E61,AL$1-1)))/100))),"")</f>
        <v>2642289.3250639015</v>
      </c>
      <c r="AM61" cm="1">
        <f t="array" ref="AM61">IFERROR(IF($E61&lt;44348,"",IF(INDEX(Raw_매출!$B$2:$BI$155,MATCH($A61,Raw_매출!$A$2:$A$155,0),MATCH(EDATE($E61,AM$1-1),Raw_매출!$B$1:$BI$1,0))=0,"",INDEX(Raw_매출!$B$2:$BI$155,MATCH($A61,Raw_매출!$A$2:$A$155,0),MATCH(EDATE($E61,AM$1-1),Raw_매출!$B$1:$BI$1,0))/(INDEX(요약_월별시즈널리티!$F$7:$F$18,MONTH(EDATE($E61,AM$1-1)))/100))),"")</f>
        <v>2407848.9291231488</v>
      </c>
      <c r="AN61" cm="1">
        <f t="array" ref="AN61">IFERROR(IF($E61&lt;44348,"",IF(INDEX(Raw_매출!$B$2:$BI$155,MATCH($A61,Raw_매출!$A$2:$A$155,0),MATCH(EDATE($E61,AN$1-1),Raw_매출!$B$1:$BI$1,0))=0,"",INDEX(Raw_매출!$B$2:$BI$155,MATCH($A61,Raw_매출!$A$2:$A$155,0),MATCH(EDATE($E61,AN$1-1),Raw_매출!$B$1:$BI$1,0))/(INDEX(요약_월별시즈널리티!$F$7:$F$18,MONTH(EDATE($E61,AN$1-1)))/100))),"")</f>
        <v>2050179.2998805242</v>
      </c>
      <c r="AO61" cm="1">
        <f t="array" ref="AO61">IFERROR(IF($E61&lt;44348,"",IF(INDEX(Raw_매출!$B$2:$BI$155,MATCH($A61,Raw_매출!$A$2:$A$155,0),MATCH(EDATE($E61,AO$1-1),Raw_매출!$B$1:$BI$1,0))=0,"",INDEX(Raw_매출!$B$2:$BI$155,MATCH($A61,Raw_매출!$A$2:$A$155,0),MATCH(EDATE($E61,AO$1-1),Raw_매출!$B$1:$BI$1,0))/(INDEX(요약_월별시즈널리티!$F$7:$F$18,MONTH(EDATE($E61,AO$1-1)))/100))),"")</f>
        <v>1870935.3012188079</v>
      </c>
      <c r="AP61" cm="1">
        <f t="array" ref="AP61">IFERROR(IF($E61&lt;44348,"",IF(INDEX(Raw_매출!$B$2:$BI$155,MATCH($A61,Raw_매출!$A$2:$A$155,0),MATCH(EDATE($E61,AP$1-1),Raw_매출!$B$1:$BI$1,0))=0,"",INDEX(Raw_매출!$B$2:$BI$155,MATCH($A61,Raw_매출!$A$2:$A$155,0),MATCH(EDATE($E61,AP$1-1),Raw_매출!$B$1:$BI$1,0))/(INDEX(요약_월별시즈널리티!$F$7:$F$18,MONTH(EDATE($E61,AP$1-1)))/100))),"")</f>
        <v>2128319.8061784878</v>
      </c>
      <c r="AQ61" cm="1">
        <f t="array" ref="AQ61">IFERROR(IF($E61&lt;44348,"",IF(INDEX(Raw_매출!$B$2:$BI$155,MATCH($A61,Raw_매출!$A$2:$A$155,0),MATCH(EDATE($E61,AQ$1-1),Raw_매출!$B$1:$BI$1,0))=0,"",INDEX(Raw_매출!$B$2:$BI$155,MATCH($A61,Raw_매출!$A$2:$A$155,0),MATCH(EDATE($E61,AQ$1-1),Raw_매출!$B$1:$BI$1,0))/(INDEX(요약_월별시즈널리티!$F$7:$F$18,MONTH(EDATE($E61,AQ$1-1)))/100))),"")</f>
        <v>2348942.648464229</v>
      </c>
      <c r="AR61" cm="1">
        <f t="array" ref="AR61">IFERROR(IF($E61&lt;44348,"",IF(INDEX(Raw_매출!$B$2:$BI$155,MATCH($A61,Raw_매출!$A$2:$A$155,0),MATCH(EDATE($E61,AR$1-1),Raw_매출!$B$1:$BI$1,0))=0,"",INDEX(Raw_매출!$B$2:$BI$155,MATCH($A61,Raw_매출!$A$2:$A$155,0),MATCH(EDATE($E61,AR$1-1),Raw_매출!$B$1:$BI$1,0))/(INDEX(요약_월별시즈널리티!$F$7:$F$18,MONTH(EDATE($E61,AR$1-1)))/100))),"")</f>
        <v>2358121.8768757195</v>
      </c>
      <c r="AS61" cm="1">
        <f t="array" ref="AS61">IFERROR(IF($E61&lt;44348,"",IF(INDEX(Raw_매출!$B$2:$BI$155,MATCH($A61,Raw_매출!$A$2:$A$155,0),MATCH(EDATE($E61,AS$1-1),Raw_매출!$B$1:$BI$1,0))=0,"",INDEX(Raw_매출!$B$2:$BI$155,MATCH($A61,Raw_매출!$A$2:$A$155,0),MATCH(EDATE($E61,AS$1-1),Raw_매출!$B$1:$BI$1,0))/(INDEX(요약_월별시즈널리티!$F$7:$F$18,MONTH(EDATE($E61,AS$1-1)))/100))),"")</f>
        <v>1764993.2220508165</v>
      </c>
      <c r="AT61" cm="1">
        <f t="array" ref="AT61">IFERROR(IF($E61&lt;44348,"",IF(INDEX(Raw_매출!$B$2:$BI$155,MATCH($A61,Raw_매출!$A$2:$A$155,0),MATCH(EDATE($E61,AT$1-1),Raw_매출!$B$1:$BI$1,0))=0,"",INDEX(Raw_매출!$B$2:$BI$155,MATCH($A61,Raw_매출!$A$2:$A$155,0),MATCH(EDATE($E61,AT$1-1),Raw_매출!$B$1:$BI$1,0))/(INDEX(요약_월별시즈널리티!$F$7:$F$18,MONTH(EDATE($E61,AT$1-1)))/100))),"")</f>
        <v>2431058.2238943195</v>
      </c>
      <c r="AU61" cm="1">
        <f t="array" ref="AU61">IFERROR(IF($E61&lt;44348,"",IF(INDEX(Raw_매출!$B$2:$BI$155,MATCH($A61,Raw_매출!$A$2:$A$155,0),MATCH(EDATE($E61,AU$1-1),Raw_매출!$B$1:$BI$1,0))=0,"",INDEX(Raw_매출!$B$2:$BI$155,MATCH($A61,Raw_매출!$A$2:$A$155,0),MATCH(EDATE($E61,AU$1-1),Raw_매출!$B$1:$BI$1,0))/(INDEX(요약_월별시즈널리티!$F$7:$F$18,MONTH(EDATE($E61,AU$1-1)))/100))),"")</f>
        <v>2587919.7326827645</v>
      </c>
      <c r="AV61" cm="1">
        <f t="array" ref="AV61">IFERROR(IF($E61&lt;44348,"",IF(INDEX(Raw_매출!$B$2:$BI$155,MATCH($A61,Raw_매출!$A$2:$A$155,0),MATCH(EDATE($E61,AV$1-1),Raw_매출!$B$1:$BI$1,0))=0,"",INDEX(Raw_매출!$B$2:$BI$155,MATCH($A61,Raw_매출!$A$2:$A$155,0),MATCH(EDATE($E61,AV$1-1),Raw_매출!$B$1:$BI$1,0))/(INDEX(요약_월별시즈널리티!$F$7:$F$18,MONTH(EDATE($E61,AV$1-1)))/100))),"")</f>
        <v>2190197.5342674986</v>
      </c>
      <c r="AW61" cm="1">
        <f t="array" ref="AW61">IFERROR(IF($E61&lt;44348,"",IF(INDEX(Raw_매출!$B$2:$BI$155,MATCH($A61,Raw_매출!$A$2:$A$155,0),MATCH(EDATE($E61,AW$1-1),Raw_매출!$B$1:$BI$1,0))=0,"",INDEX(Raw_매출!$B$2:$BI$155,MATCH($A61,Raw_매출!$A$2:$A$155,0),MATCH(EDATE($E61,AW$1-1),Raw_매출!$B$1:$BI$1,0))/(INDEX(요약_월별시즈널리티!$F$7:$F$18,MONTH(EDATE($E61,AW$1-1)))/100))),"")</f>
        <v>2483991.8276346372</v>
      </c>
      <c r="AX61" cm="1">
        <f t="array" ref="AX61">IFERROR(IF($E61&lt;44348,"",IF(INDEX(Raw_매출!$B$2:$BI$155,MATCH($A61,Raw_매출!$A$2:$A$155,0),MATCH(EDATE($E61,AX$1-1),Raw_매출!$B$1:$BI$1,0))=0,"",INDEX(Raw_매출!$B$2:$BI$155,MATCH($A61,Raw_매출!$A$2:$A$155,0),MATCH(EDATE($E61,AX$1-1),Raw_매출!$B$1:$BI$1,0))/(INDEX(요약_월별시즈널리티!$F$7:$F$18,MONTH(EDATE($E61,AX$1-1)))/100))),"")</f>
        <v>2890137.4114258988</v>
      </c>
      <c r="AY61" t="str" cm="1">
        <f t="array" ref="AY61">IFERROR(IF($E61&lt;44348,"",IF(INDEX(Raw_매출!$B$2:$BI$155,MATCH($A61,Raw_매출!$A$2:$A$155,0),MATCH(EDATE($E61,AY$1-1),Raw_매출!$B$1:$BI$1,0))=0,"",INDEX(Raw_매출!$B$2:$BI$155,MATCH($A61,Raw_매출!$A$2:$A$155,0),MATCH(EDATE($E61,AY$1-1),Raw_매출!$B$1:$BI$1,0))/(INDEX(요약_월별시즈널리티!$F$7:$F$18,MONTH(EDATE($E61,AY$1-1)))/100))),"")</f>
        <v/>
      </c>
      <c r="AZ61" t="str" cm="1">
        <f t="array" ref="AZ61">IFERROR(IF($E61&lt;44348,"",IF(INDEX(Raw_매출!$B$2:$BI$155,MATCH($A61,Raw_매출!$A$2:$A$155,0),MATCH(EDATE($E61,AZ$1-1),Raw_매출!$B$1:$BI$1,0))=0,"",INDEX(Raw_매출!$B$2:$BI$155,MATCH($A61,Raw_매출!$A$2:$A$155,0),MATCH(EDATE($E61,AZ$1-1),Raw_매출!$B$1:$BI$1,0))/(INDEX(요약_월별시즈널리티!$F$7:$F$18,MONTH(EDATE($E61,AZ$1-1)))/100))),"")</f>
        <v/>
      </c>
      <c r="BA61" t="str" cm="1">
        <f t="array" ref="BA61">IFERROR(IF($E61&lt;44348,"",IF(INDEX(Raw_매출!$B$2:$BI$155,MATCH($A61,Raw_매출!$A$2:$A$155,0),MATCH(EDATE($E61,BA$1-1),Raw_매출!$B$1:$BI$1,0))=0,"",INDEX(Raw_매출!$B$2:$BI$155,MATCH($A61,Raw_매출!$A$2:$A$155,0),MATCH(EDATE($E61,BA$1-1),Raw_매출!$B$1:$BI$1,0))/(INDEX(요약_월별시즈널리티!$F$7:$F$18,MONTH(EDATE($E61,BA$1-1)))/100))),"")</f>
        <v/>
      </c>
      <c r="BB61" t="str" cm="1">
        <f t="array" ref="BB61">IFERROR(IF($E61&lt;44348,"",IF(INDEX(Raw_매출!$B$2:$BI$155,MATCH($A61,Raw_매출!$A$2:$A$155,0),MATCH(EDATE($E61,BB$1-1),Raw_매출!$B$1:$BI$1,0))=0,"",INDEX(Raw_매출!$B$2:$BI$155,MATCH($A61,Raw_매출!$A$2:$A$155,0),MATCH(EDATE($E61,BB$1-1),Raw_매출!$B$1:$BI$1,0))/(INDEX(요약_월별시즈널리티!$F$7:$F$18,MONTH(EDATE($E61,BB$1-1)))/100))),"")</f>
        <v/>
      </c>
      <c r="BC61" t="str" cm="1">
        <f t="array" ref="BC61">IFERROR(IF($E61&lt;44348,"",IF(INDEX(Raw_매출!$B$2:$BI$155,MATCH($A61,Raw_매출!$A$2:$A$155,0),MATCH(EDATE($E61,BC$1-1),Raw_매출!$B$1:$BI$1,0))=0,"",INDEX(Raw_매출!$B$2:$BI$155,MATCH($A61,Raw_매출!$A$2:$A$155,0),MATCH(EDATE($E61,BC$1-1),Raw_매출!$B$1:$BI$1,0))/(INDEX(요약_월별시즈널리티!$F$7:$F$18,MONTH(EDATE($E61,BC$1-1)))/100))),"")</f>
        <v/>
      </c>
      <c r="BD61" t="str" cm="1">
        <f t="array" ref="BD61">IFERROR(IF($E61&lt;44348,"",IF(INDEX(Raw_매출!$B$2:$BI$155,MATCH($A61,Raw_매출!$A$2:$A$155,0),MATCH(EDATE($E61,BD$1-1),Raw_매출!$B$1:$BI$1,0))=0,"",INDEX(Raw_매출!$B$2:$BI$155,MATCH($A61,Raw_매출!$A$2:$A$155,0),MATCH(EDATE($E61,BD$1-1),Raw_매출!$B$1:$BI$1,0))/(INDEX(요약_월별시즈널리티!$F$7:$F$18,MONTH(EDATE($E61,BD$1-1)))/100))),"")</f>
        <v/>
      </c>
      <c r="BE61" t="str" cm="1">
        <f t="array" ref="BE61">IFERROR(IF($E61&lt;44348,"",IF(INDEX(Raw_매출!$B$2:$BI$155,MATCH($A61,Raw_매출!$A$2:$A$155,0),MATCH(EDATE($E61,BE$1-1),Raw_매출!$B$1:$BI$1,0))=0,"",INDEX(Raw_매출!$B$2:$BI$155,MATCH($A61,Raw_매출!$A$2:$A$155,0),MATCH(EDATE($E61,BE$1-1),Raw_매출!$B$1:$BI$1,0))/(INDEX(요약_월별시즈널리티!$F$7:$F$18,MONTH(EDATE($E61,BE$1-1)))/100))),"")</f>
        <v/>
      </c>
      <c r="BF61" t="str" cm="1">
        <f t="array" ref="BF61">IFERROR(IF($E61&lt;44348,"",IF(INDEX(Raw_매출!$B$2:$BI$155,MATCH($A61,Raw_매출!$A$2:$A$155,0),MATCH(EDATE($E61,BF$1-1),Raw_매출!$B$1:$BI$1,0))=0,"",INDEX(Raw_매출!$B$2:$BI$155,MATCH($A61,Raw_매출!$A$2:$A$155,0),MATCH(EDATE($E61,BF$1-1),Raw_매출!$B$1:$BI$1,0))/(INDEX(요약_월별시즈널리티!$F$7:$F$18,MONTH(EDATE($E61,BF$1-1)))/100))),"")</f>
        <v/>
      </c>
      <c r="BG61" t="str" cm="1">
        <f t="array" ref="BG61">IFERROR(IF($E61&lt;44348,"",IF(INDEX(Raw_매출!$B$2:$BI$155,MATCH($A61,Raw_매출!$A$2:$A$155,0),MATCH(EDATE($E61,BG$1-1),Raw_매출!$B$1:$BI$1,0))=0,"",INDEX(Raw_매출!$B$2:$BI$155,MATCH($A61,Raw_매출!$A$2:$A$155,0),MATCH(EDATE($E61,BG$1-1),Raw_매출!$B$1:$BI$1,0))/(INDEX(요약_월별시즈널리티!$F$7:$F$18,MONTH(EDATE($E61,BG$1-1)))/100))),"")</f>
        <v/>
      </c>
      <c r="BH61" t="str" cm="1">
        <f t="array" ref="BH61">IFERROR(IF($E61&lt;44348,"",IF(INDEX(Raw_매출!$B$2:$BI$155,MATCH($A61,Raw_매출!$A$2:$A$155,0),MATCH(EDATE($E61,BH$1-1),Raw_매출!$B$1:$BI$1,0))=0,"",INDEX(Raw_매출!$B$2:$BI$155,MATCH($A61,Raw_매출!$A$2:$A$155,0),MATCH(EDATE($E61,BH$1-1),Raw_매출!$B$1:$BI$1,0))/(INDEX(요약_월별시즈널리티!$F$7:$F$18,MONTH(EDATE($E61,BH$1-1)))/100))),"")</f>
        <v/>
      </c>
      <c r="BI61" t="str" cm="1">
        <f t="array" ref="BI61">IFERROR(IF($E61&lt;44348,"",IF(INDEX(Raw_매출!$B$2:$BI$155,MATCH($A61,Raw_매출!$A$2:$A$155,0),MATCH(EDATE($E61,BI$1-1),Raw_매출!$B$1:$BI$1,0))=0,"",INDEX(Raw_매출!$B$2:$BI$155,MATCH($A61,Raw_매출!$A$2:$A$155,0),MATCH(EDATE($E61,BI$1-1),Raw_매출!$B$1:$BI$1,0))/(INDEX(요약_월별시즈널리티!$F$7:$F$18,MONTH(EDATE($E61,BI$1-1)))/100))),"")</f>
        <v/>
      </c>
      <c r="BJ61" t="str" cm="1">
        <f t="array" ref="BJ61">IFERROR(IF($E61&lt;44348,"",IF(INDEX(Raw_매출!$B$2:$BI$155,MATCH($A61,Raw_매출!$A$2:$A$155,0),MATCH(EDATE($E61,BJ$1-1),Raw_매출!$B$1:$BI$1,0))=0,"",INDEX(Raw_매출!$B$2:$BI$155,MATCH($A61,Raw_매출!$A$2:$A$155,0),MATCH(EDATE($E61,BJ$1-1),Raw_매출!$B$1:$BI$1,0))/(INDEX(요약_월별시즈널리티!$F$7:$F$18,MONTH(EDATE($E61,BJ$1-1)))/100))),"")</f>
        <v/>
      </c>
      <c r="BK61" t="str" cm="1">
        <f t="array" ref="BK61">IFERROR(IF($E61&lt;44348,"",IF(INDEX(Raw_매출!$B$2:$BI$155,MATCH($A61,Raw_매출!$A$2:$A$155,0),MATCH(EDATE($E61,BK$1-1),Raw_매출!$B$1:$BI$1,0))=0,"",INDEX(Raw_매출!$B$2:$BI$155,MATCH($A61,Raw_매출!$A$2:$A$155,0),MATCH(EDATE($E61,BK$1-1),Raw_매출!$B$1:$BI$1,0))/(INDEX(요약_월별시즈널리티!$F$7:$F$18,MONTH(EDATE($E61,BK$1-1)))/100))),"")</f>
        <v/>
      </c>
      <c r="BL61" t="str" cm="1">
        <f t="array" ref="BL61">IFERROR(IF($E61&lt;44348,"",IF(INDEX(Raw_매출!$B$2:$BI$155,MATCH($A61,Raw_매출!$A$2:$A$155,0),MATCH(EDATE($E61,BL$1-1),Raw_매출!$B$1:$BI$1,0))=0,"",INDEX(Raw_매출!$B$2:$BI$155,MATCH($A61,Raw_매출!$A$2:$A$155,0),MATCH(EDATE($E61,BL$1-1),Raw_매출!$B$1:$BI$1,0))/(INDEX(요약_월별시즈널리티!$F$7:$F$18,MONTH(EDATE($E61,BL$1-1)))/100))),"")</f>
        <v/>
      </c>
      <c r="BM61" t="str" cm="1">
        <f t="array" ref="BM61">IFERROR(IF($E61&lt;44348,"",IF(INDEX(Raw_매출!$B$2:$BI$155,MATCH($A61,Raw_매출!$A$2:$A$155,0),MATCH(EDATE($E61,BM$1-1),Raw_매출!$B$1:$BI$1,0))=0,"",INDEX(Raw_매출!$B$2:$BI$155,MATCH($A61,Raw_매출!$A$2:$A$155,0),MATCH(EDATE($E61,BM$1-1),Raw_매출!$B$1:$BI$1,0))/(INDEX(요약_월별시즈널리티!$F$7:$F$18,MONTH(EDATE($E61,BM$1-1)))/100))),"")</f>
        <v/>
      </c>
      <c r="BN61" t="str" cm="1">
        <f t="array" ref="BN61">IFERROR(IF($E61&lt;44348,"",IF(INDEX(Raw_매출!$B$2:$BI$155,MATCH($A61,Raw_매출!$A$2:$A$155,0),MATCH(EDATE($E61,BN$1-1),Raw_매출!$B$1:$BI$1,0))=0,"",INDEX(Raw_매출!$B$2:$BI$155,MATCH($A61,Raw_매출!$A$2:$A$155,0),MATCH(EDATE($E61,BN$1-1),Raw_매출!$B$1:$BI$1,0))/(INDEX(요약_월별시즈널리티!$F$7:$F$18,MONTH(EDATE($E61,BN$1-1)))/100))),"")</f>
        <v/>
      </c>
    </row>
    <row r="62" spans="1:66" x14ac:dyDescent="0.4">
      <c r="A62" t="str">
        <f>세팅!A63</f>
        <v>(1051) #오류행복주택점</v>
      </c>
      <c r="B62" t="str">
        <f>세팅!B63</f>
        <v>150-2</v>
      </c>
      <c r="C62">
        <f t="shared" si="0"/>
        <v>2</v>
      </c>
      <c r="D62" t="str">
        <f t="shared" si="1"/>
        <v>2</v>
      </c>
      <c r="E62" s="1">
        <f>세팅!D63</f>
        <v>44835</v>
      </c>
      <c r="F62">
        <f t="shared" si="2"/>
        <v>4437571.783019538</v>
      </c>
      <c r="G62" cm="1">
        <f t="array" ref="G62">IFERROR(IF($E62&lt;44348,"",IF(INDEX(Raw_매출!$B$2:$BI$155,MATCH($A62,Raw_매출!$A$2:$A$155,0),MATCH(EDATE($E62,G$1-1),Raw_매출!$B$1:$BI$1,0))=0,"",INDEX(Raw_매출!$B$2:$BI$155,MATCH($A62,Raw_매출!$A$2:$A$155,0),MATCH(EDATE($E62,G$1-1),Raw_매출!$B$1:$BI$1,0))/(INDEX(요약_월별시즈널리티!$F$7:$F$18,MONTH(EDATE($E62,G$1-1)))/100))),"")</f>
        <v>2553519.7435784251</v>
      </c>
      <c r="H62" cm="1">
        <f t="array" ref="H62">IFERROR(IF($E62&lt;44348,"",IF(INDEX(Raw_매출!$B$2:$BI$155,MATCH($A62,Raw_매출!$A$2:$A$155,0),MATCH(EDATE($E62,H$1-1),Raw_매출!$B$1:$BI$1,0))=0,"",INDEX(Raw_매출!$B$2:$BI$155,MATCH($A62,Raw_매출!$A$2:$A$155,0),MATCH(EDATE($E62,H$1-1),Raw_매출!$B$1:$BI$1,0))/(INDEX(요약_월별시즈널리티!$F$7:$F$18,MONTH(EDATE($E62,H$1-1)))/100))),"")</f>
        <v>3688836.0527132405</v>
      </c>
      <c r="I62" cm="1">
        <f t="array" ref="I62">IFERROR(IF($E62&lt;44348,"",IF(INDEX(Raw_매출!$B$2:$BI$155,MATCH($A62,Raw_매출!$A$2:$A$155,0),MATCH(EDATE($E62,I$1-1),Raw_매출!$B$1:$BI$1,0))=0,"",INDEX(Raw_매출!$B$2:$BI$155,MATCH($A62,Raw_매출!$A$2:$A$155,0),MATCH(EDATE($E62,I$1-1),Raw_매출!$B$1:$BI$1,0))/(INDEX(요약_월별시즈널리티!$F$7:$F$18,MONTH(EDATE($E62,I$1-1)))/100))),"")</f>
        <v>3955218.3893637941</v>
      </c>
      <c r="J62" s="30" cm="1">
        <f t="array" ref="J62">IFERROR(IF($E62&lt;44348,"",IF(INDEX(Raw_매출!$B$2:$BI$155,MATCH($A62,Raw_매출!$A$2:$A$155,0),MATCH(EDATE($E62,J$1-1),Raw_매출!$B$1:$BI$1,0))=0,"",INDEX(Raw_매출!$B$2:$BI$155,MATCH($A62,Raw_매출!$A$2:$A$155,0),MATCH(EDATE($E62,J$1-1),Raw_매출!$B$1:$BI$1,0))/(INDEX(요약_월별시즈널리티!$F$7:$F$18,MONTH(EDATE($E62,J$1-1)))/100))),"")</f>
        <v>4290328.917044403</v>
      </c>
      <c r="K62" s="30" cm="1">
        <f t="array" ref="K62">IFERROR(IF($E62&lt;44348,"",IF(INDEX(Raw_매출!$B$2:$BI$155,MATCH($A62,Raw_매출!$A$2:$A$155,0),MATCH(EDATE($E62,K$1-1),Raw_매출!$B$1:$BI$1,0))=0,"",INDEX(Raw_매출!$B$2:$BI$155,MATCH($A62,Raw_매출!$A$2:$A$155,0),MATCH(EDATE($E62,K$1-1),Raw_매출!$B$1:$BI$1,0))/(INDEX(요약_월별시즈널리티!$F$7:$F$18,MONTH(EDATE($E62,K$1-1)))/100))),"")</f>
        <v>3668978.0283874059</v>
      </c>
      <c r="L62" s="30" cm="1">
        <f t="array" ref="L62">IFERROR(IF($E62&lt;44348,"",IF(INDEX(Raw_매출!$B$2:$BI$155,MATCH($A62,Raw_매출!$A$2:$A$155,0),MATCH(EDATE($E62,L$1-1),Raw_매출!$B$1:$BI$1,0))=0,"",INDEX(Raw_매출!$B$2:$BI$155,MATCH($A62,Raw_매출!$A$2:$A$155,0),MATCH(EDATE($E62,L$1-1),Raw_매출!$B$1:$BI$1,0))/(INDEX(요약_월별시즈널리티!$F$7:$F$18,MONTH(EDATE($E62,L$1-1)))/100))),"")</f>
        <v>4391715.2484372379</v>
      </c>
      <c r="M62" s="30" cm="1">
        <f t="array" ref="M62">IFERROR(IF($E62&lt;44348,"",IF(INDEX(Raw_매출!$B$2:$BI$155,MATCH($A62,Raw_매출!$A$2:$A$155,0),MATCH(EDATE($E62,M$1-1),Raw_매출!$B$1:$BI$1,0))=0,"",INDEX(Raw_매출!$B$2:$BI$155,MATCH($A62,Raw_매출!$A$2:$A$155,0),MATCH(EDATE($E62,M$1-1),Raw_매출!$B$1:$BI$1,0))/(INDEX(요약_월별시즈널리티!$F$7:$F$18,MONTH(EDATE($E62,M$1-1)))/100))),"")</f>
        <v>4714511.9291728502</v>
      </c>
      <c r="N62" s="30" cm="1">
        <f t="array" ref="N62">IFERROR(IF($E62&lt;44348,"",IF(INDEX(Raw_매출!$B$2:$BI$155,MATCH($A62,Raw_매출!$A$2:$A$155,0),MATCH(EDATE($E62,N$1-1),Raw_매출!$B$1:$BI$1,0))=0,"",INDEX(Raw_매출!$B$2:$BI$155,MATCH($A62,Raw_매출!$A$2:$A$155,0),MATCH(EDATE($E62,N$1-1),Raw_매출!$B$1:$BI$1,0))/(INDEX(요약_월별시즈널리티!$F$7:$F$18,MONTH(EDATE($E62,N$1-1)))/100))),"")</f>
        <v>4739626.0512801707</v>
      </c>
      <c r="O62" s="30" cm="1">
        <f t="array" ref="O62">IFERROR(IF($E62&lt;44348,"",IF(INDEX(Raw_매출!$B$2:$BI$155,MATCH($A62,Raw_매출!$A$2:$A$155,0),MATCH(EDATE($E62,O$1-1),Raw_매출!$B$1:$BI$1,0))=0,"",INDEX(Raw_매출!$B$2:$BI$155,MATCH($A62,Raw_매출!$A$2:$A$155,0),MATCH(EDATE($E62,O$1-1),Raw_매출!$B$1:$BI$1,0))/(INDEX(요약_월별시즈널리티!$F$7:$F$18,MONTH(EDATE($E62,O$1-1)))/100))),"")</f>
        <v>4820270.5237951595</v>
      </c>
      <c r="P62" cm="1">
        <f t="array" ref="P62">IFERROR(IF($E62&lt;44348,"",IF(INDEX(Raw_매출!$B$2:$BI$155,MATCH($A62,Raw_매출!$A$2:$A$155,0),MATCH(EDATE($E62,P$1-1),Raw_매출!$B$1:$BI$1,0))=0,"",INDEX(Raw_매출!$B$2:$BI$155,MATCH($A62,Raw_매출!$A$2:$A$155,0),MATCH(EDATE($E62,P$1-1),Raw_매출!$B$1:$BI$1,0))/(INDEX(요약_월별시즈널리티!$F$7:$F$18,MONTH(EDATE($E62,P$1-1)))/100))),"")</f>
        <v>5285222.9516746653</v>
      </c>
      <c r="Q62" cm="1">
        <f t="array" ref="Q62">IFERROR(IF($E62&lt;44348,"",IF(INDEX(Raw_매출!$B$2:$BI$155,MATCH($A62,Raw_매출!$A$2:$A$155,0),MATCH(EDATE($E62,Q$1-1),Raw_매출!$B$1:$BI$1,0))=0,"",INDEX(Raw_매출!$B$2:$BI$155,MATCH($A62,Raw_매출!$A$2:$A$155,0),MATCH(EDATE($E62,Q$1-1),Raw_매출!$B$1:$BI$1,0))/(INDEX(요약_월별시즈널리티!$F$7:$F$18,MONTH(EDATE($E62,Q$1-1)))/100))),"")</f>
        <v>4744465.3576633446</v>
      </c>
      <c r="R62" cm="1">
        <f t="array" ref="R62">IFERROR(IF($E62&lt;44348,"",IF(INDEX(Raw_매출!$B$2:$BI$155,MATCH($A62,Raw_매출!$A$2:$A$155,0),MATCH(EDATE($E62,R$1-1),Raw_매출!$B$1:$BI$1,0))=0,"",INDEX(Raw_매출!$B$2:$BI$155,MATCH($A62,Raw_매출!$A$2:$A$155,0),MATCH(EDATE($E62,R$1-1),Raw_매출!$B$1:$BI$1,0))/(INDEX(요약_월별시즈널리티!$F$7:$F$18,MONTH(EDATE($E62,R$1-1)))/100))),"")</f>
        <v>5283121.0787451779</v>
      </c>
      <c r="S62" cm="1">
        <f t="array" ref="S62">IFERROR(IF($E62&lt;44348,"",IF(INDEX(Raw_매출!$B$2:$BI$155,MATCH($A62,Raw_매출!$A$2:$A$155,0),MATCH(EDATE($E62,S$1-1),Raw_매출!$B$1:$BI$1,0))=0,"",INDEX(Raw_매출!$B$2:$BI$155,MATCH($A62,Raw_매출!$A$2:$A$155,0),MATCH(EDATE($E62,S$1-1),Raw_매출!$B$1:$BI$1,0))/(INDEX(요약_월별시즈널리티!$F$7:$F$18,MONTH(EDATE($E62,S$1-1)))/100))),"")</f>
        <v>5277038.8315449199</v>
      </c>
      <c r="T62" cm="1">
        <f t="array" ref="T62">IFERROR(IF($E62&lt;44348,"",IF(INDEX(Raw_매출!$B$2:$BI$155,MATCH($A62,Raw_매출!$A$2:$A$155,0),MATCH(EDATE($E62,T$1-1),Raw_매출!$B$1:$BI$1,0))=0,"",INDEX(Raw_매출!$B$2:$BI$155,MATCH($A62,Raw_매출!$A$2:$A$155,0),MATCH(EDATE($E62,T$1-1),Raw_매출!$B$1:$BI$1,0))/(INDEX(요약_월별시즈널리티!$F$7:$F$18,MONTH(EDATE($E62,T$1-1)))/100))),"")</f>
        <v>5542484.477520749</v>
      </c>
      <c r="U62" cm="1">
        <f t="array" ref="U62">IFERROR(IF($E62&lt;44348,"",IF(INDEX(Raw_매출!$B$2:$BI$155,MATCH($A62,Raw_매출!$A$2:$A$155,0),MATCH(EDATE($E62,U$1-1),Raw_매출!$B$1:$BI$1,0))=0,"",INDEX(Raw_매출!$B$2:$BI$155,MATCH($A62,Raw_매출!$A$2:$A$155,0),MATCH(EDATE($E62,U$1-1),Raw_매출!$B$1:$BI$1,0))/(INDEX(요약_월별시즈널리티!$F$7:$F$18,MONTH(EDATE($E62,U$1-1)))/100))),"")</f>
        <v>5667730.2086117724</v>
      </c>
      <c r="V62" cm="1">
        <f t="array" ref="V62">IFERROR(IF($E62&lt;44348,"",IF(INDEX(Raw_매출!$B$2:$BI$155,MATCH($A62,Raw_매출!$A$2:$A$155,0),MATCH(EDATE($E62,V$1-1),Raw_매출!$B$1:$BI$1,0))=0,"",INDEX(Raw_매출!$B$2:$BI$155,MATCH($A62,Raw_매출!$A$2:$A$155,0),MATCH(EDATE($E62,V$1-1),Raw_매출!$B$1:$BI$1,0))/(INDEX(요약_월별시즈널리티!$F$7:$F$18,MONTH(EDATE($E62,V$1-1)))/100))),"")</f>
        <v>5373012.1767477579</v>
      </c>
      <c r="W62" cm="1">
        <f t="array" ref="W62">IFERROR(IF($E62&lt;44348,"",IF(INDEX(Raw_매출!$B$2:$BI$155,MATCH($A62,Raw_매출!$A$2:$A$155,0),MATCH(EDATE($E62,W$1-1),Raw_매출!$B$1:$BI$1,0))=0,"",INDEX(Raw_매출!$B$2:$BI$155,MATCH($A62,Raw_매출!$A$2:$A$155,0),MATCH(EDATE($E62,W$1-1),Raw_매출!$B$1:$BI$1,0))/(INDEX(요약_월별시즈널리티!$F$7:$F$18,MONTH(EDATE($E62,W$1-1)))/100))),"")</f>
        <v>5205274.3384081451</v>
      </c>
      <c r="X62" cm="1">
        <f t="array" ref="X62">IFERROR(IF($E62&lt;44348,"",IF(INDEX(Raw_매출!$B$2:$BI$155,MATCH($A62,Raw_매출!$A$2:$A$155,0),MATCH(EDATE($E62,X$1-1),Raw_매출!$B$1:$BI$1,0))=0,"",INDEX(Raw_매출!$B$2:$BI$155,MATCH($A62,Raw_매출!$A$2:$A$155,0),MATCH(EDATE($E62,X$1-1),Raw_매출!$B$1:$BI$1,0))/(INDEX(요약_월별시즈널리티!$F$7:$F$18,MONTH(EDATE($E62,X$1-1)))/100))),"")</f>
        <v>5607543.7342283772</v>
      </c>
      <c r="Y62" cm="1">
        <f t="array" ref="Y62">IFERROR(IF($E62&lt;44348,"",IF(INDEX(Raw_매출!$B$2:$BI$155,MATCH($A62,Raw_매출!$A$2:$A$155,0),MATCH(EDATE($E62,Y$1-1),Raw_매출!$B$1:$BI$1,0))=0,"",INDEX(Raw_매출!$B$2:$BI$155,MATCH($A62,Raw_매출!$A$2:$A$155,0),MATCH(EDATE($E62,Y$1-1),Raw_매출!$B$1:$BI$1,0))/(INDEX(요약_월별시즈널리티!$F$7:$F$18,MONTH(EDATE($E62,Y$1-1)))/100))),"")</f>
        <v>6016150.3826282704</v>
      </c>
      <c r="Z62" cm="1">
        <f t="array" ref="Z62">IFERROR(IF($E62&lt;44348,"",IF(INDEX(Raw_매출!$B$2:$BI$155,MATCH($A62,Raw_매출!$A$2:$A$155,0),MATCH(EDATE($E62,Z$1-1),Raw_매출!$B$1:$BI$1,0))=0,"",INDEX(Raw_매출!$B$2:$BI$155,MATCH($A62,Raw_매출!$A$2:$A$155,0),MATCH(EDATE($E62,Z$1-1),Raw_매출!$B$1:$BI$1,0))/(INDEX(요약_월별시즈널리티!$F$7:$F$18,MONTH(EDATE($E62,Z$1-1)))/100))),"")</f>
        <v>5152478.4198359149</v>
      </c>
      <c r="AA62" cm="1">
        <f t="array" ref="AA62">IFERROR(IF($E62&lt;44348,"",IF(INDEX(Raw_매출!$B$2:$BI$155,MATCH($A62,Raw_매출!$A$2:$A$155,0),MATCH(EDATE($E62,AA$1-1),Raw_매출!$B$1:$BI$1,0))=0,"",INDEX(Raw_매출!$B$2:$BI$155,MATCH($A62,Raw_매출!$A$2:$A$155,0),MATCH(EDATE($E62,AA$1-1),Raw_매출!$B$1:$BI$1,0))/(INDEX(요약_월별시즈널리티!$F$7:$F$18,MONTH(EDATE($E62,AA$1-1)))/100))),"")</f>
        <v>5545972.0045508463</v>
      </c>
      <c r="AB62" cm="1">
        <f t="array" ref="AB62">IFERROR(IF($E62&lt;44348,"",IF(INDEX(Raw_매출!$B$2:$BI$155,MATCH($A62,Raw_매출!$A$2:$A$155,0),MATCH(EDATE($E62,AB$1-1),Raw_매출!$B$1:$BI$1,0))=0,"",INDEX(Raw_매출!$B$2:$BI$155,MATCH($A62,Raw_매출!$A$2:$A$155,0),MATCH(EDATE($E62,AB$1-1),Raw_매출!$B$1:$BI$1,0))/(INDEX(요약_월별시즈널리티!$F$7:$F$18,MONTH(EDATE($E62,AB$1-1)))/100))),"")</f>
        <v>5073871.351886414</v>
      </c>
      <c r="AC62" cm="1">
        <f t="array" ref="AC62">IFERROR(IF($E62&lt;44348,"",IF(INDEX(Raw_매출!$B$2:$BI$155,MATCH($A62,Raw_매출!$A$2:$A$155,0),MATCH(EDATE($E62,AC$1-1),Raw_매출!$B$1:$BI$1,0))=0,"",INDEX(Raw_매출!$B$2:$BI$155,MATCH($A62,Raw_매출!$A$2:$A$155,0),MATCH(EDATE($E62,AC$1-1),Raw_매출!$B$1:$BI$1,0))/(INDEX(요약_월별시즈널리티!$F$7:$F$18,MONTH(EDATE($E62,AC$1-1)))/100))),"")</f>
        <v>4984241.4154373957</v>
      </c>
      <c r="AD62" cm="1">
        <f t="array" ref="AD62">IFERROR(IF($E62&lt;44348,"",IF(INDEX(Raw_매출!$B$2:$BI$155,MATCH($A62,Raw_매출!$A$2:$A$155,0),MATCH(EDATE($E62,AD$1-1),Raw_매출!$B$1:$BI$1,0))=0,"",INDEX(Raw_매출!$B$2:$BI$155,MATCH($A62,Raw_매출!$A$2:$A$155,0),MATCH(EDATE($E62,AD$1-1),Raw_매출!$B$1:$BI$1,0))/(INDEX(요약_월별시즈널리티!$F$7:$F$18,MONTH(EDATE($E62,AD$1-1)))/100))),"")</f>
        <v>5272414.3102512043</v>
      </c>
      <c r="AE62" cm="1">
        <f t="array" ref="AE62">IFERROR(IF($E62&lt;44348,"",IF(INDEX(Raw_매출!$B$2:$BI$155,MATCH($A62,Raw_매출!$A$2:$A$155,0),MATCH(EDATE($E62,AE$1-1),Raw_매출!$B$1:$BI$1,0))=0,"",INDEX(Raw_매출!$B$2:$BI$155,MATCH($A62,Raw_매출!$A$2:$A$155,0),MATCH(EDATE($E62,AE$1-1),Raw_매출!$B$1:$BI$1,0))/(INDEX(요약_월별시즈널리티!$F$7:$F$18,MONTH(EDATE($E62,AE$1-1)))/100))),"")</f>
        <v>4530809.9654864557</v>
      </c>
      <c r="AF62" cm="1">
        <f t="array" ref="AF62">IFERROR(IF($E62&lt;44348,"",IF(INDEX(Raw_매출!$B$2:$BI$155,MATCH($A62,Raw_매출!$A$2:$A$155,0),MATCH(EDATE($E62,AF$1-1),Raw_매출!$B$1:$BI$1,0))=0,"",INDEX(Raw_매출!$B$2:$BI$155,MATCH($A62,Raw_매출!$A$2:$A$155,0),MATCH(EDATE($E62,AF$1-1),Raw_매출!$B$1:$BI$1,0))/(INDEX(요약_월별시즈널리티!$F$7:$F$18,MONTH(EDATE($E62,AF$1-1)))/100))),"")</f>
        <v>5657110.4661918208</v>
      </c>
      <c r="AG62" cm="1">
        <f t="array" ref="AG62">IFERROR(IF($E62&lt;44348,"",IF(INDEX(Raw_매출!$B$2:$BI$155,MATCH($A62,Raw_매출!$A$2:$A$155,0),MATCH(EDATE($E62,AG$1-1),Raw_매출!$B$1:$BI$1,0))=0,"",INDEX(Raw_매출!$B$2:$BI$155,MATCH($A62,Raw_매출!$A$2:$A$155,0),MATCH(EDATE($E62,AG$1-1),Raw_매출!$B$1:$BI$1,0))/(INDEX(요약_월별시즈널리티!$F$7:$F$18,MONTH(EDATE($E62,AG$1-1)))/100))),"")</f>
        <v>5456933.6170846811</v>
      </c>
      <c r="AH62" cm="1">
        <f t="array" ref="AH62">IFERROR(IF($E62&lt;44348,"",IF(INDEX(Raw_매출!$B$2:$BI$155,MATCH($A62,Raw_매출!$A$2:$A$155,0),MATCH(EDATE($E62,AH$1-1),Raw_매출!$B$1:$BI$1,0))=0,"",INDEX(Raw_매출!$B$2:$BI$155,MATCH($A62,Raw_매출!$A$2:$A$155,0),MATCH(EDATE($E62,AH$1-1),Raw_매출!$B$1:$BI$1,0))/(INDEX(요약_월별시즈널리티!$F$7:$F$18,MONTH(EDATE($E62,AH$1-1)))/100))),"")</f>
        <v>6249621.2330076722</v>
      </c>
      <c r="AI62" cm="1">
        <f t="array" ref="AI62">IFERROR(IF($E62&lt;44348,"",IF(INDEX(Raw_매출!$B$2:$BI$155,MATCH($A62,Raw_매출!$A$2:$A$155,0),MATCH(EDATE($E62,AI$1-1),Raw_매출!$B$1:$BI$1,0))=0,"",INDEX(Raw_매출!$B$2:$BI$155,MATCH($A62,Raw_매출!$A$2:$A$155,0),MATCH(EDATE($E62,AI$1-1),Raw_매출!$B$1:$BI$1,0))/(INDEX(요약_월별시즈널리티!$F$7:$F$18,MONTH(EDATE($E62,AI$1-1)))/100))),"")</f>
        <v>6347100.6388384141</v>
      </c>
      <c r="AJ62" cm="1">
        <f t="array" ref="AJ62">IFERROR(IF($E62&lt;44348,"",IF(INDEX(Raw_매출!$B$2:$BI$155,MATCH($A62,Raw_매출!$A$2:$A$155,0),MATCH(EDATE($E62,AJ$1-1),Raw_매출!$B$1:$BI$1,0))=0,"",INDEX(Raw_매출!$B$2:$BI$155,MATCH($A62,Raw_매출!$A$2:$A$155,0),MATCH(EDATE($E62,AJ$1-1),Raw_매출!$B$1:$BI$1,0))/(INDEX(요약_월별시즈널리티!$F$7:$F$18,MONTH(EDATE($E62,AJ$1-1)))/100))),"")</f>
        <v>6151673.9089111434</v>
      </c>
      <c r="AK62" cm="1">
        <f t="array" ref="AK62">IFERROR(IF($E62&lt;44348,"",IF(INDEX(Raw_매출!$B$2:$BI$155,MATCH($A62,Raw_매출!$A$2:$A$155,0),MATCH(EDATE($E62,AK$1-1),Raw_매출!$B$1:$BI$1,0))=0,"",INDEX(Raw_매출!$B$2:$BI$155,MATCH($A62,Raw_매출!$A$2:$A$155,0),MATCH(EDATE($E62,AK$1-1),Raw_매출!$B$1:$BI$1,0))/(INDEX(요약_월별시즈널리티!$F$7:$F$18,MONTH(EDATE($E62,AK$1-1)))/100))),"")</f>
        <v>5969684.0204117391</v>
      </c>
      <c r="AL62" cm="1">
        <f t="array" ref="AL62">IFERROR(IF($E62&lt;44348,"",IF(INDEX(Raw_매출!$B$2:$BI$155,MATCH($A62,Raw_매출!$A$2:$A$155,0),MATCH(EDATE($E62,AL$1-1),Raw_매출!$B$1:$BI$1,0))=0,"",INDEX(Raw_매출!$B$2:$BI$155,MATCH($A62,Raw_매출!$A$2:$A$155,0),MATCH(EDATE($E62,AL$1-1),Raw_매출!$B$1:$BI$1,0))/(INDEX(요약_월별시즈널리티!$F$7:$F$18,MONTH(EDATE($E62,AL$1-1)))/100))),"")</f>
        <v>6671256.1878781943</v>
      </c>
      <c r="AM62" cm="1">
        <f t="array" ref="AM62">IFERROR(IF($E62&lt;44348,"",IF(INDEX(Raw_매출!$B$2:$BI$155,MATCH($A62,Raw_매출!$A$2:$A$155,0),MATCH(EDATE($E62,AM$1-1),Raw_매출!$B$1:$BI$1,0))=0,"",INDEX(Raw_매출!$B$2:$BI$155,MATCH($A62,Raw_매출!$A$2:$A$155,0),MATCH(EDATE($E62,AM$1-1),Raw_매출!$B$1:$BI$1,0))/(INDEX(요약_월별시즈널리티!$F$7:$F$18,MONTH(EDATE($E62,AM$1-1)))/100))),"")</f>
        <v>6762135.6462623533</v>
      </c>
      <c r="AN62" cm="1">
        <f t="array" ref="AN62">IFERROR(IF($E62&lt;44348,"",IF(INDEX(Raw_매출!$B$2:$BI$155,MATCH($A62,Raw_매출!$A$2:$A$155,0),MATCH(EDATE($E62,AN$1-1),Raw_매출!$B$1:$BI$1,0))=0,"",INDEX(Raw_매출!$B$2:$BI$155,MATCH($A62,Raw_매출!$A$2:$A$155,0),MATCH(EDATE($E62,AN$1-1),Raw_매출!$B$1:$BI$1,0))/(INDEX(요약_월별시즈널리티!$F$7:$F$18,MONTH(EDATE($E62,AN$1-1)))/100))),"")</f>
        <v>5690329.4396795742</v>
      </c>
      <c r="AO62" cm="1">
        <f t="array" ref="AO62">IFERROR(IF($E62&lt;44348,"",IF(INDEX(Raw_매출!$B$2:$BI$155,MATCH($A62,Raw_매출!$A$2:$A$155,0),MATCH(EDATE($E62,AO$1-1),Raw_매출!$B$1:$BI$1,0))=0,"",INDEX(Raw_매출!$B$2:$BI$155,MATCH($A62,Raw_매출!$A$2:$A$155,0),MATCH(EDATE($E62,AO$1-1),Raw_매출!$B$1:$BI$1,0))/(INDEX(요약_월별시즈널리티!$F$7:$F$18,MONTH(EDATE($E62,AO$1-1)))/100))),"")</f>
        <v>5602575.1449382566</v>
      </c>
      <c r="AP62" cm="1">
        <f t="array" ref="AP62">IFERROR(IF($E62&lt;44348,"",IF(INDEX(Raw_매출!$B$2:$BI$155,MATCH($A62,Raw_매출!$A$2:$A$155,0),MATCH(EDATE($E62,AP$1-1),Raw_매출!$B$1:$BI$1,0))=0,"",INDEX(Raw_매출!$B$2:$BI$155,MATCH($A62,Raw_매출!$A$2:$A$155,0),MATCH(EDATE($E62,AP$1-1),Raw_매출!$B$1:$BI$1,0))/(INDEX(요약_월별시즈널리티!$F$7:$F$18,MONTH(EDATE($E62,AP$1-1)))/100))),"")</f>
        <v>5372550.5611099554</v>
      </c>
      <c r="AQ62" cm="1">
        <f t="array" ref="AQ62">IFERROR(IF($E62&lt;44348,"",IF(INDEX(Raw_매출!$B$2:$BI$155,MATCH($A62,Raw_매출!$A$2:$A$155,0),MATCH(EDATE($E62,AQ$1-1),Raw_매출!$B$1:$BI$1,0))=0,"",INDEX(Raw_매출!$B$2:$BI$155,MATCH($A62,Raw_매출!$A$2:$A$155,0),MATCH(EDATE($E62,AQ$1-1),Raw_매출!$B$1:$BI$1,0))/(INDEX(요약_월별시즈널리티!$F$7:$F$18,MONTH(EDATE($E62,AQ$1-1)))/100))),"")</f>
        <v>6542089.6751610497</v>
      </c>
      <c r="AR62" cm="1">
        <f t="array" ref="AR62">IFERROR(IF($E62&lt;44348,"",IF(INDEX(Raw_매출!$B$2:$BI$155,MATCH($A62,Raw_매출!$A$2:$A$155,0),MATCH(EDATE($E62,AR$1-1),Raw_매출!$B$1:$BI$1,0))=0,"",INDEX(Raw_매출!$B$2:$BI$155,MATCH($A62,Raw_매출!$A$2:$A$155,0),MATCH(EDATE($E62,AR$1-1),Raw_매출!$B$1:$BI$1,0))/(INDEX(요약_월별시즈널리티!$F$7:$F$18,MONTH(EDATE($E62,AR$1-1)))/100))),"")</f>
        <v>5938613.6064609485</v>
      </c>
      <c r="AS62" cm="1">
        <f t="array" ref="AS62">IFERROR(IF($E62&lt;44348,"",IF(INDEX(Raw_매출!$B$2:$BI$155,MATCH($A62,Raw_매출!$A$2:$A$155,0),MATCH(EDATE($E62,AS$1-1),Raw_매출!$B$1:$BI$1,0))=0,"",INDEX(Raw_매출!$B$2:$BI$155,MATCH($A62,Raw_매출!$A$2:$A$155,0),MATCH(EDATE($E62,AS$1-1),Raw_매출!$B$1:$BI$1,0))/(INDEX(요약_월별시즈널리티!$F$7:$F$18,MONTH(EDATE($E62,AS$1-1)))/100))),"")</f>
        <v>5784422.2158027403</v>
      </c>
      <c r="AT62" cm="1">
        <f t="array" ref="AT62">IFERROR(IF($E62&lt;44348,"",IF(INDEX(Raw_매출!$B$2:$BI$155,MATCH($A62,Raw_매출!$A$2:$A$155,0),MATCH(EDATE($E62,AT$1-1),Raw_매출!$B$1:$BI$1,0))=0,"",INDEX(Raw_매출!$B$2:$BI$155,MATCH($A62,Raw_매출!$A$2:$A$155,0),MATCH(EDATE($E62,AT$1-1),Raw_매출!$B$1:$BI$1,0))/(INDEX(요약_월별시즈널리티!$F$7:$F$18,MONTH(EDATE($E62,AT$1-1)))/100))),"")</f>
        <v>7223472.6182233589</v>
      </c>
      <c r="AU62" cm="1">
        <f t="array" ref="AU62">IFERROR(IF($E62&lt;44348,"",IF(INDEX(Raw_매출!$B$2:$BI$155,MATCH($A62,Raw_매출!$A$2:$A$155,0),MATCH(EDATE($E62,AU$1-1),Raw_매출!$B$1:$BI$1,0))=0,"",INDEX(Raw_매출!$B$2:$BI$155,MATCH($A62,Raw_매출!$A$2:$A$155,0),MATCH(EDATE($E62,AU$1-1),Raw_매출!$B$1:$BI$1,0))/(INDEX(요약_월별시즈널리티!$F$7:$F$18,MONTH(EDATE($E62,AU$1-1)))/100))),"")</f>
        <v>7107649.827228955</v>
      </c>
      <c r="AV62" cm="1">
        <f t="array" ref="AV62">IFERROR(IF($E62&lt;44348,"",IF(INDEX(Raw_매출!$B$2:$BI$155,MATCH($A62,Raw_매출!$A$2:$A$155,0),MATCH(EDATE($E62,AV$1-1),Raw_매출!$B$1:$BI$1,0))=0,"",INDEX(Raw_매출!$B$2:$BI$155,MATCH($A62,Raw_매출!$A$2:$A$155,0),MATCH(EDATE($E62,AV$1-1),Raw_매출!$B$1:$BI$1,0))/(INDEX(요약_월별시즈널리티!$F$7:$F$18,MONTH(EDATE($E62,AV$1-1)))/100))),"")</f>
        <v>7098761.3238231037</v>
      </c>
      <c r="AW62" cm="1">
        <f t="array" ref="AW62">IFERROR(IF($E62&lt;44348,"",IF(INDEX(Raw_매출!$B$2:$BI$155,MATCH($A62,Raw_매출!$A$2:$A$155,0),MATCH(EDATE($E62,AW$1-1),Raw_매출!$B$1:$BI$1,0))=0,"",INDEX(Raw_매출!$B$2:$BI$155,MATCH($A62,Raw_매출!$A$2:$A$155,0),MATCH(EDATE($E62,AW$1-1),Raw_매출!$B$1:$BI$1,0))/(INDEX(요약_월별시즈널리티!$F$7:$F$18,MONTH(EDATE($E62,AW$1-1)))/100))),"")</f>
        <v>7905374.8464319911</v>
      </c>
      <c r="AX62" cm="1">
        <f t="array" ref="AX62">IFERROR(IF($E62&lt;44348,"",IF(INDEX(Raw_매출!$B$2:$BI$155,MATCH($A62,Raw_매출!$A$2:$A$155,0),MATCH(EDATE($E62,AX$1-1),Raw_매출!$B$1:$BI$1,0))=0,"",INDEX(Raw_매출!$B$2:$BI$155,MATCH($A62,Raw_매출!$A$2:$A$155,0),MATCH(EDATE($E62,AX$1-1),Raw_매출!$B$1:$BI$1,0))/(INDEX(요약_월별시즈널리티!$F$7:$F$18,MONTH(EDATE($E62,AX$1-1)))/100))),"")</f>
        <v>7910724.3950691018</v>
      </c>
      <c r="AY62" t="str" cm="1">
        <f t="array" ref="AY62">IFERROR(IF($E62&lt;44348,"",IF(INDEX(Raw_매출!$B$2:$BI$155,MATCH($A62,Raw_매출!$A$2:$A$155,0),MATCH(EDATE($E62,AY$1-1),Raw_매출!$B$1:$BI$1,0))=0,"",INDEX(Raw_매출!$B$2:$BI$155,MATCH($A62,Raw_매출!$A$2:$A$155,0),MATCH(EDATE($E62,AY$1-1),Raw_매출!$B$1:$BI$1,0))/(INDEX(요약_월별시즈널리티!$F$7:$F$18,MONTH(EDATE($E62,AY$1-1)))/100))),"")</f>
        <v/>
      </c>
      <c r="AZ62" t="str" cm="1">
        <f t="array" ref="AZ62">IFERROR(IF($E62&lt;44348,"",IF(INDEX(Raw_매출!$B$2:$BI$155,MATCH($A62,Raw_매출!$A$2:$A$155,0),MATCH(EDATE($E62,AZ$1-1),Raw_매출!$B$1:$BI$1,0))=0,"",INDEX(Raw_매출!$B$2:$BI$155,MATCH($A62,Raw_매출!$A$2:$A$155,0),MATCH(EDATE($E62,AZ$1-1),Raw_매출!$B$1:$BI$1,0))/(INDEX(요약_월별시즈널리티!$F$7:$F$18,MONTH(EDATE($E62,AZ$1-1)))/100))),"")</f>
        <v/>
      </c>
      <c r="BA62" t="str" cm="1">
        <f t="array" ref="BA62">IFERROR(IF($E62&lt;44348,"",IF(INDEX(Raw_매출!$B$2:$BI$155,MATCH($A62,Raw_매출!$A$2:$A$155,0),MATCH(EDATE($E62,BA$1-1),Raw_매출!$B$1:$BI$1,0))=0,"",INDEX(Raw_매출!$B$2:$BI$155,MATCH($A62,Raw_매출!$A$2:$A$155,0),MATCH(EDATE($E62,BA$1-1),Raw_매출!$B$1:$BI$1,0))/(INDEX(요약_월별시즈널리티!$F$7:$F$18,MONTH(EDATE($E62,BA$1-1)))/100))),"")</f>
        <v/>
      </c>
      <c r="BB62" t="str" cm="1">
        <f t="array" ref="BB62">IFERROR(IF($E62&lt;44348,"",IF(INDEX(Raw_매출!$B$2:$BI$155,MATCH($A62,Raw_매출!$A$2:$A$155,0),MATCH(EDATE($E62,BB$1-1),Raw_매출!$B$1:$BI$1,0))=0,"",INDEX(Raw_매출!$B$2:$BI$155,MATCH($A62,Raw_매출!$A$2:$A$155,0),MATCH(EDATE($E62,BB$1-1),Raw_매출!$B$1:$BI$1,0))/(INDEX(요약_월별시즈널리티!$F$7:$F$18,MONTH(EDATE($E62,BB$1-1)))/100))),"")</f>
        <v/>
      </c>
      <c r="BC62" t="str" cm="1">
        <f t="array" ref="BC62">IFERROR(IF($E62&lt;44348,"",IF(INDEX(Raw_매출!$B$2:$BI$155,MATCH($A62,Raw_매출!$A$2:$A$155,0),MATCH(EDATE($E62,BC$1-1),Raw_매출!$B$1:$BI$1,0))=0,"",INDEX(Raw_매출!$B$2:$BI$155,MATCH($A62,Raw_매출!$A$2:$A$155,0),MATCH(EDATE($E62,BC$1-1),Raw_매출!$B$1:$BI$1,0))/(INDEX(요약_월별시즈널리티!$F$7:$F$18,MONTH(EDATE($E62,BC$1-1)))/100))),"")</f>
        <v/>
      </c>
      <c r="BD62" t="str" cm="1">
        <f t="array" ref="BD62">IFERROR(IF($E62&lt;44348,"",IF(INDEX(Raw_매출!$B$2:$BI$155,MATCH($A62,Raw_매출!$A$2:$A$155,0),MATCH(EDATE($E62,BD$1-1),Raw_매출!$B$1:$BI$1,0))=0,"",INDEX(Raw_매출!$B$2:$BI$155,MATCH($A62,Raw_매출!$A$2:$A$155,0),MATCH(EDATE($E62,BD$1-1),Raw_매출!$B$1:$BI$1,0))/(INDEX(요약_월별시즈널리티!$F$7:$F$18,MONTH(EDATE($E62,BD$1-1)))/100))),"")</f>
        <v/>
      </c>
      <c r="BE62" t="str" cm="1">
        <f t="array" ref="BE62">IFERROR(IF($E62&lt;44348,"",IF(INDEX(Raw_매출!$B$2:$BI$155,MATCH($A62,Raw_매출!$A$2:$A$155,0),MATCH(EDATE($E62,BE$1-1),Raw_매출!$B$1:$BI$1,0))=0,"",INDEX(Raw_매출!$B$2:$BI$155,MATCH($A62,Raw_매출!$A$2:$A$155,0),MATCH(EDATE($E62,BE$1-1),Raw_매출!$B$1:$BI$1,0))/(INDEX(요약_월별시즈널리티!$F$7:$F$18,MONTH(EDATE($E62,BE$1-1)))/100))),"")</f>
        <v/>
      </c>
      <c r="BF62" t="str" cm="1">
        <f t="array" ref="BF62">IFERROR(IF($E62&lt;44348,"",IF(INDEX(Raw_매출!$B$2:$BI$155,MATCH($A62,Raw_매출!$A$2:$A$155,0),MATCH(EDATE($E62,BF$1-1),Raw_매출!$B$1:$BI$1,0))=0,"",INDEX(Raw_매출!$B$2:$BI$155,MATCH($A62,Raw_매출!$A$2:$A$155,0),MATCH(EDATE($E62,BF$1-1),Raw_매출!$B$1:$BI$1,0))/(INDEX(요약_월별시즈널리티!$F$7:$F$18,MONTH(EDATE($E62,BF$1-1)))/100))),"")</f>
        <v/>
      </c>
      <c r="BG62" t="str" cm="1">
        <f t="array" ref="BG62">IFERROR(IF($E62&lt;44348,"",IF(INDEX(Raw_매출!$B$2:$BI$155,MATCH($A62,Raw_매출!$A$2:$A$155,0),MATCH(EDATE($E62,BG$1-1),Raw_매출!$B$1:$BI$1,0))=0,"",INDEX(Raw_매출!$B$2:$BI$155,MATCH($A62,Raw_매출!$A$2:$A$155,0),MATCH(EDATE($E62,BG$1-1),Raw_매출!$B$1:$BI$1,0))/(INDEX(요약_월별시즈널리티!$F$7:$F$18,MONTH(EDATE($E62,BG$1-1)))/100))),"")</f>
        <v/>
      </c>
      <c r="BH62" t="str" cm="1">
        <f t="array" ref="BH62">IFERROR(IF($E62&lt;44348,"",IF(INDEX(Raw_매출!$B$2:$BI$155,MATCH($A62,Raw_매출!$A$2:$A$155,0),MATCH(EDATE($E62,BH$1-1),Raw_매출!$B$1:$BI$1,0))=0,"",INDEX(Raw_매출!$B$2:$BI$155,MATCH($A62,Raw_매출!$A$2:$A$155,0),MATCH(EDATE($E62,BH$1-1),Raw_매출!$B$1:$BI$1,0))/(INDEX(요약_월별시즈널리티!$F$7:$F$18,MONTH(EDATE($E62,BH$1-1)))/100))),"")</f>
        <v/>
      </c>
      <c r="BI62" t="str" cm="1">
        <f t="array" ref="BI62">IFERROR(IF($E62&lt;44348,"",IF(INDEX(Raw_매출!$B$2:$BI$155,MATCH($A62,Raw_매출!$A$2:$A$155,0),MATCH(EDATE($E62,BI$1-1),Raw_매출!$B$1:$BI$1,0))=0,"",INDEX(Raw_매출!$B$2:$BI$155,MATCH($A62,Raw_매출!$A$2:$A$155,0),MATCH(EDATE($E62,BI$1-1),Raw_매출!$B$1:$BI$1,0))/(INDEX(요약_월별시즈널리티!$F$7:$F$18,MONTH(EDATE($E62,BI$1-1)))/100))),"")</f>
        <v/>
      </c>
      <c r="BJ62" t="str" cm="1">
        <f t="array" ref="BJ62">IFERROR(IF($E62&lt;44348,"",IF(INDEX(Raw_매출!$B$2:$BI$155,MATCH($A62,Raw_매출!$A$2:$A$155,0),MATCH(EDATE($E62,BJ$1-1),Raw_매출!$B$1:$BI$1,0))=0,"",INDEX(Raw_매출!$B$2:$BI$155,MATCH($A62,Raw_매출!$A$2:$A$155,0),MATCH(EDATE($E62,BJ$1-1),Raw_매출!$B$1:$BI$1,0))/(INDEX(요약_월별시즈널리티!$F$7:$F$18,MONTH(EDATE($E62,BJ$1-1)))/100))),"")</f>
        <v/>
      </c>
      <c r="BK62" t="str" cm="1">
        <f t="array" ref="BK62">IFERROR(IF($E62&lt;44348,"",IF(INDEX(Raw_매출!$B$2:$BI$155,MATCH($A62,Raw_매출!$A$2:$A$155,0),MATCH(EDATE($E62,BK$1-1),Raw_매출!$B$1:$BI$1,0))=0,"",INDEX(Raw_매출!$B$2:$BI$155,MATCH($A62,Raw_매출!$A$2:$A$155,0),MATCH(EDATE($E62,BK$1-1),Raw_매출!$B$1:$BI$1,0))/(INDEX(요약_월별시즈널리티!$F$7:$F$18,MONTH(EDATE($E62,BK$1-1)))/100))),"")</f>
        <v/>
      </c>
      <c r="BL62" t="str" cm="1">
        <f t="array" ref="BL62">IFERROR(IF($E62&lt;44348,"",IF(INDEX(Raw_매출!$B$2:$BI$155,MATCH($A62,Raw_매출!$A$2:$A$155,0),MATCH(EDATE($E62,BL$1-1),Raw_매출!$B$1:$BI$1,0))=0,"",INDEX(Raw_매출!$B$2:$BI$155,MATCH($A62,Raw_매출!$A$2:$A$155,0),MATCH(EDATE($E62,BL$1-1),Raw_매출!$B$1:$BI$1,0))/(INDEX(요약_월별시즈널리티!$F$7:$F$18,MONTH(EDATE($E62,BL$1-1)))/100))),"")</f>
        <v/>
      </c>
      <c r="BM62" t="str" cm="1">
        <f t="array" ref="BM62">IFERROR(IF($E62&lt;44348,"",IF(INDEX(Raw_매출!$B$2:$BI$155,MATCH($A62,Raw_매출!$A$2:$A$155,0),MATCH(EDATE($E62,BM$1-1),Raw_매출!$B$1:$BI$1,0))=0,"",INDEX(Raw_매출!$B$2:$BI$155,MATCH($A62,Raw_매출!$A$2:$A$155,0),MATCH(EDATE($E62,BM$1-1),Raw_매출!$B$1:$BI$1,0))/(INDEX(요약_월별시즈널리티!$F$7:$F$18,MONTH(EDATE($E62,BM$1-1)))/100))),"")</f>
        <v/>
      </c>
      <c r="BN62" t="str" cm="1">
        <f t="array" ref="BN62">IFERROR(IF($E62&lt;44348,"",IF(INDEX(Raw_매출!$B$2:$BI$155,MATCH($A62,Raw_매출!$A$2:$A$155,0),MATCH(EDATE($E62,BN$1-1),Raw_매출!$B$1:$BI$1,0))=0,"",INDEX(Raw_매출!$B$2:$BI$155,MATCH($A62,Raw_매출!$A$2:$A$155,0),MATCH(EDATE($E62,BN$1-1),Raw_매출!$B$1:$BI$1,0))/(INDEX(요약_월별시즈널리티!$F$7:$F$18,MONTH(EDATE($E62,BN$1-1)))/100))),"")</f>
        <v/>
      </c>
    </row>
    <row r="63" spans="1:66" x14ac:dyDescent="0.4">
      <c r="A63" t="str">
        <f>세팅!A64</f>
        <v>(1052) #길병원사거리점</v>
      </c>
      <c r="B63" t="str">
        <f>세팅!B64</f>
        <v>150-0</v>
      </c>
      <c r="C63">
        <f t="shared" si="0"/>
        <v>0</v>
      </c>
      <c r="D63" t="str">
        <f t="shared" si="1"/>
        <v>0</v>
      </c>
      <c r="E63" s="1">
        <f>세팅!D64</f>
        <v>44866</v>
      </c>
      <c r="F63">
        <f t="shared" si="2"/>
        <v>4480188.6874022102</v>
      </c>
      <c r="G63" cm="1">
        <f t="array" ref="G63">IFERROR(IF($E63&lt;44348,"",IF(INDEX(Raw_매출!$B$2:$BI$155,MATCH($A63,Raw_매출!$A$2:$A$155,0),MATCH(EDATE($E63,G$1-1),Raw_매출!$B$1:$BI$1,0))=0,"",INDEX(Raw_매출!$B$2:$BI$155,MATCH($A63,Raw_매출!$A$2:$A$155,0),MATCH(EDATE($E63,G$1-1),Raw_매출!$B$1:$BI$1,0))/(INDEX(요약_월별시즈널리티!$F$7:$F$18,MONTH(EDATE($E63,G$1-1)))/100))),"")</f>
        <v>3048163.7972802059</v>
      </c>
      <c r="H63" cm="1">
        <f t="array" ref="H63">IFERROR(IF($E63&lt;44348,"",IF(INDEX(Raw_매출!$B$2:$BI$155,MATCH($A63,Raw_매출!$A$2:$A$155,0),MATCH(EDATE($E63,H$1-1),Raw_매출!$B$1:$BI$1,0))=0,"",INDEX(Raw_매출!$B$2:$BI$155,MATCH($A63,Raw_매출!$A$2:$A$155,0),MATCH(EDATE($E63,H$1-1),Raw_매출!$B$1:$BI$1,0))/(INDEX(요약_월별시즈널리티!$F$7:$F$18,MONTH(EDATE($E63,H$1-1)))/100))),"")</f>
        <v>3826681.0498787686</v>
      </c>
      <c r="I63" cm="1">
        <f t="array" ref="I63">IFERROR(IF($E63&lt;44348,"",IF(INDEX(Raw_매출!$B$2:$BI$155,MATCH($A63,Raw_매출!$A$2:$A$155,0),MATCH(EDATE($E63,I$1-1),Raw_매출!$B$1:$BI$1,0))=0,"",INDEX(Raw_매출!$B$2:$BI$155,MATCH($A63,Raw_매출!$A$2:$A$155,0),MATCH(EDATE($E63,I$1-1),Raw_매출!$B$1:$BI$1,0))/(INDEX(요약_월별시즈널리티!$F$7:$F$18,MONTH(EDATE($E63,I$1-1)))/100))),"")</f>
        <v>4624832.8615431925</v>
      </c>
      <c r="J63" s="30" cm="1">
        <f t="array" ref="J63">IFERROR(IF($E63&lt;44348,"",IF(INDEX(Raw_매출!$B$2:$BI$155,MATCH($A63,Raw_매출!$A$2:$A$155,0),MATCH(EDATE($E63,J$1-1),Raw_매출!$B$1:$BI$1,0))=0,"",INDEX(Raw_매출!$B$2:$BI$155,MATCH($A63,Raw_매출!$A$2:$A$155,0),MATCH(EDATE($E63,J$1-1),Raw_매출!$B$1:$BI$1,0))/(INDEX(요약_월별시즈널리티!$F$7:$F$18,MONTH(EDATE($E63,J$1-1)))/100))),"")</f>
        <v>4579548.9699516203</v>
      </c>
      <c r="K63" s="30" cm="1">
        <f t="array" ref="K63">IFERROR(IF($E63&lt;44348,"",IF(INDEX(Raw_매출!$B$2:$BI$155,MATCH($A63,Raw_매출!$A$2:$A$155,0),MATCH(EDATE($E63,K$1-1),Raw_매출!$B$1:$BI$1,0))=0,"",INDEX(Raw_매출!$B$2:$BI$155,MATCH($A63,Raw_매출!$A$2:$A$155,0),MATCH(EDATE($E63,K$1-1),Raw_매출!$B$1:$BI$1,0))/(INDEX(요약_월별시즈널리티!$F$7:$F$18,MONTH(EDATE($E63,K$1-1)))/100))),"")</f>
        <v>4147816.8269071556</v>
      </c>
      <c r="L63" s="30" cm="1">
        <f t="array" ref="L63">IFERROR(IF($E63&lt;44348,"",IF(INDEX(Raw_매출!$B$2:$BI$155,MATCH($A63,Raw_매출!$A$2:$A$155,0),MATCH(EDATE($E63,L$1-1),Raw_매출!$B$1:$BI$1,0))=0,"",INDEX(Raw_매출!$B$2:$BI$155,MATCH($A63,Raw_매출!$A$2:$A$155,0),MATCH(EDATE($E63,L$1-1),Raw_매출!$B$1:$BI$1,0))/(INDEX(요약_월별시즈널리티!$F$7:$F$18,MONTH(EDATE($E63,L$1-1)))/100))),"")</f>
        <v>4821247.7745854901</v>
      </c>
      <c r="M63" s="30" cm="1">
        <f t="array" ref="M63">IFERROR(IF($E63&lt;44348,"",IF(INDEX(Raw_매출!$B$2:$BI$155,MATCH($A63,Raw_매출!$A$2:$A$155,0),MATCH(EDATE($E63,M$1-1),Raw_매출!$B$1:$BI$1,0))=0,"",INDEX(Raw_매출!$B$2:$BI$155,MATCH($A63,Raw_매출!$A$2:$A$155,0),MATCH(EDATE($E63,M$1-1),Raw_매출!$B$1:$BI$1,0))/(INDEX(요약_월별시즈널리티!$F$7:$F$18,MONTH(EDATE($E63,M$1-1)))/100))),"")</f>
        <v>4410300.8130354332</v>
      </c>
      <c r="N63" s="30" cm="1">
        <f t="array" ref="N63">IFERROR(IF($E63&lt;44348,"",IF(INDEX(Raw_매출!$B$2:$BI$155,MATCH($A63,Raw_매출!$A$2:$A$155,0),MATCH(EDATE($E63,N$1-1),Raw_매출!$B$1:$BI$1,0))=0,"",INDEX(Raw_매출!$B$2:$BI$155,MATCH($A63,Raw_매출!$A$2:$A$155,0),MATCH(EDATE($E63,N$1-1),Raw_매출!$B$1:$BI$1,0))/(INDEX(요약_월별시즈널리티!$F$7:$F$18,MONTH(EDATE($E63,N$1-1)))/100))),"")</f>
        <v>4311439.8680388033</v>
      </c>
      <c r="O63" s="30" cm="1">
        <f t="array" ref="O63">IFERROR(IF($E63&lt;44348,"",IF(INDEX(Raw_매출!$B$2:$BI$155,MATCH($A63,Raw_매출!$A$2:$A$155,0),MATCH(EDATE($E63,O$1-1),Raw_매출!$B$1:$BI$1,0))=0,"",INDEX(Raw_매출!$B$2:$BI$155,MATCH($A63,Raw_매출!$A$2:$A$155,0),MATCH(EDATE($E63,O$1-1),Raw_매출!$B$1:$BI$1,0))/(INDEX(요약_월별시즈널리티!$F$7:$F$18,MONTH(EDATE($E63,O$1-1)))/100))),"")</f>
        <v>4610777.8718947629</v>
      </c>
      <c r="P63" cm="1">
        <f t="array" ref="P63">IFERROR(IF($E63&lt;44348,"",IF(INDEX(Raw_매출!$B$2:$BI$155,MATCH($A63,Raw_매출!$A$2:$A$155,0),MATCH(EDATE($E63,P$1-1),Raw_매출!$B$1:$BI$1,0))=0,"",INDEX(Raw_매출!$B$2:$BI$155,MATCH($A63,Raw_매출!$A$2:$A$155,0),MATCH(EDATE($E63,P$1-1),Raw_매출!$B$1:$BI$1,0))/(INDEX(요약_월별시즈널리티!$F$7:$F$18,MONTH(EDATE($E63,P$1-1)))/100))),"")</f>
        <v>3719429.5703833988</v>
      </c>
      <c r="Q63" cm="1">
        <f t="array" ref="Q63">IFERROR(IF($E63&lt;44348,"",IF(INDEX(Raw_매출!$B$2:$BI$155,MATCH($A63,Raw_매출!$A$2:$A$155,0),MATCH(EDATE($E63,Q$1-1),Raw_매출!$B$1:$BI$1,0))=0,"",INDEX(Raw_매출!$B$2:$BI$155,MATCH($A63,Raw_매출!$A$2:$A$155,0),MATCH(EDATE($E63,Q$1-1),Raw_매출!$B$1:$BI$1,0))/(INDEX(요약_월별시즈널리티!$F$7:$F$18,MONTH(EDATE($E63,Q$1-1)))/100))),"")</f>
        <v>5185891.236124997</v>
      </c>
      <c r="R63" cm="1">
        <f t="array" ref="R63">IFERROR(IF($E63&lt;44348,"",IF(INDEX(Raw_매출!$B$2:$BI$155,MATCH($A63,Raw_매출!$A$2:$A$155,0),MATCH(EDATE($E63,R$1-1),Raw_매출!$B$1:$BI$1,0))=0,"",INDEX(Raw_매출!$B$2:$BI$155,MATCH($A63,Raw_매출!$A$2:$A$155,0),MATCH(EDATE($E63,R$1-1),Raw_매출!$B$1:$BI$1,0))/(INDEX(요약_월별시즈널리티!$F$7:$F$18,MONTH(EDATE($E63,R$1-1)))/100))),"")</f>
        <v>4646239.2694491046</v>
      </c>
      <c r="S63" cm="1">
        <f t="array" ref="S63">IFERROR(IF($E63&lt;44348,"",IF(INDEX(Raw_매출!$B$2:$BI$155,MATCH($A63,Raw_매출!$A$2:$A$155,0),MATCH(EDATE($E63,S$1-1),Raw_매출!$B$1:$BI$1,0))=0,"",INDEX(Raw_매출!$B$2:$BI$155,MATCH($A63,Raw_매출!$A$2:$A$155,0),MATCH(EDATE($E63,S$1-1),Raw_매출!$B$1:$BI$1,0))/(INDEX(요약_월별시즈널리티!$F$7:$F$18,MONTH(EDATE($E63,S$1-1)))/100))),"")</f>
        <v>5072973.2006463287</v>
      </c>
      <c r="T63" cm="1">
        <f t="array" ref="T63">IFERROR(IF($E63&lt;44348,"",IF(INDEX(Raw_매출!$B$2:$BI$155,MATCH($A63,Raw_매출!$A$2:$A$155,0),MATCH(EDATE($E63,T$1-1),Raw_매출!$B$1:$BI$1,0))=0,"",INDEX(Raw_매출!$B$2:$BI$155,MATCH($A63,Raw_매출!$A$2:$A$155,0),MATCH(EDATE($E63,T$1-1),Raw_매출!$B$1:$BI$1,0))/(INDEX(요약_월별시즈널리티!$F$7:$F$18,MONTH(EDATE($E63,T$1-1)))/100))),"")</f>
        <v>4883925.3449187158</v>
      </c>
      <c r="U63" cm="1">
        <f t="array" ref="U63">IFERROR(IF($E63&lt;44348,"",IF(INDEX(Raw_매출!$B$2:$BI$155,MATCH($A63,Raw_매출!$A$2:$A$155,0),MATCH(EDATE($E63,U$1-1),Raw_매출!$B$1:$BI$1,0))=0,"",INDEX(Raw_매출!$B$2:$BI$155,MATCH($A63,Raw_매출!$A$2:$A$155,0),MATCH(EDATE($E63,U$1-1),Raw_매출!$B$1:$BI$1,0))/(INDEX(요약_월별시즈널리티!$F$7:$F$18,MONTH(EDATE($E63,U$1-1)))/100))),"")</f>
        <v>5298234.8910267977</v>
      </c>
      <c r="V63" cm="1">
        <f t="array" ref="V63">IFERROR(IF($E63&lt;44348,"",IF(INDEX(Raw_매출!$B$2:$BI$155,MATCH($A63,Raw_매출!$A$2:$A$155,0),MATCH(EDATE($E63,V$1-1),Raw_매출!$B$1:$BI$1,0))=0,"",INDEX(Raw_매출!$B$2:$BI$155,MATCH($A63,Raw_매출!$A$2:$A$155,0),MATCH(EDATE($E63,V$1-1),Raw_매출!$B$1:$BI$1,0))/(INDEX(요약_월별시즈널리티!$F$7:$F$18,MONTH(EDATE($E63,V$1-1)))/100))),"")</f>
        <v>5756647.2887437195</v>
      </c>
      <c r="W63" cm="1">
        <f t="array" ref="W63">IFERROR(IF($E63&lt;44348,"",IF(INDEX(Raw_매출!$B$2:$BI$155,MATCH($A63,Raw_매출!$A$2:$A$155,0),MATCH(EDATE($E63,W$1-1),Raw_매출!$B$1:$BI$1,0))=0,"",INDEX(Raw_매출!$B$2:$BI$155,MATCH($A63,Raw_매출!$A$2:$A$155,0),MATCH(EDATE($E63,W$1-1),Raw_매출!$B$1:$BI$1,0))/(INDEX(요약_월별시즈널리티!$F$7:$F$18,MONTH(EDATE($E63,W$1-1)))/100))),"")</f>
        <v>5687155.4721590402</v>
      </c>
      <c r="X63" cm="1">
        <f t="array" ref="X63">IFERROR(IF($E63&lt;44348,"",IF(INDEX(Raw_매출!$B$2:$BI$155,MATCH($A63,Raw_매출!$A$2:$A$155,0),MATCH(EDATE($E63,X$1-1),Raw_매출!$B$1:$BI$1,0))=0,"",INDEX(Raw_매출!$B$2:$BI$155,MATCH($A63,Raw_매출!$A$2:$A$155,0),MATCH(EDATE($E63,X$1-1),Raw_매출!$B$1:$BI$1,0))/(INDEX(요약_월별시즈널리티!$F$7:$F$18,MONTH(EDATE($E63,X$1-1)))/100))),"")</f>
        <v>5283890.669580373</v>
      </c>
      <c r="Y63" cm="1">
        <f t="array" ref="Y63">IFERROR(IF($E63&lt;44348,"",IF(INDEX(Raw_매출!$B$2:$BI$155,MATCH($A63,Raw_매출!$A$2:$A$155,0),MATCH(EDATE($E63,Y$1-1),Raw_매출!$B$1:$BI$1,0))=0,"",INDEX(Raw_매출!$B$2:$BI$155,MATCH($A63,Raw_매출!$A$2:$A$155,0),MATCH(EDATE($E63,Y$1-1),Raw_매출!$B$1:$BI$1,0))/(INDEX(요약_월별시즈널리티!$F$7:$F$18,MONTH(EDATE($E63,Y$1-1)))/100))),"")</f>
        <v>5366862.5064846287</v>
      </c>
      <c r="Z63" cm="1">
        <f t="array" ref="Z63">IFERROR(IF($E63&lt;44348,"",IF(INDEX(Raw_매출!$B$2:$BI$155,MATCH($A63,Raw_매출!$A$2:$A$155,0),MATCH(EDATE($E63,Z$1-1),Raw_매출!$B$1:$BI$1,0))=0,"",INDEX(Raw_매출!$B$2:$BI$155,MATCH($A63,Raw_매출!$A$2:$A$155,0),MATCH(EDATE($E63,Z$1-1),Raw_매출!$B$1:$BI$1,0))/(INDEX(요약_월별시즈널리티!$F$7:$F$18,MONTH(EDATE($E63,Z$1-1)))/100))),"")</f>
        <v>5627637.8654383961</v>
      </c>
      <c r="AA63" cm="1">
        <f t="array" ref="AA63">IFERROR(IF($E63&lt;44348,"",IF(INDEX(Raw_매출!$B$2:$BI$155,MATCH($A63,Raw_매출!$A$2:$A$155,0),MATCH(EDATE($E63,AA$1-1),Raw_매출!$B$1:$BI$1,0))=0,"",INDEX(Raw_매출!$B$2:$BI$155,MATCH($A63,Raw_매출!$A$2:$A$155,0),MATCH(EDATE($E63,AA$1-1),Raw_매출!$B$1:$BI$1,0))/(INDEX(요약_월별시즈널리티!$F$7:$F$18,MONTH(EDATE($E63,AA$1-1)))/100))),"")</f>
        <v>5607781.5652549546</v>
      </c>
      <c r="AB63" cm="1">
        <f t="array" ref="AB63">IFERROR(IF($E63&lt;44348,"",IF(INDEX(Raw_매출!$B$2:$BI$155,MATCH($A63,Raw_매출!$A$2:$A$155,0),MATCH(EDATE($E63,AB$1-1),Raw_매출!$B$1:$BI$1,0))=0,"",INDEX(Raw_매출!$B$2:$BI$155,MATCH($A63,Raw_매출!$A$2:$A$155,0),MATCH(EDATE($E63,AB$1-1),Raw_매출!$B$1:$BI$1,0))/(INDEX(요약_월별시즈널리티!$F$7:$F$18,MONTH(EDATE($E63,AB$1-1)))/100))),"")</f>
        <v>5175793.7532381713</v>
      </c>
      <c r="AC63" cm="1">
        <f t="array" ref="AC63">IFERROR(IF($E63&lt;44348,"",IF(INDEX(Raw_매출!$B$2:$BI$155,MATCH($A63,Raw_매출!$A$2:$A$155,0),MATCH(EDATE($E63,AC$1-1),Raw_매출!$B$1:$BI$1,0))=0,"",INDEX(Raw_매출!$B$2:$BI$155,MATCH($A63,Raw_매출!$A$2:$A$155,0),MATCH(EDATE($E63,AC$1-1),Raw_매출!$B$1:$BI$1,0))/(INDEX(요약_월별시즈널리티!$F$7:$F$18,MONTH(EDATE($E63,AC$1-1)))/100))),"")</f>
        <v>5025789.0915742507</v>
      </c>
      <c r="AD63" cm="1">
        <f t="array" ref="AD63">IFERROR(IF($E63&lt;44348,"",IF(INDEX(Raw_매출!$B$2:$BI$155,MATCH($A63,Raw_매출!$A$2:$A$155,0),MATCH(EDATE($E63,AD$1-1),Raw_매출!$B$1:$BI$1,0))=0,"",INDEX(Raw_매출!$B$2:$BI$155,MATCH($A63,Raw_매출!$A$2:$A$155,0),MATCH(EDATE($E63,AD$1-1),Raw_매출!$B$1:$BI$1,0))/(INDEX(요약_월별시즈널리티!$F$7:$F$18,MONTH(EDATE($E63,AD$1-1)))/100))),"")</f>
        <v>4412750.7800575215</v>
      </c>
      <c r="AE63" cm="1">
        <f t="array" ref="AE63">IFERROR(IF($E63&lt;44348,"",IF(INDEX(Raw_매출!$B$2:$BI$155,MATCH($A63,Raw_매출!$A$2:$A$155,0),MATCH(EDATE($E63,AE$1-1),Raw_매출!$B$1:$BI$1,0))=0,"",INDEX(Raw_매출!$B$2:$BI$155,MATCH($A63,Raw_매출!$A$2:$A$155,0),MATCH(EDATE($E63,AE$1-1),Raw_매출!$B$1:$BI$1,0))/(INDEX(요약_월별시즈널리티!$F$7:$F$18,MONTH(EDATE($E63,AE$1-1)))/100))),"")</f>
        <v>5300563.5141674485</v>
      </c>
      <c r="AF63" cm="1">
        <f t="array" ref="AF63">IFERROR(IF($E63&lt;44348,"",IF(INDEX(Raw_매출!$B$2:$BI$155,MATCH($A63,Raw_매출!$A$2:$A$155,0),MATCH(EDATE($E63,AF$1-1),Raw_매출!$B$1:$BI$1,0))=0,"",INDEX(Raw_매출!$B$2:$BI$155,MATCH($A63,Raw_매출!$A$2:$A$155,0),MATCH(EDATE($E63,AF$1-1),Raw_매출!$B$1:$BI$1,0))/(INDEX(요약_월별시즈널리티!$F$7:$F$18,MONTH(EDATE($E63,AF$1-1)))/100))),"")</f>
        <v>5357980.575657608</v>
      </c>
      <c r="AG63" cm="1">
        <f t="array" ref="AG63">IFERROR(IF($E63&lt;44348,"",IF(INDEX(Raw_매출!$B$2:$BI$155,MATCH($A63,Raw_매출!$A$2:$A$155,0),MATCH(EDATE($E63,AG$1-1),Raw_매출!$B$1:$BI$1,0))=0,"",INDEX(Raw_매출!$B$2:$BI$155,MATCH($A63,Raw_매출!$A$2:$A$155,0),MATCH(EDATE($E63,AG$1-1),Raw_매출!$B$1:$BI$1,0))/(INDEX(요약_월별시즈널리티!$F$7:$F$18,MONTH(EDATE($E63,AG$1-1)))/100))),"")</f>
        <v>5856071.0257278979</v>
      </c>
      <c r="AH63" cm="1">
        <f t="array" ref="AH63">IFERROR(IF($E63&lt;44348,"",IF(INDEX(Raw_매출!$B$2:$BI$155,MATCH($A63,Raw_매출!$A$2:$A$155,0),MATCH(EDATE($E63,AH$1-1),Raw_매출!$B$1:$BI$1,0))=0,"",INDEX(Raw_매출!$B$2:$BI$155,MATCH($A63,Raw_매출!$A$2:$A$155,0),MATCH(EDATE($E63,AH$1-1),Raw_매출!$B$1:$BI$1,0))/(INDEX(요약_월별시즈널리티!$F$7:$F$18,MONTH(EDATE($E63,AH$1-1)))/100))),"")</f>
        <v>5563380.8309185589</v>
      </c>
      <c r="AI63" cm="1">
        <f t="array" ref="AI63">IFERROR(IF($E63&lt;44348,"",IF(INDEX(Raw_매출!$B$2:$BI$155,MATCH($A63,Raw_매출!$A$2:$A$155,0),MATCH(EDATE($E63,AI$1-1),Raw_매출!$B$1:$BI$1,0))=0,"",INDEX(Raw_매출!$B$2:$BI$155,MATCH($A63,Raw_매출!$A$2:$A$155,0),MATCH(EDATE($E63,AI$1-1),Raw_매출!$B$1:$BI$1,0))/(INDEX(요약_월별시즈널리티!$F$7:$F$18,MONTH(EDATE($E63,AI$1-1)))/100))),"")</f>
        <v>5469808.0180360312</v>
      </c>
      <c r="AJ63" cm="1">
        <f t="array" ref="AJ63">IFERROR(IF($E63&lt;44348,"",IF(INDEX(Raw_매출!$B$2:$BI$155,MATCH($A63,Raw_매출!$A$2:$A$155,0),MATCH(EDATE($E63,AJ$1-1),Raw_매출!$B$1:$BI$1,0))=0,"",INDEX(Raw_매출!$B$2:$BI$155,MATCH($A63,Raw_매출!$A$2:$A$155,0),MATCH(EDATE($E63,AJ$1-1),Raw_매출!$B$1:$BI$1,0))/(INDEX(요약_월별시즈널리티!$F$7:$F$18,MONTH(EDATE($E63,AJ$1-1)))/100))),"")</f>
        <v>5300108.3004610315</v>
      </c>
      <c r="AK63" cm="1">
        <f t="array" ref="AK63">IFERROR(IF($E63&lt;44348,"",IF(INDEX(Raw_매출!$B$2:$BI$155,MATCH($A63,Raw_매출!$A$2:$A$155,0),MATCH(EDATE($E63,AK$1-1),Raw_매출!$B$1:$BI$1,0))=0,"",INDEX(Raw_매출!$B$2:$BI$155,MATCH($A63,Raw_매출!$A$2:$A$155,0),MATCH(EDATE($E63,AK$1-1),Raw_매출!$B$1:$BI$1,0))/(INDEX(요약_월별시즈널리티!$F$7:$F$18,MONTH(EDATE($E63,AK$1-1)))/100))),"")</f>
        <v>5236888.179747981</v>
      </c>
      <c r="AL63" cm="1">
        <f t="array" ref="AL63">IFERROR(IF($E63&lt;44348,"",IF(INDEX(Raw_매출!$B$2:$BI$155,MATCH($A63,Raw_매출!$A$2:$A$155,0),MATCH(EDATE($E63,AL$1-1),Raw_매출!$B$1:$BI$1,0))=0,"",INDEX(Raw_매출!$B$2:$BI$155,MATCH($A63,Raw_매출!$A$2:$A$155,0),MATCH(EDATE($E63,AL$1-1),Raw_매출!$B$1:$BI$1,0))/(INDEX(요약_월별시즈널리티!$F$7:$F$18,MONTH(EDATE($E63,AL$1-1)))/100))),"")</f>
        <v>5307113.4686144348</v>
      </c>
      <c r="AM63" cm="1">
        <f t="array" ref="AM63">IFERROR(IF($E63&lt;44348,"",IF(INDEX(Raw_매출!$B$2:$BI$155,MATCH($A63,Raw_매출!$A$2:$A$155,0),MATCH(EDATE($E63,AM$1-1),Raw_매출!$B$1:$BI$1,0))=0,"",INDEX(Raw_매출!$B$2:$BI$155,MATCH($A63,Raw_매출!$A$2:$A$155,0),MATCH(EDATE($E63,AM$1-1),Raw_매출!$B$1:$BI$1,0))/(INDEX(요약_월별시즈널리티!$F$7:$F$18,MONTH(EDATE($E63,AM$1-1)))/100))),"")</f>
        <v>5597512.040314964</v>
      </c>
      <c r="AN63" cm="1">
        <f t="array" ref="AN63">IFERROR(IF($E63&lt;44348,"",IF(INDEX(Raw_매출!$B$2:$BI$155,MATCH($A63,Raw_매출!$A$2:$A$155,0),MATCH(EDATE($E63,AN$1-1),Raw_매출!$B$1:$BI$1,0))=0,"",INDEX(Raw_매출!$B$2:$BI$155,MATCH($A63,Raw_매출!$A$2:$A$155,0),MATCH(EDATE($E63,AN$1-1),Raw_매출!$B$1:$BI$1,0))/(INDEX(요약_월별시즈널리티!$F$7:$F$18,MONTH(EDATE($E63,AN$1-1)))/100))),"")</f>
        <v>5426613.9346476384</v>
      </c>
      <c r="AO63" cm="1">
        <f t="array" ref="AO63">IFERROR(IF($E63&lt;44348,"",IF(INDEX(Raw_매출!$B$2:$BI$155,MATCH($A63,Raw_매출!$A$2:$A$155,0),MATCH(EDATE($E63,AO$1-1),Raw_매출!$B$1:$BI$1,0))=0,"",INDEX(Raw_매출!$B$2:$BI$155,MATCH($A63,Raw_매출!$A$2:$A$155,0),MATCH(EDATE($E63,AO$1-1),Raw_매출!$B$1:$BI$1,0))/(INDEX(요약_월별시즈널리티!$F$7:$F$18,MONTH(EDATE($E63,AO$1-1)))/100))),"")</f>
        <v>5640379.5759741347</v>
      </c>
      <c r="AP63" cm="1">
        <f t="array" ref="AP63">IFERROR(IF($E63&lt;44348,"",IF(INDEX(Raw_매출!$B$2:$BI$155,MATCH($A63,Raw_매출!$A$2:$A$155,0),MATCH(EDATE($E63,AP$1-1),Raw_매출!$B$1:$BI$1,0))=0,"",INDEX(Raw_매출!$B$2:$BI$155,MATCH($A63,Raw_매출!$A$2:$A$155,0),MATCH(EDATE($E63,AP$1-1),Raw_매출!$B$1:$BI$1,0))/(INDEX(요약_월별시즈널리티!$F$7:$F$18,MONTH(EDATE($E63,AP$1-1)))/100))),"")</f>
        <v>6171786.7930414975</v>
      </c>
      <c r="AQ63" cm="1">
        <f t="array" ref="AQ63">IFERROR(IF($E63&lt;44348,"",IF(INDEX(Raw_매출!$B$2:$BI$155,MATCH($A63,Raw_매출!$A$2:$A$155,0),MATCH(EDATE($E63,AQ$1-1),Raw_매출!$B$1:$BI$1,0))=0,"",INDEX(Raw_매출!$B$2:$BI$155,MATCH($A63,Raw_매출!$A$2:$A$155,0),MATCH(EDATE($E63,AQ$1-1),Raw_매출!$B$1:$BI$1,0))/(INDEX(요약_월별시즈널리티!$F$7:$F$18,MONTH(EDATE($E63,AQ$1-1)))/100))),"")</f>
        <v>5717612.3182648122</v>
      </c>
      <c r="AR63" cm="1">
        <f t="array" ref="AR63">IFERROR(IF($E63&lt;44348,"",IF(INDEX(Raw_매출!$B$2:$BI$155,MATCH($A63,Raw_매출!$A$2:$A$155,0),MATCH(EDATE($E63,AR$1-1),Raw_매출!$B$1:$BI$1,0))=0,"",INDEX(Raw_매출!$B$2:$BI$155,MATCH($A63,Raw_매출!$A$2:$A$155,0),MATCH(EDATE($E63,AR$1-1),Raw_매출!$B$1:$BI$1,0))/(INDEX(요약_월별시즈널리티!$F$7:$F$18,MONTH(EDATE($E63,AR$1-1)))/100))),"")</f>
        <v>5800777.2906205161</v>
      </c>
      <c r="AS63" cm="1">
        <f t="array" ref="AS63">IFERROR(IF($E63&lt;44348,"",IF(INDEX(Raw_매출!$B$2:$BI$155,MATCH($A63,Raw_매출!$A$2:$A$155,0),MATCH(EDATE($E63,AS$1-1),Raw_매출!$B$1:$BI$1,0))=0,"",INDEX(Raw_매출!$B$2:$BI$155,MATCH($A63,Raw_매출!$A$2:$A$155,0),MATCH(EDATE($E63,AS$1-1),Raw_매출!$B$1:$BI$1,0))/(INDEX(요약_월별시즈널리티!$F$7:$F$18,MONTH(EDATE($E63,AS$1-1)))/100))),"")</f>
        <v>6252916.8383721923</v>
      </c>
      <c r="AT63" cm="1">
        <f t="array" ref="AT63">IFERROR(IF($E63&lt;44348,"",IF(INDEX(Raw_매출!$B$2:$BI$155,MATCH($A63,Raw_매출!$A$2:$A$155,0),MATCH(EDATE($E63,AT$1-1),Raw_매출!$B$1:$BI$1,0))=0,"",INDEX(Raw_매출!$B$2:$BI$155,MATCH($A63,Raw_매출!$A$2:$A$155,0),MATCH(EDATE($E63,AT$1-1),Raw_매출!$B$1:$BI$1,0))/(INDEX(요약_월별시즈널리티!$F$7:$F$18,MONTH(EDATE($E63,AT$1-1)))/100))),"")</f>
        <v>6408402.5288066529</v>
      </c>
      <c r="AU63" cm="1">
        <f t="array" ref="AU63">IFERROR(IF($E63&lt;44348,"",IF(INDEX(Raw_매출!$B$2:$BI$155,MATCH($A63,Raw_매출!$A$2:$A$155,0),MATCH(EDATE($E63,AU$1-1),Raw_매출!$B$1:$BI$1,0))=0,"",INDEX(Raw_매출!$B$2:$BI$155,MATCH($A63,Raw_매출!$A$2:$A$155,0),MATCH(EDATE($E63,AU$1-1),Raw_매출!$B$1:$BI$1,0))/(INDEX(요약_월별시즈널리티!$F$7:$F$18,MONTH(EDATE($E63,AU$1-1)))/100))),"")</f>
        <v>6285221.1585396621</v>
      </c>
      <c r="AV63" cm="1">
        <f t="array" ref="AV63">IFERROR(IF($E63&lt;44348,"",IF(INDEX(Raw_매출!$B$2:$BI$155,MATCH($A63,Raw_매출!$A$2:$A$155,0),MATCH(EDATE($E63,AV$1-1),Raw_매출!$B$1:$BI$1,0))=0,"",INDEX(Raw_매출!$B$2:$BI$155,MATCH($A63,Raw_매출!$A$2:$A$155,0),MATCH(EDATE($E63,AV$1-1),Raw_매출!$B$1:$BI$1,0))/(INDEX(요약_월별시즈널리티!$F$7:$F$18,MONTH(EDATE($E63,AV$1-1)))/100))),"")</f>
        <v>6389072.9912559073</v>
      </c>
      <c r="AW63" cm="1">
        <f t="array" ref="AW63">IFERROR(IF($E63&lt;44348,"",IF(INDEX(Raw_매출!$B$2:$BI$155,MATCH($A63,Raw_매출!$A$2:$A$155,0),MATCH(EDATE($E63,AW$1-1),Raw_매출!$B$1:$BI$1,0))=0,"",INDEX(Raw_매출!$B$2:$BI$155,MATCH($A63,Raw_매출!$A$2:$A$155,0),MATCH(EDATE($E63,AW$1-1),Raw_매출!$B$1:$BI$1,0))/(INDEX(요약_월별시즈널리티!$F$7:$F$18,MONTH(EDATE($E63,AW$1-1)))/100))),"")</f>
        <v>7032802.1518820357</v>
      </c>
      <c r="AX63" t="str" cm="1">
        <f t="array" ref="AX63">IFERROR(IF($E63&lt;44348,"",IF(INDEX(Raw_매출!$B$2:$BI$155,MATCH($A63,Raw_매출!$A$2:$A$155,0),MATCH(EDATE($E63,AX$1-1),Raw_매출!$B$1:$BI$1,0))=0,"",INDEX(Raw_매출!$B$2:$BI$155,MATCH($A63,Raw_매출!$A$2:$A$155,0),MATCH(EDATE($E63,AX$1-1),Raw_매출!$B$1:$BI$1,0))/(INDEX(요약_월별시즈널리티!$F$7:$F$18,MONTH(EDATE($E63,AX$1-1)))/100))),"")</f>
        <v/>
      </c>
      <c r="AY63" t="str" cm="1">
        <f t="array" ref="AY63">IFERROR(IF($E63&lt;44348,"",IF(INDEX(Raw_매출!$B$2:$BI$155,MATCH($A63,Raw_매출!$A$2:$A$155,0),MATCH(EDATE($E63,AY$1-1),Raw_매출!$B$1:$BI$1,0))=0,"",INDEX(Raw_매출!$B$2:$BI$155,MATCH($A63,Raw_매출!$A$2:$A$155,0),MATCH(EDATE($E63,AY$1-1),Raw_매출!$B$1:$BI$1,0))/(INDEX(요약_월별시즈널리티!$F$7:$F$18,MONTH(EDATE($E63,AY$1-1)))/100))),"")</f>
        <v/>
      </c>
      <c r="AZ63" t="str" cm="1">
        <f t="array" ref="AZ63">IFERROR(IF($E63&lt;44348,"",IF(INDEX(Raw_매출!$B$2:$BI$155,MATCH($A63,Raw_매출!$A$2:$A$155,0),MATCH(EDATE($E63,AZ$1-1),Raw_매출!$B$1:$BI$1,0))=0,"",INDEX(Raw_매출!$B$2:$BI$155,MATCH($A63,Raw_매출!$A$2:$A$155,0),MATCH(EDATE($E63,AZ$1-1),Raw_매출!$B$1:$BI$1,0))/(INDEX(요약_월별시즈널리티!$F$7:$F$18,MONTH(EDATE($E63,AZ$1-1)))/100))),"")</f>
        <v/>
      </c>
      <c r="BA63" t="str" cm="1">
        <f t="array" ref="BA63">IFERROR(IF($E63&lt;44348,"",IF(INDEX(Raw_매출!$B$2:$BI$155,MATCH($A63,Raw_매출!$A$2:$A$155,0),MATCH(EDATE($E63,BA$1-1),Raw_매출!$B$1:$BI$1,0))=0,"",INDEX(Raw_매출!$B$2:$BI$155,MATCH($A63,Raw_매출!$A$2:$A$155,0),MATCH(EDATE($E63,BA$1-1),Raw_매출!$B$1:$BI$1,0))/(INDEX(요약_월별시즈널리티!$F$7:$F$18,MONTH(EDATE($E63,BA$1-1)))/100))),"")</f>
        <v/>
      </c>
      <c r="BB63" t="str" cm="1">
        <f t="array" ref="BB63">IFERROR(IF($E63&lt;44348,"",IF(INDEX(Raw_매출!$B$2:$BI$155,MATCH($A63,Raw_매출!$A$2:$A$155,0),MATCH(EDATE($E63,BB$1-1),Raw_매출!$B$1:$BI$1,0))=0,"",INDEX(Raw_매출!$B$2:$BI$155,MATCH($A63,Raw_매출!$A$2:$A$155,0),MATCH(EDATE($E63,BB$1-1),Raw_매출!$B$1:$BI$1,0))/(INDEX(요약_월별시즈널리티!$F$7:$F$18,MONTH(EDATE($E63,BB$1-1)))/100))),"")</f>
        <v/>
      </c>
      <c r="BC63" t="str" cm="1">
        <f t="array" ref="BC63">IFERROR(IF($E63&lt;44348,"",IF(INDEX(Raw_매출!$B$2:$BI$155,MATCH($A63,Raw_매출!$A$2:$A$155,0),MATCH(EDATE($E63,BC$1-1),Raw_매출!$B$1:$BI$1,0))=0,"",INDEX(Raw_매출!$B$2:$BI$155,MATCH($A63,Raw_매출!$A$2:$A$155,0),MATCH(EDATE($E63,BC$1-1),Raw_매출!$B$1:$BI$1,0))/(INDEX(요약_월별시즈널리티!$F$7:$F$18,MONTH(EDATE($E63,BC$1-1)))/100))),"")</f>
        <v/>
      </c>
      <c r="BD63" t="str" cm="1">
        <f t="array" ref="BD63">IFERROR(IF($E63&lt;44348,"",IF(INDEX(Raw_매출!$B$2:$BI$155,MATCH($A63,Raw_매출!$A$2:$A$155,0),MATCH(EDATE($E63,BD$1-1),Raw_매출!$B$1:$BI$1,0))=0,"",INDEX(Raw_매출!$B$2:$BI$155,MATCH($A63,Raw_매출!$A$2:$A$155,0),MATCH(EDATE($E63,BD$1-1),Raw_매출!$B$1:$BI$1,0))/(INDEX(요약_월별시즈널리티!$F$7:$F$18,MONTH(EDATE($E63,BD$1-1)))/100))),"")</f>
        <v/>
      </c>
      <c r="BE63" t="str" cm="1">
        <f t="array" ref="BE63">IFERROR(IF($E63&lt;44348,"",IF(INDEX(Raw_매출!$B$2:$BI$155,MATCH($A63,Raw_매출!$A$2:$A$155,0),MATCH(EDATE($E63,BE$1-1),Raw_매출!$B$1:$BI$1,0))=0,"",INDEX(Raw_매출!$B$2:$BI$155,MATCH($A63,Raw_매출!$A$2:$A$155,0),MATCH(EDATE($E63,BE$1-1),Raw_매출!$B$1:$BI$1,0))/(INDEX(요약_월별시즈널리티!$F$7:$F$18,MONTH(EDATE($E63,BE$1-1)))/100))),"")</f>
        <v/>
      </c>
      <c r="BF63" t="str" cm="1">
        <f t="array" ref="BF63">IFERROR(IF($E63&lt;44348,"",IF(INDEX(Raw_매출!$B$2:$BI$155,MATCH($A63,Raw_매출!$A$2:$A$155,0),MATCH(EDATE($E63,BF$1-1),Raw_매출!$B$1:$BI$1,0))=0,"",INDEX(Raw_매출!$B$2:$BI$155,MATCH($A63,Raw_매출!$A$2:$A$155,0),MATCH(EDATE($E63,BF$1-1),Raw_매출!$B$1:$BI$1,0))/(INDEX(요약_월별시즈널리티!$F$7:$F$18,MONTH(EDATE($E63,BF$1-1)))/100))),"")</f>
        <v/>
      </c>
      <c r="BG63" t="str" cm="1">
        <f t="array" ref="BG63">IFERROR(IF($E63&lt;44348,"",IF(INDEX(Raw_매출!$B$2:$BI$155,MATCH($A63,Raw_매출!$A$2:$A$155,0),MATCH(EDATE($E63,BG$1-1),Raw_매출!$B$1:$BI$1,0))=0,"",INDEX(Raw_매출!$B$2:$BI$155,MATCH($A63,Raw_매출!$A$2:$A$155,0),MATCH(EDATE($E63,BG$1-1),Raw_매출!$B$1:$BI$1,0))/(INDEX(요약_월별시즈널리티!$F$7:$F$18,MONTH(EDATE($E63,BG$1-1)))/100))),"")</f>
        <v/>
      </c>
      <c r="BH63" t="str" cm="1">
        <f t="array" ref="BH63">IFERROR(IF($E63&lt;44348,"",IF(INDEX(Raw_매출!$B$2:$BI$155,MATCH($A63,Raw_매출!$A$2:$A$155,0),MATCH(EDATE($E63,BH$1-1),Raw_매출!$B$1:$BI$1,0))=0,"",INDEX(Raw_매출!$B$2:$BI$155,MATCH($A63,Raw_매출!$A$2:$A$155,0),MATCH(EDATE($E63,BH$1-1),Raw_매출!$B$1:$BI$1,0))/(INDEX(요약_월별시즈널리티!$F$7:$F$18,MONTH(EDATE($E63,BH$1-1)))/100))),"")</f>
        <v/>
      </c>
      <c r="BI63" t="str" cm="1">
        <f t="array" ref="BI63">IFERROR(IF($E63&lt;44348,"",IF(INDEX(Raw_매출!$B$2:$BI$155,MATCH($A63,Raw_매출!$A$2:$A$155,0),MATCH(EDATE($E63,BI$1-1),Raw_매출!$B$1:$BI$1,0))=0,"",INDEX(Raw_매출!$B$2:$BI$155,MATCH($A63,Raw_매출!$A$2:$A$155,0),MATCH(EDATE($E63,BI$1-1),Raw_매출!$B$1:$BI$1,0))/(INDEX(요약_월별시즈널리티!$F$7:$F$18,MONTH(EDATE($E63,BI$1-1)))/100))),"")</f>
        <v/>
      </c>
      <c r="BJ63" t="str" cm="1">
        <f t="array" ref="BJ63">IFERROR(IF($E63&lt;44348,"",IF(INDEX(Raw_매출!$B$2:$BI$155,MATCH($A63,Raw_매출!$A$2:$A$155,0),MATCH(EDATE($E63,BJ$1-1),Raw_매출!$B$1:$BI$1,0))=0,"",INDEX(Raw_매출!$B$2:$BI$155,MATCH($A63,Raw_매출!$A$2:$A$155,0),MATCH(EDATE($E63,BJ$1-1),Raw_매출!$B$1:$BI$1,0))/(INDEX(요약_월별시즈널리티!$F$7:$F$18,MONTH(EDATE($E63,BJ$1-1)))/100))),"")</f>
        <v/>
      </c>
      <c r="BK63" t="str" cm="1">
        <f t="array" ref="BK63">IFERROR(IF($E63&lt;44348,"",IF(INDEX(Raw_매출!$B$2:$BI$155,MATCH($A63,Raw_매출!$A$2:$A$155,0),MATCH(EDATE($E63,BK$1-1),Raw_매출!$B$1:$BI$1,0))=0,"",INDEX(Raw_매출!$B$2:$BI$155,MATCH($A63,Raw_매출!$A$2:$A$155,0),MATCH(EDATE($E63,BK$1-1),Raw_매출!$B$1:$BI$1,0))/(INDEX(요약_월별시즈널리티!$F$7:$F$18,MONTH(EDATE($E63,BK$1-1)))/100))),"")</f>
        <v/>
      </c>
      <c r="BL63" t="str" cm="1">
        <f t="array" ref="BL63">IFERROR(IF($E63&lt;44348,"",IF(INDEX(Raw_매출!$B$2:$BI$155,MATCH($A63,Raw_매출!$A$2:$A$155,0),MATCH(EDATE($E63,BL$1-1),Raw_매출!$B$1:$BI$1,0))=0,"",INDEX(Raw_매출!$B$2:$BI$155,MATCH($A63,Raw_매출!$A$2:$A$155,0),MATCH(EDATE($E63,BL$1-1),Raw_매출!$B$1:$BI$1,0))/(INDEX(요약_월별시즈널리티!$F$7:$F$18,MONTH(EDATE($E63,BL$1-1)))/100))),"")</f>
        <v/>
      </c>
      <c r="BM63" t="str" cm="1">
        <f t="array" ref="BM63">IFERROR(IF($E63&lt;44348,"",IF(INDEX(Raw_매출!$B$2:$BI$155,MATCH($A63,Raw_매출!$A$2:$A$155,0),MATCH(EDATE($E63,BM$1-1),Raw_매출!$B$1:$BI$1,0))=0,"",INDEX(Raw_매출!$B$2:$BI$155,MATCH($A63,Raw_매출!$A$2:$A$155,0),MATCH(EDATE($E63,BM$1-1),Raw_매출!$B$1:$BI$1,0))/(INDEX(요약_월별시즈널리티!$F$7:$F$18,MONTH(EDATE($E63,BM$1-1)))/100))),"")</f>
        <v/>
      </c>
      <c r="BN63" t="str" cm="1">
        <f t="array" ref="BN63">IFERROR(IF($E63&lt;44348,"",IF(INDEX(Raw_매출!$B$2:$BI$155,MATCH($A63,Raw_매출!$A$2:$A$155,0),MATCH(EDATE($E63,BN$1-1),Raw_매출!$B$1:$BI$1,0))=0,"",INDEX(Raw_매출!$B$2:$BI$155,MATCH($A63,Raw_매출!$A$2:$A$155,0),MATCH(EDATE($E63,BN$1-1),Raw_매출!$B$1:$BI$1,0))/(INDEX(요약_월별시즈널리티!$F$7:$F$18,MONTH(EDATE($E63,BN$1-1)))/100))),"")</f>
        <v/>
      </c>
    </row>
    <row r="64" spans="1:66" x14ac:dyDescent="0.4">
      <c r="A64" t="str">
        <f>세팅!A65</f>
        <v>(1053) #인하용현점</v>
      </c>
      <c r="B64" t="str">
        <f>세팅!B65</f>
        <v>150-2</v>
      </c>
      <c r="C64">
        <f t="shared" si="0"/>
        <v>2</v>
      </c>
      <c r="D64" t="str">
        <f t="shared" si="1"/>
        <v>2</v>
      </c>
      <c r="E64" s="1">
        <f>세팅!D65</f>
        <v>44866</v>
      </c>
      <c r="F64">
        <f t="shared" si="2"/>
        <v>5637808.7396217017</v>
      </c>
      <c r="G64" cm="1">
        <f t="array" ref="G64">IFERROR(IF($E64&lt;44348,"",IF(INDEX(Raw_매출!$B$2:$BI$155,MATCH($A64,Raw_매출!$A$2:$A$155,0),MATCH(EDATE($E64,G$1-1),Raw_매출!$B$1:$BI$1,0))=0,"",INDEX(Raw_매출!$B$2:$BI$155,MATCH($A64,Raw_매출!$A$2:$A$155,0),MATCH(EDATE($E64,G$1-1),Raw_매출!$B$1:$BI$1,0))/(INDEX(요약_월별시즈널리티!$F$7:$F$18,MONTH(EDATE($E64,G$1-1)))/100))),"")</f>
        <v>3571962.4956368534</v>
      </c>
      <c r="H64" cm="1">
        <f t="array" ref="H64">IFERROR(IF($E64&lt;44348,"",IF(INDEX(Raw_매출!$B$2:$BI$155,MATCH($A64,Raw_매출!$A$2:$A$155,0),MATCH(EDATE($E64,H$1-1),Raw_매출!$B$1:$BI$1,0))=0,"",INDEX(Raw_매출!$B$2:$BI$155,MATCH($A64,Raw_매출!$A$2:$A$155,0),MATCH(EDATE($E64,H$1-1),Raw_매출!$B$1:$BI$1,0))/(INDEX(요약_월별시즈널리티!$F$7:$F$18,MONTH(EDATE($E64,H$1-1)))/100))),"")</f>
        <v>4399457.0606272034</v>
      </c>
      <c r="I64" cm="1">
        <f t="array" ref="I64">IFERROR(IF($E64&lt;44348,"",IF(INDEX(Raw_매출!$B$2:$BI$155,MATCH($A64,Raw_매출!$A$2:$A$155,0),MATCH(EDATE($E64,I$1-1),Raw_매출!$B$1:$BI$1,0))=0,"",INDEX(Raw_매출!$B$2:$BI$155,MATCH($A64,Raw_매출!$A$2:$A$155,0),MATCH(EDATE($E64,I$1-1),Raw_매출!$B$1:$BI$1,0))/(INDEX(요약_월별시즈널리티!$F$7:$F$18,MONTH(EDATE($E64,I$1-1)))/100))),"")</f>
        <v>4249133.8499879027</v>
      </c>
      <c r="J64" s="30" cm="1">
        <f t="array" ref="J64">IFERROR(IF($E64&lt;44348,"",IF(INDEX(Raw_매출!$B$2:$BI$155,MATCH($A64,Raw_매출!$A$2:$A$155,0),MATCH(EDATE($E64,J$1-1),Raw_매출!$B$1:$BI$1,0))=0,"",INDEX(Raw_매출!$B$2:$BI$155,MATCH($A64,Raw_매출!$A$2:$A$155,0),MATCH(EDATE($E64,J$1-1),Raw_매출!$B$1:$BI$1,0))/(INDEX(요약_월별시즈널리티!$F$7:$F$18,MONTH(EDATE($E64,J$1-1)))/100))),"")</f>
        <v>4940811.3174516903</v>
      </c>
      <c r="K64" s="30" cm="1">
        <f t="array" ref="K64">IFERROR(IF($E64&lt;44348,"",IF(INDEX(Raw_매출!$B$2:$BI$155,MATCH($A64,Raw_매출!$A$2:$A$155,0),MATCH(EDATE($E64,K$1-1),Raw_매출!$B$1:$BI$1,0))=0,"",INDEX(Raw_매출!$B$2:$BI$155,MATCH($A64,Raw_매출!$A$2:$A$155,0),MATCH(EDATE($E64,K$1-1),Raw_매출!$B$1:$BI$1,0))/(INDEX(요약_월별시즈널리티!$F$7:$F$18,MONTH(EDATE($E64,K$1-1)))/100))),"")</f>
        <v>5138950.0327114677</v>
      </c>
      <c r="L64" s="30" cm="1">
        <f t="array" ref="L64">IFERROR(IF($E64&lt;44348,"",IF(INDEX(Raw_매출!$B$2:$BI$155,MATCH($A64,Raw_매출!$A$2:$A$155,0),MATCH(EDATE($E64,L$1-1),Raw_매출!$B$1:$BI$1,0))=0,"",INDEX(Raw_매출!$B$2:$BI$155,MATCH($A64,Raw_매출!$A$2:$A$155,0),MATCH(EDATE($E64,L$1-1),Raw_매출!$B$1:$BI$1,0))/(INDEX(요약_월별시즈널리티!$F$7:$F$18,MONTH(EDATE($E64,L$1-1)))/100))),"")</f>
        <v>5952440.4818907073</v>
      </c>
      <c r="M64" s="30" cm="1">
        <f t="array" ref="M64">IFERROR(IF($E64&lt;44348,"",IF(INDEX(Raw_매출!$B$2:$BI$155,MATCH($A64,Raw_매출!$A$2:$A$155,0),MATCH(EDATE($E64,M$1-1),Raw_매출!$B$1:$BI$1,0))=0,"",INDEX(Raw_매출!$B$2:$BI$155,MATCH($A64,Raw_매출!$A$2:$A$155,0),MATCH(EDATE($E64,M$1-1),Raw_매출!$B$1:$BI$1,0))/(INDEX(요약_월별시즈널리티!$F$7:$F$18,MONTH(EDATE($E64,M$1-1)))/100))),"")</f>
        <v>5787962.2419577986</v>
      </c>
      <c r="N64" s="30" cm="1">
        <f t="array" ref="N64">IFERROR(IF($E64&lt;44348,"",IF(INDEX(Raw_매출!$B$2:$BI$155,MATCH($A64,Raw_매출!$A$2:$A$155,0),MATCH(EDATE($E64,N$1-1),Raw_매출!$B$1:$BI$1,0))=0,"",INDEX(Raw_매출!$B$2:$BI$155,MATCH($A64,Raw_매출!$A$2:$A$155,0),MATCH(EDATE($E64,N$1-1),Raw_매출!$B$1:$BI$1,0))/(INDEX(요약_월별시즈널리티!$F$7:$F$18,MONTH(EDATE($E64,N$1-1)))/100))),"")</f>
        <v>5831121.4823627593</v>
      </c>
      <c r="O64" s="30" cm="1">
        <f t="array" ref="O64">IFERROR(IF($E64&lt;44348,"",IF(INDEX(Raw_매출!$B$2:$BI$155,MATCH($A64,Raw_매출!$A$2:$A$155,0),MATCH(EDATE($E64,O$1-1),Raw_매출!$B$1:$BI$1,0))=0,"",INDEX(Raw_매출!$B$2:$BI$155,MATCH($A64,Raw_매출!$A$2:$A$155,0),MATCH(EDATE($E64,O$1-1),Raw_매출!$B$1:$BI$1,0))/(INDEX(요약_월별시즈널리티!$F$7:$F$18,MONTH(EDATE($E64,O$1-1)))/100))),"")</f>
        <v>6175566.8813557839</v>
      </c>
      <c r="P64" cm="1">
        <f t="array" ref="P64">IFERROR(IF($E64&lt;44348,"",IF(INDEX(Raw_매출!$B$2:$BI$155,MATCH($A64,Raw_매출!$A$2:$A$155,0),MATCH(EDATE($E64,P$1-1),Raw_매출!$B$1:$BI$1,0))=0,"",INDEX(Raw_매출!$B$2:$BI$155,MATCH($A64,Raw_매출!$A$2:$A$155,0),MATCH(EDATE($E64,P$1-1),Raw_매출!$B$1:$BI$1,0))/(INDEX(요약_월별시즈널리티!$F$7:$F$18,MONTH(EDATE($E64,P$1-1)))/100))),"")</f>
        <v>5541562.9765672721</v>
      </c>
      <c r="Q64" cm="1">
        <f t="array" ref="Q64">IFERROR(IF($E64&lt;44348,"",IF(INDEX(Raw_매출!$B$2:$BI$155,MATCH($A64,Raw_매출!$A$2:$A$155,0),MATCH(EDATE($E64,Q$1-1),Raw_매출!$B$1:$BI$1,0))=0,"",INDEX(Raw_매출!$B$2:$BI$155,MATCH($A64,Raw_매출!$A$2:$A$155,0),MATCH(EDATE($E64,Q$1-1),Raw_매출!$B$1:$BI$1,0))/(INDEX(요약_월별시즈널리티!$F$7:$F$18,MONTH(EDATE($E64,Q$1-1)))/100))),"")</f>
        <v>5724725.3408357101</v>
      </c>
      <c r="R64" cm="1">
        <f t="array" ref="R64">IFERROR(IF($E64&lt;44348,"",IF(INDEX(Raw_매출!$B$2:$BI$155,MATCH($A64,Raw_매출!$A$2:$A$155,0),MATCH(EDATE($E64,R$1-1),Raw_매출!$B$1:$BI$1,0))=0,"",INDEX(Raw_매출!$B$2:$BI$155,MATCH($A64,Raw_매출!$A$2:$A$155,0),MATCH(EDATE($E64,R$1-1),Raw_매출!$B$1:$BI$1,0))/(INDEX(요약_월별시즈널리티!$F$7:$F$18,MONTH(EDATE($E64,R$1-1)))/100))),"")</f>
        <v>5914984.0584142599</v>
      </c>
      <c r="S64" cm="1">
        <f t="array" ref="S64">IFERROR(IF($E64&lt;44348,"",IF(INDEX(Raw_매출!$B$2:$BI$155,MATCH($A64,Raw_매출!$A$2:$A$155,0),MATCH(EDATE($E64,S$1-1),Raw_매출!$B$1:$BI$1,0))=0,"",INDEX(Raw_매출!$B$2:$BI$155,MATCH($A64,Raw_매출!$A$2:$A$155,0),MATCH(EDATE($E64,S$1-1),Raw_매출!$B$1:$BI$1,0))/(INDEX(요약_월별시즈널리티!$F$7:$F$18,MONTH(EDATE($E64,S$1-1)))/100))),"")</f>
        <v>6460798.6659624977</v>
      </c>
      <c r="T64" cm="1">
        <f t="array" ref="T64">IFERROR(IF($E64&lt;44348,"",IF(INDEX(Raw_매출!$B$2:$BI$155,MATCH($A64,Raw_매출!$A$2:$A$155,0),MATCH(EDATE($E64,T$1-1),Raw_매출!$B$1:$BI$1,0))=0,"",INDEX(Raw_매출!$B$2:$BI$155,MATCH($A64,Raw_매출!$A$2:$A$155,0),MATCH(EDATE($E64,T$1-1),Raw_매출!$B$1:$BI$1,0))/(INDEX(요약_월별시즈널리티!$F$7:$F$18,MONTH(EDATE($E64,T$1-1)))/100))),"")</f>
        <v>6717290.5217550844</v>
      </c>
      <c r="U64" cm="1">
        <f t="array" ref="U64">IFERROR(IF($E64&lt;44348,"",IF(INDEX(Raw_매출!$B$2:$BI$155,MATCH($A64,Raw_매출!$A$2:$A$155,0),MATCH(EDATE($E64,U$1-1),Raw_매출!$B$1:$BI$1,0))=0,"",INDEX(Raw_매출!$B$2:$BI$155,MATCH($A64,Raw_매출!$A$2:$A$155,0),MATCH(EDATE($E64,U$1-1),Raw_매출!$B$1:$BI$1,0))/(INDEX(요약_월별시즈널리티!$F$7:$F$18,MONTH(EDATE($E64,U$1-1)))/100))),"")</f>
        <v>6733800.5878117485</v>
      </c>
      <c r="V64" cm="1">
        <f t="array" ref="V64">IFERROR(IF($E64&lt;44348,"",IF(INDEX(Raw_매출!$B$2:$BI$155,MATCH($A64,Raw_매출!$A$2:$A$155,0),MATCH(EDATE($E64,V$1-1),Raw_매출!$B$1:$BI$1,0))=0,"",INDEX(Raw_매출!$B$2:$BI$155,MATCH($A64,Raw_매출!$A$2:$A$155,0),MATCH(EDATE($E64,V$1-1),Raw_매출!$B$1:$BI$1,0))/(INDEX(요약_월별시즈널리티!$F$7:$F$18,MONTH(EDATE($E64,V$1-1)))/100))),"")</f>
        <v>6633583.4600234451</v>
      </c>
      <c r="W64" cm="1">
        <f t="array" ref="W64">IFERROR(IF($E64&lt;44348,"",IF(INDEX(Raw_매출!$B$2:$BI$155,MATCH($A64,Raw_매출!$A$2:$A$155,0),MATCH(EDATE($E64,W$1-1),Raw_매출!$B$1:$BI$1,0))=0,"",INDEX(Raw_매출!$B$2:$BI$155,MATCH($A64,Raw_매출!$A$2:$A$155,0),MATCH(EDATE($E64,W$1-1),Raw_매출!$B$1:$BI$1,0))/(INDEX(요약_월별시즈널리티!$F$7:$F$18,MONTH(EDATE($E64,W$1-1)))/100))),"")</f>
        <v>6764630.7773995297</v>
      </c>
      <c r="X64" cm="1">
        <f t="array" ref="X64">IFERROR(IF($E64&lt;44348,"",IF(INDEX(Raw_매출!$B$2:$BI$155,MATCH($A64,Raw_매출!$A$2:$A$155,0),MATCH(EDATE($E64,X$1-1),Raw_매출!$B$1:$BI$1,0))=0,"",INDEX(Raw_매출!$B$2:$BI$155,MATCH($A64,Raw_매출!$A$2:$A$155,0),MATCH(EDATE($E64,X$1-1),Raw_매출!$B$1:$BI$1,0))/(INDEX(요약_월별시즈널리티!$F$7:$F$18,MONTH(EDATE($E64,X$1-1)))/100))),"")</f>
        <v>6366948.6194155207</v>
      </c>
      <c r="Y64" cm="1">
        <f t="array" ref="Y64">IFERROR(IF($E64&lt;44348,"",IF(INDEX(Raw_매출!$B$2:$BI$155,MATCH($A64,Raw_매출!$A$2:$A$155,0),MATCH(EDATE($E64,Y$1-1),Raw_매출!$B$1:$BI$1,0))=0,"",INDEX(Raw_매출!$B$2:$BI$155,MATCH($A64,Raw_매출!$A$2:$A$155,0),MATCH(EDATE($E64,Y$1-1),Raw_매출!$B$1:$BI$1,0))/(INDEX(요약_월별시즈널리티!$F$7:$F$18,MONTH(EDATE($E64,Y$1-1)))/100))),"")</f>
        <v>6642974.0780808078</v>
      </c>
      <c r="Z64" cm="1">
        <f t="array" ref="Z64">IFERROR(IF($E64&lt;44348,"",IF(INDEX(Raw_매출!$B$2:$BI$155,MATCH($A64,Raw_매출!$A$2:$A$155,0),MATCH(EDATE($E64,Z$1-1),Raw_매출!$B$1:$BI$1,0))=0,"",INDEX(Raw_매출!$B$2:$BI$155,MATCH($A64,Raw_매출!$A$2:$A$155,0),MATCH(EDATE($E64,Z$1-1),Raw_매출!$B$1:$BI$1,0))/(INDEX(요약_월별시즈널리티!$F$7:$F$18,MONTH(EDATE($E64,Z$1-1)))/100))),"")</f>
        <v>6051971.4992971625</v>
      </c>
      <c r="AA64" cm="1">
        <f t="array" ref="AA64">IFERROR(IF($E64&lt;44348,"",IF(INDEX(Raw_매출!$B$2:$BI$155,MATCH($A64,Raw_매출!$A$2:$A$155,0),MATCH(EDATE($E64,AA$1-1),Raw_매출!$B$1:$BI$1,0))=0,"",INDEX(Raw_매출!$B$2:$BI$155,MATCH($A64,Raw_매출!$A$2:$A$155,0),MATCH(EDATE($E64,AA$1-1),Raw_매출!$B$1:$BI$1,0))/(INDEX(요약_월별시즈널리티!$F$7:$F$18,MONTH(EDATE($E64,AA$1-1)))/100))),"")</f>
        <v>6387357.9212810034</v>
      </c>
      <c r="AB64" cm="1">
        <f t="array" ref="AB64">IFERROR(IF($E64&lt;44348,"",IF(INDEX(Raw_매출!$B$2:$BI$155,MATCH($A64,Raw_매출!$A$2:$A$155,0),MATCH(EDATE($E64,AB$1-1),Raw_매출!$B$1:$BI$1,0))=0,"",INDEX(Raw_매출!$B$2:$BI$155,MATCH($A64,Raw_매출!$A$2:$A$155,0),MATCH(EDATE($E64,AB$1-1),Raw_매출!$B$1:$BI$1,0))/(INDEX(요약_월별시즈널리티!$F$7:$F$18,MONTH(EDATE($E64,AB$1-1)))/100))),"")</f>
        <v>6553369.3344702786</v>
      </c>
      <c r="AC64" cm="1">
        <f t="array" ref="AC64">IFERROR(IF($E64&lt;44348,"",IF(INDEX(Raw_매출!$B$2:$BI$155,MATCH($A64,Raw_매출!$A$2:$A$155,0),MATCH(EDATE($E64,AC$1-1),Raw_매출!$B$1:$BI$1,0))=0,"",INDEX(Raw_매출!$B$2:$BI$155,MATCH($A64,Raw_매출!$A$2:$A$155,0),MATCH(EDATE($E64,AC$1-1),Raw_매출!$B$1:$BI$1,0))/(INDEX(요약_월별시즈널리티!$F$7:$F$18,MONTH(EDATE($E64,AC$1-1)))/100))),"")</f>
        <v>6705812.9053534735</v>
      </c>
      <c r="AD64" cm="1">
        <f t="array" ref="AD64">IFERROR(IF($E64&lt;44348,"",IF(INDEX(Raw_매출!$B$2:$BI$155,MATCH($A64,Raw_매출!$A$2:$A$155,0),MATCH(EDATE($E64,AD$1-1),Raw_매출!$B$1:$BI$1,0))=0,"",INDEX(Raw_매출!$B$2:$BI$155,MATCH($A64,Raw_매출!$A$2:$A$155,0),MATCH(EDATE($E64,AD$1-1),Raw_매출!$B$1:$BI$1,0))/(INDEX(요약_월별시즈널리티!$F$7:$F$18,MONTH(EDATE($E64,AD$1-1)))/100))),"")</f>
        <v>6150462.2607573094</v>
      </c>
      <c r="AE64" cm="1">
        <f t="array" ref="AE64">IFERROR(IF($E64&lt;44348,"",IF(INDEX(Raw_매출!$B$2:$BI$155,MATCH($A64,Raw_매출!$A$2:$A$155,0),MATCH(EDATE($E64,AE$1-1),Raw_매출!$B$1:$BI$1,0))=0,"",INDEX(Raw_매출!$B$2:$BI$155,MATCH($A64,Raw_매출!$A$2:$A$155,0),MATCH(EDATE($E64,AE$1-1),Raw_매출!$B$1:$BI$1,0))/(INDEX(요약_월별시즈널리티!$F$7:$F$18,MONTH(EDATE($E64,AE$1-1)))/100))),"")</f>
        <v>6999446.6837833207</v>
      </c>
      <c r="AF64" cm="1">
        <f t="array" ref="AF64">IFERROR(IF($E64&lt;44348,"",IF(INDEX(Raw_매출!$B$2:$BI$155,MATCH($A64,Raw_매출!$A$2:$A$155,0),MATCH(EDATE($E64,AF$1-1),Raw_매출!$B$1:$BI$1,0))=0,"",INDEX(Raw_매출!$B$2:$BI$155,MATCH($A64,Raw_매출!$A$2:$A$155,0),MATCH(EDATE($E64,AF$1-1),Raw_매출!$B$1:$BI$1,0))/(INDEX(요약_월별시즈널리티!$F$7:$F$18,MONTH(EDATE($E64,AF$1-1)))/100))),"")</f>
        <v>6736839.1910639051</v>
      </c>
      <c r="AG64" cm="1">
        <f t="array" ref="AG64">IFERROR(IF($E64&lt;44348,"",IF(INDEX(Raw_매출!$B$2:$BI$155,MATCH($A64,Raw_매출!$A$2:$A$155,0),MATCH(EDATE($E64,AG$1-1),Raw_매출!$B$1:$BI$1,0))=0,"",INDEX(Raw_매출!$B$2:$BI$155,MATCH($A64,Raw_매출!$A$2:$A$155,0),MATCH(EDATE($E64,AG$1-1),Raw_매출!$B$1:$BI$1,0))/(INDEX(요약_월별시즈널리티!$F$7:$F$18,MONTH(EDATE($E64,AG$1-1)))/100))),"")</f>
        <v>6874962.3509253589</v>
      </c>
      <c r="AH64" cm="1">
        <f t="array" ref="AH64">IFERROR(IF($E64&lt;44348,"",IF(INDEX(Raw_매출!$B$2:$BI$155,MATCH($A64,Raw_매출!$A$2:$A$155,0),MATCH(EDATE($E64,AH$1-1),Raw_매출!$B$1:$BI$1,0))=0,"",INDEX(Raw_매출!$B$2:$BI$155,MATCH($A64,Raw_매출!$A$2:$A$155,0),MATCH(EDATE($E64,AH$1-1),Raw_매출!$B$1:$BI$1,0))/(INDEX(요약_월별시즈널리티!$F$7:$F$18,MONTH(EDATE($E64,AH$1-1)))/100))),"")</f>
        <v>6531552.0581022426</v>
      </c>
      <c r="AI64" cm="1">
        <f t="array" ref="AI64">IFERROR(IF($E64&lt;44348,"",IF(INDEX(Raw_매출!$B$2:$BI$155,MATCH($A64,Raw_매출!$A$2:$A$155,0),MATCH(EDATE($E64,AI$1-1),Raw_매출!$B$1:$BI$1,0))=0,"",INDEX(Raw_매출!$B$2:$BI$155,MATCH($A64,Raw_매출!$A$2:$A$155,0),MATCH(EDATE($E64,AI$1-1),Raw_매출!$B$1:$BI$1,0))/(INDEX(요약_월별시즈널리티!$F$7:$F$18,MONTH(EDATE($E64,AI$1-1)))/100))),"")</f>
        <v>7104750.7280986523</v>
      </c>
      <c r="AJ64" cm="1">
        <f t="array" ref="AJ64">IFERROR(IF($E64&lt;44348,"",IF(INDEX(Raw_매출!$B$2:$BI$155,MATCH($A64,Raw_매출!$A$2:$A$155,0),MATCH(EDATE($E64,AJ$1-1),Raw_매출!$B$1:$BI$1,0))=0,"",INDEX(Raw_매출!$B$2:$BI$155,MATCH($A64,Raw_매출!$A$2:$A$155,0),MATCH(EDATE($E64,AJ$1-1),Raw_매출!$B$1:$BI$1,0))/(INDEX(요약_월별시즈널리티!$F$7:$F$18,MONTH(EDATE($E64,AJ$1-1)))/100))),"")</f>
        <v>6723736.4987900043</v>
      </c>
      <c r="AK64" cm="1">
        <f t="array" ref="AK64">IFERROR(IF($E64&lt;44348,"",IF(INDEX(Raw_매출!$B$2:$BI$155,MATCH($A64,Raw_매출!$A$2:$A$155,0),MATCH(EDATE($E64,AK$1-1),Raw_매출!$B$1:$BI$1,0))=0,"",INDEX(Raw_매출!$B$2:$BI$155,MATCH($A64,Raw_매출!$A$2:$A$155,0),MATCH(EDATE($E64,AK$1-1),Raw_매출!$B$1:$BI$1,0))/(INDEX(요약_월별시즈널리티!$F$7:$F$18,MONTH(EDATE($E64,AK$1-1)))/100))),"")</f>
        <v>7407255.3874712605</v>
      </c>
      <c r="AL64" cm="1">
        <f t="array" ref="AL64">IFERROR(IF($E64&lt;44348,"",IF(INDEX(Raw_매출!$B$2:$BI$155,MATCH($A64,Raw_매출!$A$2:$A$155,0),MATCH(EDATE($E64,AL$1-1),Raw_매출!$B$1:$BI$1,0))=0,"",INDEX(Raw_매출!$B$2:$BI$155,MATCH($A64,Raw_매출!$A$2:$A$155,0),MATCH(EDATE($E64,AL$1-1),Raw_매출!$B$1:$BI$1,0))/(INDEX(요약_월별시즈널리티!$F$7:$F$18,MONTH(EDATE($E64,AL$1-1)))/100))),"")</f>
        <v>7067005.9603881892</v>
      </c>
      <c r="AM64" cm="1">
        <f t="array" ref="AM64">IFERROR(IF($E64&lt;44348,"",IF(INDEX(Raw_매출!$B$2:$BI$155,MATCH($A64,Raw_매출!$A$2:$A$155,0),MATCH(EDATE($E64,AM$1-1),Raw_매출!$B$1:$BI$1,0))=0,"",INDEX(Raw_매출!$B$2:$BI$155,MATCH($A64,Raw_매출!$A$2:$A$155,0),MATCH(EDATE($E64,AM$1-1),Raw_매출!$B$1:$BI$1,0))/(INDEX(요약_월별시즈널리티!$F$7:$F$18,MONTH(EDATE($E64,AM$1-1)))/100))),"")</f>
        <v>6540206.6645738985</v>
      </c>
      <c r="AN64" cm="1">
        <f t="array" ref="AN64">IFERROR(IF($E64&lt;44348,"",IF(INDEX(Raw_매출!$B$2:$BI$155,MATCH($A64,Raw_매출!$A$2:$A$155,0),MATCH(EDATE($E64,AN$1-1),Raw_매출!$B$1:$BI$1,0))=0,"",INDEX(Raw_매출!$B$2:$BI$155,MATCH($A64,Raw_매출!$A$2:$A$155,0),MATCH(EDATE($E64,AN$1-1),Raw_매출!$B$1:$BI$1,0))/(INDEX(요약_월별시즈널리티!$F$7:$F$18,MONTH(EDATE($E64,AN$1-1)))/100))),"")</f>
        <v>6765138.2002744814</v>
      </c>
      <c r="AO64" cm="1">
        <f t="array" ref="AO64">IFERROR(IF($E64&lt;44348,"",IF(INDEX(Raw_매출!$B$2:$BI$155,MATCH($A64,Raw_매출!$A$2:$A$155,0),MATCH(EDATE($E64,AO$1-1),Raw_매출!$B$1:$BI$1,0))=0,"",INDEX(Raw_매출!$B$2:$BI$155,MATCH($A64,Raw_매출!$A$2:$A$155,0),MATCH(EDATE($E64,AO$1-1),Raw_매출!$B$1:$BI$1,0))/(INDEX(요약_월별시즈널리티!$F$7:$F$18,MONTH(EDATE($E64,AO$1-1)))/100))),"")</f>
        <v>6838648.745810424</v>
      </c>
      <c r="AP64" cm="1">
        <f t="array" ref="AP64">IFERROR(IF($E64&lt;44348,"",IF(INDEX(Raw_매출!$B$2:$BI$155,MATCH($A64,Raw_매출!$A$2:$A$155,0),MATCH(EDATE($E64,AP$1-1),Raw_매출!$B$1:$BI$1,0))=0,"",INDEX(Raw_매출!$B$2:$BI$155,MATCH($A64,Raw_매출!$A$2:$A$155,0),MATCH(EDATE($E64,AP$1-1),Raw_매출!$B$1:$BI$1,0))/(INDEX(요약_월별시즈널리티!$F$7:$F$18,MONTH(EDATE($E64,AP$1-1)))/100))),"")</f>
        <v>7701313.7425368223</v>
      </c>
      <c r="AQ64" cm="1">
        <f t="array" ref="AQ64">IFERROR(IF($E64&lt;44348,"",IF(INDEX(Raw_매출!$B$2:$BI$155,MATCH($A64,Raw_매출!$A$2:$A$155,0),MATCH(EDATE($E64,AQ$1-1),Raw_매출!$B$1:$BI$1,0))=0,"",INDEX(Raw_매출!$B$2:$BI$155,MATCH($A64,Raw_매출!$A$2:$A$155,0),MATCH(EDATE($E64,AQ$1-1),Raw_매출!$B$1:$BI$1,0))/(INDEX(요약_월별시즈널리티!$F$7:$F$18,MONTH(EDATE($E64,AQ$1-1)))/100))),"")</f>
        <v>7475950.3956964994</v>
      </c>
      <c r="AR64" cm="1">
        <f t="array" ref="AR64">IFERROR(IF($E64&lt;44348,"",IF(INDEX(Raw_매출!$B$2:$BI$155,MATCH($A64,Raw_매출!$A$2:$A$155,0),MATCH(EDATE($E64,AR$1-1),Raw_매출!$B$1:$BI$1,0))=0,"",INDEX(Raw_매출!$B$2:$BI$155,MATCH($A64,Raw_매출!$A$2:$A$155,0),MATCH(EDATE($E64,AR$1-1),Raw_매출!$B$1:$BI$1,0))/(INDEX(요약_월별시즈널리티!$F$7:$F$18,MONTH(EDATE($E64,AR$1-1)))/100))),"")</f>
        <v>7436817.0381465647</v>
      </c>
      <c r="AS64" cm="1">
        <f t="array" ref="AS64">IFERROR(IF($E64&lt;44348,"",IF(INDEX(Raw_매출!$B$2:$BI$155,MATCH($A64,Raw_매출!$A$2:$A$155,0),MATCH(EDATE($E64,AS$1-1),Raw_매출!$B$1:$BI$1,0))=0,"",INDEX(Raw_매출!$B$2:$BI$155,MATCH($A64,Raw_매출!$A$2:$A$155,0),MATCH(EDATE($E64,AS$1-1),Raw_매출!$B$1:$BI$1,0))/(INDEX(요약_월별시즈널리티!$F$7:$F$18,MONTH(EDATE($E64,AS$1-1)))/100))),"")</f>
        <v>8305035.3721027765</v>
      </c>
      <c r="AT64" cm="1">
        <f t="array" ref="AT64">IFERROR(IF($E64&lt;44348,"",IF(INDEX(Raw_매출!$B$2:$BI$155,MATCH($A64,Raw_매출!$A$2:$A$155,0),MATCH(EDATE($E64,AT$1-1),Raw_매출!$B$1:$BI$1,0))=0,"",INDEX(Raw_매출!$B$2:$BI$155,MATCH($A64,Raw_매출!$A$2:$A$155,0),MATCH(EDATE($E64,AT$1-1),Raw_매출!$B$1:$BI$1,0))/(INDEX(요약_월별시즈널리티!$F$7:$F$18,MONTH(EDATE($E64,AT$1-1)))/100))),"")</f>
        <v>7879078.410452256</v>
      </c>
      <c r="AU64" cm="1">
        <f t="array" ref="AU64">IFERROR(IF($E64&lt;44348,"",IF(INDEX(Raw_매출!$B$2:$BI$155,MATCH($A64,Raw_매출!$A$2:$A$155,0),MATCH(EDATE($E64,AU$1-1),Raw_매출!$B$1:$BI$1,0))=0,"",INDEX(Raw_매출!$B$2:$BI$155,MATCH($A64,Raw_매출!$A$2:$A$155,0),MATCH(EDATE($E64,AU$1-1),Raw_매출!$B$1:$BI$1,0))/(INDEX(요약_월별시즈널리티!$F$7:$F$18,MONTH(EDATE($E64,AU$1-1)))/100))),"")</f>
        <v>7984431.6172290919</v>
      </c>
      <c r="AV64" cm="1">
        <f t="array" ref="AV64">IFERROR(IF($E64&lt;44348,"",IF(INDEX(Raw_매출!$B$2:$BI$155,MATCH($A64,Raw_매출!$A$2:$A$155,0),MATCH(EDATE($E64,AV$1-1),Raw_매출!$B$1:$BI$1,0))=0,"",INDEX(Raw_매출!$B$2:$BI$155,MATCH($A64,Raw_매출!$A$2:$A$155,0),MATCH(EDATE($E64,AV$1-1),Raw_매출!$B$1:$BI$1,0))/(INDEX(요약_월별시즈널리티!$F$7:$F$18,MONTH(EDATE($E64,AV$1-1)))/100))),"")</f>
        <v>7706017.1576894317</v>
      </c>
      <c r="AW64" cm="1">
        <f t="array" ref="AW64">IFERROR(IF($E64&lt;44348,"",IF(INDEX(Raw_매출!$B$2:$BI$155,MATCH($A64,Raw_매출!$A$2:$A$155,0),MATCH(EDATE($E64,AW$1-1),Raw_매출!$B$1:$BI$1,0))=0,"",INDEX(Raw_매출!$B$2:$BI$155,MATCH($A64,Raw_매출!$A$2:$A$155,0),MATCH(EDATE($E64,AW$1-1),Raw_매출!$B$1:$BI$1,0))/(INDEX(요약_월별시즈널리티!$F$7:$F$18,MONTH(EDATE($E64,AW$1-1)))/100))),"")</f>
        <v>7906273.2845003186</v>
      </c>
      <c r="AX64" t="str" cm="1">
        <f t="array" ref="AX64">IFERROR(IF($E64&lt;44348,"",IF(INDEX(Raw_매출!$B$2:$BI$155,MATCH($A64,Raw_매출!$A$2:$A$155,0),MATCH(EDATE($E64,AX$1-1),Raw_매출!$B$1:$BI$1,0))=0,"",INDEX(Raw_매출!$B$2:$BI$155,MATCH($A64,Raw_매출!$A$2:$A$155,0),MATCH(EDATE($E64,AX$1-1),Raw_매출!$B$1:$BI$1,0))/(INDEX(요약_월별시즈널리티!$F$7:$F$18,MONTH(EDATE($E64,AX$1-1)))/100))),"")</f>
        <v/>
      </c>
      <c r="AY64" t="str" cm="1">
        <f t="array" ref="AY64">IFERROR(IF($E64&lt;44348,"",IF(INDEX(Raw_매출!$B$2:$BI$155,MATCH($A64,Raw_매출!$A$2:$A$155,0),MATCH(EDATE($E64,AY$1-1),Raw_매출!$B$1:$BI$1,0))=0,"",INDEX(Raw_매출!$B$2:$BI$155,MATCH($A64,Raw_매출!$A$2:$A$155,0),MATCH(EDATE($E64,AY$1-1),Raw_매출!$B$1:$BI$1,0))/(INDEX(요약_월별시즈널리티!$F$7:$F$18,MONTH(EDATE($E64,AY$1-1)))/100))),"")</f>
        <v/>
      </c>
      <c r="AZ64" t="str" cm="1">
        <f t="array" ref="AZ64">IFERROR(IF($E64&lt;44348,"",IF(INDEX(Raw_매출!$B$2:$BI$155,MATCH($A64,Raw_매출!$A$2:$A$155,0),MATCH(EDATE($E64,AZ$1-1),Raw_매출!$B$1:$BI$1,0))=0,"",INDEX(Raw_매출!$B$2:$BI$155,MATCH($A64,Raw_매출!$A$2:$A$155,0),MATCH(EDATE($E64,AZ$1-1),Raw_매출!$B$1:$BI$1,0))/(INDEX(요약_월별시즈널리티!$F$7:$F$18,MONTH(EDATE($E64,AZ$1-1)))/100))),"")</f>
        <v/>
      </c>
      <c r="BA64" t="str" cm="1">
        <f t="array" ref="BA64">IFERROR(IF($E64&lt;44348,"",IF(INDEX(Raw_매출!$B$2:$BI$155,MATCH($A64,Raw_매출!$A$2:$A$155,0),MATCH(EDATE($E64,BA$1-1),Raw_매출!$B$1:$BI$1,0))=0,"",INDEX(Raw_매출!$B$2:$BI$155,MATCH($A64,Raw_매출!$A$2:$A$155,0),MATCH(EDATE($E64,BA$1-1),Raw_매출!$B$1:$BI$1,0))/(INDEX(요약_월별시즈널리티!$F$7:$F$18,MONTH(EDATE($E64,BA$1-1)))/100))),"")</f>
        <v/>
      </c>
      <c r="BB64" t="str" cm="1">
        <f t="array" ref="BB64">IFERROR(IF($E64&lt;44348,"",IF(INDEX(Raw_매출!$B$2:$BI$155,MATCH($A64,Raw_매출!$A$2:$A$155,0),MATCH(EDATE($E64,BB$1-1),Raw_매출!$B$1:$BI$1,0))=0,"",INDEX(Raw_매출!$B$2:$BI$155,MATCH($A64,Raw_매출!$A$2:$A$155,0),MATCH(EDATE($E64,BB$1-1),Raw_매출!$B$1:$BI$1,0))/(INDEX(요약_월별시즈널리티!$F$7:$F$18,MONTH(EDATE($E64,BB$1-1)))/100))),"")</f>
        <v/>
      </c>
      <c r="BC64" t="str" cm="1">
        <f t="array" ref="BC64">IFERROR(IF($E64&lt;44348,"",IF(INDEX(Raw_매출!$B$2:$BI$155,MATCH($A64,Raw_매출!$A$2:$A$155,0),MATCH(EDATE($E64,BC$1-1),Raw_매출!$B$1:$BI$1,0))=0,"",INDEX(Raw_매출!$B$2:$BI$155,MATCH($A64,Raw_매출!$A$2:$A$155,0),MATCH(EDATE($E64,BC$1-1),Raw_매출!$B$1:$BI$1,0))/(INDEX(요약_월별시즈널리티!$F$7:$F$18,MONTH(EDATE($E64,BC$1-1)))/100))),"")</f>
        <v/>
      </c>
      <c r="BD64" t="str" cm="1">
        <f t="array" ref="BD64">IFERROR(IF($E64&lt;44348,"",IF(INDEX(Raw_매출!$B$2:$BI$155,MATCH($A64,Raw_매출!$A$2:$A$155,0),MATCH(EDATE($E64,BD$1-1),Raw_매출!$B$1:$BI$1,0))=0,"",INDEX(Raw_매출!$B$2:$BI$155,MATCH($A64,Raw_매출!$A$2:$A$155,0),MATCH(EDATE($E64,BD$1-1),Raw_매출!$B$1:$BI$1,0))/(INDEX(요약_월별시즈널리티!$F$7:$F$18,MONTH(EDATE($E64,BD$1-1)))/100))),"")</f>
        <v/>
      </c>
      <c r="BE64" t="str" cm="1">
        <f t="array" ref="BE64">IFERROR(IF($E64&lt;44348,"",IF(INDEX(Raw_매출!$B$2:$BI$155,MATCH($A64,Raw_매출!$A$2:$A$155,0),MATCH(EDATE($E64,BE$1-1),Raw_매출!$B$1:$BI$1,0))=0,"",INDEX(Raw_매출!$B$2:$BI$155,MATCH($A64,Raw_매출!$A$2:$A$155,0),MATCH(EDATE($E64,BE$1-1),Raw_매출!$B$1:$BI$1,0))/(INDEX(요약_월별시즈널리티!$F$7:$F$18,MONTH(EDATE($E64,BE$1-1)))/100))),"")</f>
        <v/>
      </c>
      <c r="BF64" t="str" cm="1">
        <f t="array" ref="BF64">IFERROR(IF($E64&lt;44348,"",IF(INDEX(Raw_매출!$B$2:$BI$155,MATCH($A64,Raw_매출!$A$2:$A$155,0),MATCH(EDATE($E64,BF$1-1),Raw_매출!$B$1:$BI$1,0))=0,"",INDEX(Raw_매출!$B$2:$BI$155,MATCH($A64,Raw_매출!$A$2:$A$155,0),MATCH(EDATE($E64,BF$1-1),Raw_매출!$B$1:$BI$1,0))/(INDEX(요약_월별시즈널리티!$F$7:$F$18,MONTH(EDATE($E64,BF$1-1)))/100))),"")</f>
        <v/>
      </c>
      <c r="BG64" t="str" cm="1">
        <f t="array" ref="BG64">IFERROR(IF($E64&lt;44348,"",IF(INDEX(Raw_매출!$B$2:$BI$155,MATCH($A64,Raw_매출!$A$2:$A$155,0),MATCH(EDATE($E64,BG$1-1),Raw_매출!$B$1:$BI$1,0))=0,"",INDEX(Raw_매출!$B$2:$BI$155,MATCH($A64,Raw_매출!$A$2:$A$155,0),MATCH(EDATE($E64,BG$1-1),Raw_매출!$B$1:$BI$1,0))/(INDEX(요약_월별시즈널리티!$F$7:$F$18,MONTH(EDATE($E64,BG$1-1)))/100))),"")</f>
        <v/>
      </c>
      <c r="BH64" t="str" cm="1">
        <f t="array" ref="BH64">IFERROR(IF($E64&lt;44348,"",IF(INDEX(Raw_매출!$B$2:$BI$155,MATCH($A64,Raw_매출!$A$2:$A$155,0),MATCH(EDATE($E64,BH$1-1),Raw_매출!$B$1:$BI$1,0))=0,"",INDEX(Raw_매출!$B$2:$BI$155,MATCH($A64,Raw_매출!$A$2:$A$155,0),MATCH(EDATE($E64,BH$1-1),Raw_매출!$B$1:$BI$1,0))/(INDEX(요약_월별시즈널리티!$F$7:$F$18,MONTH(EDATE($E64,BH$1-1)))/100))),"")</f>
        <v/>
      </c>
      <c r="BI64" t="str" cm="1">
        <f t="array" ref="BI64">IFERROR(IF($E64&lt;44348,"",IF(INDEX(Raw_매출!$B$2:$BI$155,MATCH($A64,Raw_매출!$A$2:$A$155,0),MATCH(EDATE($E64,BI$1-1),Raw_매출!$B$1:$BI$1,0))=0,"",INDEX(Raw_매출!$B$2:$BI$155,MATCH($A64,Raw_매출!$A$2:$A$155,0),MATCH(EDATE($E64,BI$1-1),Raw_매출!$B$1:$BI$1,0))/(INDEX(요약_월별시즈널리티!$F$7:$F$18,MONTH(EDATE($E64,BI$1-1)))/100))),"")</f>
        <v/>
      </c>
      <c r="BJ64" t="str" cm="1">
        <f t="array" ref="BJ64">IFERROR(IF($E64&lt;44348,"",IF(INDEX(Raw_매출!$B$2:$BI$155,MATCH($A64,Raw_매출!$A$2:$A$155,0),MATCH(EDATE($E64,BJ$1-1),Raw_매출!$B$1:$BI$1,0))=0,"",INDEX(Raw_매출!$B$2:$BI$155,MATCH($A64,Raw_매출!$A$2:$A$155,0),MATCH(EDATE($E64,BJ$1-1),Raw_매출!$B$1:$BI$1,0))/(INDEX(요약_월별시즈널리티!$F$7:$F$18,MONTH(EDATE($E64,BJ$1-1)))/100))),"")</f>
        <v/>
      </c>
      <c r="BK64" t="str" cm="1">
        <f t="array" ref="BK64">IFERROR(IF($E64&lt;44348,"",IF(INDEX(Raw_매출!$B$2:$BI$155,MATCH($A64,Raw_매출!$A$2:$A$155,0),MATCH(EDATE($E64,BK$1-1),Raw_매출!$B$1:$BI$1,0))=0,"",INDEX(Raw_매출!$B$2:$BI$155,MATCH($A64,Raw_매출!$A$2:$A$155,0),MATCH(EDATE($E64,BK$1-1),Raw_매출!$B$1:$BI$1,0))/(INDEX(요약_월별시즈널리티!$F$7:$F$18,MONTH(EDATE($E64,BK$1-1)))/100))),"")</f>
        <v/>
      </c>
      <c r="BL64" t="str" cm="1">
        <f t="array" ref="BL64">IFERROR(IF($E64&lt;44348,"",IF(INDEX(Raw_매출!$B$2:$BI$155,MATCH($A64,Raw_매출!$A$2:$A$155,0),MATCH(EDATE($E64,BL$1-1),Raw_매출!$B$1:$BI$1,0))=0,"",INDEX(Raw_매출!$B$2:$BI$155,MATCH($A64,Raw_매출!$A$2:$A$155,0),MATCH(EDATE($E64,BL$1-1),Raw_매출!$B$1:$BI$1,0))/(INDEX(요약_월별시즈널리티!$F$7:$F$18,MONTH(EDATE($E64,BL$1-1)))/100))),"")</f>
        <v/>
      </c>
      <c r="BM64" t="str" cm="1">
        <f t="array" ref="BM64">IFERROR(IF($E64&lt;44348,"",IF(INDEX(Raw_매출!$B$2:$BI$155,MATCH($A64,Raw_매출!$A$2:$A$155,0),MATCH(EDATE($E64,BM$1-1),Raw_매출!$B$1:$BI$1,0))=0,"",INDEX(Raw_매출!$B$2:$BI$155,MATCH($A64,Raw_매출!$A$2:$A$155,0),MATCH(EDATE($E64,BM$1-1),Raw_매출!$B$1:$BI$1,0))/(INDEX(요약_월별시즈널리티!$F$7:$F$18,MONTH(EDATE($E64,BM$1-1)))/100))),"")</f>
        <v/>
      </c>
      <c r="BN64" t="str" cm="1">
        <f t="array" ref="BN64">IFERROR(IF($E64&lt;44348,"",IF(INDEX(Raw_매출!$B$2:$BI$155,MATCH($A64,Raw_매출!$A$2:$A$155,0),MATCH(EDATE($E64,BN$1-1),Raw_매출!$B$1:$BI$1,0))=0,"",INDEX(Raw_매출!$B$2:$BI$155,MATCH($A64,Raw_매출!$A$2:$A$155,0),MATCH(EDATE($E64,BN$1-1),Raw_매출!$B$1:$BI$1,0))/(INDEX(요약_월별시즈널리티!$F$7:$F$18,MONTH(EDATE($E64,BN$1-1)))/100))),"")</f>
        <v/>
      </c>
    </row>
    <row r="65" spans="1:66" x14ac:dyDescent="0.4">
      <c r="A65" t="str">
        <f>세팅!A66</f>
        <v>(1054) #성대율전점</v>
      </c>
      <c r="B65" t="str">
        <f>세팅!B66</f>
        <v>150-1</v>
      </c>
      <c r="C65">
        <f t="shared" si="0"/>
        <v>1</v>
      </c>
      <c r="D65" t="str">
        <f t="shared" si="1"/>
        <v>1</v>
      </c>
      <c r="E65" s="1">
        <f>세팅!D66</f>
        <v>44866</v>
      </c>
      <c r="F65">
        <f t="shared" si="2"/>
        <v>5042023.2284119446</v>
      </c>
      <c r="G65" cm="1">
        <f t="array" ref="G65">IFERROR(IF($E65&lt;44348,"",IF(INDEX(Raw_매출!$B$2:$BI$155,MATCH($A65,Raw_매출!$A$2:$A$155,0),MATCH(EDATE($E65,G$1-1),Raw_매출!$B$1:$BI$1,0))=0,"",INDEX(Raw_매출!$B$2:$BI$155,MATCH($A65,Raw_매출!$A$2:$A$155,0),MATCH(EDATE($E65,G$1-1),Raw_매출!$B$1:$BI$1,0))/(INDEX(요약_월별시즈널리티!$F$7:$F$18,MONTH(EDATE($E65,G$1-1)))/100))),"")</f>
        <v>2393593.116708321</v>
      </c>
      <c r="H65" cm="1">
        <f t="array" ref="H65">IFERROR(IF($E65&lt;44348,"",IF(INDEX(Raw_매출!$B$2:$BI$155,MATCH($A65,Raw_매출!$A$2:$A$155,0),MATCH(EDATE($E65,H$1-1),Raw_매출!$B$1:$BI$1,0))=0,"",INDEX(Raw_매출!$B$2:$BI$155,MATCH($A65,Raw_매출!$A$2:$A$155,0),MATCH(EDATE($E65,H$1-1),Raw_매출!$B$1:$BI$1,0))/(INDEX(요약_월별시즈널리티!$F$7:$F$18,MONTH(EDATE($E65,H$1-1)))/100))),"")</f>
        <v>3094593.0618225113</v>
      </c>
      <c r="I65" cm="1">
        <f t="array" ref="I65">IFERROR(IF($E65&lt;44348,"",IF(INDEX(Raw_매출!$B$2:$BI$155,MATCH($A65,Raw_매출!$A$2:$A$155,0),MATCH(EDATE($E65,I$1-1),Raw_매출!$B$1:$BI$1,0))=0,"",INDEX(Raw_매출!$B$2:$BI$155,MATCH($A65,Raw_매출!$A$2:$A$155,0),MATCH(EDATE($E65,I$1-1),Raw_매출!$B$1:$BI$1,0))/(INDEX(요약_월별시즈널리티!$F$7:$F$18,MONTH(EDATE($E65,I$1-1)))/100))),"")</f>
        <v>3615279.0848785383</v>
      </c>
      <c r="J65" s="30" cm="1">
        <f t="array" ref="J65">IFERROR(IF($E65&lt;44348,"",IF(INDEX(Raw_매출!$B$2:$BI$155,MATCH($A65,Raw_매출!$A$2:$A$155,0),MATCH(EDATE($E65,J$1-1),Raw_매출!$B$1:$BI$1,0))=0,"",INDEX(Raw_매출!$B$2:$BI$155,MATCH($A65,Raw_매출!$A$2:$A$155,0),MATCH(EDATE($E65,J$1-1),Raw_매출!$B$1:$BI$1,0))/(INDEX(요약_월별시즈널리티!$F$7:$F$18,MONTH(EDATE($E65,J$1-1)))/100))),"")</f>
        <v>4246167.2962323446</v>
      </c>
      <c r="K65" s="30" cm="1">
        <f t="array" ref="K65">IFERROR(IF($E65&lt;44348,"",IF(INDEX(Raw_매출!$B$2:$BI$155,MATCH($A65,Raw_매출!$A$2:$A$155,0),MATCH(EDATE($E65,K$1-1),Raw_매출!$B$1:$BI$1,0))=0,"",INDEX(Raw_매출!$B$2:$BI$155,MATCH($A65,Raw_매출!$A$2:$A$155,0),MATCH(EDATE($E65,K$1-1),Raw_매출!$B$1:$BI$1,0))/(INDEX(요약_월별시즈널리티!$F$7:$F$18,MONTH(EDATE($E65,K$1-1)))/100))),"")</f>
        <v>4657224.9225079594</v>
      </c>
      <c r="L65" s="30" cm="1">
        <f t="array" ref="L65">IFERROR(IF($E65&lt;44348,"",IF(INDEX(Raw_매출!$B$2:$BI$155,MATCH($A65,Raw_매출!$A$2:$A$155,0),MATCH(EDATE($E65,L$1-1),Raw_매출!$B$1:$BI$1,0))=0,"",INDEX(Raw_매출!$B$2:$BI$155,MATCH($A65,Raw_매출!$A$2:$A$155,0),MATCH(EDATE($E65,L$1-1),Raw_매출!$B$1:$BI$1,0))/(INDEX(요약_월별시즈널리티!$F$7:$F$18,MONTH(EDATE($E65,L$1-1)))/100))),"")</f>
        <v>5137828.3646200672</v>
      </c>
      <c r="M65" s="30" cm="1">
        <f t="array" ref="M65">IFERROR(IF($E65&lt;44348,"",IF(INDEX(Raw_매출!$B$2:$BI$155,MATCH($A65,Raw_매출!$A$2:$A$155,0),MATCH(EDATE($E65,M$1-1),Raw_매출!$B$1:$BI$1,0))=0,"",INDEX(Raw_매출!$B$2:$BI$155,MATCH($A65,Raw_매출!$A$2:$A$155,0),MATCH(EDATE($E65,M$1-1),Raw_매출!$B$1:$BI$1,0))/(INDEX(요약_월별시즈널리티!$F$7:$F$18,MONTH(EDATE($E65,M$1-1)))/100))),"")</f>
        <v>5557719.2944126306</v>
      </c>
      <c r="N65" s="30" cm="1">
        <f t="array" ref="N65">IFERROR(IF($E65&lt;44348,"",IF(INDEX(Raw_매출!$B$2:$BI$155,MATCH($A65,Raw_매출!$A$2:$A$155,0),MATCH(EDATE($E65,N$1-1),Raw_매출!$B$1:$BI$1,0))=0,"",INDEX(Raw_매출!$B$2:$BI$155,MATCH($A65,Raw_매출!$A$2:$A$155,0),MATCH(EDATE($E65,N$1-1),Raw_매출!$B$1:$BI$1,0))/(INDEX(요약_월별시즈널리티!$F$7:$F$18,MONTH(EDATE($E65,N$1-1)))/100))),"")</f>
        <v>5233756.2383199241</v>
      </c>
      <c r="O65" s="30" cm="1">
        <f t="array" ref="O65">IFERROR(IF($E65&lt;44348,"",IF(INDEX(Raw_매출!$B$2:$BI$155,MATCH($A65,Raw_매출!$A$2:$A$155,0),MATCH(EDATE($E65,O$1-1),Raw_매출!$B$1:$BI$1,0))=0,"",INDEX(Raw_매출!$B$2:$BI$155,MATCH($A65,Raw_매출!$A$2:$A$155,0),MATCH(EDATE($E65,O$1-1),Raw_매출!$B$1:$BI$1,0))/(INDEX(요약_월별시즈널리티!$F$7:$F$18,MONTH(EDATE($E65,O$1-1)))/100))),"")</f>
        <v>5419443.2543787397</v>
      </c>
      <c r="P65" cm="1">
        <f t="array" ref="P65">IFERROR(IF($E65&lt;44348,"",IF(INDEX(Raw_매출!$B$2:$BI$155,MATCH($A65,Raw_매출!$A$2:$A$155,0),MATCH(EDATE($E65,P$1-1),Raw_매출!$B$1:$BI$1,0))=0,"",INDEX(Raw_매출!$B$2:$BI$155,MATCH($A65,Raw_매출!$A$2:$A$155,0),MATCH(EDATE($E65,P$1-1),Raw_매출!$B$1:$BI$1,0))/(INDEX(요약_월별시즈널리티!$F$7:$F$18,MONTH(EDATE($E65,P$1-1)))/100))),"")</f>
        <v>5630837.1259183269</v>
      </c>
      <c r="Q65" cm="1">
        <f t="array" ref="Q65">IFERROR(IF($E65&lt;44348,"",IF(INDEX(Raw_매출!$B$2:$BI$155,MATCH($A65,Raw_매출!$A$2:$A$155,0),MATCH(EDATE($E65,Q$1-1),Raw_매출!$B$1:$BI$1,0))=0,"",INDEX(Raw_매출!$B$2:$BI$155,MATCH($A65,Raw_매출!$A$2:$A$155,0),MATCH(EDATE($E65,Q$1-1),Raw_매출!$B$1:$BI$1,0))/(INDEX(요약_월별시즈널리티!$F$7:$F$18,MONTH(EDATE($E65,Q$1-1)))/100))),"")</f>
        <v>6798008.9687563386</v>
      </c>
      <c r="R65" cm="1">
        <f t="array" ref="R65">IFERROR(IF($E65&lt;44348,"",IF(INDEX(Raw_매출!$B$2:$BI$155,MATCH($A65,Raw_매출!$A$2:$A$155,0),MATCH(EDATE($E65,R$1-1),Raw_매출!$B$1:$BI$1,0))=0,"",INDEX(Raw_매출!$B$2:$BI$155,MATCH($A65,Raw_매출!$A$2:$A$155,0),MATCH(EDATE($E65,R$1-1),Raw_매출!$B$1:$BI$1,0))/(INDEX(요약_월별시즈널리티!$F$7:$F$18,MONTH(EDATE($E65,R$1-1)))/100))),"")</f>
        <v>6089352.1203696784</v>
      </c>
      <c r="S65" cm="1">
        <f t="array" ref="S65">IFERROR(IF($E65&lt;44348,"",IF(INDEX(Raw_매출!$B$2:$BI$155,MATCH($A65,Raw_매출!$A$2:$A$155,0),MATCH(EDATE($E65,S$1-1),Raw_매출!$B$1:$BI$1,0))=0,"",INDEX(Raw_매출!$B$2:$BI$155,MATCH($A65,Raw_매출!$A$2:$A$155,0),MATCH(EDATE($E65,S$1-1),Raw_매출!$B$1:$BI$1,0))/(INDEX(요약_월별시즈널리티!$F$7:$F$18,MONTH(EDATE($E65,S$1-1)))/100))),"")</f>
        <v>6127755.1322620837</v>
      </c>
      <c r="T65" cm="1">
        <f t="array" ref="T65">IFERROR(IF($E65&lt;44348,"",IF(INDEX(Raw_매출!$B$2:$BI$155,MATCH($A65,Raw_매출!$A$2:$A$155,0),MATCH(EDATE($E65,T$1-1),Raw_매출!$B$1:$BI$1,0))=0,"",INDEX(Raw_매출!$B$2:$BI$155,MATCH($A65,Raw_매출!$A$2:$A$155,0),MATCH(EDATE($E65,T$1-1),Raw_매출!$B$1:$BI$1,0))/(INDEX(요약_월별시즈널리티!$F$7:$F$18,MONTH(EDATE($E65,T$1-1)))/100))),"")</f>
        <v>6018532.0471144598</v>
      </c>
      <c r="U65" cm="1">
        <f t="array" ref="U65">IFERROR(IF($E65&lt;44348,"",IF(INDEX(Raw_매출!$B$2:$BI$155,MATCH($A65,Raw_매출!$A$2:$A$155,0),MATCH(EDATE($E65,U$1-1),Raw_매출!$B$1:$BI$1,0))=0,"",INDEX(Raw_매출!$B$2:$BI$155,MATCH($A65,Raw_매출!$A$2:$A$155,0),MATCH(EDATE($E65,U$1-1),Raw_매출!$B$1:$BI$1,0))/(INDEX(요약_월별시즈널리티!$F$7:$F$18,MONTH(EDATE($E65,U$1-1)))/100))),"")</f>
        <v>6015600.2960731005</v>
      </c>
      <c r="V65" cm="1">
        <f t="array" ref="V65">IFERROR(IF($E65&lt;44348,"",IF(INDEX(Raw_매출!$B$2:$BI$155,MATCH($A65,Raw_매출!$A$2:$A$155,0),MATCH(EDATE($E65,V$1-1),Raw_매출!$B$1:$BI$1,0))=0,"",INDEX(Raw_매출!$B$2:$BI$155,MATCH($A65,Raw_매출!$A$2:$A$155,0),MATCH(EDATE($E65,V$1-1),Raw_매출!$B$1:$BI$1,0))/(INDEX(요약_월별시즈널리티!$F$7:$F$18,MONTH(EDATE($E65,V$1-1)))/100))),"")</f>
        <v>6451445.5434775967</v>
      </c>
      <c r="W65" cm="1">
        <f t="array" ref="W65">IFERROR(IF($E65&lt;44348,"",IF(INDEX(Raw_매출!$B$2:$BI$155,MATCH($A65,Raw_매출!$A$2:$A$155,0),MATCH(EDATE($E65,W$1-1),Raw_매출!$B$1:$BI$1,0))=0,"",INDEX(Raw_매출!$B$2:$BI$155,MATCH($A65,Raw_매출!$A$2:$A$155,0),MATCH(EDATE($E65,W$1-1),Raw_매출!$B$1:$BI$1,0))/(INDEX(요약_월별시즈널리티!$F$7:$F$18,MONTH(EDATE($E65,W$1-1)))/100))),"")</f>
        <v>7298099.4008289138</v>
      </c>
      <c r="X65" cm="1">
        <f t="array" ref="X65">IFERROR(IF($E65&lt;44348,"",IF(INDEX(Raw_매출!$B$2:$BI$155,MATCH($A65,Raw_매출!$A$2:$A$155,0),MATCH(EDATE($E65,X$1-1),Raw_매출!$B$1:$BI$1,0))=0,"",INDEX(Raw_매출!$B$2:$BI$155,MATCH($A65,Raw_매출!$A$2:$A$155,0),MATCH(EDATE($E65,X$1-1),Raw_매출!$B$1:$BI$1,0))/(INDEX(요약_월별시즈널리티!$F$7:$F$18,MONTH(EDATE($E65,X$1-1)))/100))),"")</f>
        <v>7393229.3171132077</v>
      </c>
      <c r="Y65" cm="1">
        <f t="array" ref="Y65">IFERROR(IF($E65&lt;44348,"",IF(INDEX(Raw_매출!$B$2:$BI$155,MATCH($A65,Raw_매출!$A$2:$A$155,0),MATCH(EDATE($E65,Y$1-1),Raw_매출!$B$1:$BI$1,0))=0,"",INDEX(Raw_매출!$B$2:$BI$155,MATCH($A65,Raw_매출!$A$2:$A$155,0),MATCH(EDATE($E65,Y$1-1),Raw_매출!$B$1:$BI$1,0))/(INDEX(요약_월별시즈널리티!$F$7:$F$18,MONTH(EDATE($E65,Y$1-1)))/100))),"")</f>
        <v>6942555.6478339313</v>
      </c>
      <c r="Z65" cm="1">
        <f t="array" ref="Z65">IFERROR(IF($E65&lt;44348,"",IF(INDEX(Raw_매출!$B$2:$BI$155,MATCH($A65,Raw_매출!$A$2:$A$155,0),MATCH(EDATE($E65,Z$1-1),Raw_매출!$B$1:$BI$1,0))=0,"",INDEX(Raw_매출!$B$2:$BI$155,MATCH($A65,Raw_매출!$A$2:$A$155,0),MATCH(EDATE($E65,Z$1-1),Raw_매출!$B$1:$BI$1,0))/(INDEX(요약_월별시즈널리티!$F$7:$F$18,MONTH(EDATE($E65,Z$1-1)))/100))),"")</f>
        <v>7364268.1373667689</v>
      </c>
      <c r="AA65" cm="1">
        <f t="array" ref="AA65">IFERROR(IF($E65&lt;44348,"",IF(INDEX(Raw_매출!$B$2:$BI$155,MATCH($A65,Raw_매출!$A$2:$A$155,0),MATCH(EDATE($E65,AA$1-1),Raw_매출!$B$1:$BI$1,0))=0,"",INDEX(Raw_매출!$B$2:$BI$155,MATCH($A65,Raw_매출!$A$2:$A$155,0),MATCH(EDATE($E65,AA$1-1),Raw_매출!$B$1:$BI$1,0))/(INDEX(요약_월별시즈널리티!$F$7:$F$18,MONTH(EDATE($E65,AA$1-1)))/100))),"")</f>
        <v>7753577.3071116414</v>
      </c>
      <c r="AB65" cm="1">
        <f t="array" ref="AB65">IFERROR(IF($E65&lt;44348,"",IF(INDEX(Raw_매출!$B$2:$BI$155,MATCH($A65,Raw_매출!$A$2:$A$155,0),MATCH(EDATE($E65,AB$1-1),Raw_매출!$B$1:$BI$1,0))=0,"",INDEX(Raw_매출!$B$2:$BI$155,MATCH($A65,Raw_매출!$A$2:$A$155,0),MATCH(EDATE($E65,AB$1-1),Raw_매출!$B$1:$BI$1,0))/(INDEX(요약_월별시즈널리티!$F$7:$F$18,MONTH(EDATE($E65,AB$1-1)))/100))),"")</f>
        <v>7642474.7582438793</v>
      </c>
      <c r="AC65" cm="1">
        <f t="array" ref="AC65">IFERROR(IF($E65&lt;44348,"",IF(INDEX(Raw_매출!$B$2:$BI$155,MATCH($A65,Raw_매출!$A$2:$A$155,0),MATCH(EDATE($E65,AC$1-1),Raw_매출!$B$1:$BI$1,0))=0,"",INDEX(Raw_매출!$B$2:$BI$155,MATCH($A65,Raw_매출!$A$2:$A$155,0),MATCH(EDATE($E65,AC$1-1),Raw_매출!$B$1:$BI$1,0))/(INDEX(요약_월별시즈널리티!$F$7:$F$18,MONTH(EDATE($E65,AC$1-1)))/100))),"")</f>
        <v>7472845.0012491792</v>
      </c>
      <c r="AD65" cm="1">
        <f t="array" ref="AD65">IFERROR(IF($E65&lt;44348,"",IF(INDEX(Raw_매출!$B$2:$BI$155,MATCH($A65,Raw_매출!$A$2:$A$155,0),MATCH(EDATE($E65,AD$1-1),Raw_매출!$B$1:$BI$1,0))=0,"",INDEX(Raw_매출!$B$2:$BI$155,MATCH($A65,Raw_매출!$A$2:$A$155,0),MATCH(EDATE($E65,AD$1-1),Raw_매출!$B$1:$BI$1,0))/(INDEX(요약_월별시즈널리티!$F$7:$F$18,MONTH(EDATE($E65,AD$1-1)))/100))),"")</f>
        <v>7021437.4779468076</v>
      </c>
      <c r="AE65" cm="1">
        <f t="array" ref="AE65">IFERROR(IF($E65&lt;44348,"",IF(INDEX(Raw_매출!$B$2:$BI$155,MATCH($A65,Raw_매출!$A$2:$A$155,0),MATCH(EDATE($E65,AE$1-1),Raw_매출!$B$1:$BI$1,0))=0,"",INDEX(Raw_매출!$B$2:$BI$155,MATCH($A65,Raw_매출!$A$2:$A$155,0),MATCH(EDATE($E65,AE$1-1),Raw_매출!$B$1:$BI$1,0))/(INDEX(요약_월별시즈널리티!$F$7:$F$18,MONTH(EDATE($E65,AE$1-1)))/100))),"")</f>
        <v>7335294.8754937863</v>
      </c>
      <c r="AF65" cm="1">
        <f t="array" ref="AF65">IFERROR(IF($E65&lt;44348,"",IF(INDEX(Raw_매출!$B$2:$BI$155,MATCH($A65,Raw_매출!$A$2:$A$155,0),MATCH(EDATE($E65,AF$1-1),Raw_매출!$B$1:$BI$1,0))=0,"",INDEX(Raw_매출!$B$2:$BI$155,MATCH($A65,Raw_매출!$A$2:$A$155,0),MATCH(EDATE($E65,AF$1-1),Raw_매출!$B$1:$BI$1,0))/(INDEX(요약_월별시즈널리티!$F$7:$F$18,MONTH(EDATE($E65,AF$1-1)))/100))),"")</f>
        <v>6680593.2177852597</v>
      </c>
      <c r="AG65" cm="1">
        <f t="array" ref="AG65">IFERROR(IF($E65&lt;44348,"",IF(INDEX(Raw_매출!$B$2:$BI$155,MATCH($A65,Raw_매출!$A$2:$A$155,0),MATCH(EDATE($E65,AG$1-1),Raw_매출!$B$1:$BI$1,0))=0,"",INDEX(Raw_매출!$B$2:$BI$155,MATCH($A65,Raw_매출!$A$2:$A$155,0),MATCH(EDATE($E65,AG$1-1),Raw_매출!$B$1:$BI$1,0))/(INDEX(요약_월별시즈널리티!$F$7:$F$18,MONTH(EDATE($E65,AG$1-1)))/100))),"")</f>
        <v>6100143.5590242557</v>
      </c>
      <c r="AH65" cm="1">
        <f t="array" ref="AH65">IFERROR(IF($E65&lt;44348,"",IF(INDEX(Raw_매출!$B$2:$BI$155,MATCH($A65,Raw_매출!$A$2:$A$155,0),MATCH(EDATE($E65,AH$1-1),Raw_매출!$B$1:$BI$1,0))=0,"",INDEX(Raw_매출!$B$2:$BI$155,MATCH($A65,Raw_매출!$A$2:$A$155,0),MATCH(EDATE($E65,AH$1-1),Raw_매출!$B$1:$BI$1,0))/(INDEX(요약_월별시즈널리티!$F$7:$F$18,MONTH(EDATE($E65,AH$1-1)))/100))),"")</f>
        <v>7114317.4607033404</v>
      </c>
      <c r="AI65" cm="1">
        <f t="array" ref="AI65">IFERROR(IF($E65&lt;44348,"",IF(INDEX(Raw_매출!$B$2:$BI$155,MATCH($A65,Raw_매출!$A$2:$A$155,0),MATCH(EDATE($E65,AI$1-1),Raw_매출!$B$1:$BI$1,0))=0,"",INDEX(Raw_매출!$B$2:$BI$155,MATCH($A65,Raw_매출!$A$2:$A$155,0),MATCH(EDATE($E65,AI$1-1),Raw_매출!$B$1:$BI$1,0))/(INDEX(요약_월별시즈널리티!$F$7:$F$18,MONTH(EDATE($E65,AI$1-1)))/100))),"")</f>
        <v>7039937.5526220091</v>
      </c>
      <c r="AJ65" cm="1">
        <f t="array" ref="AJ65">IFERROR(IF($E65&lt;44348,"",IF(INDEX(Raw_매출!$B$2:$BI$155,MATCH($A65,Raw_매출!$A$2:$A$155,0),MATCH(EDATE($E65,AJ$1-1),Raw_매출!$B$1:$BI$1,0))=0,"",INDEX(Raw_매출!$B$2:$BI$155,MATCH($A65,Raw_매출!$A$2:$A$155,0),MATCH(EDATE($E65,AJ$1-1),Raw_매출!$B$1:$BI$1,0))/(INDEX(요약_월별시즈널리티!$F$7:$F$18,MONTH(EDATE($E65,AJ$1-1)))/100))),"")</f>
        <v>7258990.856775796</v>
      </c>
      <c r="AK65" cm="1">
        <f t="array" ref="AK65">IFERROR(IF($E65&lt;44348,"",IF(INDEX(Raw_매출!$B$2:$BI$155,MATCH($A65,Raw_매출!$A$2:$A$155,0),MATCH(EDATE($E65,AK$1-1),Raw_매출!$B$1:$BI$1,0))=0,"",INDEX(Raw_매출!$B$2:$BI$155,MATCH($A65,Raw_매출!$A$2:$A$155,0),MATCH(EDATE($E65,AK$1-1),Raw_매출!$B$1:$BI$1,0))/(INDEX(요약_월별시즈널리티!$F$7:$F$18,MONTH(EDATE($E65,AK$1-1)))/100))),"")</f>
        <v>8402462.9705496375</v>
      </c>
      <c r="AL65" cm="1">
        <f t="array" ref="AL65">IFERROR(IF($E65&lt;44348,"",IF(INDEX(Raw_매출!$B$2:$BI$155,MATCH($A65,Raw_매출!$A$2:$A$155,0),MATCH(EDATE($E65,AL$1-1),Raw_매출!$B$1:$BI$1,0))=0,"",INDEX(Raw_매출!$B$2:$BI$155,MATCH($A65,Raw_매출!$A$2:$A$155,0),MATCH(EDATE($E65,AL$1-1),Raw_매출!$B$1:$BI$1,0))/(INDEX(요약_월별시즈널리티!$F$7:$F$18,MONTH(EDATE($E65,AL$1-1)))/100))),"")</f>
        <v>7472455.4584377185</v>
      </c>
      <c r="AM65" cm="1">
        <f t="array" ref="AM65">IFERROR(IF($E65&lt;44348,"",IF(INDEX(Raw_매출!$B$2:$BI$155,MATCH($A65,Raw_매출!$A$2:$A$155,0),MATCH(EDATE($E65,AM$1-1),Raw_매출!$B$1:$BI$1,0))=0,"",INDEX(Raw_매출!$B$2:$BI$155,MATCH($A65,Raw_매출!$A$2:$A$155,0),MATCH(EDATE($E65,AM$1-1),Raw_매출!$B$1:$BI$1,0))/(INDEX(요약_월별시즈널리티!$F$7:$F$18,MONTH(EDATE($E65,AM$1-1)))/100))),"")</f>
        <v>6959738.2527270745</v>
      </c>
      <c r="AN65" cm="1">
        <f t="array" ref="AN65">IFERROR(IF($E65&lt;44348,"",IF(INDEX(Raw_매출!$B$2:$BI$155,MATCH($A65,Raw_매출!$A$2:$A$155,0),MATCH(EDATE($E65,AN$1-1),Raw_매출!$B$1:$BI$1,0))=0,"",INDEX(Raw_매출!$B$2:$BI$155,MATCH($A65,Raw_매출!$A$2:$A$155,0),MATCH(EDATE($E65,AN$1-1),Raw_매출!$B$1:$BI$1,0))/(INDEX(요약_월별시즈널리티!$F$7:$F$18,MONTH(EDATE($E65,AN$1-1)))/100))),"")</f>
        <v>7529132.84700411</v>
      </c>
      <c r="AO65" cm="1">
        <f t="array" ref="AO65">IFERROR(IF($E65&lt;44348,"",IF(INDEX(Raw_매출!$B$2:$BI$155,MATCH($A65,Raw_매출!$A$2:$A$155,0),MATCH(EDATE($E65,AO$1-1),Raw_매출!$B$1:$BI$1,0))=0,"",INDEX(Raw_매출!$B$2:$BI$155,MATCH($A65,Raw_매출!$A$2:$A$155,0),MATCH(EDATE($E65,AO$1-1),Raw_매출!$B$1:$BI$1,0))/(INDEX(요약_월별시즈널리티!$F$7:$F$18,MONTH(EDATE($E65,AO$1-1)))/100))),"")</f>
        <v>8249684.9764929106</v>
      </c>
      <c r="AP65" cm="1">
        <f t="array" ref="AP65">IFERROR(IF($E65&lt;44348,"",IF(INDEX(Raw_매출!$B$2:$BI$155,MATCH($A65,Raw_매출!$A$2:$A$155,0),MATCH(EDATE($E65,AP$1-1),Raw_매출!$B$1:$BI$1,0))=0,"",INDEX(Raw_매출!$B$2:$BI$155,MATCH($A65,Raw_매출!$A$2:$A$155,0),MATCH(EDATE($E65,AP$1-1),Raw_매출!$B$1:$BI$1,0))/(INDEX(요약_월별시즈널리티!$F$7:$F$18,MONTH(EDATE($E65,AP$1-1)))/100))),"")</f>
        <v>7308942.3485077508</v>
      </c>
      <c r="AQ65" cm="1">
        <f t="array" ref="AQ65">IFERROR(IF($E65&lt;44348,"",IF(INDEX(Raw_매출!$B$2:$BI$155,MATCH($A65,Raw_매출!$A$2:$A$155,0),MATCH(EDATE($E65,AQ$1-1),Raw_매출!$B$1:$BI$1,0))=0,"",INDEX(Raw_매출!$B$2:$BI$155,MATCH($A65,Raw_매출!$A$2:$A$155,0),MATCH(EDATE($E65,AQ$1-1),Raw_매출!$B$1:$BI$1,0))/(INDEX(요약_월별시즈널리티!$F$7:$F$18,MONTH(EDATE($E65,AQ$1-1)))/100))),"")</f>
        <v>7813604.3261257652</v>
      </c>
      <c r="AR65" cm="1">
        <f t="array" ref="AR65">IFERROR(IF($E65&lt;44348,"",IF(INDEX(Raw_매출!$B$2:$BI$155,MATCH($A65,Raw_매출!$A$2:$A$155,0),MATCH(EDATE($E65,AR$1-1),Raw_매출!$B$1:$BI$1,0))=0,"",INDEX(Raw_매출!$B$2:$BI$155,MATCH($A65,Raw_매출!$A$2:$A$155,0),MATCH(EDATE($E65,AR$1-1),Raw_매출!$B$1:$BI$1,0))/(INDEX(요약_월별시즈널리티!$F$7:$F$18,MONTH(EDATE($E65,AR$1-1)))/100))),"")</f>
        <v>7374590.3333665086</v>
      </c>
      <c r="AS65" cm="1">
        <f t="array" ref="AS65">IFERROR(IF($E65&lt;44348,"",IF(INDEX(Raw_매출!$B$2:$BI$155,MATCH($A65,Raw_매출!$A$2:$A$155,0),MATCH(EDATE($E65,AS$1-1),Raw_매출!$B$1:$BI$1,0))=0,"",INDEX(Raw_매출!$B$2:$BI$155,MATCH($A65,Raw_매출!$A$2:$A$155,0),MATCH(EDATE($E65,AS$1-1),Raw_매출!$B$1:$BI$1,0))/(INDEX(요약_월별시즈널리티!$F$7:$F$18,MONTH(EDATE($E65,AS$1-1)))/100))),"")</f>
        <v>7381870.3973934092</v>
      </c>
      <c r="AT65" cm="1">
        <f t="array" ref="AT65">IFERROR(IF($E65&lt;44348,"",IF(INDEX(Raw_매출!$B$2:$BI$155,MATCH($A65,Raw_매출!$A$2:$A$155,0),MATCH(EDATE($E65,AT$1-1),Raw_매출!$B$1:$BI$1,0))=0,"",INDEX(Raw_매출!$B$2:$BI$155,MATCH($A65,Raw_매출!$A$2:$A$155,0),MATCH(EDATE($E65,AT$1-1),Raw_매출!$B$1:$BI$1,0))/(INDEX(요약_월별시즈널리티!$F$7:$F$18,MONTH(EDATE($E65,AT$1-1)))/100))),"")</f>
        <v>7557489.6685364302</v>
      </c>
      <c r="AU65" cm="1">
        <f t="array" ref="AU65">IFERROR(IF($E65&lt;44348,"",IF(INDEX(Raw_매출!$B$2:$BI$155,MATCH($A65,Raw_매출!$A$2:$A$155,0),MATCH(EDATE($E65,AU$1-1),Raw_매출!$B$1:$BI$1,0))=0,"",INDEX(Raw_매출!$B$2:$BI$155,MATCH($A65,Raw_매출!$A$2:$A$155,0),MATCH(EDATE($E65,AU$1-1),Raw_매출!$B$1:$BI$1,0))/(INDEX(요약_월별시즈널리티!$F$7:$F$18,MONTH(EDATE($E65,AU$1-1)))/100))),"")</f>
        <v>8295962.9681387395</v>
      </c>
      <c r="AV65" cm="1">
        <f t="array" ref="AV65">IFERROR(IF($E65&lt;44348,"",IF(INDEX(Raw_매출!$B$2:$BI$155,MATCH($A65,Raw_매출!$A$2:$A$155,0),MATCH(EDATE($E65,AV$1-1),Raw_매출!$B$1:$BI$1,0))=0,"",INDEX(Raw_매출!$B$2:$BI$155,MATCH($A65,Raw_매출!$A$2:$A$155,0),MATCH(EDATE($E65,AV$1-1),Raw_매출!$B$1:$BI$1,0))/(INDEX(요약_월별시즈널리티!$F$7:$F$18,MONTH(EDATE($E65,AV$1-1)))/100))),"")</f>
        <v>7872566.5273469016</v>
      </c>
      <c r="AW65" cm="1">
        <f t="array" ref="AW65">IFERROR(IF($E65&lt;44348,"",IF(INDEX(Raw_매출!$B$2:$BI$155,MATCH($A65,Raw_매출!$A$2:$A$155,0),MATCH(EDATE($E65,AW$1-1),Raw_매출!$B$1:$BI$1,0))=0,"",INDEX(Raw_매출!$B$2:$BI$155,MATCH($A65,Raw_매출!$A$2:$A$155,0),MATCH(EDATE($E65,AW$1-1),Raw_매출!$B$1:$BI$1,0))/(INDEX(요약_월별시즈널리티!$F$7:$F$18,MONTH(EDATE($E65,AW$1-1)))/100))),"")</f>
        <v>9401865.4168932643</v>
      </c>
      <c r="AX65" t="str" cm="1">
        <f t="array" ref="AX65">IFERROR(IF($E65&lt;44348,"",IF(INDEX(Raw_매출!$B$2:$BI$155,MATCH($A65,Raw_매출!$A$2:$A$155,0),MATCH(EDATE($E65,AX$1-1),Raw_매출!$B$1:$BI$1,0))=0,"",INDEX(Raw_매출!$B$2:$BI$155,MATCH($A65,Raw_매출!$A$2:$A$155,0),MATCH(EDATE($E65,AX$1-1),Raw_매출!$B$1:$BI$1,0))/(INDEX(요약_월별시즈널리티!$F$7:$F$18,MONTH(EDATE($E65,AX$1-1)))/100))),"")</f>
        <v/>
      </c>
      <c r="AY65" t="str" cm="1">
        <f t="array" ref="AY65">IFERROR(IF($E65&lt;44348,"",IF(INDEX(Raw_매출!$B$2:$BI$155,MATCH($A65,Raw_매출!$A$2:$A$155,0),MATCH(EDATE($E65,AY$1-1),Raw_매출!$B$1:$BI$1,0))=0,"",INDEX(Raw_매출!$B$2:$BI$155,MATCH($A65,Raw_매출!$A$2:$A$155,0),MATCH(EDATE($E65,AY$1-1),Raw_매출!$B$1:$BI$1,0))/(INDEX(요약_월별시즈널리티!$F$7:$F$18,MONTH(EDATE($E65,AY$1-1)))/100))),"")</f>
        <v/>
      </c>
      <c r="AZ65" t="str" cm="1">
        <f t="array" ref="AZ65">IFERROR(IF($E65&lt;44348,"",IF(INDEX(Raw_매출!$B$2:$BI$155,MATCH($A65,Raw_매출!$A$2:$A$155,0),MATCH(EDATE($E65,AZ$1-1),Raw_매출!$B$1:$BI$1,0))=0,"",INDEX(Raw_매출!$B$2:$BI$155,MATCH($A65,Raw_매출!$A$2:$A$155,0),MATCH(EDATE($E65,AZ$1-1),Raw_매출!$B$1:$BI$1,0))/(INDEX(요약_월별시즈널리티!$F$7:$F$18,MONTH(EDATE($E65,AZ$1-1)))/100))),"")</f>
        <v/>
      </c>
      <c r="BA65" t="str" cm="1">
        <f t="array" ref="BA65">IFERROR(IF($E65&lt;44348,"",IF(INDEX(Raw_매출!$B$2:$BI$155,MATCH($A65,Raw_매출!$A$2:$A$155,0),MATCH(EDATE($E65,BA$1-1),Raw_매출!$B$1:$BI$1,0))=0,"",INDEX(Raw_매출!$B$2:$BI$155,MATCH($A65,Raw_매출!$A$2:$A$155,0),MATCH(EDATE($E65,BA$1-1),Raw_매출!$B$1:$BI$1,0))/(INDEX(요약_월별시즈널리티!$F$7:$F$18,MONTH(EDATE($E65,BA$1-1)))/100))),"")</f>
        <v/>
      </c>
      <c r="BB65" t="str" cm="1">
        <f t="array" ref="BB65">IFERROR(IF($E65&lt;44348,"",IF(INDEX(Raw_매출!$B$2:$BI$155,MATCH($A65,Raw_매출!$A$2:$A$155,0),MATCH(EDATE($E65,BB$1-1),Raw_매출!$B$1:$BI$1,0))=0,"",INDEX(Raw_매출!$B$2:$BI$155,MATCH($A65,Raw_매출!$A$2:$A$155,0),MATCH(EDATE($E65,BB$1-1),Raw_매출!$B$1:$BI$1,0))/(INDEX(요약_월별시즈널리티!$F$7:$F$18,MONTH(EDATE($E65,BB$1-1)))/100))),"")</f>
        <v/>
      </c>
      <c r="BC65" t="str" cm="1">
        <f t="array" ref="BC65">IFERROR(IF($E65&lt;44348,"",IF(INDEX(Raw_매출!$B$2:$BI$155,MATCH($A65,Raw_매출!$A$2:$A$155,0),MATCH(EDATE($E65,BC$1-1),Raw_매출!$B$1:$BI$1,0))=0,"",INDEX(Raw_매출!$B$2:$BI$155,MATCH($A65,Raw_매출!$A$2:$A$155,0),MATCH(EDATE($E65,BC$1-1),Raw_매출!$B$1:$BI$1,0))/(INDEX(요약_월별시즈널리티!$F$7:$F$18,MONTH(EDATE($E65,BC$1-1)))/100))),"")</f>
        <v/>
      </c>
      <c r="BD65" t="str" cm="1">
        <f t="array" ref="BD65">IFERROR(IF($E65&lt;44348,"",IF(INDEX(Raw_매출!$B$2:$BI$155,MATCH($A65,Raw_매출!$A$2:$A$155,0),MATCH(EDATE($E65,BD$1-1),Raw_매출!$B$1:$BI$1,0))=0,"",INDEX(Raw_매출!$B$2:$BI$155,MATCH($A65,Raw_매출!$A$2:$A$155,0),MATCH(EDATE($E65,BD$1-1),Raw_매출!$B$1:$BI$1,0))/(INDEX(요약_월별시즈널리티!$F$7:$F$18,MONTH(EDATE($E65,BD$1-1)))/100))),"")</f>
        <v/>
      </c>
      <c r="BE65" t="str" cm="1">
        <f t="array" ref="BE65">IFERROR(IF($E65&lt;44348,"",IF(INDEX(Raw_매출!$B$2:$BI$155,MATCH($A65,Raw_매출!$A$2:$A$155,0),MATCH(EDATE($E65,BE$1-1),Raw_매출!$B$1:$BI$1,0))=0,"",INDEX(Raw_매출!$B$2:$BI$155,MATCH($A65,Raw_매출!$A$2:$A$155,0),MATCH(EDATE($E65,BE$1-1),Raw_매출!$B$1:$BI$1,0))/(INDEX(요약_월별시즈널리티!$F$7:$F$18,MONTH(EDATE($E65,BE$1-1)))/100))),"")</f>
        <v/>
      </c>
      <c r="BF65" t="str" cm="1">
        <f t="array" ref="BF65">IFERROR(IF($E65&lt;44348,"",IF(INDEX(Raw_매출!$B$2:$BI$155,MATCH($A65,Raw_매출!$A$2:$A$155,0),MATCH(EDATE($E65,BF$1-1),Raw_매출!$B$1:$BI$1,0))=0,"",INDEX(Raw_매출!$B$2:$BI$155,MATCH($A65,Raw_매출!$A$2:$A$155,0),MATCH(EDATE($E65,BF$1-1),Raw_매출!$B$1:$BI$1,0))/(INDEX(요약_월별시즈널리티!$F$7:$F$18,MONTH(EDATE($E65,BF$1-1)))/100))),"")</f>
        <v/>
      </c>
      <c r="BG65" t="str" cm="1">
        <f t="array" ref="BG65">IFERROR(IF($E65&lt;44348,"",IF(INDEX(Raw_매출!$B$2:$BI$155,MATCH($A65,Raw_매출!$A$2:$A$155,0),MATCH(EDATE($E65,BG$1-1),Raw_매출!$B$1:$BI$1,0))=0,"",INDEX(Raw_매출!$B$2:$BI$155,MATCH($A65,Raw_매출!$A$2:$A$155,0),MATCH(EDATE($E65,BG$1-1),Raw_매출!$B$1:$BI$1,0))/(INDEX(요약_월별시즈널리티!$F$7:$F$18,MONTH(EDATE($E65,BG$1-1)))/100))),"")</f>
        <v/>
      </c>
      <c r="BH65" t="str" cm="1">
        <f t="array" ref="BH65">IFERROR(IF($E65&lt;44348,"",IF(INDEX(Raw_매출!$B$2:$BI$155,MATCH($A65,Raw_매출!$A$2:$A$155,0),MATCH(EDATE($E65,BH$1-1),Raw_매출!$B$1:$BI$1,0))=0,"",INDEX(Raw_매출!$B$2:$BI$155,MATCH($A65,Raw_매출!$A$2:$A$155,0),MATCH(EDATE($E65,BH$1-1),Raw_매출!$B$1:$BI$1,0))/(INDEX(요약_월별시즈널리티!$F$7:$F$18,MONTH(EDATE($E65,BH$1-1)))/100))),"")</f>
        <v/>
      </c>
      <c r="BI65" t="str" cm="1">
        <f t="array" ref="BI65">IFERROR(IF($E65&lt;44348,"",IF(INDEX(Raw_매출!$B$2:$BI$155,MATCH($A65,Raw_매출!$A$2:$A$155,0),MATCH(EDATE($E65,BI$1-1),Raw_매출!$B$1:$BI$1,0))=0,"",INDEX(Raw_매출!$B$2:$BI$155,MATCH($A65,Raw_매출!$A$2:$A$155,0),MATCH(EDATE($E65,BI$1-1),Raw_매출!$B$1:$BI$1,0))/(INDEX(요약_월별시즈널리티!$F$7:$F$18,MONTH(EDATE($E65,BI$1-1)))/100))),"")</f>
        <v/>
      </c>
      <c r="BJ65" t="str" cm="1">
        <f t="array" ref="BJ65">IFERROR(IF($E65&lt;44348,"",IF(INDEX(Raw_매출!$B$2:$BI$155,MATCH($A65,Raw_매출!$A$2:$A$155,0),MATCH(EDATE($E65,BJ$1-1),Raw_매출!$B$1:$BI$1,0))=0,"",INDEX(Raw_매출!$B$2:$BI$155,MATCH($A65,Raw_매출!$A$2:$A$155,0),MATCH(EDATE($E65,BJ$1-1),Raw_매출!$B$1:$BI$1,0))/(INDEX(요약_월별시즈널리티!$F$7:$F$18,MONTH(EDATE($E65,BJ$1-1)))/100))),"")</f>
        <v/>
      </c>
      <c r="BK65" t="str" cm="1">
        <f t="array" ref="BK65">IFERROR(IF($E65&lt;44348,"",IF(INDEX(Raw_매출!$B$2:$BI$155,MATCH($A65,Raw_매출!$A$2:$A$155,0),MATCH(EDATE($E65,BK$1-1),Raw_매출!$B$1:$BI$1,0))=0,"",INDEX(Raw_매출!$B$2:$BI$155,MATCH($A65,Raw_매출!$A$2:$A$155,0),MATCH(EDATE($E65,BK$1-1),Raw_매출!$B$1:$BI$1,0))/(INDEX(요약_월별시즈널리티!$F$7:$F$18,MONTH(EDATE($E65,BK$1-1)))/100))),"")</f>
        <v/>
      </c>
      <c r="BL65" t="str" cm="1">
        <f t="array" ref="BL65">IFERROR(IF($E65&lt;44348,"",IF(INDEX(Raw_매출!$B$2:$BI$155,MATCH($A65,Raw_매출!$A$2:$A$155,0),MATCH(EDATE($E65,BL$1-1),Raw_매출!$B$1:$BI$1,0))=0,"",INDEX(Raw_매출!$B$2:$BI$155,MATCH($A65,Raw_매출!$A$2:$A$155,0),MATCH(EDATE($E65,BL$1-1),Raw_매출!$B$1:$BI$1,0))/(INDEX(요약_월별시즈널리티!$F$7:$F$18,MONTH(EDATE($E65,BL$1-1)))/100))),"")</f>
        <v/>
      </c>
      <c r="BM65" t="str" cm="1">
        <f t="array" ref="BM65">IFERROR(IF($E65&lt;44348,"",IF(INDEX(Raw_매출!$B$2:$BI$155,MATCH($A65,Raw_매출!$A$2:$A$155,0),MATCH(EDATE($E65,BM$1-1),Raw_매출!$B$1:$BI$1,0))=0,"",INDEX(Raw_매출!$B$2:$BI$155,MATCH($A65,Raw_매출!$A$2:$A$155,0),MATCH(EDATE($E65,BM$1-1),Raw_매출!$B$1:$BI$1,0))/(INDEX(요약_월별시즈널리티!$F$7:$F$18,MONTH(EDATE($E65,BM$1-1)))/100))),"")</f>
        <v/>
      </c>
      <c r="BN65" t="str" cm="1">
        <f t="array" ref="BN65">IFERROR(IF($E65&lt;44348,"",IF(INDEX(Raw_매출!$B$2:$BI$155,MATCH($A65,Raw_매출!$A$2:$A$155,0),MATCH(EDATE($E65,BN$1-1),Raw_매출!$B$1:$BI$1,0))=0,"",INDEX(Raw_매출!$B$2:$BI$155,MATCH($A65,Raw_매출!$A$2:$A$155,0),MATCH(EDATE($E65,BN$1-1),Raw_매출!$B$1:$BI$1,0))/(INDEX(요약_월별시즈널리티!$F$7:$F$18,MONTH(EDATE($E65,BN$1-1)))/100))),"")</f>
        <v/>
      </c>
    </row>
    <row r="66" spans="1:66" x14ac:dyDescent="0.4">
      <c r="A66" t="str">
        <f>세팅!A67</f>
        <v>(1055) #영통신원뽀송점</v>
      </c>
      <c r="B66" t="str">
        <f>세팅!B67</f>
        <v>150-1</v>
      </c>
      <c r="C66">
        <f t="shared" si="0"/>
        <v>1</v>
      </c>
      <c r="D66" t="str">
        <f t="shared" si="1"/>
        <v>1</v>
      </c>
      <c r="E66" s="1">
        <f>세팅!D67</f>
        <v>44866</v>
      </c>
      <c r="F66">
        <f t="shared" si="2"/>
        <v>4133779.8280782481</v>
      </c>
      <c r="G66" cm="1">
        <f t="array" ref="G66">IFERROR(IF($E66&lt;44348,"",IF(INDEX(Raw_매출!$B$2:$BI$155,MATCH($A66,Raw_매출!$A$2:$A$155,0),MATCH(EDATE($E66,G$1-1),Raw_매출!$B$1:$BI$1,0))=0,"",INDEX(Raw_매출!$B$2:$BI$155,MATCH($A66,Raw_매출!$A$2:$A$155,0),MATCH(EDATE($E66,G$1-1),Raw_매출!$B$1:$BI$1,0))/(INDEX(요약_월별시즈널리티!$F$7:$F$18,MONTH(EDATE($E66,G$1-1)))/100))),"")</f>
        <v>2489249.2438388057</v>
      </c>
      <c r="H66" cm="1">
        <f t="array" ref="H66">IFERROR(IF($E66&lt;44348,"",IF(INDEX(Raw_매출!$B$2:$BI$155,MATCH($A66,Raw_매출!$A$2:$A$155,0),MATCH(EDATE($E66,H$1-1),Raw_매출!$B$1:$BI$1,0))=0,"",INDEX(Raw_매출!$B$2:$BI$155,MATCH($A66,Raw_매출!$A$2:$A$155,0),MATCH(EDATE($E66,H$1-1),Raw_매출!$B$1:$BI$1,0))/(INDEX(요약_월별시즈널리티!$F$7:$F$18,MONTH(EDATE($E66,H$1-1)))/100))),"")</f>
        <v>2775214.2575998935</v>
      </c>
      <c r="I66" cm="1">
        <f t="array" ref="I66">IFERROR(IF($E66&lt;44348,"",IF(INDEX(Raw_매출!$B$2:$BI$155,MATCH($A66,Raw_매출!$A$2:$A$155,0),MATCH(EDATE($E66,I$1-1),Raw_매출!$B$1:$BI$1,0))=0,"",INDEX(Raw_매출!$B$2:$BI$155,MATCH($A66,Raw_매출!$A$2:$A$155,0),MATCH(EDATE($E66,I$1-1),Raw_매출!$B$1:$BI$1,0))/(INDEX(요약_월별시즈널리티!$F$7:$F$18,MONTH(EDATE($E66,I$1-1)))/100))),"")</f>
        <v>3147017.5039850939</v>
      </c>
      <c r="J66" s="30" cm="1">
        <f t="array" ref="J66">IFERROR(IF($E66&lt;44348,"",IF(INDEX(Raw_매출!$B$2:$BI$155,MATCH($A66,Raw_매출!$A$2:$A$155,0),MATCH(EDATE($E66,J$1-1),Raw_매출!$B$1:$BI$1,0))=0,"",INDEX(Raw_매출!$B$2:$BI$155,MATCH($A66,Raw_매출!$A$2:$A$155,0),MATCH(EDATE($E66,J$1-1),Raw_매출!$B$1:$BI$1,0))/(INDEX(요약_월별시즈널리티!$F$7:$F$18,MONTH(EDATE($E66,J$1-1)))/100))),"")</f>
        <v>4278532.6060510697</v>
      </c>
      <c r="K66" s="30" cm="1">
        <f t="array" ref="K66">IFERROR(IF($E66&lt;44348,"",IF(INDEX(Raw_매출!$B$2:$BI$155,MATCH($A66,Raw_매출!$A$2:$A$155,0),MATCH(EDATE($E66,K$1-1),Raw_매출!$B$1:$BI$1,0))=0,"",INDEX(Raw_매출!$B$2:$BI$155,MATCH($A66,Raw_매출!$A$2:$A$155,0),MATCH(EDATE($E66,K$1-1),Raw_매출!$B$1:$BI$1,0))/(INDEX(요약_월별시즈널리티!$F$7:$F$18,MONTH(EDATE($E66,K$1-1)))/100))),"")</f>
        <v>4233747.2834377959</v>
      </c>
      <c r="L66" s="30" cm="1">
        <f t="array" ref="L66">IFERROR(IF($E66&lt;44348,"",IF(INDEX(Raw_매출!$B$2:$BI$155,MATCH($A66,Raw_매출!$A$2:$A$155,0),MATCH(EDATE($E66,L$1-1),Raw_매출!$B$1:$BI$1,0))=0,"",INDEX(Raw_매출!$B$2:$BI$155,MATCH($A66,Raw_매출!$A$2:$A$155,0),MATCH(EDATE($E66,L$1-1),Raw_매출!$B$1:$BI$1,0))/(INDEX(요약_월별시즈널리티!$F$7:$F$18,MONTH(EDATE($E66,L$1-1)))/100))),"")</f>
        <v>3934200.3602823885</v>
      </c>
      <c r="M66" s="30" cm="1">
        <f t="array" ref="M66">IFERROR(IF($E66&lt;44348,"",IF(INDEX(Raw_매출!$B$2:$BI$155,MATCH($A66,Raw_매출!$A$2:$A$155,0),MATCH(EDATE($E66,M$1-1),Raw_매출!$B$1:$BI$1,0))=0,"",INDEX(Raw_매출!$B$2:$BI$155,MATCH($A66,Raw_매출!$A$2:$A$155,0),MATCH(EDATE($E66,M$1-1),Raw_매출!$B$1:$BI$1,0))/(INDEX(요약_월별시즈널리티!$F$7:$F$18,MONTH(EDATE($E66,M$1-1)))/100))),"")</f>
        <v>3866012.5590488138</v>
      </c>
      <c r="N66" s="30" cm="1">
        <f t="array" ref="N66">IFERROR(IF($E66&lt;44348,"",IF(INDEX(Raw_매출!$B$2:$BI$155,MATCH($A66,Raw_매출!$A$2:$A$155,0),MATCH(EDATE($E66,N$1-1),Raw_매출!$B$1:$BI$1,0))=0,"",INDEX(Raw_매출!$B$2:$BI$155,MATCH($A66,Raw_매출!$A$2:$A$155,0),MATCH(EDATE($E66,N$1-1),Raw_매출!$B$1:$BI$1,0))/(INDEX(요약_월별시즈널리티!$F$7:$F$18,MONTH(EDATE($E66,N$1-1)))/100))),"")</f>
        <v>4060916.1704149758</v>
      </c>
      <c r="O66" s="30" cm="1">
        <f t="array" ref="O66">IFERROR(IF($E66&lt;44348,"",IF(INDEX(Raw_매출!$B$2:$BI$155,MATCH($A66,Raw_매출!$A$2:$A$155,0),MATCH(EDATE($E66,O$1-1),Raw_매출!$B$1:$BI$1,0))=0,"",INDEX(Raw_매출!$B$2:$BI$155,MATCH($A66,Raw_매출!$A$2:$A$155,0),MATCH(EDATE($E66,O$1-1),Raw_매출!$B$1:$BI$1,0))/(INDEX(요약_월별시즈널리티!$F$7:$F$18,MONTH(EDATE($E66,O$1-1)))/100))),"")</f>
        <v>4429269.9892344484</v>
      </c>
      <c r="P66" cm="1">
        <f t="array" ref="P66">IFERROR(IF($E66&lt;44348,"",IF(INDEX(Raw_매출!$B$2:$BI$155,MATCH($A66,Raw_매출!$A$2:$A$155,0),MATCH(EDATE($E66,P$1-1),Raw_매출!$B$1:$BI$1,0))=0,"",INDEX(Raw_매출!$B$2:$BI$155,MATCH($A66,Raw_매출!$A$2:$A$155,0),MATCH(EDATE($E66,P$1-1),Raw_매출!$B$1:$BI$1,0))/(INDEX(요약_월별시즈널리티!$F$7:$F$18,MONTH(EDATE($E66,P$1-1)))/100))),"")</f>
        <v>4371101.4619141482</v>
      </c>
      <c r="Q66" cm="1">
        <f t="array" ref="Q66">IFERROR(IF($E66&lt;44348,"",IF(INDEX(Raw_매출!$B$2:$BI$155,MATCH($A66,Raw_매출!$A$2:$A$155,0),MATCH(EDATE($E66,Q$1-1),Raw_매출!$B$1:$BI$1,0))=0,"",INDEX(Raw_매출!$B$2:$BI$155,MATCH($A66,Raw_매출!$A$2:$A$155,0),MATCH(EDATE($E66,Q$1-1),Raw_매출!$B$1:$BI$1,0))/(INDEX(요약_월별시즈널리티!$F$7:$F$18,MONTH(EDATE($E66,Q$1-1)))/100))),"")</f>
        <v>4478964.8611217663</v>
      </c>
      <c r="R66" cm="1">
        <f t="array" ref="R66">IFERROR(IF($E66&lt;44348,"",IF(INDEX(Raw_매출!$B$2:$BI$155,MATCH($A66,Raw_매출!$A$2:$A$155,0),MATCH(EDATE($E66,R$1-1),Raw_매출!$B$1:$BI$1,0))=0,"",INDEX(Raw_매출!$B$2:$BI$155,MATCH($A66,Raw_매출!$A$2:$A$155,0),MATCH(EDATE($E66,R$1-1),Raw_매출!$B$1:$BI$1,0))/(INDEX(요약_월별시즈널리티!$F$7:$F$18,MONTH(EDATE($E66,R$1-1)))/100))),"")</f>
        <v>4737679.5559577756</v>
      </c>
      <c r="S66" cm="1">
        <f t="array" ref="S66">IFERROR(IF($E66&lt;44348,"",IF(INDEX(Raw_매출!$B$2:$BI$155,MATCH($A66,Raw_매출!$A$2:$A$155,0),MATCH(EDATE($E66,S$1-1),Raw_매출!$B$1:$BI$1,0))=0,"",INDEX(Raw_매출!$B$2:$BI$155,MATCH($A66,Raw_매출!$A$2:$A$155,0),MATCH(EDATE($E66,S$1-1),Raw_매출!$B$1:$BI$1,0))/(INDEX(요약_월별시즈널리티!$F$7:$F$18,MONTH(EDATE($E66,S$1-1)))/100))),"")</f>
        <v>4567654.5091778273</v>
      </c>
      <c r="T66" cm="1">
        <f t="array" ref="T66">IFERROR(IF($E66&lt;44348,"",IF(INDEX(Raw_매출!$B$2:$BI$155,MATCH($A66,Raw_매출!$A$2:$A$155,0),MATCH(EDATE($E66,T$1-1),Raw_매출!$B$1:$BI$1,0))=0,"",INDEX(Raw_매출!$B$2:$BI$155,MATCH($A66,Raw_매출!$A$2:$A$155,0),MATCH(EDATE($E66,T$1-1),Raw_매출!$B$1:$BI$1,0))/(INDEX(요약_월별시즈널리티!$F$7:$F$18,MONTH(EDATE($E66,T$1-1)))/100))),"")</f>
        <v>5188439.4184193788</v>
      </c>
      <c r="U66" cm="1">
        <f t="array" ref="U66">IFERROR(IF($E66&lt;44348,"",IF(INDEX(Raw_매출!$B$2:$BI$155,MATCH($A66,Raw_매출!$A$2:$A$155,0),MATCH(EDATE($E66,U$1-1),Raw_매출!$B$1:$BI$1,0))=0,"",INDEX(Raw_매출!$B$2:$BI$155,MATCH($A66,Raw_매출!$A$2:$A$155,0),MATCH(EDATE($E66,U$1-1),Raw_매출!$B$1:$BI$1,0))/(INDEX(요약_월별시즈널리티!$F$7:$F$18,MONTH(EDATE($E66,U$1-1)))/100))),"")</f>
        <v>5358280.8207683535</v>
      </c>
      <c r="V66" cm="1">
        <f t="array" ref="V66">IFERROR(IF($E66&lt;44348,"",IF(INDEX(Raw_매출!$B$2:$BI$155,MATCH($A66,Raw_매출!$A$2:$A$155,0),MATCH(EDATE($E66,V$1-1),Raw_매출!$B$1:$BI$1,0))=0,"",INDEX(Raw_매출!$B$2:$BI$155,MATCH($A66,Raw_매출!$A$2:$A$155,0),MATCH(EDATE($E66,V$1-1),Raw_매출!$B$1:$BI$1,0))/(INDEX(요약_월별시즈널리티!$F$7:$F$18,MONTH(EDATE($E66,V$1-1)))/100))),"")</f>
        <v>5893820.2037452236</v>
      </c>
      <c r="W66" cm="1">
        <f t="array" ref="W66">IFERROR(IF($E66&lt;44348,"",IF(INDEX(Raw_매출!$B$2:$BI$155,MATCH($A66,Raw_매출!$A$2:$A$155,0),MATCH(EDATE($E66,W$1-1),Raw_매출!$B$1:$BI$1,0))=0,"",INDEX(Raw_매출!$B$2:$BI$155,MATCH($A66,Raw_매출!$A$2:$A$155,0),MATCH(EDATE($E66,W$1-1),Raw_매출!$B$1:$BI$1,0))/(INDEX(요약_월별시즈널리티!$F$7:$F$18,MONTH(EDATE($E66,W$1-1)))/100))),"")</f>
        <v>5233401.4973867042</v>
      </c>
      <c r="X66" cm="1">
        <f t="array" ref="X66">IFERROR(IF($E66&lt;44348,"",IF(INDEX(Raw_매출!$B$2:$BI$155,MATCH($A66,Raw_매출!$A$2:$A$155,0),MATCH(EDATE($E66,X$1-1),Raw_매출!$B$1:$BI$1,0))=0,"",INDEX(Raw_매출!$B$2:$BI$155,MATCH($A66,Raw_매출!$A$2:$A$155,0),MATCH(EDATE($E66,X$1-1),Raw_매출!$B$1:$BI$1,0))/(INDEX(요약_월별시즈널리티!$F$7:$F$18,MONTH(EDATE($E66,X$1-1)))/100))),"")</f>
        <v>5787103.5485354969</v>
      </c>
      <c r="Y66" cm="1">
        <f t="array" ref="Y66">IFERROR(IF($E66&lt;44348,"",IF(INDEX(Raw_매출!$B$2:$BI$155,MATCH($A66,Raw_매출!$A$2:$A$155,0),MATCH(EDATE($E66,Y$1-1),Raw_매출!$B$1:$BI$1,0))=0,"",INDEX(Raw_매출!$B$2:$BI$155,MATCH($A66,Raw_매출!$A$2:$A$155,0),MATCH(EDATE($E66,Y$1-1),Raw_매출!$B$1:$BI$1,0))/(INDEX(요약_월별시즈널리티!$F$7:$F$18,MONTH(EDATE($E66,Y$1-1)))/100))),"")</f>
        <v>4618848.1555481097</v>
      </c>
      <c r="Z66" cm="1">
        <f t="array" ref="Z66">IFERROR(IF($E66&lt;44348,"",IF(INDEX(Raw_매출!$B$2:$BI$155,MATCH($A66,Raw_매출!$A$2:$A$155,0),MATCH(EDATE($E66,Z$1-1),Raw_매출!$B$1:$BI$1,0))=0,"",INDEX(Raw_매출!$B$2:$BI$155,MATCH($A66,Raw_매출!$A$2:$A$155,0),MATCH(EDATE($E66,Z$1-1),Raw_매출!$B$1:$BI$1,0))/(INDEX(요약_월별시즈널리티!$F$7:$F$18,MONTH(EDATE($E66,Z$1-1)))/100))),"")</f>
        <v>4976519.4785073409</v>
      </c>
      <c r="AA66" cm="1">
        <f t="array" ref="AA66">IFERROR(IF($E66&lt;44348,"",IF(INDEX(Raw_매출!$B$2:$BI$155,MATCH($A66,Raw_매출!$A$2:$A$155,0),MATCH(EDATE($E66,AA$1-1),Raw_매출!$B$1:$BI$1,0))=0,"",INDEX(Raw_매출!$B$2:$BI$155,MATCH($A66,Raw_매출!$A$2:$A$155,0),MATCH(EDATE($E66,AA$1-1),Raw_매출!$B$1:$BI$1,0))/(INDEX(요약_월별시즈널리티!$F$7:$F$18,MONTH(EDATE($E66,AA$1-1)))/100))),"")</f>
        <v>4858679.4274229277</v>
      </c>
      <c r="AB66" cm="1">
        <f t="array" ref="AB66">IFERROR(IF($E66&lt;44348,"",IF(INDEX(Raw_매출!$B$2:$BI$155,MATCH($A66,Raw_매출!$A$2:$A$155,0),MATCH(EDATE($E66,AB$1-1),Raw_매출!$B$1:$BI$1,0))=0,"",INDEX(Raw_매출!$B$2:$BI$155,MATCH($A66,Raw_매출!$A$2:$A$155,0),MATCH(EDATE($E66,AB$1-1),Raw_매출!$B$1:$BI$1,0))/(INDEX(요약_월별시즈널리티!$F$7:$F$18,MONTH(EDATE($E66,AB$1-1)))/100))),"")</f>
        <v>5319533.9533129539</v>
      </c>
      <c r="AC66" cm="1">
        <f t="array" ref="AC66">IFERROR(IF($E66&lt;44348,"",IF(INDEX(Raw_매출!$B$2:$BI$155,MATCH($A66,Raw_매출!$A$2:$A$155,0),MATCH(EDATE($E66,AC$1-1),Raw_매출!$B$1:$BI$1,0))=0,"",INDEX(Raw_매출!$B$2:$BI$155,MATCH($A66,Raw_매출!$A$2:$A$155,0),MATCH(EDATE($E66,AC$1-1),Raw_매출!$B$1:$BI$1,0))/(INDEX(요약_월별시즈널리티!$F$7:$F$18,MONTH(EDATE($E66,AC$1-1)))/100))),"")</f>
        <v>4937358.3749271957</v>
      </c>
      <c r="AD66" cm="1">
        <f t="array" ref="AD66">IFERROR(IF($E66&lt;44348,"",IF(INDEX(Raw_매출!$B$2:$BI$155,MATCH($A66,Raw_매출!$A$2:$A$155,0),MATCH(EDATE($E66,AD$1-1),Raw_매출!$B$1:$BI$1,0))=0,"",INDEX(Raw_매출!$B$2:$BI$155,MATCH($A66,Raw_매출!$A$2:$A$155,0),MATCH(EDATE($E66,AD$1-1),Raw_매출!$B$1:$BI$1,0))/(INDEX(요약_월별시즈널리티!$F$7:$F$18,MONTH(EDATE($E66,AD$1-1)))/100))),"")</f>
        <v>4707115.8348380849</v>
      </c>
      <c r="AE66" cm="1">
        <f t="array" ref="AE66">IFERROR(IF($E66&lt;44348,"",IF(INDEX(Raw_매출!$B$2:$BI$155,MATCH($A66,Raw_매출!$A$2:$A$155,0),MATCH(EDATE($E66,AE$1-1),Raw_매출!$B$1:$BI$1,0))=0,"",INDEX(Raw_매출!$B$2:$BI$155,MATCH($A66,Raw_매출!$A$2:$A$155,0),MATCH(EDATE($E66,AE$1-1),Raw_매출!$B$1:$BI$1,0))/(INDEX(요약_월별시즈널리티!$F$7:$F$18,MONTH(EDATE($E66,AE$1-1)))/100))),"")</f>
        <v>4784045.4006451126</v>
      </c>
      <c r="AF66" cm="1">
        <f t="array" ref="AF66">IFERROR(IF($E66&lt;44348,"",IF(INDEX(Raw_매출!$B$2:$BI$155,MATCH($A66,Raw_매출!$A$2:$A$155,0),MATCH(EDATE($E66,AF$1-1),Raw_매출!$B$1:$BI$1,0))=0,"",INDEX(Raw_매출!$B$2:$BI$155,MATCH($A66,Raw_매출!$A$2:$A$155,0),MATCH(EDATE($E66,AF$1-1),Raw_매출!$B$1:$BI$1,0))/(INDEX(요약_월별시즈널리티!$F$7:$F$18,MONTH(EDATE($E66,AF$1-1)))/100))),"")</f>
        <v>4609924.6151461266</v>
      </c>
      <c r="AG66" cm="1">
        <f t="array" ref="AG66">IFERROR(IF($E66&lt;44348,"",IF(INDEX(Raw_매출!$B$2:$BI$155,MATCH($A66,Raw_매출!$A$2:$A$155,0),MATCH(EDATE($E66,AG$1-1),Raw_매출!$B$1:$BI$1,0))=0,"",INDEX(Raw_매출!$B$2:$BI$155,MATCH($A66,Raw_매출!$A$2:$A$155,0),MATCH(EDATE($E66,AG$1-1),Raw_매출!$B$1:$BI$1,0))/(INDEX(요약_월별시즈널리티!$F$7:$F$18,MONTH(EDATE($E66,AG$1-1)))/100))),"")</f>
        <v>4893820.1713953223</v>
      </c>
      <c r="AH66" cm="1">
        <f t="array" ref="AH66">IFERROR(IF($E66&lt;44348,"",IF(INDEX(Raw_매출!$B$2:$BI$155,MATCH($A66,Raw_매출!$A$2:$A$155,0),MATCH(EDATE($E66,AH$1-1),Raw_매출!$B$1:$BI$1,0))=0,"",INDEX(Raw_매출!$B$2:$BI$155,MATCH($A66,Raw_매출!$A$2:$A$155,0),MATCH(EDATE($E66,AH$1-1),Raw_매출!$B$1:$BI$1,0))/(INDEX(요약_월별시즈널리티!$F$7:$F$18,MONTH(EDATE($E66,AH$1-1)))/100))),"")</f>
        <v>4541987.1771048158</v>
      </c>
      <c r="AI66" cm="1">
        <f t="array" ref="AI66">IFERROR(IF($E66&lt;44348,"",IF(INDEX(Raw_매출!$B$2:$BI$155,MATCH($A66,Raw_매출!$A$2:$A$155,0),MATCH(EDATE($E66,AI$1-1),Raw_매출!$B$1:$BI$1,0))=0,"",INDEX(Raw_매출!$B$2:$BI$155,MATCH($A66,Raw_매출!$A$2:$A$155,0),MATCH(EDATE($E66,AI$1-1),Raw_매출!$B$1:$BI$1,0))/(INDEX(요약_월별시즈널리티!$F$7:$F$18,MONTH(EDATE($E66,AI$1-1)))/100))),"")</f>
        <v>5040361.5568355955</v>
      </c>
      <c r="AJ66" cm="1">
        <f t="array" ref="AJ66">IFERROR(IF($E66&lt;44348,"",IF(INDEX(Raw_매출!$B$2:$BI$155,MATCH($A66,Raw_매출!$A$2:$A$155,0),MATCH(EDATE($E66,AJ$1-1),Raw_매출!$B$1:$BI$1,0))=0,"",INDEX(Raw_매출!$B$2:$BI$155,MATCH($A66,Raw_매출!$A$2:$A$155,0),MATCH(EDATE($E66,AJ$1-1),Raw_매출!$B$1:$BI$1,0))/(INDEX(요약_월별시즈널리티!$F$7:$F$18,MONTH(EDATE($E66,AJ$1-1)))/100))),"")</f>
        <v>5055320.519845753</v>
      </c>
      <c r="AK66" cm="1">
        <f t="array" ref="AK66">IFERROR(IF($E66&lt;44348,"",IF(INDEX(Raw_매출!$B$2:$BI$155,MATCH($A66,Raw_매출!$A$2:$A$155,0),MATCH(EDATE($E66,AK$1-1),Raw_매출!$B$1:$BI$1,0))=0,"",INDEX(Raw_매출!$B$2:$BI$155,MATCH($A66,Raw_매출!$A$2:$A$155,0),MATCH(EDATE($E66,AK$1-1),Raw_매출!$B$1:$BI$1,0))/(INDEX(요약_월별시즈널리티!$F$7:$F$18,MONTH(EDATE($E66,AK$1-1)))/100))),"")</f>
        <v>5638997.1428370671</v>
      </c>
      <c r="AL66" cm="1">
        <f t="array" ref="AL66">IFERROR(IF($E66&lt;44348,"",IF(INDEX(Raw_매출!$B$2:$BI$155,MATCH($A66,Raw_매출!$A$2:$A$155,0),MATCH(EDATE($E66,AL$1-1),Raw_매출!$B$1:$BI$1,0))=0,"",INDEX(Raw_매출!$B$2:$BI$155,MATCH($A66,Raw_매출!$A$2:$A$155,0),MATCH(EDATE($E66,AL$1-1),Raw_매출!$B$1:$BI$1,0))/(INDEX(요약_월별시즈널리티!$F$7:$F$18,MONTH(EDATE($E66,AL$1-1)))/100))),"")</f>
        <v>6014903.7211244721</v>
      </c>
      <c r="AM66" cm="1">
        <f t="array" ref="AM66">IFERROR(IF($E66&lt;44348,"",IF(INDEX(Raw_매출!$B$2:$BI$155,MATCH($A66,Raw_매출!$A$2:$A$155,0),MATCH(EDATE($E66,AM$1-1),Raw_매출!$B$1:$BI$1,0))=0,"",INDEX(Raw_매출!$B$2:$BI$155,MATCH($A66,Raw_매출!$A$2:$A$155,0),MATCH(EDATE($E66,AM$1-1),Raw_매출!$B$1:$BI$1,0))/(INDEX(요약_월별시즈널리티!$F$7:$F$18,MONTH(EDATE($E66,AM$1-1)))/100))),"")</f>
        <v>5056780.9517769767</v>
      </c>
      <c r="AN66" cm="1">
        <f t="array" ref="AN66">IFERROR(IF($E66&lt;44348,"",IF(INDEX(Raw_매출!$B$2:$BI$155,MATCH($A66,Raw_매출!$A$2:$A$155,0),MATCH(EDATE($E66,AN$1-1),Raw_매출!$B$1:$BI$1,0))=0,"",INDEX(Raw_매출!$B$2:$BI$155,MATCH($A66,Raw_매출!$A$2:$A$155,0),MATCH(EDATE($E66,AN$1-1),Raw_매출!$B$1:$BI$1,0))/(INDEX(요약_월별시즈널리티!$F$7:$F$18,MONTH(EDATE($E66,AN$1-1)))/100))),"")</f>
        <v>6173939.5003623217</v>
      </c>
      <c r="AO66" cm="1">
        <f t="array" ref="AO66">IFERROR(IF($E66&lt;44348,"",IF(INDEX(Raw_매출!$B$2:$BI$155,MATCH($A66,Raw_매출!$A$2:$A$155,0),MATCH(EDATE($E66,AO$1-1),Raw_매출!$B$1:$BI$1,0))=0,"",INDEX(Raw_매출!$B$2:$BI$155,MATCH($A66,Raw_매출!$A$2:$A$155,0),MATCH(EDATE($E66,AO$1-1),Raw_매출!$B$1:$BI$1,0))/(INDEX(요약_월별시즈널리티!$F$7:$F$18,MONTH(EDATE($E66,AO$1-1)))/100))),"")</f>
        <v>5977772.6230776124</v>
      </c>
      <c r="AP66" cm="1">
        <f t="array" ref="AP66">IFERROR(IF($E66&lt;44348,"",IF(INDEX(Raw_매출!$B$2:$BI$155,MATCH($A66,Raw_매출!$A$2:$A$155,0),MATCH(EDATE($E66,AP$1-1),Raw_매출!$B$1:$BI$1,0))=0,"",INDEX(Raw_매출!$B$2:$BI$155,MATCH($A66,Raw_매출!$A$2:$A$155,0),MATCH(EDATE($E66,AP$1-1),Raw_매출!$B$1:$BI$1,0))/(INDEX(요약_월별시즈널리티!$F$7:$F$18,MONTH(EDATE($E66,AP$1-1)))/100))),"")</f>
        <v>6125625.4525674898</v>
      </c>
      <c r="AQ66" cm="1">
        <f t="array" ref="AQ66">IFERROR(IF($E66&lt;44348,"",IF(INDEX(Raw_매출!$B$2:$BI$155,MATCH($A66,Raw_매출!$A$2:$A$155,0),MATCH(EDATE($E66,AQ$1-1),Raw_매출!$B$1:$BI$1,0))=0,"",INDEX(Raw_매출!$B$2:$BI$155,MATCH($A66,Raw_매출!$A$2:$A$155,0),MATCH(EDATE($E66,AQ$1-1),Raw_매출!$B$1:$BI$1,0))/(INDEX(요약_월별시즈널리티!$F$7:$F$18,MONTH(EDATE($E66,AQ$1-1)))/100))),"")</f>
        <v>6008393.8819507537</v>
      </c>
      <c r="AR66" cm="1">
        <f t="array" ref="AR66">IFERROR(IF($E66&lt;44348,"",IF(INDEX(Raw_매출!$B$2:$BI$155,MATCH($A66,Raw_매출!$A$2:$A$155,0),MATCH(EDATE($E66,AR$1-1),Raw_매출!$B$1:$BI$1,0))=0,"",INDEX(Raw_매출!$B$2:$BI$155,MATCH($A66,Raw_매출!$A$2:$A$155,0),MATCH(EDATE($E66,AR$1-1),Raw_매출!$B$1:$BI$1,0))/(INDEX(요약_월별시즈널리티!$F$7:$F$18,MONTH(EDATE($E66,AR$1-1)))/100))),"")</f>
        <v>5326751.0925588151</v>
      </c>
      <c r="AS66" cm="1">
        <f t="array" ref="AS66">IFERROR(IF($E66&lt;44348,"",IF(INDEX(Raw_매출!$B$2:$BI$155,MATCH($A66,Raw_매출!$A$2:$A$155,0),MATCH(EDATE($E66,AS$1-1),Raw_매출!$B$1:$BI$1,0))=0,"",INDEX(Raw_매출!$B$2:$BI$155,MATCH($A66,Raw_매출!$A$2:$A$155,0),MATCH(EDATE($E66,AS$1-1),Raw_매출!$B$1:$BI$1,0))/(INDEX(요약_월별시즈널리티!$F$7:$F$18,MONTH(EDATE($E66,AS$1-1)))/100))),"")</f>
        <v>6157717.7847424215</v>
      </c>
      <c r="AT66" cm="1">
        <f t="array" ref="AT66">IFERROR(IF($E66&lt;44348,"",IF(INDEX(Raw_매출!$B$2:$BI$155,MATCH($A66,Raw_매출!$A$2:$A$155,0),MATCH(EDATE($E66,AT$1-1),Raw_매출!$B$1:$BI$1,0))=0,"",INDEX(Raw_매출!$B$2:$BI$155,MATCH($A66,Raw_매출!$A$2:$A$155,0),MATCH(EDATE($E66,AT$1-1),Raw_매출!$B$1:$BI$1,0))/(INDEX(요약_월별시즈널리티!$F$7:$F$18,MONTH(EDATE($E66,AT$1-1)))/100))),"")</f>
        <v>6150903.7442371454</v>
      </c>
      <c r="AU66" cm="1">
        <f t="array" ref="AU66">IFERROR(IF($E66&lt;44348,"",IF(INDEX(Raw_매출!$B$2:$BI$155,MATCH($A66,Raw_매출!$A$2:$A$155,0),MATCH(EDATE($E66,AU$1-1),Raw_매출!$B$1:$BI$1,0))=0,"",INDEX(Raw_매출!$B$2:$BI$155,MATCH($A66,Raw_매출!$A$2:$A$155,0),MATCH(EDATE($E66,AU$1-1),Raw_매출!$B$1:$BI$1,0))/(INDEX(요약_월별시즈널리티!$F$7:$F$18,MONTH(EDATE($E66,AU$1-1)))/100))),"")</f>
        <v>5969542.5053567393</v>
      </c>
      <c r="AV66" cm="1">
        <f t="array" ref="AV66">IFERROR(IF($E66&lt;44348,"",IF(INDEX(Raw_매출!$B$2:$BI$155,MATCH($A66,Raw_매출!$A$2:$A$155,0),MATCH(EDATE($E66,AV$1-1),Raw_매출!$B$1:$BI$1,0))=0,"",INDEX(Raw_매출!$B$2:$BI$155,MATCH($A66,Raw_매출!$A$2:$A$155,0),MATCH(EDATE($E66,AV$1-1),Raw_매출!$B$1:$BI$1,0))/(INDEX(요약_월별시즈널리티!$F$7:$F$18,MONTH(EDATE($E66,AV$1-1)))/100))),"")</f>
        <v>6640192.3836718779</v>
      </c>
      <c r="AW66" cm="1">
        <f t="array" ref="AW66">IFERROR(IF($E66&lt;44348,"",IF(INDEX(Raw_매출!$B$2:$BI$155,MATCH($A66,Raw_매출!$A$2:$A$155,0),MATCH(EDATE($E66,AW$1-1),Raw_매출!$B$1:$BI$1,0))=0,"",INDEX(Raw_매출!$B$2:$BI$155,MATCH($A66,Raw_매출!$A$2:$A$155,0),MATCH(EDATE($E66,AW$1-1),Raw_매출!$B$1:$BI$1,0))/(INDEX(요약_월별시즈널리티!$F$7:$F$18,MONTH(EDATE($E66,AW$1-1)))/100))),"")</f>
        <v>6245059.9782569716</v>
      </c>
      <c r="AX66" t="str" cm="1">
        <f t="array" ref="AX66">IFERROR(IF($E66&lt;44348,"",IF(INDEX(Raw_매출!$B$2:$BI$155,MATCH($A66,Raw_매출!$A$2:$A$155,0),MATCH(EDATE($E66,AX$1-1),Raw_매출!$B$1:$BI$1,0))=0,"",INDEX(Raw_매출!$B$2:$BI$155,MATCH($A66,Raw_매출!$A$2:$A$155,0),MATCH(EDATE($E66,AX$1-1),Raw_매출!$B$1:$BI$1,0))/(INDEX(요약_월별시즈널리티!$F$7:$F$18,MONTH(EDATE($E66,AX$1-1)))/100))),"")</f>
        <v/>
      </c>
      <c r="AY66" t="str" cm="1">
        <f t="array" ref="AY66">IFERROR(IF($E66&lt;44348,"",IF(INDEX(Raw_매출!$B$2:$BI$155,MATCH($A66,Raw_매출!$A$2:$A$155,0),MATCH(EDATE($E66,AY$1-1),Raw_매출!$B$1:$BI$1,0))=0,"",INDEX(Raw_매출!$B$2:$BI$155,MATCH($A66,Raw_매출!$A$2:$A$155,0),MATCH(EDATE($E66,AY$1-1),Raw_매출!$B$1:$BI$1,0))/(INDEX(요약_월별시즈널리티!$F$7:$F$18,MONTH(EDATE($E66,AY$1-1)))/100))),"")</f>
        <v/>
      </c>
      <c r="AZ66" t="str" cm="1">
        <f t="array" ref="AZ66">IFERROR(IF($E66&lt;44348,"",IF(INDEX(Raw_매출!$B$2:$BI$155,MATCH($A66,Raw_매출!$A$2:$A$155,0),MATCH(EDATE($E66,AZ$1-1),Raw_매출!$B$1:$BI$1,0))=0,"",INDEX(Raw_매출!$B$2:$BI$155,MATCH($A66,Raw_매출!$A$2:$A$155,0),MATCH(EDATE($E66,AZ$1-1),Raw_매출!$B$1:$BI$1,0))/(INDEX(요약_월별시즈널리티!$F$7:$F$18,MONTH(EDATE($E66,AZ$1-1)))/100))),"")</f>
        <v/>
      </c>
      <c r="BA66" t="str" cm="1">
        <f t="array" ref="BA66">IFERROR(IF($E66&lt;44348,"",IF(INDEX(Raw_매출!$B$2:$BI$155,MATCH($A66,Raw_매출!$A$2:$A$155,0),MATCH(EDATE($E66,BA$1-1),Raw_매출!$B$1:$BI$1,0))=0,"",INDEX(Raw_매출!$B$2:$BI$155,MATCH($A66,Raw_매출!$A$2:$A$155,0),MATCH(EDATE($E66,BA$1-1),Raw_매출!$B$1:$BI$1,0))/(INDEX(요약_월별시즈널리티!$F$7:$F$18,MONTH(EDATE($E66,BA$1-1)))/100))),"")</f>
        <v/>
      </c>
      <c r="BB66" t="str" cm="1">
        <f t="array" ref="BB66">IFERROR(IF($E66&lt;44348,"",IF(INDEX(Raw_매출!$B$2:$BI$155,MATCH($A66,Raw_매출!$A$2:$A$155,0),MATCH(EDATE($E66,BB$1-1),Raw_매출!$B$1:$BI$1,0))=0,"",INDEX(Raw_매출!$B$2:$BI$155,MATCH($A66,Raw_매출!$A$2:$A$155,0),MATCH(EDATE($E66,BB$1-1),Raw_매출!$B$1:$BI$1,0))/(INDEX(요약_월별시즈널리티!$F$7:$F$18,MONTH(EDATE($E66,BB$1-1)))/100))),"")</f>
        <v/>
      </c>
      <c r="BC66" t="str" cm="1">
        <f t="array" ref="BC66">IFERROR(IF($E66&lt;44348,"",IF(INDEX(Raw_매출!$B$2:$BI$155,MATCH($A66,Raw_매출!$A$2:$A$155,0),MATCH(EDATE($E66,BC$1-1),Raw_매출!$B$1:$BI$1,0))=0,"",INDEX(Raw_매출!$B$2:$BI$155,MATCH($A66,Raw_매출!$A$2:$A$155,0),MATCH(EDATE($E66,BC$1-1),Raw_매출!$B$1:$BI$1,0))/(INDEX(요약_월별시즈널리티!$F$7:$F$18,MONTH(EDATE($E66,BC$1-1)))/100))),"")</f>
        <v/>
      </c>
      <c r="BD66" t="str" cm="1">
        <f t="array" ref="BD66">IFERROR(IF($E66&lt;44348,"",IF(INDEX(Raw_매출!$B$2:$BI$155,MATCH($A66,Raw_매출!$A$2:$A$155,0),MATCH(EDATE($E66,BD$1-1),Raw_매출!$B$1:$BI$1,0))=0,"",INDEX(Raw_매출!$B$2:$BI$155,MATCH($A66,Raw_매출!$A$2:$A$155,0),MATCH(EDATE($E66,BD$1-1),Raw_매출!$B$1:$BI$1,0))/(INDEX(요약_월별시즈널리티!$F$7:$F$18,MONTH(EDATE($E66,BD$1-1)))/100))),"")</f>
        <v/>
      </c>
      <c r="BE66" t="str" cm="1">
        <f t="array" ref="BE66">IFERROR(IF($E66&lt;44348,"",IF(INDEX(Raw_매출!$B$2:$BI$155,MATCH($A66,Raw_매출!$A$2:$A$155,0),MATCH(EDATE($E66,BE$1-1),Raw_매출!$B$1:$BI$1,0))=0,"",INDEX(Raw_매출!$B$2:$BI$155,MATCH($A66,Raw_매출!$A$2:$A$155,0),MATCH(EDATE($E66,BE$1-1),Raw_매출!$B$1:$BI$1,0))/(INDEX(요약_월별시즈널리티!$F$7:$F$18,MONTH(EDATE($E66,BE$1-1)))/100))),"")</f>
        <v/>
      </c>
      <c r="BF66" t="str" cm="1">
        <f t="array" ref="BF66">IFERROR(IF($E66&lt;44348,"",IF(INDEX(Raw_매출!$B$2:$BI$155,MATCH($A66,Raw_매출!$A$2:$A$155,0),MATCH(EDATE($E66,BF$1-1),Raw_매출!$B$1:$BI$1,0))=0,"",INDEX(Raw_매출!$B$2:$BI$155,MATCH($A66,Raw_매출!$A$2:$A$155,0),MATCH(EDATE($E66,BF$1-1),Raw_매출!$B$1:$BI$1,0))/(INDEX(요약_월별시즈널리티!$F$7:$F$18,MONTH(EDATE($E66,BF$1-1)))/100))),"")</f>
        <v/>
      </c>
      <c r="BG66" t="str" cm="1">
        <f t="array" ref="BG66">IFERROR(IF($E66&lt;44348,"",IF(INDEX(Raw_매출!$B$2:$BI$155,MATCH($A66,Raw_매출!$A$2:$A$155,0),MATCH(EDATE($E66,BG$1-1),Raw_매출!$B$1:$BI$1,0))=0,"",INDEX(Raw_매출!$B$2:$BI$155,MATCH($A66,Raw_매출!$A$2:$A$155,0),MATCH(EDATE($E66,BG$1-1),Raw_매출!$B$1:$BI$1,0))/(INDEX(요약_월별시즈널리티!$F$7:$F$18,MONTH(EDATE($E66,BG$1-1)))/100))),"")</f>
        <v/>
      </c>
      <c r="BH66" t="str" cm="1">
        <f t="array" ref="BH66">IFERROR(IF($E66&lt;44348,"",IF(INDEX(Raw_매출!$B$2:$BI$155,MATCH($A66,Raw_매출!$A$2:$A$155,0),MATCH(EDATE($E66,BH$1-1),Raw_매출!$B$1:$BI$1,0))=0,"",INDEX(Raw_매출!$B$2:$BI$155,MATCH($A66,Raw_매출!$A$2:$A$155,0),MATCH(EDATE($E66,BH$1-1),Raw_매출!$B$1:$BI$1,0))/(INDEX(요약_월별시즈널리티!$F$7:$F$18,MONTH(EDATE($E66,BH$1-1)))/100))),"")</f>
        <v/>
      </c>
      <c r="BI66" t="str" cm="1">
        <f t="array" ref="BI66">IFERROR(IF($E66&lt;44348,"",IF(INDEX(Raw_매출!$B$2:$BI$155,MATCH($A66,Raw_매출!$A$2:$A$155,0),MATCH(EDATE($E66,BI$1-1),Raw_매출!$B$1:$BI$1,0))=0,"",INDEX(Raw_매출!$B$2:$BI$155,MATCH($A66,Raw_매출!$A$2:$A$155,0),MATCH(EDATE($E66,BI$1-1),Raw_매출!$B$1:$BI$1,0))/(INDEX(요약_월별시즈널리티!$F$7:$F$18,MONTH(EDATE($E66,BI$1-1)))/100))),"")</f>
        <v/>
      </c>
      <c r="BJ66" t="str" cm="1">
        <f t="array" ref="BJ66">IFERROR(IF($E66&lt;44348,"",IF(INDEX(Raw_매출!$B$2:$BI$155,MATCH($A66,Raw_매출!$A$2:$A$155,0),MATCH(EDATE($E66,BJ$1-1),Raw_매출!$B$1:$BI$1,0))=0,"",INDEX(Raw_매출!$B$2:$BI$155,MATCH($A66,Raw_매출!$A$2:$A$155,0),MATCH(EDATE($E66,BJ$1-1),Raw_매출!$B$1:$BI$1,0))/(INDEX(요약_월별시즈널리티!$F$7:$F$18,MONTH(EDATE($E66,BJ$1-1)))/100))),"")</f>
        <v/>
      </c>
      <c r="BK66" t="str" cm="1">
        <f t="array" ref="BK66">IFERROR(IF($E66&lt;44348,"",IF(INDEX(Raw_매출!$B$2:$BI$155,MATCH($A66,Raw_매출!$A$2:$A$155,0),MATCH(EDATE($E66,BK$1-1),Raw_매출!$B$1:$BI$1,0))=0,"",INDEX(Raw_매출!$B$2:$BI$155,MATCH($A66,Raw_매출!$A$2:$A$155,0),MATCH(EDATE($E66,BK$1-1),Raw_매출!$B$1:$BI$1,0))/(INDEX(요약_월별시즈널리티!$F$7:$F$18,MONTH(EDATE($E66,BK$1-1)))/100))),"")</f>
        <v/>
      </c>
      <c r="BL66" t="str" cm="1">
        <f t="array" ref="BL66">IFERROR(IF($E66&lt;44348,"",IF(INDEX(Raw_매출!$B$2:$BI$155,MATCH($A66,Raw_매출!$A$2:$A$155,0),MATCH(EDATE($E66,BL$1-1),Raw_매출!$B$1:$BI$1,0))=0,"",INDEX(Raw_매출!$B$2:$BI$155,MATCH($A66,Raw_매출!$A$2:$A$155,0),MATCH(EDATE($E66,BL$1-1),Raw_매출!$B$1:$BI$1,0))/(INDEX(요약_월별시즈널리티!$F$7:$F$18,MONTH(EDATE($E66,BL$1-1)))/100))),"")</f>
        <v/>
      </c>
      <c r="BM66" t="str" cm="1">
        <f t="array" ref="BM66">IFERROR(IF($E66&lt;44348,"",IF(INDEX(Raw_매출!$B$2:$BI$155,MATCH($A66,Raw_매출!$A$2:$A$155,0),MATCH(EDATE($E66,BM$1-1),Raw_매출!$B$1:$BI$1,0))=0,"",INDEX(Raw_매출!$B$2:$BI$155,MATCH($A66,Raw_매출!$A$2:$A$155,0),MATCH(EDATE($E66,BM$1-1),Raw_매출!$B$1:$BI$1,0))/(INDEX(요약_월별시즈널리티!$F$7:$F$18,MONTH(EDATE($E66,BM$1-1)))/100))),"")</f>
        <v/>
      </c>
      <c r="BN66" t="str" cm="1">
        <f t="array" ref="BN66">IFERROR(IF($E66&lt;44348,"",IF(INDEX(Raw_매출!$B$2:$BI$155,MATCH($A66,Raw_매출!$A$2:$A$155,0),MATCH(EDATE($E66,BN$1-1),Raw_매출!$B$1:$BI$1,0))=0,"",INDEX(Raw_매출!$B$2:$BI$155,MATCH($A66,Raw_매출!$A$2:$A$155,0),MATCH(EDATE($E66,BN$1-1),Raw_매출!$B$1:$BI$1,0))/(INDEX(요약_월별시즈널리티!$F$7:$F$18,MONTH(EDATE($E66,BN$1-1)))/100))),"")</f>
        <v/>
      </c>
    </row>
    <row r="67" spans="1:66" x14ac:dyDescent="0.4">
      <c r="A67" t="str">
        <f>세팅!A68</f>
        <v>(1056) #매탄삼성점</v>
      </c>
      <c r="B67" t="str">
        <f>세팅!B68</f>
        <v>150-0</v>
      </c>
      <c r="C67">
        <f t="shared" ref="C67:C130" si="3">IFERROR(VALUE(MID(B67,5,10)),"")</f>
        <v>0</v>
      </c>
      <c r="D67" t="str">
        <f t="shared" ref="D67:D130" si="4">IF(C67="","",IF(C67&gt;=3,"3+",TEXT(C67,"0")))</f>
        <v>0</v>
      </c>
      <c r="E67" s="1">
        <f>세팅!D68</f>
        <v>44866</v>
      </c>
      <c r="F67">
        <f t="shared" ref="F67:F130" si="5">IF(COUNT(J67:O67)&gt;=4,AVERAGE(J67:O67),"")</f>
        <v>3935080.6050733593</v>
      </c>
      <c r="G67" cm="1">
        <f t="array" ref="G67">IFERROR(IF($E67&lt;44348,"",IF(INDEX(Raw_매출!$B$2:$BI$155,MATCH($A67,Raw_매출!$A$2:$A$155,0),MATCH(EDATE($E67,G$1-1),Raw_매출!$B$1:$BI$1,0))=0,"",INDEX(Raw_매출!$B$2:$BI$155,MATCH($A67,Raw_매출!$A$2:$A$155,0),MATCH(EDATE($E67,G$1-1),Raw_매출!$B$1:$BI$1,0))/(INDEX(요약_월별시즈널리티!$F$7:$F$18,MONTH(EDATE($E67,G$1-1)))/100))),"")</f>
        <v>2183407.0508386157</v>
      </c>
      <c r="H67" cm="1">
        <f t="array" ref="H67">IFERROR(IF($E67&lt;44348,"",IF(INDEX(Raw_매출!$B$2:$BI$155,MATCH($A67,Raw_매출!$A$2:$A$155,0),MATCH(EDATE($E67,H$1-1),Raw_매출!$B$1:$BI$1,0))=0,"",INDEX(Raw_매출!$B$2:$BI$155,MATCH($A67,Raw_매출!$A$2:$A$155,0),MATCH(EDATE($E67,H$1-1),Raw_매출!$B$1:$BI$1,0))/(INDEX(요약_월별시즈널리티!$F$7:$F$18,MONTH(EDATE($E67,H$1-1)))/100))),"")</f>
        <v>2933219.7644341062</v>
      </c>
      <c r="I67" cm="1">
        <f t="array" ref="I67">IFERROR(IF($E67&lt;44348,"",IF(INDEX(Raw_매출!$B$2:$BI$155,MATCH($A67,Raw_매출!$A$2:$A$155,0),MATCH(EDATE($E67,I$1-1),Raw_매출!$B$1:$BI$1,0))=0,"",INDEX(Raw_매출!$B$2:$BI$155,MATCH($A67,Raw_매출!$A$2:$A$155,0),MATCH(EDATE($E67,I$1-1),Raw_매출!$B$1:$BI$1,0))/(INDEX(요약_월별시즈널리티!$F$7:$F$18,MONTH(EDATE($E67,I$1-1)))/100))),"")</f>
        <v>4107422.8193135383</v>
      </c>
      <c r="J67" s="30" cm="1">
        <f t="array" ref="J67">IFERROR(IF($E67&lt;44348,"",IF(INDEX(Raw_매출!$B$2:$BI$155,MATCH($A67,Raw_매출!$A$2:$A$155,0),MATCH(EDATE($E67,J$1-1),Raw_매출!$B$1:$BI$1,0))=0,"",INDEX(Raw_매출!$B$2:$BI$155,MATCH($A67,Raw_매출!$A$2:$A$155,0),MATCH(EDATE($E67,J$1-1),Raw_매출!$B$1:$BI$1,0))/(INDEX(요약_월별시즈널리티!$F$7:$F$18,MONTH(EDATE($E67,J$1-1)))/100))),"")</f>
        <v>3789398.8108874289</v>
      </c>
      <c r="K67" s="30" cm="1">
        <f t="array" ref="K67">IFERROR(IF($E67&lt;44348,"",IF(INDEX(Raw_매출!$B$2:$BI$155,MATCH($A67,Raw_매출!$A$2:$A$155,0),MATCH(EDATE($E67,K$1-1),Raw_매출!$B$1:$BI$1,0))=0,"",INDEX(Raw_매출!$B$2:$BI$155,MATCH($A67,Raw_매출!$A$2:$A$155,0),MATCH(EDATE($E67,K$1-1),Raw_매출!$B$1:$BI$1,0))/(INDEX(요약_월별시즈널리티!$F$7:$F$18,MONTH(EDATE($E67,K$1-1)))/100))),"")</f>
        <v>3587982.4753781906</v>
      </c>
      <c r="L67" s="30" cm="1">
        <f t="array" ref="L67">IFERROR(IF($E67&lt;44348,"",IF(INDEX(Raw_매출!$B$2:$BI$155,MATCH($A67,Raw_매출!$A$2:$A$155,0),MATCH(EDATE($E67,L$1-1),Raw_매출!$B$1:$BI$1,0))=0,"",INDEX(Raw_매출!$B$2:$BI$155,MATCH($A67,Raw_매출!$A$2:$A$155,0),MATCH(EDATE($E67,L$1-1),Raw_매출!$B$1:$BI$1,0))/(INDEX(요약_월별시즈널리티!$F$7:$F$18,MONTH(EDATE($E67,L$1-1)))/100))),"")</f>
        <v>3824355.703838313</v>
      </c>
      <c r="M67" s="30" cm="1">
        <f t="array" ref="M67">IFERROR(IF($E67&lt;44348,"",IF(INDEX(Raw_매출!$B$2:$BI$155,MATCH($A67,Raw_매출!$A$2:$A$155,0),MATCH(EDATE($E67,M$1-1),Raw_매출!$B$1:$BI$1,0))=0,"",INDEX(Raw_매출!$B$2:$BI$155,MATCH($A67,Raw_매출!$A$2:$A$155,0),MATCH(EDATE($E67,M$1-1),Raw_매출!$B$1:$BI$1,0))/(INDEX(요약_월별시즈널리티!$F$7:$F$18,MONTH(EDATE($E67,M$1-1)))/100))),"")</f>
        <v>4145037.4006740381</v>
      </c>
      <c r="N67" s="30" cm="1">
        <f t="array" ref="N67">IFERROR(IF($E67&lt;44348,"",IF(INDEX(Raw_매출!$B$2:$BI$155,MATCH($A67,Raw_매출!$A$2:$A$155,0),MATCH(EDATE($E67,N$1-1),Raw_매출!$B$1:$BI$1,0))=0,"",INDEX(Raw_매출!$B$2:$BI$155,MATCH($A67,Raw_매출!$A$2:$A$155,0),MATCH(EDATE($E67,N$1-1),Raw_매출!$B$1:$BI$1,0))/(INDEX(요약_월별시즈널리티!$F$7:$F$18,MONTH(EDATE($E67,N$1-1)))/100))),"")</f>
        <v>3951464.0695113619</v>
      </c>
      <c r="O67" s="30" cm="1">
        <f t="array" ref="O67">IFERROR(IF($E67&lt;44348,"",IF(INDEX(Raw_매출!$B$2:$BI$155,MATCH($A67,Raw_매출!$A$2:$A$155,0),MATCH(EDATE($E67,O$1-1),Raw_매출!$B$1:$BI$1,0))=0,"",INDEX(Raw_매출!$B$2:$BI$155,MATCH($A67,Raw_매출!$A$2:$A$155,0),MATCH(EDATE($E67,O$1-1),Raw_매출!$B$1:$BI$1,0))/(INDEX(요약_월별시즈널리티!$F$7:$F$18,MONTH(EDATE($E67,O$1-1)))/100))),"")</f>
        <v>4312245.1701508248</v>
      </c>
      <c r="P67" cm="1">
        <f t="array" ref="P67">IFERROR(IF($E67&lt;44348,"",IF(INDEX(Raw_매출!$B$2:$BI$155,MATCH($A67,Raw_매출!$A$2:$A$155,0),MATCH(EDATE($E67,P$1-1),Raw_매출!$B$1:$BI$1,0))=0,"",INDEX(Raw_매출!$B$2:$BI$155,MATCH($A67,Raw_매출!$A$2:$A$155,0),MATCH(EDATE($E67,P$1-1),Raw_매출!$B$1:$BI$1,0))/(INDEX(요약_월별시즈널리티!$F$7:$F$18,MONTH(EDATE($E67,P$1-1)))/100))),"")</f>
        <v>3862503.3992006765</v>
      </c>
      <c r="Q67" cm="1">
        <f t="array" ref="Q67">IFERROR(IF($E67&lt;44348,"",IF(INDEX(Raw_매출!$B$2:$BI$155,MATCH($A67,Raw_매출!$A$2:$A$155,0),MATCH(EDATE($E67,Q$1-1),Raw_매출!$B$1:$BI$1,0))=0,"",INDEX(Raw_매출!$B$2:$BI$155,MATCH($A67,Raw_매출!$A$2:$A$155,0),MATCH(EDATE($E67,Q$1-1),Raw_매출!$B$1:$BI$1,0))/(INDEX(요약_월별시즈널리티!$F$7:$F$18,MONTH(EDATE($E67,Q$1-1)))/100))),"")</f>
        <v>4612799.4672964383</v>
      </c>
      <c r="R67" cm="1">
        <f t="array" ref="R67">IFERROR(IF($E67&lt;44348,"",IF(INDEX(Raw_매출!$B$2:$BI$155,MATCH($A67,Raw_매출!$A$2:$A$155,0),MATCH(EDATE($E67,R$1-1),Raw_매출!$B$1:$BI$1,0))=0,"",INDEX(Raw_매출!$B$2:$BI$155,MATCH($A67,Raw_매출!$A$2:$A$155,0),MATCH(EDATE($E67,R$1-1),Raw_매출!$B$1:$BI$1,0))/(INDEX(요약_월별시즈널리티!$F$7:$F$18,MONTH(EDATE($E67,R$1-1)))/100))),"")</f>
        <v>4249334.7902610414</v>
      </c>
      <c r="S67" cm="1">
        <f t="array" ref="S67">IFERROR(IF($E67&lt;44348,"",IF(INDEX(Raw_매출!$B$2:$BI$155,MATCH($A67,Raw_매출!$A$2:$A$155,0),MATCH(EDATE($E67,S$1-1),Raw_매출!$B$1:$BI$1,0))=0,"",INDEX(Raw_매출!$B$2:$BI$155,MATCH($A67,Raw_매출!$A$2:$A$155,0),MATCH(EDATE($E67,S$1-1),Raw_매출!$B$1:$BI$1,0))/(INDEX(요약_월별시즈널리티!$F$7:$F$18,MONTH(EDATE($E67,S$1-1)))/100))),"")</f>
        <v>4016808.1500119176</v>
      </c>
      <c r="T67" cm="1">
        <f t="array" ref="T67">IFERROR(IF($E67&lt;44348,"",IF(INDEX(Raw_매출!$B$2:$BI$155,MATCH($A67,Raw_매출!$A$2:$A$155,0),MATCH(EDATE($E67,T$1-1),Raw_매출!$B$1:$BI$1,0))=0,"",INDEX(Raw_매출!$B$2:$BI$155,MATCH($A67,Raw_매출!$A$2:$A$155,0),MATCH(EDATE($E67,T$1-1),Raw_매출!$B$1:$BI$1,0))/(INDEX(요약_월별시즈널리티!$F$7:$F$18,MONTH(EDATE($E67,T$1-1)))/100))),"")</f>
        <v>5320431.6464901716</v>
      </c>
      <c r="U67" cm="1">
        <f t="array" ref="U67">IFERROR(IF($E67&lt;44348,"",IF(INDEX(Raw_매출!$B$2:$BI$155,MATCH($A67,Raw_매출!$A$2:$A$155,0),MATCH(EDATE($E67,U$1-1),Raw_매출!$B$1:$BI$1,0))=0,"",INDEX(Raw_매출!$B$2:$BI$155,MATCH($A67,Raw_매출!$A$2:$A$155,0),MATCH(EDATE($E67,U$1-1),Raw_매출!$B$1:$BI$1,0))/(INDEX(요약_월별시즈널리티!$F$7:$F$18,MONTH(EDATE($E67,U$1-1)))/100))),"")</f>
        <v>5345548.798710091</v>
      </c>
      <c r="V67" cm="1">
        <f t="array" ref="V67">IFERROR(IF($E67&lt;44348,"",IF(INDEX(Raw_매출!$B$2:$BI$155,MATCH($A67,Raw_매출!$A$2:$A$155,0),MATCH(EDATE($E67,V$1-1),Raw_매출!$B$1:$BI$1,0))=0,"",INDEX(Raw_매출!$B$2:$BI$155,MATCH($A67,Raw_매출!$A$2:$A$155,0),MATCH(EDATE($E67,V$1-1),Raw_매출!$B$1:$BI$1,0))/(INDEX(요약_월별시즈널리티!$F$7:$F$18,MONTH(EDATE($E67,V$1-1)))/100))),"")</f>
        <v>5144340.2360514831</v>
      </c>
      <c r="W67" cm="1">
        <f t="array" ref="W67">IFERROR(IF($E67&lt;44348,"",IF(INDEX(Raw_매출!$B$2:$BI$155,MATCH($A67,Raw_매출!$A$2:$A$155,0),MATCH(EDATE($E67,W$1-1),Raw_매출!$B$1:$BI$1,0))=0,"",INDEX(Raw_매출!$B$2:$BI$155,MATCH($A67,Raw_매출!$A$2:$A$155,0),MATCH(EDATE($E67,W$1-1),Raw_매출!$B$1:$BI$1,0))/(INDEX(요약_월별시즈널리티!$F$7:$F$18,MONTH(EDATE($E67,W$1-1)))/100))),"")</f>
        <v>5802858.0018325727</v>
      </c>
      <c r="X67" cm="1">
        <f t="array" ref="X67">IFERROR(IF($E67&lt;44348,"",IF(INDEX(Raw_매출!$B$2:$BI$155,MATCH($A67,Raw_매출!$A$2:$A$155,0),MATCH(EDATE($E67,X$1-1),Raw_매출!$B$1:$BI$1,0))=0,"",INDEX(Raw_매출!$B$2:$BI$155,MATCH($A67,Raw_매출!$A$2:$A$155,0),MATCH(EDATE($E67,X$1-1),Raw_매출!$B$1:$BI$1,0))/(INDEX(요약_월별시즈널리티!$F$7:$F$18,MONTH(EDATE($E67,X$1-1)))/100))),"")</f>
        <v>5136647.0164281214</v>
      </c>
      <c r="Y67" cm="1">
        <f t="array" ref="Y67">IFERROR(IF($E67&lt;44348,"",IF(INDEX(Raw_매출!$B$2:$BI$155,MATCH($A67,Raw_매출!$A$2:$A$155,0),MATCH(EDATE($E67,Y$1-1),Raw_매출!$B$1:$BI$1,0))=0,"",INDEX(Raw_매출!$B$2:$BI$155,MATCH($A67,Raw_매출!$A$2:$A$155,0),MATCH(EDATE($E67,Y$1-1),Raw_매출!$B$1:$BI$1,0))/(INDEX(요약_월별시즈널리티!$F$7:$F$18,MONTH(EDATE($E67,Y$1-1)))/100))),"")</f>
        <v>4798116.8709718799</v>
      </c>
      <c r="Z67" cm="1">
        <f t="array" ref="Z67">IFERROR(IF($E67&lt;44348,"",IF(INDEX(Raw_매출!$B$2:$BI$155,MATCH($A67,Raw_매출!$A$2:$A$155,0),MATCH(EDATE($E67,Z$1-1),Raw_매출!$B$1:$BI$1,0))=0,"",INDEX(Raw_매출!$B$2:$BI$155,MATCH($A67,Raw_매출!$A$2:$A$155,0),MATCH(EDATE($E67,Z$1-1),Raw_매출!$B$1:$BI$1,0))/(INDEX(요약_월별시즈널리티!$F$7:$F$18,MONTH(EDATE($E67,Z$1-1)))/100))),"")</f>
        <v>5363882.6249497756</v>
      </c>
      <c r="AA67" cm="1">
        <f t="array" ref="AA67">IFERROR(IF($E67&lt;44348,"",IF(INDEX(Raw_매출!$B$2:$BI$155,MATCH($A67,Raw_매출!$A$2:$A$155,0),MATCH(EDATE($E67,AA$1-1),Raw_매출!$B$1:$BI$1,0))=0,"",INDEX(Raw_매출!$B$2:$BI$155,MATCH($A67,Raw_매출!$A$2:$A$155,0),MATCH(EDATE($E67,AA$1-1),Raw_매출!$B$1:$BI$1,0))/(INDEX(요약_월별시즈널리티!$F$7:$F$18,MONTH(EDATE($E67,AA$1-1)))/100))),"")</f>
        <v>5668147.2658091933</v>
      </c>
      <c r="AB67" cm="1">
        <f t="array" ref="AB67">IFERROR(IF($E67&lt;44348,"",IF(INDEX(Raw_매출!$B$2:$BI$155,MATCH($A67,Raw_매출!$A$2:$A$155,0),MATCH(EDATE($E67,AB$1-1),Raw_매출!$B$1:$BI$1,0))=0,"",INDEX(Raw_매출!$B$2:$BI$155,MATCH($A67,Raw_매출!$A$2:$A$155,0),MATCH(EDATE($E67,AB$1-1),Raw_매출!$B$1:$BI$1,0))/(INDEX(요약_월별시즈널리티!$F$7:$F$18,MONTH(EDATE($E67,AB$1-1)))/100))),"")</f>
        <v>5067675.0167079642</v>
      </c>
      <c r="AC67" cm="1">
        <f t="array" ref="AC67">IFERROR(IF($E67&lt;44348,"",IF(INDEX(Raw_매출!$B$2:$BI$155,MATCH($A67,Raw_매출!$A$2:$A$155,0),MATCH(EDATE($E67,AC$1-1),Raw_매출!$B$1:$BI$1,0))=0,"",INDEX(Raw_매출!$B$2:$BI$155,MATCH($A67,Raw_매출!$A$2:$A$155,0),MATCH(EDATE($E67,AC$1-1),Raw_매출!$B$1:$BI$1,0))/(INDEX(요약_월별시즈널리티!$F$7:$F$18,MONTH(EDATE($E67,AC$1-1)))/100))),"")</f>
        <v>5297693.0705667343</v>
      </c>
      <c r="AD67" cm="1">
        <f t="array" ref="AD67">IFERROR(IF($E67&lt;44348,"",IF(INDEX(Raw_매출!$B$2:$BI$155,MATCH($A67,Raw_매출!$A$2:$A$155,0),MATCH(EDATE($E67,AD$1-1),Raw_매출!$B$1:$BI$1,0))=0,"",INDEX(Raw_매출!$B$2:$BI$155,MATCH($A67,Raw_매출!$A$2:$A$155,0),MATCH(EDATE($E67,AD$1-1),Raw_매출!$B$1:$BI$1,0))/(INDEX(요약_월별시즈널리티!$F$7:$F$18,MONTH(EDATE($E67,AD$1-1)))/100))),"")</f>
        <v>5449650.7555475226</v>
      </c>
      <c r="AE67" cm="1">
        <f t="array" ref="AE67">IFERROR(IF($E67&lt;44348,"",IF(INDEX(Raw_매출!$B$2:$BI$155,MATCH($A67,Raw_매출!$A$2:$A$155,0),MATCH(EDATE($E67,AE$1-1),Raw_매출!$B$1:$BI$1,0))=0,"",INDEX(Raw_매출!$B$2:$BI$155,MATCH($A67,Raw_매출!$A$2:$A$155,0),MATCH(EDATE($E67,AE$1-1),Raw_매출!$B$1:$BI$1,0))/(INDEX(요약_월별시즈널리티!$F$7:$F$18,MONTH(EDATE($E67,AE$1-1)))/100))),"")</f>
        <v>5443351.3428572547</v>
      </c>
      <c r="AF67" cm="1">
        <f t="array" ref="AF67">IFERROR(IF($E67&lt;44348,"",IF(INDEX(Raw_매출!$B$2:$BI$155,MATCH($A67,Raw_매출!$A$2:$A$155,0),MATCH(EDATE($E67,AF$1-1),Raw_매출!$B$1:$BI$1,0))=0,"",INDEX(Raw_매출!$B$2:$BI$155,MATCH($A67,Raw_매출!$A$2:$A$155,0),MATCH(EDATE($E67,AF$1-1),Raw_매출!$B$1:$BI$1,0))/(INDEX(요약_월별시즈널리티!$F$7:$F$18,MONTH(EDATE($E67,AF$1-1)))/100))),"")</f>
        <v>5524734.5958854714</v>
      </c>
      <c r="AG67" cm="1">
        <f t="array" ref="AG67">IFERROR(IF($E67&lt;44348,"",IF(INDEX(Raw_매출!$B$2:$BI$155,MATCH($A67,Raw_매출!$A$2:$A$155,0),MATCH(EDATE($E67,AG$1-1),Raw_매출!$B$1:$BI$1,0))=0,"",INDEX(Raw_매출!$B$2:$BI$155,MATCH($A67,Raw_매출!$A$2:$A$155,0),MATCH(EDATE($E67,AG$1-1),Raw_매출!$B$1:$BI$1,0))/(INDEX(요약_월별시즈널리티!$F$7:$F$18,MONTH(EDATE($E67,AG$1-1)))/100))),"")</f>
        <v>6272119.2322961288</v>
      </c>
      <c r="AH67" cm="1">
        <f t="array" ref="AH67">IFERROR(IF($E67&lt;44348,"",IF(INDEX(Raw_매출!$B$2:$BI$155,MATCH($A67,Raw_매출!$A$2:$A$155,0),MATCH(EDATE($E67,AH$1-1),Raw_매출!$B$1:$BI$1,0))=0,"",INDEX(Raw_매출!$B$2:$BI$155,MATCH($A67,Raw_매출!$A$2:$A$155,0),MATCH(EDATE($E67,AH$1-1),Raw_매출!$B$1:$BI$1,0))/(INDEX(요약_월별시즈널리티!$F$7:$F$18,MONTH(EDATE($E67,AH$1-1)))/100))),"")</f>
        <v>6614363.5912894513</v>
      </c>
      <c r="AI67" cm="1">
        <f t="array" ref="AI67">IFERROR(IF($E67&lt;44348,"",IF(INDEX(Raw_매출!$B$2:$BI$155,MATCH($A67,Raw_매출!$A$2:$A$155,0),MATCH(EDATE($E67,AI$1-1),Raw_매출!$B$1:$BI$1,0))=0,"",INDEX(Raw_매출!$B$2:$BI$155,MATCH($A67,Raw_매출!$A$2:$A$155,0),MATCH(EDATE($E67,AI$1-1),Raw_매출!$B$1:$BI$1,0))/(INDEX(요약_월별시즈널리티!$F$7:$F$18,MONTH(EDATE($E67,AI$1-1)))/100))),"")</f>
        <v>6180386.0015722802</v>
      </c>
      <c r="AJ67" cm="1">
        <f t="array" ref="AJ67">IFERROR(IF($E67&lt;44348,"",IF(INDEX(Raw_매출!$B$2:$BI$155,MATCH($A67,Raw_매출!$A$2:$A$155,0),MATCH(EDATE($E67,AJ$1-1),Raw_매출!$B$1:$BI$1,0))=0,"",INDEX(Raw_매출!$B$2:$BI$155,MATCH($A67,Raw_매출!$A$2:$A$155,0),MATCH(EDATE($E67,AJ$1-1),Raw_매출!$B$1:$BI$1,0))/(INDEX(요약_월별시즈널리티!$F$7:$F$18,MONTH(EDATE($E67,AJ$1-1)))/100))),"")</f>
        <v>6313321.6291232482</v>
      </c>
      <c r="AK67" cm="1">
        <f t="array" ref="AK67">IFERROR(IF($E67&lt;44348,"",IF(INDEX(Raw_매출!$B$2:$BI$155,MATCH($A67,Raw_매출!$A$2:$A$155,0),MATCH(EDATE($E67,AK$1-1),Raw_매출!$B$1:$BI$1,0))=0,"",INDEX(Raw_매출!$B$2:$BI$155,MATCH($A67,Raw_매출!$A$2:$A$155,0),MATCH(EDATE($E67,AK$1-1),Raw_매출!$B$1:$BI$1,0))/(INDEX(요약_월별시즈널리티!$F$7:$F$18,MONTH(EDATE($E67,AK$1-1)))/100))),"")</f>
        <v>6041096.6152852811</v>
      </c>
      <c r="AL67" cm="1">
        <f t="array" ref="AL67">IFERROR(IF($E67&lt;44348,"",IF(INDEX(Raw_매출!$B$2:$BI$155,MATCH($A67,Raw_매출!$A$2:$A$155,0),MATCH(EDATE($E67,AL$1-1),Raw_매출!$B$1:$BI$1,0))=0,"",INDEX(Raw_매출!$B$2:$BI$155,MATCH($A67,Raw_매출!$A$2:$A$155,0),MATCH(EDATE($E67,AL$1-1),Raw_매출!$B$1:$BI$1,0))/(INDEX(요약_월별시즈널리티!$F$7:$F$18,MONTH(EDATE($E67,AL$1-1)))/100))),"")</f>
        <v>5908691.4024076052</v>
      </c>
      <c r="AM67" cm="1">
        <f t="array" ref="AM67">IFERROR(IF($E67&lt;44348,"",IF(INDEX(Raw_매출!$B$2:$BI$155,MATCH($A67,Raw_매출!$A$2:$A$155,0),MATCH(EDATE($E67,AM$1-1),Raw_매출!$B$1:$BI$1,0))=0,"",INDEX(Raw_매출!$B$2:$BI$155,MATCH($A67,Raw_매출!$A$2:$A$155,0),MATCH(EDATE($E67,AM$1-1),Raw_매출!$B$1:$BI$1,0))/(INDEX(요약_월별시즈널리티!$F$7:$F$18,MONTH(EDATE($E67,AM$1-1)))/100))),"")</f>
        <v>4978063.8489811355</v>
      </c>
      <c r="AN67" cm="1">
        <f t="array" ref="AN67">IFERROR(IF($E67&lt;44348,"",IF(INDEX(Raw_매출!$B$2:$BI$155,MATCH($A67,Raw_매출!$A$2:$A$155,0),MATCH(EDATE($E67,AN$1-1),Raw_매출!$B$1:$BI$1,0))=0,"",INDEX(Raw_매출!$B$2:$BI$155,MATCH($A67,Raw_매출!$A$2:$A$155,0),MATCH(EDATE($E67,AN$1-1),Raw_매출!$B$1:$BI$1,0))/(INDEX(요약_월별시즈널리티!$F$7:$F$18,MONTH(EDATE($E67,AN$1-1)))/100))),"")</f>
        <v>5488390.47004929</v>
      </c>
      <c r="AO67" cm="1">
        <f t="array" ref="AO67">IFERROR(IF($E67&lt;44348,"",IF(INDEX(Raw_매출!$B$2:$BI$155,MATCH($A67,Raw_매출!$A$2:$A$155,0),MATCH(EDATE($E67,AO$1-1),Raw_매출!$B$1:$BI$1,0))=0,"",INDEX(Raw_매출!$B$2:$BI$155,MATCH($A67,Raw_매출!$A$2:$A$155,0),MATCH(EDATE($E67,AO$1-1),Raw_매출!$B$1:$BI$1,0))/(INDEX(요약_월별시즈널리티!$F$7:$F$18,MONTH(EDATE($E67,AO$1-1)))/100))),"")</f>
        <v>5328914.4869027063</v>
      </c>
      <c r="AP67" cm="1">
        <f t="array" ref="AP67">IFERROR(IF($E67&lt;44348,"",IF(INDEX(Raw_매출!$B$2:$BI$155,MATCH($A67,Raw_매출!$A$2:$A$155,0),MATCH(EDATE($E67,AP$1-1),Raw_매출!$B$1:$BI$1,0))=0,"",INDEX(Raw_매출!$B$2:$BI$155,MATCH($A67,Raw_매출!$A$2:$A$155,0),MATCH(EDATE($E67,AP$1-1),Raw_매출!$B$1:$BI$1,0))/(INDEX(요약_월별시즈널리티!$F$7:$F$18,MONTH(EDATE($E67,AP$1-1)))/100))),"")</f>
        <v>5717976.5234415103</v>
      </c>
      <c r="AQ67" cm="1">
        <f t="array" ref="AQ67">IFERROR(IF($E67&lt;44348,"",IF(INDEX(Raw_매출!$B$2:$BI$155,MATCH($A67,Raw_매출!$A$2:$A$155,0),MATCH(EDATE($E67,AQ$1-1),Raw_매출!$B$1:$BI$1,0))=0,"",INDEX(Raw_매출!$B$2:$BI$155,MATCH($A67,Raw_매출!$A$2:$A$155,0),MATCH(EDATE($E67,AQ$1-1),Raw_매출!$B$1:$BI$1,0))/(INDEX(요약_월별시즈널리티!$F$7:$F$18,MONTH(EDATE($E67,AQ$1-1)))/100))),"")</f>
        <v>6054785.999034822</v>
      </c>
      <c r="AR67" cm="1">
        <f t="array" ref="AR67">IFERROR(IF($E67&lt;44348,"",IF(INDEX(Raw_매출!$B$2:$BI$155,MATCH($A67,Raw_매출!$A$2:$A$155,0),MATCH(EDATE($E67,AR$1-1),Raw_매출!$B$1:$BI$1,0))=0,"",INDEX(Raw_매출!$B$2:$BI$155,MATCH($A67,Raw_매출!$A$2:$A$155,0),MATCH(EDATE($E67,AR$1-1),Raw_매출!$B$1:$BI$1,0))/(INDEX(요약_월별시즈널리티!$F$7:$F$18,MONTH(EDATE($E67,AR$1-1)))/100))),"")</f>
        <v>5606626.1006831136</v>
      </c>
      <c r="AS67" cm="1">
        <f t="array" ref="AS67">IFERROR(IF($E67&lt;44348,"",IF(INDEX(Raw_매출!$B$2:$BI$155,MATCH($A67,Raw_매출!$A$2:$A$155,0),MATCH(EDATE($E67,AS$1-1),Raw_매출!$B$1:$BI$1,0))=0,"",INDEX(Raw_매출!$B$2:$BI$155,MATCH($A67,Raw_매출!$A$2:$A$155,0),MATCH(EDATE($E67,AS$1-1),Raw_매출!$B$1:$BI$1,0))/(INDEX(요약_월별시즈널리티!$F$7:$F$18,MONTH(EDATE($E67,AS$1-1)))/100))),"")</f>
        <v>7530359.3897674689</v>
      </c>
      <c r="AT67" cm="1">
        <f t="array" ref="AT67">IFERROR(IF($E67&lt;44348,"",IF(INDEX(Raw_매출!$B$2:$BI$155,MATCH($A67,Raw_매출!$A$2:$A$155,0),MATCH(EDATE($E67,AT$1-1),Raw_매출!$B$1:$BI$1,0))=0,"",INDEX(Raw_매출!$B$2:$BI$155,MATCH($A67,Raw_매출!$A$2:$A$155,0),MATCH(EDATE($E67,AT$1-1),Raw_매출!$B$1:$BI$1,0))/(INDEX(요약_월별시즈널리티!$F$7:$F$18,MONTH(EDATE($E67,AT$1-1)))/100))),"")</f>
        <v>6850708.6561350627</v>
      </c>
      <c r="AU67" cm="1">
        <f t="array" ref="AU67">IFERROR(IF($E67&lt;44348,"",IF(INDEX(Raw_매출!$B$2:$BI$155,MATCH($A67,Raw_매출!$A$2:$A$155,0),MATCH(EDATE($E67,AU$1-1),Raw_매출!$B$1:$BI$1,0))=0,"",INDEX(Raw_매출!$B$2:$BI$155,MATCH($A67,Raw_매출!$A$2:$A$155,0),MATCH(EDATE($E67,AU$1-1),Raw_매출!$B$1:$BI$1,0))/(INDEX(요약_월별시즈널리티!$F$7:$F$18,MONTH(EDATE($E67,AU$1-1)))/100))),"")</f>
        <v>6428853.6593538113</v>
      </c>
      <c r="AV67" cm="1">
        <f t="array" ref="AV67">IFERROR(IF($E67&lt;44348,"",IF(INDEX(Raw_매출!$B$2:$BI$155,MATCH($A67,Raw_매출!$A$2:$A$155,0),MATCH(EDATE($E67,AV$1-1),Raw_매출!$B$1:$BI$1,0))=0,"",INDEX(Raw_매출!$B$2:$BI$155,MATCH($A67,Raw_매출!$A$2:$A$155,0),MATCH(EDATE($E67,AV$1-1),Raw_매출!$B$1:$BI$1,0))/(INDEX(요약_월별시즈널리티!$F$7:$F$18,MONTH(EDATE($E67,AV$1-1)))/100))),"")</f>
        <v>6695373.7794798687</v>
      </c>
      <c r="AW67" cm="1">
        <f t="array" ref="AW67">IFERROR(IF($E67&lt;44348,"",IF(INDEX(Raw_매출!$B$2:$BI$155,MATCH($A67,Raw_매출!$A$2:$A$155,0),MATCH(EDATE($E67,AW$1-1),Raw_매출!$B$1:$BI$1,0))=0,"",INDEX(Raw_매출!$B$2:$BI$155,MATCH($A67,Raw_매출!$A$2:$A$155,0),MATCH(EDATE($E67,AW$1-1),Raw_매출!$B$1:$BI$1,0))/(INDEX(요약_월별시즈널리티!$F$7:$F$18,MONTH(EDATE($E67,AW$1-1)))/100))),"")</f>
        <v>6477912.8520418312</v>
      </c>
      <c r="AX67" t="str" cm="1">
        <f t="array" ref="AX67">IFERROR(IF($E67&lt;44348,"",IF(INDEX(Raw_매출!$B$2:$BI$155,MATCH($A67,Raw_매출!$A$2:$A$155,0),MATCH(EDATE($E67,AX$1-1),Raw_매출!$B$1:$BI$1,0))=0,"",INDEX(Raw_매출!$B$2:$BI$155,MATCH($A67,Raw_매출!$A$2:$A$155,0),MATCH(EDATE($E67,AX$1-1),Raw_매출!$B$1:$BI$1,0))/(INDEX(요약_월별시즈널리티!$F$7:$F$18,MONTH(EDATE($E67,AX$1-1)))/100))),"")</f>
        <v/>
      </c>
      <c r="AY67" t="str" cm="1">
        <f t="array" ref="AY67">IFERROR(IF($E67&lt;44348,"",IF(INDEX(Raw_매출!$B$2:$BI$155,MATCH($A67,Raw_매출!$A$2:$A$155,0),MATCH(EDATE($E67,AY$1-1),Raw_매출!$B$1:$BI$1,0))=0,"",INDEX(Raw_매출!$B$2:$BI$155,MATCH($A67,Raw_매출!$A$2:$A$155,0),MATCH(EDATE($E67,AY$1-1),Raw_매출!$B$1:$BI$1,0))/(INDEX(요약_월별시즈널리티!$F$7:$F$18,MONTH(EDATE($E67,AY$1-1)))/100))),"")</f>
        <v/>
      </c>
      <c r="AZ67" t="str" cm="1">
        <f t="array" ref="AZ67">IFERROR(IF($E67&lt;44348,"",IF(INDEX(Raw_매출!$B$2:$BI$155,MATCH($A67,Raw_매출!$A$2:$A$155,0),MATCH(EDATE($E67,AZ$1-1),Raw_매출!$B$1:$BI$1,0))=0,"",INDEX(Raw_매출!$B$2:$BI$155,MATCH($A67,Raw_매출!$A$2:$A$155,0),MATCH(EDATE($E67,AZ$1-1),Raw_매출!$B$1:$BI$1,0))/(INDEX(요약_월별시즈널리티!$F$7:$F$18,MONTH(EDATE($E67,AZ$1-1)))/100))),"")</f>
        <v/>
      </c>
      <c r="BA67" t="str" cm="1">
        <f t="array" ref="BA67">IFERROR(IF($E67&lt;44348,"",IF(INDEX(Raw_매출!$B$2:$BI$155,MATCH($A67,Raw_매출!$A$2:$A$155,0),MATCH(EDATE($E67,BA$1-1),Raw_매출!$B$1:$BI$1,0))=0,"",INDEX(Raw_매출!$B$2:$BI$155,MATCH($A67,Raw_매출!$A$2:$A$155,0),MATCH(EDATE($E67,BA$1-1),Raw_매출!$B$1:$BI$1,0))/(INDEX(요약_월별시즈널리티!$F$7:$F$18,MONTH(EDATE($E67,BA$1-1)))/100))),"")</f>
        <v/>
      </c>
      <c r="BB67" t="str" cm="1">
        <f t="array" ref="BB67">IFERROR(IF($E67&lt;44348,"",IF(INDEX(Raw_매출!$B$2:$BI$155,MATCH($A67,Raw_매출!$A$2:$A$155,0),MATCH(EDATE($E67,BB$1-1),Raw_매출!$B$1:$BI$1,0))=0,"",INDEX(Raw_매출!$B$2:$BI$155,MATCH($A67,Raw_매출!$A$2:$A$155,0),MATCH(EDATE($E67,BB$1-1),Raw_매출!$B$1:$BI$1,0))/(INDEX(요약_월별시즈널리티!$F$7:$F$18,MONTH(EDATE($E67,BB$1-1)))/100))),"")</f>
        <v/>
      </c>
      <c r="BC67" t="str" cm="1">
        <f t="array" ref="BC67">IFERROR(IF($E67&lt;44348,"",IF(INDEX(Raw_매출!$B$2:$BI$155,MATCH($A67,Raw_매출!$A$2:$A$155,0),MATCH(EDATE($E67,BC$1-1),Raw_매출!$B$1:$BI$1,0))=0,"",INDEX(Raw_매출!$B$2:$BI$155,MATCH($A67,Raw_매출!$A$2:$A$155,0),MATCH(EDATE($E67,BC$1-1),Raw_매출!$B$1:$BI$1,0))/(INDEX(요약_월별시즈널리티!$F$7:$F$18,MONTH(EDATE($E67,BC$1-1)))/100))),"")</f>
        <v/>
      </c>
      <c r="BD67" t="str" cm="1">
        <f t="array" ref="BD67">IFERROR(IF($E67&lt;44348,"",IF(INDEX(Raw_매출!$B$2:$BI$155,MATCH($A67,Raw_매출!$A$2:$A$155,0),MATCH(EDATE($E67,BD$1-1),Raw_매출!$B$1:$BI$1,0))=0,"",INDEX(Raw_매출!$B$2:$BI$155,MATCH($A67,Raw_매출!$A$2:$A$155,0),MATCH(EDATE($E67,BD$1-1),Raw_매출!$B$1:$BI$1,0))/(INDEX(요약_월별시즈널리티!$F$7:$F$18,MONTH(EDATE($E67,BD$1-1)))/100))),"")</f>
        <v/>
      </c>
      <c r="BE67" t="str" cm="1">
        <f t="array" ref="BE67">IFERROR(IF($E67&lt;44348,"",IF(INDEX(Raw_매출!$B$2:$BI$155,MATCH($A67,Raw_매출!$A$2:$A$155,0),MATCH(EDATE($E67,BE$1-1),Raw_매출!$B$1:$BI$1,0))=0,"",INDEX(Raw_매출!$B$2:$BI$155,MATCH($A67,Raw_매출!$A$2:$A$155,0),MATCH(EDATE($E67,BE$1-1),Raw_매출!$B$1:$BI$1,0))/(INDEX(요약_월별시즈널리티!$F$7:$F$18,MONTH(EDATE($E67,BE$1-1)))/100))),"")</f>
        <v/>
      </c>
      <c r="BF67" t="str" cm="1">
        <f t="array" ref="BF67">IFERROR(IF($E67&lt;44348,"",IF(INDEX(Raw_매출!$B$2:$BI$155,MATCH($A67,Raw_매출!$A$2:$A$155,0),MATCH(EDATE($E67,BF$1-1),Raw_매출!$B$1:$BI$1,0))=0,"",INDEX(Raw_매출!$B$2:$BI$155,MATCH($A67,Raw_매출!$A$2:$A$155,0),MATCH(EDATE($E67,BF$1-1),Raw_매출!$B$1:$BI$1,0))/(INDEX(요약_월별시즈널리티!$F$7:$F$18,MONTH(EDATE($E67,BF$1-1)))/100))),"")</f>
        <v/>
      </c>
      <c r="BG67" t="str" cm="1">
        <f t="array" ref="BG67">IFERROR(IF($E67&lt;44348,"",IF(INDEX(Raw_매출!$B$2:$BI$155,MATCH($A67,Raw_매출!$A$2:$A$155,0),MATCH(EDATE($E67,BG$1-1),Raw_매출!$B$1:$BI$1,0))=0,"",INDEX(Raw_매출!$B$2:$BI$155,MATCH($A67,Raw_매출!$A$2:$A$155,0),MATCH(EDATE($E67,BG$1-1),Raw_매출!$B$1:$BI$1,0))/(INDEX(요약_월별시즈널리티!$F$7:$F$18,MONTH(EDATE($E67,BG$1-1)))/100))),"")</f>
        <v/>
      </c>
      <c r="BH67" t="str" cm="1">
        <f t="array" ref="BH67">IFERROR(IF($E67&lt;44348,"",IF(INDEX(Raw_매출!$B$2:$BI$155,MATCH($A67,Raw_매출!$A$2:$A$155,0),MATCH(EDATE($E67,BH$1-1),Raw_매출!$B$1:$BI$1,0))=0,"",INDEX(Raw_매출!$B$2:$BI$155,MATCH($A67,Raw_매출!$A$2:$A$155,0),MATCH(EDATE($E67,BH$1-1),Raw_매출!$B$1:$BI$1,0))/(INDEX(요약_월별시즈널리티!$F$7:$F$18,MONTH(EDATE($E67,BH$1-1)))/100))),"")</f>
        <v/>
      </c>
      <c r="BI67" t="str" cm="1">
        <f t="array" ref="BI67">IFERROR(IF($E67&lt;44348,"",IF(INDEX(Raw_매출!$B$2:$BI$155,MATCH($A67,Raw_매출!$A$2:$A$155,0),MATCH(EDATE($E67,BI$1-1),Raw_매출!$B$1:$BI$1,0))=0,"",INDEX(Raw_매출!$B$2:$BI$155,MATCH($A67,Raw_매출!$A$2:$A$155,0),MATCH(EDATE($E67,BI$1-1),Raw_매출!$B$1:$BI$1,0))/(INDEX(요약_월별시즈널리티!$F$7:$F$18,MONTH(EDATE($E67,BI$1-1)))/100))),"")</f>
        <v/>
      </c>
      <c r="BJ67" t="str" cm="1">
        <f t="array" ref="BJ67">IFERROR(IF($E67&lt;44348,"",IF(INDEX(Raw_매출!$B$2:$BI$155,MATCH($A67,Raw_매출!$A$2:$A$155,0),MATCH(EDATE($E67,BJ$1-1),Raw_매출!$B$1:$BI$1,0))=0,"",INDEX(Raw_매출!$B$2:$BI$155,MATCH($A67,Raw_매출!$A$2:$A$155,0),MATCH(EDATE($E67,BJ$1-1),Raw_매출!$B$1:$BI$1,0))/(INDEX(요약_월별시즈널리티!$F$7:$F$18,MONTH(EDATE($E67,BJ$1-1)))/100))),"")</f>
        <v/>
      </c>
      <c r="BK67" t="str" cm="1">
        <f t="array" ref="BK67">IFERROR(IF($E67&lt;44348,"",IF(INDEX(Raw_매출!$B$2:$BI$155,MATCH($A67,Raw_매출!$A$2:$A$155,0),MATCH(EDATE($E67,BK$1-1),Raw_매출!$B$1:$BI$1,0))=0,"",INDEX(Raw_매출!$B$2:$BI$155,MATCH($A67,Raw_매출!$A$2:$A$155,0),MATCH(EDATE($E67,BK$1-1),Raw_매출!$B$1:$BI$1,0))/(INDEX(요약_월별시즈널리티!$F$7:$F$18,MONTH(EDATE($E67,BK$1-1)))/100))),"")</f>
        <v/>
      </c>
      <c r="BL67" t="str" cm="1">
        <f t="array" ref="BL67">IFERROR(IF($E67&lt;44348,"",IF(INDEX(Raw_매출!$B$2:$BI$155,MATCH($A67,Raw_매출!$A$2:$A$155,0),MATCH(EDATE($E67,BL$1-1),Raw_매출!$B$1:$BI$1,0))=0,"",INDEX(Raw_매출!$B$2:$BI$155,MATCH($A67,Raw_매출!$A$2:$A$155,0),MATCH(EDATE($E67,BL$1-1),Raw_매출!$B$1:$BI$1,0))/(INDEX(요약_월별시즈널리티!$F$7:$F$18,MONTH(EDATE($E67,BL$1-1)))/100))),"")</f>
        <v/>
      </c>
      <c r="BM67" t="str" cm="1">
        <f t="array" ref="BM67">IFERROR(IF($E67&lt;44348,"",IF(INDEX(Raw_매출!$B$2:$BI$155,MATCH($A67,Raw_매출!$A$2:$A$155,0),MATCH(EDATE($E67,BM$1-1),Raw_매출!$B$1:$BI$1,0))=0,"",INDEX(Raw_매출!$B$2:$BI$155,MATCH($A67,Raw_매출!$A$2:$A$155,0),MATCH(EDATE($E67,BM$1-1),Raw_매출!$B$1:$BI$1,0))/(INDEX(요약_월별시즈널리티!$F$7:$F$18,MONTH(EDATE($E67,BM$1-1)))/100))),"")</f>
        <v/>
      </c>
      <c r="BN67" t="str" cm="1">
        <f t="array" ref="BN67">IFERROR(IF($E67&lt;44348,"",IF(INDEX(Raw_매출!$B$2:$BI$155,MATCH($A67,Raw_매출!$A$2:$A$155,0),MATCH(EDATE($E67,BN$1-1),Raw_매출!$B$1:$BI$1,0))=0,"",INDEX(Raw_매출!$B$2:$BI$155,MATCH($A67,Raw_매출!$A$2:$A$155,0),MATCH(EDATE($E67,BN$1-1),Raw_매출!$B$1:$BI$1,0))/(INDEX(요약_월별시즈널리티!$F$7:$F$18,MONTH(EDATE($E67,BN$1-1)))/100))),"")</f>
        <v/>
      </c>
    </row>
    <row r="68" spans="1:66" x14ac:dyDescent="0.4">
      <c r="A68" t="str">
        <f>세팅!A69</f>
        <v>(1057) #김포구래현대점</v>
      </c>
      <c r="B68" t="str">
        <f>세팅!B69</f>
        <v>150-2</v>
      </c>
      <c r="C68">
        <f t="shared" si="3"/>
        <v>2</v>
      </c>
      <c r="D68" t="str">
        <f t="shared" si="4"/>
        <v>2</v>
      </c>
      <c r="E68" s="1">
        <f>세팅!D69</f>
        <v>44866</v>
      </c>
      <c r="F68">
        <f t="shared" si="5"/>
        <v>2207057.8220750382</v>
      </c>
      <c r="G68" cm="1">
        <f t="array" ref="G68">IFERROR(IF($E68&lt;44348,"",IF(INDEX(Raw_매출!$B$2:$BI$155,MATCH($A68,Raw_매출!$A$2:$A$155,0),MATCH(EDATE($E68,G$1-1),Raw_매출!$B$1:$BI$1,0))=0,"",INDEX(Raw_매출!$B$2:$BI$155,MATCH($A68,Raw_매출!$A$2:$A$155,0),MATCH(EDATE($E68,G$1-1),Raw_매출!$B$1:$BI$1,0))/(INDEX(요약_월별시즈널리티!$F$7:$F$18,MONTH(EDATE($E68,G$1-1)))/100))),"")</f>
        <v>1978993.58587316</v>
      </c>
      <c r="H68" cm="1">
        <f t="array" ref="H68">IFERROR(IF($E68&lt;44348,"",IF(INDEX(Raw_매출!$B$2:$BI$155,MATCH($A68,Raw_매출!$A$2:$A$155,0),MATCH(EDATE($E68,H$1-1),Raw_매출!$B$1:$BI$1,0))=0,"",INDEX(Raw_매출!$B$2:$BI$155,MATCH($A68,Raw_매출!$A$2:$A$155,0),MATCH(EDATE($E68,H$1-1),Raw_매출!$B$1:$BI$1,0))/(INDEX(요약_월별시즈널리티!$F$7:$F$18,MONTH(EDATE($E68,H$1-1)))/100))),"")</f>
        <v>2565908.0101686232</v>
      </c>
      <c r="I68" cm="1">
        <f t="array" ref="I68">IFERROR(IF($E68&lt;44348,"",IF(INDEX(Raw_매출!$B$2:$BI$155,MATCH($A68,Raw_매출!$A$2:$A$155,0),MATCH(EDATE($E68,I$1-1),Raw_매출!$B$1:$BI$1,0))=0,"",INDEX(Raw_매출!$B$2:$BI$155,MATCH($A68,Raw_매출!$A$2:$A$155,0),MATCH(EDATE($E68,I$1-1),Raw_매출!$B$1:$BI$1,0))/(INDEX(요약_월별시즈널리티!$F$7:$F$18,MONTH(EDATE($E68,I$1-1)))/100))),"")</f>
        <v>3009436.9653675952</v>
      </c>
      <c r="J68" s="30" cm="1">
        <f t="array" ref="J68">IFERROR(IF($E68&lt;44348,"",IF(INDEX(Raw_매출!$B$2:$BI$155,MATCH($A68,Raw_매출!$A$2:$A$155,0),MATCH(EDATE($E68,J$1-1),Raw_매출!$B$1:$BI$1,0))=0,"",INDEX(Raw_매출!$B$2:$BI$155,MATCH($A68,Raw_매출!$A$2:$A$155,0),MATCH(EDATE($E68,J$1-1),Raw_매출!$B$1:$BI$1,0))/(INDEX(요약_월별시즈널리티!$F$7:$F$18,MONTH(EDATE($E68,J$1-1)))/100))),"")</f>
        <v>2737644.882943877</v>
      </c>
      <c r="K68" s="30" cm="1">
        <f t="array" ref="K68">IFERROR(IF($E68&lt;44348,"",IF(INDEX(Raw_매출!$B$2:$BI$155,MATCH($A68,Raw_매출!$A$2:$A$155,0),MATCH(EDATE($E68,K$1-1),Raw_매출!$B$1:$BI$1,0))=0,"",INDEX(Raw_매출!$B$2:$BI$155,MATCH($A68,Raw_매출!$A$2:$A$155,0),MATCH(EDATE($E68,K$1-1),Raw_매출!$B$1:$BI$1,0))/(INDEX(요약_월별시즈널리티!$F$7:$F$18,MONTH(EDATE($E68,K$1-1)))/100))),"")</f>
        <v>2079825.7802206578</v>
      </c>
      <c r="L68" s="30" cm="1">
        <f t="array" ref="L68">IFERROR(IF($E68&lt;44348,"",IF(INDEX(Raw_매출!$B$2:$BI$155,MATCH($A68,Raw_매출!$A$2:$A$155,0),MATCH(EDATE($E68,L$1-1),Raw_매출!$B$1:$BI$1,0))=0,"",INDEX(Raw_매출!$B$2:$BI$155,MATCH($A68,Raw_매출!$A$2:$A$155,0),MATCH(EDATE($E68,L$1-1),Raw_매출!$B$1:$BI$1,0))/(INDEX(요약_월별시즈널리티!$F$7:$F$18,MONTH(EDATE($E68,L$1-1)))/100))),"")</f>
        <v>1945079.4353351886</v>
      </c>
      <c r="M68" s="30" cm="1">
        <f t="array" ref="M68">IFERROR(IF($E68&lt;44348,"",IF(INDEX(Raw_매출!$B$2:$BI$155,MATCH($A68,Raw_매출!$A$2:$A$155,0),MATCH(EDATE($E68,M$1-1),Raw_매출!$B$1:$BI$1,0))=0,"",INDEX(Raw_매출!$B$2:$BI$155,MATCH($A68,Raw_매출!$A$2:$A$155,0),MATCH(EDATE($E68,M$1-1),Raw_매출!$B$1:$BI$1,0))/(INDEX(요약_월별시즈널리티!$F$7:$F$18,MONTH(EDATE($E68,M$1-1)))/100))),"")</f>
        <v>2139664.9845036333</v>
      </c>
      <c r="N68" s="30" cm="1">
        <f t="array" ref="N68">IFERROR(IF($E68&lt;44348,"",IF(INDEX(Raw_매출!$B$2:$BI$155,MATCH($A68,Raw_매출!$A$2:$A$155,0),MATCH(EDATE($E68,N$1-1),Raw_매출!$B$1:$BI$1,0))=0,"",INDEX(Raw_매출!$B$2:$BI$155,MATCH($A68,Raw_매출!$A$2:$A$155,0),MATCH(EDATE($E68,N$1-1),Raw_매출!$B$1:$BI$1,0))/(INDEX(요약_월별시즈널리티!$F$7:$F$18,MONTH(EDATE($E68,N$1-1)))/100))),"")</f>
        <v>1990082.421318599</v>
      </c>
      <c r="O68" s="30" cm="1">
        <f t="array" ref="O68">IFERROR(IF($E68&lt;44348,"",IF(INDEX(Raw_매출!$B$2:$BI$155,MATCH($A68,Raw_매출!$A$2:$A$155,0),MATCH(EDATE($E68,O$1-1),Raw_매출!$B$1:$BI$1,0))=0,"",INDEX(Raw_매출!$B$2:$BI$155,MATCH($A68,Raw_매출!$A$2:$A$155,0),MATCH(EDATE($E68,O$1-1),Raw_매출!$B$1:$BI$1,0))/(INDEX(요약_월별시즈널리티!$F$7:$F$18,MONTH(EDATE($E68,O$1-1)))/100))),"")</f>
        <v>2350049.4281282742</v>
      </c>
      <c r="P68" cm="1">
        <f t="array" ref="P68">IFERROR(IF($E68&lt;44348,"",IF(INDEX(Raw_매출!$B$2:$BI$155,MATCH($A68,Raw_매출!$A$2:$A$155,0),MATCH(EDATE($E68,P$1-1),Raw_매출!$B$1:$BI$1,0))=0,"",INDEX(Raw_매출!$B$2:$BI$155,MATCH($A68,Raw_매출!$A$2:$A$155,0),MATCH(EDATE($E68,P$1-1),Raw_매출!$B$1:$BI$1,0))/(INDEX(요약_월별시즈널리티!$F$7:$F$18,MONTH(EDATE($E68,P$1-1)))/100))),"")</f>
        <v>2455284.0965869073</v>
      </c>
      <c r="Q68" cm="1">
        <f t="array" ref="Q68">IFERROR(IF($E68&lt;44348,"",IF(INDEX(Raw_매출!$B$2:$BI$155,MATCH($A68,Raw_매출!$A$2:$A$155,0),MATCH(EDATE($E68,Q$1-1),Raw_매출!$B$1:$BI$1,0))=0,"",INDEX(Raw_매출!$B$2:$BI$155,MATCH($A68,Raw_매출!$A$2:$A$155,0),MATCH(EDATE($E68,Q$1-1),Raw_매출!$B$1:$BI$1,0))/(INDEX(요약_월별시즈널리티!$F$7:$F$18,MONTH(EDATE($E68,Q$1-1)))/100))),"")</f>
        <v>2722635.3465086264</v>
      </c>
      <c r="R68" cm="1">
        <f t="array" ref="R68">IFERROR(IF($E68&lt;44348,"",IF(INDEX(Raw_매출!$B$2:$BI$155,MATCH($A68,Raw_매출!$A$2:$A$155,0),MATCH(EDATE($E68,R$1-1),Raw_매출!$B$1:$BI$1,0))=0,"",INDEX(Raw_매출!$B$2:$BI$155,MATCH($A68,Raw_매출!$A$2:$A$155,0),MATCH(EDATE($E68,R$1-1),Raw_매출!$B$1:$BI$1,0))/(INDEX(요약_월별시즈널리티!$F$7:$F$18,MONTH(EDATE($E68,R$1-1)))/100))),"")</f>
        <v>2698656.3269990473</v>
      </c>
      <c r="S68" cm="1">
        <f t="array" ref="S68">IFERROR(IF($E68&lt;44348,"",IF(INDEX(Raw_매출!$B$2:$BI$155,MATCH($A68,Raw_매출!$A$2:$A$155,0),MATCH(EDATE($E68,S$1-1),Raw_매출!$B$1:$BI$1,0))=0,"",INDEX(Raw_매출!$B$2:$BI$155,MATCH($A68,Raw_매출!$A$2:$A$155,0),MATCH(EDATE($E68,S$1-1),Raw_매출!$B$1:$BI$1,0))/(INDEX(요약_월별시즈널리티!$F$7:$F$18,MONTH(EDATE($E68,S$1-1)))/100))),"")</f>
        <v>2692759.8394448617</v>
      </c>
      <c r="T68" cm="1">
        <f t="array" ref="T68">IFERROR(IF($E68&lt;44348,"",IF(INDEX(Raw_매출!$B$2:$BI$155,MATCH($A68,Raw_매출!$A$2:$A$155,0),MATCH(EDATE($E68,T$1-1),Raw_매출!$B$1:$BI$1,0))=0,"",INDEX(Raw_매출!$B$2:$BI$155,MATCH($A68,Raw_매출!$A$2:$A$155,0),MATCH(EDATE($E68,T$1-1),Raw_매출!$B$1:$BI$1,0))/(INDEX(요약_월별시즈널리티!$F$7:$F$18,MONTH(EDATE($E68,T$1-1)))/100))),"")</f>
        <v>3048005.292489511</v>
      </c>
      <c r="U68" cm="1">
        <f t="array" ref="U68">IFERROR(IF($E68&lt;44348,"",IF(INDEX(Raw_매출!$B$2:$BI$155,MATCH($A68,Raw_매출!$A$2:$A$155,0),MATCH(EDATE($E68,U$1-1),Raw_매출!$B$1:$BI$1,0))=0,"",INDEX(Raw_매출!$B$2:$BI$155,MATCH($A68,Raw_매출!$A$2:$A$155,0),MATCH(EDATE($E68,U$1-1),Raw_매출!$B$1:$BI$1,0))/(INDEX(요약_월별시즈널리티!$F$7:$F$18,MONTH(EDATE($E68,U$1-1)))/100))),"")</f>
        <v>3460528.44231189</v>
      </c>
      <c r="V68" cm="1">
        <f t="array" ref="V68">IFERROR(IF($E68&lt;44348,"",IF(INDEX(Raw_매출!$B$2:$BI$155,MATCH($A68,Raw_매출!$A$2:$A$155,0),MATCH(EDATE($E68,V$1-1),Raw_매출!$B$1:$BI$1,0))=0,"",INDEX(Raw_매출!$B$2:$BI$155,MATCH($A68,Raw_매출!$A$2:$A$155,0),MATCH(EDATE($E68,V$1-1),Raw_매출!$B$1:$BI$1,0))/(INDEX(요약_월별시즈널리티!$F$7:$F$18,MONTH(EDATE($E68,V$1-1)))/100))),"")</f>
        <v>3237041.1388821504</v>
      </c>
      <c r="W68" cm="1">
        <f t="array" ref="W68">IFERROR(IF($E68&lt;44348,"",IF(INDEX(Raw_매출!$B$2:$BI$155,MATCH($A68,Raw_매출!$A$2:$A$155,0),MATCH(EDATE($E68,W$1-1),Raw_매출!$B$1:$BI$1,0))=0,"",INDEX(Raw_매출!$B$2:$BI$155,MATCH($A68,Raw_매출!$A$2:$A$155,0),MATCH(EDATE($E68,W$1-1),Raw_매출!$B$1:$BI$1,0))/(INDEX(요약_월별시즈널리티!$F$7:$F$18,MONTH(EDATE($E68,W$1-1)))/100))),"")</f>
        <v>3296683.3732756376</v>
      </c>
      <c r="X68" cm="1">
        <f t="array" ref="X68">IFERROR(IF($E68&lt;44348,"",IF(INDEX(Raw_매출!$B$2:$BI$155,MATCH($A68,Raw_매출!$A$2:$A$155,0),MATCH(EDATE($E68,X$1-1),Raw_매출!$B$1:$BI$1,0))=0,"",INDEX(Raw_매출!$B$2:$BI$155,MATCH($A68,Raw_매출!$A$2:$A$155,0),MATCH(EDATE($E68,X$1-1),Raw_매출!$B$1:$BI$1,0))/(INDEX(요약_월별시즈널리티!$F$7:$F$18,MONTH(EDATE($E68,X$1-1)))/100))),"")</f>
        <v>3104541.5976195978</v>
      </c>
      <c r="Y68" cm="1">
        <f t="array" ref="Y68">IFERROR(IF($E68&lt;44348,"",IF(INDEX(Raw_매출!$B$2:$BI$155,MATCH($A68,Raw_매출!$A$2:$A$155,0),MATCH(EDATE($E68,Y$1-1),Raw_매출!$B$1:$BI$1,0))=0,"",INDEX(Raw_매출!$B$2:$BI$155,MATCH($A68,Raw_매출!$A$2:$A$155,0),MATCH(EDATE($E68,Y$1-1),Raw_매출!$B$1:$BI$1,0))/(INDEX(요약_월별시즈널리티!$F$7:$F$18,MONTH(EDATE($E68,Y$1-1)))/100))),"")</f>
        <v>2816603.9259526934</v>
      </c>
      <c r="Z68" cm="1">
        <f t="array" ref="Z68">IFERROR(IF($E68&lt;44348,"",IF(INDEX(Raw_매출!$B$2:$BI$155,MATCH($A68,Raw_매출!$A$2:$A$155,0),MATCH(EDATE($E68,Z$1-1),Raw_매출!$B$1:$BI$1,0))=0,"",INDEX(Raw_매출!$B$2:$BI$155,MATCH($A68,Raw_매출!$A$2:$A$155,0),MATCH(EDATE($E68,Z$1-1),Raw_매출!$B$1:$BI$1,0))/(INDEX(요약_월별시즈널리티!$F$7:$F$18,MONTH(EDATE($E68,Z$1-1)))/100))),"")</f>
        <v>2522807.6868366692</v>
      </c>
      <c r="AA68" cm="1">
        <f t="array" ref="AA68">IFERROR(IF($E68&lt;44348,"",IF(INDEX(Raw_매출!$B$2:$BI$155,MATCH($A68,Raw_매출!$A$2:$A$155,0),MATCH(EDATE($E68,AA$1-1),Raw_매출!$B$1:$BI$1,0))=0,"",INDEX(Raw_매출!$B$2:$BI$155,MATCH($A68,Raw_매출!$A$2:$A$155,0),MATCH(EDATE($E68,AA$1-1),Raw_매출!$B$1:$BI$1,0))/(INDEX(요약_월별시즈널리티!$F$7:$F$18,MONTH(EDATE($E68,AA$1-1)))/100))),"")</f>
        <v>3033608.1142270165</v>
      </c>
      <c r="AB68" cm="1">
        <f t="array" ref="AB68">IFERROR(IF($E68&lt;44348,"",IF(INDEX(Raw_매출!$B$2:$BI$155,MATCH($A68,Raw_매출!$A$2:$A$155,0),MATCH(EDATE($E68,AB$1-1),Raw_매출!$B$1:$BI$1,0))=0,"",INDEX(Raw_매출!$B$2:$BI$155,MATCH($A68,Raw_매출!$A$2:$A$155,0),MATCH(EDATE($E68,AB$1-1),Raw_매출!$B$1:$BI$1,0))/(INDEX(요약_월별시즈널리티!$F$7:$F$18,MONTH(EDATE($E68,AB$1-1)))/100))),"")</f>
        <v>3534991.7257142225</v>
      </c>
      <c r="AC68" cm="1">
        <f t="array" ref="AC68">IFERROR(IF($E68&lt;44348,"",IF(INDEX(Raw_매출!$B$2:$BI$155,MATCH($A68,Raw_매출!$A$2:$A$155,0),MATCH(EDATE($E68,AC$1-1),Raw_매출!$B$1:$BI$1,0))=0,"",INDEX(Raw_매출!$B$2:$BI$155,MATCH($A68,Raw_매출!$A$2:$A$155,0),MATCH(EDATE($E68,AC$1-1),Raw_매출!$B$1:$BI$1,0))/(INDEX(요약_월별시즈널리티!$F$7:$F$18,MONTH(EDATE($E68,AC$1-1)))/100))),"")</f>
        <v>4073106.4240684849</v>
      </c>
      <c r="AD68" cm="1">
        <f t="array" ref="AD68">IFERROR(IF($E68&lt;44348,"",IF(INDEX(Raw_매출!$B$2:$BI$155,MATCH($A68,Raw_매출!$A$2:$A$155,0),MATCH(EDATE($E68,AD$1-1),Raw_매출!$B$1:$BI$1,0))=0,"",INDEX(Raw_매출!$B$2:$BI$155,MATCH($A68,Raw_매출!$A$2:$A$155,0),MATCH(EDATE($E68,AD$1-1),Raw_매출!$B$1:$BI$1,0))/(INDEX(요약_월별시즈널리티!$F$7:$F$18,MONTH(EDATE($E68,AD$1-1)))/100))),"")</f>
        <v>3449011.684700334</v>
      </c>
      <c r="AE68" cm="1">
        <f t="array" ref="AE68">IFERROR(IF($E68&lt;44348,"",IF(INDEX(Raw_매출!$B$2:$BI$155,MATCH($A68,Raw_매출!$A$2:$A$155,0),MATCH(EDATE($E68,AE$1-1),Raw_매출!$B$1:$BI$1,0))=0,"",INDEX(Raw_매출!$B$2:$BI$155,MATCH($A68,Raw_매출!$A$2:$A$155,0),MATCH(EDATE($E68,AE$1-1),Raw_매출!$B$1:$BI$1,0))/(INDEX(요약_월별시즈널리티!$F$7:$F$18,MONTH(EDATE($E68,AE$1-1)))/100))),"")</f>
        <v>3894776.7115951283</v>
      </c>
      <c r="AF68" cm="1">
        <f t="array" ref="AF68">IFERROR(IF($E68&lt;44348,"",IF(INDEX(Raw_매출!$B$2:$BI$155,MATCH($A68,Raw_매출!$A$2:$A$155,0),MATCH(EDATE($E68,AF$1-1),Raw_매출!$B$1:$BI$1,0))=0,"",INDEX(Raw_매출!$B$2:$BI$155,MATCH($A68,Raw_매출!$A$2:$A$155,0),MATCH(EDATE($E68,AF$1-1),Raw_매출!$B$1:$BI$1,0))/(INDEX(요약_월별시즈널리티!$F$7:$F$18,MONTH(EDATE($E68,AF$1-1)))/100))),"")</f>
        <v>3880952.8011084045</v>
      </c>
      <c r="AG68" cm="1">
        <f t="array" ref="AG68">IFERROR(IF($E68&lt;44348,"",IF(INDEX(Raw_매출!$B$2:$BI$155,MATCH($A68,Raw_매출!$A$2:$A$155,0),MATCH(EDATE($E68,AG$1-1),Raw_매출!$B$1:$BI$1,0))=0,"",INDEX(Raw_매출!$B$2:$BI$155,MATCH($A68,Raw_매출!$A$2:$A$155,0),MATCH(EDATE($E68,AG$1-1),Raw_매출!$B$1:$BI$1,0))/(INDEX(요약_월별시즈널리티!$F$7:$F$18,MONTH(EDATE($E68,AG$1-1)))/100))),"")</f>
        <v>3984090.2812219816</v>
      </c>
      <c r="AH68" cm="1">
        <f t="array" ref="AH68">IFERROR(IF($E68&lt;44348,"",IF(INDEX(Raw_매출!$B$2:$BI$155,MATCH($A68,Raw_매출!$A$2:$A$155,0),MATCH(EDATE($E68,AH$1-1),Raw_매출!$B$1:$BI$1,0))=0,"",INDEX(Raw_매출!$B$2:$BI$155,MATCH($A68,Raw_매출!$A$2:$A$155,0),MATCH(EDATE($E68,AH$1-1),Raw_매출!$B$1:$BI$1,0))/(INDEX(요약_월별시즈널리티!$F$7:$F$18,MONTH(EDATE($E68,AH$1-1)))/100))),"")</f>
        <v>3512964.8963799868</v>
      </c>
      <c r="AI68" cm="1">
        <f t="array" ref="AI68">IFERROR(IF($E68&lt;44348,"",IF(INDEX(Raw_매출!$B$2:$BI$155,MATCH($A68,Raw_매출!$A$2:$A$155,0),MATCH(EDATE($E68,AI$1-1),Raw_매출!$B$1:$BI$1,0))=0,"",INDEX(Raw_매출!$B$2:$BI$155,MATCH($A68,Raw_매출!$A$2:$A$155,0),MATCH(EDATE($E68,AI$1-1),Raw_매출!$B$1:$BI$1,0))/(INDEX(요약_월별시즈널리티!$F$7:$F$18,MONTH(EDATE($E68,AI$1-1)))/100))),"")</f>
        <v>3810835.6533627445</v>
      </c>
      <c r="AJ68" cm="1">
        <f t="array" ref="AJ68">IFERROR(IF($E68&lt;44348,"",IF(INDEX(Raw_매출!$B$2:$BI$155,MATCH($A68,Raw_매출!$A$2:$A$155,0),MATCH(EDATE($E68,AJ$1-1),Raw_매출!$B$1:$BI$1,0))=0,"",INDEX(Raw_매출!$B$2:$BI$155,MATCH($A68,Raw_매출!$A$2:$A$155,0),MATCH(EDATE($E68,AJ$1-1),Raw_매출!$B$1:$BI$1,0))/(INDEX(요약_월별시즈널리티!$F$7:$F$18,MONTH(EDATE($E68,AJ$1-1)))/100))),"")</f>
        <v>4013868.8243146581</v>
      </c>
      <c r="AK68" cm="1">
        <f t="array" ref="AK68">IFERROR(IF($E68&lt;44348,"",IF(INDEX(Raw_매출!$B$2:$BI$155,MATCH($A68,Raw_매출!$A$2:$A$155,0),MATCH(EDATE($E68,AK$1-1),Raw_매출!$B$1:$BI$1,0))=0,"",INDEX(Raw_매출!$B$2:$BI$155,MATCH($A68,Raw_매출!$A$2:$A$155,0),MATCH(EDATE($E68,AK$1-1),Raw_매출!$B$1:$BI$1,0))/(INDEX(요약_월별시즈널리티!$F$7:$F$18,MONTH(EDATE($E68,AK$1-1)))/100))),"")</f>
        <v>4558724.9456264833</v>
      </c>
      <c r="AL68" cm="1">
        <f t="array" ref="AL68">IFERROR(IF($E68&lt;44348,"",IF(INDEX(Raw_매출!$B$2:$BI$155,MATCH($A68,Raw_매출!$A$2:$A$155,0),MATCH(EDATE($E68,AL$1-1),Raw_매출!$B$1:$BI$1,0))=0,"",INDEX(Raw_매출!$B$2:$BI$155,MATCH($A68,Raw_매출!$A$2:$A$155,0),MATCH(EDATE($E68,AL$1-1),Raw_매출!$B$1:$BI$1,0))/(INDEX(요약_월별시즈널리티!$F$7:$F$18,MONTH(EDATE($E68,AL$1-1)))/100))),"")</f>
        <v>4853894.20919275</v>
      </c>
      <c r="AM68" cm="1">
        <f t="array" ref="AM68">IFERROR(IF($E68&lt;44348,"",IF(INDEX(Raw_매출!$B$2:$BI$155,MATCH($A68,Raw_매출!$A$2:$A$155,0),MATCH(EDATE($E68,AM$1-1),Raw_매출!$B$1:$BI$1,0))=0,"",INDEX(Raw_매출!$B$2:$BI$155,MATCH($A68,Raw_매출!$A$2:$A$155,0),MATCH(EDATE($E68,AM$1-1),Raw_매출!$B$1:$BI$1,0))/(INDEX(요약_월별시즈널리티!$F$7:$F$18,MONTH(EDATE($E68,AM$1-1)))/100))),"")</f>
        <v>4339652.8604325326</v>
      </c>
      <c r="AN68" cm="1">
        <f t="array" ref="AN68">IFERROR(IF($E68&lt;44348,"",IF(INDEX(Raw_매출!$B$2:$BI$155,MATCH($A68,Raw_매출!$A$2:$A$155,0),MATCH(EDATE($E68,AN$1-1),Raw_매출!$B$1:$BI$1,0))=0,"",INDEX(Raw_매출!$B$2:$BI$155,MATCH($A68,Raw_매출!$A$2:$A$155,0),MATCH(EDATE($E68,AN$1-1),Raw_매출!$B$1:$BI$1,0))/(INDEX(요약_월별시즈널리티!$F$7:$F$18,MONTH(EDATE($E68,AN$1-1)))/100))),"")</f>
        <v>4704443.8839037726</v>
      </c>
      <c r="AO68" cm="1">
        <f t="array" ref="AO68">IFERROR(IF($E68&lt;44348,"",IF(INDEX(Raw_매출!$B$2:$BI$155,MATCH($A68,Raw_매출!$A$2:$A$155,0),MATCH(EDATE($E68,AO$1-1),Raw_매출!$B$1:$BI$1,0))=0,"",INDEX(Raw_매출!$B$2:$BI$155,MATCH($A68,Raw_매출!$A$2:$A$155,0),MATCH(EDATE($E68,AO$1-1),Raw_매출!$B$1:$BI$1,0))/(INDEX(요약_월별시즈널리티!$F$7:$F$18,MONTH(EDATE($E68,AO$1-1)))/100))),"")</f>
        <v>4112407.8550608233</v>
      </c>
      <c r="AP68" cm="1">
        <f t="array" ref="AP68">IFERROR(IF($E68&lt;44348,"",IF(INDEX(Raw_매출!$B$2:$BI$155,MATCH($A68,Raw_매출!$A$2:$A$155,0),MATCH(EDATE($E68,AP$1-1),Raw_매출!$B$1:$BI$1,0))=0,"",INDEX(Raw_매출!$B$2:$BI$155,MATCH($A68,Raw_매출!$A$2:$A$155,0),MATCH(EDATE($E68,AP$1-1),Raw_매출!$B$1:$BI$1,0))/(INDEX(요약_월별시즈널리티!$F$7:$F$18,MONTH(EDATE($E68,AP$1-1)))/100))),"")</f>
        <v>4288462.9279979123</v>
      </c>
      <c r="AQ68" cm="1">
        <f t="array" ref="AQ68">IFERROR(IF($E68&lt;44348,"",IF(INDEX(Raw_매출!$B$2:$BI$155,MATCH($A68,Raw_매출!$A$2:$A$155,0),MATCH(EDATE($E68,AQ$1-1),Raw_매출!$B$1:$BI$1,0))=0,"",INDEX(Raw_매출!$B$2:$BI$155,MATCH($A68,Raw_매출!$A$2:$A$155,0),MATCH(EDATE($E68,AQ$1-1),Raw_매출!$B$1:$BI$1,0))/(INDEX(요약_월별시즈널리티!$F$7:$F$18,MONTH(EDATE($E68,AQ$1-1)))/100))),"")</f>
        <v>3015247.4856348429</v>
      </c>
      <c r="AR68" cm="1">
        <f t="array" ref="AR68">IFERROR(IF($E68&lt;44348,"",IF(INDEX(Raw_매출!$B$2:$BI$155,MATCH($A68,Raw_매출!$A$2:$A$155,0),MATCH(EDATE($E68,AR$1-1),Raw_매출!$B$1:$BI$1,0))=0,"",INDEX(Raw_매출!$B$2:$BI$155,MATCH($A68,Raw_매출!$A$2:$A$155,0),MATCH(EDATE($E68,AR$1-1),Raw_매출!$B$1:$BI$1,0))/(INDEX(요약_월별시즈널리티!$F$7:$F$18,MONTH(EDATE($E68,AR$1-1)))/100))),"")</f>
        <v>2556220.7735457872</v>
      </c>
      <c r="AS68" cm="1">
        <f t="array" ref="AS68">IFERROR(IF($E68&lt;44348,"",IF(INDEX(Raw_매출!$B$2:$BI$155,MATCH($A68,Raw_매출!$A$2:$A$155,0),MATCH(EDATE($E68,AS$1-1),Raw_매출!$B$1:$BI$1,0))=0,"",INDEX(Raw_매출!$B$2:$BI$155,MATCH($A68,Raw_매출!$A$2:$A$155,0),MATCH(EDATE($E68,AS$1-1),Raw_매출!$B$1:$BI$1,0))/(INDEX(요약_월별시즈널리티!$F$7:$F$18,MONTH(EDATE($E68,AS$1-1)))/100))),"")</f>
        <v>2960552.1524605472</v>
      </c>
      <c r="AT68" cm="1">
        <f t="array" ref="AT68">IFERROR(IF($E68&lt;44348,"",IF(INDEX(Raw_매출!$B$2:$BI$155,MATCH($A68,Raw_매출!$A$2:$A$155,0),MATCH(EDATE($E68,AT$1-1),Raw_매출!$B$1:$BI$1,0))=0,"",INDEX(Raw_매출!$B$2:$BI$155,MATCH($A68,Raw_매출!$A$2:$A$155,0),MATCH(EDATE($E68,AT$1-1),Raw_매출!$B$1:$BI$1,0))/(INDEX(요약_월별시즈널리티!$F$7:$F$18,MONTH(EDATE($E68,AT$1-1)))/100))),"")</f>
        <v>3003614.6466961447</v>
      </c>
      <c r="AU68" cm="1">
        <f t="array" ref="AU68">IFERROR(IF($E68&lt;44348,"",IF(INDEX(Raw_매출!$B$2:$BI$155,MATCH($A68,Raw_매출!$A$2:$A$155,0),MATCH(EDATE($E68,AU$1-1),Raw_매출!$B$1:$BI$1,0))=0,"",INDEX(Raw_매출!$B$2:$BI$155,MATCH($A68,Raw_매출!$A$2:$A$155,0),MATCH(EDATE($E68,AU$1-1),Raw_매출!$B$1:$BI$1,0))/(INDEX(요약_월별시즈널리티!$F$7:$F$18,MONTH(EDATE($E68,AU$1-1)))/100))),"")</f>
        <v>2854218.7051876262</v>
      </c>
      <c r="AV68" cm="1">
        <f t="array" ref="AV68">IFERROR(IF($E68&lt;44348,"",IF(INDEX(Raw_매출!$B$2:$BI$155,MATCH($A68,Raw_매출!$A$2:$A$155,0),MATCH(EDATE($E68,AV$1-1),Raw_매출!$B$1:$BI$1,0))=0,"",INDEX(Raw_매출!$B$2:$BI$155,MATCH($A68,Raw_매출!$A$2:$A$155,0),MATCH(EDATE($E68,AV$1-1),Raw_매출!$B$1:$BI$1,0))/(INDEX(요약_월별시즈널리티!$F$7:$F$18,MONTH(EDATE($E68,AV$1-1)))/100))),"")</f>
        <v>2857670.9136132565</v>
      </c>
      <c r="AW68" cm="1">
        <f t="array" ref="AW68">IFERROR(IF($E68&lt;44348,"",IF(INDEX(Raw_매출!$B$2:$BI$155,MATCH($A68,Raw_매출!$A$2:$A$155,0),MATCH(EDATE($E68,AW$1-1),Raw_매출!$B$1:$BI$1,0))=0,"",INDEX(Raw_매출!$B$2:$BI$155,MATCH($A68,Raw_매출!$A$2:$A$155,0),MATCH(EDATE($E68,AW$1-1),Raw_매출!$B$1:$BI$1,0))/(INDEX(요약_월별시즈널리티!$F$7:$F$18,MONTH(EDATE($E68,AW$1-1)))/100))),"")</f>
        <v>2682567.6049229982</v>
      </c>
      <c r="AX68" t="str" cm="1">
        <f t="array" ref="AX68">IFERROR(IF($E68&lt;44348,"",IF(INDEX(Raw_매출!$B$2:$BI$155,MATCH($A68,Raw_매출!$A$2:$A$155,0),MATCH(EDATE($E68,AX$1-1),Raw_매출!$B$1:$BI$1,0))=0,"",INDEX(Raw_매출!$B$2:$BI$155,MATCH($A68,Raw_매출!$A$2:$A$155,0),MATCH(EDATE($E68,AX$1-1),Raw_매출!$B$1:$BI$1,0))/(INDEX(요약_월별시즈널리티!$F$7:$F$18,MONTH(EDATE($E68,AX$1-1)))/100))),"")</f>
        <v/>
      </c>
      <c r="AY68" t="str" cm="1">
        <f t="array" ref="AY68">IFERROR(IF($E68&lt;44348,"",IF(INDEX(Raw_매출!$B$2:$BI$155,MATCH($A68,Raw_매출!$A$2:$A$155,0),MATCH(EDATE($E68,AY$1-1),Raw_매출!$B$1:$BI$1,0))=0,"",INDEX(Raw_매출!$B$2:$BI$155,MATCH($A68,Raw_매출!$A$2:$A$155,0),MATCH(EDATE($E68,AY$1-1),Raw_매출!$B$1:$BI$1,0))/(INDEX(요약_월별시즈널리티!$F$7:$F$18,MONTH(EDATE($E68,AY$1-1)))/100))),"")</f>
        <v/>
      </c>
      <c r="AZ68" t="str" cm="1">
        <f t="array" ref="AZ68">IFERROR(IF($E68&lt;44348,"",IF(INDEX(Raw_매출!$B$2:$BI$155,MATCH($A68,Raw_매출!$A$2:$A$155,0),MATCH(EDATE($E68,AZ$1-1),Raw_매출!$B$1:$BI$1,0))=0,"",INDEX(Raw_매출!$B$2:$BI$155,MATCH($A68,Raw_매출!$A$2:$A$155,0),MATCH(EDATE($E68,AZ$1-1),Raw_매출!$B$1:$BI$1,0))/(INDEX(요약_월별시즈널리티!$F$7:$F$18,MONTH(EDATE($E68,AZ$1-1)))/100))),"")</f>
        <v/>
      </c>
      <c r="BA68" t="str" cm="1">
        <f t="array" ref="BA68">IFERROR(IF($E68&lt;44348,"",IF(INDEX(Raw_매출!$B$2:$BI$155,MATCH($A68,Raw_매출!$A$2:$A$155,0),MATCH(EDATE($E68,BA$1-1),Raw_매출!$B$1:$BI$1,0))=0,"",INDEX(Raw_매출!$B$2:$BI$155,MATCH($A68,Raw_매출!$A$2:$A$155,0),MATCH(EDATE($E68,BA$1-1),Raw_매출!$B$1:$BI$1,0))/(INDEX(요약_월별시즈널리티!$F$7:$F$18,MONTH(EDATE($E68,BA$1-1)))/100))),"")</f>
        <v/>
      </c>
      <c r="BB68" t="str" cm="1">
        <f t="array" ref="BB68">IFERROR(IF($E68&lt;44348,"",IF(INDEX(Raw_매출!$B$2:$BI$155,MATCH($A68,Raw_매출!$A$2:$A$155,0),MATCH(EDATE($E68,BB$1-1),Raw_매출!$B$1:$BI$1,0))=0,"",INDEX(Raw_매출!$B$2:$BI$155,MATCH($A68,Raw_매출!$A$2:$A$155,0),MATCH(EDATE($E68,BB$1-1),Raw_매출!$B$1:$BI$1,0))/(INDEX(요약_월별시즈널리티!$F$7:$F$18,MONTH(EDATE($E68,BB$1-1)))/100))),"")</f>
        <v/>
      </c>
      <c r="BC68" t="str" cm="1">
        <f t="array" ref="BC68">IFERROR(IF($E68&lt;44348,"",IF(INDEX(Raw_매출!$B$2:$BI$155,MATCH($A68,Raw_매출!$A$2:$A$155,0),MATCH(EDATE($E68,BC$1-1),Raw_매출!$B$1:$BI$1,0))=0,"",INDEX(Raw_매출!$B$2:$BI$155,MATCH($A68,Raw_매출!$A$2:$A$155,0),MATCH(EDATE($E68,BC$1-1),Raw_매출!$B$1:$BI$1,0))/(INDEX(요약_월별시즈널리티!$F$7:$F$18,MONTH(EDATE($E68,BC$1-1)))/100))),"")</f>
        <v/>
      </c>
      <c r="BD68" t="str" cm="1">
        <f t="array" ref="BD68">IFERROR(IF($E68&lt;44348,"",IF(INDEX(Raw_매출!$B$2:$BI$155,MATCH($A68,Raw_매출!$A$2:$A$155,0),MATCH(EDATE($E68,BD$1-1),Raw_매출!$B$1:$BI$1,0))=0,"",INDEX(Raw_매출!$B$2:$BI$155,MATCH($A68,Raw_매출!$A$2:$A$155,0),MATCH(EDATE($E68,BD$1-1),Raw_매출!$B$1:$BI$1,0))/(INDEX(요약_월별시즈널리티!$F$7:$F$18,MONTH(EDATE($E68,BD$1-1)))/100))),"")</f>
        <v/>
      </c>
      <c r="BE68" t="str" cm="1">
        <f t="array" ref="BE68">IFERROR(IF($E68&lt;44348,"",IF(INDEX(Raw_매출!$B$2:$BI$155,MATCH($A68,Raw_매출!$A$2:$A$155,0),MATCH(EDATE($E68,BE$1-1),Raw_매출!$B$1:$BI$1,0))=0,"",INDEX(Raw_매출!$B$2:$BI$155,MATCH($A68,Raw_매출!$A$2:$A$155,0),MATCH(EDATE($E68,BE$1-1),Raw_매출!$B$1:$BI$1,0))/(INDEX(요약_월별시즈널리티!$F$7:$F$18,MONTH(EDATE($E68,BE$1-1)))/100))),"")</f>
        <v/>
      </c>
      <c r="BF68" t="str" cm="1">
        <f t="array" ref="BF68">IFERROR(IF($E68&lt;44348,"",IF(INDEX(Raw_매출!$B$2:$BI$155,MATCH($A68,Raw_매출!$A$2:$A$155,0),MATCH(EDATE($E68,BF$1-1),Raw_매출!$B$1:$BI$1,0))=0,"",INDEX(Raw_매출!$B$2:$BI$155,MATCH($A68,Raw_매출!$A$2:$A$155,0),MATCH(EDATE($E68,BF$1-1),Raw_매출!$B$1:$BI$1,0))/(INDEX(요약_월별시즈널리티!$F$7:$F$18,MONTH(EDATE($E68,BF$1-1)))/100))),"")</f>
        <v/>
      </c>
      <c r="BG68" t="str" cm="1">
        <f t="array" ref="BG68">IFERROR(IF($E68&lt;44348,"",IF(INDEX(Raw_매출!$B$2:$BI$155,MATCH($A68,Raw_매출!$A$2:$A$155,0),MATCH(EDATE($E68,BG$1-1),Raw_매출!$B$1:$BI$1,0))=0,"",INDEX(Raw_매출!$B$2:$BI$155,MATCH($A68,Raw_매출!$A$2:$A$155,0),MATCH(EDATE($E68,BG$1-1),Raw_매출!$B$1:$BI$1,0))/(INDEX(요약_월별시즈널리티!$F$7:$F$18,MONTH(EDATE($E68,BG$1-1)))/100))),"")</f>
        <v/>
      </c>
      <c r="BH68" t="str" cm="1">
        <f t="array" ref="BH68">IFERROR(IF($E68&lt;44348,"",IF(INDEX(Raw_매출!$B$2:$BI$155,MATCH($A68,Raw_매출!$A$2:$A$155,0),MATCH(EDATE($E68,BH$1-1),Raw_매출!$B$1:$BI$1,0))=0,"",INDEX(Raw_매출!$B$2:$BI$155,MATCH($A68,Raw_매출!$A$2:$A$155,0),MATCH(EDATE($E68,BH$1-1),Raw_매출!$B$1:$BI$1,0))/(INDEX(요약_월별시즈널리티!$F$7:$F$18,MONTH(EDATE($E68,BH$1-1)))/100))),"")</f>
        <v/>
      </c>
      <c r="BI68" t="str" cm="1">
        <f t="array" ref="BI68">IFERROR(IF($E68&lt;44348,"",IF(INDEX(Raw_매출!$B$2:$BI$155,MATCH($A68,Raw_매출!$A$2:$A$155,0),MATCH(EDATE($E68,BI$1-1),Raw_매출!$B$1:$BI$1,0))=0,"",INDEX(Raw_매출!$B$2:$BI$155,MATCH($A68,Raw_매출!$A$2:$A$155,0),MATCH(EDATE($E68,BI$1-1),Raw_매출!$B$1:$BI$1,0))/(INDEX(요약_월별시즈널리티!$F$7:$F$18,MONTH(EDATE($E68,BI$1-1)))/100))),"")</f>
        <v/>
      </c>
      <c r="BJ68" t="str" cm="1">
        <f t="array" ref="BJ68">IFERROR(IF($E68&lt;44348,"",IF(INDEX(Raw_매출!$B$2:$BI$155,MATCH($A68,Raw_매출!$A$2:$A$155,0),MATCH(EDATE($E68,BJ$1-1),Raw_매출!$B$1:$BI$1,0))=0,"",INDEX(Raw_매출!$B$2:$BI$155,MATCH($A68,Raw_매출!$A$2:$A$155,0),MATCH(EDATE($E68,BJ$1-1),Raw_매출!$B$1:$BI$1,0))/(INDEX(요약_월별시즈널리티!$F$7:$F$18,MONTH(EDATE($E68,BJ$1-1)))/100))),"")</f>
        <v/>
      </c>
      <c r="BK68" t="str" cm="1">
        <f t="array" ref="BK68">IFERROR(IF($E68&lt;44348,"",IF(INDEX(Raw_매출!$B$2:$BI$155,MATCH($A68,Raw_매출!$A$2:$A$155,0),MATCH(EDATE($E68,BK$1-1),Raw_매출!$B$1:$BI$1,0))=0,"",INDEX(Raw_매출!$B$2:$BI$155,MATCH($A68,Raw_매출!$A$2:$A$155,0),MATCH(EDATE($E68,BK$1-1),Raw_매출!$B$1:$BI$1,0))/(INDEX(요약_월별시즈널리티!$F$7:$F$18,MONTH(EDATE($E68,BK$1-1)))/100))),"")</f>
        <v/>
      </c>
      <c r="BL68" t="str" cm="1">
        <f t="array" ref="BL68">IFERROR(IF($E68&lt;44348,"",IF(INDEX(Raw_매출!$B$2:$BI$155,MATCH($A68,Raw_매출!$A$2:$A$155,0),MATCH(EDATE($E68,BL$1-1),Raw_매출!$B$1:$BI$1,0))=0,"",INDEX(Raw_매출!$B$2:$BI$155,MATCH($A68,Raw_매출!$A$2:$A$155,0),MATCH(EDATE($E68,BL$1-1),Raw_매출!$B$1:$BI$1,0))/(INDEX(요약_월별시즈널리티!$F$7:$F$18,MONTH(EDATE($E68,BL$1-1)))/100))),"")</f>
        <v/>
      </c>
      <c r="BM68" t="str" cm="1">
        <f t="array" ref="BM68">IFERROR(IF($E68&lt;44348,"",IF(INDEX(Raw_매출!$B$2:$BI$155,MATCH($A68,Raw_매출!$A$2:$A$155,0),MATCH(EDATE($E68,BM$1-1),Raw_매출!$B$1:$BI$1,0))=0,"",INDEX(Raw_매출!$B$2:$BI$155,MATCH($A68,Raw_매출!$A$2:$A$155,0),MATCH(EDATE($E68,BM$1-1),Raw_매출!$B$1:$BI$1,0))/(INDEX(요약_월별시즈널리티!$F$7:$F$18,MONTH(EDATE($E68,BM$1-1)))/100))),"")</f>
        <v/>
      </c>
      <c r="BN68" t="str" cm="1">
        <f t="array" ref="BN68">IFERROR(IF($E68&lt;44348,"",IF(INDEX(Raw_매출!$B$2:$BI$155,MATCH($A68,Raw_매출!$A$2:$A$155,0),MATCH(EDATE($E68,BN$1-1),Raw_매출!$B$1:$BI$1,0))=0,"",INDEX(Raw_매출!$B$2:$BI$155,MATCH($A68,Raw_매출!$A$2:$A$155,0),MATCH(EDATE($E68,BN$1-1),Raw_매출!$B$1:$BI$1,0))/(INDEX(요약_월별시즈널리티!$F$7:$F$18,MONTH(EDATE($E68,BN$1-1)))/100))),"")</f>
        <v/>
      </c>
    </row>
    <row r="69" spans="1:66" x14ac:dyDescent="0.4">
      <c r="A69" t="str">
        <f>세팅!A70</f>
        <v>(1058) #천안상명대점</v>
      </c>
      <c r="B69" t="str">
        <f>세팅!B70</f>
        <v>150-0</v>
      </c>
      <c r="C69">
        <f t="shared" si="3"/>
        <v>0</v>
      </c>
      <c r="D69" t="str">
        <f t="shared" si="4"/>
        <v>0</v>
      </c>
      <c r="E69" s="1">
        <f>세팅!D70</f>
        <v>44896</v>
      </c>
      <c r="F69">
        <f t="shared" si="5"/>
        <v>2824361.7122692238</v>
      </c>
      <c r="G69" cm="1">
        <f t="array" ref="G69">IFERROR(IF($E69&lt;44348,"",IF(INDEX(Raw_매출!$B$2:$BI$155,MATCH($A69,Raw_매출!$A$2:$A$155,0),MATCH(EDATE($E69,G$1-1),Raw_매출!$B$1:$BI$1,0))=0,"",INDEX(Raw_매출!$B$2:$BI$155,MATCH($A69,Raw_매출!$A$2:$A$155,0),MATCH(EDATE($E69,G$1-1),Raw_매출!$B$1:$BI$1,0))/(INDEX(요약_월별시즈널리티!$F$7:$F$18,MONTH(EDATE($E69,G$1-1)))/100))),"")</f>
        <v>2648457.5889826021</v>
      </c>
      <c r="H69" cm="1">
        <f t="array" ref="H69">IFERROR(IF($E69&lt;44348,"",IF(INDEX(Raw_매출!$B$2:$BI$155,MATCH($A69,Raw_매출!$A$2:$A$155,0),MATCH(EDATE($E69,H$1-1),Raw_매출!$B$1:$BI$1,0))=0,"",INDEX(Raw_매출!$B$2:$BI$155,MATCH($A69,Raw_매출!$A$2:$A$155,0),MATCH(EDATE($E69,H$1-1),Raw_매출!$B$1:$BI$1,0))/(INDEX(요약_월별시즈널리티!$F$7:$F$18,MONTH(EDATE($E69,H$1-1)))/100))),"")</f>
        <v>2260159.1150415228</v>
      </c>
      <c r="I69" cm="1">
        <f t="array" ref="I69">IFERROR(IF($E69&lt;44348,"",IF(INDEX(Raw_매출!$B$2:$BI$155,MATCH($A69,Raw_매출!$A$2:$A$155,0),MATCH(EDATE($E69,I$1-1),Raw_매출!$B$1:$BI$1,0))=0,"",INDEX(Raw_매출!$B$2:$BI$155,MATCH($A69,Raw_매출!$A$2:$A$155,0),MATCH(EDATE($E69,I$1-1),Raw_매출!$B$1:$BI$1,0))/(INDEX(요약_월별시즈널리티!$F$7:$F$18,MONTH(EDATE($E69,I$1-1)))/100))),"")</f>
        <v>2465956.6150374208</v>
      </c>
      <c r="J69" s="30" cm="1">
        <f t="array" ref="J69">IFERROR(IF($E69&lt;44348,"",IF(INDEX(Raw_매출!$B$2:$BI$155,MATCH($A69,Raw_매출!$A$2:$A$155,0),MATCH(EDATE($E69,J$1-1),Raw_매출!$B$1:$BI$1,0))=0,"",INDEX(Raw_매출!$B$2:$BI$155,MATCH($A69,Raw_매출!$A$2:$A$155,0),MATCH(EDATE($E69,J$1-1),Raw_매출!$B$1:$BI$1,0))/(INDEX(요약_월별시즈널리티!$F$7:$F$18,MONTH(EDATE($E69,J$1-1)))/100))),"")</f>
        <v>2829530.421928104</v>
      </c>
      <c r="K69" s="30" cm="1">
        <f t="array" ref="K69">IFERROR(IF($E69&lt;44348,"",IF(INDEX(Raw_매출!$B$2:$BI$155,MATCH($A69,Raw_매출!$A$2:$A$155,0),MATCH(EDATE($E69,K$1-1),Raw_매출!$B$1:$BI$1,0))=0,"",INDEX(Raw_매출!$B$2:$BI$155,MATCH($A69,Raw_매출!$A$2:$A$155,0),MATCH(EDATE($E69,K$1-1),Raw_매출!$B$1:$BI$1,0))/(INDEX(요약_월별시즈널리티!$F$7:$F$18,MONTH(EDATE($E69,K$1-1)))/100))),"")</f>
        <v>3125909.4921090021</v>
      </c>
      <c r="L69" s="30" cm="1">
        <f t="array" ref="L69">IFERROR(IF($E69&lt;44348,"",IF(INDEX(Raw_매출!$B$2:$BI$155,MATCH($A69,Raw_매출!$A$2:$A$155,0),MATCH(EDATE($E69,L$1-1),Raw_매출!$B$1:$BI$1,0))=0,"",INDEX(Raw_매출!$B$2:$BI$155,MATCH($A69,Raw_매출!$A$2:$A$155,0),MATCH(EDATE($E69,L$1-1),Raw_매출!$B$1:$BI$1,0))/(INDEX(요약_월별시즈널리티!$F$7:$F$18,MONTH(EDATE($E69,L$1-1)))/100))),"")</f>
        <v>3243901.0499150227</v>
      </c>
      <c r="M69" s="30" cm="1">
        <f t="array" ref="M69">IFERROR(IF($E69&lt;44348,"",IF(INDEX(Raw_매출!$B$2:$BI$155,MATCH($A69,Raw_매출!$A$2:$A$155,0),MATCH(EDATE($E69,M$1-1),Raw_매출!$B$1:$BI$1,0))=0,"",INDEX(Raw_매출!$B$2:$BI$155,MATCH($A69,Raw_매출!$A$2:$A$155,0),MATCH(EDATE($E69,M$1-1),Raw_매출!$B$1:$BI$1,0))/(INDEX(요약_월별시즈널리티!$F$7:$F$18,MONTH(EDATE($E69,M$1-1)))/100))),"")</f>
        <v>2604473.547724219</v>
      </c>
      <c r="N69" s="30" cm="1">
        <f t="array" ref="N69">IFERROR(IF($E69&lt;44348,"",IF(INDEX(Raw_매출!$B$2:$BI$155,MATCH($A69,Raw_매출!$A$2:$A$155,0),MATCH(EDATE($E69,N$1-1),Raw_매출!$B$1:$BI$1,0))=0,"",INDEX(Raw_매출!$B$2:$BI$155,MATCH($A69,Raw_매출!$A$2:$A$155,0),MATCH(EDATE($E69,N$1-1),Raw_매출!$B$1:$BI$1,0))/(INDEX(요약_월별시즈널리티!$F$7:$F$18,MONTH(EDATE($E69,N$1-1)))/100))),"")</f>
        <v>2638073.7787708249</v>
      </c>
      <c r="O69" s="30" cm="1">
        <f t="array" ref="O69">IFERROR(IF($E69&lt;44348,"",IF(INDEX(Raw_매출!$B$2:$BI$155,MATCH($A69,Raw_매출!$A$2:$A$155,0),MATCH(EDATE($E69,O$1-1),Raw_매출!$B$1:$BI$1,0))=0,"",INDEX(Raw_매출!$B$2:$BI$155,MATCH($A69,Raw_매출!$A$2:$A$155,0),MATCH(EDATE($E69,O$1-1),Raw_매출!$B$1:$BI$1,0))/(INDEX(요약_월별시즈널리티!$F$7:$F$18,MONTH(EDATE($E69,O$1-1)))/100))),"")</f>
        <v>2504281.9831681666</v>
      </c>
      <c r="P69" cm="1">
        <f t="array" ref="P69">IFERROR(IF($E69&lt;44348,"",IF(INDEX(Raw_매출!$B$2:$BI$155,MATCH($A69,Raw_매출!$A$2:$A$155,0),MATCH(EDATE($E69,P$1-1),Raw_매출!$B$1:$BI$1,0))=0,"",INDEX(Raw_매출!$B$2:$BI$155,MATCH($A69,Raw_매출!$A$2:$A$155,0),MATCH(EDATE($E69,P$1-1),Raw_매출!$B$1:$BI$1,0))/(INDEX(요약_월별시즈널리티!$F$7:$F$18,MONTH(EDATE($E69,P$1-1)))/100))),"")</f>
        <v>4181332.6772407792</v>
      </c>
      <c r="Q69" cm="1">
        <f t="array" ref="Q69">IFERROR(IF($E69&lt;44348,"",IF(INDEX(Raw_매출!$B$2:$BI$155,MATCH($A69,Raw_매출!$A$2:$A$155,0),MATCH(EDATE($E69,Q$1-1),Raw_매출!$B$1:$BI$1,0))=0,"",INDEX(Raw_매출!$B$2:$BI$155,MATCH($A69,Raw_매출!$A$2:$A$155,0),MATCH(EDATE($E69,Q$1-1),Raw_매출!$B$1:$BI$1,0))/(INDEX(요약_월별시즈널리티!$F$7:$F$18,MONTH(EDATE($E69,Q$1-1)))/100))),"")</f>
        <v>2947370.4459322821</v>
      </c>
      <c r="R69" cm="1">
        <f t="array" ref="R69">IFERROR(IF($E69&lt;44348,"",IF(INDEX(Raw_매출!$B$2:$BI$155,MATCH($A69,Raw_매출!$A$2:$A$155,0),MATCH(EDATE($E69,R$1-1),Raw_매출!$B$1:$BI$1,0))=0,"",INDEX(Raw_매출!$B$2:$BI$155,MATCH($A69,Raw_매출!$A$2:$A$155,0),MATCH(EDATE($E69,R$1-1),Raw_매출!$B$1:$BI$1,0))/(INDEX(요약_월별시즈널리티!$F$7:$F$18,MONTH(EDATE($E69,R$1-1)))/100))),"")</f>
        <v>3422259.0718537695</v>
      </c>
      <c r="S69" cm="1">
        <f t="array" ref="S69">IFERROR(IF($E69&lt;44348,"",IF(INDEX(Raw_매출!$B$2:$BI$155,MATCH($A69,Raw_매출!$A$2:$A$155,0),MATCH(EDATE($E69,S$1-1),Raw_매출!$B$1:$BI$1,0))=0,"",INDEX(Raw_매출!$B$2:$BI$155,MATCH($A69,Raw_매출!$A$2:$A$155,0),MATCH(EDATE($E69,S$1-1),Raw_매출!$B$1:$BI$1,0))/(INDEX(요약_월별시즈널리티!$F$7:$F$18,MONTH(EDATE($E69,S$1-1)))/100))),"")</f>
        <v>4320110.7538633337</v>
      </c>
      <c r="T69" cm="1">
        <f t="array" ref="T69">IFERROR(IF($E69&lt;44348,"",IF(INDEX(Raw_매출!$B$2:$BI$155,MATCH($A69,Raw_매출!$A$2:$A$155,0),MATCH(EDATE($E69,T$1-1),Raw_매출!$B$1:$BI$1,0))=0,"",INDEX(Raw_매출!$B$2:$BI$155,MATCH($A69,Raw_매출!$A$2:$A$155,0),MATCH(EDATE($E69,T$1-1),Raw_매출!$B$1:$BI$1,0))/(INDEX(요약_월별시즈널리티!$F$7:$F$18,MONTH(EDATE($E69,T$1-1)))/100))),"")</f>
        <v>2693553.1911783447</v>
      </c>
      <c r="U69" cm="1">
        <f t="array" ref="U69">IFERROR(IF($E69&lt;44348,"",IF(INDEX(Raw_매출!$B$2:$BI$155,MATCH($A69,Raw_매출!$A$2:$A$155,0),MATCH(EDATE($E69,U$1-1),Raw_매출!$B$1:$BI$1,0))=0,"",INDEX(Raw_매출!$B$2:$BI$155,MATCH($A69,Raw_매출!$A$2:$A$155,0),MATCH(EDATE($E69,U$1-1),Raw_매출!$B$1:$BI$1,0))/(INDEX(요약_월별시즈널리티!$F$7:$F$18,MONTH(EDATE($E69,U$1-1)))/100))),"")</f>
        <v>2978533.9044099329</v>
      </c>
      <c r="V69" cm="1">
        <f t="array" ref="V69">IFERROR(IF($E69&lt;44348,"",IF(INDEX(Raw_매출!$B$2:$BI$155,MATCH($A69,Raw_매출!$A$2:$A$155,0),MATCH(EDATE($E69,V$1-1),Raw_매출!$B$1:$BI$1,0))=0,"",INDEX(Raw_매출!$B$2:$BI$155,MATCH($A69,Raw_매출!$A$2:$A$155,0),MATCH(EDATE($E69,V$1-1),Raw_매출!$B$1:$BI$1,0))/(INDEX(요약_월별시즈널리티!$F$7:$F$18,MONTH(EDATE($E69,V$1-1)))/100))),"")</f>
        <v>4377287.1645982005</v>
      </c>
      <c r="W69" cm="1">
        <f t="array" ref="W69">IFERROR(IF($E69&lt;44348,"",IF(INDEX(Raw_매출!$B$2:$BI$155,MATCH($A69,Raw_매출!$A$2:$A$155,0),MATCH(EDATE($E69,W$1-1),Raw_매출!$B$1:$BI$1,0))=0,"",INDEX(Raw_매출!$B$2:$BI$155,MATCH($A69,Raw_매출!$A$2:$A$155,0),MATCH(EDATE($E69,W$1-1),Raw_매출!$B$1:$BI$1,0))/(INDEX(요약_월별시즈널리티!$F$7:$F$18,MONTH(EDATE($E69,W$1-1)))/100))),"")</f>
        <v>4267848.3228795491</v>
      </c>
      <c r="X69" cm="1">
        <f t="array" ref="X69">IFERROR(IF($E69&lt;44348,"",IF(INDEX(Raw_매출!$B$2:$BI$155,MATCH($A69,Raw_매출!$A$2:$A$155,0),MATCH(EDATE($E69,X$1-1),Raw_매출!$B$1:$BI$1,0))=0,"",INDEX(Raw_매출!$B$2:$BI$155,MATCH($A69,Raw_매출!$A$2:$A$155,0),MATCH(EDATE($E69,X$1-1),Raw_매출!$B$1:$BI$1,0))/(INDEX(요약_월별시즈널리티!$F$7:$F$18,MONTH(EDATE($E69,X$1-1)))/100))),"")</f>
        <v>4090447.2343805586</v>
      </c>
      <c r="Y69" cm="1">
        <f t="array" ref="Y69">IFERROR(IF($E69&lt;44348,"",IF(INDEX(Raw_매출!$B$2:$BI$155,MATCH($A69,Raw_매출!$A$2:$A$155,0),MATCH(EDATE($E69,Y$1-1),Raw_매출!$B$1:$BI$1,0))=0,"",INDEX(Raw_매출!$B$2:$BI$155,MATCH($A69,Raw_매출!$A$2:$A$155,0),MATCH(EDATE($E69,Y$1-1),Raw_매출!$B$1:$BI$1,0))/(INDEX(요약_월별시즈널리티!$F$7:$F$18,MONTH(EDATE($E69,Y$1-1)))/100))),"")</f>
        <v>4208156.0010883352</v>
      </c>
      <c r="Z69" cm="1">
        <f t="array" ref="Z69">IFERROR(IF($E69&lt;44348,"",IF(INDEX(Raw_매출!$B$2:$BI$155,MATCH($A69,Raw_매출!$A$2:$A$155,0),MATCH(EDATE($E69,Z$1-1),Raw_매출!$B$1:$BI$1,0))=0,"",INDEX(Raw_매출!$B$2:$BI$155,MATCH($A69,Raw_매출!$A$2:$A$155,0),MATCH(EDATE($E69,Z$1-1),Raw_매출!$B$1:$BI$1,0))/(INDEX(요약_월별시즈널리티!$F$7:$F$18,MONTH(EDATE($E69,Z$1-1)))/100))),"")</f>
        <v>3534436.1277191015</v>
      </c>
      <c r="AA69" cm="1">
        <f t="array" ref="AA69">IFERROR(IF($E69&lt;44348,"",IF(INDEX(Raw_매출!$B$2:$BI$155,MATCH($A69,Raw_매출!$A$2:$A$155,0),MATCH(EDATE($E69,AA$1-1),Raw_매출!$B$1:$BI$1,0))=0,"",INDEX(Raw_매출!$B$2:$BI$155,MATCH($A69,Raw_매출!$A$2:$A$155,0),MATCH(EDATE($E69,AA$1-1),Raw_매출!$B$1:$BI$1,0))/(INDEX(요약_월별시즈널리티!$F$7:$F$18,MONTH(EDATE($E69,AA$1-1)))/100))),"")</f>
        <v>3878564.906422013</v>
      </c>
      <c r="AB69" cm="1">
        <f t="array" ref="AB69">IFERROR(IF($E69&lt;44348,"",IF(INDEX(Raw_매출!$B$2:$BI$155,MATCH($A69,Raw_매출!$A$2:$A$155,0),MATCH(EDATE($E69,AB$1-1),Raw_매출!$B$1:$BI$1,0))=0,"",INDEX(Raw_매출!$B$2:$BI$155,MATCH($A69,Raw_매출!$A$2:$A$155,0),MATCH(EDATE($E69,AB$1-1),Raw_매출!$B$1:$BI$1,0))/(INDEX(요약_월별시즈널리티!$F$7:$F$18,MONTH(EDATE($E69,AB$1-1)))/100))),"")</f>
        <v>4594262.3755755285</v>
      </c>
      <c r="AC69" cm="1">
        <f t="array" ref="AC69">IFERROR(IF($E69&lt;44348,"",IF(INDEX(Raw_매출!$B$2:$BI$155,MATCH($A69,Raw_매출!$A$2:$A$155,0),MATCH(EDATE($E69,AC$1-1),Raw_매출!$B$1:$BI$1,0))=0,"",INDEX(Raw_매출!$B$2:$BI$155,MATCH($A69,Raw_매출!$A$2:$A$155,0),MATCH(EDATE($E69,AC$1-1),Raw_매출!$B$1:$BI$1,0))/(INDEX(요약_월별시즈널리티!$F$7:$F$18,MONTH(EDATE($E69,AC$1-1)))/100))),"")</f>
        <v>4059170.1376561592</v>
      </c>
      <c r="AD69" cm="1">
        <f t="array" ref="AD69">IFERROR(IF($E69&lt;44348,"",IF(INDEX(Raw_매출!$B$2:$BI$155,MATCH($A69,Raw_매출!$A$2:$A$155,0),MATCH(EDATE($E69,AD$1-1),Raw_매출!$B$1:$BI$1,0))=0,"",INDEX(Raw_매출!$B$2:$BI$155,MATCH($A69,Raw_매출!$A$2:$A$155,0),MATCH(EDATE($E69,AD$1-1),Raw_매출!$B$1:$BI$1,0))/(INDEX(요약_월별시즈널리티!$F$7:$F$18,MONTH(EDATE($E69,AD$1-1)))/100))),"")</f>
        <v>3876853.7943117176</v>
      </c>
      <c r="AE69" cm="1">
        <f t="array" ref="AE69">IFERROR(IF($E69&lt;44348,"",IF(INDEX(Raw_매출!$B$2:$BI$155,MATCH($A69,Raw_매출!$A$2:$A$155,0),MATCH(EDATE($E69,AE$1-1),Raw_매출!$B$1:$BI$1,0))=0,"",INDEX(Raw_매출!$B$2:$BI$155,MATCH($A69,Raw_매출!$A$2:$A$155,0),MATCH(EDATE($E69,AE$1-1),Raw_매출!$B$1:$BI$1,0))/(INDEX(요약_월별시즈널리티!$F$7:$F$18,MONTH(EDATE($E69,AE$1-1)))/100))),"")</f>
        <v>4204512.3108465718</v>
      </c>
      <c r="AF69" cm="1">
        <f t="array" ref="AF69">IFERROR(IF($E69&lt;44348,"",IF(INDEX(Raw_매출!$B$2:$BI$155,MATCH($A69,Raw_매출!$A$2:$A$155,0),MATCH(EDATE($E69,AF$1-1),Raw_매출!$B$1:$BI$1,0))=0,"",INDEX(Raw_매출!$B$2:$BI$155,MATCH($A69,Raw_매출!$A$2:$A$155,0),MATCH(EDATE($E69,AF$1-1),Raw_매출!$B$1:$BI$1,0))/(INDEX(요약_월별시즈널리티!$F$7:$F$18,MONTH(EDATE($E69,AF$1-1)))/100))),"")</f>
        <v>2403902.435690674</v>
      </c>
      <c r="AG69" cm="1">
        <f t="array" ref="AG69">IFERROR(IF($E69&lt;44348,"",IF(INDEX(Raw_매출!$B$2:$BI$155,MATCH($A69,Raw_매출!$A$2:$A$155,0),MATCH(EDATE($E69,AG$1-1),Raw_매출!$B$1:$BI$1,0))=0,"",INDEX(Raw_매출!$B$2:$BI$155,MATCH($A69,Raw_매출!$A$2:$A$155,0),MATCH(EDATE($E69,AG$1-1),Raw_매출!$B$1:$BI$1,0))/(INDEX(요약_월별시즈널리티!$F$7:$F$18,MONTH(EDATE($E69,AG$1-1)))/100))),"")</f>
        <v>3019749.8451394979</v>
      </c>
      <c r="AH69" cm="1">
        <f t="array" ref="AH69">IFERROR(IF($E69&lt;44348,"",IF(INDEX(Raw_매출!$B$2:$BI$155,MATCH($A69,Raw_매출!$A$2:$A$155,0),MATCH(EDATE($E69,AH$1-1),Raw_매출!$B$1:$BI$1,0))=0,"",INDEX(Raw_매출!$B$2:$BI$155,MATCH($A69,Raw_매출!$A$2:$A$155,0),MATCH(EDATE($E69,AH$1-1),Raw_매출!$B$1:$BI$1,0))/(INDEX(요약_월별시즈널리티!$F$7:$F$18,MONTH(EDATE($E69,AH$1-1)))/100))),"")</f>
        <v>4215120.4419622924</v>
      </c>
      <c r="AI69" cm="1">
        <f t="array" ref="AI69">IFERROR(IF($E69&lt;44348,"",IF(INDEX(Raw_매출!$B$2:$BI$155,MATCH($A69,Raw_매출!$A$2:$A$155,0),MATCH(EDATE($E69,AI$1-1),Raw_매출!$B$1:$BI$1,0))=0,"",INDEX(Raw_매출!$B$2:$BI$155,MATCH($A69,Raw_매출!$A$2:$A$155,0),MATCH(EDATE($E69,AI$1-1),Raw_매출!$B$1:$BI$1,0))/(INDEX(요약_월별시즈널리티!$F$7:$F$18,MONTH(EDATE($E69,AI$1-1)))/100))),"")</f>
        <v>3809733.9292871254</v>
      </c>
      <c r="AJ69" cm="1">
        <f t="array" ref="AJ69">IFERROR(IF($E69&lt;44348,"",IF(INDEX(Raw_매출!$B$2:$BI$155,MATCH($A69,Raw_매출!$A$2:$A$155,0),MATCH(EDATE($E69,AJ$1-1),Raw_매출!$B$1:$BI$1,0))=0,"",INDEX(Raw_매출!$B$2:$BI$155,MATCH($A69,Raw_매출!$A$2:$A$155,0),MATCH(EDATE($E69,AJ$1-1),Raw_매출!$B$1:$BI$1,0))/(INDEX(요약_월별시즈널리티!$F$7:$F$18,MONTH(EDATE($E69,AJ$1-1)))/100))),"")</f>
        <v>4513226.8132880032</v>
      </c>
      <c r="AK69" cm="1">
        <f t="array" ref="AK69">IFERROR(IF($E69&lt;44348,"",IF(INDEX(Raw_매출!$B$2:$BI$155,MATCH($A69,Raw_매출!$A$2:$A$155,0),MATCH(EDATE($E69,AK$1-1),Raw_매출!$B$1:$BI$1,0))=0,"",INDEX(Raw_매출!$B$2:$BI$155,MATCH($A69,Raw_매출!$A$2:$A$155,0),MATCH(EDATE($E69,AK$1-1),Raw_매출!$B$1:$BI$1,0))/(INDEX(요약_월별시즈널리티!$F$7:$F$18,MONTH(EDATE($E69,AK$1-1)))/100))),"")</f>
        <v>4520255.018411627</v>
      </c>
      <c r="AL69" cm="1">
        <f t="array" ref="AL69">IFERROR(IF($E69&lt;44348,"",IF(INDEX(Raw_매출!$B$2:$BI$155,MATCH($A69,Raw_매출!$A$2:$A$155,0),MATCH(EDATE($E69,AL$1-1),Raw_매출!$B$1:$BI$1,0))=0,"",INDEX(Raw_매출!$B$2:$BI$155,MATCH($A69,Raw_매출!$A$2:$A$155,0),MATCH(EDATE($E69,AL$1-1),Raw_매출!$B$1:$BI$1,0))/(INDEX(요약_월별시즈널리티!$F$7:$F$18,MONTH(EDATE($E69,AL$1-1)))/100))),"")</f>
        <v>2716991.4955422385</v>
      </c>
      <c r="AM69" cm="1">
        <f t="array" ref="AM69">IFERROR(IF($E69&lt;44348,"",IF(INDEX(Raw_매출!$B$2:$BI$155,MATCH($A69,Raw_매출!$A$2:$A$155,0),MATCH(EDATE($E69,AM$1-1),Raw_매출!$B$1:$BI$1,0))=0,"",INDEX(Raw_매출!$B$2:$BI$155,MATCH($A69,Raw_매출!$A$2:$A$155,0),MATCH(EDATE($E69,AM$1-1),Raw_매출!$B$1:$BI$1,0))/(INDEX(요약_월별시즈널리티!$F$7:$F$18,MONTH(EDATE($E69,AM$1-1)))/100))),"")</f>
        <v>4436288.2502218559</v>
      </c>
      <c r="AN69" cm="1">
        <f t="array" ref="AN69">IFERROR(IF($E69&lt;44348,"",IF(INDEX(Raw_매출!$B$2:$BI$155,MATCH($A69,Raw_매출!$A$2:$A$155,0),MATCH(EDATE($E69,AN$1-1),Raw_매출!$B$1:$BI$1,0))=0,"",INDEX(Raw_매출!$B$2:$BI$155,MATCH($A69,Raw_매출!$A$2:$A$155,0),MATCH(EDATE($E69,AN$1-1),Raw_매출!$B$1:$BI$1,0))/(INDEX(요약_월별시즈널리티!$F$7:$F$18,MONTH(EDATE($E69,AN$1-1)))/100))),"")</f>
        <v>4407772.8407625826</v>
      </c>
      <c r="AO69" cm="1">
        <f t="array" ref="AO69">IFERROR(IF($E69&lt;44348,"",IF(INDEX(Raw_매출!$B$2:$BI$155,MATCH($A69,Raw_매출!$A$2:$A$155,0),MATCH(EDATE($E69,AO$1-1),Raw_매출!$B$1:$BI$1,0))=0,"",INDEX(Raw_매출!$B$2:$BI$155,MATCH($A69,Raw_매출!$A$2:$A$155,0),MATCH(EDATE($E69,AO$1-1),Raw_매출!$B$1:$BI$1,0))/(INDEX(요약_월별시즈널리티!$F$7:$F$18,MONTH(EDATE($E69,AO$1-1)))/100))),"")</f>
        <v>3878893.4933274747</v>
      </c>
      <c r="AP69" cm="1">
        <f t="array" ref="AP69">IFERROR(IF($E69&lt;44348,"",IF(INDEX(Raw_매출!$B$2:$BI$155,MATCH($A69,Raw_매출!$A$2:$A$155,0),MATCH(EDATE($E69,AP$1-1),Raw_매출!$B$1:$BI$1,0))=0,"",INDEX(Raw_매출!$B$2:$BI$155,MATCH($A69,Raw_매출!$A$2:$A$155,0),MATCH(EDATE($E69,AP$1-1),Raw_매출!$B$1:$BI$1,0))/(INDEX(요약_월별시즈널리티!$F$7:$F$18,MONTH(EDATE($E69,AP$1-1)))/100))),"")</f>
        <v>3631743.9732209616</v>
      </c>
      <c r="AQ69" cm="1">
        <f t="array" ref="AQ69">IFERROR(IF($E69&lt;44348,"",IF(INDEX(Raw_매출!$B$2:$BI$155,MATCH($A69,Raw_매출!$A$2:$A$155,0),MATCH(EDATE($E69,AQ$1-1),Raw_매출!$B$1:$BI$1,0))=0,"",INDEX(Raw_매출!$B$2:$BI$155,MATCH($A69,Raw_매출!$A$2:$A$155,0),MATCH(EDATE($E69,AQ$1-1),Raw_매출!$B$1:$BI$1,0))/(INDEX(요약_월별시즈널리티!$F$7:$F$18,MONTH(EDATE($E69,AQ$1-1)))/100))),"")</f>
        <v>4122998.2308524167</v>
      </c>
      <c r="AR69" cm="1">
        <f t="array" ref="AR69">IFERROR(IF($E69&lt;44348,"",IF(INDEX(Raw_매출!$B$2:$BI$155,MATCH($A69,Raw_매출!$A$2:$A$155,0),MATCH(EDATE($E69,AR$1-1),Raw_매출!$B$1:$BI$1,0))=0,"",INDEX(Raw_매출!$B$2:$BI$155,MATCH($A69,Raw_매출!$A$2:$A$155,0),MATCH(EDATE($E69,AR$1-1),Raw_매출!$B$1:$BI$1,0))/(INDEX(요약_월별시즈널리티!$F$7:$F$18,MONTH(EDATE($E69,AR$1-1)))/100))),"")</f>
        <v>2347833.2030889723</v>
      </c>
      <c r="AS69" cm="1">
        <f t="array" ref="AS69">IFERROR(IF($E69&lt;44348,"",IF(INDEX(Raw_매출!$B$2:$BI$155,MATCH($A69,Raw_매출!$A$2:$A$155,0),MATCH(EDATE($E69,AS$1-1),Raw_매출!$B$1:$BI$1,0))=0,"",INDEX(Raw_매출!$B$2:$BI$155,MATCH($A69,Raw_매출!$A$2:$A$155,0),MATCH(EDATE($E69,AS$1-1),Raw_매출!$B$1:$BI$1,0))/(INDEX(요약_월별시즈널리티!$F$7:$F$18,MONTH(EDATE($E69,AS$1-1)))/100))),"")</f>
        <v>2808699.0766771417</v>
      </c>
      <c r="AT69" cm="1">
        <f t="array" ref="AT69">IFERROR(IF($E69&lt;44348,"",IF(INDEX(Raw_매출!$B$2:$BI$155,MATCH($A69,Raw_매출!$A$2:$A$155,0),MATCH(EDATE($E69,AT$1-1),Raw_매출!$B$1:$BI$1,0))=0,"",INDEX(Raw_매출!$B$2:$BI$155,MATCH($A69,Raw_매출!$A$2:$A$155,0),MATCH(EDATE($E69,AT$1-1),Raw_매출!$B$1:$BI$1,0))/(INDEX(요약_월별시즈널리티!$F$7:$F$18,MONTH(EDATE($E69,AT$1-1)))/100))),"")</f>
        <v>4362766.4611054184</v>
      </c>
      <c r="AU69" cm="1">
        <f t="array" ref="AU69">IFERROR(IF($E69&lt;44348,"",IF(INDEX(Raw_매출!$B$2:$BI$155,MATCH($A69,Raw_매출!$A$2:$A$155,0),MATCH(EDATE($E69,AU$1-1),Raw_매출!$B$1:$BI$1,0))=0,"",INDEX(Raw_매출!$B$2:$BI$155,MATCH($A69,Raw_매출!$A$2:$A$155,0),MATCH(EDATE($E69,AU$1-1),Raw_매출!$B$1:$BI$1,0))/(INDEX(요약_월별시즈널리티!$F$7:$F$18,MONTH(EDATE($E69,AU$1-1)))/100))),"")</f>
        <v>4186739.4430693816</v>
      </c>
      <c r="AV69" cm="1">
        <f t="array" ref="AV69">IFERROR(IF($E69&lt;44348,"",IF(INDEX(Raw_매출!$B$2:$BI$155,MATCH($A69,Raw_매출!$A$2:$A$155,0),MATCH(EDATE($E69,AV$1-1),Raw_매출!$B$1:$BI$1,0))=0,"",INDEX(Raw_매출!$B$2:$BI$155,MATCH($A69,Raw_매출!$A$2:$A$155,0),MATCH(EDATE($E69,AV$1-1),Raw_매출!$B$1:$BI$1,0))/(INDEX(요약_월별시즈널리티!$F$7:$F$18,MONTH(EDATE($E69,AV$1-1)))/100))),"")</f>
        <v>5076752.5963213686</v>
      </c>
      <c r="AW69" t="str" cm="1">
        <f t="array" ref="AW69">IFERROR(IF($E69&lt;44348,"",IF(INDEX(Raw_매출!$B$2:$BI$155,MATCH($A69,Raw_매출!$A$2:$A$155,0),MATCH(EDATE($E69,AW$1-1),Raw_매출!$B$1:$BI$1,0))=0,"",INDEX(Raw_매출!$B$2:$BI$155,MATCH($A69,Raw_매출!$A$2:$A$155,0),MATCH(EDATE($E69,AW$1-1),Raw_매출!$B$1:$BI$1,0))/(INDEX(요약_월별시즈널리티!$F$7:$F$18,MONTH(EDATE($E69,AW$1-1)))/100))),"")</f>
        <v/>
      </c>
      <c r="AX69" t="str" cm="1">
        <f t="array" ref="AX69">IFERROR(IF($E69&lt;44348,"",IF(INDEX(Raw_매출!$B$2:$BI$155,MATCH($A69,Raw_매출!$A$2:$A$155,0),MATCH(EDATE($E69,AX$1-1),Raw_매출!$B$1:$BI$1,0))=0,"",INDEX(Raw_매출!$B$2:$BI$155,MATCH($A69,Raw_매출!$A$2:$A$155,0),MATCH(EDATE($E69,AX$1-1),Raw_매출!$B$1:$BI$1,0))/(INDEX(요약_월별시즈널리티!$F$7:$F$18,MONTH(EDATE($E69,AX$1-1)))/100))),"")</f>
        <v/>
      </c>
      <c r="AY69" t="str" cm="1">
        <f t="array" ref="AY69">IFERROR(IF($E69&lt;44348,"",IF(INDEX(Raw_매출!$B$2:$BI$155,MATCH($A69,Raw_매출!$A$2:$A$155,0),MATCH(EDATE($E69,AY$1-1),Raw_매출!$B$1:$BI$1,0))=0,"",INDEX(Raw_매출!$B$2:$BI$155,MATCH($A69,Raw_매출!$A$2:$A$155,0),MATCH(EDATE($E69,AY$1-1),Raw_매출!$B$1:$BI$1,0))/(INDEX(요약_월별시즈널리티!$F$7:$F$18,MONTH(EDATE($E69,AY$1-1)))/100))),"")</f>
        <v/>
      </c>
      <c r="AZ69" t="str" cm="1">
        <f t="array" ref="AZ69">IFERROR(IF($E69&lt;44348,"",IF(INDEX(Raw_매출!$B$2:$BI$155,MATCH($A69,Raw_매출!$A$2:$A$155,0),MATCH(EDATE($E69,AZ$1-1),Raw_매출!$B$1:$BI$1,0))=0,"",INDEX(Raw_매출!$B$2:$BI$155,MATCH($A69,Raw_매출!$A$2:$A$155,0),MATCH(EDATE($E69,AZ$1-1),Raw_매출!$B$1:$BI$1,0))/(INDEX(요약_월별시즈널리티!$F$7:$F$18,MONTH(EDATE($E69,AZ$1-1)))/100))),"")</f>
        <v/>
      </c>
      <c r="BA69" t="str" cm="1">
        <f t="array" ref="BA69">IFERROR(IF($E69&lt;44348,"",IF(INDEX(Raw_매출!$B$2:$BI$155,MATCH($A69,Raw_매출!$A$2:$A$155,0),MATCH(EDATE($E69,BA$1-1),Raw_매출!$B$1:$BI$1,0))=0,"",INDEX(Raw_매출!$B$2:$BI$155,MATCH($A69,Raw_매출!$A$2:$A$155,0),MATCH(EDATE($E69,BA$1-1),Raw_매출!$B$1:$BI$1,0))/(INDEX(요약_월별시즈널리티!$F$7:$F$18,MONTH(EDATE($E69,BA$1-1)))/100))),"")</f>
        <v/>
      </c>
      <c r="BB69" t="str" cm="1">
        <f t="array" ref="BB69">IFERROR(IF($E69&lt;44348,"",IF(INDEX(Raw_매출!$B$2:$BI$155,MATCH($A69,Raw_매출!$A$2:$A$155,0),MATCH(EDATE($E69,BB$1-1),Raw_매출!$B$1:$BI$1,0))=0,"",INDEX(Raw_매출!$B$2:$BI$155,MATCH($A69,Raw_매출!$A$2:$A$155,0),MATCH(EDATE($E69,BB$1-1),Raw_매출!$B$1:$BI$1,0))/(INDEX(요약_월별시즈널리티!$F$7:$F$18,MONTH(EDATE($E69,BB$1-1)))/100))),"")</f>
        <v/>
      </c>
      <c r="BC69" t="str" cm="1">
        <f t="array" ref="BC69">IFERROR(IF($E69&lt;44348,"",IF(INDEX(Raw_매출!$B$2:$BI$155,MATCH($A69,Raw_매출!$A$2:$A$155,0),MATCH(EDATE($E69,BC$1-1),Raw_매출!$B$1:$BI$1,0))=0,"",INDEX(Raw_매출!$B$2:$BI$155,MATCH($A69,Raw_매출!$A$2:$A$155,0),MATCH(EDATE($E69,BC$1-1),Raw_매출!$B$1:$BI$1,0))/(INDEX(요약_월별시즈널리티!$F$7:$F$18,MONTH(EDATE($E69,BC$1-1)))/100))),"")</f>
        <v/>
      </c>
      <c r="BD69" t="str" cm="1">
        <f t="array" ref="BD69">IFERROR(IF($E69&lt;44348,"",IF(INDEX(Raw_매출!$B$2:$BI$155,MATCH($A69,Raw_매출!$A$2:$A$155,0),MATCH(EDATE($E69,BD$1-1),Raw_매출!$B$1:$BI$1,0))=0,"",INDEX(Raw_매출!$B$2:$BI$155,MATCH($A69,Raw_매출!$A$2:$A$155,0),MATCH(EDATE($E69,BD$1-1),Raw_매출!$B$1:$BI$1,0))/(INDEX(요약_월별시즈널리티!$F$7:$F$18,MONTH(EDATE($E69,BD$1-1)))/100))),"")</f>
        <v/>
      </c>
      <c r="BE69" t="str" cm="1">
        <f t="array" ref="BE69">IFERROR(IF($E69&lt;44348,"",IF(INDEX(Raw_매출!$B$2:$BI$155,MATCH($A69,Raw_매출!$A$2:$A$155,0),MATCH(EDATE($E69,BE$1-1),Raw_매출!$B$1:$BI$1,0))=0,"",INDEX(Raw_매출!$B$2:$BI$155,MATCH($A69,Raw_매출!$A$2:$A$155,0),MATCH(EDATE($E69,BE$1-1),Raw_매출!$B$1:$BI$1,0))/(INDEX(요약_월별시즈널리티!$F$7:$F$18,MONTH(EDATE($E69,BE$1-1)))/100))),"")</f>
        <v/>
      </c>
      <c r="BF69" t="str" cm="1">
        <f t="array" ref="BF69">IFERROR(IF($E69&lt;44348,"",IF(INDEX(Raw_매출!$B$2:$BI$155,MATCH($A69,Raw_매출!$A$2:$A$155,0),MATCH(EDATE($E69,BF$1-1),Raw_매출!$B$1:$BI$1,0))=0,"",INDEX(Raw_매출!$B$2:$BI$155,MATCH($A69,Raw_매출!$A$2:$A$155,0),MATCH(EDATE($E69,BF$1-1),Raw_매출!$B$1:$BI$1,0))/(INDEX(요약_월별시즈널리티!$F$7:$F$18,MONTH(EDATE($E69,BF$1-1)))/100))),"")</f>
        <v/>
      </c>
      <c r="BG69" t="str" cm="1">
        <f t="array" ref="BG69">IFERROR(IF($E69&lt;44348,"",IF(INDEX(Raw_매출!$B$2:$BI$155,MATCH($A69,Raw_매출!$A$2:$A$155,0),MATCH(EDATE($E69,BG$1-1),Raw_매출!$B$1:$BI$1,0))=0,"",INDEX(Raw_매출!$B$2:$BI$155,MATCH($A69,Raw_매출!$A$2:$A$155,0),MATCH(EDATE($E69,BG$1-1),Raw_매출!$B$1:$BI$1,0))/(INDEX(요약_월별시즈널리티!$F$7:$F$18,MONTH(EDATE($E69,BG$1-1)))/100))),"")</f>
        <v/>
      </c>
      <c r="BH69" t="str" cm="1">
        <f t="array" ref="BH69">IFERROR(IF($E69&lt;44348,"",IF(INDEX(Raw_매출!$B$2:$BI$155,MATCH($A69,Raw_매출!$A$2:$A$155,0),MATCH(EDATE($E69,BH$1-1),Raw_매출!$B$1:$BI$1,0))=0,"",INDEX(Raw_매출!$B$2:$BI$155,MATCH($A69,Raw_매출!$A$2:$A$155,0),MATCH(EDATE($E69,BH$1-1),Raw_매출!$B$1:$BI$1,0))/(INDEX(요약_월별시즈널리티!$F$7:$F$18,MONTH(EDATE($E69,BH$1-1)))/100))),"")</f>
        <v/>
      </c>
      <c r="BI69" t="str" cm="1">
        <f t="array" ref="BI69">IFERROR(IF($E69&lt;44348,"",IF(INDEX(Raw_매출!$B$2:$BI$155,MATCH($A69,Raw_매출!$A$2:$A$155,0),MATCH(EDATE($E69,BI$1-1),Raw_매출!$B$1:$BI$1,0))=0,"",INDEX(Raw_매출!$B$2:$BI$155,MATCH($A69,Raw_매출!$A$2:$A$155,0),MATCH(EDATE($E69,BI$1-1),Raw_매출!$B$1:$BI$1,0))/(INDEX(요약_월별시즈널리티!$F$7:$F$18,MONTH(EDATE($E69,BI$1-1)))/100))),"")</f>
        <v/>
      </c>
      <c r="BJ69" t="str" cm="1">
        <f t="array" ref="BJ69">IFERROR(IF($E69&lt;44348,"",IF(INDEX(Raw_매출!$B$2:$BI$155,MATCH($A69,Raw_매출!$A$2:$A$155,0),MATCH(EDATE($E69,BJ$1-1),Raw_매출!$B$1:$BI$1,0))=0,"",INDEX(Raw_매출!$B$2:$BI$155,MATCH($A69,Raw_매출!$A$2:$A$155,0),MATCH(EDATE($E69,BJ$1-1),Raw_매출!$B$1:$BI$1,0))/(INDEX(요약_월별시즈널리티!$F$7:$F$18,MONTH(EDATE($E69,BJ$1-1)))/100))),"")</f>
        <v/>
      </c>
      <c r="BK69" t="str" cm="1">
        <f t="array" ref="BK69">IFERROR(IF($E69&lt;44348,"",IF(INDEX(Raw_매출!$B$2:$BI$155,MATCH($A69,Raw_매출!$A$2:$A$155,0),MATCH(EDATE($E69,BK$1-1),Raw_매출!$B$1:$BI$1,0))=0,"",INDEX(Raw_매출!$B$2:$BI$155,MATCH($A69,Raw_매출!$A$2:$A$155,0),MATCH(EDATE($E69,BK$1-1),Raw_매출!$B$1:$BI$1,0))/(INDEX(요약_월별시즈널리티!$F$7:$F$18,MONTH(EDATE($E69,BK$1-1)))/100))),"")</f>
        <v/>
      </c>
      <c r="BL69" t="str" cm="1">
        <f t="array" ref="BL69">IFERROR(IF($E69&lt;44348,"",IF(INDEX(Raw_매출!$B$2:$BI$155,MATCH($A69,Raw_매출!$A$2:$A$155,0),MATCH(EDATE($E69,BL$1-1),Raw_매출!$B$1:$BI$1,0))=0,"",INDEX(Raw_매출!$B$2:$BI$155,MATCH($A69,Raw_매출!$A$2:$A$155,0),MATCH(EDATE($E69,BL$1-1),Raw_매출!$B$1:$BI$1,0))/(INDEX(요약_월별시즈널리티!$F$7:$F$18,MONTH(EDATE($E69,BL$1-1)))/100))),"")</f>
        <v/>
      </c>
      <c r="BM69" t="str" cm="1">
        <f t="array" ref="BM69">IFERROR(IF($E69&lt;44348,"",IF(INDEX(Raw_매출!$B$2:$BI$155,MATCH($A69,Raw_매출!$A$2:$A$155,0),MATCH(EDATE($E69,BM$1-1),Raw_매출!$B$1:$BI$1,0))=0,"",INDEX(Raw_매출!$B$2:$BI$155,MATCH($A69,Raw_매출!$A$2:$A$155,0),MATCH(EDATE($E69,BM$1-1),Raw_매출!$B$1:$BI$1,0))/(INDEX(요약_월별시즈널리티!$F$7:$F$18,MONTH(EDATE($E69,BM$1-1)))/100))),"")</f>
        <v/>
      </c>
      <c r="BN69" t="str" cm="1">
        <f t="array" ref="BN69">IFERROR(IF($E69&lt;44348,"",IF(INDEX(Raw_매출!$B$2:$BI$155,MATCH($A69,Raw_매출!$A$2:$A$155,0),MATCH(EDATE($E69,BN$1-1),Raw_매출!$B$1:$BI$1,0))=0,"",INDEX(Raw_매출!$B$2:$BI$155,MATCH($A69,Raw_매출!$A$2:$A$155,0),MATCH(EDATE($E69,BN$1-1),Raw_매출!$B$1:$BI$1,0))/(INDEX(요약_월별시즈널리티!$F$7:$F$18,MONTH(EDATE($E69,BN$1-1)))/100))),"")</f>
        <v/>
      </c>
    </row>
    <row r="70" spans="1:66" x14ac:dyDescent="0.4">
      <c r="A70" t="str">
        <f>세팅!A71</f>
        <v>(1059) #평택동삭점</v>
      </c>
      <c r="B70" t="str">
        <f>세팅!B71</f>
        <v>150-2</v>
      </c>
      <c r="C70">
        <f t="shared" si="3"/>
        <v>2</v>
      </c>
      <c r="D70" t="str">
        <f t="shared" si="4"/>
        <v>2</v>
      </c>
      <c r="E70" s="1">
        <f>세팅!D71</f>
        <v>44896</v>
      </c>
      <c r="F70">
        <f t="shared" si="5"/>
        <v>3894023.9466378358</v>
      </c>
      <c r="G70" cm="1">
        <f t="array" ref="G70">IFERROR(IF($E70&lt;44348,"",IF(INDEX(Raw_매출!$B$2:$BI$155,MATCH($A70,Raw_매출!$A$2:$A$155,0),MATCH(EDATE($E70,G$1-1),Raw_매출!$B$1:$BI$1,0))=0,"",INDEX(Raw_매출!$B$2:$BI$155,MATCH($A70,Raw_매출!$A$2:$A$155,0),MATCH(EDATE($E70,G$1-1),Raw_매출!$B$1:$BI$1,0))/(INDEX(요약_월별시즈널리티!$F$7:$F$18,MONTH(EDATE($E70,G$1-1)))/100))),"")</f>
        <v>3530847.746858309</v>
      </c>
      <c r="H70" cm="1">
        <f t="array" ref="H70">IFERROR(IF($E70&lt;44348,"",IF(INDEX(Raw_매출!$B$2:$BI$155,MATCH($A70,Raw_매출!$A$2:$A$155,0),MATCH(EDATE($E70,H$1-1),Raw_매출!$B$1:$BI$1,0))=0,"",INDEX(Raw_매출!$B$2:$BI$155,MATCH($A70,Raw_매출!$A$2:$A$155,0),MATCH(EDATE($E70,H$1-1),Raw_매출!$B$1:$BI$1,0))/(INDEX(요약_월별시즈널리티!$F$7:$F$18,MONTH(EDATE($E70,H$1-1)))/100))),"")</f>
        <v>4684988.6447968995</v>
      </c>
      <c r="I70" cm="1">
        <f t="array" ref="I70">IFERROR(IF($E70&lt;44348,"",IF(INDEX(Raw_매출!$B$2:$BI$155,MATCH($A70,Raw_매출!$A$2:$A$155,0),MATCH(EDATE($E70,I$1-1),Raw_매출!$B$1:$BI$1,0))=0,"",INDEX(Raw_매출!$B$2:$BI$155,MATCH($A70,Raw_매출!$A$2:$A$155,0),MATCH(EDATE($E70,I$1-1),Raw_매출!$B$1:$BI$1,0))/(INDEX(요약_월별시즈널리티!$F$7:$F$18,MONTH(EDATE($E70,I$1-1)))/100))),"")</f>
        <v>4780645.7446684083</v>
      </c>
      <c r="J70" s="30" cm="1">
        <f t="array" ref="J70">IFERROR(IF($E70&lt;44348,"",IF(INDEX(Raw_매출!$B$2:$BI$155,MATCH($A70,Raw_매출!$A$2:$A$155,0),MATCH(EDATE($E70,J$1-1),Raw_매출!$B$1:$BI$1,0))=0,"",INDEX(Raw_매출!$B$2:$BI$155,MATCH($A70,Raw_매출!$A$2:$A$155,0),MATCH(EDATE($E70,J$1-1),Raw_매출!$B$1:$BI$1,0))/(INDEX(요약_월별시즈널리티!$F$7:$F$18,MONTH(EDATE($E70,J$1-1)))/100))),"")</f>
        <v>4580556.4313518787</v>
      </c>
      <c r="K70" s="30" cm="1">
        <f t="array" ref="K70">IFERROR(IF($E70&lt;44348,"",IF(INDEX(Raw_매출!$B$2:$BI$155,MATCH($A70,Raw_매출!$A$2:$A$155,0),MATCH(EDATE($E70,K$1-1),Raw_매출!$B$1:$BI$1,0))=0,"",INDEX(Raw_매출!$B$2:$BI$155,MATCH($A70,Raw_매출!$A$2:$A$155,0),MATCH(EDATE($E70,K$1-1),Raw_매출!$B$1:$BI$1,0))/(INDEX(요약_월별시즈널리티!$F$7:$F$18,MONTH(EDATE($E70,K$1-1)))/100))),"")</f>
        <v>3852335.0031212382</v>
      </c>
      <c r="L70" s="30" cm="1">
        <f t="array" ref="L70">IFERROR(IF($E70&lt;44348,"",IF(INDEX(Raw_매출!$B$2:$BI$155,MATCH($A70,Raw_매출!$A$2:$A$155,0),MATCH(EDATE($E70,L$1-1),Raw_매출!$B$1:$BI$1,0))=0,"",INDEX(Raw_매출!$B$2:$BI$155,MATCH($A70,Raw_매출!$A$2:$A$155,0),MATCH(EDATE($E70,L$1-1),Raw_매출!$B$1:$BI$1,0))/(INDEX(요약_월별시즈널리티!$F$7:$F$18,MONTH(EDATE($E70,L$1-1)))/100))),"")</f>
        <v>3886891.9689663472</v>
      </c>
      <c r="M70" s="30" cm="1">
        <f t="array" ref="M70">IFERROR(IF($E70&lt;44348,"",IF(INDEX(Raw_매출!$B$2:$BI$155,MATCH($A70,Raw_매출!$A$2:$A$155,0),MATCH(EDATE($E70,M$1-1),Raw_매출!$B$1:$BI$1,0))=0,"",INDEX(Raw_매출!$B$2:$BI$155,MATCH($A70,Raw_매출!$A$2:$A$155,0),MATCH(EDATE($E70,M$1-1),Raw_매출!$B$1:$BI$1,0))/(INDEX(요약_월별시즈널리티!$F$7:$F$18,MONTH(EDATE($E70,M$1-1)))/100))),"")</f>
        <v>3313236.7077978435</v>
      </c>
      <c r="N70" s="30" cm="1">
        <f t="array" ref="N70">IFERROR(IF($E70&lt;44348,"",IF(INDEX(Raw_매출!$B$2:$BI$155,MATCH($A70,Raw_매출!$A$2:$A$155,0),MATCH(EDATE($E70,N$1-1),Raw_매출!$B$1:$BI$1,0))=0,"",INDEX(Raw_매출!$B$2:$BI$155,MATCH($A70,Raw_매출!$A$2:$A$155,0),MATCH(EDATE($E70,N$1-1),Raw_매출!$B$1:$BI$1,0))/(INDEX(요약_월별시즈널리티!$F$7:$F$18,MONTH(EDATE($E70,N$1-1)))/100))),"")</f>
        <v>4072941.3564328849</v>
      </c>
      <c r="O70" s="30" cm="1">
        <f t="array" ref="O70">IFERROR(IF($E70&lt;44348,"",IF(INDEX(Raw_매출!$B$2:$BI$155,MATCH($A70,Raw_매출!$A$2:$A$155,0),MATCH(EDATE($E70,O$1-1),Raw_매출!$B$1:$BI$1,0))=0,"",INDEX(Raw_매출!$B$2:$BI$155,MATCH($A70,Raw_매출!$A$2:$A$155,0),MATCH(EDATE($E70,O$1-1),Raw_매출!$B$1:$BI$1,0))/(INDEX(요약_월별시즈널리티!$F$7:$F$18,MONTH(EDATE($E70,O$1-1)))/100))),"")</f>
        <v>3658182.2121568248</v>
      </c>
      <c r="P70" cm="1">
        <f t="array" ref="P70">IFERROR(IF($E70&lt;44348,"",IF(INDEX(Raw_매출!$B$2:$BI$155,MATCH($A70,Raw_매출!$A$2:$A$155,0),MATCH(EDATE($E70,P$1-1),Raw_매출!$B$1:$BI$1,0))=0,"",INDEX(Raw_매출!$B$2:$BI$155,MATCH($A70,Raw_매출!$A$2:$A$155,0),MATCH(EDATE($E70,P$1-1),Raw_매출!$B$1:$BI$1,0))/(INDEX(요약_월별시즈널리티!$F$7:$F$18,MONTH(EDATE($E70,P$1-1)))/100))),"")</f>
        <v>5004815.0115021011</v>
      </c>
      <c r="Q70" cm="1">
        <f t="array" ref="Q70">IFERROR(IF($E70&lt;44348,"",IF(INDEX(Raw_매출!$B$2:$BI$155,MATCH($A70,Raw_매출!$A$2:$A$155,0),MATCH(EDATE($E70,Q$1-1),Raw_매출!$B$1:$BI$1,0))=0,"",INDEX(Raw_매출!$B$2:$BI$155,MATCH($A70,Raw_매출!$A$2:$A$155,0),MATCH(EDATE($E70,Q$1-1),Raw_매출!$B$1:$BI$1,0))/(INDEX(요약_월별시즈널리티!$F$7:$F$18,MONTH(EDATE($E70,Q$1-1)))/100))),"")</f>
        <v>4101836.5040762885</v>
      </c>
      <c r="R70" cm="1">
        <f t="array" ref="R70">IFERROR(IF($E70&lt;44348,"",IF(INDEX(Raw_매출!$B$2:$BI$155,MATCH($A70,Raw_매출!$A$2:$A$155,0),MATCH(EDATE($E70,R$1-1),Raw_매출!$B$1:$BI$1,0))=0,"",INDEX(Raw_매출!$B$2:$BI$155,MATCH($A70,Raw_매출!$A$2:$A$155,0),MATCH(EDATE($E70,R$1-1),Raw_매출!$B$1:$BI$1,0))/(INDEX(요약_월별시즈널리티!$F$7:$F$18,MONTH(EDATE($E70,R$1-1)))/100))),"")</f>
        <v>4765997.6184502952</v>
      </c>
      <c r="S70" cm="1">
        <f t="array" ref="S70">IFERROR(IF($E70&lt;44348,"",IF(INDEX(Raw_매출!$B$2:$BI$155,MATCH($A70,Raw_매출!$A$2:$A$155,0),MATCH(EDATE($E70,S$1-1),Raw_매출!$B$1:$BI$1,0))=0,"",INDEX(Raw_매출!$B$2:$BI$155,MATCH($A70,Raw_매출!$A$2:$A$155,0),MATCH(EDATE($E70,S$1-1),Raw_매출!$B$1:$BI$1,0))/(INDEX(요약_월별시즈널리티!$F$7:$F$18,MONTH(EDATE($E70,S$1-1)))/100))),"")</f>
        <v>5133025.7152202185</v>
      </c>
      <c r="T70" cm="1">
        <f t="array" ref="T70">IFERROR(IF($E70&lt;44348,"",IF(INDEX(Raw_매출!$B$2:$BI$155,MATCH($A70,Raw_매출!$A$2:$A$155,0),MATCH(EDATE($E70,T$1-1),Raw_매출!$B$1:$BI$1,0))=0,"",INDEX(Raw_매출!$B$2:$BI$155,MATCH($A70,Raw_매출!$A$2:$A$155,0),MATCH(EDATE($E70,T$1-1),Raw_매출!$B$1:$BI$1,0))/(INDEX(요약_월별시즈널리티!$F$7:$F$18,MONTH(EDATE($E70,T$1-1)))/100))),"")</f>
        <v>6264737.0762796039</v>
      </c>
      <c r="U70" cm="1">
        <f t="array" ref="U70">IFERROR(IF($E70&lt;44348,"",IF(INDEX(Raw_매출!$B$2:$BI$155,MATCH($A70,Raw_매출!$A$2:$A$155,0),MATCH(EDATE($E70,U$1-1),Raw_매출!$B$1:$BI$1,0))=0,"",INDEX(Raw_매출!$B$2:$BI$155,MATCH($A70,Raw_매출!$A$2:$A$155,0),MATCH(EDATE($E70,U$1-1),Raw_매출!$B$1:$BI$1,0))/(INDEX(요약_월별시즈널리티!$F$7:$F$18,MONTH(EDATE($E70,U$1-1)))/100))),"")</f>
        <v>5258022.200378106</v>
      </c>
      <c r="V70" cm="1">
        <f t="array" ref="V70">IFERROR(IF($E70&lt;44348,"",IF(INDEX(Raw_매출!$B$2:$BI$155,MATCH($A70,Raw_매출!$A$2:$A$155,0),MATCH(EDATE($E70,V$1-1),Raw_매출!$B$1:$BI$1,0))=0,"",INDEX(Raw_매출!$B$2:$BI$155,MATCH($A70,Raw_매출!$A$2:$A$155,0),MATCH(EDATE($E70,V$1-1),Raw_매출!$B$1:$BI$1,0))/(INDEX(요약_월별시즈널리티!$F$7:$F$18,MONTH(EDATE($E70,V$1-1)))/100))),"")</f>
        <v>5323263.1436652131</v>
      </c>
      <c r="W70" cm="1">
        <f t="array" ref="W70">IFERROR(IF($E70&lt;44348,"",IF(INDEX(Raw_매출!$B$2:$BI$155,MATCH($A70,Raw_매출!$A$2:$A$155,0),MATCH(EDATE($E70,W$1-1),Raw_매출!$B$1:$BI$1,0))=0,"",INDEX(Raw_매출!$B$2:$BI$155,MATCH($A70,Raw_매출!$A$2:$A$155,0),MATCH(EDATE($E70,W$1-1),Raw_매출!$B$1:$BI$1,0))/(INDEX(요약_월별시즈널리티!$F$7:$F$18,MONTH(EDATE($E70,W$1-1)))/100))),"")</f>
        <v>4348376.891297183</v>
      </c>
      <c r="X70" cm="1">
        <f t="array" ref="X70">IFERROR(IF($E70&lt;44348,"",IF(INDEX(Raw_매출!$B$2:$BI$155,MATCH($A70,Raw_매출!$A$2:$A$155,0),MATCH(EDATE($E70,X$1-1),Raw_매출!$B$1:$BI$1,0))=0,"",INDEX(Raw_매출!$B$2:$BI$155,MATCH($A70,Raw_매출!$A$2:$A$155,0),MATCH(EDATE($E70,X$1-1),Raw_매출!$B$1:$BI$1,0))/(INDEX(요약_월별시즈널리티!$F$7:$F$18,MONTH(EDATE($E70,X$1-1)))/100))),"")</f>
        <v>3994098.2482520118</v>
      </c>
      <c r="Y70" cm="1">
        <f t="array" ref="Y70">IFERROR(IF($E70&lt;44348,"",IF(INDEX(Raw_매출!$B$2:$BI$155,MATCH($A70,Raw_매출!$A$2:$A$155,0),MATCH(EDATE($E70,Y$1-1),Raw_매출!$B$1:$BI$1,0))=0,"",INDEX(Raw_매출!$B$2:$BI$155,MATCH($A70,Raw_매출!$A$2:$A$155,0),MATCH(EDATE($E70,Y$1-1),Raw_매출!$B$1:$BI$1,0))/(INDEX(요약_월별시즈널리티!$F$7:$F$18,MONTH(EDATE($E70,Y$1-1)))/100))),"")</f>
        <v>3754518.3914143075</v>
      </c>
      <c r="Z70" cm="1">
        <f t="array" ref="Z70">IFERROR(IF($E70&lt;44348,"",IF(INDEX(Raw_매출!$B$2:$BI$155,MATCH($A70,Raw_매출!$A$2:$A$155,0),MATCH(EDATE($E70,Z$1-1),Raw_매출!$B$1:$BI$1,0))=0,"",INDEX(Raw_매출!$B$2:$BI$155,MATCH($A70,Raw_매출!$A$2:$A$155,0),MATCH(EDATE($E70,Z$1-1),Raw_매출!$B$1:$BI$1,0))/(INDEX(요약_월별시즈널리티!$F$7:$F$18,MONTH(EDATE($E70,Z$1-1)))/100))),"")</f>
        <v>3820578.5282098581</v>
      </c>
      <c r="AA70" cm="1">
        <f t="array" ref="AA70">IFERROR(IF($E70&lt;44348,"",IF(INDEX(Raw_매출!$B$2:$BI$155,MATCH($A70,Raw_매출!$A$2:$A$155,0),MATCH(EDATE($E70,AA$1-1),Raw_매출!$B$1:$BI$1,0))=0,"",INDEX(Raw_매출!$B$2:$BI$155,MATCH($A70,Raw_매출!$A$2:$A$155,0),MATCH(EDATE($E70,AA$1-1),Raw_매출!$B$1:$BI$1,0))/(INDEX(요약_월별시즈널리티!$F$7:$F$18,MONTH(EDATE($E70,AA$1-1)))/100))),"")</f>
        <v>3300448.6422270499</v>
      </c>
      <c r="AB70" cm="1">
        <f t="array" ref="AB70">IFERROR(IF($E70&lt;44348,"",IF(INDEX(Raw_매출!$B$2:$BI$155,MATCH($A70,Raw_매출!$A$2:$A$155,0),MATCH(EDATE($E70,AB$1-1),Raw_매출!$B$1:$BI$1,0))=0,"",INDEX(Raw_매출!$B$2:$BI$155,MATCH($A70,Raw_매출!$A$2:$A$155,0),MATCH(EDATE($E70,AB$1-1),Raw_매출!$B$1:$BI$1,0))/(INDEX(요약_월별시즈널리티!$F$7:$F$18,MONTH(EDATE($E70,AB$1-1)))/100))),"")</f>
        <v>3965799.0353564941</v>
      </c>
      <c r="AC70" cm="1">
        <f t="array" ref="AC70">IFERROR(IF($E70&lt;44348,"",IF(INDEX(Raw_매출!$B$2:$BI$155,MATCH($A70,Raw_매출!$A$2:$A$155,0),MATCH(EDATE($E70,AC$1-1),Raw_매출!$B$1:$BI$1,0))=0,"",INDEX(Raw_매출!$B$2:$BI$155,MATCH($A70,Raw_매출!$A$2:$A$155,0),MATCH(EDATE($E70,AC$1-1),Raw_매출!$B$1:$BI$1,0))/(INDEX(요약_월별시즈널리티!$F$7:$F$18,MONTH(EDATE($E70,AC$1-1)))/100))),"")</f>
        <v>4055778.9747127914</v>
      </c>
      <c r="AD70" cm="1">
        <f t="array" ref="AD70">IFERROR(IF($E70&lt;44348,"",IF(INDEX(Raw_매출!$B$2:$BI$155,MATCH($A70,Raw_매출!$A$2:$A$155,0),MATCH(EDATE($E70,AD$1-1),Raw_매출!$B$1:$BI$1,0))=0,"",INDEX(Raw_매출!$B$2:$BI$155,MATCH($A70,Raw_매출!$A$2:$A$155,0),MATCH(EDATE($E70,AD$1-1),Raw_매출!$B$1:$BI$1,0))/(INDEX(요약_월별시즈널리티!$F$7:$F$18,MONTH(EDATE($E70,AD$1-1)))/100))),"")</f>
        <v>3735237.7747904942</v>
      </c>
      <c r="AE70" cm="1">
        <f t="array" ref="AE70">IFERROR(IF($E70&lt;44348,"",IF(INDEX(Raw_매출!$B$2:$BI$155,MATCH($A70,Raw_매출!$A$2:$A$155,0),MATCH(EDATE($E70,AE$1-1),Raw_매출!$B$1:$BI$1,0))=0,"",INDEX(Raw_매출!$B$2:$BI$155,MATCH($A70,Raw_매출!$A$2:$A$155,0),MATCH(EDATE($E70,AE$1-1),Raw_매출!$B$1:$BI$1,0))/(INDEX(요약_월별시즈널리티!$F$7:$F$18,MONTH(EDATE($E70,AE$1-1)))/100))),"")</f>
        <v>4921929.1193621503</v>
      </c>
      <c r="AF70" cm="1">
        <f t="array" ref="AF70">IFERROR(IF($E70&lt;44348,"",IF(INDEX(Raw_매출!$B$2:$BI$155,MATCH($A70,Raw_매출!$A$2:$A$155,0),MATCH(EDATE($E70,AF$1-1),Raw_매출!$B$1:$BI$1,0))=0,"",INDEX(Raw_매출!$B$2:$BI$155,MATCH($A70,Raw_매출!$A$2:$A$155,0),MATCH(EDATE($E70,AF$1-1),Raw_매출!$B$1:$BI$1,0))/(INDEX(요약_월별시즈널리티!$F$7:$F$18,MONTH(EDATE($E70,AF$1-1)))/100))),"")</f>
        <v>5154722.2627531625</v>
      </c>
      <c r="AG70" cm="1">
        <f t="array" ref="AG70">IFERROR(IF($E70&lt;44348,"",IF(INDEX(Raw_매출!$B$2:$BI$155,MATCH($A70,Raw_매출!$A$2:$A$155,0),MATCH(EDATE($E70,AG$1-1),Raw_매출!$B$1:$BI$1,0))=0,"",INDEX(Raw_매출!$B$2:$BI$155,MATCH($A70,Raw_매출!$A$2:$A$155,0),MATCH(EDATE($E70,AG$1-1),Raw_매출!$B$1:$BI$1,0))/(INDEX(요약_월별시즈널리티!$F$7:$F$18,MONTH(EDATE($E70,AG$1-1)))/100))),"")</f>
        <v>4889617.6547435522</v>
      </c>
      <c r="AH70" cm="1">
        <f t="array" ref="AH70">IFERROR(IF($E70&lt;44348,"",IF(INDEX(Raw_매출!$B$2:$BI$155,MATCH($A70,Raw_매출!$A$2:$A$155,0),MATCH(EDATE($E70,AH$1-1),Raw_매출!$B$1:$BI$1,0))=0,"",INDEX(Raw_매출!$B$2:$BI$155,MATCH($A70,Raw_매출!$A$2:$A$155,0),MATCH(EDATE($E70,AH$1-1),Raw_매출!$B$1:$BI$1,0))/(INDEX(요약_월별시즈널리티!$F$7:$F$18,MONTH(EDATE($E70,AH$1-1)))/100))),"")</f>
        <v>5276222.6506350869</v>
      </c>
      <c r="AI70" cm="1">
        <f t="array" ref="AI70">IFERROR(IF($E70&lt;44348,"",IF(INDEX(Raw_매출!$B$2:$BI$155,MATCH($A70,Raw_매출!$A$2:$A$155,0),MATCH(EDATE($E70,AI$1-1),Raw_매출!$B$1:$BI$1,0))=0,"",INDEX(Raw_매출!$B$2:$BI$155,MATCH($A70,Raw_매출!$A$2:$A$155,0),MATCH(EDATE($E70,AI$1-1),Raw_매출!$B$1:$BI$1,0))/(INDEX(요약_월별시즈널리티!$F$7:$F$18,MONTH(EDATE($E70,AI$1-1)))/100))),"")</f>
        <v>5512243.202542793</v>
      </c>
      <c r="AJ70" cm="1">
        <f t="array" ref="AJ70">IFERROR(IF($E70&lt;44348,"",IF(INDEX(Raw_매출!$B$2:$BI$155,MATCH($A70,Raw_매출!$A$2:$A$155,0),MATCH(EDATE($E70,AJ$1-1),Raw_매출!$B$1:$BI$1,0))=0,"",INDEX(Raw_매출!$B$2:$BI$155,MATCH($A70,Raw_매출!$A$2:$A$155,0),MATCH(EDATE($E70,AJ$1-1),Raw_매출!$B$1:$BI$1,0))/(INDEX(요약_월별시즈널리티!$F$7:$F$18,MONTH(EDATE($E70,AJ$1-1)))/100))),"")</f>
        <v>5105034.706118755</v>
      </c>
      <c r="AK70" cm="1">
        <f t="array" ref="AK70">IFERROR(IF($E70&lt;44348,"",IF(INDEX(Raw_매출!$B$2:$BI$155,MATCH($A70,Raw_매출!$A$2:$A$155,0),MATCH(EDATE($E70,AK$1-1),Raw_매출!$B$1:$BI$1,0))=0,"",INDEX(Raw_매출!$B$2:$BI$155,MATCH($A70,Raw_매출!$A$2:$A$155,0),MATCH(EDATE($E70,AK$1-1),Raw_매출!$B$1:$BI$1,0))/(INDEX(요약_월별시즈널리티!$F$7:$F$18,MONTH(EDATE($E70,AK$1-1)))/100))),"")</f>
        <v>5534987.8781579407</v>
      </c>
      <c r="AL70" cm="1">
        <f t="array" ref="AL70">IFERROR(IF($E70&lt;44348,"",IF(INDEX(Raw_매출!$B$2:$BI$155,MATCH($A70,Raw_매출!$A$2:$A$155,0),MATCH(EDATE($E70,AL$1-1),Raw_매출!$B$1:$BI$1,0))=0,"",INDEX(Raw_매출!$B$2:$BI$155,MATCH($A70,Raw_매출!$A$2:$A$155,0),MATCH(EDATE($E70,AL$1-1),Raw_매출!$B$1:$BI$1,0))/(INDEX(요약_월별시즈널리티!$F$7:$F$18,MONTH(EDATE($E70,AL$1-1)))/100))),"")</f>
        <v>4782684.9428669913</v>
      </c>
      <c r="AM70" cm="1">
        <f t="array" ref="AM70">IFERROR(IF($E70&lt;44348,"",IF(INDEX(Raw_매출!$B$2:$BI$155,MATCH($A70,Raw_매출!$A$2:$A$155,0),MATCH(EDATE($E70,AM$1-1),Raw_매출!$B$1:$BI$1,0))=0,"",INDEX(Raw_매출!$B$2:$BI$155,MATCH($A70,Raw_매출!$A$2:$A$155,0),MATCH(EDATE($E70,AM$1-1),Raw_매출!$B$1:$BI$1,0))/(INDEX(요약_월별시즈널리티!$F$7:$F$18,MONTH(EDATE($E70,AM$1-1)))/100))),"")</f>
        <v>4911734.3428744478</v>
      </c>
      <c r="AN70" cm="1">
        <f t="array" ref="AN70">IFERROR(IF($E70&lt;44348,"",IF(INDEX(Raw_매출!$B$2:$BI$155,MATCH($A70,Raw_매출!$A$2:$A$155,0),MATCH(EDATE($E70,AN$1-1),Raw_매출!$B$1:$BI$1,0))=0,"",INDEX(Raw_매출!$B$2:$BI$155,MATCH($A70,Raw_매출!$A$2:$A$155,0),MATCH(EDATE($E70,AN$1-1),Raw_매출!$B$1:$BI$1,0))/(INDEX(요약_월별시즈널리티!$F$7:$F$18,MONTH(EDATE($E70,AN$1-1)))/100))),"")</f>
        <v>5007961.1235129237</v>
      </c>
      <c r="AO70" cm="1">
        <f t="array" ref="AO70">IFERROR(IF($E70&lt;44348,"",IF(INDEX(Raw_매출!$B$2:$BI$155,MATCH($A70,Raw_매출!$A$2:$A$155,0),MATCH(EDATE($E70,AO$1-1),Raw_매출!$B$1:$BI$1,0))=0,"",INDEX(Raw_매출!$B$2:$BI$155,MATCH($A70,Raw_매출!$A$2:$A$155,0),MATCH(EDATE($E70,AO$1-1),Raw_매출!$B$1:$BI$1,0))/(INDEX(요약_월별시즈널리티!$F$7:$F$18,MONTH(EDATE($E70,AO$1-1)))/100))),"")</f>
        <v>5175572.1219460359</v>
      </c>
      <c r="AP70" cm="1">
        <f t="array" ref="AP70">IFERROR(IF($E70&lt;44348,"",IF(INDEX(Raw_매출!$B$2:$BI$155,MATCH($A70,Raw_매출!$A$2:$A$155,0),MATCH(EDATE($E70,AP$1-1),Raw_매출!$B$1:$BI$1,0))=0,"",INDEX(Raw_매출!$B$2:$BI$155,MATCH($A70,Raw_매출!$A$2:$A$155,0),MATCH(EDATE($E70,AP$1-1),Raw_매출!$B$1:$BI$1,0))/(INDEX(요약_월별시즈널리티!$F$7:$F$18,MONTH(EDATE($E70,AP$1-1)))/100))),"")</f>
        <v>4576779.2527036797</v>
      </c>
      <c r="AQ70" cm="1">
        <f t="array" ref="AQ70">IFERROR(IF($E70&lt;44348,"",IF(INDEX(Raw_매출!$B$2:$BI$155,MATCH($A70,Raw_매출!$A$2:$A$155,0),MATCH(EDATE($E70,AQ$1-1),Raw_매출!$B$1:$BI$1,0))=0,"",INDEX(Raw_매출!$B$2:$BI$155,MATCH($A70,Raw_매출!$A$2:$A$155,0),MATCH(EDATE($E70,AQ$1-1),Raw_매출!$B$1:$BI$1,0))/(INDEX(요약_월별시즈널리티!$F$7:$F$18,MONTH(EDATE($E70,AQ$1-1)))/100))),"")</f>
        <v>5799586.9508556724</v>
      </c>
      <c r="AR70" cm="1">
        <f t="array" ref="AR70">IFERROR(IF($E70&lt;44348,"",IF(INDEX(Raw_매출!$B$2:$BI$155,MATCH($A70,Raw_매출!$A$2:$A$155,0),MATCH(EDATE($E70,AR$1-1),Raw_매출!$B$1:$BI$1,0))=0,"",INDEX(Raw_매출!$B$2:$BI$155,MATCH($A70,Raw_매출!$A$2:$A$155,0),MATCH(EDATE($E70,AR$1-1),Raw_매출!$B$1:$BI$1,0))/(INDEX(요약_월별시즈널리티!$F$7:$F$18,MONTH(EDATE($E70,AR$1-1)))/100))),"")</f>
        <v>6920331.8514435859</v>
      </c>
      <c r="AS70" cm="1">
        <f t="array" ref="AS70">IFERROR(IF($E70&lt;44348,"",IF(INDEX(Raw_매출!$B$2:$BI$155,MATCH($A70,Raw_매출!$A$2:$A$155,0),MATCH(EDATE($E70,AS$1-1),Raw_매출!$B$1:$BI$1,0))=0,"",INDEX(Raw_매출!$B$2:$BI$155,MATCH($A70,Raw_매출!$A$2:$A$155,0),MATCH(EDATE($E70,AS$1-1),Raw_매출!$B$1:$BI$1,0))/(INDEX(요약_월별시즈널리티!$F$7:$F$18,MONTH(EDATE($E70,AS$1-1)))/100))),"")</f>
        <v>6386655.6032576337</v>
      </c>
      <c r="AT70" cm="1">
        <f t="array" ref="AT70">IFERROR(IF($E70&lt;44348,"",IF(INDEX(Raw_매출!$B$2:$BI$155,MATCH($A70,Raw_매출!$A$2:$A$155,0),MATCH(EDATE($E70,AT$1-1),Raw_매출!$B$1:$BI$1,0))=0,"",INDEX(Raw_매출!$B$2:$BI$155,MATCH($A70,Raw_매출!$A$2:$A$155,0),MATCH(EDATE($E70,AT$1-1),Raw_매출!$B$1:$BI$1,0))/(INDEX(요약_월별시즈널리티!$F$7:$F$18,MONTH(EDATE($E70,AT$1-1)))/100))),"")</f>
        <v>6412223.285970157</v>
      </c>
      <c r="AU70" cm="1">
        <f t="array" ref="AU70">IFERROR(IF($E70&lt;44348,"",IF(INDEX(Raw_매출!$B$2:$BI$155,MATCH($A70,Raw_매출!$A$2:$A$155,0),MATCH(EDATE($E70,AU$1-1),Raw_매출!$B$1:$BI$1,0))=0,"",INDEX(Raw_매출!$B$2:$BI$155,MATCH($A70,Raw_매출!$A$2:$A$155,0),MATCH(EDATE($E70,AU$1-1),Raw_매출!$B$1:$BI$1,0))/(INDEX(요약_월별시즈널리티!$F$7:$F$18,MONTH(EDATE($E70,AU$1-1)))/100))),"")</f>
        <v>5921424.9105004128</v>
      </c>
      <c r="AV70" cm="1">
        <f t="array" ref="AV70">IFERROR(IF($E70&lt;44348,"",IF(INDEX(Raw_매출!$B$2:$BI$155,MATCH($A70,Raw_매출!$A$2:$A$155,0),MATCH(EDATE($E70,AV$1-1),Raw_매출!$B$1:$BI$1,0))=0,"",INDEX(Raw_매출!$B$2:$BI$155,MATCH($A70,Raw_매출!$A$2:$A$155,0),MATCH(EDATE($E70,AV$1-1),Raw_매출!$B$1:$BI$1,0))/(INDEX(요약_월별시즈널리티!$F$7:$F$18,MONTH(EDATE($E70,AV$1-1)))/100))),"")</f>
        <v>5918439.5726606417</v>
      </c>
      <c r="AW70" t="str" cm="1">
        <f t="array" ref="AW70">IFERROR(IF($E70&lt;44348,"",IF(INDEX(Raw_매출!$B$2:$BI$155,MATCH($A70,Raw_매출!$A$2:$A$155,0),MATCH(EDATE($E70,AW$1-1),Raw_매출!$B$1:$BI$1,0))=0,"",INDEX(Raw_매출!$B$2:$BI$155,MATCH($A70,Raw_매출!$A$2:$A$155,0),MATCH(EDATE($E70,AW$1-1),Raw_매출!$B$1:$BI$1,0))/(INDEX(요약_월별시즈널리티!$F$7:$F$18,MONTH(EDATE($E70,AW$1-1)))/100))),"")</f>
        <v/>
      </c>
      <c r="AX70" t="str" cm="1">
        <f t="array" ref="AX70">IFERROR(IF($E70&lt;44348,"",IF(INDEX(Raw_매출!$B$2:$BI$155,MATCH($A70,Raw_매출!$A$2:$A$155,0),MATCH(EDATE($E70,AX$1-1),Raw_매출!$B$1:$BI$1,0))=0,"",INDEX(Raw_매출!$B$2:$BI$155,MATCH($A70,Raw_매출!$A$2:$A$155,0),MATCH(EDATE($E70,AX$1-1),Raw_매출!$B$1:$BI$1,0))/(INDEX(요약_월별시즈널리티!$F$7:$F$18,MONTH(EDATE($E70,AX$1-1)))/100))),"")</f>
        <v/>
      </c>
      <c r="AY70" t="str" cm="1">
        <f t="array" ref="AY70">IFERROR(IF($E70&lt;44348,"",IF(INDEX(Raw_매출!$B$2:$BI$155,MATCH($A70,Raw_매출!$A$2:$A$155,0),MATCH(EDATE($E70,AY$1-1),Raw_매출!$B$1:$BI$1,0))=0,"",INDEX(Raw_매출!$B$2:$BI$155,MATCH($A70,Raw_매출!$A$2:$A$155,0),MATCH(EDATE($E70,AY$1-1),Raw_매출!$B$1:$BI$1,0))/(INDEX(요약_월별시즈널리티!$F$7:$F$18,MONTH(EDATE($E70,AY$1-1)))/100))),"")</f>
        <v/>
      </c>
      <c r="AZ70" t="str" cm="1">
        <f t="array" ref="AZ70">IFERROR(IF($E70&lt;44348,"",IF(INDEX(Raw_매출!$B$2:$BI$155,MATCH($A70,Raw_매출!$A$2:$A$155,0),MATCH(EDATE($E70,AZ$1-1),Raw_매출!$B$1:$BI$1,0))=0,"",INDEX(Raw_매출!$B$2:$BI$155,MATCH($A70,Raw_매출!$A$2:$A$155,0),MATCH(EDATE($E70,AZ$1-1),Raw_매출!$B$1:$BI$1,0))/(INDEX(요약_월별시즈널리티!$F$7:$F$18,MONTH(EDATE($E70,AZ$1-1)))/100))),"")</f>
        <v/>
      </c>
      <c r="BA70" t="str" cm="1">
        <f t="array" ref="BA70">IFERROR(IF($E70&lt;44348,"",IF(INDEX(Raw_매출!$B$2:$BI$155,MATCH($A70,Raw_매출!$A$2:$A$155,0),MATCH(EDATE($E70,BA$1-1),Raw_매출!$B$1:$BI$1,0))=0,"",INDEX(Raw_매출!$B$2:$BI$155,MATCH($A70,Raw_매출!$A$2:$A$155,0),MATCH(EDATE($E70,BA$1-1),Raw_매출!$B$1:$BI$1,0))/(INDEX(요약_월별시즈널리티!$F$7:$F$18,MONTH(EDATE($E70,BA$1-1)))/100))),"")</f>
        <v/>
      </c>
      <c r="BB70" t="str" cm="1">
        <f t="array" ref="BB70">IFERROR(IF($E70&lt;44348,"",IF(INDEX(Raw_매출!$B$2:$BI$155,MATCH($A70,Raw_매출!$A$2:$A$155,0),MATCH(EDATE($E70,BB$1-1),Raw_매출!$B$1:$BI$1,0))=0,"",INDEX(Raw_매출!$B$2:$BI$155,MATCH($A70,Raw_매출!$A$2:$A$155,0),MATCH(EDATE($E70,BB$1-1),Raw_매출!$B$1:$BI$1,0))/(INDEX(요약_월별시즈널리티!$F$7:$F$18,MONTH(EDATE($E70,BB$1-1)))/100))),"")</f>
        <v/>
      </c>
      <c r="BC70" t="str" cm="1">
        <f t="array" ref="BC70">IFERROR(IF($E70&lt;44348,"",IF(INDEX(Raw_매출!$B$2:$BI$155,MATCH($A70,Raw_매출!$A$2:$A$155,0),MATCH(EDATE($E70,BC$1-1),Raw_매출!$B$1:$BI$1,0))=0,"",INDEX(Raw_매출!$B$2:$BI$155,MATCH($A70,Raw_매출!$A$2:$A$155,0),MATCH(EDATE($E70,BC$1-1),Raw_매출!$B$1:$BI$1,0))/(INDEX(요약_월별시즈널리티!$F$7:$F$18,MONTH(EDATE($E70,BC$1-1)))/100))),"")</f>
        <v/>
      </c>
      <c r="BD70" t="str" cm="1">
        <f t="array" ref="BD70">IFERROR(IF($E70&lt;44348,"",IF(INDEX(Raw_매출!$B$2:$BI$155,MATCH($A70,Raw_매출!$A$2:$A$155,0),MATCH(EDATE($E70,BD$1-1),Raw_매출!$B$1:$BI$1,0))=0,"",INDEX(Raw_매출!$B$2:$BI$155,MATCH($A70,Raw_매출!$A$2:$A$155,0),MATCH(EDATE($E70,BD$1-1),Raw_매출!$B$1:$BI$1,0))/(INDEX(요약_월별시즈널리티!$F$7:$F$18,MONTH(EDATE($E70,BD$1-1)))/100))),"")</f>
        <v/>
      </c>
      <c r="BE70" t="str" cm="1">
        <f t="array" ref="BE70">IFERROR(IF($E70&lt;44348,"",IF(INDEX(Raw_매출!$B$2:$BI$155,MATCH($A70,Raw_매출!$A$2:$A$155,0),MATCH(EDATE($E70,BE$1-1),Raw_매출!$B$1:$BI$1,0))=0,"",INDEX(Raw_매출!$B$2:$BI$155,MATCH($A70,Raw_매출!$A$2:$A$155,0),MATCH(EDATE($E70,BE$1-1),Raw_매출!$B$1:$BI$1,0))/(INDEX(요약_월별시즈널리티!$F$7:$F$18,MONTH(EDATE($E70,BE$1-1)))/100))),"")</f>
        <v/>
      </c>
      <c r="BF70" t="str" cm="1">
        <f t="array" ref="BF70">IFERROR(IF($E70&lt;44348,"",IF(INDEX(Raw_매출!$B$2:$BI$155,MATCH($A70,Raw_매출!$A$2:$A$155,0),MATCH(EDATE($E70,BF$1-1),Raw_매출!$B$1:$BI$1,0))=0,"",INDEX(Raw_매출!$B$2:$BI$155,MATCH($A70,Raw_매출!$A$2:$A$155,0),MATCH(EDATE($E70,BF$1-1),Raw_매출!$B$1:$BI$1,0))/(INDEX(요약_월별시즈널리티!$F$7:$F$18,MONTH(EDATE($E70,BF$1-1)))/100))),"")</f>
        <v/>
      </c>
      <c r="BG70" t="str" cm="1">
        <f t="array" ref="BG70">IFERROR(IF($E70&lt;44348,"",IF(INDEX(Raw_매출!$B$2:$BI$155,MATCH($A70,Raw_매출!$A$2:$A$155,0),MATCH(EDATE($E70,BG$1-1),Raw_매출!$B$1:$BI$1,0))=0,"",INDEX(Raw_매출!$B$2:$BI$155,MATCH($A70,Raw_매출!$A$2:$A$155,0),MATCH(EDATE($E70,BG$1-1),Raw_매출!$B$1:$BI$1,0))/(INDEX(요약_월별시즈널리티!$F$7:$F$18,MONTH(EDATE($E70,BG$1-1)))/100))),"")</f>
        <v/>
      </c>
      <c r="BH70" t="str" cm="1">
        <f t="array" ref="BH70">IFERROR(IF($E70&lt;44348,"",IF(INDEX(Raw_매출!$B$2:$BI$155,MATCH($A70,Raw_매출!$A$2:$A$155,0),MATCH(EDATE($E70,BH$1-1),Raw_매출!$B$1:$BI$1,0))=0,"",INDEX(Raw_매출!$B$2:$BI$155,MATCH($A70,Raw_매출!$A$2:$A$155,0),MATCH(EDATE($E70,BH$1-1),Raw_매출!$B$1:$BI$1,0))/(INDEX(요약_월별시즈널리티!$F$7:$F$18,MONTH(EDATE($E70,BH$1-1)))/100))),"")</f>
        <v/>
      </c>
      <c r="BI70" t="str" cm="1">
        <f t="array" ref="BI70">IFERROR(IF($E70&lt;44348,"",IF(INDEX(Raw_매출!$B$2:$BI$155,MATCH($A70,Raw_매출!$A$2:$A$155,0),MATCH(EDATE($E70,BI$1-1),Raw_매출!$B$1:$BI$1,0))=0,"",INDEX(Raw_매출!$B$2:$BI$155,MATCH($A70,Raw_매출!$A$2:$A$155,0),MATCH(EDATE($E70,BI$1-1),Raw_매출!$B$1:$BI$1,0))/(INDEX(요약_월별시즈널리티!$F$7:$F$18,MONTH(EDATE($E70,BI$1-1)))/100))),"")</f>
        <v/>
      </c>
      <c r="BJ70" t="str" cm="1">
        <f t="array" ref="BJ70">IFERROR(IF($E70&lt;44348,"",IF(INDEX(Raw_매출!$B$2:$BI$155,MATCH($A70,Raw_매출!$A$2:$A$155,0),MATCH(EDATE($E70,BJ$1-1),Raw_매출!$B$1:$BI$1,0))=0,"",INDEX(Raw_매출!$B$2:$BI$155,MATCH($A70,Raw_매출!$A$2:$A$155,0),MATCH(EDATE($E70,BJ$1-1),Raw_매출!$B$1:$BI$1,0))/(INDEX(요약_월별시즈널리티!$F$7:$F$18,MONTH(EDATE($E70,BJ$1-1)))/100))),"")</f>
        <v/>
      </c>
      <c r="BK70" t="str" cm="1">
        <f t="array" ref="BK70">IFERROR(IF($E70&lt;44348,"",IF(INDEX(Raw_매출!$B$2:$BI$155,MATCH($A70,Raw_매출!$A$2:$A$155,0),MATCH(EDATE($E70,BK$1-1),Raw_매출!$B$1:$BI$1,0))=0,"",INDEX(Raw_매출!$B$2:$BI$155,MATCH($A70,Raw_매출!$A$2:$A$155,0),MATCH(EDATE($E70,BK$1-1),Raw_매출!$B$1:$BI$1,0))/(INDEX(요약_월별시즈널리티!$F$7:$F$18,MONTH(EDATE($E70,BK$1-1)))/100))),"")</f>
        <v/>
      </c>
      <c r="BL70" t="str" cm="1">
        <f t="array" ref="BL70">IFERROR(IF($E70&lt;44348,"",IF(INDEX(Raw_매출!$B$2:$BI$155,MATCH($A70,Raw_매출!$A$2:$A$155,0),MATCH(EDATE($E70,BL$1-1),Raw_매출!$B$1:$BI$1,0))=0,"",INDEX(Raw_매출!$B$2:$BI$155,MATCH($A70,Raw_매출!$A$2:$A$155,0),MATCH(EDATE($E70,BL$1-1),Raw_매출!$B$1:$BI$1,0))/(INDEX(요약_월별시즈널리티!$F$7:$F$18,MONTH(EDATE($E70,BL$1-1)))/100))),"")</f>
        <v/>
      </c>
      <c r="BM70" t="str" cm="1">
        <f t="array" ref="BM70">IFERROR(IF($E70&lt;44348,"",IF(INDEX(Raw_매출!$B$2:$BI$155,MATCH($A70,Raw_매출!$A$2:$A$155,0),MATCH(EDATE($E70,BM$1-1),Raw_매출!$B$1:$BI$1,0))=0,"",INDEX(Raw_매출!$B$2:$BI$155,MATCH($A70,Raw_매출!$A$2:$A$155,0),MATCH(EDATE($E70,BM$1-1),Raw_매출!$B$1:$BI$1,0))/(INDEX(요약_월별시즈널리티!$F$7:$F$18,MONTH(EDATE($E70,BM$1-1)))/100))),"")</f>
        <v/>
      </c>
      <c r="BN70" t="str" cm="1">
        <f t="array" ref="BN70">IFERROR(IF($E70&lt;44348,"",IF(INDEX(Raw_매출!$B$2:$BI$155,MATCH($A70,Raw_매출!$A$2:$A$155,0),MATCH(EDATE($E70,BN$1-1),Raw_매출!$B$1:$BI$1,0))=0,"",INDEX(Raw_매출!$B$2:$BI$155,MATCH($A70,Raw_매출!$A$2:$A$155,0),MATCH(EDATE($E70,BN$1-1),Raw_매출!$B$1:$BI$1,0))/(INDEX(요약_월별시즈널리티!$F$7:$F$18,MONTH(EDATE($E70,BN$1-1)))/100))),"")</f>
        <v/>
      </c>
    </row>
    <row r="71" spans="1:66" x14ac:dyDescent="0.4">
      <c r="A71" t="str">
        <f>세팅!A72</f>
        <v>(1060) #숭실대중문점</v>
      </c>
      <c r="B71" t="str">
        <f>세팅!B72</f>
        <v>150-1</v>
      </c>
      <c r="C71">
        <f t="shared" si="3"/>
        <v>1</v>
      </c>
      <c r="D71" t="str">
        <f t="shared" si="4"/>
        <v>1</v>
      </c>
      <c r="E71" s="1">
        <f>세팅!D72</f>
        <v>44896</v>
      </c>
      <c r="F71">
        <f t="shared" si="5"/>
        <v>2803401.7028053156</v>
      </c>
      <c r="G71" cm="1">
        <f t="array" ref="G71">IFERROR(IF($E71&lt;44348,"",IF(INDEX(Raw_매출!$B$2:$BI$155,MATCH($A71,Raw_매출!$A$2:$A$155,0),MATCH(EDATE($E71,G$1-1),Raw_매출!$B$1:$BI$1,0))=0,"",INDEX(Raw_매출!$B$2:$BI$155,MATCH($A71,Raw_매출!$A$2:$A$155,0),MATCH(EDATE($E71,G$1-1),Raw_매출!$B$1:$BI$1,0))/(INDEX(요약_월별시즈널리티!$F$7:$F$18,MONTH(EDATE($E71,G$1-1)))/100))),"")</f>
        <v>1950066.8615864005</v>
      </c>
      <c r="H71" cm="1">
        <f t="array" ref="H71">IFERROR(IF($E71&lt;44348,"",IF(INDEX(Raw_매출!$B$2:$BI$155,MATCH($A71,Raw_매출!$A$2:$A$155,0),MATCH(EDATE($E71,H$1-1),Raw_매출!$B$1:$BI$1,0))=0,"",INDEX(Raw_매출!$B$2:$BI$155,MATCH($A71,Raw_매출!$A$2:$A$155,0),MATCH(EDATE($E71,H$1-1),Raw_매출!$B$1:$BI$1,0))/(INDEX(요약_월별시즈널리티!$F$7:$F$18,MONTH(EDATE($E71,H$1-1)))/100))),"")</f>
        <v>2736275.2220537402</v>
      </c>
      <c r="I71" cm="1">
        <f t="array" ref="I71">IFERROR(IF($E71&lt;44348,"",IF(INDEX(Raw_매출!$B$2:$BI$155,MATCH($A71,Raw_매출!$A$2:$A$155,0),MATCH(EDATE($E71,I$1-1),Raw_매출!$B$1:$BI$1,0))=0,"",INDEX(Raw_매출!$B$2:$BI$155,MATCH($A71,Raw_매출!$A$2:$A$155,0),MATCH(EDATE($E71,I$1-1),Raw_매출!$B$1:$BI$1,0))/(INDEX(요약_월별시즈널리티!$F$7:$F$18,MONTH(EDATE($E71,I$1-1)))/100))),"")</f>
        <v>2571547.2519093622</v>
      </c>
      <c r="J71" s="30" cm="1">
        <f t="array" ref="J71">IFERROR(IF($E71&lt;44348,"",IF(INDEX(Raw_매출!$B$2:$BI$155,MATCH($A71,Raw_매출!$A$2:$A$155,0),MATCH(EDATE($E71,J$1-1),Raw_매출!$B$1:$BI$1,0))=0,"",INDEX(Raw_매출!$B$2:$BI$155,MATCH($A71,Raw_매출!$A$2:$A$155,0),MATCH(EDATE($E71,J$1-1),Raw_매출!$B$1:$BI$1,0))/(INDEX(요약_월별시즈널리티!$F$7:$F$18,MONTH(EDATE($E71,J$1-1)))/100))),"")</f>
        <v>2522341.9036718616</v>
      </c>
      <c r="K71" s="30" cm="1">
        <f t="array" ref="K71">IFERROR(IF($E71&lt;44348,"",IF(INDEX(Raw_매출!$B$2:$BI$155,MATCH($A71,Raw_매출!$A$2:$A$155,0),MATCH(EDATE($E71,K$1-1),Raw_매출!$B$1:$BI$1,0))=0,"",INDEX(Raw_매출!$B$2:$BI$155,MATCH($A71,Raw_매출!$A$2:$A$155,0),MATCH(EDATE($E71,K$1-1),Raw_매출!$B$1:$BI$1,0))/(INDEX(요약_월별시즈널리티!$F$7:$F$18,MONTH(EDATE($E71,K$1-1)))/100))),"")</f>
        <v>2645080.0525802178</v>
      </c>
      <c r="L71" s="30" cm="1">
        <f t="array" ref="L71">IFERROR(IF($E71&lt;44348,"",IF(INDEX(Raw_매출!$B$2:$BI$155,MATCH($A71,Raw_매출!$A$2:$A$155,0),MATCH(EDATE($E71,L$1-1),Raw_매출!$B$1:$BI$1,0))=0,"",INDEX(Raw_매출!$B$2:$BI$155,MATCH($A71,Raw_매출!$A$2:$A$155,0),MATCH(EDATE($E71,L$1-1),Raw_매출!$B$1:$BI$1,0))/(INDEX(요약_월별시즈널리티!$F$7:$F$18,MONTH(EDATE($E71,L$1-1)))/100))),"")</f>
        <v>2818720.3388670618</v>
      </c>
      <c r="M71" s="30" cm="1">
        <f t="array" ref="M71">IFERROR(IF($E71&lt;44348,"",IF(INDEX(Raw_매출!$B$2:$BI$155,MATCH($A71,Raw_매출!$A$2:$A$155,0),MATCH(EDATE($E71,M$1-1),Raw_매출!$B$1:$BI$1,0))=0,"",INDEX(Raw_매출!$B$2:$BI$155,MATCH($A71,Raw_매출!$A$2:$A$155,0),MATCH(EDATE($E71,M$1-1),Raw_매출!$B$1:$BI$1,0))/(INDEX(요약_월별시즈널리티!$F$7:$F$18,MONTH(EDATE($E71,M$1-1)))/100))),"")</f>
        <v>2888562.5562918214</v>
      </c>
      <c r="N71" s="30" cm="1">
        <f t="array" ref="N71">IFERROR(IF($E71&lt;44348,"",IF(INDEX(Raw_매출!$B$2:$BI$155,MATCH($A71,Raw_매출!$A$2:$A$155,0),MATCH(EDATE($E71,N$1-1),Raw_매출!$B$1:$BI$1,0))=0,"",INDEX(Raw_매출!$B$2:$BI$155,MATCH($A71,Raw_매출!$A$2:$A$155,0),MATCH(EDATE($E71,N$1-1),Raw_매출!$B$1:$BI$1,0))/(INDEX(요약_월별시즈널리티!$F$7:$F$18,MONTH(EDATE($E71,N$1-1)))/100))),"")</f>
        <v>2988192.9313761145</v>
      </c>
      <c r="O71" s="30" cm="1">
        <f t="array" ref="O71">IFERROR(IF($E71&lt;44348,"",IF(INDEX(Raw_매출!$B$2:$BI$155,MATCH($A71,Raw_매출!$A$2:$A$155,0),MATCH(EDATE($E71,O$1-1),Raw_매출!$B$1:$BI$1,0))=0,"",INDEX(Raw_매출!$B$2:$BI$155,MATCH($A71,Raw_매출!$A$2:$A$155,0),MATCH(EDATE($E71,O$1-1),Raw_매출!$B$1:$BI$1,0))/(INDEX(요약_월별시즈널리티!$F$7:$F$18,MONTH(EDATE($E71,O$1-1)))/100))),"")</f>
        <v>2957512.4340448156</v>
      </c>
      <c r="P71" cm="1">
        <f t="array" ref="P71">IFERROR(IF($E71&lt;44348,"",IF(INDEX(Raw_매출!$B$2:$BI$155,MATCH($A71,Raw_매출!$A$2:$A$155,0),MATCH(EDATE($E71,P$1-1),Raw_매출!$B$1:$BI$1,0))=0,"",INDEX(Raw_매출!$B$2:$BI$155,MATCH($A71,Raw_매출!$A$2:$A$155,0),MATCH(EDATE($E71,P$1-1),Raw_매출!$B$1:$BI$1,0))/(INDEX(요약_월별시즈널리티!$F$7:$F$18,MONTH(EDATE($E71,P$1-1)))/100))),"")</f>
        <v>2678190.2720700228</v>
      </c>
      <c r="Q71" cm="1">
        <f t="array" ref="Q71">IFERROR(IF($E71&lt;44348,"",IF(INDEX(Raw_매출!$B$2:$BI$155,MATCH($A71,Raw_매출!$A$2:$A$155,0),MATCH(EDATE($E71,Q$1-1),Raw_매출!$B$1:$BI$1,0))=0,"",INDEX(Raw_매출!$B$2:$BI$155,MATCH($A71,Raw_매출!$A$2:$A$155,0),MATCH(EDATE($E71,Q$1-1),Raw_매출!$B$1:$BI$1,0))/(INDEX(요약_월별시즈널리티!$F$7:$F$18,MONTH(EDATE($E71,Q$1-1)))/100))),"")</f>
        <v>2590087.2072560177</v>
      </c>
      <c r="R71" cm="1">
        <f t="array" ref="R71">IFERROR(IF($E71&lt;44348,"",IF(INDEX(Raw_매출!$B$2:$BI$155,MATCH($A71,Raw_매출!$A$2:$A$155,0),MATCH(EDATE($E71,R$1-1),Raw_매출!$B$1:$BI$1,0))=0,"",INDEX(Raw_매출!$B$2:$BI$155,MATCH($A71,Raw_매출!$A$2:$A$155,0),MATCH(EDATE($E71,R$1-1),Raw_매출!$B$1:$BI$1,0))/(INDEX(요약_월별시즈널리티!$F$7:$F$18,MONTH(EDATE($E71,R$1-1)))/100))),"")</f>
        <v>2692759.8394448617</v>
      </c>
      <c r="S71" cm="1">
        <f t="array" ref="S71">IFERROR(IF($E71&lt;44348,"",IF(INDEX(Raw_매출!$B$2:$BI$155,MATCH($A71,Raw_매출!$A$2:$A$155,0),MATCH(EDATE($E71,S$1-1),Raw_매출!$B$1:$BI$1,0))=0,"",INDEX(Raw_매출!$B$2:$BI$155,MATCH($A71,Raw_매출!$A$2:$A$155,0),MATCH(EDATE($E71,S$1-1),Raw_매출!$B$1:$BI$1,0))/(INDEX(요약_월별시즈널리티!$F$7:$F$18,MONTH(EDATE($E71,S$1-1)))/100))),"")</f>
        <v>3014124.1582072438</v>
      </c>
      <c r="T71" cm="1">
        <f t="array" ref="T71">IFERROR(IF($E71&lt;44348,"",IF(INDEX(Raw_매출!$B$2:$BI$155,MATCH($A71,Raw_매출!$A$2:$A$155,0),MATCH(EDATE($E71,T$1-1),Raw_매출!$B$1:$BI$1,0))=0,"",INDEX(Raw_매출!$B$2:$BI$155,MATCH($A71,Raw_매출!$A$2:$A$155,0),MATCH(EDATE($E71,T$1-1),Raw_매출!$B$1:$BI$1,0))/(INDEX(요약_월별시즈널리티!$F$7:$F$18,MONTH(EDATE($E71,T$1-1)))/100))),"")</f>
        <v>3090453.9305787142</v>
      </c>
      <c r="U71" cm="1">
        <f t="array" ref="U71">IFERROR(IF($E71&lt;44348,"",IF(INDEX(Raw_매출!$B$2:$BI$155,MATCH($A71,Raw_매출!$A$2:$A$155,0),MATCH(EDATE($E71,U$1-1),Raw_매출!$B$1:$BI$1,0))=0,"",INDEX(Raw_매출!$B$2:$BI$155,MATCH($A71,Raw_매출!$A$2:$A$155,0),MATCH(EDATE($E71,U$1-1),Raw_매출!$B$1:$BI$1,0))/(INDEX(요약_월별시즈널리티!$F$7:$F$18,MONTH(EDATE($E71,U$1-1)))/100))),"")</f>
        <v>3088822.7314168508</v>
      </c>
      <c r="V71" cm="1">
        <f t="array" ref="V71">IFERROR(IF($E71&lt;44348,"",IF(INDEX(Raw_매출!$B$2:$BI$155,MATCH($A71,Raw_매출!$A$2:$A$155,0),MATCH(EDATE($E71,V$1-1),Raw_매출!$B$1:$BI$1,0))=0,"",INDEX(Raw_매출!$B$2:$BI$155,MATCH($A71,Raw_매출!$A$2:$A$155,0),MATCH(EDATE($E71,V$1-1),Raw_매출!$B$1:$BI$1,0))/(INDEX(요약_월별시즈널리티!$F$7:$F$18,MONTH(EDATE($E71,V$1-1)))/100))),"")</f>
        <v>3315937.9701820845</v>
      </c>
      <c r="W71" cm="1">
        <f t="array" ref="W71">IFERROR(IF($E71&lt;44348,"",IF(INDEX(Raw_매출!$B$2:$BI$155,MATCH($A71,Raw_매출!$A$2:$A$155,0),MATCH(EDATE($E71,W$1-1),Raw_매출!$B$1:$BI$1,0))=0,"",INDEX(Raw_매출!$B$2:$BI$155,MATCH($A71,Raw_매출!$A$2:$A$155,0),MATCH(EDATE($E71,W$1-1),Raw_매출!$B$1:$BI$1,0))/(INDEX(요약_월별시즈널리티!$F$7:$F$18,MONTH(EDATE($E71,W$1-1)))/100))),"")</f>
        <v>2877463.6771800667</v>
      </c>
      <c r="X71" cm="1">
        <f t="array" ref="X71">IFERROR(IF($E71&lt;44348,"",IF(INDEX(Raw_매출!$B$2:$BI$155,MATCH($A71,Raw_매출!$A$2:$A$155,0),MATCH(EDATE($E71,X$1-1),Raw_매출!$B$1:$BI$1,0))=0,"",INDEX(Raw_매출!$B$2:$BI$155,MATCH($A71,Raw_매출!$A$2:$A$155,0),MATCH(EDATE($E71,X$1-1),Raw_매출!$B$1:$BI$1,0))/(INDEX(요약_월별시즈널리티!$F$7:$F$18,MONTH(EDATE($E71,X$1-1)))/100))),"")</f>
        <v>2807948.4614777886</v>
      </c>
      <c r="Y71" cm="1">
        <f t="array" ref="Y71">IFERROR(IF($E71&lt;44348,"",IF(INDEX(Raw_매출!$B$2:$BI$155,MATCH($A71,Raw_매출!$A$2:$A$155,0),MATCH(EDATE($E71,Y$1-1),Raw_매출!$B$1:$BI$1,0))=0,"",INDEX(Raw_매출!$B$2:$BI$155,MATCH($A71,Raw_매출!$A$2:$A$155,0),MATCH(EDATE($E71,Y$1-1),Raw_매출!$B$1:$BI$1,0))/(INDEX(요약_월별시즈널리티!$F$7:$F$18,MONTH(EDATE($E71,Y$1-1)))/100))),"")</f>
        <v>3074339.2555588889</v>
      </c>
      <c r="Z71" cm="1">
        <f t="array" ref="Z71">IFERROR(IF($E71&lt;44348,"",IF(INDEX(Raw_매출!$B$2:$BI$155,MATCH($A71,Raw_매출!$A$2:$A$155,0),MATCH(EDATE($E71,Z$1-1),Raw_매출!$B$1:$BI$1,0))=0,"",INDEX(Raw_매출!$B$2:$BI$155,MATCH($A71,Raw_매출!$A$2:$A$155,0),MATCH(EDATE($E71,Z$1-1),Raw_매출!$B$1:$BI$1,0))/(INDEX(요약_월별시즈널리티!$F$7:$F$18,MONTH(EDATE($E71,Z$1-1)))/100))),"")</f>
        <v>3315910.190042539</v>
      </c>
      <c r="AA71" cm="1">
        <f t="array" ref="AA71">IFERROR(IF($E71&lt;44348,"",IF(INDEX(Raw_매출!$B$2:$BI$155,MATCH($A71,Raw_매출!$A$2:$A$155,0),MATCH(EDATE($E71,AA$1-1),Raw_매출!$B$1:$BI$1,0))=0,"",INDEX(Raw_매출!$B$2:$BI$155,MATCH($A71,Raw_매출!$A$2:$A$155,0),MATCH(EDATE($E71,AA$1-1),Raw_매출!$B$1:$BI$1,0))/(INDEX(요약_월별시즈널리티!$F$7:$F$18,MONTH(EDATE($E71,AA$1-1)))/100))),"")</f>
        <v>3349740.5161277968</v>
      </c>
      <c r="AB71" cm="1">
        <f t="array" ref="AB71">IFERROR(IF($E71&lt;44348,"",IF(INDEX(Raw_매출!$B$2:$BI$155,MATCH($A71,Raw_매출!$A$2:$A$155,0),MATCH(EDATE($E71,AB$1-1),Raw_매출!$B$1:$BI$1,0))=0,"",INDEX(Raw_매출!$B$2:$BI$155,MATCH($A71,Raw_매출!$A$2:$A$155,0),MATCH(EDATE($E71,AB$1-1),Raw_매출!$B$1:$BI$1,0))/(INDEX(요약_월별시즈널리티!$F$7:$F$18,MONTH(EDATE($E71,AB$1-1)))/100))),"")</f>
        <v>3306363.9702309179</v>
      </c>
      <c r="AC71" cm="1">
        <f t="array" ref="AC71">IFERROR(IF($E71&lt;44348,"",IF(INDEX(Raw_매출!$B$2:$BI$155,MATCH($A71,Raw_매출!$A$2:$A$155,0),MATCH(EDATE($E71,AC$1-1),Raw_매출!$B$1:$BI$1,0))=0,"",INDEX(Raw_매출!$B$2:$BI$155,MATCH($A71,Raw_매출!$A$2:$A$155,0),MATCH(EDATE($E71,AC$1-1),Raw_매출!$B$1:$BI$1,0))/(INDEX(요약_월별시즈널리티!$F$7:$F$18,MONTH(EDATE($E71,AC$1-1)))/100))),"")</f>
        <v>2952604.2560872249</v>
      </c>
      <c r="AD71" cm="1">
        <f t="array" ref="AD71">IFERROR(IF($E71&lt;44348,"",IF(INDEX(Raw_매출!$B$2:$BI$155,MATCH($A71,Raw_매출!$A$2:$A$155,0),MATCH(EDATE($E71,AD$1-1),Raw_매출!$B$1:$BI$1,0))=0,"",INDEX(Raw_매출!$B$2:$BI$155,MATCH($A71,Raw_매출!$A$2:$A$155,0),MATCH(EDATE($E71,AD$1-1),Raw_매출!$B$1:$BI$1,0))/(INDEX(요약_월별시즈널리티!$F$7:$F$18,MONTH(EDATE($E71,AD$1-1)))/100))),"")</f>
        <v>3657101.1552296453</v>
      </c>
      <c r="AE71" cm="1">
        <f t="array" ref="AE71">IFERROR(IF($E71&lt;44348,"",IF(INDEX(Raw_매출!$B$2:$BI$155,MATCH($A71,Raw_매출!$A$2:$A$155,0),MATCH(EDATE($E71,AE$1-1),Raw_매출!$B$1:$BI$1,0))=0,"",INDEX(Raw_매출!$B$2:$BI$155,MATCH($A71,Raw_매출!$A$2:$A$155,0),MATCH(EDATE($E71,AE$1-1),Raw_매출!$B$1:$BI$1,0))/(INDEX(요약_월별시즈널리티!$F$7:$F$18,MONTH(EDATE($E71,AE$1-1)))/100))),"")</f>
        <v>3480727.6684670313</v>
      </c>
      <c r="AF71" cm="1">
        <f t="array" ref="AF71">IFERROR(IF($E71&lt;44348,"",IF(INDEX(Raw_매출!$B$2:$BI$155,MATCH($A71,Raw_매출!$A$2:$A$155,0),MATCH(EDATE($E71,AF$1-1),Raw_매출!$B$1:$BI$1,0))=0,"",INDEX(Raw_매출!$B$2:$BI$155,MATCH($A71,Raw_매출!$A$2:$A$155,0),MATCH(EDATE($E71,AF$1-1),Raw_매출!$B$1:$BI$1,0))/(INDEX(요약_월별시즈널리티!$F$7:$F$18,MONTH(EDATE($E71,AF$1-1)))/100))),"")</f>
        <v>3660099.3178360118</v>
      </c>
      <c r="AG71" cm="1">
        <f t="array" ref="AG71">IFERROR(IF($E71&lt;44348,"",IF(INDEX(Raw_매출!$B$2:$BI$155,MATCH($A71,Raw_매출!$A$2:$A$155,0),MATCH(EDATE($E71,AG$1-1),Raw_매출!$B$1:$BI$1,0))=0,"",INDEX(Raw_매출!$B$2:$BI$155,MATCH($A71,Raw_매출!$A$2:$A$155,0),MATCH(EDATE($E71,AG$1-1),Raw_매출!$B$1:$BI$1,0))/(INDEX(요약_월별시즈널리티!$F$7:$F$18,MONTH(EDATE($E71,AG$1-1)))/100))),"")</f>
        <v>3560717.9653024096</v>
      </c>
      <c r="AH71" cm="1">
        <f t="array" ref="AH71">IFERROR(IF($E71&lt;44348,"",IF(INDEX(Raw_매출!$B$2:$BI$155,MATCH($A71,Raw_매출!$A$2:$A$155,0),MATCH(EDATE($E71,AH$1-1),Raw_매출!$B$1:$BI$1,0))=0,"",INDEX(Raw_매출!$B$2:$BI$155,MATCH($A71,Raw_매출!$A$2:$A$155,0),MATCH(EDATE($E71,AH$1-1),Raw_매출!$B$1:$BI$1,0))/(INDEX(요약_월별시즈널리티!$F$7:$F$18,MONTH(EDATE($E71,AH$1-1)))/100))),"")</f>
        <v>3640312.5797444549</v>
      </c>
      <c r="AI71" cm="1">
        <f t="array" ref="AI71">IFERROR(IF($E71&lt;44348,"",IF(INDEX(Raw_매출!$B$2:$BI$155,MATCH($A71,Raw_매출!$A$2:$A$155,0),MATCH(EDATE($E71,AI$1-1),Raw_매출!$B$1:$BI$1,0))=0,"",INDEX(Raw_매출!$B$2:$BI$155,MATCH($A71,Raw_매출!$A$2:$A$155,0),MATCH(EDATE($E71,AI$1-1),Raw_매출!$B$1:$BI$1,0))/(INDEX(요약_월별시즈널리티!$F$7:$F$18,MONTH(EDATE($E71,AI$1-1)))/100))),"")</f>
        <v>3574925.4320827564</v>
      </c>
      <c r="AJ71" cm="1">
        <f t="array" ref="AJ71">IFERROR(IF($E71&lt;44348,"",IF(INDEX(Raw_매출!$B$2:$BI$155,MATCH($A71,Raw_매출!$A$2:$A$155,0),MATCH(EDATE($E71,AJ$1-1),Raw_매출!$B$1:$BI$1,0))=0,"",INDEX(Raw_매출!$B$2:$BI$155,MATCH($A71,Raw_매출!$A$2:$A$155,0),MATCH(EDATE($E71,AJ$1-1),Raw_매출!$B$1:$BI$1,0))/(INDEX(요약_월별시즈널리티!$F$7:$F$18,MONTH(EDATE($E71,AJ$1-1)))/100))),"")</f>
        <v>3815854.5220423746</v>
      </c>
      <c r="AK71" cm="1">
        <f t="array" ref="AK71">IFERROR(IF($E71&lt;44348,"",IF(INDEX(Raw_매출!$B$2:$BI$155,MATCH($A71,Raw_매출!$A$2:$A$155,0),MATCH(EDATE($E71,AK$1-1),Raw_매출!$B$1:$BI$1,0))=0,"",INDEX(Raw_매출!$B$2:$BI$155,MATCH($A71,Raw_매출!$A$2:$A$155,0),MATCH(EDATE($E71,AK$1-1),Raw_매출!$B$1:$BI$1,0))/(INDEX(요약_월별시즈널리티!$F$7:$F$18,MONTH(EDATE($E71,AK$1-1)))/100))),"")</f>
        <v>3558263.4776874008</v>
      </c>
      <c r="AL71" cm="1">
        <f t="array" ref="AL71">IFERROR(IF($E71&lt;44348,"",IF(INDEX(Raw_매출!$B$2:$BI$155,MATCH($A71,Raw_매출!$A$2:$A$155,0),MATCH(EDATE($E71,AL$1-1),Raw_매출!$B$1:$BI$1,0))=0,"",INDEX(Raw_매출!$B$2:$BI$155,MATCH($A71,Raw_매출!$A$2:$A$155,0),MATCH(EDATE($E71,AL$1-1),Raw_매출!$B$1:$BI$1,0))/(INDEX(요약_월별시즈널리티!$F$7:$F$18,MONTH(EDATE($E71,AL$1-1)))/100))),"")</f>
        <v>3551345.0199458781</v>
      </c>
      <c r="AM71" cm="1">
        <f t="array" ref="AM71">IFERROR(IF($E71&lt;44348,"",IF(INDEX(Raw_매출!$B$2:$BI$155,MATCH($A71,Raw_매출!$A$2:$A$155,0),MATCH(EDATE($E71,AM$1-1),Raw_매출!$B$1:$BI$1,0))=0,"",INDEX(Raw_매출!$B$2:$BI$155,MATCH($A71,Raw_매출!$A$2:$A$155,0),MATCH(EDATE($E71,AM$1-1),Raw_매출!$B$1:$BI$1,0))/(INDEX(요약_월별시즈널리티!$F$7:$F$18,MONTH(EDATE($E71,AM$1-1)))/100))),"")</f>
        <v>3611389.2304717219</v>
      </c>
      <c r="AN71" cm="1">
        <f t="array" ref="AN71">IFERROR(IF($E71&lt;44348,"",IF(INDEX(Raw_매출!$B$2:$BI$155,MATCH($A71,Raw_매출!$A$2:$A$155,0),MATCH(EDATE($E71,AN$1-1),Raw_매출!$B$1:$BI$1,0))=0,"",INDEX(Raw_매출!$B$2:$BI$155,MATCH($A71,Raw_매출!$A$2:$A$155,0),MATCH(EDATE($E71,AN$1-1),Raw_매출!$B$1:$BI$1,0))/(INDEX(요약_월별시즈널리티!$F$7:$F$18,MONTH(EDATE($E71,AN$1-1)))/100))),"")</f>
        <v>3552959.2259363397</v>
      </c>
      <c r="AO71" cm="1">
        <f t="array" ref="AO71">IFERROR(IF($E71&lt;44348,"",IF(INDEX(Raw_매출!$B$2:$BI$155,MATCH($A71,Raw_매출!$A$2:$A$155,0),MATCH(EDATE($E71,AO$1-1),Raw_매출!$B$1:$BI$1,0))=0,"",INDEX(Raw_매출!$B$2:$BI$155,MATCH($A71,Raw_매출!$A$2:$A$155,0),MATCH(EDATE($E71,AO$1-1),Raw_매출!$B$1:$BI$1,0))/(INDEX(요약_월별시즈널리티!$F$7:$F$18,MONTH(EDATE($E71,AO$1-1)))/100))),"")</f>
        <v>3684299.5666741119</v>
      </c>
      <c r="AP71" cm="1">
        <f t="array" ref="AP71">IFERROR(IF($E71&lt;44348,"",IF(INDEX(Raw_매출!$B$2:$BI$155,MATCH($A71,Raw_매출!$A$2:$A$155,0),MATCH(EDATE($E71,AP$1-1),Raw_매출!$B$1:$BI$1,0))=0,"",INDEX(Raw_매출!$B$2:$BI$155,MATCH($A71,Raw_매출!$A$2:$A$155,0),MATCH(EDATE($E71,AP$1-1),Raw_매출!$B$1:$BI$1,0))/(INDEX(요약_월별시즈널리티!$F$7:$F$18,MONTH(EDATE($E71,AP$1-1)))/100))),"")</f>
        <v>3630927.5488002277</v>
      </c>
      <c r="AQ71" cm="1">
        <f t="array" ref="AQ71">IFERROR(IF($E71&lt;44348,"",IF(INDEX(Raw_매출!$B$2:$BI$155,MATCH($A71,Raw_매출!$A$2:$A$155,0),MATCH(EDATE($E71,AQ$1-1),Raw_매출!$B$1:$BI$1,0))=0,"",INDEX(Raw_매출!$B$2:$BI$155,MATCH($A71,Raw_매출!$A$2:$A$155,0),MATCH(EDATE($E71,AQ$1-1),Raw_매출!$B$1:$BI$1,0))/(INDEX(요약_월별시즈널리티!$F$7:$F$18,MONTH(EDATE($E71,AQ$1-1)))/100))),"")</f>
        <v>3686327.4107768768</v>
      </c>
      <c r="AR71" cm="1">
        <f t="array" ref="AR71">IFERROR(IF($E71&lt;44348,"",IF(INDEX(Raw_매출!$B$2:$BI$155,MATCH($A71,Raw_매출!$A$2:$A$155,0),MATCH(EDATE($E71,AR$1-1),Raw_매출!$B$1:$BI$1,0))=0,"",INDEX(Raw_매출!$B$2:$BI$155,MATCH($A71,Raw_매출!$A$2:$A$155,0),MATCH(EDATE($E71,AR$1-1),Raw_매출!$B$1:$BI$1,0))/(INDEX(요약_월별시즈널리티!$F$7:$F$18,MONTH(EDATE($E71,AR$1-1)))/100))),"")</f>
        <v>4212058.2896370515</v>
      </c>
      <c r="AS71" cm="1">
        <f t="array" ref="AS71">IFERROR(IF($E71&lt;44348,"",IF(INDEX(Raw_매출!$B$2:$BI$155,MATCH($A71,Raw_매출!$A$2:$A$155,0),MATCH(EDATE($E71,AS$1-1),Raw_매출!$B$1:$BI$1,0))=0,"",INDEX(Raw_매출!$B$2:$BI$155,MATCH($A71,Raw_매출!$A$2:$A$155,0),MATCH(EDATE($E71,AS$1-1),Raw_매출!$B$1:$BI$1,0))/(INDEX(요약_월별시즈널리티!$F$7:$F$18,MONTH(EDATE($E71,AS$1-1)))/100))),"")</f>
        <v>4300682.9115611734</v>
      </c>
      <c r="AT71" cm="1">
        <f t="array" ref="AT71">IFERROR(IF($E71&lt;44348,"",IF(INDEX(Raw_매출!$B$2:$BI$155,MATCH($A71,Raw_매출!$A$2:$A$155,0),MATCH(EDATE($E71,AT$1-1),Raw_매출!$B$1:$BI$1,0))=0,"",INDEX(Raw_매출!$B$2:$BI$155,MATCH($A71,Raw_매출!$A$2:$A$155,0),MATCH(EDATE($E71,AT$1-1),Raw_매출!$B$1:$BI$1,0))/(INDEX(요약_월별시즈널리티!$F$7:$F$18,MONTH(EDATE($E71,AT$1-1)))/100))),"")</f>
        <v>3908137.7451588176</v>
      </c>
      <c r="AU71" cm="1">
        <f t="array" ref="AU71">IFERROR(IF($E71&lt;44348,"",IF(INDEX(Raw_매출!$B$2:$BI$155,MATCH($A71,Raw_매출!$A$2:$A$155,0),MATCH(EDATE($E71,AU$1-1),Raw_매출!$B$1:$BI$1,0))=0,"",INDEX(Raw_매출!$B$2:$BI$155,MATCH($A71,Raw_매출!$A$2:$A$155,0),MATCH(EDATE($E71,AU$1-1),Raw_매출!$B$1:$BI$1,0))/(INDEX(요약_월별시즈널리티!$F$7:$F$18,MONTH(EDATE($E71,AU$1-1)))/100))),"")</f>
        <v>4027101.9966051378</v>
      </c>
      <c r="AV71" cm="1">
        <f t="array" ref="AV71">IFERROR(IF($E71&lt;44348,"",IF(INDEX(Raw_매출!$B$2:$BI$155,MATCH($A71,Raw_매출!$A$2:$A$155,0),MATCH(EDATE($E71,AV$1-1),Raw_매출!$B$1:$BI$1,0))=0,"",INDEX(Raw_매출!$B$2:$BI$155,MATCH($A71,Raw_매출!$A$2:$A$155,0),MATCH(EDATE($E71,AV$1-1),Raw_매출!$B$1:$BI$1,0))/(INDEX(요약_월별시즈널리티!$F$7:$F$18,MONTH(EDATE($E71,AV$1-1)))/100))),"")</f>
        <v>4441287.7554812273</v>
      </c>
      <c r="AW71" t="str" cm="1">
        <f t="array" ref="AW71">IFERROR(IF($E71&lt;44348,"",IF(INDEX(Raw_매출!$B$2:$BI$155,MATCH($A71,Raw_매출!$A$2:$A$155,0),MATCH(EDATE($E71,AW$1-1),Raw_매출!$B$1:$BI$1,0))=0,"",INDEX(Raw_매출!$B$2:$BI$155,MATCH($A71,Raw_매출!$A$2:$A$155,0),MATCH(EDATE($E71,AW$1-1),Raw_매출!$B$1:$BI$1,0))/(INDEX(요약_월별시즈널리티!$F$7:$F$18,MONTH(EDATE($E71,AW$1-1)))/100))),"")</f>
        <v/>
      </c>
      <c r="AX71" t="str" cm="1">
        <f t="array" ref="AX71">IFERROR(IF($E71&lt;44348,"",IF(INDEX(Raw_매출!$B$2:$BI$155,MATCH($A71,Raw_매출!$A$2:$A$155,0),MATCH(EDATE($E71,AX$1-1),Raw_매출!$B$1:$BI$1,0))=0,"",INDEX(Raw_매출!$B$2:$BI$155,MATCH($A71,Raw_매출!$A$2:$A$155,0),MATCH(EDATE($E71,AX$1-1),Raw_매출!$B$1:$BI$1,0))/(INDEX(요약_월별시즈널리티!$F$7:$F$18,MONTH(EDATE($E71,AX$1-1)))/100))),"")</f>
        <v/>
      </c>
      <c r="AY71" t="str" cm="1">
        <f t="array" ref="AY71">IFERROR(IF($E71&lt;44348,"",IF(INDEX(Raw_매출!$B$2:$BI$155,MATCH($A71,Raw_매출!$A$2:$A$155,0),MATCH(EDATE($E71,AY$1-1),Raw_매출!$B$1:$BI$1,0))=0,"",INDEX(Raw_매출!$B$2:$BI$155,MATCH($A71,Raw_매출!$A$2:$A$155,0),MATCH(EDATE($E71,AY$1-1),Raw_매출!$B$1:$BI$1,0))/(INDEX(요약_월별시즈널리티!$F$7:$F$18,MONTH(EDATE($E71,AY$1-1)))/100))),"")</f>
        <v/>
      </c>
      <c r="AZ71" t="str" cm="1">
        <f t="array" ref="AZ71">IFERROR(IF($E71&lt;44348,"",IF(INDEX(Raw_매출!$B$2:$BI$155,MATCH($A71,Raw_매출!$A$2:$A$155,0),MATCH(EDATE($E71,AZ$1-1),Raw_매출!$B$1:$BI$1,0))=0,"",INDEX(Raw_매출!$B$2:$BI$155,MATCH($A71,Raw_매출!$A$2:$A$155,0),MATCH(EDATE($E71,AZ$1-1),Raw_매출!$B$1:$BI$1,0))/(INDEX(요약_월별시즈널리티!$F$7:$F$18,MONTH(EDATE($E71,AZ$1-1)))/100))),"")</f>
        <v/>
      </c>
      <c r="BA71" t="str" cm="1">
        <f t="array" ref="BA71">IFERROR(IF($E71&lt;44348,"",IF(INDEX(Raw_매출!$B$2:$BI$155,MATCH($A71,Raw_매출!$A$2:$A$155,0),MATCH(EDATE($E71,BA$1-1),Raw_매출!$B$1:$BI$1,0))=0,"",INDEX(Raw_매출!$B$2:$BI$155,MATCH($A71,Raw_매출!$A$2:$A$155,0),MATCH(EDATE($E71,BA$1-1),Raw_매출!$B$1:$BI$1,0))/(INDEX(요약_월별시즈널리티!$F$7:$F$18,MONTH(EDATE($E71,BA$1-1)))/100))),"")</f>
        <v/>
      </c>
      <c r="BB71" t="str" cm="1">
        <f t="array" ref="BB71">IFERROR(IF($E71&lt;44348,"",IF(INDEX(Raw_매출!$B$2:$BI$155,MATCH($A71,Raw_매출!$A$2:$A$155,0),MATCH(EDATE($E71,BB$1-1),Raw_매출!$B$1:$BI$1,0))=0,"",INDEX(Raw_매출!$B$2:$BI$155,MATCH($A71,Raw_매출!$A$2:$A$155,0),MATCH(EDATE($E71,BB$1-1),Raw_매출!$B$1:$BI$1,0))/(INDEX(요약_월별시즈널리티!$F$7:$F$18,MONTH(EDATE($E71,BB$1-1)))/100))),"")</f>
        <v/>
      </c>
      <c r="BC71" t="str" cm="1">
        <f t="array" ref="BC71">IFERROR(IF($E71&lt;44348,"",IF(INDEX(Raw_매출!$B$2:$BI$155,MATCH($A71,Raw_매출!$A$2:$A$155,0),MATCH(EDATE($E71,BC$1-1),Raw_매출!$B$1:$BI$1,0))=0,"",INDEX(Raw_매출!$B$2:$BI$155,MATCH($A71,Raw_매출!$A$2:$A$155,0),MATCH(EDATE($E71,BC$1-1),Raw_매출!$B$1:$BI$1,0))/(INDEX(요약_월별시즈널리티!$F$7:$F$18,MONTH(EDATE($E71,BC$1-1)))/100))),"")</f>
        <v/>
      </c>
      <c r="BD71" t="str" cm="1">
        <f t="array" ref="BD71">IFERROR(IF($E71&lt;44348,"",IF(INDEX(Raw_매출!$B$2:$BI$155,MATCH($A71,Raw_매출!$A$2:$A$155,0),MATCH(EDATE($E71,BD$1-1),Raw_매출!$B$1:$BI$1,0))=0,"",INDEX(Raw_매출!$B$2:$BI$155,MATCH($A71,Raw_매출!$A$2:$A$155,0),MATCH(EDATE($E71,BD$1-1),Raw_매출!$B$1:$BI$1,0))/(INDEX(요약_월별시즈널리티!$F$7:$F$18,MONTH(EDATE($E71,BD$1-1)))/100))),"")</f>
        <v/>
      </c>
      <c r="BE71" t="str" cm="1">
        <f t="array" ref="BE71">IFERROR(IF($E71&lt;44348,"",IF(INDEX(Raw_매출!$B$2:$BI$155,MATCH($A71,Raw_매출!$A$2:$A$155,0),MATCH(EDATE($E71,BE$1-1),Raw_매출!$B$1:$BI$1,0))=0,"",INDEX(Raw_매출!$B$2:$BI$155,MATCH($A71,Raw_매출!$A$2:$A$155,0),MATCH(EDATE($E71,BE$1-1),Raw_매출!$B$1:$BI$1,0))/(INDEX(요약_월별시즈널리티!$F$7:$F$18,MONTH(EDATE($E71,BE$1-1)))/100))),"")</f>
        <v/>
      </c>
      <c r="BF71" t="str" cm="1">
        <f t="array" ref="BF71">IFERROR(IF($E71&lt;44348,"",IF(INDEX(Raw_매출!$B$2:$BI$155,MATCH($A71,Raw_매출!$A$2:$A$155,0),MATCH(EDATE($E71,BF$1-1),Raw_매출!$B$1:$BI$1,0))=0,"",INDEX(Raw_매출!$B$2:$BI$155,MATCH($A71,Raw_매출!$A$2:$A$155,0),MATCH(EDATE($E71,BF$1-1),Raw_매출!$B$1:$BI$1,0))/(INDEX(요약_월별시즈널리티!$F$7:$F$18,MONTH(EDATE($E71,BF$1-1)))/100))),"")</f>
        <v/>
      </c>
      <c r="BG71" t="str" cm="1">
        <f t="array" ref="BG71">IFERROR(IF($E71&lt;44348,"",IF(INDEX(Raw_매출!$B$2:$BI$155,MATCH($A71,Raw_매출!$A$2:$A$155,0),MATCH(EDATE($E71,BG$1-1),Raw_매출!$B$1:$BI$1,0))=0,"",INDEX(Raw_매출!$B$2:$BI$155,MATCH($A71,Raw_매출!$A$2:$A$155,0),MATCH(EDATE($E71,BG$1-1),Raw_매출!$B$1:$BI$1,0))/(INDEX(요약_월별시즈널리티!$F$7:$F$18,MONTH(EDATE($E71,BG$1-1)))/100))),"")</f>
        <v/>
      </c>
      <c r="BH71" t="str" cm="1">
        <f t="array" ref="BH71">IFERROR(IF($E71&lt;44348,"",IF(INDEX(Raw_매출!$B$2:$BI$155,MATCH($A71,Raw_매출!$A$2:$A$155,0),MATCH(EDATE($E71,BH$1-1),Raw_매출!$B$1:$BI$1,0))=0,"",INDEX(Raw_매출!$B$2:$BI$155,MATCH($A71,Raw_매출!$A$2:$A$155,0),MATCH(EDATE($E71,BH$1-1),Raw_매출!$B$1:$BI$1,0))/(INDEX(요약_월별시즈널리티!$F$7:$F$18,MONTH(EDATE($E71,BH$1-1)))/100))),"")</f>
        <v/>
      </c>
      <c r="BI71" t="str" cm="1">
        <f t="array" ref="BI71">IFERROR(IF($E71&lt;44348,"",IF(INDEX(Raw_매출!$B$2:$BI$155,MATCH($A71,Raw_매출!$A$2:$A$155,0),MATCH(EDATE($E71,BI$1-1),Raw_매출!$B$1:$BI$1,0))=0,"",INDEX(Raw_매출!$B$2:$BI$155,MATCH($A71,Raw_매출!$A$2:$A$155,0),MATCH(EDATE($E71,BI$1-1),Raw_매출!$B$1:$BI$1,0))/(INDEX(요약_월별시즈널리티!$F$7:$F$18,MONTH(EDATE($E71,BI$1-1)))/100))),"")</f>
        <v/>
      </c>
      <c r="BJ71" t="str" cm="1">
        <f t="array" ref="BJ71">IFERROR(IF($E71&lt;44348,"",IF(INDEX(Raw_매출!$B$2:$BI$155,MATCH($A71,Raw_매출!$A$2:$A$155,0),MATCH(EDATE($E71,BJ$1-1),Raw_매출!$B$1:$BI$1,0))=0,"",INDEX(Raw_매출!$B$2:$BI$155,MATCH($A71,Raw_매출!$A$2:$A$155,0),MATCH(EDATE($E71,BJ$1-1),Raw_매출!$B$1:$BI$1,0))/(INDEX(요약_월별시즈널리티!$F$7:$F$18,MONTH(EDATE($E71,BJ$1-1)))/100))),"")</f>
        <v/>
      </c>
      <c r="BK71" t="str" cm="1">
        <f t="array" ref="BK71">IFERROR(IF($E71&lt;44348,"",IF(INDEX(Raw_매출!$B$2:$BI$155,MATCH($A71,Raw_매출!$A$2:$A$155,0),MATCH(EDATE($E71,BK$1-1),Raw_매출!$B$1:$BI$1,0))=0,"",INDEX(Raw_매출!$B$2:$BI$155,MATCH($A71,Raw_매출!$A$2:$A$155,0),MATCH(EDATE($E71,BK$1-1),Raw_매출!$B$1:$BI$1,0))/(INDEX(요약_월별시즈널리티!$F$7:$F$18,MONTH(EDATE($E71,BK$1-1)))/100))),"")</f>
        <v/>
      </c>
      <c r="BL71" t="str" cm="1">
        <f t="array" ref="BL71">IFERROR(IF($E71&lt;44348,"",IF(INDEX(Raw_매출!$B$2:$BI$155,MATCH($A71,Raw_매출!$A$2:$A$155,0),MATCH(EDATE($E71,BL$1-1),Raw_매출!$B$1:$BI$1,0))=0,"",INDEX(Raw_매출!$B$2:$BI$155,MATCH($A71,Raw_매출!$A$2:$A$155,0),MATCH(EDATE($E71,BL$1-1),Raw_매출!$B$1:$BI$1,0))/(INDEX(요약_월별시즈널리티!$F$7:$F$18,MONTH(EDATE($E71,BL$1-1)))/100))),"")</f>
        <v/>
      </c>
      <c r="BM71" t="str" cm="1">
        <f t="array" ref="BM71">IFERROR(IF($E71&lt;44348,"",IF(INDEX(Raw_매출!$B$2:$BI$155,MATCH($A71,Raw_매출!$A$2:$A$155,0),MATCH(EDATE($E71,BM$1-1),Raw_매출!$B$1:$BI$1,0))=0,"",INDEX(Raw_매출!$B$2:$BI$155,MATCH($A71,Raw_매출!$A$2:$A$155,0),MATCH(EDATE($E71,BM$1-1),Raw_매출!$B$1:$BI$1,0))/(INDEX(요약_월별시즈널리티!$F$7:$F$18,MONTH(EDATE($E71,BM$1-1)))/100))),"")</f>
        <v/>
      </c>
      <c r="BN71" t="str" cm="1">
        <f t="array" ref="BN71">IFERROR(IF($E71&lt;44348,"",IF(INDEX(Raw_매출!$B$2:$BI$155,MATCH($A71,Raw_매출!$A$2:$A$155,0),MATCH(EDATE($E71,BN$1-1),Raw_매출!$B$1:$BI$1,0))=0,"",INDEX(Raw_매출!$B$2:$BI$155,MATCH($A71,Raw_매출!$A$2:$A$155,0),MATCH(EDATE($E71,BN$1-1),Raw_매출!$B$1:$BI$1,0))/(INDEX(요약_월별시즈널리티!$F$7:$F$18,MONTH(EDATE($E71,BN$1-1)))/100))),"")</f>
        <v/>
      </c>
    </row>
    <row r="72" spans="1:66" x14ac:dyDescent="0.4">
      <c r="A72" t="str">
        <f>세팅!A73</f>
        <v>(1061) #구로전화국점</v>
      </c>
      <c r="B72" t="str">
        <f>세팅!B73</f>
        <v>150-1</v>
      </c>
      <c r="C72">
        <f t="shared" si="3"/>
        <v>1</v>
      </c>
      <c r="D72" t="str">
        <f t="shared" si="4"/>
        <v>1</v>
      </c>
      <c r="E72" s="1">
        <f>세팅!D73</f>
        <v>44927</v>
      </c>
      <c r="F72">
        <f t="shared" si="5"/>
        <v>2304302.7129086517</v>
      </c>
      <c r="G72" cm="1">
        <f t="array" ref="G72">IFERROR(IF($E72&lt;44348,"",IF(INDEX(Raw_매출!$B$2:$BI$155,MATCH($A72,Raw_매출!$A$2:$A$155,0),MATCH(EDATE($E72,G$1-1),Raw_매출!$B$1:$BI$1,0))=0,"",INDEX(Raw_매출!$B$2:$BI$155,MATCH($A72,Raw_매출!$A$2:$A$155,0),MATCH(EDATE($E72,G$1-1),Raw_매출!$B$1:$BI$1,0))/(INDEX(요약_월별시즈널리티!$F$7:$F$18,MONTH(EDATE($E72,G$1-1)))/100))),"")</f>
        <v>2006111.8828418842</v>
      </c>
      <c r="H72" cm="1">
        <f t="array" ref="H72">IFERROR(IF($E72&lt;44348,"",IF(INDEX(Raw_매출!$B$2:$BI$155,MATCH($A72,Raw_매출!$A$2:$A$155,0),MATCH(EDATE($E72,H$1-1),Raw_매출!$B$1:$BI$1,0))=0,"",INDEX(Raw_매출!$B$2:$BI$155,MATCH($A72,Raw_매출!$A$2:$A$155,0),MATCH(EDATE($E72,H$1-1),Raw_매출!$B$1:$BI$1,0))/(INDEX(요약_월별시즈널리티!$F$7:$F$18,MONTH(EDATE($E72,H$1-1)))/100))),"")</f>
        <v>2179794.1249979567</v>
      </c>
      <c r="I72" cm="1">
        <f t="array" ref="I72">IFERROR(IF($E72&lt;44348,"",IF(INDEX(Raw_매출!$B$2:$BI$155,MATCH($A72,Raw_매출!$A$2:$A$155,0),MATCH(EDATE($E72,I$1-1),Raw_매출!$B$1:$BI$1,0))=0,"",INDEX(Raw_매출!$B$2:$BI$155,MATCH($A72,Raw_매출!$A$2:$A$155,0),MATCH(EDATE($E72,I$1-1),Raw_매출!$B$1:$BI$1,0))/(INDEX(요약_월별시즈널리티!$F$7:$F$18,MONTH(EDATE($E72,I$1-1)))/100))),"")</f>
        <v>1795277.6217688953</v>
      </c>
      <c r="J72" s="30" cm="1">
        <f t="array" ref="J72">IFERROR(IF($E72&lt;44348,"",IF(INDEX(Raw_매출!$B$2:$BI$155,MATCH($A72,Raw_매출!$A$2:$A$155,0),MATCH(EDATE($E72,J$1-1),Raw_매출!$B$1:$BI$1,0))=0,"",INDEX(Raw_매출!$B$2:$BI$155,MATCH($A72,Raw_매출!$A$2:$A$155,0),MATCH(EDATE($E72,J$1-1),Raw_매출!$B$1:$BI$1,0))/(INDEX(요약_월별시즈널리티!$F$7:$F$18,MONTH(EDATE($E72,J$1-1)))/100))),"")</f>
        <v>2313991.677732273</v>
      </c>
      <c r="K72" s="30" cm="1">
        <f t="array" ref="K72">IFERROR(IF($E72&lt;44348,"",IF(INDEX(Raw_매출!$B$2:$BI$155,MATCH($A72,Raw_매출!$A$2:$A$155,0),MATCH(EDATE($E72,K$1-1),Raw_매출!$B$1:$BI$1,0))=0,"",INDEX(Raw_매출!$B$2:$BI$155,MATCH($A72,Raw_매출!$A$2:$A$155,0),MATCH(EDATE($E72,K$1-1),Raw_매출!$B$1:$BI$1,0))/(INDEX(요약_월별시즈널리티!$F$7:$F$18,MONTH(EDATE($E72,K$1-1)))/100))),"")</f>
        <v>2113565.7221067161</v>
      </c>
      <c r="L72" s="30" cm="1">
        <f t="array" ref="L72">IFERROR(IF($E72&lt;44348,"",IF(INDEX(Raw_매출!$B$2:$BI$155,MATCH($A72,Raw_매출!$A$2:$A$155,0),MATCH(EDATE($E72,L$1-1),Raw_매출!$B$1:$BI$1,0))=0,"",INDEX(Raw_매출!$B$2:$BI$155,MATCH($A72,Raw_매출!$A$2:$A$155,0),MATCH(EDATE($E72,L$1-1),Raw_매출!$B$1:$BI$1,0))/(INDEX(요약_월별시즈널리티!$F$7:$F$18,MONTH(EDATE($E72,L$1-1)))/100))),"")</f>
        <v>2266388.1693775002</v>
      </c>
      <c r="M72" s="30" cm="1">
        <f t="array" ref="M72">IFERROR(IF($E72&lt;44348,"",IF(INDEX(Raw_매출!$B$2:$BI$155,MATCH($A72,Raw_매출!$A$2:$A$155,0),MATCH(EDATE($E72,M$1-1),Raw_매출!$B$1:$BI$1,0))=0,"",INDEX(Raw_매출!$B$2:$BI$155,MATCH($A72,Raw_매출!$A$2:$A$155,0),MATCH(EDATE($E72,M$1-1),Raw_매출!$B$1:$BI$1,0))/(INDEX(요약_월별시즈널리티!$F$7:$F$18,MONTH(EDATE($E72,M$1-1)))/100))),"")</f>
        <v>2465163.6379207363</v>
      </c>
      <c r="N72" s="30" cm="1">
        <f t="array" ref="N72">IFERROR(IF($E72&lt;44348,"",IF(INDEX(Raw_매출!$B$2:$BI$155,MATCH($A72,Raw_매출!$A$2:$A$155,0),MATCH(EDATE($E72,N$1-1),Raw_매출!$B$1:$BI$1,0))=0,"",INDEX(Raw_매출!$B$2:$BI$155,MATCH($A72,Raw_매출!$A$2:$A$155,0),MATCH(EDATE($E72,N$1-1),Raw_매출!$B$1:$BI$1,0))/(INDEX(요약_월별시즈널리티!$F$7:$F$18,MONTH(EDATE($E72,N$1-1)))/100))),"")</f>
        <v>2082900.1585693359</v>
      </c>
      <c r="O72" s="30" cm="1">
        <f t="array" ref="O72">IFERROR(IF($E72&lt;44348,"",IF(INDEX(Raw_매출!$B$2:$BI$155,MATCH($A72,Raw_매출!$A$2:$A$155,0),MATCH(EDATE($E72,O$1-1),Raw_매출!$B$1:$BI$1,0))=0,"",INDEX(Raw_매출!$B$2:$BI$155,MATCH($A72,Raw_매출!$A$2:$A$155,0),MATCH(EDATE($E72,O$1-1),Raw_매출!$B$1:$BI$1,0))/(INDEX(요약_월별시즈널리티!$F$7:$F$18,MONTH(EDATE($E72,O$1-1)))/100))),"")</f>
        <v>2583806.9117453471</v>
      </c>
      <c r="P72" cm="1">
        <f t="array" ref="P72">IFERROR(IF($E72&lt;44348,"",IF(INDEX(Raw_매출!$B$2:$BI$155,MATCH($A72,Raw_매출!$A$2:$A$155,0),MATCH(EDATE($E72,P$1-1),Raw_매출!$B$1:$BI$1,0))=0,"",INDEX(Raw_매출!$B$2:$BI$155,MATCH($A72,Raw_매출!$A$2:$A$155,0),MATCH(EDATE($E72,P$1-1),Raw_매출!$B$1:$BI$1,0))/(INDEX(요약_월별시즈널리티!$F$7:$F$18,MONTH(EDATE($E72,P$1-1)))/100))),"")</f>
        <v>2465081.3283487051</v>
      </c>
      <c r="Q72" cm="1">
        <f t="array" ref="Q72">IFERROR(IF($E72&lt;44348,"",IF(INDEX(Raw_매출!$B$2:$BI$155,MATCH($A72,Raw_매출!$A$2:$A$155,0),MATCH(EDATE($E72,Q$1-1),Raw_매출!$B$1:$BI$1,0))=0,"",INDEX(Raw_매출!$B$2:$BI$155,MATCH($A72,Raw_매출!$A$2:$A$155,0),MATCH(EDATE($E72,Q$1-1),Raw_매출!$B$1:$BI$1,0))/(INDEX(요약_월별시즈널리티!$F$7:$F$18,MONTH(EDATE($E72,Q$1-1)))/100))),"")</f>
        <v>2409412.5404841932</v>
      </c>
      <c r="R72" cm="1">
        <f t="array" ref="R72">IFERROR(IF($E72&lt;44348,"",IF(INDEX(Raw_매출!$B$2:$BI$155,MATCH($A72,Raw_매출!$A$2:$A$155,0),MATCH(EDATE($E72,R$1-1),Raw_매출!$B$1:$BI$1,0))=0,"",INDEX(Raw_매출!$B$2:$BI$155,MATCH($A72,Raw_매출!$A$2:$A$155,0),MATCH(EDATE($E72,R$1-1),Raw_매출!$B$1:$BI$1,0))/(INDEX(요약_월별시즈널리티!$F$7:$F$18,MONTH(EDATE($E72,R$1-1)))/100))),"")</f>
        <v>2452922.5080990801</v>
      </c>
      <c r="S72" cm="1">
        <f t="array" ref="S72">IFERROR(IF($E72&lt;44348,"",IF(INDEX(Raw_매출!$B$2:$BI$155,MATCH($A72,Raw_매출!$A$2:$A$155,0),MATCH(EDATE($E72,S$1-1),Raw_매출!$B$1:$BI$1,0))=0,"",INDEX(Raw_매출!$B$2:$BI$155,MATCH($A72,Raw_매출!$A$2:$A$155,0),MATCH(EDATE($E72,S$1-1),Raw_매출!$B$1:$BI$1,0))/(INDEX(요약_월별시즈널리티!$F$7:$F$18,MONTH(EDATE($E72,S$1-1)))/100))),"")</f>
        <v>2693992.6052269475</v>
      </c>
      <c r="T72" cm="1">
        <f t="array" ref="T72">IFERROR(IF($E72&lt;44348,"",IF(INDEX(Raw_매출!$B$2:$BI$155,MATCH($A72,Raw_매출!$A$2:$A$155,0),MATCH(EDATE($E72,T$1-1),Raw_매출!$B$1:$BI$1,0))=0,"",INDEX(Raw_매출!$B$2:$BI$155,MATCH($A72,Raw_매출!$A$2:$A$155,0),MATCH(EDATE($E72,T$1-1),Raw_매출!$B$1:$BI$1,0))/(INDEX(요약_월별시즈널리티!$F$7:$F$18,MONTH(EDATE($E72,T$1-1)))/100))),"")</f>
        <v>2564499.9667068976</v>
      </c>
      <c r="U72" cm="1">
        <f t="array" ref="U72">IFERROR(IF($E72&lt;44348,"",IF(INDEX(Raw_매출!$B$2:$BI$155,MATCH($A72,Raw_매출!$A$2:$A$155,0),MATCH(EDATE($E72,U$1-1),Raw_매출!$B$1:$BI$1,0))=0,"",INDEX(Raw_매출!$B$2:$BI$155,MATCH($A72,Raw_매출!$A$2:$A$155,0),MATCH(EDATE($E72,U$1-1),Raw_매출!$B$1:$BI$1,0))/(INDEX(요약_월별시즈널리티!$F$7:$F$18,MONTH(EDATE($E72,U$1-1)))/100))),"")</f>
        <v>2846160.7953117588</v>
      </c>
      <c r="V72" cm="1">
        <f t="array" ref="V72">IFERROR(IF($E72&lt;44348,"",IF(INDEX(Raw_매출!$B$2:$BI$155,MATCH($A72,Raw_매출!$A$2:$A$155,0),MATCH(EDATE($E72,V$1-1),Raw_매출!$B$1:$BI$1,0))=0,"",INDEX(Raw_매출!$B$2:$BI$155,MATCH($A72,Raw_매출!$A$2:$A$155,0),MATCH(EDATE($E72,V$1-1),Raw_매출!$B$1:$BI$1,0))/(INDEX(요약_월별시즈널리티!$F$7:$F$18,MONTH(EDATE($E72,V$1-1)))/100))),"")</f>
        <v>3489795.8233385975</v>
      </c>
      <c r="W72" cm="1">
        <f t="array" ref="W72">IFERROR(IF($E72&lt;44348,"",IF(INDEX(Raw_매출!$B$2:$BI$155,MATCH($A72,Raw_매출!$A$2:$A$155,0),MATCH(EDATE($E72,W$1-1),Raw_매출!$B$1:$BI$1,0))=0,"",INDEX(Raw_매출!$B$2:$BI$155,MATCH($A72,Raw_매출!$A$2:$A$155,0),MATCH(EDATE($E72,W$1-1),Raw_매출!$B$1:$BI$1,0))/(INDEX(요약_월별시즈널리티!$F$7:$F$18,MONTH(EDATE($E72,W$1-1)))/100))),"")</f>
        <v>3085692.0665853461</v>
      </c>
      <c r="X72" cm="1">
        <f t="array" ref="X72">IFERROR(IF($E72&lt;44348,"",IF(INDEX(Raw_매출!$B$2:$BI$155,MATCH($A72,Raw_매출!$A$2:$A$155,0),MATCH(EDATE($E72,X$1-1),Raw_매출!$B$1:$BI$1,0))=0,"",INDEX(Raw_매출!$B$2:$BI$155,MATCH($A72,Raw_매출!$A$2:$A$155,0),MATCH(EDATE($E72,X$1-1),Raw_매출!$B$1:$BI$1,0))/(INDEX(요약_월별시즈널리티!$F$7:$F$18,MONTH(EDATE($E72,X$1-1)))/100))),"")</f>
        <v>3111698.9060006556</v>
      </c>
      <c r="Y72" cm="1">
        <f t="array" ref="Y72">IFERROR(IF($E72&lt;44348,"",IF(INDEX(Raw_매출!$B$2:$BI$155,MATCH($A72,Raw_매출!$A$2:$A$155,0),MATCH(EDATE($E72,Y$1-1),Raw_매출!$B$1:$BI$1,0))=0,"",INDEX(Raw_매출!$B$2:$BI$155,MATCH($A72,Raw_매출!$A$2:$A$155,0),MATCH(EDATE($E72,Y$1-1),Raw_매출!$B$1:$BI$1,0))/(INDEX(요약_월별시즈널리티!$F$7:$F$18,MONTH(EDATE($E72,Y$1-1)))/100))),"")</f>
        <v>3175528.1723744702</v>
      </c>
      <c r="Z72" cm="1">
        <f t="array" ref="Z72">IFERROR(IF($E72&lt;44348,"",IF(INDEX(Raw_매출!$B$2:$BI$155,MATCH($A72,Raw_매출!$A$2:$A$155,0),MATCH(EDATE($E72,Z$1-1),Raw_매출!$B$1:$BI$1,0))=0,"",INDEX(Raw_매출!$B$2:$BI$155,MATCH($A72,Raw_매출!$A$2:$A$155,0),MATCH(EDATE($E72,Z$1-1),Raw_매출!$B$1:$BI$1,0))/(INDEX(요약_월별시즈널리티!$F$7:$F$18,MONTH(EDATE($E72,Z$1-1)))/100))),"")</f>
        <v>2508348.8077544109</v>
      </c>
      <c r="AA72" cm="1">
        <f t="array" ref="AA72">IFERROR(IF($E72&lt;44348,"",IF(INDEX(Raw_매출!$B$2:$BI$155,MATCH($A72,Raw_매출!$A$2:$A$155,0),MATCH(EDATE($E72,AA$1-1),Raw_매출!$B$1:$BI$1,0))=0,"",INDEX(Raw_매출!$B$2:$BI$155,MATCH($A72,Raw_매출!$A$2:$A$155,0),MATCH(EDATE($E72,AA$1-1),Raw_매출!$B$1:$BI$1,0))/(INDEX(요약_월별시즈널리티!$F$7:$F$18,MONTH(EDATE($E72,AA$1-1)))/100))),"")</f>
        <v>2872200.5127374111</v>
      </c>
      <c r="AB72" cm="1">
        <f t="array" ref="AB72">IFERROR(IF($E72&lt;44348,"",IF(INDEX(Raw_매출!$B$2:$BI$155,MATCH($A72,Raw_매출!$A$2:$A$155,0),MATCH(EDATE($E72,AB$1-1),Raw_매출!$B$1:$BI$1,0))=0,"",INDEX(Raw_매출!$B$2:$BI$155,MATCH($A72,Raw_매출!$A$2:$A$155,0),MATCH(EDATE($E72,AB$1-1),Raw_매출!$B$1:$BI$1,0))/(INDEX(요약_월별시즈널리티!$F$7:$F$18,MONTH(EDATE($E72,AB$1-1)))/100))),"")</f>
        <v>3054641.9267939208</v>
      </c>
      <c r="AC72" cm="1">
        <f t="array" ref="AC72">IFERROR(IF($E72&lt;44348,"",IF(INDEX(Raw_매출!$B$2:$BI$155,MATCH($A72,Raw_매출!$A$2:$A$155,0),MATCH(EDATE($E72,AC$1-1),Raw_매출!$B$1:$BI$1,0))=0,"",INDEX(Raw_매출!$B$2:$BI$155,MATCH($A72,Raw_매출!$A$2:$A$155,0),MATCH(EDATE($E72,AC$1-1),Raw_매출!$B$1:$BI$1,0))/(INDEX(요약_월별시즈널리티!$F$7:$F$18,MONTH(EDATE($E72,AC$1-1)))/100))),"")</f>
        <v>3131660.0030383444</v>
      </c>
      <c r="AD72" cm="1">
        <f t="array" ref="AD72">IFERROR(IF($E72&lt;44348,"",IF(INDEX(Raw_매출!$B$2:$BI$155,MATCH($A72,Raw_매출!$A$2:$A$155,0),MATCH(EDATE($E72,AD$1-1),Raw_매출!$B$1:$BI$1,0))=0,"",INDEX(Raw_매출!$B$2:$BI$155,MATCH($A72,Raw_매출!$A$2:$A$155,0),MATCH(EDATE($E72,AD$1-1),Raw_매출!$B$1:$BI$1,0))/(INDEX(요약_월별시즈널리티!$F$7:$F$18,MONTH(EDATE($E72,AD$1-1)))/100))),"")</f>
        <v>3444388.4341825661</v>
      </c>
      <c r="AE72" cm="1">
        <f t="array" ref="AE72">IFERROR(IF($E72&lt;44348,"",IF(INDEX(Raw_매출!$B$2:$BI$155,MATCH($A72,Raw_매출!$A$2:$A$155,0),MATCH(EDATE($E72,AE$1-1),Raw_매출!$B$1:$BI$1,0))=0,"",INDEX(Raw_매출!$B$2:$BI$155,MATCH($A72,Raw_매출!$A$2:$A$155,0),MATCH(EDATE($E72,AE$1-1),Raw_매출!$B$1:$BI$1,0))/(INDEX(요약_월별시즈널리티!$F$7:$F$18,MONTH(EDATE($E72,AE$1-1)))/100))),"")</f>
        <v>3645983.1415246506</v>
      </c>
      <c r="AF72" cm="1">
        <f t="array" ref="AF72">IFERROR(IF($E72&lt;44348,"",IF(INDEX(Raw_매출!$B$2:$BI$155,MATCH($A72,Raw_매출!$A$2:$A$155,0),MATCH(EDATE($E72,AF$1-1),Raw_매출!$B$1:$BI$1,0))=0,"",INDEX(Raw_매출!$B$2:$BI$155,MATCH($A72,Raw_매출!$A$2:$A$155,0),MATCH(EDATE($E72,AF$1-1),Raw_매출!$B$1:$BI$1,0))/(INDEX(요약_월별시즈널리티!$F$7:$F$18,MONTH(EDATE($E72,AF$1-1)))/100))),"")</f>
        <v>3054535.4347247262</v>
      </c>
      <c r="AG72" cm="1">
        <f t="array" ref="AG72">IFERROR(IF($E72&lt;44348,"",IF(INDEX(Raw_매출!$B$2:$BI$155,MATCH($A72,Raw_매출!$A$2:$A$155,0),MATCH(EDATE($E72,AG$1-1),Raw_매출!$B$1:$BI$1,0))=0,"",INDEX(Raw_매출!$B$2:$BI$155,MATCH($A72,Raw_매출!$A$2:$A$155,0),MATCH(EDATE($E72,AG$1-1),Raw_매출!$B$1:$BI$1,0))/(INDEX(요약_월별시즈널리티!$F$7:$F$18,MONTH(EDATE($E72,AG$1-1)))/100))),"")</f>
        <v>3299472.2539606444</v>
      </c>
      <c r="AH72" cm="1">
        <f t="array" ref="AH72">IFERROR(IF($E72&lt;44348,"",IF(INDEX(Raw_매출!$B$2:$BI$155,MATCH($A72,Raw_매출!$A$2:$A$155,0),MATCH(EDATE($E72,AH$1-1),Raw_매출!$B$1:$BI$1,0))=0,"",INDEX(Raw_매출!$B$2:$BI$155,MATCH($A72,Raw_매출!$A$2:$A$155,0),MATCH(EDATE($E72,AH$1-1),Raw_매출!$B$1:$BI$1,0))/(INDEX(요약_월별시즈널리티!$F$7:$F$18,MONTH(EDATE($E72,AH$1-1)))/100))),"")</f>
        <v>3706272.6981609319</v>
      </c>
      <c r="AI72" cm="1">
        <f t="array" ref="AI72">IFERROR(IF($E72&lt;44348,"",IF(INDEX(Raw_매출!$B$2:$BI$155,MATCH($A72,Raw_매출!$A$2:$A$155,0),MATCH(EDATE($E72,AI$1-1),Raw_매출!$B$1:$BI$1,0))=0,"",INDEX(Raw_매출!$B$2:$BI$155,MATCH($A72,Raw_매출!$A$2:$A$155,0),MATCH(EDATE($E72,AI$1-1),Raw_매출!$B$1:$BI$1,0))/(INDEX(요약_월별시즈널리티!$F$7:$F$18,MONTH(EDATE($E72,AI$1-1)))/100))),"")</f>
        <v>3476753.9236998823</v>
      </c>
      <c r="AJ72" cm="1">
        <f t="array" ref="AJ72">IFERROR(IF($E72&lt;44348,"",IF(INDEX(Raw_매출!$B$2:$BI$155,MATCH($A72,Raw_매출!$A$2:$A$155,0),MATCH(EDATE($E72,AJ$1-1),Raw_매출!$B$1:$BI$1,0))=0,"",INDEX(Raw_매출!$B$2:$BI$155,MATCH($A72,Raw_매출!$A$2:$A$155,0),MATCH(EDATE($E72,AJ$1-1),Raw_매출!$B$1:$BI$1,0))/(INDEX(요약_월별시즈널리티!$F$7:$F$18,MONTH(EDATE($E72,AJ$1-1)))/100))),"")</f>
        <v>3448762.7314056074</v>
      </c>
      <c r="AK72" cm="1">
        <f t="array" ref="AK72">IFERROR(IF($E72&lt;44348,"",IF(INDEX(Raw_매출!$B$2:$BI$155,MATCH($A72,Raw_매출!$A$2:$A$155,0),MATCH(EDATE($E72,AK$1-1),Raw_매출!$B$1:$BI$1,0))=0,"",INDEX(Raw_매출!$B$2:$BI$155,MATCH($A72,Raw_매출!$A$2:$A$155,0),MATCH(EDATE($E72,AK$1-1),Raw_매출!$B$1:$BI$1,0))/(INDEX(요약_월별시즈널리티!$F$7:$F$18,MONTH(EDATE($E72,AK$1-1)))/100))),"")</f>
        <v>3160243.2980451807</v>
      </c>
      <c r="AL72" cm="1">
        <f t="array" ref="AL72">IFERROR(IF($E72&lt;44348,"",IF(INDEX(Raw_매출!$B$2:$BI$155,MATCH($A72,Raw_매출!$A$2:$A$155,0),MATCH(EDATE($E72,AL$1-1),Raw_매출!$B$1:$BI$1,0))=0,"",INDEX(Raw_매출!$B$2:$BI$155,MATCH($A72,Raw_매출!$A$2:$A$155,0),MATCH(EDATE($E72,AL$1-1),Raw_매출!$B$1:$BI$1,0))/(INDEX(요약_월별시즈널리티!$F$7:$F$18,MONTH(EDATE($E72,AL$1-1)))/100))),"")</f>
        <v>3366350.7996788439</v>
      </c>
      <c r="AM72" cm="1">
        <f t="array" ref="AM72">IFERROR(IF($E72&lt;44348,"",IF(INDEX(Raw_매출!$B$2:$BI$155,MATCH($A72,Raw_매출!$A$2:$A$155,0),MATCH(EDATE($E72,AM$1-1),Raw_매출!$B$1:$BI$1,0))=0,"",INDEX(Raw_매출!$B$2:$BI$155,MATCH($A72,Raw_매출!$A$2:$A$155,0),MATCH(EDATE($E72,AM$1-1),Raw_매출!$B$1:$BI$1,0))/(INDEX(요약_월별시즈널리티!$F$7:$F$18,MONTH(EDATE($E72,AM$1-1)))/100))),"")</f>
        <v>3278698.1598500344</v>
      </c>
      <c r="AN72" cm="1">
        <f t="array" ref="AN72">IFERROR(IF($E72&lt;44348,"",IF(INDEX(Raw_매출!$B$2:$BI$155,MATCH($A72,Raw_매출!$A$2:$A$155,0),MATCH(EDATE($E72,AN$1-1),Raw_매출!$B$1:$BI$1,0))=0,"",INDEX(Raw_매출!$B$2:$BI$155,MATCH($A72,Raw_매출!$A$2:$A$155,0),MATCH(EDATE($E72,AN$1-1),Raw_매출!$B$1:$BI$1,0))/(INDEX(요약_월별시즈널리티!$F$7:$F$18,MONTH(EDATE($E72,AN$1-1)))/100))),"")</f>
        <v>3691177.0527454829</v>
      </c>
      <c r="AO72" cm="1">
        <f t="array" ref="AO72">IFERROR(IF($E72&lt;44348,"",IF(INDEX(Raw_매출!$B$2:$BI$155,MATCH($A72,Raw_매출!$A$2:$A$155,0),MATCH(EDATE($E72,AO$1-1),Raw_매출!$B$1:$BI$1,0))=0,"",INDEX(Raw_매출!$B$2:$BI$155,MATCH($A72,Raw_매출!$A$2:$A$155,0),MATCH(EDATE($E72,AO$1-1),Raw_매출!$B$1:$BI$1,0))/(INDEX(요약_월별시즈널리티!$F$7:$F$18,MONTH(EDATE($E72,AO$1-1)))/100))),"")</f>
        <v>3008427.9404734168</v>
      </c>
      <c r="AP72" cm="1">
        <f t="array" ref="AP72">IFERROR(IF($E72&lt;44348,"",IF(INDEX(Raw_매출!$B$2:$BI$155,MATCH($A72,Raw_매출!$A$2:$A$155,0),MATCH(EDATE($E72,AP$1-1),Raw_매출!$B$1:$BI$1,0))=0,"",INDEX(Raw_매출!$B$2:$BI$155,MATCH($A72,Raw_매출!$A$2:$A$155,0),MATCH(EDATE($E72,AP$1-1),Raw_매출!$B$1:$BI$1,0))/(INDEX(요약_월별시즈널리티!$F$7:$F$18,MONTH(EDATE($E72,AP$1-1)))/100))),"")</f>
        <v>3274353.7214320842</v>
      </c>
      <c r="AQ72" cm="1">
        <f t="array" ref="AQ72">IFERROR(IF($E72&lt;44348,"",IF(INDEX(Raw_매출!$B$2:$BI$155,MATCH($A72,Raw_매출!$A$2:$A$155,0),MATCH(EDATE($E72,AQ$1-1),Raw_매출!$B$1:$BI$1,0))=0,"",INDEX(Raw_매출!$B$2:$BI$155,MATCH($A72,Raw_매출!$A$2:$A$155,0),MATCH(EDATE($E72,AQ$1-1),Raw_매출!$B$1:$BI$1,0))/(INDEX(요약_월별시즈널리티!$F$7:$F$18,MONTH(EDATE($E72,AQ$1-1)))/100))),"")</f>
        <v>3992516.0456039379</v>
      </c>
      <c r="AR72" cm="1">
        <f t="array" ref="AR72">IFERROR(IF($E72&lt;44348,"",IF(INDEX(Raw_매출!$B$2:$BI$155,MATCH($A72,Raw_매출!$A$2:$A$155,0),MATCH(EDATE($E72,AR$1-1),Raw_매출!$B$1:$BI$1,0))=0,"",INDEX(Raw_매출!$B$2:$BI$155,MATCH($A72,Raw_매출!$A$2:$A$155,0),MATCH(EDATE($E72,AR$1-1),Raw_매출!$B$1:$BI$1,0))/(INDEX(요약_월별시즈널리티!$F$7:$F$18,MONTH(EDATE($E72,AR$1-1)))/100))),"")</f>
        <v>3518066.4664760469</v>
      </c>
      <c r="AS72" cm="1">
        <f t="array" ref="AS72">IFERROR(IF($E72&lt;44348,"",IF(INDEX(Raw_매출!$B$2:$BI$155,MATCH($A72,Raw_매출!$A$2:$A$155,0),MATCH(EDATE($E72,AS$1-1),Raw_매출!$B$1:$BI$1,0))=0,"",INDEX(Raw_매출!$B$2:$BI$155,MATCH($A72,Raw_매출!$A$2:$A$155,0),MATCH(EDATE($E72,AS$1-1),Raw_매출!$B$1:$BI$1,0))/(INDEX(요약_월별시즈널리티!$F$7:$F$18,MONTH(EDATE($E72,AS$1-1)))/100))),"")</f>
        <v>3461453.7372890618</v>
      </c>
      <c r="AT72" cm="1">
        <f t="array" ref="AT72">IFERROR(IF($E72&lt;44348,"",IF(INDEX(Raw_매출!$B$2:$BI$155,MATCH($A72,Raw_매출!$A$2:$A$155,0),MATCH(EDATE($E72,AT$1-1),Raw_매출!$B$1:$BI$1,0))=0,"",INDEX(Raw_매출!$B$2:$BI$155,MATCH($A72,Raw_매출!$A$2:$A$155,0),MATCH(EDATE($E72,AT$1-1),Raw_매출!$B$1:$BI$1,0))/(INDEX(요약_월별시즈널리티!$F$7:$F$18,MONTH(EDATE($E72,AT$1-1)))/100))),"")</f>
        <v>3699018.8057542476</v>
      </c>
      <c r="AU72" cm="1">
        <f t="array" ref="AU72">IFERROR(IF($E72&lt;44348,"",IF(INDEX(Raw_매출!$B$2:$BI$155,MATCH($A72,Raw_매출!$A$2:$A$155,0),MATCH(EDATE($E72,AU$1-1),Raw_매출!$B$1:$BI$1,0))=0,"",INDEX(Raw_매출!$B$2:$BI$155,MATCH($A72,Raw_매출!$A$2:$A$155,0),MATCH(EDATE($E72,AU$1-1),Raw_매출!$B$1:$BI$1,0))/(INDEX(요약_월별시즈널리티!$F$7:$F$18,MONTH(EDATE($E72,AU$1-1)))/100))),"")</f>
        <v>3894674.2944810647</v>
      </c>
      <c r="AV72" t="str" cm="1">
        <f t="array" ref="AV72">IFERROR(IF($E72&lt;44348,"",IF(INDEX(Raw_매출!$B$2:$BI$155,MATCH($A72,Raw_매출!$A$2:$A$155,0),MATCH(EDATE($E72,AV$1-1),Raw_매출!$B$1:$BI$1,0))=0,"",INDEX(Raw_매출!$B$2:$BI$155,MATCH($A72,Raw_매출!$A$2:$A$155,0),MATCH(EDATE($E72,AV$1-1),Raw_매출!$B$1:$BI$1,0))/(INDEX(요약_월별시즈널리티!$F$7:$F$18,MONTH(EDATE($E72,AV$1-1)))/100))),"")</f>
        <v/>
      </c>
      <c r="AW72" t="str" cm="1">
        <f t="array" ref="AW72">IFERROR(IF($E72&lt;44348,"",IF(INDEX(Raw_매출!$B$2:$BI$155,MATCH($A72,Raw_매출!$A$2:$A$155,0),MATCH(EDATE($E72,AW$1-1),Raw_매출!$B$1:$BI$1,0))=0,"",INDEX(Raw_매출!$B$2:$BI$155,MATCH($A72,Raw_매출!$A$2:$A$155,0),MATCH(EDATE($E72,AW$1-1),Raw_매출!$B$1:$BI$1,0))/(INDEX(요약_월별시즈널리티!$F$7:$F$18,MONTH(EDATE($E72,AW$1-1)))/100))),"")</f>
        <v/>
      </c>
      <c r="AX72" t="str" cm="1">
        <f t="array" ref="AX72">IFERROR(IF($E72&lt;44348,"",IF(INDEX(Raw_매출!$B$2:$BI$155,MATCH($A72,Raw_매출!$A$2:$A$155,0),MATCH(EDATE($E72,AX$1-1),Raw_매출!$B$1:$BI$1,0))=0,"",INDEX(Raw_매출!$B$2:$BI$155,MATCH($A72,Raw_매출!$A$2:$A$155,0),MATCH(EDATE($E72,AX$1-1),Raw_매출!$B$1:$BI$1,0))/(INDEX(요약_월별시즈널리티!$F$7:$F$18,MONTH(EDATE($E72,AX$1-1)))/100))),"")</f>
        <v/>
      </c>
      <c r="AY72" t="str" cm="1">
        <f t="array" ref="AY72">IFERROR(IF($E72&lt;44348,"",IF(INDEX(Raw_매출!$B$2:$BI$155,MATCH($A72,Raw_매출!$A$2:$A$155,0),MATCH(EDATE($E72,AY$1-1),Raw_매출!$B$1:$BI$1,0))=0,"",INDEX(Raw_매출!$B$2:$BI$155,MATCH($A72,Raw_매출!$A$2:$A$155,0),MATCH(EDATE($E72,AY$1-1),Raw_매출!$B$1:$BI$1,0))/(INDEX(요약_월별시즈널리티!$F$7:$F$18,MONTH(EDATE($E72,AY$1-1)))/100))),"")</f>
        <v/>
      </c>
      <c r="AZ72" t="str" cm="1">
        <f t="array" ref="AZ72">IFERROR(IF($E72&lt;44348,"",IF(INDEX(Raw_매출!$B$2:$BI$155,MATCH($A72,Raw_매출!$A$2:$A$155,0),MATCH(EDATE($E72,AZ$1-1),Raw_매출!$B$1:$BI$1,0))=0,"",INDEX(Raw_매출!$B$2:$BI$155,MATCH($A72,Raw_매출!$A$2:$A$155,0),MATCH(EDATE($E72,AZ$1-1),Raw_매출!$B$1:$BI$1,0))/(INDEX(요약_월별시즈널리티!$F$7:$F$18,MONTH(EDATE($E72,AZ$1-1)))/100))),"")</f>
        <v/>
      </c>
      <c r="BA72" t="str" cm="1">
        <f t="array" ref="BA72">IFERROR(IF($E72&lt;44348,"",IF(INDEX(Raw_매출!$B$2:$BI$155,MATCH($A72,Raw_매출!$A$2:$A$155,0),MATCH(EDATE($E72,BA$1-1),Raw_매출!$B$1:$BI$1,0))=0,"",INDEX(Raw_매출!$B$2:$BI$155,MATCH($A72,Raw_매출!$A$2:$A$155,0),MATCH(EDATE($E72,BA$1-1),Raw_매출!$B$1:$BI$1,0))/(INDEX(요약_월별시즈널리티!$F$7:$F$18,MONTH(EDATE($E72,BA$1-1)))/100))),"")</f>
        <v/>
      </c>
      <c r="BB72" t="str" cm="1">
        <f t="array" ref="BB72">IFERROR(IF($E72&lt;44348,"",IF(INDEX(Raw_매출!$B$2:$BI$155,MATCH($A72,Raw_매출!$A$2:$A$155,0),MATCH(EDATE($E72,BB$1-1),Raw_매출!$B$1:$BI$1,0))=0,"",INDEX(Raw_매출!$B$2:$BI$155,MATCH($A72,Raw_매출!$A$2:$A$155,0),MATCH(EDATE($E72,BB$1-1),Raw_매출!$B$1:$BI$1,0))/(INDEX(요약_월별시즈널리티!$F$7:$F$18,MONTH(EDATE($E72,BB$1-1)))/100))),"")</f>
        <v/>
      </c>
      <c r="BC72" t="str" cm="1">
        <f t="array" ref="BC72">IFERROR(IF($E72&lt;44348,"",IF(INDEX(Raw_매출!$B$2:$BI$155,MATCH($A72,Raw_매출!$A$2:$A$155,0),MATCH(EDATE($E72,BC$1-1),Raw_매출!$B$1:$BI$1,0))=0,"",INDEX(Raw_매출!$B$2:$BI$155,MATCH($A72,Raw_매출!$A$2:$A$155,0),MATCH(EDATE($E72,BC$1-1),Raw_매출!$B$1:$BI$1,0))/(INDEX(요약_월별시즈널리티!$F$7:$F$18,MONTH(EDATE($E72,BC$1-1)))/100))),"")</f>
        <v/>
      </c>
      <c r="BD72" t="str" cm="1">
        <f t="array" ref="BD72">IFERROR(IF($E72&lt;44348,"",IF(INDEX(Raw_매출!$B$2:$BI$155,MATCH($A72,Raw_매출!$A$2:$A$155,0),MATCH(EDATE($E72,BD$1-1),Raw_매출!$B$1:$BI$1,0))=0,"",INDEX(Raw_매출!$B$2:$BI$155,MATCH($A72,Raw_매출!$A$2:$A$155,0),MATCH(EDATE($E72,BD$1-1),Raw_매출!$B$1:$BI$1,0))/(INDEX(요약_월별시즈널리티!$F$7:$F$18,MONTH(EDATE($E72,BD$1-1)))/100))),"")</f>
        <v/>
      </c>
      <c r="BE72" t="str" cm="1">
        <f t="array" ref="BE72">IFERROR(IF($E72&lt;44348,"",IF(INDEX(Raw_매출!$B$2:$BI$155,MATCH($A72,Raw_매출!$A$2:$A$155,0),MATCH(EDATE($E72,BE$1-1),Raw_매출!$B$1:$BI$1,0))=0,"",INDEX(Raw_매출!$B$2:$BI$155,MATCH($A72,Raw_매출!$A$2:$A$155,0),MATCH(EDATE($E72,BE$1-1),Raw_매출!$B$1:$BI$1,0))/(INDEX(요약_월별시즈널리티!$F$7:$F$18,MONTH(EDATE($E72,BE$1-1)))/100))),"")</f>
        <v/>
      </c>
      <c r="BF72" t="str" cm="1">
        <f t="array" ref="BF72">IFERROR(IF($E72&lt;44348,"",IF(INDEX(Raw_매출!$B$2:$BI$155,MATCH($A72,Raw_매출!$A$2:$A$155,0),MATCH(EDATE($E72,BF$1-1),Raw_매출!$B$1:$BI$1,0))=0,"",INDEX(Raw_매출!$B$2:$BI$155,MATCH($A72,Raw_매출!$A$2:$A$155,0),MATCH(EDATE($E72,BF$1-1),Raw_매출!$B$1:$BI$1,0))/(INDEX(요약_월별시즈널리티!$F$7:$F$18,MONTH(EDATE($E72,BF$1-1)))/100))),"")</f>
        <v/>
      </c>
      <c r="BG72" t="str" cm="1">
        <f t="array" ref="BG72">IFERROR(IF($E72&lt;44348,"",IF(INDEX(Raw_매출!$B$2:$BI$155,MATCH($A72,Raw_매출!$A$2:$A$155,0),MATCH(EDATE($E72,BG$1-1),Raw_매출!$B$1:$BI$1,0))=0,"",INDEX(Raw_매출!$B$2:$BI$155,MATCH($A72,Raw_매출!$A$2:$A$155,0),MATCH(EDATE($E72,BG$1-1),Raw_매출!$B$1:$BI$1,0))/(INDEX(요약_월별시즈널리티!$F$7:$F$18,MONTH(EDATE($E72,BG$1-1)))/100))),"")</f>
        <v/>
      </c>
      <c r="BH72" t="str" cm="1">
        <f t="array" ref="BH72">IFERROR(IF($E72&lt;44348,"",IF(INDEX(Raw_매출!$B$2:$BI$155,MATCH($A72,Raw_매출!$A$2:$A$155,0),MATCH(EDATE($E72,BH$1-1),Raw_매출!$B$1:$BI$1,0))=0,"",INDEX(Raw_매출!$B$2:$BI$155,MATCH($A72,Raw_매출!$A$2:$A$155,0),MATCH(EDATE($E72,BH$1-1),Raw_매출!$B$1:$BI$1,0))/(INDEX(요약_월별시즈널리티!$F$7:$F$18,MONTH(EDATE($E72,BH$1-1)))/100))),"")</f>
        <v/>
      </c>
      <c r="BI72" t="str" cm="1">
        <f t="array" ref="BI72">IFERROR(IF($E72&lt;44348,"",IF(INDEX(Raw_매출!$B$2:$BI$155,MATCH($A72,Raw_매출!$A$2:$A$155,0),MATCH(EDATE($E72,BI$1-1),Raw_매출!$B$1:$BI$1,0))=0,"",INDEX(Raw_매출!$B$2:$BI$155,MATCH($A72,Raw_매출!$A$2:$A$155,0),MATCH(EDATE($E72,BI$1-1),Raw_매출!$B$1:$BI$1,0))/(INDEX(요약_월별시즈널리티!$F$7:$F$18,MONTH(EDATE($E72,BI$1-1)))/100))),"")</f>
        <v/>
      </c>
      <c r="BJ72" t="str" cm="1">
        <f t="array" ref="BJ72">IFERROR(IF($E72&lt;44348,"",IF(INDEX(Raw_매출!$B$2:$BI$155,MATCH($A72,Raw_매출!$A$2:$A$155,0),MATCH(EDATE($E72,BJ$1-1),Raw_매출!$B$1:$BI$1,0))=0,"",INDEX(Raw_매출!$B$2:$BI$155,MATCH($A72,Raw_매출!$A$2:$A$155,0),MATCH(EDATE($E72,BJ$1-1),Raw_매출!$B$1:$BI$1,0))/(INDEX(요약_월별시즈널리티!$F$7:$F$18,MONTH(EDATE($E72,BJ$1-1)))/100))),"")</f>
        <v/>
      </c>
      <c r="BK72" t="str" cm="1">
        <f t="array" ref="BK72">IFERROR(IF($E72&lt;44348,"",IF(INDEX(Raw_매출!$B$2:$BI$155,MATCH($A72,Raw_매출!$A$2:$A$155,0),MATCH(EDATE($E72,BK$1-1),Raw_매출!$B$1:$BI$1,0))=0,"",INDEX(Raw_매출!$B$2:$BI$155,MATCH($A72,Raw_매출!$A$2:$A$155,0),MATCH(EDATE($E72,BK$1-1),Raw_매출!$B$1:$BI$1,0))/(INDEX(요약_월별시즈널리티!$F$7:$F$18,MONTH(EDATE($E72,BK$1-1)))/100))),"")</f>
        <v/>
      </c>
      <c r="BL72" t="str" cm="1">
        <f t="array" ref="BL72">IFERROR(IF($E72&lt;44348,"",IF(INDEX(Raw_매출!$B$2:$BI$155,MATCH($A72,Raw_매출!$A$2:$A$155,0),MATCH(EDATE($E72,BL$1-1),Raw_매출!$B$1:$BI$1,0))=0,"",INDEX(Raw_매출!$B$2:$BI$155,MATCH($A72,Raw_매출!$A$2:$A$155,0),MATCH(EDATE($E72,BL$1-1),Raw_매출!$B$1:$BI$1,0))/(INDEX(요약_월별시즈널리티!$F$7:$F$18,MONTH(EDATE($E72,BL$1-1)))/100))),"")</f>
        <v/>
      </c>
      <c r="BM72" t="str" cm="1">
        <f t="array" ref="BM72">IFERROR(IF($E72&lt;44348,"",IF(INDEX(Raw_매출!$B$2:$BI$155,MATCH($A72,Raw_매출!$A$2:$A$155,0),MATCH(EDATE($E72,BM$1-1),Raw_매출!$B$1:$BI$1,0))=0,"",INDEX(Raw_매출!$B$2:$BI$155,MATCH($A72,Raw_매출!$A$2:$A$155,0),MATCH(EDATE($E72,BM$1-1),Raw_매출!$B$1:$BI$1,0))/(INDEX(요약_월별시즈널리티!$F$7:$F$18,MONTH(EDATE($E72,BM$1-1)))/100))),"")</f>
        <v/>
      </c>
      <c r="BN72" t="str" cm="1">
        <f t="array" ref="BN72">IFERROR(IF($E72&lt;44348,"",IF(INDEX(Raw_매출!$B$2:$BI$155,MATCH($A72,Raw_매출!$A$2:$A$155,0),MATCH(EDATE($E72,BN$1-1),Raw_매출!$B$1:$BI$1,0))=0,"",INDEX(Raw_매출!$B$2:$BI$155,MATCH($A72,Raw_매출!$A$2:$A$155,0),MATCH(EDATE($E72,BN$1-1),Raw_매출!$B$1:$BI$1,0))/(INDEX(요약_월별시즈널리티!$F$7:$F$18,MONTH(EDATE($E72,BN$1-1)))/100))),"")</f>
        <v/>
      </c>
    </row>
    <row r="73" spans="1:66" x14ac:dyDescent="0.4">
      <c r="A73" t="str">
        <f>세팅!A74</f>
        <v>(1062) #봉천중앙점</v>
      </c>
      <c r="B73" t="str">
        <f>세팅!B74</f>
        <v>150-3</v>
      </c>
      <c r="C73">
        <f t="shared" si="3"/>
        <v>3</v>
      </c>
      <c r="D73" t="str">
        <f t="shared" si="4"/>
        <v>3+</v>
      </c>
      <c r="E73" s="1">
        <f>세팅!D74</f>
        <v>44927</v>
      </c>
      <c r="F73">
        <f t="shared" si="5"/>
        <v>4197069.7163739577</v>
      </c>
      <c r="G73" cm="1">
        <f t="array" ref="G73">IFERROR(IF($E73&lt;44348,"",IF(INDEX(Raw_매출!$B$2:$BI$155,MATCH($A73,Raw_매출!$A$2:$A$155,0),MATCH(EDATE($E73,G$1-1),Raw_매출!$B$1:$BI$1,0))=0,"",INDEX(Raw_매출!$B$2:$BI$155,MATCH($A73,Raw_매출!$A$2:$A$155,0),MATCH(EDATE($E73,G$1-1),Raw_매출!$B$1:$BI$1,0))/(INDEX(요약_월별시즈널리티!$F$7:$F$18,MONTH(EDATE($E73,G$1-1)))/100))),"")</f>
        <v>3522255.1307893512</v>
      </c>
      <c r="H73" cm="1">
        <f t="array" ref="H73">IFERROR(IF($E73&lt;44348,"",IF(INDEX(Raw_매출!$B$2:$BI$155,MATCH($A73,Raw_매출!$A$2:$A$155,0),MATCH(EDATE($E73,H$1-1),Raw_매출!$B$1:$BI$1,0))=0,"",INDEX(Raw_매출!$B$2:$BI$155,MATCH($A73,Raw_매출!$A$2:$A$155,0),MATCH(EDATE($E73,H$1-1),Raw_매출!$B$1:$BI$1,0))/(INDEX(요약_월별시즈널리티!$F$7:$F$18,MONTH(EDATE($E73,H$1-1)))/100))),"")</f>
        <v>4399475.4096772019</v>
      </c>
      <c r="I73" cm="1">
        <f t="array" ref="I73">IFERROR(IF($E73&lt;44348,"",IF(INDEX(Raw_매출!$B$2:$BI$155,MATCH($A73,Raw_매출!$A$2:$A$155,0),MATCH(EDATE($E73,I$1-1),Raw_매출!$B$1:$BI$1,0))=0,"",INDEX(Raw_매출!$B$2:$BI$155,MATCH($A73,Raw_매출!$A$2:$A$155,0),MATCH(EDATE($E73,I$1-1),Raw_매출!$B$1:$BI$1,0))/(INDEX(요약_월별시즈널리티!$F$7:$F$18,MONTH(EDATE($E73,I$1-1)))/100))),"")</f>
        <v>4943831.295487402</v>
      </c>
      <c r="J73" s="30" cm="1">
        <f t="array" ref="J73">IFERROR(IF($E73&lt;44348,"",IF(INDEX(Raw_매출!$B$2:$BI$155,MATCH($A73,Raw_매출!$A$2:$A$155,0),MATCH(EDATE($E73,J$1-1),Raw_매출!$B$1:$BI$1,0))=0,"",INDEX(Raw_매출!$B$2:$BI$155,MATCH($A73,Raw_매출!$A$2:$A$155,0),MATCH(EDATE($E73,J$1-1),Raw_매출!$B$1:$BI$1,0))/(INDEX(요약_월별시즈널리티!$F$7:$F$18,MONTH(EDATE($E73,J$1-1)))/100))),"")</f>
        <v>5024874.8971445551</v>
      </c>
      <c r="K73" s="30" cm="1">
        <f t="array" ref="K73">IFERROR(IF($E73&lt;44348,"",IF(INDEX(Raw_매출!$B$2:$BI$155,MATCH($A73,Raw_매출!$A$2:$A$155,0),MATCH(EDATE($E73,K$1-1),Raw_매출!$B$1:$BI$1,0))=0,"",INDEX(Raw_매출!$B$2:$BI$155,MATCH($A73,Raw_매출!$A$2:$A$155,0),MATCH(EDATE($E73,K$1-1),Raw_매출!$B$1:$BI$1,0))/(INDEX(요약_월별시즈널리티!$F$7:$F$18,MONTH(EDATE($E73,K$1-1)))/100))),"")</f>
        <v>4892425.3693130314</v>
      </c>
      <c r="L73" s="30" cm="1">
        <f t="array" ref="L73">IFERROR(IF($E73&lt;44348,"",IF(INDEX(Raw_매출!$B$2:$BI$155,MATCH($A73,Raw_매출!$A$2:$A$155,0),MATCH(EDATE($E73,L$1-1),Raw_매출!$B$1:$BI$1,0))=0,"",INDEX(Raw_매출!$B$2:$BI$155,MATCH($A73,Raw_매출!$A$2:$A$155,0),MATCH(EDATE($E73,L$1-1),Raw_매출!$B$1:$BI$1,0))/(INDEX(요약_월별시즈널리티!$F$7:$F$18,MONTH(EDATE($E73,L$1-1)))/100))),"")</f>
        <v>4004487.5317268902</v>
      </c>
      <c r="M73" s="30" cm="1">
        <f t="array" ref="M73">IFERROR(IF($E73&lt;44348,"",IF(INDEX(Raw_매출!$B$2:$BI$155,MATCH($A73,Raw_매출!$A$2:$A$155,0),MATCH(EDATE($E73,M$1-1),Raw_매출!$B$1:$BI$1,0))=0,"",INDEX(Raw_매출!$B$2:$BI$155,MATCH($A73,Raw_매출!$A$2:$A$155,0),MATCH(EDATE($E73,M$1-1),Raw_매출!$B$1:$BI$1,0))/(INDEX(요약_월별시즈널리티!$F$7:$F$18,MONTH(EDATE($E73,M$1-1)))/100))),"")</f>
        <v>4011324.2067929367</v>
      </c>
      <c r="N73" s="30" cm="1">
        <f t="array" ref="N73">IFERROR(IF($E73&lt;44348,"",IF(INDEX(Raw_매출!$B$2:$BI$155,MATCH($A73,Raw_매출!$A$2:$A$155,0),MATCH(EDATE($E73,N$1-1),Raw_매출!$B$1:$BI$1,0))=0,"",INDEX(Raw_매출!$B$2:$BI$155,MATCH($A73,Raw_매출!$A$2:$A$155,0),MATCH(EDATE($E73,N$1-1),Raw_매출!$B$1:$BI$1,0))/(INDEX(요약_월별시즈널리티!$F$7:$F$18,MONTH(EDATE($E73,N$1-1)))/100))),"")</f>
        <v>3550876.8405438666</v>
      </c>
      <c r="O73" s="30" cm="1">
        <f t="array" ref="O73">IFERROR(IF($E73&lt;44348,"",IF(INDEX(Raw_매출!$B$2:$BI$155,MATCH($A73,Raw_매출!$A$2:$A$155,0),MATCH(EDATE($E73,O$1-1),Raw_매출!$B$1:$BI$1,0))=0,"",INDEX(Raw_매출!$B$2:$BI$155,MATCH($A73,Raw_매출!$A$2:$A$155,0),MATCH(EDATE($E73,O$1-1),Raw_매출!$B$1:$BI$1,0))/(INDEX(요약_월별시즈널리티!$F$7:$F$18,MONTH(EDATE($E73,O$1-1)))/100))),"")</f>
        <v>3698429.4527224666</v>
      </c>
      <c r="P73" cm="1">
        <f t="array" ref="P73">IFERROR(IF($E73&lt;44348,"",IF(INDEX(Raw_매출!$B$2:$BI$155,MATCH($A73,Raw_매출!$A$2:$A$155,0),MATCH(EDATE($E73,P$1-1),Raw_매출!$B$1:$BI$1,0))=0,"",INDEX(Raw_매출!$B$2:$BI$155,MATCH($A73,Raw_매출!$A$2:$A$155,0),MATCH(EDATE($E73,P$1-1),Raw_매출!$B$1:$BI$1,0))/(INDEX(요약_월별시즈널리티!$F$7:$F$18,MONTH(EDATE($E73,P$1-1)))/100))),"")</f>
        <v>3952608.0327163478</v>
      </c>
      <c r="Q73" cm="1">
        <f t="array" ref="Q73">IFERROR(IF($E73&lt;44348,"",IF(INDEX(Raw_매출!$B$2:$BI$155,MATCH($A73,Raw_매출!$A$2:$A$155,0),MATCH(EDATE($E73,Q$1-1),Raw_매출!$B$1:$BI$1,0))=0,"",INDEX(Raw_매출!$B$2:$BI$155,MATCH($A73,Raw_매출!$A$2:$A$155,0),MATCH(EDATE($E73,Q$1-1),Raw_매출!$B$1:$BI$1,0))/(INDEX(요약_월별시즈널리티!$F$7:$F$18,MONTH(EDATE($E73,Q$1-1)))/100))),"")</f>
        <v>3860246.761094667</v>
      </c>
      <c r="R73" cm="1">
        <f t="array" ref="R73">IFERROR(IF($E73&lt;44348,"",IF(INDEX(Raw_매출!$B$2:$BI$155,MATCH($A73,Raw_매출!$A$2:$A$155,0),MATCH(EDATE($E73,R$1-1),Raw_매출!$B$1:$BI$1,0))=0,"",INDEX(Raw_매출!$B$2:$BI$155,MATCH($A73,Raw_매출!$A$2:$A$155,0),MATCH(EDATE($E73,R$1-1),Raw_매출!$B$1:$BI$1,0))/(INDEX(요약_월별시즈널리티!$F$7:$F$18,MONTH(EDATE($E73,R$1-1)))/100))),"")</f>
        <v>4058139.2300070138</v>
      </c>
      <c r="S73" cm="1">
        <f t="array" ref="S73">IFERROR(IF($E73&lt;44348,"",IF(INDEX(Raw_매출!$B$2:$BI$155,MATCH($A73,Raw_매출!$A$2:$A$155,0),MATCH(EDATE($E73,S$1-1),Raw_매출!$B$1:$BI$1,0))=0,"",INDEX(Raw_매출!$B$2:$BI$155,MATCH($A73,Raw_매출!$A$2:$A$155,0),MATCH(EDATE($E73,S$1-1),Raw_매출!$B$1:$BI$1,0))/(INDEX(요약_월별시즈널리티!$F$7:$F$18,MONTH(EDATE($E73,S$1-1)))/100))),"")</f>
        <v>4737707.3452780051</v>
      </c>
      <c r="T73" cm="1">
        <f t="array" ref="T73">IFERROR(IF($E73&lt;44348,"",IF(INDEX(Raw_매출!$B$2:$BI$155,MATCH($A73,Raw_매출!$A$2:$A$155,0),MATCH(EDATE($E73,T$1-1),Raw_매출!$B$1:$BI$1,0))=0,"",INDEX(Raw_매출!$B$2:$BI$155,MATCH($A73,Raw_매출!$A$2:$A$155,0),MATCH(EDATE($E73,T$1-1),Raw_매출!$B$1:$BI$1,0))/(INDEX(요약_월별시즈널리티!$F$7:$F$18,MONTH(EDATE($E73,T$1-1)))/100))),"")</f>
        <v>4939387.6234713942</v>
      </c>
      <c r="U73" cm="1">
        <f t="array" ref="U73">IFERROR(IF($E73&lt;44348,"",IF(INDEX(Raw_매출!$B$2:$BI$155,MATCH($A73,Raw_매출!$A$2:$A$155,0),MATCH(EDATE($E73,U$1-1),Raw_매출!$B$1:$BI$1,0))=0,"",INDEX(Raw_매출!$B$2:$BI$155,MATCH($A73,Raw_매출!$A$2:$A$155,0),MATCH(EDATE($E73,U$1-1),Raw_매출!$B$1:$BI$1,0))/(INDEX(요약_월별시즈널리티!$F$7:$F$18,MONTH(EDATE($E73,U$1-1)))/100))),"")</f>
        <v>4959473.7258977704</v>
      </c>
      <c r="V73" cm="1">
        <f t="array" ref="V73">IFERROR(IF($E73&lt;44348,"",IF(INDEX(Raw_매출!$B$2:$BI$155,MATCH($A73,Raw_매출!$A$2:$A$155,0),MATCH(EDATE($E73,V$1-1),Raw_매출!$B$1:$BI$1,0))=0,"",INDEX(Raw_매출!$B$2:$BI$155,MATCH($A73,Raw_매출!$A$2:$A$155,0),MATCH(EDATE($E73,V$1-1),Raw_매출!$B$1:$BI$1,0))/(INDEX(요약_월별시즈널리티!$F$7:$F$18,MONTH(EDATE($E73,V$1-1)))/100))),"")</f>
        <v>5092387.9100439092</v>
      </c>
      <c r="W73" cm="1">
        <f t="array" ref="W73">IFERROR(IF($E73&lt;44348,"",IF(INDEX(Raw_매출!$B$2:$BI$155,MATCH($A73,Raw_매출!$A$2:$A$155,0),MATCH(EDATE($E73,W$1-1),Raw_매출!$B$1:$BI$1,0))=0,"",INDEX(Raw_매출!$B$2:$BI$155,MATCH($A73,Raw_매출!$A$2:$A$155,0),MATCH(EDATE($E73,W$1-1),Raw_매출!$B$1:$BI$1,0))/(INDEX(요약_월별시즈널리티!$F$7:$F$18,MONTH(EDATE($E73,W$1-1)))/100))),"")</f>
        <v>4731226.8341087988</v>
      </c>
      <c r="X73" cm="1">
        <f t="array" ref="X73">IFERROR(IF($E73&lt;44348,"",IF(INDEX(Raw_매출!$B$2:$BI$155,MATCH($A73,Raw_매출!$A$2:$A$155,0),MATCH(EDATE($E73,X$1-1),Raw_매출!$B$1:$BI$1,0))=0,"",INDEX(Raw_매출!$B$2:$BI$155,MATCH($A73,Raw_매출!$A$2:$A$155,0),MATCH(EDATE($E73,X$1-1),Raw_매출!$B$1:$BI$1,0))/(INDEX(요약_월별시즈널리티!$F$7:$F$18,MONTH(EDATE($E73,X$1-1)))/100))),"")</f>
        <v>5362763.7812516503</v>
      </c>
      <c r="Y73" cm="1">
        <f t="array" ref="Y73">IFERROR(IF($E73&lt;44348,"",IF(INDEX(Raw_매출!$B$2:$BI$155,MATCH($A73,Raw_매출!$A$2:$A$155,0),MATCH(EDATE($E73,Y$1-1),Raw_매출!$B$1:$BI$1,0))=0,"",INDEX(Raw_매출!$B$2:$BI$155,MATCH($A73,Raw_매출!$A$2:$A$155,0),MATCH(EDATE($E73,Y$1-1),Raw_매출!$B$1:$BI$1,0))/(INDEX(요약_월별시즈널리티!$F$7:$F$18,MONTH(EDATE($E73,Y$1-1)))/100))),"")</f>
        <v>4960037.2503190292</v>
      </c>
      <c r="Z73" cm="1">
        <f t="array" ref="Z73">IFERROR(IF($E73&lt;44348,"",IF(INDEX(Raw_매출!$B$2:$BI$155,MATCH($A73,Raw_매출!$A$2:$A$155,0),MATCH(EDATE($E73,Z$1-1),Raw_매출!$B$1:$BI$1,0))=0,"",INDEX(Raw_매출!$B$2:$BI$155,MATCH($A73,Raw_매출!$A$2:$A$155,0),MATCH(EDATE($E73,Z$1-1),Raw_매출!$B$1:$BI$1,0))/(INDEX(요약_월별시즈널리티!$F$7:$F$18,MONTH(EDATE($E73,Z$1-1)))/100))),"")</f>
        <v>5093918.2847608868</v>
      </c>
      <c r="AA73" cm="1">
        <f t="array" ref="AA73">IFERROR(IF($E73&lt;44348,"",IF(INDEX(Raw_매출!$B$2:$BI$155,MATCH($A73,Raw_매출!$A$2:$A$155,0),MATCH(EDATE($E73,AA$1-1),Raw_매출!$B$1:$BI$1,0))=0,"",INDEX(Raw_매출!$B$2:$BI$155,MATCH($A73,Raw_매출!$A$2:$A$155,0),MATCH(EDATE($E73,AA$1-1),Raw_매출!$B$1:$BI$1,0))/(INDEX(요약_월별시즈널리티!$F$7:$F$18,MONTH(EDATE($E73,AA$1-1)))/100))),"")</f>
        <v>4056736.6539550307</v>
      </c>
      <c r="AB73" cm="1">
        <f t="array" ref="AB73">IFERROR(IF($E73&lt;44348,"",IF(INDEX(Raw_매출!$B$2:$BI$155,MATCH($A73,Raw_매출!$A$2:$A$155,0),MATCH(EDATE($E73,AB$1-1),Raw_매출!$B$1:$BI$1,0))=0,"",INDEX(Raw_매출!$B$2:$BI$155,MATCH($A73,Raw_매출!$A$2:$A$155,0),MATCH(EDATE($E73,AB$1-1),Raw_매출!$B$1:$BI$1,0))/(INDEX(요약_월별시즈널리티!$F$7:$F$18,MONTH(EDATE($E73,AB$1-1)))/100))),"")</f>
        <v>3997895.6296768864</v>
      </c>
      <c r="AC73" cm="1">
        <f t="array" ref="AC73">IFERROR(IF($E73&lt;44348,"",IF(INDEX(Raw_매출!$B$2:$BI$155,MATCH($A73,Raw_매출!$A$2:$A$155,0),MATCH(EDATE($E73,AC$1-1),Raw_매출!$B$1:$BI$1,0))=0,"",INDEX(Raw_매출!$B$2:$BI$155,MATCH($A73,Raw_매출!$A$2:$A$155,0),MATCH(EDATE($E73,AC$1-1),Raw_매출!$B$1:$BI$1,0))/(INDEX(요약_월별시즈널리티!$F$7:$F$18,MONTH(EDATE($E73,AC$1-1)))/100))),"")</f>
        <v>4001007.9362224163</v>
      </c>
      <c r="AD73" cm="1">
        <f t="array" ref="AD73">IFERROR(IF($E73&lt;44348,"",IF(INDEX(Raw_매출!$B$2:$BI$155,MATCH($A73,Raw_매출!$A$2:$A$155,0),MATCH(EDATE($E73,AD$1-1),Raw_매출!$B$1:$BI$1,0))=0,"",INDEX(Raw_매출!$B$2:$BI$155,MATCH($A73,Raw_매출!$A$2:$A$155,0),MATCH(EDATE($E73,AD$1-1),Raw_매출!$B$1:$BI$1,0))/(INDEX(요약_월별시즈널리티!$F$7:$F$18,MONTH(EDATE($E73,AD$1-1)))/100))),"")</f>
        <v>4260206.6632585824</v>
      </c>
      <c r="AE73" cm="1">
        <f t="array" ref="AE73">IFERROR(IF($E73&lt;44348,"",IF(INDEX(Raw_매출!$B$2:$BI$155,MATCH($A73,Raw_매출!$A$2:$A$155,0),MATCH(EDATE($E73,AE$1-1),Raw_매출!$B$1:$BI$1,0))=0,"",INDEX(Raw_매출!$B$2:$BI$155,MATCH($A73,Raw_매출!$A$2:$A$155,0),MATCH(EDATE($E73,AE$1-1),Raw_매출!$B$1:$BI$1,0))/(INDEX(요약_월별시즈널리티!$F$7:$F$18,MONTH(EDATE($E73,AE$1-1)))/100))),"")</f>
        <v>4642519.2769994503</v>
      </c>
      <c r="AF73" cm="1">
        <f t="array" ref="AF73">IFERROR(IF($E73&lt;44348,"",IF(INDEX(Raw_매출!$B$2:$BI$155,MATCH($A73,Raw_매출!$A$2:$A$155,0),MATCH(EDATE($E73,AF$1-1),Raw_매출!$B$1:$BI$1,0))=0,"",INDEX(Raw_매출!$B$2:$BI$155,MATCH($A73,Raw_매출!$A$2:$A$155,0),MATCH(EDATE($E73,AF$1-1),Raw_매출!$B$1:$BI$1,0))/(INDEX(요약_월별시즈널리티!$F$7:$F$18,MONTH(EDATE($E73,AF$1-1)))/100))),"")</f>
        <v>4560981.6276252624</v>
      </c>
      <c r="AG73" cm="1">
        <f t="array" ref="AG73">IFERROR(IF($E73&lt;44348,"",IF(INDEX(Raw_매출!$B$2:$BI$155,MATCH($A73,Raw_매출!$A$2:$A$155,0),MATCH(EDATE($E73,AG$1-1),Raw_매출!$B$1:$BI$1,0))=0,"",INDEX(Raw_매출!$B$2:$BI$155,MATCH($A73,Raw_매출!$A$2:$A$155,0),MATCH(EDATE($E73,AG$1-1),Raw_매출!$B$1:$BI$1,0))/(INDEX(요약_월별시즈널리티!$F$7:$F$18,MONTH(EDATE($E73,AG$1-1)))/100))),"")</f>
        <v>4955923.3058375223</v>
      </c>
      <c r="AH73" cm="1">
        <f t="array" ref="AH73">IFERROR(IF($E73&lt;44348,"",IF(INDEX(Raw_매출!$B$2:$BI$155,MATCH($A73,Raw_매출!$A$2:$A$155,0),MATCH(EDATE($E73,AH$1-1),Raw_매출!$B$1:$BI$1,0))=0,"",INDEX(Raw_매출!$B$2:$BI$155,MATCH($A73,Raw_매출!$A$2:$A$155,0),MATCH(EDATE($E73,AH$1-1),Raw_매출!$B$1:$BI$1,0))/(INDEX(요약_월별시즈널리티!$F$7:$F$18,MONTH(EDATE($E73,AH$1-1)))/100))),"")</f>
        <v>4422283.6922178566</v>
      </c>
      <c r="AI73" cm="1">
        <f t="array" ref="AI73">IFERROR(IF($E73&lt;44348,"",IF(INDEX(Raw_매출!$B$2:$BI$155,MATCH($A73,Raw_매출!$A$2:$A$155,0),MATCH(EDATE($E73,AI$1-1),Raw_매출!$B$1:$BI$1,0))=0,"",INDEX(Raw_매출!$B$2:$BI$155,MATCH($A73,Raw_매출!$A$2:$A$155,0),MATCH(EDATE($E73,AI$1-1),Raw_매출!$B$1:$BI$1,0))/(INDEX(요약_월별시즈널리티!$F$7:$F$18,MONTH(EDATE($E73,AI$1-1)))/100))),"")</f>
        <v>4601584.6798026571</v>
      </c>
      <c r="AJ73" cm="1">
        <f t="array" ref="AJ73">IFERROR(IF($E73&lt;44348,"",IF(INDEX(Raw_매출!$B$2:$BI$155,MATCH($A73,Raw_매출!$A$2:$A$155,0),MATCH(EDATE($E73,AJ$1-1),Raw_매출!$B$1:$BI$1,0))=0,"",INDEX(Raw_매출!$B$2:$BI$155,MATCH($A73,Raw_매출!$A$2:$A$155,0),MATCH(EDATE($E73,AJ$1-1),Raw_매출!$B$1:$BI$1,0))/(INDEX(요약_월별시즈널리티!$F$7:$F$18,MONTH(EDATE($E73,AJ$1-1)))/100))),"")</f>
        <v>4253211.3503580801</v>
      </c>
      <c r="AK73" cm="1">
        <f t="array" ref="AK73">IFERROR(IF($E73&lt;44348,"",IF(INDEX(Raw_매출!$B$2:$BI$155,MATCH($A73,Raw_매출!$A$2:$A$155,0),MATCH(EDATE($E73,AK$1-1),Raw_매출!$B$1:$BI$1,0))=0,"",INDEX(Raw_매출!$B$2:$BI$155,MATCH($A73,Raw_매출!$A$2:$A$155,0),MATCH(EDATE($E73,AK$1-1),Raw_매출!$B$1:$BI$1,0))/(INDEX(요약_월별시즈널리티!$F$7:$F$18,MONTH(EDATE($E73,AK$1-1)))/100))),"")</f>
        <v>3983371.9928632481</v>
      </c>
      <c r="AL73" cm="1">
        <f t="array" ref="AL73">IFERROR(IF($E73&lt;44348,"",IF(INDEX(Raw_매출!$B$2:$BI$155,MATCH($A73,Raw_매출!$A$2:$A$155,0),MATCH(EDATE($E73,AL$1-1),Raw_매출!$B$1:$BI$1,0))=0,"",INDEX(Raw_매출!$B$2:$BI$155,MATCH($A73,Raw_매출!$A$2:$A$155,0),MATCH(EDATE($E73,AL$1-1),Raw_매출!$B$1:$BI$1,0))/(INDEX(요약_월별시즈널리티!$F$7:$F$18,MONTH(EDATE($E73,AL$1-1)))/100))),"")</f>
        <v>4611828.0786878755</v>
      </c>
      <c r="AM73" cm="1">
        <f t="array" ref="AM73">IFERROR(IF($E73&lt;44348,"",IF(INDEX(Raw_매출!$B$2:$BI$155,MATCH($A73,Raw_매출!$A$2:$A$155,0),MATCH(EDATE($E73,AM$1-1),Raw_매출!$B$1:$BI$1,0))=0,"",INDEX(Raw_매출!$B$2:$BI$155,MATCH($A73,Raw_매출!$A$2:$A$155,0),MATCH(EDATE($E73,AM$1-1),Raw_매출!$B$1:$BI$1,0))/(INDEX(요약_월별시즈널리티!$F$7:$F$18,MONTH(EDATE($E73,AM$1-1)))/100))),"")</f>
        <v>4224439.4056176366</v>
      </c>
      <c r="AN73" cm="1">
        <f t="array" ref="AN73">IFERROR(IF($E73&lt;44348,"",IF(INDEX(Raw_매출!$B$2:$BI$155,MATCH($A73,Raw_매출!$A$2:$A$155,0),MATCH(EDATE($E73,AN$1-1),Raw_매출!$B$1:$BI$1,0))=0,"",INDEX(Raw_매출!$B$2:$BI$155,MATCH($A73,Raw_매출!$A$2:$A$155,0),MATCH(EDATE($E73,AN$1-1),Raw_매출!$B$1:$BI$1,0))/(INDEX(요약_월별시즈널리티!$F$7:$F$18,MONTH(EDATE($E73,AN$1-1)))/100))),"")</f>
        <v>4514373.2063221727</v>
      </c>
      <c r="AO73" cm="1">
        <f t="array" ref="AO73">IFERROR(IF($E73&lt;44348,"",IF(INDEX(Raw_매출!$B$2:$BI$155,MATCH($A73,Raw_매출!$A$2:$A$155,0),MATCH(EDATE($E73,AO$1-1),Raw_매출!$B$1:$BI$1,0))=0,"",INDEX(Raw_매출!$B$2:$BI$155,MATCH($A73,Raw_매출!$A$2:$A$155,0),MATCH(EDATE($E73,AO$1-1),Raw_매출!$B$1:$BI$1,0))/(INDEX(요약_월별시즈널리티!$F$7:$F$18,MONTH(EDATE($E73,AO$1-1)))/100))),"")</f>
        <v>4405022.7645675894</v>
      </c>
      <c r="AP73" cm="1">
        <f t="array" ref="AP73">IFERROR(IF($E73&lt;44348,"",IF(INDEX(Raw_매출!$B$2:$BI$155,MATCH($A73,Raw_매출!$A$2:$A$155,0),MATCH(EDATE($E73,AP$1-1),Raw_매출!$B$1:$BI$1,0))=0,"",INDEX(Raw_매출!$B$2:$BI$155,MATCH($A73,Raw_매출!$A$2:$A$155,0),MATCH(EDATE($E73,AP$1-1),Raw_매출!$B$1:$BI$1,0))/(INDEX(요약_월별시즈널리티!$F$7:$F$18,MONTH(EDATE($E73,AP$1-1)))/100))),"")</f>
        <v>4158050.3497814005</v>
      </c>
      <c r="AQ73" cm="1">
        <f t="array" ref="AQ73">IFERROR(IF($E73&lt;44348,"",IF(INDEX(Raw_매출!$B$2:$BI$155,MATCH($A73,Raw_매출!$A$2:$A$155,0),MATCH(EDATE($E73,AQ$1-1),Raw_매출!$B$1:$BI$1,0))=0,"",INDEX(Raw_매출!$B$2:$BI$155,MATCH($A73,Raw_매출!$A$2:$A$155,0),MATCH(EDATE($E73,AQ$1-1),Raw_매출!$B$1:$BI$1,0))/(INDEX(요약_월별시즈널리티!$F$7:$F$18,MONTH(EDATE($E73,AQ$1-1)))/100))),"")</f>
        <v>4403500.0052620228</v>
      </c>
      <c r="AR73" cm="1">
        <f t="array" ref="AR73">IFERROR(IF($E73&lt;44348,"",IF(INDEX(Raw_매출!$B$2:$BI$155,MATCH($A73,Raw_매출!$A$2:$A$155,0),MATCH(EDATE($E73,AR$1-1),Raw_매출!$B$1:$BI$1,0))=0,"",INDEX(Raw_매출!$B$2:$BI$155,MATCH($A73,Raw_매출!$A$2:$A$155,0),MATCH(EDATE($E73,AR$1-1),Raw_매출!$B$1:$BI$1,0))/(INDEX(요약_월별시즈널리티!$F$7:$F$18,MONTH(EDATE($E73,AR$1-1)))/100))),"")</f>
        <v>4679326.1897373544</v>
      </c>
      <c r="AS73" cm="1">
        <f t="array" ref="AS73">IFERROR(IF($E73&lt;44348,"",IF(INDEX(Raw_매출!$B$2:$BI$155,MATCH($A73,Raw_매출!$A$2:$A$155,0),MATCH(EDATE($E73,AS$1-1),Raw_매출!$B$1:$BI$1,0))=0,"",INDEX(Raw_매출!$B$2:$BI$155,MATCH($A73,Raw_매출!$A$2:$A$155,0),MATCH(EDATE($E73,AS$1-1),Raw_매출!$B$1:$BI$1,0))/(INDEX(요약_월별시즈널리티!$F$7:$F$18,MONTH(EDATE($E73,AS$1-1)))/100))),"")</f>
        <v>4444395.249273208</v>
      </c>
      <c r="AT73" cm="1">
        <f t="array" ref="AT73">IFERROR(IF($E73&lt;44348,"",IF(INDEX(Raw_매출!$B$2:$BI$155,MATCH($A73,Raw_매출!$A$2:$A$155,0),MATCH(EDATE($E73,AT$1-1),Raw_매출!$B$1:$BI$1,0))=0,"",INDEX(Raw_매출!$B$2:$BI$155,MATCH($A73,Raw_매출!$A$2:$A$155,0),MATCH(EDATE($E73,AT$1-1),Raw_매출!$B$1:$BI$1,0))/(INDEX(요약_월별시즈널리티!$F$7:$F$18,MONTH(EDATE($E73,AT$1-1)))/100))),"")</f>
        <v>4857952.4701633127</v>
      </c>
      <c r="AU73" cm="1">
        <f t="array" ref="AU73">IFERROR(IF($E73&lt;44348,"",IF(INDEX(Raw_매출!$B$2:$BI$155,MATCH($A73,Raw_매출!$A$2:$A$155,0),MATCH(EDATE($E73,AU$1-1),Raw_매출!$B$1:$BI$1,0))=0,"",INDEX(Raw_매출!$B$2:$BI$155,MATCH($A73,Raw_매출!$A$2:$A$155,0),MATCH(EDATE($E73,AU$1-1),Raw_매출!$B$1:$BI$1,0))/(INDEX(요약_월별시즈널리티!$F$7:$F$18,MONTH(EDATE($E73,AU$1-1)))/100))),"")</f>
        <v>4824899.4595115529</v>
      </c>
      <c r="AV73" t="str" cm="1">
        <f t="array" ref="AV73">IFERROR(IF($E73&lt;44348,"",IF(INDEX(Raw_매출!$B$2:$BI$155,MATCH($A73,Raw_매출!$A$2:$A$155,0),MATCH(EDATE($E73,AV$1-1),Raw_매출!$B$1:$BI$1,0))=0,"",INDEX(Raw_매출!$B$2:$BI$155,MATCH($A73,Raw_매출!$A$2:$A$155,0),MATCH(EDATE($E73,AV$1-1),Raw_매출!$B$1:$BI$1,0))/(INDEX(요약_월별시즈널리티!$F$7:$F$18,MONTH(EDATE($E73,AV$1-1)))/100))),"")</f>
        <v/>
      </c>
      <c r="AW73" t="str" cm="1">
        <f t="array" ref="AW73">IFERROR(IF($E73&lt;44348,"",IF(INDEX(Raw_매출!$B$2:$BI$155,MATCH($A73,Raw_매출!$A$2:$A$155,0),MATCH(EDATE($E73,AW$1-1),Raw_매출!$B$1:$BI$1,0))=0,"",INDEX(Raw_매출!$B$2:$BI$155,MATCH($A73,Raw_매출!$A$2:$A$155,0),MATCH(EDATE($E73,AW$1-1),Raw_매출!$B$1:$BI$1,0))/(INDEX(요약_월별시즈널리티!$F$7:$F$18,MONTH(EDATE($E73,AW$1-1)))/100))),"")</f>
        <v/>
      </c>
      <c r="AX73" t="str" cm="1">
        <f t="array" ref="AX73">IFERROR(IF($E73&lt;44348,"",IF(INDEX(Raw_매출!$B$2:$BI$155,MATCH($A73,Raw_매출!$A$2:$A$155,0),MATCH(EDATE($E73,AX$1-1),Raw_매출!$B$1:$BI$1,0))=0,"",INDEX(Raw_매출!$B$2:$BI$155,MATCH($A73,Raw_매출!$A$2:$A$155,0),MATCH(EDATE($E73,AX$1-1),Raw_매출!$B$1:$BI$1,0))/(INDEX(요약_월별시즈널리티!$F$7:$F$18,MONTH(EDATE($E73,AX$1-1)))/100))),"")</f>
        <v/>
      </c>
      <c r="AY73" t="str" cm="1">
        <f t="array" ref="AY73">IFERROR(IF($E73&lt;44348,"",IF(INDEX(Raw_매출!$B$2:$BI$155,MATCH($A73,Raw_매출!$A$2:$A$155,0),MATCH(EDATE($E73,AY$1-1),Raw_매출!$B$1:$BI$1,0))=0,"",INDEX(Raw_매출!$B$2:$BI$155,MATCH($A73,Raw_매출!$A$2:$A$155,0),MATCH(EDATE($E73,AY$1-1),Raw_매출!$B$1:$BI$1,0))/(INDEX(요약_월별시즈널리티!$F$7:$F$18,MONTH(EDATE($E73,AY$1-1)))/100))),"")</f>
        <v/>
      </c>
      <c r="AZ73" t="str" cm="1">
        <f t="array" ref="AZ73">IFERROR(IF($E73&lt;44348,"",IF(INDEX(Raw_매출!$B$2:$BI$155,MATCH($A73,Raw_매출!$A$2:$A$155,0),MATCH(EDATE($E73,AZ$1-1),Raw_매출!$B$1:$BI$1,0))=0,"",INDEX(Raw_매출!$B$2:$BI$155,MATCH($A73,Raw_매출!$A$2:$A$155,0),MATCH(EDATE($E73,AZ$1-1),Raw_매출!$B$1:$BI$1,0))/(INDEX(요약_월별시즈널리티!$F$7:$F$18,MONTH(EDATE($E73,AZ$1-1)))/100))),"")</f>
        <v/>
      </c>
      <c r="BA73" t="str" cm="1">
        <f t="array" ref="BA73">IFERROR(IF($E73&lt;44348,"",IF(INDEX(Raw_매출!$B$2:$BI$155,MATCH($A73,Raw_매출!$A$2:$A$155,0),MATCH(EDATE($E73,BA$1-1),Raw_매출!$B$1:$BI$1,0))=0,"",INDEX(Raw_매출!$B$2:$BI$155,MATCH($A73,Raw_매출!$A$2:$A$155,0),MATCH(EDATE($E73,BA$1-1),Raw_매출!$B$1:$BI$1,0))/(INDEX(요약_월별시즈널리티!$F$7:$F$18,MONTH(EDATE($E73,BA$1-1)))/100))),"")</f>
        <v/>
      </c>
      <c r="BB73" t="str" cm="1">
        <f t="array" ref="BB73">IFERROR(IF($E73&lt;44348,"",IF(INDEX(Raw_매출!$B$2:$BI$155,MATCH($A73,Raw_매출!$A$2:$A$155,0),MATCH(EDATE($E73,BB$1-1),Raw_매출!$B$1:$BI$1,0))=0,"",INDEX(Raw_매출!$B$2:$BI$155,MATCH($A73,Raw_매출!$A$2:$A$155,0),MATCH(EDATE($E73,BB$1-1),Raw_매출!$B$1:$BI$1,0))/(INDEX(요약_월별시즈널리티!$F$7:$F$18,MONTH(EDATE($E73,BB$1-1)))/100))),"")</f>
        <v/>
      </c>
      <c r="BC73" t="str" cm="1">
        <f t="array" ref="BC73">IFERROR(IF($E73&lt;44348,"",IF(INDEX(Raw_매출!$B$2:$BI$155,MATCH($A73,Raw_매출!$A$2:$A$155,0),MATCH(EDATE($E73,BC$1-1),Raw_매출!$B$1:$BI$1,0))=0,"",INDEX(Raw_매출!$B$2:$BI$155,MATCH($A73,Raw_매출!$A$2:$A$155,0),MATCH(EDATE($E73,BC$1-1),Raw_매출!$B$1:$BI$1,0))/(INDEX(요약_월별시즈널리티!$F$7:$F$18,MONTH(EDATE($E73,BC$1-1)))/100))),"")</f>
        <v/>
      </c>
      <c r="BD73" t="str" cm="1">
        <f t="array" ref="BD73">IFERROR(IF($E73&lt;44348,"",IF(INDEX(Raw_매출!$B$2:$BI$155,MATCH($A73,Raw_매출!$A$2:$A$155,0),MATCH(EDATE($E73,BD$1-1),Raw_매출!$B$1:$BI$1,0))=0,"",INDEX(Raw_매출!$B$2:$BI$155,MATCH($A73,Raw_매출!$A$2:$A$155,0),MATCH(EDATE($E73,BD$1-1),Raw_매출!$B$1:$BI$1,0))/(INDEX(요약_월별시즈널리티!$F$7:$F$18,MONTH(EDATE($E73,BD$1-1)))/100))),"")</f>
        <v/>
      </c>
      <c r="BE73" t="str" cm="1">
        <f t="array" ref="BE73">IFERROR(IF($E73&lt;44348,"",IF(INDEX(Raw_매출!$B$2:$BI$155,MATCH($A73,Raw_매출!$A$2:$A$155,0),MATCH(EDATE($E73,BE$1-1),Raw_매출!$B$1:$BI$1,0))=0,"",INDEX(Raw_매출!$B$2:$BI$155,MATCH($A73,Raw_매출!$A$2:$A$155,0),MATCH(EDATE($E73,BE$1-1),Raw_매출!$B$1:$BI$1,0))/(INDEX(요약_월별시즈널리티!$F$7:$F$18,MONTH(EDATE($E73,BE$1-1)))/100))),"")</f>
        <v/>
      </c>
      <c r="BF73" t="str" cm="1">
        <f t="array" ref="BF73">IFERROR(IF($E73&lt;44348,"",IF(INDEX(Raw_매출!$B$2:$BI$155,MATCH($A73,Raw_매출!$A$2:$A$155,0),MATCH(EDATE($E73,BF$1-1),Raw_매출!$B$1:$BI$1,0))=0,"",INDEX(Raw_매출!$B$2:$BI$155,MATCH($A73,Raw_매출!$A$2:$A$155,0),MATCH(EDATE($E73,BF$1-1),Raw_매출!$B$1:$BI$1,0))/(INDEX(요약_월별시즈널리티!$F$7:$F$18,MONTH(EDATE($E73,BF$1-1)))/100))),"")</f>
        <v/>
      </c>
      <c r="BG73" t="str" cm="1">
        <f t="array" ref="BG73">IFERROR(IF($E73&lt;44348,"",IF(INDEX(Raw_매출!$B$2:$BI$155,MATCH($A73,Raw_매출!$A$2:$A$155,0),MATCH(EDATE($E73,BG$1-1),Raw_매출!$B$1:$BI$1,0))=0,"",INDEX(Raw_매출!$B$2:$BI$155,MATCH($A73,Raw_매출!$A$2:$A$155,0),MATCH(EDATE($E73,BG$1-1),Raw_매출!$B$1:$BI$1,0))/(INDEX(요약_월별시즈널리티!$F$7:$F$18,MONTH(EDATE($E73,BG$1-1)))/100))),"")</f>
        <v/>
      </c>
      <c r="BH73" t="str" cm="1">
        <f t="array" ref="BH73">IFERROR(IF($E73&lt;44348,"",IF(INDEX(Raw_매출!$B$2:$BI$155,MATCH($A73,Raw_매출!$A$2:$A$155,0),MATCH(EDATE($E73,BH$1-1),Raw_매출!$B$1:$BI$1,0))=0,"",INDEX(Raw_매출!$B$2:$BI$155,MATCH($A73,Raw_매출!$A$2:$A$155,0),MATCH(EDATE($E73,BH$1-1),Raw_매출!$B$1:$BI$1,0))/(INDEX(요약_월별시즈널리티!$F$7:$F$18,MONTH(EDATE($E73,BH$1-1)))/100))),"")</f>
        <v/>
      </c>
      <c r="BI73" t="str" cm="1">
        <f t="array" ref="BI73">IFERROR(IF($E73&lt;44348,"",IF(INDEX(Raw_매출!$B$2:$BI$155,MATCH($A73,Raw_매출!$A$2:$A$155,0),MATCH(EDATE($E73,BI$1-1),Raw_매출!$B$1:$BI$1,0))=0,"",INDEX(Raw_매출!$B$2:$BI$155,MATCH($A73,Raw_매출!$A$2:$A$155,0),MATCH(EDATE($E73,BI$1-1),Raw_매출!$B$1:$BI$1,0))/(INDEX(요약_월별시즈널리티!$F$7:$F$18,MONTH(EDATE($E73,BI$1-1)))/100))),"")</f>
        <v/>
      </c>
      <c r="BJ73" t="str" cm="1">
        <f t="array" ref="BJ73">IFERROR(IF($E73&lt;44348,"",IF(INDEX(Raw_매출!$B$2:$BI$155,MATCH($A73,Raw_매출!$A$2:$A$155,0),MATCH(EDATE($E73,BJ$1-1),Raw_매출!$B$1:$BI$1,0))=0,"",INDEX(Raw_매출!$B$2:$BI$155,MATCH($A73,Raw_매출!$A$2:$A$155,0),MATCH(EDATE($E73,BJ$1-1),Raw_매출!$B$1:$BI$1,0))/(INDEX(요약_월별시즈널리티!$F$7:$F$18,MONTH(EDATE($E73,BJ$1-1)))/100))),"")</f>
        <v/>
      </c>
      <c r="BK73" t="str" cm="1">
        <f t="array" ref="BK73">IFERROR(IF($E73&lt;44348,"",IF(INDEX(Raw_매출!$B$2:$BI$155,MATCH($A73,Raw_매출!$A$2:$A$155,0),MATCH(EDATE($E73,BK$1-1),Raw_매출!$B$1:$BI$1,0))=0,"",INDEX(Raw_매출!$B$2:$BI$155,MATCH($A73,Raw_매출!$A$2:$A$155,0),MATCH(EDATE($E73,BK$1-1),Raw_매출!$B$1:$BI$1,0))/(INDEX(요약_월별시즈널리티!$F$7:$F$18,MONTH(EDATE($E73,BK$1-1)))/100))),"")</f>
        <v/>
      </c>
      <c r="BL73" t="str" cm="1">
        <f t="array" ref="BL73">IFERROR(IF($E73&lt;44348,"",IF(INDEX(Raw_매출!$B$2:$BI$155,MATCH($A73,Raw_매출!$A$2:$A$155,0),MATCH(EDATE($E73,BL$1-1),Raw_매출!$B$1:$BI$1,0))=0,"",INDEX(Raw_매출!$B$2:$BI$155,MATCH($A73,Raw_매출!$A$2:$A$155,0),MATCH(EDATE($E73,BL$1-1),Raw_매출!$B$1:$BI$1,0))/(INDEX(요약_월별시즈널리티!$F$7:$F$18,MONTH(EDATE($E73,BL$1-1)))/100))),"")</f>
        <v/>
      </c>
      <c r="BM73" t="str" cm="1">
        <f t="array" ref="BM73">IFERROR(IF($E73&lt;44348,"",IF(INDEX(Raw_매출!$B$2:$BI$155,MATCH($A73,Raw_매출!$A$2:$A$155,0),MATCH(EDATE($E73,BM$1-1),Raw_매출!$B$1:$BI$1,0))=0,"",INDEX(Raw_매출!$B$2:$BI$155,MATCH($A73,Raw_매출!$A$2:$A$155,0),MATCH(EDATE($E73,BM$1-1),Raw_매출!$B$1:$BI$1,0))/(INDEX(요약_월별시즈널리티!$F$7:$F$18,MONTH(EDATE($E73,BM$1-1)))/100))),"")</f>
        <v/>
      </c>
      <c r="BN73" t="str" cm="1">
        <f t="array" ref="BN73">IFERROR(IF($E73&lt;44348,"",IF(INDEX(Raw_매출!$B$2:$BI$155,MATCH($A73,Raw_매출!$A$2:$A$155,0),MATCH(EDATE($E73,BN$1-1),Raw_매출!$B$1:$BI$1,0))=0,"",INDEX(Raw_매출!$B$2:$BI$155,MATCH($A73,Raw_매출!$A$2:$A$155,0),MATCH(EDATE($E73,BN$1-1),Raw_매출!$B$1:$BI$1,0))/(INDEX(요약_월별시즈널리티!$F$7:$F$18,MONTH(EDATE($E73,BN$1-1)))/100))),"")</f>
        <v/>
      </c>
    </row>
    <row r="74" spans="1:66" x14ac:dyDescent="0.4">
      <c r="A74" t="str">
        <f>세팅!A75</f>
        <v>(1063) #성대후문점</v>
      </c>
      <c r="B74" t="str">
        <f>세팅!B75</f>
        <v>150-1</v>
      </c>
      <c r="C74">
        <f t="shared" si="3"/>
        <v>1</v>
      </c>
      <c r="D74" t="str">
        <f t="shared" si="4"/>
        <v>1</v>
      </c>
      <c r="E74" s="1">
        <f>세팅!D75</f>
        <v>44927</v>
      </c>
      <c r="F74">
        <f t="shared" si="5"/>
        <v>3417266.6203491557</v>
      </c>
      <c r="G74" cm="1">
        <f t="array" ref="G74">IFERROR(IF($E74&lt;44348,"",IF(INDEX(Raw_매출!$B$2:$BI$155,MATCH($A74,Raw_매출!$A$2:$A$155,0),MATCH(EDATE($E74,G$1-1),Raw_매출!$B$1:$BI$1,0))=0,"",INDEX(Raw_매출!$B$2:$BI$155,MATCH($A74,Raw_매출!$A$2:$A$155,0),MATCH(EDATE($E74,G$1-1),Raw_매출!$B$1:$BI$1,0))/(INDEX(요약_월별시즈널리티!$F$7:$F$18,MONTH(EDATE($E74,G$1-1)))/100))),"")</f>
        <v>1791051.6621045182</v>
      </c>
      <c r="H74" cm="1">
        <f t="array" ref="H74">IFERROR(IF($E74&lt;44348,"",IF(INDEX(Raw_매출!$B$2:$BI$155,MATCH($A74,Raw_매출!$A$2:$A$155,0),MATCH(EDATE($E74,H$1-1),Raw_매출!$B$1:$BI$1,0))=0,"",INDEX(Raw_매출!$B$2:$BI$155,MATCH($A74,Raw_매출!$A$2:$A$155,0),MATCH(EDATE($E74,H$1-1),Raw_매출!$B$1:$BI$1,0))/(INDEX(요약_월별시즈널리티!$F$7:$F$18,MONTH(EDATE($E74,H$1-1)))/100))),"")</f>
        <v>2078059.3259893165</v>
      </c>
      <c r="I74" cm="1">
        <f t="array" ref="I74">IFERROR(IF($E74&lt;44348,"",IF(INDEX(Raw_매출!$B$2:$BI$155,MATCH($A74,Raw_매출!$A$2:$A$155,0),MATCH(EDATE($E74,I$1-1),Raw_매출!$B$1:$BI$1,0))=0,"",INDEX(Raw_매출!$B$2:$BI$155,MATCH($A74,Raw_매출!$A$2:$A$155,0),MATCH(EDATE($E74,I$1-1),Raw_매출!$B$1:$BI$1,0))/(INDEX(요약_월별시즈널리티!$F$7:$F$18,MONTH(EDATE($E74,I$1-1)))/100))),"")</f>
        <v>2986469.2796637057</v>
      </c>
      <c r="J74" s="30" cm="1">
        <f t="array" ref="J74">IFERROR(IF($E74&lt;44348,"",IF(INDEX(Raw_매출!$B$2:$BI$155,MATCH($A74,Raw_매출!$A$2:$A$155,0),MATCH(EDATE($E74,J$1-1),Raw_매출!$B$1:$BI$1,0))=0,"",INDEX(Raw_매출!$B$2:$BI$155,MATCH($A74,Raw_매출!$A$2:$A$155,0),MATCH(EDATE($E74,J$1-1),Raw_매출!$B$1:$BI$1,0))/(INDEX(요약_월별시즈널리티!$F$7:$F$18,MONTH(EDATE($E74,J$1-1)))/100))),"")</f>
        <v>2959588.1019271705</v>
      </c>
      <c r="K74" s="30" cm="1">
        <f t="array" ref="K74">IFERROR(IF($E74&lt;44348,"",IF(INDEX(Raw_매출!$B$2:$BI$155,MATCH($A74,Raw_매출!$A$2:$A$155,0),MATCH(EDATE($E74,K$1-1),Raw_매출!$B$1:$BI$1,0))=0,"",INDEX(Raw_매출!$B$2:$BI$155,MATCH($A74,Raw_매출!$A$2:$A$155,0),MATCH(EDATE($E74,K$1-1),Raw_매출!$B$1:$BI$1,0))/(INDEX(요약_월별시즈널리티!$F$7:$F$18,MONTH(EDATE($E74,K$1-1)))/100))),"")</f>
        <v>3583191.4610749469</v>
      </c>
      <c r="L74" s="30" cm="1">
        <f t="array" ref="L74">IFERROR(IF($E74&lt;44348,"",IF(INDEX(Raw_매출!$B$2:$BI$155,MATCH($A74,Raw_매출!$A$2:$A$155,0),MATCH(EDATE($E74,L$1-1),Raw_매출!$B$1:$BI$1,0))=0,"",INDEX(Raw_매출!$B$2:$BI$155,MATCH($A74,Raw_매출!$A$2:$A$155,0),MATCH(EDATE($E74,L$1-1),Raw_매출!$B$1:$BI$1,0))/(INDEX(요약_월별시즈널리티!$F$7:$F$18,MONTH(EDATE($E74,L$1-1)))/100))),"")</f>
        <v>2770840.741097712</v>
      </c>
      <c r="M74" s="30" cm="1">
        <f t="array" ref="M74">IFERROR(IF($E74&lt;44348,"",IF(INDEX(Raw_매출!$B$2:$BI$155,MATCH($A74,Raw_매출!$A$2:$A$155,0),MATCH(EDATE($E74,M$1-1),Raw_매출!$B$1:$BI$1,0))=0,"",INDEX(Raw_매출!$B$2:$BI$155,MATCH($A74,Raw_매출!$A$2:$A$155,0),MATCH(EDATE($E74,M$1-1),Raw_매출!$B$1:$BI$1,0))/(INDEX(요약_월별시즈널리티!$F$7:$F$18,MONTH(EDATE($E74,M$1-1)))/100))),"")</f>
        <v>3156804.2013210906</v>
      </c>
      <c r="N74" s="30" cm="1">
        <f t="array" ref="N74">IFERROR(IF($E74&lt;44348,"",IF(INDEX(Raw_매출!$B$2:$BI$155,MATCH($A74,Raw_매출!$A$2:$A$155,0),MATCH(EDATE($E74,N$1-1),Raw_매출!$B$1:$BI$1,0))=0,"",INDEX(Raw_매출!$B$2:$BI$155,MATCH($A74,Raw_매출!$A$2:$A$155,0),MATCH(EDATE($E74,N$1-1),Raw_매출!$B$1:$BI$1,0))/(INDEX(요약_월별시즈널리티!$F$7:$F$18,MONTH(EDATE($E74,N$1-1)))/100))),"")</f>
        <v>4001657.397091453</v>
      </c>
      <c r="O74" s="30" cm="1">
        <f t="array" ref="O74">IFERROR(IF($E74&lt;44348,"",IF(INDEX(Raw_매출!$B$2:$BI$155,MATCH($A74,Raw_매출!$A$2:$A$155,0),MATCH(EDATE($E74,O$1-1),Raw_매출!$B$1:$BI$1,0))=0,"",INDEX(Raw_매출!$B$2:$BI$155,MATCH($A74,Raw_매출!$A$2:$A$155,0),MATCH(EDATE($E74,O$1-1),Raw_매출!$B$1:$BI$1,0))/(INDEX(요약_월별시즈널리티!$F$7:$F$18,MONTH(EDATE($E74,O$1-1)))/100))),"")</f>
        <v>4031517.8195825643</v>
      </c>
      <c r="P74" cm="1">
        <f t="array" ref="P74">IFERROR(IF($E74&lt;44348,"",IF(INDEX(Raw_매출!$B$2:$BI$155,MATCH($A74,Raw_매출!$A$2:$A$155,0),MATCH(EDATE($E74,P$1-1),Raw_매출!$B$1:$BI$1,0))=0,"",INDEX(Raw_매출!$B$2:$BI$155,MATCH($A74,Raw_매출!$A$2:$A$155,0),MATCH(EDATE($E74,P$1-1),Raw_매출!$B$1:$BI$1,0))/(INDEX(요약_월별시즈널리티!$F$7:$F$18,MONTH(EDATE($E74,P$1-1)))/100))),"")</f>
        <v>3404139.3321818402</v>
      </c>
      <c r="Q74" cm="1">
        <f t="array" ref="Q74">IFERROR(IF($E74&lt;44348,"",IF(INDEX(Raw_매출!$B$2:$BI$155,MATCH($A74,Raw_매출!$A$2:$A$155,0),MATCH(EDATE($E74,Q$1-1),Raw_매출!$B$1:$BI$1,0))=0,"",INDEX(Raw_매출!$B$2:$BI$155,MATCH($A74,Raw_매출!$A$2:$A$155,0),MATCH(EDATE($E74,Q$1-1),Raw_매출!$B$1:$BI$1,0))/(INDEX(요약_월별시즈널리티!$F$7:$F$18,MONTH(EDATE($E74,Q$1-1)))/100))),"")</f>
        <v>3201824.4782555541</v>
      </c>
      <c r="R74" cm="1">
        <f t="array" ref="R74">IFERROR(IF($E74&lt;44348,"",IF(INDEX(Raw_매출!$B$2:$BI$155,MATCH($A74,Raw_매출!$A$2:$A$155,0),MATCH(EDATE($E74,R$1-1),Raw_매출!$B$1:$BI$1,0))=0,"",INDEX(Raw_매출!$B$2:$BI$155,MATCH($A74,Raw_매출!$A$2:$A$155,0),MATCH(EDATE($E74,R$1-1),Raw_매출!$B$1:$BI$1,0))/(INDEX(요약_월별시즈널리티!$F$7:$F$18,MONTH(EDATE($E74,R$1-1)))/100))),"")</f>
        <v>3298605.684445898</v>
      </c>
      <c r="S74" cm="1">
        <f t="array" ref="S74">IFERROR(IF($E74&lt;44348,"",IF(INDEX(Raw_매출!$B$2:$BI$155,MATCH($A74,Raw_매출!$A$2:$A$155,0),MATCH(EDATE($E74,S$1-1),Raw_매출!$B$1:$BI$1,0))=0,"",INDEX(Raw_매출!$B$2:$BI$155,MATCH($A74,Raw_매출!$A$2:$A$155,0),MATCH(EDATE($E74,S$1-1),Raw_매출!$B$1:$BI$1,0))/(INDEX(요약_월별시즈널리티!$F$7:$F$18,MONTH(EDATE($E74,S$1-1)))/100))),"")</f>
        <v>3082116.0490064784</v>
      </c>
      <c r="T74" cm="1">
        <f t="array" ref="T74">IFERROR(IF($E74&lt;44348,"",IF(INDEX(Raw_매출!$B$2:$BI$155,MATCH($A74,Raw_매출!$A$2:$A$155,0),MATCH(EDATE($E74,T$1-1),Raw_매출!$B$1:$BI$1,0))=0,"",INDEX(Raw_매출!$B$2:$BI$155,MATCH($A74,Raw_매출!$A$2:$A$155,0),MATCH(EDATE($E74,T$1-1),Raw_매출!$B$1:$BI$1,0))/(INDEX(요약_월별시즈널리티!$F$7:$F$18,MONTH(EDATE($E74,T$1-1)))/100))),"")</f>
        <v>3416118.1133703622</v>
      </c>
      <c r="U74" cm="1">
        <f t="array" ref="U74">IFERROR(IF($E74&lt;44348,"",IF(INDEX(Raw_매출!$B$2:$BI$155,MATCH($A74,Raw_매출!$A$2:$A$155,0),MATCH(EDATE($E74,U$1-1),Raw_매출!$B$1:$BI$1,0))=0,"",INDEX(Raw_매출!$B$2:$BI$155,MATCH($A74,Raw_매출!$A$2:$A$155,0),MATCH(EDATE($E74,U$1-1),Raw_매출!$B$1:$BI$1,0))/(INDEX(요약_월별시즈널리티!$F$7:$F$18,MONTH(EDATE($E74,U$1-1)))/100))),"")</f>
        <v>4464483.4230633648</v>
      </c>
      <c r="V74" cm="1">
        <f t="array" ref="V74">IFERROR(IF($E74&lt;44348,"",IF(INDEX(Raw_매출!$B$2:$BI$155,MATCH($A74,Raw_매출!$A$2:$A$155,0),MATCH(EDATE($E74,V$1-1),Raw_매출!$B$1:$BI$1,0))=0,"",INDEX(Raw_매출!$B$2:$BI$155,MATCH($A74,Raw_매출!$A$2:$A$155,0),MATCH(EDATE($E74,V$1-1),Raw_매출!$B$1:$BI$1,0))/(INDEX(요약_월별시즈널리티!$F$7:$F$18,MONTH(EDATE($E74,V$1-1)))/100))),"")</f>
        <v>4512988.4354117243</v>
      </c>
      <c r="W74" cm="1">
        <f t="array" ref="W74">IFERROR(IF($E74&lt;44348,"",IF(INDEX(Raw_매출!$B$2:$BI$155,MATCH($A74,Raw_매출!$A$2:$A$155,0),MATCH(EDATE($E74,W$1-1),Raw_매출!$B$1:$BI$1,0))=0,"",INDEX(Raw_매출!$B$2:$BI$155,MATCH($A74,Raw_매출!$A$2:$A$155,0),MATCH(EDATE($E74,W$1-1),Raw_매출!$B$1:$BI$1,0))/(INDEX(요약_월별시즈널리티!$F$7:$F$18,MONTH(EDATE($E74,W$1-1)))/100))),"")</f>
        <v>4047919.6726348908</v>
      </c>
      <c r="X74" cm="1">
        <f t="array" ref="X74">IFERROR(IF($E74&lt;44348,"",IF(INDEX(Raw_매출!$B$2:$BI$155,MATCH($A74,Raw_매출!$A$2:$A$155,0),MATCH(EDATE($E74,X$1-1),Raw_매출!$B$1:$BI$1,0))=0,"",INDEX(Raw_매출!$B$2:$BI$155,MATCH($A74,Raw_매출!$A$2:$A$155,0),MATCH(EDATE($E74,X$1-1),Raw_매출!$B$1:$BI$1,0))/(INDEX(요약_월별시즈널리티!$F$7:$F$18,MONTH(EDATE($E74,X$1-1)))/100))),"")</f>
        <v>4254972.3130481746</v>
      </c>
      <c r="Y74" cm="1">
        <f t="array" ref="Y74">IFERROR(IF($E74&lt;44348,"",IF(INDEX(Raw_매출!$B$2:$BI$155,MATCH($A74,Raw_매출!$A$2:$A$155,0),MATCH(EDATE($E74,Y$1-1),Raw_매출!$B$1:$BI$1,0))=0,"",INDEX(Raw_매출!$B$2:$BI$155,MATCH($A74,Raw_매출!$A$2:$A$155,0),MATCH(EDATE($E74,Y$1-1),Raw_매출!$B$1:$BI$1,0))/(INDEX(요약_월별시즈널리티!$F$7:$F$18,MONTH(EDATE($E74,Y$1-1)))/100))),"")</f>
        <v>4228092.3839216307</v>
      </c>
      <c r="Z74" cm="1">
        <f t="array" ref="Z74">IFERROR(IF($E74&lt;44348,"",IF(INDEX(Raw_매출!$B$2:$BI$155,MATCH($A74,Raw_매출!$A$2:$A$155,0),MATCH(EDATE($E74,Z$1-1),Raw_매출!$B$1:$BI$1,0))=0,"",INDEX(Raw_매출!$B$2:$BI$155,MATCH($A74,Raw_매출!$A$2:$A$155,0),MATCH(EDATE($E74,Z$1-1),Raw_매출!$B$1:$BI$1,0))/(INDEX(요약_월별시즈널리티!$F$7:$F$18,MONTH(EDATE($E74,Z$1-1)))/100))),"")</f>
        <v>4994942.5538667431</v>
      </c>
      <c r="AA74" cm="1">
        <f t="array" ref="AA74">IFERROR(IF($E74&lt;44348,"",IF(INDEX(Raw_매출!$B$2:$BI$155,MATCH($A74,Raw_매출!$A$2:$A$155,0),MATCH(EDATE($E74,AA$1-1),Raw_매출!$B$1:$BI$1,0))=0,"",INDEX(Raw_매출!$B$2:$BI$155,MATCH($A74,Raw_매출!$A$2:$A$155,0),MATCH(EDATE($E74,AA$1-1),Raw_매출!$B$1:$BI$1,0))/(INDEX(요약_월별시즈널리티!$F$7:$F$18,MONTH(EDATE($E74,AA$1-1)))/100))),"")</f>
        <v>4937877.7331004106</v>
      </c>
      <c r="AB74" cm="1">
        <f t="array" ref="AB74">IFERROR(IF($E74&lt;44348,"",IF(INDEX(Raw_매출!$B$2:$BI$155,MATCH($A74,Raw_매출!$A$2:$A$155,0),MATCH(EDATE($E74,AB$1-1),Raw_매출!$B$1:$BI$1,0))=0,"",INDEX(Raw_매출!$B$2:$BI$155,MATCH($A74,Raw_매출!$A$2:$A$155,0),MATCH(EDATE($E74,AB$1-1),Raw_매출!$B$1:$BI$1,0))/(INDEX(요약_월별시즈널리티!$F$7:$F$18,MONTH(EDATE($E74,AB$1-1)))/100))),"")</f>
        <v>4233434.3885010667</v>
      </c>
      <c r="AC74" cm="1">
        <f t="array" ref="AC74">IFERROR(IF($E74&lt;44348,"",IF(INDEX(Raw_매출!$B$2:$BI$155,MATCH($A74,Raw_매출!$A$2:$A$155,0),MATCH(EDATE($E74,AC$1-1),Raw_매출!$B$1:$BI$1,0))=0,"",INDEX(Raw_매출!$B$2:$BI$155,MATCH($A74,Raw_매출!$A$2:$A$155,0),MATCH(EDATE($E74,AC$1-1),Raw_매출!$B$1:$BI$1,0))/(INDEX(요약_월별시즈널리티!$F$7:$F$18,MONTH(EDATE($E74,AC$1-1)))/100))),"")</f>
        <v>4707224.6651506238</v>
      </c>
      <c r="AD74" cm="1">
        <f t="array" ref="AD74">IFERROR(IF($E74&lt;44348,"",IF(INDEX(Raw_매출!$B$2:$BI$155,MATCH($A74,Raw_매출!$A$2:$A$155,0),MATCH(EDATE($E74,AD$1-1),Raw_매출!$B$1:$BI$1,0))=0,"",INDEX(Raw_매출!$B$2:$BI$155,MATCH($A74,Raw_매출!$A$2:$A$155,0),MATCH(EDATE($E74,AD$1-1),Raw_매출!$B$1:$BI$1,0))/(INDEX(요약_월별시즈널리티!$F$7:$F$18,MONTH(EDATE($E74,AD$1-1)))/100))),"")</f>
        <v>4015751.5213076905</v>
      </c>
      <c r="AE74" cm="1">
        <f t="array" ref="AE74">IFERROR(IF($E74&lt;44348,"",IF(INDEX(Raw_매출!$B$2:$BI$155,MATCH($A74,Raw_매출!$A$2:$A$155,0),MATCH(EDATE($E74,AE$1-1),Raw_매출!$B$1:$BI$1,0))=0,"",INDEX(Raw_매출!$B$2:$BI$155,MATCH($A74,Raw_매출!$A$2:$A$155,0),MATCH(EDATE($E74,AE$1-1),Raw_매출!$B$1:$BI$1,0))/(INDEX(요약_월별시즈널리티!$F$7:$F$18,MONTH(EDATE($E74,AE$1-1)))/100))),"")</f>
        <v>4248639.5091832243</v>
      </c>
      <c r="AF74" cm="1">
        <f t="array" ref="AF74">IFERROR(IF($E74&lt;44348,"",IF(INDEX(Raw_매출!$B$2:$BI$155,MATCH($A74,Raw_매출!$A$2:$A$155,0),MATCH(EDATE($E74,AF$1-1),Raw_매출!$B$1:$BI$1,0))=0,"",INDEX(Raw_매출!$B$2:$BI$155,MATCH($A74,Raw_매출!$A$2:$A$155,0),MATCH(EDATE($E74,AF$1-1),Raw_매출!$B$1:$BI$1,0))/(INDEX(요약_월별시즈널리티!$F$7:$F$18,MONTH(EDATE($E74,AF$1-1)))/100))),"")</f>
        <v>4785201.5654053548</v>
      </c>
      <c r="AG74" cm="1">
        <f t="array" ref="AG74">IFERROR(IF($E74&lt;44348,"",IF(INDEX(Raw_매출!$B$2:$BI$155,MATCH($A74,Raw_매출!$A$2:$A$155,0),MATCH(EDATE($E74,AG$1-1),Raw_매출!$B$1:$BI$1,0))=0,"",INDEX(Raw_매출!$B$2:$BI$155,MATCH($A74,Raw_매출!$A$2:$A$155,0),MATCH(EDATE($E74,AG$1-1),Raw_매출!$B$1:$BI$1,0))/(INDEX(요약_월별시즈널리티!$F$7:$F$18,MONTH(EDATE($E74,AG$1-1)))/100))),"")</f>
        <v>4036961.3924463098</v>
      </c>
      <c r="AH74" cm="1">
        <f t="array" ref="AH74">IFERROR(IF($E74&lt;44348,"",IF(INDEX(Raw_매출!$B$2:$BI$155,MATCH($A74,Raw_매출!$A$2:$A$155,0),MATCH(EDATE($E74,AH$1-1),Raw_매출!$B$1:$BI$1,0))=0,"",INDEX(Raw_매출!$B$2:$BI$155,MATCH($A74,Raw_매출!$A$2:$A$155,0),MATCH(EDATE($E74,AH$1-1),Raw_매출!$B$1:$BI$1,0))/(INDEX(요약_월별시즈널리티!$F$7:$F$18,MONTH(EDATE($E74,AH$1-1)))/100))),"")</f>
        <v>4289040.0514105055</v>
      </c>
      <c r="AI74" cm="1">
        <f t="array" ref="AI74">IFERROR(IF($E74&lt;44348,"",IF(INDEX(Raw_매출!$B$2:$BI$155,MATCH($A74,Raw_매출!$A$2:$A$155,0),MATCH(EDATE($E74,AI$1-1),Raw_매출!$B$1:$BI$1,0))=0,"",INDEX(Raw_매출!$B$2:$BI$155,MATCH($A74,Raw_매출!$A$2:$A$155,0),MATCH(EDATE($E74,AI$1-1),Raw_매출!$B$1:$BI$1,0))/(INDEX(요약_월별시즈널리티!$F$7:$F$18,MONTH(EDATE($E74,AI$1-1)))/100))),"")</f>
        <v>4616655.8175067678</v>
      </c>
      <c r="AJ74" cm="1">
        <f t="array" ref="AJ74">IFERROR(IF($E74&lt;44348,"",IF(INDEX(Raw_매출!$B$2:$BI$155,MATCH($A74,Raw_매출!$A$2:$A$155,0),MATCH(EDATE($E74,AJ$1-1),Raw_매출!$B$1:$BI$1,0))=0,"",INDEX(Raw_매출!$B$2:$BI$155,MATCH($A74,Raw_매출!$A$2:$A$155,0),MATCH(EDATE($E74,AJ$1-1),Raw_매출!$B$1:$BI$1,0))/(INDEX(요약_월별시즈널리티!$F$7:$F$18,MONTH(EDATE($E74,AJ$1-1)))/100))),"")</f>
        <v>4568968.5001204619</v>
      </c>
      <c r="AK74" cm="1">
        <f t="array" ref="AK74">IFERROR(IF($E74&lt;44348,"",IF(INDEX(Raw_매출!$B$2:$BI$155,MATCH($A74,Raw_매출!$A$2:$A$155,0),MATCH(EDATE($E74,AK$1-1),Raw_매출!$B$1:$BI$1,0))=0,"",INDEX(Raw_매출!$B$2:$BI$155,MATCH($A74,Raw_매출!$A$2:$A$155,0),MATCH(EDATE($E74,AK$1-1),Raw_매출!$B$1:$BI$1,0))/(INDEX(요약_월별시즈널리티!$F$7:$F$18,MONTH(EDATE($E74,AK$1-1)))/100))),"")</f>
        <v>3859984.8448400581</v>
      </c>
      <c r="AL74" cm="1">
        <f t="array" ref="AL74">IFERROR(IF($E74&lt;44348,"",IF(INDEX(Raw_매출!$B$2:$BI$155,MATCH($A74,Raw_매출!$A$2:$A$155,0),MATCH(EDATE($E74,AL$1-1),Raw_매출!$B$1:$BI$1,0))=0,"",INDEX(Raw_매출!$B$2:$BI$155,MATCH($A74,Raw_매출!$A$2:$A$155,0),MATCH(EDATE($E74,AL$1-1),Raw_매출!$B$1:$BI$1,0))/(INDEX(요약_월별시즈널리티!$F$7:$F$18,MONTH(EDATE($E74,AL$1-1)))/100))),"")</f>
        <v>4530060.40556107</v>
      </c>
      <c r="AM74" cm="1">
        <f t="array" ref="AM74">IFERROR(IF($E74&lt;44348,"",IF(INDEX(Raw_매출!$B$2:$BI$155,MATCH($A74,Raw_매출!$A$2:$A$155,0),MATCH(EDATE($E74,AM$1-1),Raw_매출!$B$1:$BI$1,0))=0,"",INDEX(Raw_매출!$B$2:$BI$155,MATCH($A74,Raw_매출!$A$2:$A$155,0),MATCH(EDATE($E74,AM$1-1),Raw_매출!$B$1:$BI$1,0))/(INDEX(요약_월별시즈널리티!$F$7:$F$18,MONTH(EDATE($E74,AM$1-1)))/100))),"")</f>
        <v>4849596.8313110126</v>
      </c>
      <c r="AN74" cm="1">
        <f t="array" ref="AN74">IFERROR(IF($E74&lt;44348,"",IF(INDEX(Raw_매출!$B$2:$BI$155,MATCH($A74,Raw_매출!$A$2:$A$155,0),MATCH(EDATE($E74,AN$1-1),Raw_매출!$B$1:$BI$1,0))=0,"",INDEX(Raw_매출!$B$2:$BI$155,MATCH($A74,Raw_매출!$A$2:$A$155,0),MATCH(EDATE($E74,AN$1-1),Raw_매출!$B$1:$BI$1,0))/(INDEX(요약_월별시즈널리티!$F$7:$F$18,MONTH(EDATE($E74,AN$1-1)))/100))),"")</f>
        <v>4584731.186471181</v>
      </c>
      <c r="AO74" cm="1">
        <f t="array" ref="AO74">IFERROR(IF($E74&lt;44348,"",IF(INDEX(Raw_매출!$B$2:$BI$155,MATCH($A74,Raw_매출!$A$2:$A$155,0),MATCH(EDATE($E74,AO$1-1),Raw_매출!$B$1:$BI$1,0))=0,"",INDEX(Raw_매출!$B$2:$BI$155,MATCH($A74,Raw_매출!$A$2:$A$155,0),MATCH(EDATE($E74,AO$1-1),Raw_매출!$B$1:$BI$1,0))/(INDEX(요약_월별시즈널리티!$F$7:$F$18,MONTH(EDATE($E74,AO$1-1)))/100))),"")</f>
        <v>4218829.9716742821</v>
      </c>
      <c r="AP74" cm="1">
        <f t="array" ref="AP74">IFERROR(IF($E74&lt;44348,"",IF(INDEX(Raw_매출!$B$2:$BI$155,MATCH($A74,Raw_매출!$A$2:$A$155,0),MATCH(EDATE($E74,AP$1-1),Raw_매출!$B$1:$BI$1,0))=0,"",INDEX(Raw_매출!$B$2:$BI$155,MATCH($A74,Raw_매출!$A$2:$A$155,0),MATCH(EDATE($E74,AP$1-1),Raw_매출!$B$1:$BI$1,0))/(INDEX(요약_월별시즈널리티!$F$7:$F$18,MONTH(EDATE($E74,AP$1-1)))/100))),"")</f>
        <v>4511707.0682079</v>
      </c>
      <c r="AQ74" cm="1">
        <f t="array" ref="AQ74">IFERROR(IF($E74&lt;44348,"",IF(INDEX(Raw_매출!$B$2:$BI$155,MATCH($A74,Raw_매출!$A$2:$A$155,0),MATCH(EDATE($E74,AQ$1-1),Raw_매출!$B$1:$BI$1,0))=0,"",INDEX(Raw_매출!$B$2:$BI$155,MATCH($A74,Raw_매출!$A$2:$A$155,0),MATCH(EDATE($E74,AQ$1-1),Raw_매출!$B$1:$BI$1,0))/(INDEX(요약_월별시즈널리티!$F$7:$F$18,MONTH(EDATE($E74,AQ$1-1)))/100))),"")</f>
        <v>4397765.651927758</v>
      </c>
      <c r="AR74" cm="1">
        <f t="array" ref="AR74">IFERROR(IF($E74&lt;44348,"",IF(INDEX(Raw_매출!$B$2:$BI$155,MATCH($A74,Raw_매출!$A$2:$A$155,0),MATCH(EDATE($E74,AR$1-1),Raw_매출!$B$1:$BI$1,0))=0,"",INDEX(Raw_매출!$B$2:$BI$155,MATCH($A74,Raw_매출!$A$2:$A$155,0),MATCH(EDATE($E74,AR$1-1),Raw_매출!$B$1:$BI$1,0))/(INDEX(요약_월별시즈널리티!$F$7:$F$18,MONTH(EDATE($E74,AR$1-1)))/100))),"")</f>
        <v>3975285.7882480561</v>
      </c>
      <c r="AS74" cm="1">
        <f t="array" ref="AS74">IFERROR(IF($E74&lt;44348,"",IF(INDEX(Raw_매출!$B$2:$BI$155,MATCH($A74,Raw_매출!$A$2:$A$155,0),MATCH(EDATE($E74,AS$1-1),Raw_매출!$B$1:$BI$1,0))=0,"",INDEX(Raw_매출!$B$2:$BI$155,MATCH($A74,Raw_매출!$A$2:$A$155,0),MATCH(EDATE($E74,AS$1-1),Raw_매출!$B$1:$BI$1,0))/(INDEX(요약_월별시즈널리티!$F$7:$F$18,MONTH(EDATE($E74,AS$1-1)))/100))),"")</f>
        <v>4845932.3214783026</v>
      </c>
      <c r="AT74" cm="1">
        <f t="array" ref="AT74">IFERROR(IF($E74&lt;44348,"",IF(INDEX(Raw_매출!$B$2:$BI$155,MATCH($A74,Raw_매출!$A$2:$A$155,0),MATCH(EDATE($E74,AT$1-1),Raw_매출!$B$1:$BI$1,0))=0,"",INDEX(Raw_매출!$B$2:$BI$155,MATCH($A74,Raw_매출!$A$2:$A$155,0),MATCH(EDATE($E74,AT$1-1),Raw_매출!$B$1:$BI$1,0))/(INDEX(요약_월별시즈널리티!$F$7:$F$18,MONTH(EDATE($E74,AT$1-1)))/100))),"")</f>
        <v>4685993.7693111431</v>
      </c>
      <c r="AU74" cm="1">
        <f t="array" ref="AU74">IFERROR(IF($E74&lt;44348,"",IF(INDEX(Raw_매출!$B$2:$BI$155,MATCH($A74,Raw_매출!$A$2:$A$155,0),MATCH(EDATE($E74,AU$1-1),Raw_매출!$B$1:$BI$1,0))=0,"",INDEX(Raw_매출!$B$2:$BI$155,MATCH($A74,Raw_매출!$A$2:$A$155,0),MATCH(EDATE($E74,AU$1-1),Raw_매출!$B$1:$BI$1,0))/(INDEX(요약_월별시즈널리티!$F$7:$F$18,MONTH(EDATE($E74,AU$1-1)))/100))),"")</f>
        <v>4727810.2033950211</v>
      </c>
      <c r="AV74" t="str" cm="1">
        <f t="array" ref="AV74">IFERROR(IF($E74&lt;44348,"",IF(INDEX(Raw_매출!$B$2:$BI$155,MATCH($A74,Raw_매출!$A$2:$A$155,0),MATCH(EDATE($E74,AV$1-1),Raw_매출!$B$1:$BI$1,0))=0,"",INDEX(Raw_매출!$B$2:$BI$155,MATCH($A74,Raw_매출!$A$2:$A$155,0),MATCH(EDATE($E74,AV$1-1),Raw_매출!$B$1:$BI$1,0))/(INDEX(요약_월별시즈널리티!$F$7:$F$18,MONTH(EDATE($E74,AV$1-1)))/100))),"")</f>
        <v/>
      </c>
      <c r="AW74" t="str" cm="1">
        <f t="array" ref="AW74">IFERROR(IF($E74&lt;44348,"",IF(INDEX(Raw_매출!$B$2:$BI$155,MATCH($A74,Raw_매출!$A$2:$A$155,0),MATCH(EDATE($E74,AW$1-1),Raw_매출!$B$1:$BI$1,0))=0,"",INDEX(Raw_매출!$B$2:$BI$155,MATCH($A74,Raw_매출!$A$2:$A$155,0),MATCH(EDATE($E74,AW$1-1),Raw_매출!$B$1:$BI$1,0))/(INDEX(요약_월별시즈널리티!$F$7:$F$18,MONTH(EDATE($E74,AW$1-1)))/100))),"")</f>
        <v/>
      </c>
      <c r="AX74" t="str" cm="1">
        <f t="array" ref="AX74">IFERROR(IF($E74&lt;44348,"",IF(INDEX(Raw_매출!$B$2:$BI$155,MATCH($A74,Raw_매출!$A$2:$A$155,0),MATCH(EDATE($E74,AX$1-1),Raw_매출!$B$1:$BI$1,0))=0,"",INDEX(Raw_매출!$B$2:$BI$155,MATCH($A74,Raw_매출!$A$2:$A$155,0),MATCH(EDATE($E74,AX$1-1),Raw_매출!$B$1:$BI$1,0))/(INDEX(요약_월별시즈널리티!$F$7:$F$18,MONTH(EDATE($E74,AX$1-1)))/100))),"")</f>
        <v/>
      </c>
      <c r="AY74" t="str" cm="1">
        <f t="array" ref="AY74">IFERROR(IF($E74&lt;44348,"",IF(INDEX(Raw_매출!$B$2:$BI$155,MATCH($A74,Raw_매출!$A$2:$A$155,0),MATCH(EDATE($E74,AY$1-1),Raw_매출!$B$1:$BI$1,0))=0,"",INDEX(Raw_매출!$B$2:$BI$155,MATCH($A74,Raw_매출!$A$2:$A$155,0),MATCH(EDATE($E74,AY$1-1),Raw_매출!$B$1:$BI$1,0))/(INDEX(요약_월별시즈널리티!$F$7:$F$18,MONTH(EDATE($E74,AY$1-1)))/100))),"")</f>
        <v/>
      </c>
      <c r="AZ74" t="str" cm="1">
        <f t="array" ref="AZ74">IFERROR(IF($E74&lt;44348,"",IF(INDEX(Raw_매출!$B$2:$BI$155,MATCH($A74,Raw_매출!$A$2:$A$155,0),MATCH(EDATE($E74,AZ$1-1),Raw_매출!$B$1:$BI$1,0))=0,"",INDEX(Raw_매출!$B$2:$BI$155,MATCH($A74,Raw_매출!$A$2:$A$155,0),MATCH(EDATE($E74,AZ$1-1),Raw_매출!$B$1:$BI$1,0))/(INDEX(요약_월별시즈널리티!$F$7:$F$18,MONTH(EDATE($E74,AZ$1-1)))/100))),"")</f>
        <v/>
      </c>
      <c r="BA74" t="str" cm="1">
        <f t="array" ref="BA74">IFERROR(IF($E74&lt;44348,"",IF(INDEX(Raw_매출!$B$2:$BI$155,MATCH($A74,Raw_매출!$A$2:$A$155,0),MATCH(EDATE($E74,BA$1-1),Raw_매출!$B$1:$BI$1,0))=0,"",INDEX(Raw_매출!$B$2:$BI$155,MATCH($A74,Raw_매출!$A$2:$A$155,0),MATCH(EDATE($E74,BA$1-1),Raw_매출!$B$1:$BI$1,0))/(INDEX(요약_월별시즈널리티!$F$7:$F$18,MONTH(EDATE($E74,BA$1-1)))/100))),"")</f>
        <v/>
      </c>
      <c r="BB74" t="str" cm="1">
        <f t="array" ref="BB74">IFERROR(IF($E74&lt;44348,"",IF(INDEX(Raw_매출!$B$2:$BI$155,MATCH($A74,Raw_매출!$A$2:$A$155,0),MATCH(EDATE($E74,BB$1-1),Raw_매출!$B$1:$BI$1,0))=0,"",INDEX(Raw_매출!$B$2:$BI$155,MATCH($A74,Raw_매출!$A$2:$A$155,0),MATCH(EDATE($E74,BB$1-1),Raw_매출!$B$1:$BI$1,0))/(INDEX(요약_월별시즈널리티!$F$7:$F$18,MONTH(EDATE($E74,BB$1-1)))/100))),"")</f>
        <v/>
      </c>
      <c r="BC74" t="str" cm="1">
        <f t="array" ref="BC74">IFERROR(IF($E74&lt;44348,"",IF(INDEX(Raw_매출!$B$2:$BI$155,MATCH($A74,Raw_매출!$A$2:$A$155,0),MATCH(EDATE($E74,BC$1-1),Raw_매출!$B$1:$BI$1,0))=0,"",INDEX(Raw_매출!$B$2:$BI$155,MATCH($A74,Raw_매출!$A$2:$A$155,0),MATCH(EDATE($E74,BC$1-1),Raw_매출!$B$1:$BI$1,0))/(INDEX(요약_월별시즈널리티!$F$7:$F$18,MONTH(EDATE($E74,BC$1-1)))/100))),"")</f>
        <v/>
      </c>
      <c r="BD74" t="str" cm="1">
        <f t="array" ref="BD74">IFERROR(IF($E74&lt;44348,"",IF(INDEX(Raw_매출!$B$2:$BI$155,MATCH($A74,Raw_매출!$A$2:$A$155,0),MATCH(EDATE($E74,BD$1-1),Raw_매출!$B$1:$BI$1,0))=0,"",INDEX(Raw_매출!$B$2:$BI$155,MATCH($A74,Raw_매출!$A$2:$A$155,0),MATCH(EDATE($E74,BD$1-1),Raw_매출!$B$1:$BI$1,0))/(INDEX(요약_월별시즈널리티!$F$7:$F$18,MONTH(EDATE($E74,BD$1-1)))/100))),"")</f>
        <v/>
      </c>
      <c r="BE74" t="str" cm="1">
        <f t="array" ref="BE74">IFERROR(IF($E74&lt;44348,"",IF(INDEX(Raw_매출!$B$2:$BI$155,MATCH($A74,Raw_매출!$A$2:$A$155,0),MATCH(EDATE($E74,BE$1-1),Raw_매출!$B$1:$BI$1,0))=0,"",INDEX(Raw_매출!$B$2:$BI$155,MATCH($A74,Raw_매출!$A$2:$A$155,0),MATCH(EDATE($E74,BE$1-1),Raw_매출!$B$1:$BI$1,0))/(INDEX(요약_월별시즈널리티!$F$7:$F$18,MONTH(EDATE($E74,BE$1-1)))/100))),"")</f>
        <v/>
      </c>
      <c r="BF74" t="str" cm="1">
        <f t="array" ref="BF74">IFERROR(IF($E74&lt;44348,"",IF(INDEX(Raw_매출!$B$2:$BI$155,MATCH($A74,Raw_매출!$A$2:$A$155,0),MATCH(EDATE($E74,BF$1-1),Raw_매출!$B$1:$BI$1,0))=0,"",INDEX(Raw_매출!$B$2:$BI$155,MATCH($A74,Raw_매출!$A$2:$A$155,0),MATCH(EDATE($E74,BF$1-1),Raw_매출!$B$1:$BI$1,0))/(INDEX(요약_월별시즈널리티!$F$7:$F$18,MONTH(EDATE($E74,BF$1-1)))/100))),"")</f>
        <v/>
      </c>
      <c r="BG74" t="str" cm="1">
        <f t="array" ref="BG74">IFERROR(IF($E74&lt;44348,"",IF(INDEX(Raw_매출!$B$2:$BI$155,MATCH($A74,Raw_매출!$A$2:$A$155,0),MATCH(EDATE($E74,BG$1-1),Raw_매출!$B$1:$BI$1,0))=0,"",INDEX(Raw_매출!$B$2:$BI$155,MATCH($A74,Raw_매출!$A$2:$A$155,0),MATCH(EDATE($E74,BG$1-1),Raw_매출!$B$1:$BI$1,0))/(INDEX(요약_월별시즈널리티!$F$7:$F$18,MONTH(EDATE($E74,BG$1-1)))/100))),"")</f>
        <v/>
      </c>
      <c r="BH74" t="str" cm="1">
        <f t="array" ref="BH74">IFERROR(IF($E74&lt;44348,"",IF(INDEX(Raw_매출!$B$2:$BI$155,MATCH($A74,Raw_매출!$A$2:$A$155,0),MATCH(EDATE($E74,BH$1-1),Raw_매출!$B$1:$BI$1,0))=0,"",INDEX(Raw_매출!$B$2:$BI$155,MATCH($A74,Raw_매출!$A$2:$A$155,0),MATCH(EDATE($E74,BH$1-1),Raw_매출!$B$1:$BI$1,0))/(INDEX(요약_월별시즈널리티!$F$7:$F$18,MONTH(EDATE($E74,BH$1-1)))/100))),"")</f>
        <v/>
      </c>
      <c r="BI74" t="str" cm="1">
        <f t="array" ref="BI74">IFERROR(IF($E74&lt;44348,"",IF(INDEX(Raw_매출!$B$2:$BI$155,MATCH($A74,Raw_매출!$A$2:$A$155,0),MATCH(EDATE($E74,BI$1-1),Raw_매출!$B$1:$BI$1,0))=0,"",INDEX(Raw_매출!$B$2:$BI$155,MATCH($A74,Raw_매출!$A$2:$A$155,0),MATCH(EDATE($E74,BI$1-1),Raw_매출!$B$1:$BI$1,0))/(INDEX(요약_월별시즈널리티!$F$7:$F$18,MONTH(EDATE($E74,BI$1-1)))/100))),"")</f>
        <v/>
      </c>
      <c r="BJ74" t="str" cm="1">
        <f t="array" ref="BJ74">IFERROR(IF($E74&lt;44348,"",IF(INDEX(Raw_매출!$B$2:$BI$155,MATCH($A74,Raw_매출!$A$2:$A$155,0),MATCH(EDATE($E74,BJ$1-1),Raw_매출!$B$1:$BI$1,0))=0,"",INDEX(Raw_매출!$B$2:$BI$155,MATCH($A74,Raw_매출!$A$2:$A$155,0),MATCH(EDATE($E74,BJ$1-1),Raw_매출!$B$1:$BI$1,0))/(INDEX(요약_월별시즈널리티!$F$7:$F$18,MONTH(EDATE($E74,BJ$1-1)))/100))),"")</f>
        <v/>
      </c>
      <c r="BK74" t="str" cm="1">
        <f t="array" ref="BK74">IFERROR(IF($E74&lt;44348,"",IF(INDEX(Raw_매출!$B$2:$BI$155,MATCH($A74,Raw_매출!$A$2:$A$155,0),MATCH(EDATE($E74,BK$1-1),Raw_매출!$B$1:$BI$1,0))=0,"",INDEX(Raw_매출!$B$2:$BI$155,MATCH($A74,Raw_매출!$A$2:$A$155,0),MATCH(EDATE($E74,BK$1-1),Raw_매출!$B$1:$BI$1,0))/(INDEX(요약_월별시즈널리티!$F$7:$F$18,MONTH(EDATE($E74,BK$1-1)))/100))),"")</f>
        <v/>
      </c>
      <c r="BL74" t="str" cm="1">
        <f t="array" ref="BL74">IFERROR(IF($E74&lt;44348,"",IF(INDEX(Raw_매출!$B$2:$BI$155,MATCH($A74,Raw_매출!$A$2:$A$155,0),MATCH(EDATE($E74,BL$1-1),Raw_매출!$B$1:$BI$1,0))=0,"",INDEX(Raw_매출!$B$2:$BI$155,MATCH($A74,Raw_매출!$A$2:$A$155,0),MATCH(EDATE($E74,BL$1-1),Raw_매출!$B$1:$BI$1,0))/(INDEX(요약_월별시즈널리티!$F$7:$F$18,MONTH(EDATE($E74,BL$1-1)))/100))),"")</f>
        <v/>
      </c>
      <c r="BM74" t="str" cm="1">
        <f t="array" ref="BM74">IFERROR(IF($E74&lt;44348,"",IF(INDEX(Raw_매출!$B$2:$BI$155,MATCH($A74,Raw_매출!$A$2:$A$155,0),MATCH(EDATE($E74,BM$1-1),Raw_매출!$B$1:$BI$1,0))=0,"",INDEX(Raw_매출!$B$2:$BI$155,MATCH($A74,Raw_매출!$A$2:$A$155,0),MATCH(EDATE($E74,BM$1-1),Raw_매출!$B$1:$BI$1,0))/(INDEX(요약_월별시즈널리티!$F$7:$F$18,MONTH(EDATE($E74,BM$1-1)))/100))),"")</f>
        <v/>
      </c>
      <c r="BN74" t="str" cm="1">
        <f t="array" ref="BN74">IFERROR(IF($E74&lt;44348,"",IF(INDEX(Raw_매출!$B$2:$BI$155,MATCH($A74,Raw_매출!$A$2:$A$155,0),MATCH(EDATE($E74,BN$1-1),Raw_매출!$B$1:$BI$1,0))=0,"",INDEX(Raw_매출!$B$2:$BI$155,MATCH($A74,Raw_매출!$A$2:$A$155,0),MATCH(EDATE($E74,BN$1-1),Raw_매출!$B$1:$BI$1,0))/(INDEX(요약_월별시즈널리티!$F$7:$F$18,MONTH(EDATE($E74,BN$1-1)))/100))),"")</f>
        <v/>
      </c>
    </row>
    <row r="75" spans="1:66" x14ac:dyDescent="0.4">
      <c r="A75" t="str">
        <f>세팅!A76</f>
        <v>(1064) #병점역점</v>
      </c>
      <c r="B75" t="str">
        <f>세팅!B76</f>
        <v>150-2</v>
      </c>
      <c r="C75">
        <f t="shared" si="3"/>
        <v>2</v>
      </c>
      <c r="D75" t="str">
        <f t="shared" si="4"/>
        <v>2</v>
      </c>
      <c r="E75" s="1">
        <f>세팅!D76</f>
        <v>44927</v>
      </c>
      <c r="F75">
        <f t="shared" si="5"/>
        <v>2930189.1639360194</v>
      </c>
      <c r="G75" cm="1">
        <f t="array" ref="G75">IFERROR(IF($E75&lt;44348,"",IF(INDEX(Raw_매출!$B$2:$BI$155,MATCH($A75,Raw_매출!$A$2:$A$155,0),MATCH(EDATE($E75,G$1-1),Raw_매출!$B$1:$BI$1,0))=0,"",INDEX(Raw_매출!$B$2:$BI$155,MATCH($A75,Raw_매출!$A$2:$A$155,0),MATCH(EDATE($E75,G$1-1),Raw_매출!$B$1:$BI$1,0))/(INDEX(요약_월별시즈널리티!$F$7:$F$18,MONTH(EDATE($E75,G$1-1)))/100))),"")</f>
        <v>1882274.0185944343</v>
      </c>
      <c r="H75" cm="1">
        <f t="array" ref="H75">IFERROR(IF($E75&lt;44348,"",IF(INDEX(Raw_매출!$B$2:$BI$155,MATCH($A75,Raw_매출!$A$2:$A$155,0),MATCH(EDATE($E75,H$1-1),Raw_매출!$B$1:$BI$1,0))=0,"",INDEX(Raw_매출!$B$2:$BI$155,MATCH($A75,Raw_매출!$A$2:$A$155,0),MATCH(EDATE($E75,H$1-1),Raw_매출!$B$1:$BI$1,0))/(INDEX(요약_월별시즈널리티!$F$7:$F$18,MONTH(EDATE($E75,H$1-1)))/100))),"")</f>
        <v>2226360.782270133</v>
      </c>
      <c r="I75" cm="1">
        <f t="array" ref="I75">IFERROR(IF($E75&lt;44348,"",IF(INDEX(Raw_매출!$B$2:$BI$155,MATCH($A75,Raw_매출!$A$2:$A$155,0),MATCH(EDATE($E75,I$1-1),Raw_매출!$B$1:$BI$1,0))=0,"",INDEX(Raw_매출!$B$2:$BI$155,MATCH($A75,Raw_매출!$A$2:$A$155,0),MATCH(EDATE($E75,I$1-1),Raw_매출!$B$1:$BI$1,0))/(INDEX(요약_월별시즈널리티!$F$7:$F$18,MONTH(EDATE($E75,I$1-1)))/100))),"")</f>
        <v>2537263.9589975416</v>
      </c>
      <c r="J75" s="30" cm="1">
        <f t="array" ref="J75">IFERROR(IF($E75&lt;44348,"",IF(INDEX(Raw_매출!$B$2:$BI$155,MATCH($A75,Raw_매출!$A$2:$A$155,0),MATCH(EDATE($E75,J$1-1),Raw_매출!$B$1:$BI$1,0))=0,"",INDEX(Raw_매출!$B$2:$BI$155,MATCH($A75,Raw_매출!$A$2:$A$155,0),MATCH(EDATE($E75,J$1-1),Raw_매출!$B$1:$BI$1,0))/(INDEX(요약_월별시즈널리티!$F$7:$F$18,MONTH(EDATE($E75,J$1-1)))/100))),"")</f>
        <v>2609328.7257187027</v>
      </c>
      <c r="K75" s="30" cm="1">
        <f t="array" ref="K75">IFERROR(IF($E75&lt;44348,"",IF(INDEX(Raw_매출!$B$2:$BI$155,MATCH($A75,Raw_매출!$A$2:$A$155,0),MATCH(EDATE($E75,K$1-1),Raw_매출!$B$1:$BI$1,0))=0,"",INDEX(Raw_매출!$B$2:$BI$155,MATCH($A75,Raw_매출!$A$2:$A$155,0),MATCH(EDATE($E75,K$1-1),Raw_매출!$B$1:$BI$1,0))/(INDEX(요약_월별시즈널리티!$F$7:$F$18,MONTH(EDATE($E75,K$1-1)))/100))),"")</f>
        <v>3079712.9628362344</v>
      </c>
      <c r="L75" s="30" cm="1">
        <f t="array" ref="L75">IFERROR(IF($E75&lt;44348,"",IF(INDEX(Raw_매출!$B$2:$BI$155,MATCH($A75,Raw_매출!$A$2:$A$155,0),MATCH(EDATE($E75,L$1-1),Raw_매출!$B$1:$BI$1,0))=0,"",INDEX(Raw_매출!$B$2:$BI$155,MATCH($A75,Raw_매출!$A$2:$A$155,0),MATCH(EDATE($E75,L$1-1),Raw_매출!$B$1:$BI$1,0))/(INDEX(요약_월별시즈널리티!$F$7:$F$18,MONTH(EDATE($E75,L$1-1)))/100))),"")</f>
        <v>2689116.505756347</v>
      </c>
      <c r="M75" s="30" cm="1">
        <f t="array" ref="M75">IFERROR(IF($E75&lt;44348,"",IF(INDEX(Raw_매출!$B$2:$BI$155,MATCH($A75,Raw_매출!$A$2:$A$155,0),MATCH(EDATE($E75,M$1-1),Raw_매출!$B$1:$BI$1,0))=0,"",INDEX(Raw_매출!$B$2:$BI$155,MATCH($A75,Raw_매출!$A$2:$A$155,0),MATCH(EDATE($E75,M$1-1),Raw_매출!$B$1:$BI$1,0))/(INDEX(요약_월별시즈널리티!$F$7:$F$18,MONTH(EDATE($E75,M$1-1)))/100))),"")</f>
        <v>3283859.7191833099</v>
      </c>
      <c r="N75" s="30" cm="1">
        <f t="array" ref="N75">IFERROR(IF($E75&lt;44348,"",IF(INDEX(Raw_매출!$B$2:$BI$155,MATCH($A75,Raw_매출!$A$2:$A$155,0),MATCH(EDATE($E75,N$1-1),Raw_매출!$B$1:$BI$1,0))=0,"",INDEX(Raw_매출!$B$2:$BI$155,MATCH($A75,Raw_매출!$A$2:$A$155,0),MATCH(EDATE($E75,N$1-1),Raw_매출!$B$1:$BI$1,0))/(INDEX(요약_월별시즈널리티!$F$7:$F$18,MONTH(EDATE($E75,N$1-1)))/100))),"")</f>
        <v>2969761.9056901303</v>
      </c>
      <c r="O75" s="30" cm="1">
        <f t="array" ref="O75">IFERROR(IF($E75&lt;44348,"",IF(INDEX(Raw_매출!$B$2:$BI$155,MATCH($A75,Raw_매출!$A$2:$A$155,0),MATCH(EDATE($E75,O$1-1),Raw_매출!$B$1:$BI$1,0))=0,"",INDEX(Raw_매출!$B$2:$BI$155,MATCH($A75,Raw_매출!$A$2:$A$155,0),MATCH(EDATE($E75,O$1-1),Raw_매출!$B$1:$BI$1,0))/(INDEX(요약_월별시즈널리티!$F$7:$F$18,MONTH(EDATE($E75,O$1-1)))/100))),"")</f>
        <v>2949355.1644313917</v>
      </c>
      <c r="P75" cm="1">
        <f t="array" ref="P75">IFERROR(IF($E75&lt;44348,"",IF(INDEX(Raw_매출!$B$2:$BI$155,MATCH($A75,Raw_매출!$A$2:$A$155,0),MATCH(EDATE($E75,P$1-1),Raw_매출!$B$1:$BI$1,0))=0,"",INDEX(Raw_매출!$B$2:$BI$155,MATCH($A75,Raw_매출!$A$2:$A$155,0),MATCH(EDATE($E75,P$1-1),Raw_매출!$B$1:$BI$1,0))/(INDEX(요약_월별시즈널리티!$F$7:$F$18,MONTH(EDATE($E75,P$1-1)))/100))),"")</f>
        <v>2795114.1505157626</v>
      </c>
      <c r="Q75" cm="1">
        <f t="array" ref="Q75">IFERROR(IF($E75&lt;44348,"",IF(INDEX(Raw_매출!$B$2:$BI$155,MATCH($A75,Raw_매출!$A$2:$A$155,0),MATCH(EDATE($E75,Q$1-1),Raw_매출!$B$1:$BI$1,0))=0,"",INDEX(Raw_매출!$B$2:$BI$155,MATCH($A75,Raw_매출!$A$2:$A$155,0),MATCH(EDATE($E75,Q$1-1),Raw_매출!$B$1:$BI$1,0))/(INDEX(요약_월별시즈널리티!$F$7:$F$18,MONTH(EDATE($E75,Q$1-1)))/100))),"")</f>
        <v>3180213.2435890627</v>
      </c>
      <c r="R75" cm="1">
        <f t="array" ref="R75">IFERROR(IF($E75&lt;44348,"",IF(INDEX(Raw_매출!$B$2:$BI$155,MATCH($A75,Raw_매출!$A$2:$A$155,0),MATCH(EDATE($E75,R$1-1),Raw_매출!$B$1:$BI$1,0))=0,"",INDEX(Raw_매출!$B$2:$BI$155,MATCH($A75,Raw_매출!$A$2:$A$155,0),MATCH(EDATE($E75,R$1-1),Raw_매출!$B$1:$BI$1,0))/(INDEX(요약_월별시즈널리티!$F$7:$F$18,MONTH(EDATE($E75,R$1-1)))/100))),"")</f>
        <v>3650123.6623193044</v>
      </c>
      <c r="S75" cm="1">
        <f t="array" ref="S75">IFERROR(IF($E75&lt;44348,"",IF(INDEX(Raw_매출!$B$2:$BI$155,MATCH($A75,Raw_매출!$A$2:$A$155,0),MATCH(EDATE($E75,S$1-1),Raw_매출!$B$1:$BI$1,0))=0,"",INDEX(Raw_매출!$B$2:$BI$155,MATCH($A75,Raw_매출!$A$2:$A$155,0),MATCH(EDATE($E75,S$1-1),Raw_매출!$B$1:$BI$1,0))/(INDEX(요약_월별시즈널리티!$F$7:$F$18,MONTH(EDATE($E75,S$1-1)))/100))),"")</f>
        <v>3891318.9902107413</v>
      </c>
      <c r="T75" cm="1">
        <f t="array" ref="T75">IFERROR(IF($E75&lt;44348,"",IF(INDEX(Raw_매출!$B$2:$BI$155,MATCH($A75,Raw_매출!$A$2:$A$155,0),MATCH(EDATE($E75,T$1-1),Raw_매출!$B$1:$BI$1,0))=0,"",INDEX(Raw_매출!$B$2:$BI$155,MATCH($A75,Raw_매출!$A$2:$A$155,0),MATCH(EDATE($E75,T$1-1),Raw_매출!$B$1:$BI$1,0))/(INDEX(요약_월별시즈널리티!$F$7:$F$18,MONTH(EDATE($E75,T$1-1)))/100))),"")</f>
        <v>3424517.9078541077</v>
      </c>
      <c r="U75" cm="1">
        <f t="array" ref="U75">IFERROR(IF($E75&lt;44348,"",IF(INDEX(Raw_매출!$B$2:$BI$155,MATCH($A75,Raw_매출!$A$2:$A$155,0),MATCH(EDATE($E75,U$1-1),Raw_매출!$B$1:$BI$1,0))=0,"",INDEX(Raw_매출!$B$2:$BI$155,MATCH($A75,Raw_매출!$A$2:$A$155,0),MATCH(EDATE($E75,U$1-1),Raw_매출!$B$1:$BI$1,0))/(INDEX(요약_월별시즈널리티!$F$7:$F$18,MONTH(EDATE($E75,U$1-1)))/100))),"")</f>
        <v>3932290.8926411425</v>
      </c>
      <c r="V75" cm="1">
        <f t="array" ref="V75">IFERROR(IF($E75&lt;44348,"",IF(INDEX(Raw_매출!$B$2:$BI$155,MATCH($A75,Raw_매출!$A$2:$A$155,0),MATCH(EDATE($E75,V$1-1),Raw_매출!$B$1:$BI$1,0))=0,"",INDEX(Raw_매출!$B$2:$BI$155,MATCH($A75,Raw_매출!$A$2:$A$155,0),MATCH(EDATE($E75,V$1-1),Raw_매출!$B$1:$BI$1,0))/(INDEX(요약_월별시즈널리티!$F$7:$F$18,MONTH(EDATE($E75,V$1-1)))/100))),"")</f>
        <v>4129039.9103259277</v>
      </c>
      <c r="W75" cm="1">
        <f t="array" ref="W75">IFERROR(IF($E75&lt;44348,"",IF(INDEX(Raw_매출!$B$2:$BI$155,MATCH($A75,Raw_매출!$A$2:$A$155,0),MATCH(EDATE($E75,W$1-1),Raw_매출!$B$1:$BI$1,0))=0,"",INDEX(Raw_매출!$B$2:$BI$155,MATCH($A75,Raw_매출!$A$2:$A$155,0),MATCH(EDATE($E75,W$1-1),Raw_매출!$B$1:$BI$1,0))/(INDEX(요약_월별시즈널리티!$F$7:$F$18,MONTH(EDATE($E75,W$1-1)))/100))),"")</f>
        <v>3798790.3497552262</v>
      </c>
      <c r="X75" cm="1">
        <f t="array" ref="X75">IFERROR(IF($E75&lt;44348,"",IF(INDEX(Raw_매출!$B$2:$BI$155,MATCH($A75,Raw_매출!$A$2:$A$155,0),MATCH(EDATE($E75,X$1-1),Raw_매출!$B$1:$BI$1,0))=0,"",INDEX(Raw_매출!$B$2:$BI$155,MATCH($A75,Raw_매출!$A$2:$A$155,0),MATCH(EDATE($E75,X$1-1),Raw_매출!$B$1:$BI$1,0))/(INDEX(요약_월별시즈널리티!$F$7:$F$18,MONTH(EDATE($E75,X$1-1)))/100))),"")</f>
        <v>4108724.848089674</v>
      </c>
      <c r="Y75" cm="1">
        <f t="array" ref="Y75">IFERROR(IF($E75&lt;44348,"",IF(INDEX(Raw_매출!$B$2:$BI$155,MATCH($A75,Raw_매출!$A$2:$A$155,0),MATCH(EDATE($E75,Y$1-1),Raw_매출!$B$1:$BI$1,0))=0,"",INDEX(Raw_매출!$B$2:$BI$155,MATCH($A75,Raw_매출!$A$2:$A$155,0),MATCH(EDATE($E75,Y$1-1),Raw_매출!$B$1:$BI$1,0))/(INDEX(요약_월별시즈널리티!$F$7:$F$18,MONTH(EDATE($E75,Y$1-1)))/100))),"")</f>
        <v>4379489.0641532438</v>
      </c>
      <c r="Z75" cm="1">
        <f t="array" ref="Z75">IFERROR(IF($E75&lt;44348,"",IF(INDEX(Raw_매출!$B$2:$BI$155,MATCH($A75,Raw_매출!$A$2:$A$155,0),MATCH(EDATE($E75,Z$1-1),Raw_매출!$B$1:$BI$1,0))=0,"",INDEX(Raw_매출!$B$2:$BI$155,MATCH($A75,Raw_매출!$A$2:$A$155,0),MATCH(EDATE($E75,Z$1-1),Raw_매출!$B$1:$BI$1,0))/(INDEX(요약_월별시즈널리티!$F$7:$F$18,MONTH(EDATE($E75,Z$1-1)))/100))),"")</f>
        <v>3723133.8106089421</v>
      </c>
      <c r="AA75" cm="1">
        <f t="array" ref="AA75">IFERROR(IF($E75&lt;44348,"",IF(INDEX(Raw_매출!$B$2:$BI$155,MATCH($A75,Raw_매출!$A$2:$A$155,0),MATCH(EDATE($E75,AA$1-1),Raw_매출!$B$1:$BI$1,0))=0,"",INDEX(Raw_매출!$B$2:$BI$155,MATCH($A75,Raw_매출!$A$2:$A$155,0),MATCH(EDATE($E75,AA$1-1),Raw_매출!$B$1:$BI$1,0))/(INDEX(요약_월별시즈널리티!$F$7:$F$18,MONTH(EDATE($E75,AA$1-1)))/100))),"")</f>
        <v>3386884.4623936201</v>
      </c>
      <c r="AB75" cm="1">
        <f t="array" ref="AB75">IFERROR(IF($E75&lt;44348,"",IF(INDEX(Raw_매출!$B$2:$BI$155,MATCH($A75,Raw_매출!$A$2:$A$155,0),MATCH(EDATE($E75,AB$1-1),Raw_매출!$B$1:$BI$1,0))=0,"",INDEX(Raw_매출!$B$2:$BI$155,MATCH($A75,Raw_매출!$A$2:$A$155,0),MATCH(EDATE($E75,AB$1-1),Raw_매출!$B$1:$BI$1,0))/(INDEX(요약_월별시즈널리티!$F$7:$F$18,MONTH(EDATE($E75,AB$1-1)))/100))),"")</f>
        <v>3357069.6444908581</v>
      </c>
      <c r="AC75" cm="1">
        <f t="array" ref="AC75">IFERROR(IF($E75&lt;44348,"",IF(INDEX(Raw_매출!$B$2:$BI$155,MATCH($A75,Raw_매출!$A$2:$A$155,0),MATCH(EDATE($E75,AC$1-1),Raw_매출!$B$1:$BI$1,0))=0,"",INDEX(Raw_매출!$B$2:$BI$155,MATCH($A75,Raw_매출!$A$2:$A$155,0),MATCH(EDATE($E75,AC$1-1),Raw_매출!$B$1:$BI$1,0))/(INDEX(요약_월별시즈널리티!$F$7:$F$18,MONTH(EDATE($E75,AC$1-1)))/100))),"")</f>
        <v>3750663.3938457766</v>
      </c>
      <c r="AD75" cm="1">
        <f t="array" ref="AD75">IFERROR(IF($E75&lt;44348,"",IF(INDEX(Raw_매출!$B$2:$BI$155,MATCH($A75,Raw_매출!$A$2:$A$155,0),MATCH(EDATE($E75,AD$1-1),Raw_매출!$B$1:$BI$1,0))=0,"",INDEX(Raw_매출!$B$2:$BI$155,MATCH($A75,Raw_매출!$A$2:$A$155,0),MATCH(EDATE($E75,AD$1-1),Raw_매출!$B$1:$BI$1,0))/(INDEX(요약_월별시즈널리티!$F$7:$F$18,MONTH(EDATE($E75,AD$1-1)))/100))),"")</f>
        <v>4115188.4406879521</v>
      </c>
      <c r="AE75" cm="1">
        <f t="array" ref="AE75">IFERROR(IF($E75&lt;44348,"",IF(INDEX(Raw_매출!$B$2:$BI$155,MATCH($A75,Raw_매출!$A$2:$A$155,0),MATCH(EDATE($E75,AE$1-1),Raw_매출!$B$1:$BI$1,0))=0,"",INDEX(Raw_매출!$B$2:$BI$155,MATCH($A75,Raw_매출!$A$2:$A$155,0),MATCH(EDATE($E75,AE$1-1),Raw_매출!$B$1:$BI$1,0))/(INDEX(요약_월별시즈널리티!$F$7:$F$18,MONTH(EDATE($E75,AE$1-1)))/100))),"")</f>
        <v>3777126.2643301198</v>
      </c>
      <c r="AF75" cm="1">
        <f t="array" ref="AF75">IFERROR(IF($E75&lt;44348,"",IF(INDEX(Raw_매출!$B$2:$BI$155,MATCH($A75,Raw_매출!$A$2:$A$155,0),MATCH(EDATE($E75,AF$1-1),Raw_매출!$B$1:$BI$1,0))=0,"",INDEX(Raw_매출!$B$2:$BI$155,MATCH($A75,Raw_매출!$A$2:$A$155,0),MATCH(EDATE($E75,AF$1-1),Raw_매출!$B$1:$BI$1,0))/(INDEX(요약_월별시즈널리티!$F$7:$F$18,MONTH(EDATE($E75,AF$1-1)))/100))),"")</f>
        <v>4385357.1110392679</v>
      </c>
      <c r="AG75" cm="1">
        <f t="array" ref="AG75">IFERROR(IF($E75&lt;44348,"",IF(INDEX(Raw_매출!$B$2:$BI$155,MATCH($A75,Raw_매출!$A$2:$A$155,0),MATCH(EDATE($E75,AG$1-1),Raw_매출!$B$1:$BI$1,0))=0,"",INDEX(Raw_매출!$B$2:$BI$155,MATCH($A75,Raw_매출!$A$2:$A$155,0),MATCH(EDATE($E75,AG$1-1),Raw_매출!$B$1:$BI$1,0))/(INDEX(요약_월별시즈널리티!$F$7:$F$18,MONTH(EDATE($E75,AG$1-1)))/100))),"")</f>
        <v>4331749.1681732805</v>
      </c>
      <c r="AH75" cm="1">
        <f t="array" ref="AH75">IFERROR(IF($E75&lt;44348,"",IF(INDEX(Raw_매출!$B$2:$BI$155,MATCH($A75,Raw_매출!$A$2:$A$155,0),MATCH(EDATE($E75,AH$1-1),Raw_매출!$B$1:$BI$1,0))=0,"",INDEX(Raw_매출!$B$2:$BI$155,MATCH($A75,Raw_매출!$A$2:$A$155,0),MATCH(EDATE($E75,AH$1-1),Raw_매출!$B$1:$BI$1,0))/(INDEX(요약_월별시즈널리티!$F$7:$F$18,MONTH(EDATE($E75,AH$1-1)))/100))),"")</f>
        <v>4047744.5018538735</v>
      </c>
      <c r="AI75" cm="1">
        <f t="array" ref="AI75">IFERROR(IF($E75&lt;44348,"",IF(INDEX(Raw_매출!$B$2:$BI$155,MATCH($A75,Raw_매출!$A$2:$A$155,0),MATCH(EDATE($E75,AI$1-1),Raw_매출!$B$1:$BI$1,0))=0,"",INDEX(Raw_매출!$B$2:$BI$155,MATCH($A75,Raw_매출!$A$2:$A$155,0),MATCH(EDATE($E75,AI$1-1),Raw_매출!$B$1:$BI$1,0))/(INDEX(요약_월별시즈널리티!$F$7:$F$18,MONTH(EDATE($E75,AI$1-1)))/100))),"")</f>
        <v>3931298.6776045929</v>
      </c>
      <c r="AJ75" cm="1">
        <f t="array" ref="AJ75">IFERROR(IF($E75&lt;44348,"",IF(INDEX(Raw_매출!$B$2:$BI$155,MATCH($A75,Raw_매출!$A$2:$A$155,0),MATCH(EDATE($E75,AJ$1-1),Raw_매출!$B$1:$BI$1,0))=0,"",INDEX(Raw_매출!$B$2:$BI$155,MATCH($A75,Raw_매출!$A$2:$A$155,0),MATCH(EDATE($E75,AJ$1-1),Raw_매출!$B$1:$BI$1,0))/(INDEX(요약_월별시즈널리티!$F$7:$F$18,MONTH(EDATE($E75,AJ$1-1)))/100))),"")</f>
        <v>4197502.6632670499</v>
      </c>
      <c r="AK75" cm="1">
        <f t="array" ref="AK75">IFERROR(IF($E75&lt;44348,"",IF(INDEX(Raw_매출!$B$2:$BI$155,MATCH($A75,Raw_매출!$A$2:$A$155,0),MATCH(EDATE($E75,AK$1-1),Raw_매출!$B$1:$BI$1,0))=0,"",INDEX(Raw_매출!$B$2:$BI$155,MATCH($A75,Raw_매출!$A$2:$A$155,0),MATCH(EDATE($E75,AK$1-1),Raw_매출!$B$1:$BI$1,0))/(INDEX(요약_월별시즈널리티!$F$7:$F$18,MONTH(EDATE($E75,AK$1-1)))/100))),"")</f>
        <v>3899056.8048443045</v>
      </c>
      <c r="AL75" cm="1">
        <f t="array" ref="AL75">IFERROR(IF($E75&lt;44348,"",IF(INDEX(Raw_매출!$B$2:$BI$155,MATCH($A75,Raw_매출!$A$2:$A$155,0),MATCH(EDATE($E75,AL$1-1),Raw_매출!$B$1:$BI$1,0))=0,"",INDEX(Raw_매출!$B$2:$BI$155,MATCH($A75,Raw_매출!$A$2:$A$155,0),MATCH(EDATE($E75,AL$1-1),Raw_매출!$B$1:$BI$1,0))/(INDEX(요약_월별시즈널리티!$F$7:$F$18,MONTH(EDATE($E75,AL$1-1)))/100))),"")</f>
        <v>3816229.7951133349</v>
      </c>
      <c r="AM75" cm="1">
        <f t="array" ref="AM75">IFERROR(IF($E75&lt;44348,"",IF(INDEX(Raw_매출!$B$2:$BI$155,MATCH($A75,Raw_매출!$A$2:$A$155,0),MATCH(EDATE($E75,AM$1-1),Raw_매출!$B$1:$BI$1,0))=0,"",INDEX(Raw_매출!$B$2:$BI$155,MATCH($A75,Raw_매출!$A$2:$A$155,0),MATCH(EDATE($E75,AM$1-1),Raw_매출!$B$1:$BI$1,0))/(INDEX(요약_월별시즈널리티!$F$7:$F$18,MONTH(EDATE($E75,AM$1-1)))/100))),"")</f>
        <v>3850911.0148469978</v>
      </c>
      <c r="AN75" cm="1">
        <f t="array" ref="AN75">IFERROR(IF($E75&lt;44348,"",IF(INDEX(Raw_매출!$B$2:$BI$155,MATCH($A75,Raw_매출!$A$2:$A$155,0),MATCH(EDATE($E75,AN$1-1),Raw_매출!$B$1:$BI$1,0))=0,"",INDEX(Raw_매출!$B$2:$BI$155,MATCH($A75,Raw_매출!$A$2:$A$155,0),MATCH(EDATE($E75,AN$1-1),Raw_매출!$B$1:$BI$1,0))/(INDEX(요약_월별시즈널리티!$F$7:$F$18,MONTH(EDATE($E75,AN$1-1)))/100))),"")</f>
        <v>3840812.1176215932</v>
      </c>
      <c r="AO75" cm="1">
        <f t="array" ref="AO75">IFERROR(IF($E75&lt;44348,"",IF(INDEX(Raw_매출!$B$2:$BI$155,MATCH($A75,Raw_매출!$A$2:$A$155,0),MATCH(EDATE($E75,AO$1-1),Raw_매출!$B$1:$BI$1,0))=0,"",INDEX(Raw_매출!$B$2:$BI$155,MATCH($A75,Raw_매출!$A$2:$A$155,0),MATCH(EDATE($E75,AO$1-1),Raw_매출!$B$1:$BI$1,0))/(INDEX(요약_월별시즈널리티!$F$7:$F$18,MONTH(EDATE($E75,AO$1-1)))/100))),"")</f>
        <v>3820328.4094173606</v>
      </c>
      <c r="AP75" cm="1">
        <f t="array" ref="AP75">IFERROR(IF($E75&lt;44348,"",IF(INDEX(Raw_매출!$B$2:$BI$155,MATCH($A75,Raw_매출!$A$2:$A$155,0),MATCH(EDATE($E75,AP$1-1),Raw_매출!$B$1:$BI$1,0))=0,"",INDEX(Raw_매출!$B$2:$BI$155,MATCH($A75,Raw_매출!$A$2:$A$155,0),MATCH(EDATE($E75,AP$1-1),Raw_매출!$B$1:$BI$1,0))/(INDEX(요약_월별시즈널리티!$F$7:$F$18,MONTH(EDATE($E75,AP$1-1)))/100))),"")</f>
        <v>4053871.4264598903</v>
      </c>
      <c r="AQ75" cm="1">
        <f t="array" ref="AQ75">IFERROR(IF($E75&lt;44348,"",IF(INDEX(Raw_매출!$B$2:$BI$155,MATCH($A75,Raw_매출!$A$2:$A$155,0),MATCH(EDATE($E75,AQ$1-1),Raw_매출!$B$1:$BI$1,0))=0,"",INDEX(Raw_매출!$B$2:$BI$155,MATCH($A75,Raw_매출!$A$2:$A$155,0),MATCH(EDATE($E75,AQ$1-1),Raw_매출!$B$1:$BI$1,0))/(INDEX(요약_월별시즈널리티!$F$7:$F$18,MONTH(EDATE($E75,AQ$1-1)))/100))),"")</f>
        <v>3871204.8121359535</v>
      </c>
      <c r="AR75" cm="1">
        <f t="array" ref="AR75">IFERROR(IF($E75&lt;44348,"",IF(INDEX(Raw_매출!$B$2:$BI$155,MATCH($A75,Raw_매출!$A$2:$A$155,0),MATCH(EDATE($E75,AR$1-1),Raw_매출!$B$1:$BI$1,0))=0,"",INDEX(Raw_매출!$B$2:$BI$155,MATCH($A75,Raw_매출!$A$2:$A$155,0),MATCH(EDATE($E75,AR$1-1),Raw_매출!$B$1:$BI$1,0))/(INDEX(요약_월별시즈널리티!$F$7:$F$18,MONTH(EDATE($E75,AR$1-1)))/100))),"")</f>
        <v>4223079.725518547</v>
      </c>
      <c r="AS75" cm="1">
        <f t="array" ref="AS75">IFERROR(IF($E75&lt;44348,"",IF(INDEX(Raw_매출!$B$2:$BI$155,MATCH($A75,Raw_매출!$A$2:$A$155,0),MATCH(EDATE($E75,AS$1-1),Raw_매출!$B$1:$BI$1,0))=0,"",INDEX(Raw_매출!$B$2:$BI$155,MATCH($A75,Raw_매출!$A$2:$A$155,0),MATCH(EDATE($E75,AS$1-1),Raw_매출!$B$1:$BI$1,0))/(INDEX(요약_월별시즈널리티!$F$7:$F$18,MONTH(EDATE($E75,AS$1-1)))/100))),"")</f>
        <v>4302687.179042438</v>
      </c>
      <c r="AT75" cm="1">
        <f t="array" ref="AT75">IFERROR(IF($E75&lt;44348,"",IF(INDEX(Raw_매출!$B$2:$BI$155,MATCH($A75,Raw_매출!$A$2:$A$155,0),MATCH(EDATE($E75,AT$1-1),Raw_매출!$B$1:$BI$1,0))=0,"",INDEX(Raw_매출!$B$2:$BI$155,MATCH($A75,Raw_매출!$A$2:$A$155,0),MATCH(EDATE($E75,AT$1-1),Raw_매출!$B$1:$BI$1,0))/(INDEX(요약_월별시즈널리티!$F$7:$F$18,MONTH(EDATE($E75,AT$1-1)))/100))),"")</f>
        <v>3972013.8651280897</v>
      </c>
      <c r="AU75" cm="1">
        <f t="array" ref="AU75">IFERROR(IF($E75&lt;44348,"",IF(INDEX(Raw_매출!$B$2:$BI$155,MATCH($A75,Raw_매출!$A$2:$A$155,0),MATCH(EDATE($E75,AU$1-1),Raw_매출!$B$1:$BI$1,0))=0,"",INDEX(Raw_매출!$B$2:$BI$155,MATCH($A75,Raw_매출!$A$2:$A$155,0),MATCH(EDATE($E75,AU$1-1),Raw_매출!$B$1:$BI$1,0))/(INDEX(요약_월별시즈널리티!$F$7:$F$18,MONTH(EDATE($E75,AU$1-1)))/100))),"")</f>
        <v>4069178.7081872891</v>
      </c>
      <c r="AV75" t="str" cm="1">
        <f t="array" ref="AV75">IFERROR(IF($E75&lt;44348,"",IF(INDEX(Raw_매출!$B$2:$BI$155,MATCH($A75,Raw_매출!$A$2:$A$155,0),MATCH(EDATE($E75,AV$1-1),Raw_매출!$B$1:$BI$1,0))=0,"",INDEX(Raw_매출!$B$2:$BI$155,MATCH($A75,Raw_매출!$A$2:$A$155,0),MATCH(EDATE($E75,AV$1-1),Raw_매출!$B$1:$BI$1,0))/(INDEX(요약_월별시즈널리티!$F$7:$F$18,MONTH(EDATE($E75,AV$1-1)))/100))),"")</f>
        <v/>
      </c>
      <c r="AW75" t="str" cm="1">
        <f t="array" ref="AW75">IFERROR(IF($E75&lt;44348,"",IF(INDEX(Raw_매출!$B$2:$BI$155,MATCH($A75,Raw_매출!$A$2:$A$155,0),MATCH(EDATE($E75,AW$1-1),Raw_매출!$B$1:$BI$1,0))=0,"",INDEX(Raw_매출!$B$2:$BI$155,MATCH($A75,Raw_매출!$A$2:$A$155,0),MATCH(EDATE($E75,AW$1-1),Raw_매출!$B$1:$BI$1,0))/(INDEX(요약_월별시즈널리티!$F$7:$F$18,MONTH(EDATE($E75,AW$1-1)))/100))),"")</f>
        <v/>
      </c>
      <c r="AX75" t="str" cm="1">
        <f t="array" ref="AX75">IFERROR(IF($E75&lt;44348,"",IF(INDEX(Raw_매출!$B$2:$BI$155,MATCH($A75,Raw_매출!$A$2:$A$155,0),MATCH(EDATE($E75,AX$1-1),Raw_매출!$B$1:$BI$1,0))=0,"",INDEX(Raw_매출!$B$2:$BI$155,MATCH($A75,Raw_매출!$A$2:$A$155,0),MATCH(EDATE($E75,AX$1-1),Raw_매출!$B$1:$BI$1,0))/(INDEX(요약_월별시즈널리티!$F$7:$F$18,MONTH(EDATE($E75,AX$1-1)))/100))),"")</f>
        <v/>
      </c>
      <c r="AY75" t="str" cm="1">
        <f t="array" ref="AY75">IFERROR(IF($E75&lt;44348,"",IF(INDEX(Raw_매출!$B$2:$BI$155,MATCH($A75,Raw_매출!$A$2:$A$155,0),MATCH(EDATE($E75,AY$1-1),Raw_매출!$B$1:$BI$1,0))=0,"",INDEX(Raw_매출!$B$2:$BI$155,MATCH($A75,Raw_매출!$A$2:$A$155,0),MATCH(EDATE($E75,AY$1-1),Raw_매출!$B$1:$BI$1,0))/(INDEX(요약_월별시즈널리티!$F$7:$F$18,MONTH(EDATE($E75,AY$1-1)))/100))),"")</f>
        <v/>
      </c>
      <c r="AZ75" t="str" cm="1">
        <f t="array" ref="AZ75">IFERROR(IF($E75&lt;44348,"",IF(INDEX(Raw_매출!$B$2:$BI$155,MATCH($A75,Raw_매출!$A$2:$A$155,0),MATCH(EDATE($E75,AZ$1-1),Raw_매출!$B$1:$BI$1,0))=0,"",INDEX(Raw_매출!$B$2:$BI$155,MATCH($A75,Raw_매출!$A$2:$A$155,0),MATCH(EDATE($E75,AZ$1-1),Raw_매출!$B$1:$BI$1,0))/(INDEX(요약_월별시즈널리티!$F$7:$F$18,MONTH(EDATE($E75,AZ$1-1)))/100))),"")</f>
        <v/>
      </c>
      <c r="BA75" t="str" cm="1">
        <f t="array" ref="BA75">IFERROR(IF($E75&lt;44348,"",IF(INDEX(Raw_매출!$B$2:$BI$155,MATCH($A75,Raw_매출!$A$2:$A$155,0),MATCH(EDATE($E75,BA$1-1),Raw_매출!$B$1:$BI$1,0))=0,"",INDEX(Raw_매출!$B$2:$BI$155,MATCH($A75,Raw_매출!$A$2:$A$155,0),MATCH(EDATE($E75,BA$1-1),Raw_매출!$B$1:$BI$1,0))/(INDEX(요약_월별시즈널리티!$F$7:$F$18,MONTH(EDATE($E75,BA$1-1)))/100))),"")</f>
        <v/>
      </c>
      <c r="BB75" t="str" cm="1">
        <f t="array" ref="BB75">IFERROR(IF($E75&lt;44348,"",IF(INDEX(Raw_매출!$B$2:$BI$155,MATCH($A75,Raw_매출!$A$2:$A$155,0),MATCH(EDATE($E75,BB$1-1),Raw_매출!$B$1:$BI$1,0))=0,"",INDEX(Raw_매출!$B$2:$BI$155,MATCH($A75,Raw_매출!$A$2:$A$155,0),MATCH(EDATE($E75,BB$1-1),Raw_매출!$B$1:$BI$1,0))/(INDEX(요약_월별시즈널리티!$F$7:$F$18,MONTH(EDATE($E75,BB$1-1)))/100))),"")</f>
        <v/>
      </c>
      <c r="BC75" t="str" cm="1">
        <f t="array" ref="BC75">IFERROR(IF($E75&lt;44348,"",IF(INDEX(Raw_매출!$B$2:$BI$155,MATCH($A75,Raw_매출!$A$2:$A$155,0),MATCH(EDATE($E75,BC$1-1),Raw_매출!$B$1:$BI$1,0))=0,"",INDEX(Raw_매출!$B$2:$BI$155,MATCH($A75,Raw_매출!$A$2:$A$155,0),MATCH(EDATE($E75,BC$1-1),Raw_매출!$B$1:$BI$1,0))/(INDEX(요약_월별시즈널리티!$F$7:$F$18,MONTH(EDATE($E75,BC$1-1)))/100))),"")</f>
        <v/>
      </c>
      <c r="BD75" t="str" cm="1">
        <f t="array" ref="BD75">IFERROR(IF($E75&lt;44348,"",IF(INDEX(Raw_매출!$B$2:$BI$155,MATCH($A75,Raw_매출!$A$2:$A$155,0),MATCH(EDATE($E75,BD$1-1),Raw_매출!$B$1:$BI$1,0))=0,"",INDEX(Raw_매출!$B$2:$BI$155,MATCH($A75,Raw_매출!$A$2:$A$155,0),MATCH(EDATE($E75,BD$1-1),Raw_매출!$B$1:$BI$1,0))/(INDEX(요약_월별시즈널리티!$F$7:$F$18,MONTH(EDATE($E75,BD$1-1)))/100))),"")</f>
        <v/>
      </c>
      <c r="BE75" t="str" cm="1">
        <f t="array" ref="BE75">IFERROR(IF($E75&lt;44348,"",IF(INDEX(Raw_매출!$B$2:$BI$155,MATCH($A75,Raw_매출!$A$2:$A$155,0),MATCH(EDATE($E75,BE$1-1),Raw_매출!$B$1:$BI$1,0))=0,"",INDEX(Raw_매출!$B$2:$BI$155,MATCH($A75,Raw_매출!$A$2:$A$155,0),MATCH(EDATE($E75,BE$1-1),Raw_매출!$B$1:$BI$1,0))/(INDEX(요약_월별시즈널리티!$F$7:$F$18,MONTH(EDATE($E75,BE$1-1)))/100))),"")</f>
        <v/>
      </c>
      <c r="BF75" t="str" cm="1">
        <f t="array" ref="BF75">IFERROR(IF($E75&lt;44348,"",IF(INDEX(Raw_매출!$B$2:$BI$155,MATCH($A75,Raw_매출!$A$2:$A$155,0),MATCH(EDATE($E75,BF$1-1),Raw_매출!$B$1:$BI$1,0))=0,"",INDEX(Raw_매출!$B$2:$BI$155,MATCH($A75,Raw_매출!$A$2:$A$155,0),MATCH(EDATE($E75,BF$1-1),Raw_매출!$B$1:$BI$1,0))/(INDEX(요약_월별시즈널리티!$F$7:$F$18,MONTH(EDATE($E75,BF$1-1)))/100))),"")</f>
        <v/>
      </c>
      <c r="BG75" t="str" cm="1">
        <f t="array" ref="BG75">IFERROR(IF($E75&lt;44348,"",IF(INDEX(Raw_매출!$B$2:$BI$155,MATCH($A75,Raw_매출!$A$2:$A$155,0),MATCH(EDATE($E75,BG$1-1),Raw_매출!$B$1:$BI$1,0))=0,"",INDEX(Raw_매출!$B$2:$BI$155,MATCH($A75,Raw_매출!$A$2:$A$155,0),MATCH(EDATE($E75,BG$1-1),Raw_매출!$B$1:$BI$1,0))/(INDEX(요약_월별시즈널리티!$F$7:$F$18,MONTH(EDATE($E75,BG$1-1)))/100))),"")</f>
        <v/>
      </c>
      <c r="BH75" t="str" cm="1">
        <f t="array" ref="BH75">IFERROR(IF($E75&lt;44348,"",IF(INDEX(Raw_매출!$B$2:$BI$155,MATCH($A75,Raw_매출!$A$2:$A$155,0),MATCH(EDATE($E75,BH$1-1),Raw_매출!$B$1:$BI$1,0))=0,"",INDEX(Raw_매출!$B$2:$BI$155,MATCH($A75,Raw_매출!$A$2:$A$155,0),MATCH(EDATE($E75,BH$1-1),Raw_매출!$B$1:$BI$1,0))/(INDEX(요약_월별시즈널리티!$F$7:$F$18,MONTH(EDATE($E75,BH$1-1)))/100))),"")</f>
        <v/>
      </c>
      <c r="BI75" t="str" cm="1">
        <f t="array" ref="BI75">IFERROR(IF($E75&lt;44348,"",IF(INDEX(Raw_매출!$B$2:$BI$155,MATCH($A75,Raw_매출!$A$2:$A$155,0),MATCH(EDATE($E75,BI$1-1),Raw_매출!$B$1:$BI$1,0))=0,"",INDEX(Raw_매출!$B$2:$BI$155,MATCH($A75,Raw_매출!$A$2:$A$155,0),MATCH(EDATE($E75,BI$1-1),Raw_매출!$B$1:$BI$1,0))/(INDEX(요약_월별시즈널리티!$F$7:$F$18,MONTH(EDATE($E75,BI$1-1)))/100))),"")</f>
        <v/>
      </c>
      <c r="BJ75" t="str" cm="1">
        <f t="array" ref="BJ75">IFERROR(IF($E75&lt;44348,"",IF(INDEX(Raw_매출!$B$2:$BI$155,MATCH($A75,Raw_매출!$A$2:$A$155,0),MATCH(EDATE($E75,BJ$1-1),Raw_매출!$B$1:$BI$1,0))=0,"",INDEX(Raw_매출!$B$2:$BI$155,MATCH($A75,Raw_매출!$A$2:$A$155,0),MATCH(EDATE($E75,BJ$1-1),Raw_매출!$B$1:$BI$1,0))/(INDEX(요약_월별시즈널리티!$F$7:$F$18,MONTH(EDATE($E75,BJ$1-1)))/100))),"")</f>
        <v/>
      </c>
      <c r="BK75" t="str" cm="1">
        <f t="array" ref="BK75">IFERROR(IF($E75&lt;44348,"",IF(INDEX(Raw_매출!$B$2:$BI$155,MATCH($A75,Raw_매출!$A$2:$A$155,0),MATCH(EDATE($E75,BK$1-1),Raw_매출!$B$1:$BI$1,0))=0,"",INDEX(Raw_매출!$B$2:$BI$155,MATCH($A75,Raw_매출!$A$2:$A$155,0),MATCH(EDATE($E75,BK$1-1),Raw_매출!$B$1:$BI$1,0))/(INDEX(요약_월별시즈널리티!$F$7:$F$18,MONTH(EDATE($E75,BK$1-1)))/100))),"")</f>
        <v/>
      </c>
      <c r="BL75" t="str" cm="1">
        <f t="array" ref="BL75">IFERROR(IF($E75&lt;44348,"",IF(INDEX(Raw_매출!$B$2:$BI$155,MATCH($A75,Raw_매출!$A$2:$A$155,0),MATCH(EDATE($E75,BL$1-1),Raw_매출!$B$1:$BI$1,0))=0,"",INDEX(Raw_매출!$B$2:$BI$155,MATCH($A75,Raw_매출!$A$2:$A$155,0),MATCH(EDATE($E75,BL$1-1),Raw_매출!$B$1:$BI$1,0))/(INDEX(요약_월별시즈널리티!$F$7:$F$18,MONTH(EDATE($E75,BL$1-1)))/100))),"")</f>
        <v/>
      </c>
      <c r="BM75" t="str" cm="1">
        <f t="array" ref="BM75">IFERROR(IF($E75&lt;44348,"",IF(INDEX(Raw_매출!$B$2:$BI$155,MATCH($A75,Raw_매출!$A$2:$A$155,0),MATCH(EDATE($E75,BM$1-1),Raw_매출!$B$1:$BI$1,0))=0,"",INDEX(Raw_매출!$B$2:$BI$155,MATCH($A75,Raw_매출!$A$2:$A$155,0),MATCH(EDATE($E75,BM$1-1),Raw_매출!$B$1:$BI$1,0))/(INDEX(요약_월별시즈널리티!$F$7:$F$18,MONTH(EDATE($E75,BM$1-1)))/100))),"")</f>
        <v/>
      </c>
      <c r="BN75" t="str" cm="1">
        <f t="array" ref="BN75">IFERROR(IF($E75&lt;44348,"",IF(INDEX(Raw_매출!$B$2:$BI$155,MATCH($A75,Raw_매출!$A$2:$A$155,0),MATCH(EDATE($E75,BN$1-1),Raw_매출!$B$1:$BI$1,0))=0,"",INDEX(Raw_매출!$B$2:$BI$155,MATCH($A75,Raw_매출!$A$2:$A$155,0),MATCH(EDATE($E75,BN$1-1),Raw_매출!$B$1:$BI$1,0))/(INDEX(요약_월별시즈널리티!$F$7:$F$18,MONTH(EDATE($E75,BN$1-1)))/100))),"")</f>
        <v/>
      </c>
    </row>
    <row r="76" spans="1:66" x14ac:dyDescent="0.4">
      <c r="A76" t="str">
        <f>세팅!A77</f>
        <v>(1065) #성대정문점</v>
      </c>
      <c r="B76" t="str">
        <f>세팅!B77</f>
        <v>150-1</v>
      </c>
      <c r="C76">
        <f t="shared" si="3"/>
        <v>1</v>
      </c>
      <c r="D76" t="str">
        <f t="shared" si="4"/>
        <v>1</v>
      </c>
      <c r="E76" s="1">
        <f>세팅!D77</f>
        <v>44958</v>
      </c>
      <c r="F76">
        <f t="shared" si="5"/>
        <v>8536857.6673867851</v>
      </c>
      <c r="G76" cm="1">
        <f t="array" ref="G76">IFERROR(IF($E76&lt;44348,"",IF(INDEX(Raw_매출!$B$2:$BI$155,MATCH($A76,Raw_매출!$A$2:$A$155,0),MATCH(EDATE($E76,G$1-1),Raw_매출!$B$1:$BI$1,0))=0,"",INDEX(Raw_매출!$B$2:$BI$155,MATCH($A76,Raw_매출!$A$2:$A$155,0),MATCH(EDATE($E76,G$1-1),Raw_매출!$B$1:$BI$1,0))/(INDEX(요약_월별시즈널리티!$F$7:$F$18,MONTH(EDATE($E76,G$1-1)))/100))),"")</f>
        <v>5212997.8782512499</v>
      </c>
      <c r="H76" cm="1">
        <f t="array" ref="H76">IFERROR(IF($E76&lt;44348,"",IF(INDEX(Raw_매출!$B$2:$BI$155,MATCH($A76,Raw_매출!$A$2:$A$155,0),MATCH(EDATE($E76,H$1-1),Raw_매출!$B$1:$BI$1,0))=0,"",INDEX(Raw_매출!$B$2:$BI$155,MATCH($A76,Raw_매출!$A$2:$A$155,0),MATCH(EDATE($E76,H$1-1),Raw_매출!$B$1:$BI$1,0))/(INDEX(요약_월별시즈널리티!$F$7:$F$18,MONTH(EDATE($E76,H$1-1)))/100))),"")</f>
        <v>6658982.6256937142</v>
      </c>
      <c r="I76" cm="1">
        <f t="array" ref="I76">IFERROR(IF($E76&lt;44348,"",IF(INDEX(Raw_매출!$B$2:$BI$155,MATCH($A76,Raw_매출!$A$2:$A$155,0),MATCH(EDATE($E76,I$1-1),Raw_매출!$B$1:$BI$1,0))=0,"",INDEX(Raw_매출!$B$2:$BI$155,MATCH($A76,Raw_매출!$A$2:$A$155,0),MATCH(EDATE($E76,I$1-1),Raw_매출!$B$1:$BI$1,0))/(INDEX(요약_월별시즈널리티!$F$7:$F$18,MONTH(EDATE($E76,I$1-1)))/100))),"")</f>
        <v>7563219.104312133</v>
      </c>
      <c r="J76" s="30" cm="1">
        <f t="array" ref="J76">IFERROR(IF($E76&lt;44348,"",IF(INDEX(Raw_매출!$B$2:$BI$155,MATCH($A76,Raw_매출!$A$2:$A$155,0),MATCH(EDATE($E76,J$1-1),Raw_매출!$B$1:$BI$1,0))=0,"",INDEX(Raw_매출!$B$2:$BI$155,MATCH($A76,Raw_매출!$A$2:$A$155,0),MATCH(EDATE($E76,J$1-1),Raw_매출!$B$1:$BI$1,0))/(INDEX(요약_월별시즈널리티!$F$7:$F$18,MONTH(EDATE($E76,J$1-1)))/100))),"")</f>
        <v>7708298.5159186115</v>
      </c>
      <c r="K76" s="30" cm="1">
        <f t="array" ref="K76">IFERROR(IF($E76&lt;44348,"",IF(INDEX(Raw_매출!$B$2:$BI$155,MATCH($A76,Raw_매출!$A$2:$A$155,0),MATCH(EDATE($E76,K$1-1),Raw_매출!$B$1:$BI$1,0))=0,"",INDEX(Raw_매출!$B$2:$BI$155,MATCH($A76,Raw_매출!$A$2:$A$155,0),MATCH(EDATE($E76,K$1-1),Raw_매출!$B$1:$BI$1,0))/(INDEX(요약_월별시즈널리티!$F$7:$F$18,MONTH(EDATE($E76,K$1-1)))/100))),"")</f>
        <v>8124264.6097389208</v>
      </c>
      <c r="L76" s="30" cm="1">
        <f t="array" ref="L76">IFERROR(IF($E76&lt;44348,"",IF(INDEX(Raw_매출!$B$2:$BI$155,MATCH($A76,Raw_매출!$A$2:$A$155,0),MATCH(EDATE($E76,L$1-1),Raw_매출!$B$1:$BI$1,0))=0,"",INDEX(Raw_매출!$B$2:$BI$155,MATCH($A76,Raw_매출!$A$2:$A$155,0),MATCH(EDATE($E76,L$1-1),Raw_매출!$B$1:$BI$1,0))/(INDEX(요약_월별시즈널리티!$F$7:$F$18,MONTH(EDATE($E76,L$1-1)))/100))),"")</f>
        <v>8552842.4918831047</v>
      </c>
      <c r="M76" s="30" cm="1">
        <f t="array" ref="M76">IFERROR(IF($E76&lt;44348,"",IF(INDEX(Raw_매출!$B$2:$BI$155,MATCH($A76,Raw_매출!$A$2:$A$155,0),MATCH(EDATE($E76,M$1-1),Raw_매출!$B$1:$BI$1,0))=0,"",INDEX(Raw_매출!$B$2:$BI$155,MATCH($A76,Raw_매출!$A$2:$A$155,0),MATCH(EDATE($E76,M$1-1),Raw_매출!$B$1:$BI$1,0))/(INDEX(요약_월별시즈널리티!$F$7:$F$18,MONTH(EDATE($E76,M$1-1)))/100))),"")</f>
        <v>8838238.7815275658</v>
      </c>
      <c r="N76" s="30" cm="1">
        <f t="array" ref="N76">IFERROR(IF($E76&lt;44348,"",IF(INDEX(Raw_매출!$B$2:$BI$155,MATCH($A76,Raw_매출!$A$2:$A$155,0),MATCH(EDATE($E76,N$1-1),Raw_매출!$B$1:$BI$1,0))=0,"",INDEX(Raw_매출!$B$2:$BI$155,MATCH($A76,Raw_매출!$A$2:$A$155,0),MATCH(EDATE($E76,N$1-1),Raw_매출!$B$1:$BI$1,0))/(INDEX(요약_월별시즈널리티!$F$7:$F$18,MONTH(EDATE($E76,N$1-1)))/100))),"")</f>
        <v>8820599.4360568356</v>
      </c>
      <c r="O76" s="30" cm="1">
        <f t="array" ref="O76">IFERROR(IF($E76&lt;44348,"",IF(INDEX(Raw_매출!$B$2:$BI$155,MATCH($A76,Raw_매출!$A$2:$A$155,0),MATCH(EDATE($E76,O$1-1),Raw_매출!$B$1:$BI$1,0))=0,"",INDEX(Raw_매출!$B$2:$BI$155,MATCH($A76,Raw_매출!$A$2:$A$155,0),MATCH(EDATE($E76,O$1-1),Raw_매출!$B$1:$BI$1,0))/(INDEX(요약_월별시즈널리티!$F$7:$F$18,MONTH(EDATE($E76,O$1-1)))/100))),"")</f>
        <v>9176902.1691956706</v>
      </c>
      <c r="P76" cm="1">
        <f t="array" ref="P76">IFERROR(IF($E76&lt;44348,"",IF(INDEX(Raw_매출!$B$2:$BI$155,MATCH($A76,Raw_매출!$A$2:$A$155,0),MATCH(EDATE($E76,P$1-1),Raw_매출!$B$1:$BI$1,0))=0,"",INDEX(Raw_매출!$B$2:$BI$155,MATCH($A76,Raw_매출!$A$2:$A$155,0),MATCH(EDATE($E76,P$1-1),Raw_매출!$B$1:$BI$1,0))/(INDEX(요약_월별시즈널리티!$F$7:$F$18,MONTH(EDATE($E76,P$1-1)))/100))),"")</f>
        <v>9551685.4729300607</v>
      </c>
      <c r="Q76" cm="1">
        <f t="array" ref="Q76">IFERROR(IF($E76&lt;44348,"",IF(INDEX(Raw_매출!$B$2:$BI$155,MATCH($A76,Raw_매출!$A$2:$A$155,0),MATCH(EDATE($E76,Q$1-1),Raw_매출!$B$1:$BI$1,0))=0,"",INDEX(Raw_매출!$B$2:$BI$155,MATCH($A76,Raw_매출!$A$2:$A$155,0),MATCH(EDATE($E76,Q$1-1),Raw_매출!$B$1:$BI$1,0))/(INDEX(요약_월별시즈널리티!$F$7:$F$18,MONTH(EDATE($E76,Q$1-1)))/100))),"")</f>
        <v>9379112.819804756</v>
      </c>
      <c r="R76" cm="1">
        <f t="array" ref="R76">IFERROR(IF($E76&lt;44348,"",IF(INDEX(Raw_매출!$B$2:$BI$155,MATCH($A76,Raw_매출!$A$2:$A$155,0),MATCH(EDATE($E76,R$1-1),Raw_매출!$B$1:$BI$1,0))=0,"",INDEX(Raw_매출!$B$2:$BI$155,MATCH($A76,Raw_매출!$A$2:$A$155,0),MATCH(EDATE($E76,R$1-1),Raw_매출!$B$1:$BI$1,0))/(INDEX(요약_월별시즈널리티!$F$7:$F$18,MONTH(EDATE($E76,R$1-1)))/100))),"")</f>
        <v>10024748.16341665</v>
      </c>
      <c r="S76" cm="1">
        <f t="array" ref="S76">IFERROR(IF($E76&lt;44348,"",IF(INDEX(Raw_매출!$B$2:$BI$155,MATCH($A76,Raw_매출!$A$2:$A$155,0),MATCH(EDATE($E76,S$1-1),Raw_매출!$B$1:$BI$1,0))=0,"",INDEX(Raw_매출!$B$2:$BI$155,MATCH($A76,Raw_매출!$A$2:$A$155,0),MATCH(EDATE($E76,S$1-1),Raw_매출!$B$1:$BI$1,0))/(INDEX(요약_월별시즈널리티!$F$7:$F$18,MONTH(EDATE($E76,S$1-1)))/100))),"")</f>
        <v>10959062.37507477</v>
      </c>
      <c r="T76" cm="1">
        <f t="array" ref="T76">IFERROR(IF($E76&lt;44348,"",IF(INDEX(Raw_매출!$B$2:$BI$155,MATCH($A76,Raw_매출!$A$2:$A$155,0),MATCH(EDATE($E76,T$1-1),Raw_매출!$B$1:$BI$1,0))=0,"",INDEX(Raw_매출!$B$2:$BI$155,MATCH($A76,Raw_매출!$A$2:$A$155,0),MATCH(EDATE($E76,T$1-1),Raw_매출!$B$1:$BI$1,0))/(INDEX(요약_월별시즈널리티!$F$7:$F$18,MONTH(EDATE($E76,T$1-1)))/100))),"")</f>
        <v>7476279.0324901724</v>
      </c>
      <c r="U76" cm="1">
        <f t="array" ref="U76">IFERROR(IF($E76&lt;44348,"",IF(INDEX(Raw_매출!$B$2:$BI$155,MATCH($A76,Raw_매출!$A$2:$A$155,0),MATCH(EDATE($E76,U$1-1),Raw_매출!$B$1:$BI$1,0))=0,"",INDEX(Raw_매출!$B$2:$BI$155,MATCH($A76,Raw_매출!$A$2:$A$155,0),MATCH(EDATE($E76,U$1-1),Raw_매출!$B$1:$BI$1,0))/(INDEX(요약_월별시즈널리티!$F$7:$F$18,MONTH(EDATE($E76,U$1-1)))/100))),"")</f>
        <v>6405155.9069918701</v>
      </c>
      <c r="V76" cm="1">
        <f t="array" ref="V76">IFERROR(IF($E76&lt;44348,"",IF(INDEX(Raw_매출!$B$2:$BI$155,MATCH($A76,Raw_매출!$A$2:$A$155,0),MATCH(EDATE($E76,V$1-1),Raw_매출!$B$1:$BI$1,0))=0,"",INDEX(Raw_매출!$B$2:$BI$155,MATCH($A76,Raw_매출!$A$2:$A$155,0),MATCH(EDATE($E76,V$1-1),Raw_매출!$B$1:$BI$1,0))/(INDEX(요약_월별시즈널리티!$F$7:$F$18,MONTH(EDATE($E76,V$1-1)))/100))),"")</f>
        <v>6190991.797211431</v>
      </c>
      <c r="W76" cm="1">
        <f t="array" ref="W76">IFERROR(IF($E76&lt;44348,"",IF(INDEX(Raw_매출!$B$2:$BI$155,MATCH($A76,Raw_매출!$A$2:$A$155,0),MATCH(EDATE($E76,W$1-1),Raw_매출!$B$1:$BI$1,0))=0,"",INDEX(Raw_매출!$B$2:$BI$155,MATCH($A76,Raw_매출!$A$2:$A$155,0),MATCH(EDATE($E76,W$1-1),Raw_매출!$B$1:$BI$1,0))/(INDEX(요약_월별시즈널리티!$F$7:$F$18,MONTH(EDATE($E76,W$1-1)))/100))),"")</f>
        <v>6028232.5547456229</v>
      </c>
      <c r="X76" cm="1">
        <f t="array" ref="X76">IFERROR(IF($E76&lt;44348,"",IF(INDEX(Raw_매출!$B$2:$BI$155,MATCH($A76,Raw_매출!$A$2:$A$155,0),MATCH(EDATE($E76,X$1-1),Raw_매출!$B$1:$BI$1,0))=0,"",INDEX(Raw_매출!$B$2:$BI$155,MATCH($A76,Raw_매출!$A$2:$A$155,0),MATCH(EDATE($E76,X$1-1),Raw_매출!$B$1:$BI$1,0))/(INDEX(요약_월별시즈널리티!$F$7:$F$18,MONTH(EDATE($E76,X$1-1)))/100))),"")</f>
        <v>6255143.7583326483</v>
      </c>
      <c r="Y76" cm="1">
        <f t="array" ref="Y76">IFERROR(IF($E76&lt;44348,"",IF(INDEX(Raw_매출!$B$2:$BI$155,MATCH($A76,Raw_매출!$A$2:$A$155,0),MATCH(EDATE($E76,Y$1-1),Raw_매출!$B$1:$BI$1,0))=0,"",INDEX(Raw_매출!$B$2:$BI$155,MATCH($A76,Raw_매출!$A$2:$A$155,0),MATCH(EDATE($E76,Y$1-1),Raw_매출!$B$1:$BI$1,0))/(INDEX(요약_월별시즈널리티!$F$7:$F$18,MONTH(EDATE($E76,Y$1-1)))/100))),"")</f>
        <v>5778075.7750950111</v>
      </c>
      <c r="Z76" cm="1">
        <f t="array" ref="Z76">IFERROR(IF($E76&lt;44348,"",IF(INDEX(Raw_매출!$B$2:$BI$155,MATCH($A76,Raw_매출!$A$2:$A$155,0),MATCH(EDATE($E76,Z$1-1),Raw_매출!$B$1:$BI$1,0))=0,"",INDEX(Raw_매출!$B$2:$BI$155,MATCH($A76,Raw_매출!$A$2:$A$155,0),MATCH(EDATE($E76,Z$1-1),Raw_매출!$B$1:$BI$1,0))/(INDEX(요약_월별시즈널리티!$F$7:$F$18,MONTH(EDATE($E76,Z$1-1)))/100))),"")</f>
        <v>5989897.6388907507</v>
      </c>
      <c r="AA76" cm="1">
        <f t="array" ref="AA76">IFERROR(IF($E76&lt;44348,"",IF(INDEX(Raw_매출!$B$2:$BI$155,MATCH($A76,Raw_매출!$A$2:$A$155,0),MATCH(EDATE($E76,AA$1-1),Raw_매출!$B$1:$BI$1,0))=0,"",INDEX(Raw_매출!$B$2:$BI$155,MATCH($A76,Raw_매출!$A$2:$A$155,0),MATCH(EDATE($E76,AA$1-1),Raw_매출!$B$1:$BI$1,0))/(INDEX(요약_월별시즈널리티!$F$7:$F$18,MONTH(EDATE($E76,AA$1-1)))/100))),"")</f>
        <v>5017363.9895268707</v>
      </c>
      <c r="AB76" cm="1">
        <f t="array" ref="AB76">IFERROR(IF($E76&lt;44348,"",IF(INDEX(Raw_매출!$B$2:$BI$155,MATCH($A76,Raw_매출!$A$2:$A$155,0),MATCH(EDATE($E76,AB$1-1),Raw_매출!$B$1:$BI$1,0))=0,"",INDEX(Raw_매출!$B$2:$BI$155,MATCH($A76,Raw_매출!$A$2:$A$155,0),MATCH(EDATE($E76,AB$1-1),Raw_매출!$B$1:$BI$1,0))/(INDEX(요약_월별시즈널리티!$F$7:$F$18,MONTH(EDATE($E76,AB$1-1)))/100))),"")</f>
        <v>4614046.6262618965</v>
      </c>
      <c r="AC76" cm="1">
        <f t="array" ref="AC76">IFERROR(IF($E76&lt;44348,"",IF(INDEX(Raw_매출!$B$2:$BI$155,MATCH($A76,Raw_매출!$A$2:$A$155,0),MATCH(EDATE($E76,AC$1-1),Raw_매출!$B$1:$BI$1,0))=0,"",INDEX(Raw_매출!$B$2:$BI$155,MATCH($A76,Raw_매출!$A$2:$A$155,0),MATCH(EDATE($E76,AC$1-1),Raw_매출!$B$1:$BI$1,0))/(INDEX(요약_월별시즈널리티!$F$7:$F$18,MONTH(EDATE($E76,AC$1-1)))/100))),"")</f>
        <v>4299158.8384902664</v>
      </c>
      <c r="AD76" cm="1">
        <f t="array" ref="AD76">IFERROR(IF($E76&lt;44348,"",IF(INDEX(Raw_매출!$B$2:$BI$155,MATCH($A76,Raw_매출!$A$2:$A$155,0),MATCH(EDATE($E76,AD$1-1),Raw_매출!$B$1:$BI$1,0))=0,"",INDEX(Raw_매출!$B$2:$BI$155,MATCH($A76,Raw_매출!$A$2:$A$155,0),MATCH(EDATE($E76,AD$1-1),Raw_매출!$B$1:$BI$1,0))/(INDEX(요약_월별시즈널리티!$F$7:$F$18,MONTH(EDATE($E76,AD$1-1)))/100))),"")</f>
        <v>4529589.8665085621</v>
      </c>
      <c r="AE76" cm="1">
        <f t="array" ref="AE76">IFERROR(IF($E76&lt;44348,"",IF(INDEX(Raw_매출!$B$2:$BI$155,MATCH($A76,Raw_매출!$A$2:$A$155,0),MATCH(EDATE($E76,AE$1-1),Raw_매출!$B$1:$BI$1,0))=0,"",INDEX(Raw_매출!$B$2:$BI$155,MATCH($A76,Raw_매출!$A$2:$A$155,0),MATCH(EDATE($E76,AE$1-1),Raw_매출!$B$1:$BI$1,0))/(INDEX(요약_월별시즈널리티!$F$7:$F$18,MONTH(EDATE($E76,AE$1-1)))/100))),"")</f>
        <v>5236998.9859357374</v>
      </c>
      <c r="AF76" cm="1">
        <f t="array" ref="AF76">IFERROR(IF($E76&lt;44348,"",IF(INDEX(Raw_매출!$B$2:$BI$155,MATCH($A76,Raw_매출!$A$2:$A$155,0),MATCH(EDATE($E76,AF$1-1),Raw_매출!$B$1:$BI$1,0))=0,"",INDEX(Raw_매출!$B$2:$BI$155,MATCH($A76,Raw_매출!$A$2:$A$155,0),MATCH(EDATE($E76,AF$1-1),Raw_매출!$B$1:$BI$1,0))/(INDEX(요약_월별시즈널리티!$F$7:$F$18,MONTH(EDATE($E76,AF$1-1)))/100))),"")</f>
        <v>4706395.6675742352</v>
      </c>
      <c r="AG76" cm="1">
        <f t="array" ref="AG76">IFERROR(IF($E76&lt;44348,"",IF(INDEX(Raw_매출!$B$2:$BI$155,MATCH($A76,Raw_매출!$A$2:$A$155,0),MATCH(EDATE($E76,AG$1-1),Raw_매출!$B$1:$BI$1,0))=0,"",INDEX(Raw_매출!$B$2:$BI$155,MATCH($A76,Raw_매출!$A$2:$A$155,0),MATCH(EDATE($E76,AG$1-1),Raw_매출!$B$1:$BI$1,0))/(INDEX(요약_월별시즈널리티!$F$7:$F$18,MONTH(EDATE($E76,AG$1-1)))/100))),"")</f>
        <v>4527755.2878110455</v>
      </c>
      <c r="AH76" cm="1">
        <f t="array" ref="AH76">IFERROR(IF($E76&lt;44348,"",IF(INDEX(Raw_매출!$B$2:$BI$155,MATCH($A76,Raw_매출!$A$2:$A$155,0),MATCH(EDATE($E76,AH$1-1),Raw_매출!$B$1:$BI$1,0))=0,"",INDEX(Raw_매출!$B$2:$BI$155,MATCH($A76,Raw_매출!$A$2:$A$155,0),MATCH(EDATE($E76,AH$1-1),Raw_매출!$B$1:$BI$1,0))/(INDEX(요약_월별시즈널리티!$F$7:$F$18,MONTH(EDATE($E76,AH$1-1)))/100))),"")</f>
        <v>5714314.8687941348</v>
      </c>
      <c r="AI76" cm="1">
        <f t="array" ref="AI76">IFERROR(IF($E76&lt;44348,"",IF(INDEX(Raw_매출!$B$2:$BI$155,MATCH($A76,Raw_매출!$A$2:$A$155,0),MATCH(EDATE($E76,AI$1-1),Raw_매출!$B$1:$BI$1,0))=0,"",INDEX(Raw_매출!$B$2:$BI$155,MATCH($A76,Raw_매출!$A$2:$A$155,0),MATCH(EDATE($E76,AI$1-1),Raw_매출!$B$1:$BI$1,0))/(INDEX(요약_월별시즈널리티!$F$7:$F$18,MONTH(EDATE($E76,AI$1-1)))/100))),"")</f>
        <v>5304389.3274363894</v>
      </c>
      <c r="AJ76" cm="1">
        <f t="array" ref="AJ76">IFERROR(IF($E76&lt;44348,"",IF(INDEX(Raw_매출!$B$2:$BI$155,MATCH($A76,Raw_매출!$A$2:$A$155,0),MATCH(EDATE($E76,AJ$1-1),Raw_매출!$B$1:$BI$1,0))=0,"",INDEX(Raw_매출!$B$2:$BI$155,MATCH($A76,Raw_매출!$A$2:$A$155,0),MATCH(EDATE($E76,AJ$1-1),Raw_매출!$B$1:$BI$1,0))/(INDEX(요약_월별시즈널리티!$F$7:$F$18,MONTH(EDATE($E76,AJ$1-1)))/100))),"")</f>
        <v>4841388.4133379189</v>
      </c>
      <c r="AK76" cm="1">
        <f t="array" ref="AK76">IFERROR(IF($E76&lt;44348,"",IF(INDEX(Raw_매출!$B$2:$BI$155,MATCH($A76,Raw_매출!$A$2:$A$155,0),MATCH(EDATE($E76,AK$1-1),Raw_매출!$B$1:$BI$1,0))=0,"",INDEX(Raw_매출!$B$2:$BI$155,MATCH($A76,Raw_매출!$A$2:$A$155,0),MATCH(EDATE($E76,AK$1-1),Raw_매출!$B$1:$BI$1,0))/(INDEX(요약_월별시즈널리티!$F$7:$F$18,MONTH(EDATE($E76,AK$1-1)))/100))),"")</f>
        <v>5125766.9110387051</v>
      </c>
      <c r="AL76" cm="1">
        <f t="array" ref="AL76">IFERROR(IF($E76&lt;44348,"",IF(INDEX(Raw_매출!$B$2:$BI$155,MATCH($A76,Raw_매출!$A$2:$A$155,0),MATCH(EDATE($E76,AL$1-1),Raw_매출!$B$1:$BI$1,0))=0,"",INDEX(Raw_매출!$B$2:$BI$155,MATCH($A76,Raw_매출!$A$2:$A$155,0),MATCH(EDATE($E76,AL$1-1),Raw_매출!$B$1:$BI$1,0))/(INDEX(요약_월별시즈널리티!$F$7:$F$18,MONTH(EDATE($E76,AL$1-1)))/100))),"")</f>
        <v>5702253.1121869776</v>
      </c>
      <c r="AM76" cm="1">
        <f t="array" ref="AM76">IFERROR(IF($E76&lt;44348,"",IF(INDEX(Raw_매출!$B$2:$BI$155,MATCH($A76,Raw_매출!$A$2:$A$155,0),MATCH(EDATE($E76,AM$1-1),Raw_매출!$B$1:$BI$1,0))=0,"",INDEX(Raw_매출!$B$2:$BI$155,MATCH($A76,Raw_매출!$A$2:$A$155,0),MATCH(EDATE($E76,AM$1-1),Raw_매출!$B$1:$BI$1,0))/(INDEX(요약_월별시즈널리티!$F$7:$F$18,MONTH(EDATE($E76,AM$1-1)))/100))),"")</f>
        <v>5810999.9293854786</v>
      </c>
      <c r="AN76" cm="1">
        <f t="array" ref="AN76">IFERROR(IF($E76&lt;44348,"",IF(INDEX(Raw_매출!$B$2:$BI$155,MATCH($A76,Raw_매출!$A$2:$A$155,0),MATCH(EDATE($E76,AN$1-1),Raw_매출!$B$1:$BI$1,0))=0,"",INDEX(Raw_매출!$B$2:$BI$155,MATCH($A76,Raw_매출!$A$2:$A$155,0),MATCH(EDATE($E76,AN$1-1),Raw_매출!$B$1:$BI$1,0))/(INDEX(요약_월별시즈널리티!$F$7:$F$18,MONTH(EDATE($E76,AN$1-1)))/100))),"")</f>
        <v>5422979.1523116427</v>
      </c>
      <c r="AO76" cm="1">
        <f t="array" ref="AO76">IFERROR(IF($E76&lt;44348,"",IF(INDEX(Raw_매출!$B$2:$BI$155,MATCH($A76,Raw_매출!$A$2:$A$155,0),MATCH(EDATE($E76,AO$1-1),Raw_매출!$B$1:$BI$1,0))=0,"",INDEX(Raw_매출!$B$2:$BI$155,MATCH($A76,Raw_매출!$A$2:$A$155,0),MATCH(EDATE($E76,AO$1-1),Raw_매출!$B$1:$BI$1,0))/(INDEX(요약_월별시즈널리티!$F$7:$F$18,MONTH(EDATE($E76,AO$1-1)))/100))),"")</f>
        <v>5232946.5125536686</v>
      </c>
      <c r="AP76" cm="1">
        <f t="array" ref="AP76">IFERROR(IF($E76&lt;44348,"",IF(INDEX(Raw_매출!$B$2:$BI$155,MATCH($A76,Raw_매출!$A$2:$A$155,0),MATCH(EDATE($E76,AP$1-1),Raw_매출!$B$1:$BI$1,0))=0,"",INDEX(Raw_매출!$B$2:$BI$155,MATCH($A76,Raw_매출!$A$2:$A$155,0),MATCH(EDATE($E76,AP$1-1),Raw_매출!$B$1:$BI$1,0))/(INDEX(요약_월별시즈널리티!$F$7:$F$18,MONTH(EDATE($E76,AP$1-1)))/100))),"")</f>
        <v>5329543.1419897387</v>
      </c>
      <c r="AQ76" cm="1">
        <f t="array" ref="AQ76">IFERROR(IF($E76&lt;44348,"",IF(INDEX(Raw_매출!$B$2:$BI$155,MATCH($A76,Raw_매출!$A$2:$A$155,0),MATCH(EDATE($E76,AQ$1-1),Raw_매출!$B$1:$BI$1,0))=0,"",INDEX(Raw_매출!$B$2:$BI$155,MATCH($A76,Raw_매출!$A$2:$A$155,0),MATCH(EDATE($E76,AQ$1-1),Raw_매출!$B$1:$BI$1,0))/(INDEX(요약_월별시즈널리티!$F$7:$F$18,MONTH(EDATE($E76,AQ$1-1)))/100))),"")</f>
        <v>5583846.4318853114</v>
      </c>
      <c r="AR76" cm="1">
        <f t="array" ref="AR76">IFERROR(IF($E76&lt;44348,"",IF(INDEX(Raw_매출!$B$2:$BI$155,MATCH($A76,Raw_매출!$A$2:$A$155,0),MATCH(EDATE($E76,AR$1-1),Raw_매출!$B$1:$BI$1,0))=0,"",INDEX(Raw_매출!$B$2:$BI$155,MATCH($A76,Raw_매출!$A$2:$A$155,0),MATCH(EDATE($E76,AR$1-1),Raw_매출!$B$1:$BI$1,0))/(INDEX(요약_월별시즈널리티!$F$7:$F$18,MONTH(EDATE($E76,AR$1-1)))/100))),"")</f>
        <v>5491933.8242085911</v>
      </c>
      <c r="AS76" cm="1">
        <f t="array" ref="AS76">IFERROR(IF($E76&lt;44348,"",IF(INDEX(Raw_매출!$B$2:$BI$155,MATCH($A76,Raw_매출!$A$2:$A$155,0),MATCH(EDATE($E76,AS$1-1),Raw_매출!$B$1:$BI$1,0))=0,"",INDEX(Raw_매출!$B$2:$BI$155,MATCH($A76,Raw_매출!$A$2:$A$155,0),MATCH(EDATE($E76,AS$1-1),Raw_매출!$B$1:$BI$1,0))/(INDEX(요약_월별시즈널리티!$F$7:$F$18,MONTH(EDATE($E76,AS$1-1)))/100))),"")</f>
        <v>5309331.1065209582</v>
      </c>
      <c r="AT76" cm="1">
        <f t="array" ref="AT76">IFERROR(IF($E76&lt;44348,"",IF(INDEX(Raw_매출!$B$2:$BI$155,MATCH($A76,Raw_매출!$A$2:$A$155,0),MATCH(EDATE($E76,AT$1-1),Raw_매출!$B$1:$BI$1,0))=0,"",INDEX(Raw_매출!$B$2:$BI$155,MATCH($A76,Raw_매출!$A$2:$A$155,0),MATCH(EDATE($E76,AT$1-1),Raw_매출!$B$1:$BI$1,0))/(INDEX(요약_월별시즈널리티!$F$7:$F$18,MONTH(EDATE($E76,AT$1-1)))/100))),"")</f>
        <v>5739654.8799213227</v>
      </c>
      <c r="AU76" t="str" cm="1">
        <f t="array" ref="AU76">IFERROR(IF($E76&lt;44348,"",IF(INDEX(Raw_매출!$B$2:$BI$155,MATCH($A76,Raw_매출!$A$2:$A$155,0),MATCH(EDATE($E76,AU$1-1),Raw_매출!$B$1:$BI$1,0))=0,"",INDEX(Raw_매출!$B$2:$BI$155,MATCH($A76,Raw_매출!$A$2:$A$155,0),MATCH(EDATE($E76,AU$1-1),Raw_매출!$B$1:$BI$1,0))/(INDEX(요약_월별시즈널리티!$F$7:$F$18,MONTH(EDATE($E76,AU$1-1)))/100))),"")</f>
        <v/>
      </c>
      <c r="AV76" t="str" cm="1">
        <f t="array" ref="AV76">IFERROR(IF($E76&lt;44348,"",IF(INDEX(Raw_매출!$B$2:$BI$155,MATCH($A76,Raw_매출!$A$2:$A$155,0),MATCH(EDATE($E76,AV$1-1),Raw_매출!$B$1:$BI$1,0))=0,"",INDEX(Raw_매출!$B$2:$BI$155,MATCH($A76,Raw_매출!$A$2:$A$155,0),MATCH(EDATE($E76,AV$1-1),Raw_매출!$B$1:$BI$1,0))/(INDEX(요약_월별시즈널리티!$F$7:$F$18,MONTH(EDATE($E76,AV$1-1)))/100))),"")</f>
        <v/>
      </c>
      <c r="AW76" t="str" cm="1">
        <f t="array" ref="AW76">IFERROR(IF($E76&lt;44348,"",IF(INDEX(Raw_매출!$B$2:$BI$155,MATCH($A76,Raw_매출!$A$2:$A$155,0),MATCH(EDATE($E76,AW$1-1),Raw_매출!$B$1:$BI$1,0))=0,"",INDEX(Raw_매출!$B$2:$BI$155,MATCH($A76,Raw_매출!$A$2:$A$155,0),MATCH(EDATE($E76,AW$1-1),Raw_매출!$B$1:$BI$1,0))/(INDEX(요약_월별시즈널리티!$F$7:$F$18,MONTH(EDATE($E76,AW$1-1)))/100))),"")</f>
        <v/>
      </c>
      <c r="AX76" t="str" cm="1">
        <f t="array" ref="AX76">IFERROR(IF($E76&lt;44348,"",IF(INDEX(Raw_매출!$B$2:$BI$155,MATCH($A76,Raw_매출!$A$2:$A$155,0),MATCH(EDATE($E76,AX$1-1),Raw_매출!$B$1:$BI$1,0))=0,"",INDEX(Raw_매출!$B$2:$BI$155,MATCH($A76,Raw_매출!$A$2:$A$155,0),MATCH(EDATE($E76,AX$1-1),Raw_매출!$B$1:$BI$1,0))/(INDEX(요약_월별시즈널리티!$F$7:$F$18,MONTH(EDATE($E76,AX$1-1)))/100))),"")</f>
        <v/>
      </c>
      <c r="AY76" t="str" cm="1">
        <f t="array" ref="AY76">IFERROR(IF($E76&lt;44348,"",IF(INDEX(Raw_매출!$B$2:$BI$155,MATCH($A76,Raw_매출!$A$2:$A$155,0),MATCH(EDATE($E76,AY$1-1),Raw_매출!$B$1:$BI$1,0))=0,"",INDEX(Raw_매출!$B$2:$BI$155,MATCH($A76,Raw_매출!$A$2:$A$155,0),MATCH(EDATE($E76,AY$1-1),Raw_매출!$B$1:$BI$1,0))/(INDEX(요약_월별시즈널리티!$F$7:$F$18,MONTH(EDATE($E76,AY$1-1)))/100))),"")</f>
        <v/>
      </c>
      <c r="AZ76" t="str" cm="1">
        <f t="array" ref="AZ76">IFERROR(IF($E76&lt;44348,"",IF(INDEX(Raw_매출!$B$2:$BI$155,MATCH($A76,Raw_매출!$A$2:$A$155,0),MATCH(EDATE($E76,AZ$1-1),Raw_매출!$B$1:$BI$1,0))=0,"",INDEX(Raw_매출!$B$2:$BI$155,MATCH($A76,Raw_매출!$A$2:$A$155,0),MATCH(EDATE($E76,AZ$1-1),Raw_매출!$B$1:$BI$1,0))/(INDEX(요약_월별시즈널리티!$F$7:$F$18,MONTH(EDATE($E76,AZ$1-1)))/100))),"")</f>
        <v/>
      </c>
      <c r="BA76" t="str" cm="1">
        <f t="array" ref="BA76">IFERROR(IF($E76&lt;44348,"",IF(INDEX(Raw_매출!$B$2:$BI$155,MATCH($A76,Raw_매출!$A$2:$A$155,0),MATCH(EDATE($E76,BA$1-1),Raw_매출!$B$1:$BI$1,0))=0,"",INDEX(Raw_매출!$B$2:$BI$155,MATCH($A76,Raw_매출!$A$2:$A$155,0),MATCH(EDATE($E76,BA$1-1),Raw_매출!$B$1:$BI$1,0))/(INDEX(요약_월별시즈널리티!$F$7:$F$18,MONTH(EDATE($E76,BA$1-1)))/100))),"")</f>
        <v/>
      </c>
      <c r="BB76" t="str" cm="1">
        <f t="array" ref="BB76">IFERROR(IF($E76&lt;44348,"",IF(INDEX(Raw_매출!$B$2:$BI$155,MATCH($A76,Raw_매출!$A$2:$A$155,0),MATCH(EDATE($E76,BB$1-1),Raw_매출!$B$1:$BI$1,0))=0,"",INDEX(Raw_매출!$B$2:$BI$155,MATCH($A76,Raw_매출!$A$2:$A$155,0),MATCH(EDATE($E76,BB$1-1),Raw_매출!$B$1:$BI$1,0))/(INDEX(요약_월별시즈널리티!$F$7:$F$18,MONTH(EDATE($E76,BB$1-1)))/100))),"")</f>
        <v/>
      </c>
      <c r="BC76" t="str" cm="1">
        <f t="array" ref="BC76">IFERROR(IF($E76&lt;44348,"",IF(INDEX(Raw_매출!$B$2:$BI$155,MATCH($A76,Raw_매출!$A$2:$A$155,0),MATCH(EDATE($E76,BC$1-1),Raw_매출!$B$1:$BI$1,0))=0,"",INDEX(Raw_매출!$B$2:$BI$155,MATCH($A76,Raw_매출!$A$2:$A$155,0),MATCH(EDATE($E76,BC$1-1),Raw_매출!$B$1:$BI$1,0))/(INDEX(요약_월별시즈널리티!$F$7:$F$18,MONTH(EDATE($E76,BC$1-1)))/100))),"")</f>
        <v/>
      </c>
      <c r="BD76" t="str" cm="1">
        <f t="array" ref="BD76">IFERROR(IF($E76&lt;44348,"",IF(INDEX(Raw_매출!$B$2:$BI$155,MATCH($A76,Raw_매출!$A$2:$A$155,0),MATCH(EDATE($E76,BD$1-1),Raw_매출!$B$1:$BI$1,0))=0,"",INDEX(Raw_매출!$B$2:$BI$155,MATCH($A76,Raw_매출!$A$2:$A$155,0),MATCH(EDATE($E76,BD$1-1),Raw_매출!$B$1:$BI$1,0))/(INDEX(요약_월별시즈널리티!$F$7:$F$18,MONTH(EDATE($E76,BD$1-1)))/100))),"")</f>
        <v/>
      </c>
      <c r="BE76" t="str" cm="1">
        <f t="array" ref="BE76">IFERROR(IF($E76&lt;44348,"",IF(INDEX(Raw_매출!$B$2:$BI$155,MATCH($A76,Raw_매출!$A$2:$A$155,0),MATCH(EDATE($E76,BE$1-1),Raw_매출!$B$1:$BI$1,0))=0,"",INDEX(Raw_매출!$B$2:$BI$155,MATCH($A76,Raw_매출!$A$2:$A$155,0),MATCH(EDATE($E76,BE$1-1),Raw_매출!$B$1:$BI$1,0))/(INDEX(요약_월별시즈널리티!$F$7:$F$18,MONTH(EDATE($E76,BE$1-1)))/100))),"")</f>
        <v/>
      </c>
      <c r="BF76" t="str" cm="1">
        <f t="array" ref="BF76">IFERROR(IF($E76&lt;44348,"",IF(INDEX(Raw_매출!$B$2:$BI$155,MATCH($A76,Raw_매출!$A$2:$A$155,0),MATCH(EDATE($E76,BF$1-1),Raw_매출!$B$1:$BI$1,0))=0,"",INDEX(Raw_매출!$B$2:$BI$155,MATCH($A76,Raw_매출!$A$2:$A$155,0),MATCH(EDATE($E76,BF$1-1),Raw_매출!$B$1:$BI$1,0))/(INDEX(요약_월별시즈널리티!$F$7:$F$18,MONTH(EDATE($E76,BF$1-1)))/100))),"")</f>
        <v/>
      </c>
      <c r="BG76" t="str" cm="1">
        <f t="array" ref="BG76">IFERROR(IF($E76&lt;44348,"",IF(INDEX(Raw_매출!$B$2:$BI$155,MATCH($A76,Raw_매출!$A$2:$A$155,0),MATCH(EDATE($E76,BG$1-1),Raw_매출!$B$1:$BI$1,0))=0,"",INDEX(Raw_매출!$B$2:$BI$155,MATCH($A76,Raw_매출!$A$2:$A$155,0),MATCH(EDATE($E76,BG$1-1),Raw_매출!$B$1:$BI$1,0))/(INDEX(요약_월별시즈널리티!$F$7:$F$18,MONTH(EDATE($E76,BG$1-1)))/100))),"")</f>
        <v/>
      </c>
      <c r="BH76" t="str" cm="1">
        <f t="array" ref="BH76">IFERROR(IF($E76&lt;44348,"",IF(INDEX(Raw_매출!$B$2:$BI$155,MATCH($A76,Raw_매출!$A$2:$A$155,0),MATCH(EDATE($E76,BH$1-1),Raw_매출!$B$1:$BI$1,0))=0,"",INDEX(Raw_매출!$B$2:$BI$155,MATCH($A76,Raw_매출!$A$2:$A$155,0),MATCH(EDATE($E76,BH$1-1),Raw_매출!$B$1:$BI$1,0))/(INDEX(요약_월별시즈널리티!$F$7:$F$18,MONTH(EDATE($E76,BH$1-1)))/100))),"")</f>
        <v/>
      </c>
      <c r="BI76" t="str" cm="1">
        <f t="array" ref="BI76">IFERROR(IF($E76&lt;44348,"",IF(INDEX(Raw_매출!$B$2:$BI$155,MATCH($A76,Raw_매출!$A$2:$A$155,0),MATCH(EDATE($E76,BI$1-1),Raw_매출!$B$1:$BI$1,0))=0,"",INDEX(Raw_매출!$B$2:$BI$155,MATCH($A76,Raw_매출!$A$2:$A$155,0),MATCH(EDATE($E76,BI$1-1),Raw_매출!$B$1:$BI$1,0))/(INDEX(요약_월별시즈널리티!$F$7:$F$18,MONTH(EDATE($E76,BI$1-1)))/100))),"")</f>
        <v/>
      </c>
      <c r="BJ76" t="str" cm="1">
        <f t="array" ref="BJ76">IFERROR(IF($E76&lt;44348,"",IF(INDEX(Raw_매출!$B$2:$BI$155,MATCH($A76,Raw_매출!$A$2:$A$155,0),MATCH(EDATE($E76,BJ$1-1),Raw_매출!$B$1:$BI$1,0))=0,"",INDEX(Raw_매출!$B$2:$BI$155,MATCH($A76,Raw_매출!$A$2:$A$155,0),MATCH(EDATE($E76,BJ$1-1),Raw_매출!$B$1:$BI$1,0))/(INDEX(요약_월별시즈널리티!$F$7:$F$18,MONTH(EDATE($E76,BJ$1-1)))/100))),"")</f>
        <v/>
      </c>
      <c r="BK76" t="str" cm="1">
        <f t="array" ref="BK76">IFERROR(IF($E76&lt;44348,"",IF(INDEX(Raw_매출!$B$2:$BI$155,MATCH($A76,Raw_매출!$A$2:$A$155,0),MATCH(EDATE($E76,BK$1-1),Raw_매출!$B$1:$BI$1,0))=0,"",INDEX(Raw_매출!$B$2:$BI$155,MATCH($A76,Raw_매출!$A$2:$A$155,0),MATCH(EDATE($E76,BK$1-1),Raw_매출!$B$1:$BI$1,0))/(INDEX(요약_월별시즈널리티!$F$7:$F$18,MONTH(EDATE($E76,BK$1-1)))/100))),"")</f>
        <v/>
      </c>
      <c r="BL76" t="str" cm="1">
        <f t="array" ref="BL76">IFERROR(IF($E76&lt;44348,"",IF(INDEX(Raw_매출!$B$2:$BI$155,MATCH($A76,Raw_매출!$A$2:$A$155,0),MATCH(EDATE($E76,BL$1-1),Raw_매출!$B$1:$BI$1,0))=0,"",INDEX(Raw_매출!$B$2:$BI$155,MATCH($A76,Raw_매출!$A$2:$A$155,0),MATCH(EDATE($E76,BL$1-1),Raw_매출!$B$1:$BI$1,0))/(INDEX(요약_월별시즈널리티!$F$7:$F$18,MONTH(EDATE($E76,BL$1-1)))/100))),"")</f>
        <v/>
      </c>
      <c r="BM76" t="str" cm="1">
        <f t="array" ref="BM76">IFERROR(IF($E76&lt;44348,"",IF(INDEX(Raw_매출!$B$2:$BI$155,MATCH($A76,Raw_매출!$A$2:$A$155,0),MATCH(EDATE($E76,BM$1-1),Raw_매출!$B$1:$BI$1,0))=0,"",INDEX(Raw_매출!$B$2:$BI$155,MATCH($A76,Raw_매출!$A$2:$A$155,0),MATCH(EDATE($E76,BM$1-1),Raw_매출!$B$1:$BI$1,0))/(INDEX(요약_월별시즈널리티!$F$7:$F$18,MONTH(EDATE($E76,BM$1-1)))/100))),"")</f>
        <v/>
      </c>
      <c r="BN76" t="str" cm="1">
        <f t="array" ref="BN76">IFERROR(IF($E76&lt;44348,"",IF(INDEX(Raw_매출!$B$2:$BI$155,MATCH($A76,Raw_매출!$A$2:$A$155,0),MATCH(EDATE($E76,BN$1-1),Raw_매출!$B$1:$BI$1,0))=0,"",INDEX(Raw_매출!$B$2:$BI$155,MATCH($A76,Raw_매출!$A$2:$A$155,0),MATCH(EDATE($E76,BN$1-1),Raw_매출!$B$1:$BI$1,0))/(INDEX(요약_월별시즈널리티!$F$7:$F$18,MONTH(EDATE($E76,BN$1-1)))/100))),"")</f>
        <v/>
      </c>
    </row>
    <row r="77" spans="1:66" x14ac:dyDescent="0.4">
      <c r="A77" t="str">
        <f>세팅!A78</f>
        <v>(1066) #원천삼성점</v>
      </c>
      <c r="B77" t="str">
        <f>세팅!B78</f>
        <v>150-1</v>
      </c>
      <c r="C77">
        <f t="shared" si="3"/>
        <v>1</v>
      </c>
      <c r="D77" t="str">
        <f t="shared" si="4"/>
        <v>1</v>
      </c>
      <c r="E77" s="1">
        <f>세팅!D78</f>
        <v>44986</v>
      </c>
      <c r="F77">
        <f t="shared" si="5"/>
        <v>3604587.7128884182</v>
      </c>
      <c r="G77" cm="1">
        <f t="array" ref="G77">IFERROR(IF($E77&lt;44348,"",IF(INDEX(Raw_매출!$B$2:$BI$155,MATCH($A77,Raw_매출!$A$2:$A$155,0),MATCH(EDATE($E77,G$1-1),Raw_매출!$B$1:$BI$1,0))=0,"",INDEX(Raw_매출!$B$2:$BI$155,MATCH($A77,Raw_매출!$A$2:$A$155,0),MATCH(EDATE($E77,G$1-1),Raw_매출!$B$1:$BI$1,0))/(INDEX(요약_월별시즈널리티!$F$7:$F$18,MONTH(EDATE($E77,G$1-1)))/100))),"")</f>
        <v>2388352.1379198926</v>
      </c>
      <c r="H77" cm="1">
        <f t="array" ref="H77">IFERROR(IF($E77&lt;44348,"",IF(INDEX(Raw_매출!$B$2:$BI$155,MATCH($A77,Raw_매출!$A$2:$A$155,0),MATCH(EDATE($E77,H$1-1),Raw_매출!$B$1:$BI$1,0))=0,"",INDEX(Raw_매출!$B$2:$BI$155,MATCH($A77,Raw_매출!$A$2:$A$155,0),MATCH(EDATE($E77,H$1-1),Raw_매출!$B$1:$BI$1,0))/(INDEX(요약_월별시즈널리티!$F$7:$F$18,MONTH(EDATE($E77,H$1-1)))/100))),"")</f>
        <v>2612313.1843088814</v>
      </c>
      <c r="I77" cm="1">
        <f t="array" ref="I77">IFERROR(IF($E77&lt;44348,"",IF(INDEX(Raw_매출!$B$2:$BI$155,MATCH($A77,Raw_매출!$A$2:$A$155,0),MATCH(EDATE($E77,I$1-1),Raw_매출!$B$1:$BI$1,0))=0,"",INDEX(Raw_매출!$B$2:$BI$155,MATCH($A77,Raw_매출!$A$2:$A$155,0),MATCH(EDATE($E77,I$1-1),Raw_매출!$B$1:$BI$1,0))/(INDEX(요약_월별시즈널리티!$F$7:$F$18,MONTH(EDATE($E77,I$1-1)))/100))),"")</f>
        <v>3284710.8056629295</v>
      </c>
      <c r="J77" s="30" cm="1">
        <f t="array" ref="J77">IFERROR(IF($E77&lt;44348,"",IF(INDEX(Raw_매출!$B$2:$BI$155,MATCH($A77,Raw_매출!$A$2:$A$155,0),MATCH(EDATE($E77,J$1-1),Raw_매출!$B$1:$BI$1,0))=0,"",INDEX(Raw_매출!$B$2:$BI$155,MATCH($A77,Raw_매출!$A$2:$A$155,0),MATCH(EDATE($E77,J$1-1),Raw_매출!$B$1:$BI$1,0))/(INDEX(요약_월별시즈널리티!$F$7:$F$18,MONTH(EDATE($E77,J$1-1)))/100))),"")</f>
        <v>3236863.4640562106</v>
      </c>
      <c r="K77" s="30" cm="1">
        <f t="array" ref="K77">IFERROR(IF($E77&lt;44348,"",IF(INDEX(Raw_매출!$B$2:$BI$155,MATCH($A77,Raw_매출!$A$2:$A$155,0),MATCH(EDATE($E77,K$1-1),Raw_매출!$B$1:$BI$1,0))=0,"",INDEX(Raw_매출!$B$2:$BI$155,MATCH($A77,Raw_매출!$A$2:$A$155,0),MATCH(EDATE($E77,K$1-1),Raw_매출!$B$1:$BI$1,0))/(INDEX(요약_월별시즈널리티!$F$7:$F$18,MONTH(EDATE($E77,K$1-1)))/100))),"")</f>
        <v>3800201.8801196241</v>
      </c>
      <c r="L77" s="30" cm="1">
        <f t="array" ref="L77">IFERROR(IF($E77&lt;44348,"",IF(INDEX(Raw_매출!$B$2:$BI$155,MATCH($A77,Raw_매출!$A$2:$A$155,0),MATCH(EDATE($E77,L$1-1),Raw_매출!$B$1:$BI$1,0))=0,"",INDEX(Raw_매출!$B$2:$BI$155,MATCH($A77,Raw_매출!$A$2:$A$155,0),MATCH(EDATE($E77,L$1-1),Raw_매출!$B$1:$BI$1,0))/(INDEX(요약_월별시즈널리티!$F$7:$F$18,MONTH(EDATE($E77,L$1-1)))/100))),"")</f>
        <v>3610654.2621730031</v>
      </c>
      <c r="M77" s="30" cm="1">
        <f t="array" ref="M77">IFERROR(IF($E77&lt;44348,"",IF(INDEX(Raw_매출!$B$2:$BI$155,MATCH($A77,Raw_매출!$A$2:$A$155,0),MATCH(EDATE($E77,M$1-1),Raw_매출!$B$1:$BI$1,0))=0,"",INDEX(Raw_매출!$B$2:$BI$155,MATCH($A77,Raw_매출!$A$2:$A$155,0),MATCH(EDATE($E77,M$1-1),Raw_매출!$B$1:$BI$1,0))/(INDEX(요약_월별시즈널리티!$F$7:$F$18,MONTH(EDATE($E77,M$1-1)))/100))),"")</f>
        <v>3564594.8465477945</v>
      </c>
      <c r="N77" s="30" cm="1">
        <f t="array" ref="N77">IFERROR(IF($E77&lt;44348,"",IF(INDEX(Raw_매출!$B$2:$BI$155,MATCH($A77,Raw_매출!$A$2:$A$155,0),MATCH(EDATE($E77,N$1-1),Raw_매출!$B$1:$BI$1,0))=0,"",INDEX(Raw_매출!$B$2:$BI$155,MATCH($A77,Raw_매출!$A$2:$A$155,0),MATCH(EDATE($E77,N$1-1),Raw_매출!$B$1:$BI$1,0))/(INDEX(요약_월별시즈널리티!$F$7:$F$18,MONTH(EDATE($E77,N$1-1)))/100))),"")</f>
        <v>3634686.5067756041</v>
      </c>
      <c r="O77" s="30" cm="1">
        <f t="array" ref="O77">IFERROR(IF($E77&lt;44348,"",IF(INDEX(Raw_매출!$B$2:$BI$155,MATCH($A77,Raw_매출!$A$2:$A$155,0),MATCH(EDATE($E77,O$1-1),Raw_매출!$B$1:$BI$1,0))=0,"",INDEX(Raw_매출!$B$2:$BI$155,MATCH($A77,Raw_매출!$A$2:$A$155,0),MATCH(EDATE($E77,O$1-1),Raw_매출!$B$1:$BI$1,0))/(INDEX(요약_월별시즈널리티!$F$7:$F$18,MONTH(EDATE($E77,O$1-1)))/100))),"")</f>
        <v>3780525.3176582754</v>
      </c>
      <c r="P77" cm="1">
        <f t="array" ref="P77">IFERROR(IF($E77&lt;44348,"",IF(INDEX(Raw_매출!$B$2:$BI$155,MATCH($A77,Raw_매출!$A$2:$A$155,0),MATCH(EDATE($E77,P$1-1),Raw_매출!$B$1:$BI$1,0))=0,"",INDEX(Raw_매출!$B$2:$BI$155,MATCH($A77,Raw_매출!$A$2:$A$155,0),MATCH(EDATE($E77,P$1-1),Raw_매출!$B$1:$BI$1,0))/(INDEX(요약_월별시즈널리티!$F$7:$F$18,MONTH(EDATE($E77,P$1-1)))/100))),"")</f>
        <v>4646631.596675016</v>
      </c>
      <c r="Q77" cm="1">
        <f t="array" ref="Q77">IFERROR(IF($E77&lt;44348,"",IF(INDEX(Raw_매출!$B$2:$BI$155,MATCH($A77,Raw_매출!$A$2:$A$155,0),MATCH(EDATE($E77,Q$1-1),Raw_매출!$B$1:$BI$1,0))=0,"",INDEX(Raw_매출!$B$2:$BI$155,MATCH($A77,Raw_매출!$A$2:$A$155,0),MATCH(EDATE($E77,Q$1-1),Raw_매출!$B$1:$BI$1,0))/(INDEX(요약_월별시즈널리티!$F$7:$F$18,MONTH(EDATE($E77,Q$1-1)))/100))),"")</f>
        <v>4740607.4779987829</v>
      </c>
      <c r="R77" cm="1">
        <f t="array" ref="R77">IFERROR(IF($E77&lt;44348,"",IF(INDEX(Raw_매출!$B$2:$BI$155,MATCH($A77,Raw_매출!$A$2:$A$155,0),MATCH(EDATE($E77,R$1-1),Raw_매출!$B$1:$BI$1,0))=0,"",INDEX(Raw_매출!$B$2:$BI$155,MATCH($A77,Raw_매출!$A$2:$A$155,0),MATCH(EDATE($E77,R$1-1),Raw_매출!$B$1:$BI$1,0))/(INDEX(요약_월별시즈널리티!$F$7:$F$18,MONTH(EDATE($E77,R$1-1)))/100))),"")</f>
        <v>3740898.3026253507</v>
      </c>
      <c r="S77" cm="1">
        <f t="array" ref="S77">IFERROR(IF($E77&lt;44348,"",IF(INDEX(Raw_매출!$B$2:$BI$155,MATCH($A77,Raw_매출!$A$2:$A$155,0),MATCH(EDATE($E77,S$1-1),Raw_매출!$B$1:$BI$1,0))=0,"",INDEX(Raw_매출!$B$2:$BI$155,MATCH($A77,Raw_매출!$A$2:$A$155,0),MATCH(EDATE($E77,S$1-1),Raw_매출!$B$1:$BI$1,0))/(INDEX(요약_월별시즈널리티!$F$7:$F$18,MONTH(EDATE($E77,S$1-1)))/100))),"")</f>
        <v>4683024.6416124292</v>
      </c>
      <c r="T77" cm="1">
        <f t="array" ref="T77">IFERROR(IF($E77&lt;44348,"",IF(INDEX(Raw_매출!$B$2:$BI$155,MATCH($A77,Raw_매출!$A$2:$A$155,0),MATCH(EDATE($E77,T$1-1),Raw_매출!$B$1:$BI$1,0))=0,"",INDEX(Raw_매출!$B$2:$BI$155,MATCH($A77,Raw_매출!$A$2:$A$155,0),MATCH(EDATE($E77,T$1-1),Raw_매출!$B$1:$BI$1,0))/(INDEX(요약_월별시즈널리티!$F$7:$F$18,MONTH(EDATE($E77,T$1-1)))/100))),"")</f>
        <v>4819859.1723247822</v>
      </c>
      <c r="U77" cm="1">
        <f t="array" ref="U77">IFERROR(IF($E77&lt;44348,"",IF(INDEX(Raw_매출!$B$2:$BI$155,MATCH($A77,Raw_매출!$A$2:$A$155,0),MATCH(EDATE($E77,U$1-1),Raw_매출!$B$1:$BI$1,0))=0,"",INDEX(Raw_매출!$B$2:$BI$155,MATCH($A77,Raw_매출!$A$2:$A$155,0),MATCH(EDATE($E77,U$1-1),Raw_매출!$B$1:$BI$1,0))/(INDEX(요약_월별시즈널리티!$F$7:$F$18,MONTH(EDATE($E77,U$1-1)))/100))),"")</f>
        <v>4213816.0750705684</v>
      </c>
      <c r="V77" cm="1">
        <f t="array" ref="V77">IFERROR(IF($E77&lt;44348,"",IF(INDEX(Raw_매출!$B$2:$BI$155,MATCH($A77,Raw_매출!$A$2:$A$155,0),MATCH(EDATE($E77,V$1-1),Raw_매출!$B$1:$BI$1,0))=0,"",INDEX(Raw_매출!$B$2:$BI$155,MATCH($A77,Raw_매출!$A$2:$A$155,0),MATCH(EDATE($E77,V$1-1),Raw_매출!$B$1:$BI$1,0))/(INDEX(요약_월별시즈널리티!$F$7:$F$18,MONTH(EDATE($E77,V$1-1)))/100))),"")</f>
        <v>3945334.7518607592</v>
      </c>
      <c r="W77" cm="1">
        <f t="array" ref="W77">IFERROR(IF($E77&lt;44348,"",IF(INDEX(Raw_매출!$B$2:$BI$155,MATCH($A77,Raw_매출!$A$2:$A$155,0),MATCH(EDATE($E77,W$1-1),Raw_매출!$B$1:$BI$1,0))=0,"",INDEX(Raw_매출!$B$2:$BI$155,MATCH($A77,Raw_매출!$A$2:$A$155,0),MATCH(EDATE($E77,W$1-1),Raw_매출!$B$1:$BI$1,0))/(INDEX(요약_월별시즈널리티!$F$7:$F$18,MONTH(EDATE($E77,W$1-1)))/100))),"")</f>
        <v>4640478.2933258638</v>
      </c>
      <c r="X77" cm="1">
        <f t="array" ref="X77">IFERROR(IF($E77&lt;44348,"",IF(INDEX(Raw_매출!$B$2:$BI$155,MATCH($A77,Raw_매출!$A$2:$A$155,0),MATCH(EDATE($E77,X$1-1),Raw_매출!$B$1:$BI$1,0))=0,"",INDEX(Raw_매출!$B$2:$BI$155,MATCH($A77,Raw_매출!$A$2:$A$155,0),MATCH(EDATE($E77,X$1-1),Raw_매출!$B$1:$BI$1,0))/(INDEX(요약_월별시즈널리티!$F$7:$F$18,MONTH(EDATE($E77,X$1-1)))/100))),"")</f>
        <v>4575824.4316279665</v>
      </c>
      <c r="Y77" cm="1">
        <f t="array" ref="Y77">IFERROR(IF($E77&lt;44348,"",IF(INDEX(Raw_매출!$B$2:$BI$155,MATCH($A77,Raw_매출!$A$2:$A$155,0),MATCH(EDATE($E77,Y$1-1),Raw_매출!$B$1:$BI$1,0))=0,"",INDEX(Raw_매출!$B$2:$BI$155,MATCH($A77,Raw_매출!$A$2:$A$155,0),MATCH(EDATE($E77,Y$1-1),Raw_매출!$B$1:$BI$1,0))/(INDEX(요약_월별시즈널리티!$F$7:$F$18,MONTH(EDATE($E77,Y$1-1)))/100))),"")</f>
        <v>4399013.6654181657</v>
      </c>
      <c r="Z77" cm="1">
        <f t="array" ref="Z77">IFERROR(IF($E77&lt;44348,"",IF(INDEX(Raw_매출!$B$2:$BI$155,MATCH($A77,Raw_매출!$A$2:$A$155,0),MATCH(EDATE($E77,Z$1-1),Raw_매출!$B$1:$BI$1,0))=0,"",INDEX(Raw_매출!$B$2:$BI$155,MATCH($A77,Raw_매출!$A$2:$A$155,0),MATCH(EDATE($E77,Z$1-1),Raw_매출!$B$1:$BI$1,0))/(INDEX(요약_월별시즈널리티!$F$7:$F$18,MONTH(EDATE($E77,Z$1-1)))/100))),"")</f>
        <v>4181373.1165796681</v>
      </c>
      <c r="AA77" cm="1">
        <f t="array" ref="AA77">IFERROR(IF($E77&lt;44348,"",IF(INDEX(Raw_매출!$B$2:$BI$155,MATCH($A77,Raw_매출!$A$2:$A$155,0),MATCH(EDATE($E77,AA$1-1),Raw_매출!$B$1:$BI$1,0))=0,"",INDEX(Raw_매출!$B$2:$BI$155,MATCH($A77,Raw_매출!$A$2:$A$155,0),MATCH(EDATE($E77,AA$1-1),Raw_매출!$B$1:$BI$1,0))/(INDEX(요약_월별시즈널리티!$F$7:$F$18,MONTH(EDATE($E77,AA$1-1)))/100))),"")</f>
        <v>4178585.0502286819</v>
      </c>
      <c r="AB77" cm="1">
        <f t="array" ref="AB77">IFERROR(IF($E77&lt;44348,"",IF(INDEX(Raw_매출!$B$2:$BI$155,MATCH($A77,Raw_매출!$A$2:$A$155,0),MATCH(EDATE($E77,AB$1-1),Raw_매출!$B$1:$BI$1,0))=0,"",INDEX(Raw_매출!$B$2:$BI$155,MATCH($A77,Raw_매출!$A$2:$A$155,0),MATCH(EDATE($E77,AB$1-1),Raw_매출!$B$1:$BI$1,0))/(INDEX(요약_월별시즈널리티!$F$7:$F$18,MONTH(EDATE($E77,AB$1-1)))/100))),"")</f>
        <v>4902293.3520217557</v>
      </c>
      <c r="AC77" cm="1">
        <f t="array" ref="AC77">IFERROR(IF($E77&lt;44348,"",IF(INDEX(Raw_매출!$B$2:$BI$155,MATCH($A77,Raw_매출!$A$2:$A$155,0),MATCH(EDATE($E77,AC$1-1),Raw_매출!$B$1:$BI$1,0))=0,"",INDEX(Raw_매출!$B$2:$BI$155,MATCH($A77,Raw_매출!$A$2:$A$155,0),MATCH(EDATE($E77,AC$1-1),Raw_매출!$B$1:$BI$1,0))/(INDEX(요약_월별시즈널리티!$F$7:$F$18,MONTH(EDATE($E77,AC$1-1)))/100))),"")</f>
        <v>4560590.5276374808</v>
      </c>
      <c r="AD77" cm="1">
        <f t="array" ref="AD77">IFERROR(IF($E77&lt;44348,"",IF(INDEX(Raw_매출!$B$2:$BI$155,MATCH($A77,Raw_매출!$A$2:$A$155,0),MATCH(EDATE($E77,AD$1-1),Raw_매출!$B$1:$BI$1,0))=0,"",INDEX(Raw_매출!$B$2:$BI$155,MATCH($A77,Raw_매출!$A$2:$A$155,0),MATCH(EDATE($E77,AD$1-1),Raw_매출!$B$1:$BI$1,0))/(INDEX(요약_월별시즈널리티!$F$7:$F$18,MONTH(EDATE($E77,AD$1-1)))/100))),"")</f>
        <v>4754141.3084019003</v>
      </c>
      <c r="AE77" cm="1">
        <f t="array" ref="AE77">IFERROR(IF($E77&lt;44348,"",IF(INDEX(Raw_매출!$B$2:$BI$155,MATCH($A77,Raw_매출!$A$2:$A$155,0),MATCH(EDATE($E77,AE$1-1),Raw_매출!$B$1:$BI$1,0))=0,"",INDEX(Raw_매출!$B$2:$BI$155,MATCH($A77,Raw_매출!$A$2:$A$155,0),MATCH(EDATE($E77,AE$1-1),Raw_매출!$B$1:$BI$1,0))/(INDEX(요약_월별시즈널리티!$F$7:$F$18,MONTH(EDATE($E77,AE$1-1)))/100))),"")</f>
        <v>4662565.9892072892</v>
      </c>
      <c r="AF77" cm="1">
        <f t="array" ref="AF77">IFERROR(IF($E77&lt;44348,"",IF(INDEX(Raw_매출!$B$2:$BI$155,MATCH($A77,Raw_매출!$A$2:$A$155,0),MATCH(EDATE($E77,AF$1-1),Raw_매출!$B$1:$BI$1,0))=0,"",INDEX(Raw_매출!$B$2:$BI$155,MATCH($A77,Raw_매출!$A$2:$A$155,0),MATCH(EDATE($E77,AF$1-1),Raw_매출!$B$1:$BI$1,0))/(INDEX(요약_월별시즈널리티!$F$7:$F$18,MONTH(EDATE($E77,AF$1-1)))/100))),"")</f>
        <v>4677890.1352225337</v>
      </c>
      <c r="AG77" cm="1">
        <f t="array" ref="AG77">IFERROR(IF($E77&lt;44348,"",IF(INDEX(Raw_매출!$B$2:$BI$155,MATCH($A77,Raw_매출!$A$2:$A$155,0),MATCH(EDATE($E77,AG$1-1),Raw_매출!$B$1:$BI$1,0))=0,"",INDEX(Raw_매출!$B$2:$BI$155,MATCH($A77,Raw_매출!$A$2:$A$155,0),MATCH(EDATE($E77,AG$1-1),Raw_매출!$B$1:$BI$1,0))/(INDEX(요약_월별시즈널리티!$F$7:$F$18,MONTH(EDATE($E77,AG$1-1)))/100))),"")</f>
        <v>5059868.7462107809</v>
      </c>
      <c r="AH77" cm="1">
        <f t="array" ref="AH77">IFERROR(IF($E77&lt;44348,"",IF(INDEX(Raw_매출!$B$2:$BI$155,MATCH($A77,Raw_매출!$A$2:$A$155,0),MATCH(EDATE($E77,AH$1-1),Raw_매출!$B$1:$BI$1,0))=0,"",INDEX(Raw_매출!$B$2:$BI$155,MATCH($A77,Raw_매출!$A$2:$A$155,0),MATCH(EDATE($E77,AH$1-1),Raw_매출!$B$1:$BI$1,0))/(INDEX(요약_월별시즈널리티!$F$7:$F$18,MONTH(EDATE($E77,AH$1-1)))/100))),"")</f>
        <v>4680629.1011934197</v>
      </c>
      <c r="AI77" cm="1">
        <f t="array" ref="AI77">IFERROR(IF($E77&lt;44348,"",IF(INDEX(Raw_매출!$B$2:$BI$155,MATCH($A77,Raw_매출!$A$2:$A$155,0),MATCH(EDATE($E77,AI$1-1),Raw_매출!$B$1:$BI$1,0))=0,"",INDEX(Raw_매출!$B$2:$BI$155,MATCH($A77,Raw_매출!$A$2:$A$155,0),MATCH(EDATE($E77,AI$1-1),Raw_매출!$B$1:$BI$1,0))/(INDEX(요약_월별시즈널리티!$F$7:$F$18,MONTH(EDATE($E77,AI$1-1)))/100))),"")</f>
        <v>4536197.2382142851</v>
      </c>
      <c r="AJ77" cm="1">
        <f t="array" ref="AJ77">IFERROR(IF($E77&lt;44348,"",IF(INDEX(Raw_매출!$B$2:$BI$155,MATCH($A77,Raw_매출!$A$2:$A$155,0),MATCH(EDATE($E77,AJ$1-1),Raw_매출!$B$1:$BI$1,0))=0,"",INDEX(Raw_매출!$B$2:$BI$155,MATCH($A77,Raw_매출!$A$2:$A$155,0),MATCH(EDATE($E77,AJ$1-1),Raw_매출!$B$1:$BI$1,0))/(INDEX(요약_월별시즈널리티!$F$7:$F$18,MONTH(EDATE($E77,AJ$1-1)))/100))),"")</f>
        <v>4908039.9022262217</v>
      </c>
      <c r="AK77" cm="1">
        <f t="array" ref="AK77">IFERROR(IF($E77&lt;44348,"",IF(INDEX(Raw_매출!$B$2:$BI$155,MATCH($A77,Raw_매출!$A$2:$A$155,0),MATCH(EDATE($E77,AK$1-1),Raw_매출!$B$1:$BI$1,0))=0,"",INDEX(Raw_매출!$B$2:$BI$155,MATCH($A77,Raw_매출!$A$2:$A$155,0),MATCH(EDATE($E77,AK$1-1),Raw_매출!$B$1:$BI$1,0))/(INDEX(요약_월별시즈널리티!$F$7:$F$18,MONTH(EDATE($E77,AK$1-1)))/100))),"")</f>
        <v>4384871.1428552298</v>
      </c>
      <c r="AL77" cm="1">
        <f t="array" ref="AL77">IFERROR(IF($E77&lt;44348,"",IF(INDEX(Raw_매출!$B$2:$BI$155,MATCH($A77,Raw_매출!$A$2:$A$155,0),MATCH(EDATE($E77,AL$1-1),Raw_매출!$B$1:$BI$1,0))=0,"",INDEX(Raw_매출!$B$2:$BI$155,MATCH($A77,Raw_매출!$A$2:$A$155,0),MATCH(EDATE($E77,AL$1-1),Raw_매출!$B$1:$BI$1,0))/(INDEX(요약_월별시즈널리티!$F$7:$F$18,MONTH(EDATE($E77,AL$1-1)))/100))),"")</f>
        <v>4814456.5231067305</v>
      </c>
      <c r="AM77" cm="1">
        <f t="array" ref="AM77">IFERROR(IF($E77&lt;44348,"",IF(INDEX(Raw_매출!$B$2:$BI$155,MATCH($A77,Raw_매출!$A$2:$A$155,0),MATCH(EDATE($E77,AM$1-1),Raw_매출!$B$1:$BI$1,0))=0,"",INDEX(Raw_매출!$B$2:$BI$155,MATCH($A77,Raw_매출!$A$2:$A$155,0),MATCH(EDATE($E77,AM$1-1),Raw_매출!$B$1:$BI$1,0))/(INDEX(요약_월별시즈널리티!$F$7:$F$18,MONTH(EDATE($E77,AM$1-1)))/100))),"")</f>
        <v>4597660.5078881029</v>
      </c>
      <c r="AN77" cm="1">
        <f t="array" ref="AN77">IFERROR(IF($E77&lt;44348,"",IF(INDEX(Raw_매출!$B$2:$BI$155,MATCH($A77,Raw_매출!$A$2:$A$155,0),MATCH(EDATE($E77,AN$1-1),Raw_매출!$B$1:$BI$1,0))=0,"",INDEX(Raw_매출!$B$2:$BI$155,MATCH($A77,Raw_매출!$A$2:$A$155,0),MATCH(EDATE($E77,AN$1-1),Raw_매출!$B$1:$BI$1,0))/(INDEX(요약_월별시즈널리티!$F$7:$F$18,MONTH(EDATE($E77,AN$1-1)))/100))),"")</f>
        <v>4493116.4772463934</v>
      </c>
      <c r="AO77" cm="1">
        <f t="array" ref="AO77">IFERROR(IF($E77&lt;44348,"",IF(INDEX(Raw_매출!$B$2:$BI$155,MATCH($A77,Raw_매출!$A$2:$A$155,0),MATCH(EDATE($E77,AO$1-1),Raw_매출!$B$1:$BI$1,0))=0,"",INDEX(Raw_매출!$B$2:$BI$155,MATCH($A77,Raw_매출!$A$2:$A$155,0),MATCH(EDATE($E77,AO$1-1),Raw_매출!$B$1:$BI$1,0))/(INDEX(요약_월별시즈널리티!$F$7:$F$18,MONTH(EDATE($E77,AO$1-1)))/100))),"")</f>
        <v>6011909.2180648381</v>
      </c>
      <c r="AP77" cm="1">
        <f t="array" ref="AP77">IFERROR(IF($E77&lt;44348,"",IF(INDEX(Raw_매출!$B$2:$BI$155,MATCH($A77,Raw_매출!$A$2:$A$155,0),MATCH(EDATE($E77,AP$1-1),Raw_매출!$B$1:$BI$1,0))=0,"",INDEX(Raw_매출!$B$2:$BI$155,MATCH($A77,Raw_매출!$A$2:$A$155,0),MATCH(EDATE($E77,AP$1-1),Raw_매출!$B$1:$BI$1,0))/(INDEX(요약_월별시즈널리티!$F$7:$F$18,MONTH(EDATE($E77,AP$1-1)))/100))),"")</f>
        <v>5788834.6368149081</v>
      </c>
      <c r="AQ77" cm="1">
        <f t="array" ref="AQ77">IFERROR(IF($E77&lt;44348,"",IF(INDEX(Raw_매출!$B$2:$BI$155,MATCH($A77,Raw_매출!$A$2:$A$155,0),MATCH(EDATE($E77,AQ$1-1),Raw_매출!$B$1:$BI$1,0))=0,"",INDEX(Raw_매출!$B$2:$BI$155,MATCH($A77,Raw_매출!$A$2:$A$155,0),MATCH(EDATE($E77,AQ$1-1),Raw_매출!$B$1:$BI$1,0))/(INDEX(요약_월별시즈널리티!$F$7:$F$18,MONTH(EDATE($E77,AQ$1-1)))/100))),"")</f>
        <v>5166211.0841305899</v>
      </c>
      <c r="AR77" cm="1">
        <f t="array" ref="AR77">IFERROR(IF($E77&lt;44348,"",IF(INDEX(Raw_매출!$B$2:$BI$155,MATCH($A77,Raw_매출!$A$2:$A$155,0),MATCH(EDATE($E77,AR$1-1),Raw_매출!$B$1:$BI$1,0))=0,"",INDEX(Raw_매출!$B$2:$BI$155,MATCH($A77,Raw_매출!$A$2:$A$155,0),MATCH(EDATE($E77,AR$1-1),Raw_매출!$B$1:$BI$1,0))/(INDEX(요약_월별시즈널리티!$F$7:$F$18,MONTH(EDATE($E77,AR$1-1)))/100))),"")</f>
        <v>5771652.7577092592</v>
      </c>
      <c r="AS77" cm="1">
        <f t="array" ref="AS77">IFERROR(IF($E77&lt;44348,"",IF(INDEX(Raw_매출!$B$2:$BI$155,MATCH($A77,Raw_매출!$A$2:$A$155,0),MATCH(EDATE($E77,AS$1-1),Raw_매출!$B$1:$BI$1,0))=0,"",INDEX(Raw_매출!$B$2:$BI$155,MATCH($A77,Raw_매출!$A$2:$A$155,0),MATCH(EDATE($E77,AS$1-1),Raw_매출!$B$1:$BI$1,0))/(INDEX(요약_월별시즈널리티!$F$7:$F$18,MONTH(EDATE($E77,AS$1-1)))/100))),"")</f>
        <v>5769778.1740478016</v>
      </c>
      <c r="AT77" t="str" cm="1">
        <f t="array" ref="AT77">IFERROR(IF($E77&lt;44348,"",IF(INDEX(Raw_매출!$B$2:$BI$155,MATCH($A77,Raw_매출!$A$2:$A$155,0),MATCH(EDATE($E77,AT$1-1),Raw_매출!$B$1:$BI$1,0))=0,"",INDEX(Raw_매출!$B$2:$BI$155,MATCH($A77,Raw_매출!$A$2:$A$155,0),MATCH(EDATE($E77,AT$1-1),Raw_매출!$B$1:$BI$1,0))/(INDEX(요약_월별시즈널리티!$F$7:$F$18,MONTH(EDATE($E77,AT$1-1)))/100))),"")</f>
        <v/>
      </c>
      <c r="AU77" t="str" cm="1">
        <f t="array" ref="AU77">IFERROR(IF($E77&lt;44348,"",IF(INDEX(Raw_매출!$B$2:$BI$155,MATCH($A77,Raw_매출!$A$2:$A$155,0),MATCH(EDATE($E77,AU$1-1),Raw_매출!$B$1:$BI$1,0))=0,"",INDEX(Raw_매출!$B$2:$BI$155,MATCH($A77,Raw_매출!$A$2:$A$155,0),MATCH(EDATE($E77,AU$1-1),Raw_매출!$B$1:$BI$1,0))/(INDEX(요약_월별시즈널리티!$F$7:$F$18,MONTH(EDATE($E77,AU$1-1)))/100))),"")</f>
        <v/>
      </c>
      <c r="AV77" t="str" cm="1">
        <f t="array" ref="AV77">IFERROR(IF($E77&lt;44348,"",IF(INDEX(Raw_매출!$B$2:$BI$155,MATCH($A77,Raw_매출!$A$2:$A$155,0),MATCH(EDATE($E77,AV$1-1),Raw_매출!$B$1:$BI$1,0))=0,"",INDEX(Raw_매출!$B$2:$BI$155,MATCH($A77,Raw_매출!$A$2:$A$155,0),MATCH(EDATE($E77,AV$1-1),Raw_매출!$B$1:$BI$1,0))/(INDEX(요약_월별시즈널리티!$F$7:$F$18,MONTH(EDATE($E77,AV$1-1)))/100))),"")</f>
        <v/>
      </c>
      <c r="AW77" t="str" cm="1">
        <f t="array" ref="AW77">IFERROR(IF($E77&lt;44348,"",IF(INDEX(Raw_매출!$B$2:$BI$155,MATCH($A77,Raw_매출!$A$2:$A$155,0),MATCH(EDATE($E77,AW$1-1),Raw_매출!$B$1:$BI$1,0))=0,"",INDEX(Raw_매출!$B$2:$BI$155,MATCH($A77,Raw_매출!$A$2:$A$155,0),MATCH(EDATE($E77,AW$1-1),Raw_매출!$B$1:$BI$1,0))/(INDEX(요약_월별시즈널리티!$F$7:$F$18,MONTH(EDATE($E77,AW$1-1)))/100))),"")</f>
        <v/>
      </c>
      <c r="AX77" t="str" cm="1">
        <f t="array" ref="AX77">IFERROR(IF($E77&lt;44348,"",IF(INDEX(Raw_매출!$B$2:$BI$155,MATCH($A77,Raw_매출!$A$2:$A$155,0),MATCH(EDATE($E77,AX$1-1),Raw_매출!$B$1:$BI$1,0))=0,"",INDEX(Raw_매출!$B$2:$BI$155,MATCH($A77,Raw_매출!$A$2:$A$155,0),MATCH(EDATE($E77,AX$1-1),Raw_매출!$B$1:$BI$1,0))/(INDEX(요약_월별시즈널리티!$F$7:$F$18,MONTH(EDATE($E77,AX$1-1)))/100))),"")</f>
        <v/>
      </c>
      <c r="AY77" t="str" cm="1">
        <f t="array" ref="AY77">IFERROR(IF($E77&lt;44348,"",IF(INDEX(Raw_매출!$B$2:$BI$155,MATCH($A77,Raw_매출!$A$2:$A$155,0),MATCH(EDATE($E77,AY$1-1),Raw_매출!$B$1:$BI$1,0))=0,"",INDEX(Raw_매출!$B$2:$BI$155,MATCH($A77,Raw_매출!$A$2:$A$155,0),MATCH(EDATE($E77,AY$1-1),Raw_매출!$B$1:$BI$1,0))/(INDEX(요약_월별시즈널리티!$F$7:$F$18,MONTH(EDATE($E77,AY$1-1)))/100))),"")</f>
        <v/>
      </c>
      <c r="AZ77" t="str" cm="1">
        <f t="array" ref="AZ77">IFERROR(IF($E77&lt;44348,"",IF(INDEX(Raw_매출!$B$2:$BI$155,MATCH($A77,Raw_매출!$A$2:$A$155,0),MATCH(EDATE($E77,AZ$1-1),Raw_매출!$B$1:$BI$1,0))=0,"",INDEX(Raw_매출!$B$2:$BI$155,MATCH($A77,Raw_매출!$A$2:$A$155,0),MATCH(EDATE($E77,AZ$1-1),Raw_매출!$B$1:$BI$1,0))/(INDEX(요약_월별시즈널리티!$F$7:$F$18,MONTH(EDATE($E77,AZ$1-1)))/100))),"")</f>
        <v/>
      </c>
      <c r="BA77" t="str" cm="1">
        <f t="array" ref="BA77">IFERROR(IF($E77&lt;44348,"",IF(INDEX(Raw_매출!$B$2:$BI$155,MATCH($A77,Raw_매출!$A$2:$A$155,0),MATCH(EDATE($E77,BA$1-1),Raw_매출!$B$1:$BI$1,0))=0,"",INDEX(Raw_매출!$B$2:$BI$155,MATCH($A77,Raw_매출!$A$2:$A$155,0),MATCH(EDATE($E77,BA$1-1),Raw_매출!$B$1:$BI$1,0))/(INDEX(요약_월별시즈널리티!$F$7:$F$18,MONTH(EDATE($E77,BA$1-1)))/100))),"")</f>
        <v/>
      </c>
      <c r="BB77" t="str" cm="1">
        <f t="array" ref="BB77">IFERROR(IF($E77&lt;44348,"",IF(INDEX(Raw_매출!$B$2:$BI$155,MATCH($A77,Raw_매출!$A$2:$A$155,0),MATCH(EDATE($E77,BB$1-1),Raw_매출!$B$1:$BI$1,0))=0,"",INDEX(Raw_매출!$B$2:$BI$155,MATCH($A77,Raw_매출!$A$2:$A$155,0),MATCH(EDATE($E77,BB$1-1),Raw_매출!$B$1:$BI$1,0))/(INDEX(요약_월별시즈널리티!$F$7:$F$18,MONTH(EDATE($E77,BB$1-1)))/100))),"")</f>
        <v/>
      </c>
      <c r="BC77" t="str" cm="1">
        <f t="array" ref="BC77">IFERROR(IF($E77&lt;44348,"",IF(INDEX(Raw_매출!$B$2:$BI$155,MATCH($A77,Raw_매출!$A$2:$A$155,0),MATCH(EDATE($E77,BC$1-1),Raw_매출!$B$1:$BI$1,0))=0,"",INDEX(Raw_매출!$B$2:$BI$155,MATCH($A77,Raw_매출!$A$2:$A$155,0),MATCH(EDATE($E77,BC$1-1),Raw_매출!$B$1:$BI$1,0))/(INDEX(요약_월별시즈널리티!$F$7:$F$18,MONTH(EDATE($E77,BC$1-1)))/100))),"")</f>
        <v/>
      </c>
      <c r="BD77" t="str" cm="1">
        <f t="array" ref="BD77">IFERROR(IF($E77&lt;44348,"",IF(INDEX(Raw_매출!$B$2:$BI$155,MATCH($A77,Raw_매출!$A$2:$A$155,0),MATCH(EDATE($E77,BD$1-1),Raw_매출!$B$1:$BI$1,0))=0,"",INDEX(Raw_매출!$B$2:$BI$155,MATCH($A77,Raw_매출!$A$2:$A$155,0),MATCH(EDATE($E77,BD$1-1),Raw_매출!$B$1:$BI$1,0))/(INDEX(요약_월별시즈널리티!$F$7:$F$18,MONTH(EDATE($E77,BD$1-1)))/100))),"")</f>
        <v/>
      </c>
      <c r="BE77" t="str" cm="1">
        <f t="array" ref="BE77">IFERROR(IF($E77&lt;44348,"",IF(INDEX(Raw_매출!$B$2:$BI$155,MATCH($A77,Raw_매출!$A$2:$A$155,0),MATCH(EDATE($E77,BE$1-1),Raw_매출!$B$1:$BI$1,0))=0,"",INDEX(Raw_매출!$B$2:$BI$155,MATCH($A77,Raw_매출!$A$2:$A$155,0),MATCH(EDATE($E77,BE$1-1),Raw_매출!$B$1:$BI$1,0))/(INDEX(요약_월별시즈널리티!$F$7:$F$18,MONTH(EDATE($E77,BE$1-1)))/100))),"")</f>
        <v/>
      </c>
      <c r="BF77" t="str" cm="1">
        <f t="array" ref="BF77">IFERROR(IF($E77&lt;44348,"",IF(INDEX(Raw_매출!$B$2:$BI$155,MATCH($A77,Raw_매출!$A$2:$A$155,0),MATCH(EDATE($E77,BF$1-1),Raw_매출!$B$1:$BI$1,0))=0,"",INDEX(Raw_매출!$B$2:$BI$155,MATCH($A77,Raw_매출!$A$2:$A$155,0),MATCH(EDATE($E77,BF$1-1),Raw_매출!$B$1:$BI$1,0))/(INDEX(요약_월별시즈널리티!$F$7:$F$18,MONTH(EDATE($E77,BF$1-1)))/100))),"")</f>
        <v/>
      </c>
      <c r="BG77" t="str" cm="1">
        <f t="array" ref="BG77">IFERROR(IF($E77&lt;44348,"",IF(INDEX(Raw_매출!$B$2:$BI$155,MATCH($A77,Raw_매출!$A$2:$A$155,0),MATCH(EDATE($E77,BG$1-1),Raw_매출!$B$1:$BI$1,0))=0,"",INDEX(Raw_매출!$B$2:$BI$155,MATCH($A77,Raw_매출!$A$2:$A$155,0),MATCH(EDATE($E77,BG$1-1),Raw_매출!$B$1:$BI$1,0))/(INDEX(요약_월별시즈널리티!$F$7:$F$18,MONTH(EDATE($E77,BG$1-1)))/100))),"")</f>
        <v/>
      </c>
      <c r="BH77" t="str" cm="1">
        <f t="array" ref="BH77">IFERROR(IF($E77&lt;44348,"",IF(INDEX(Raw_매출!$B$2:$BI$155,MATCH($A77,Raw_매출!$A$2:$A$155,0),MATCH(EDATE($E77,BH$1-1),Raw_매출!$B$1:$BI$1,0))=0,"",INDEX(Raw_매출!$B$2:$BI$155,MATCH($A77,Raw_매출!$A$2:$A$155,0),MATCH(EDATE($E77,BH$1-1),Raw_매출!$B$1:$BI$1,0))/(INDEX(요약_월별시즈널리티!$F$7:$F$18,MONTH(EDATE($E77,BH$1-1)))/100))),"")</f>
        <v/>
      </c>
      <c r="BI77" t="str" cm="1">
        <f t="array" ref="BI77">IFERROR(IF($E77&lt;44348,"",IF(INDEX(Raw_매출!$B$2:$BI$155,MATCH($A77,Raw_매출!$A$2:$A$155,0),MATCH(EDATE($E77,BI$1-1),Raw_매출!$B$1:$BI$1,0))=0,"",INDEX(Raw_매출!$B$2:$BI$155,MATCH($A77,Raw_매출!$A$2:$A$155,0),MATCH(EDATE($E77,BI$1-1),Raw_매출!$B$1:$BI$1,0))/(INDEX(요약_월별시즈널리티!$F$7:$F$18,MONTH(EDATE($E77,BI$1-1)))/100))),"")</f>
        <v/>
      </c>
      <c r="BJ77" t="str" cm="1">
        <f t="array" ref="BJ77">IFERROR(IF($E77&lt;44348,"",IF(INDEX(Raw_매출!$B$2:$BI$155,MATCH($A77,Raw_매출!$A$2:$A$155,0),MATCH(EDATE($E77,BJ$1-1),Raw_매출!$B$1:$BI$1,0))=0,"",INDEX(Raw_매출!$B$2:$BI$155,MATCH($A77,Raw_매출!$A$2:$A$155,0),MATCH(EDATE($E77,BJ$1-1),Raw_매출!$B$1:$BI$1,0))/(INDEX(요약_월별시즈널리티!$F$7:$F$18,MONTH(EDATE($E77,BJ$1-1)))/100))),"")</f>
        <v/>
      </c>
      <c r="BK77" t="str" cm="1">
        <f t="array" ref="BK77">IFERROR(IF($E77&lt;44348,"",IF(INDEX(Raw_매출!$B$2:$BI$155,MATCH($A77,Raw_매출!$A$2:$A$155,0),MATCH(EDATE($E77,BK$1-1),Raw_매출!$B$1:$BI$1,0))=0,"",INDEX(Raw_매출!$B$2:$BI$155,MATCH($A77,Raw_매출!$A$2:$A$155,0),MATCH(EDATE($E77,BK$1-1),Raw_매출!$B$1:$BI$1,0))/(INDEX(요약_월별시즈널리티!$F$7:$F$18,MONTH(EDATE($E77,BK$1-1)))/100))),"")</f>
        <v/>
      </c>
      <c r="BL77" t="str" cm="1">
        <f t="array" ref="BL77">IFERROR(IF($E77&lt;44348,"",IF(INDEX(Raw_매출!$B$2:$BI$155,MATCH($A77,Raw_매출!$A$2:$A$155,0),MATCH(EDATE($E77,BL$1-1),Raw_매출!$B$1:$BI$1,0))=0,"",INDEX(Raw_매출!$B$2:$BI$155,MATCH($A77,Raw_매출!$A$2:$A$155,0),MATCH(EDATE($E77,BL$1-1),Raw_매출!$B$1:$BI$1,0))/(INDEX(요약_월별시즈널리티!$F$7:$F$18,MONTH(EDATE($E77,BL$1-1)))/100))),"")</f>
        <v/>
      </c>
      <c r="BM77" t="str" cm="1">
        <f t="array" ref="BM77">IFERROR(IF($E77&lt;44348,"",IF(INDEX(Raw_매출!$B$2:$BI$155,MATCH($A77,Raw_매출!$A$2:$A$155,0),MATCH(EDATE($E77,BM$1-1),Raw_매출!$B$1:$BI$1,0))=0,"",INDEX(Raw_매출!$B$2:$BI$155,MATCH($A77,Raw_매출!$A$2:$A$155,0),MATCH(EDATE($E77,BM$1-1),Raw_매출!$B$1:$BI$1,0))/(INDEX(요약_월별시즈널리티!$F$7:$F$18,MONTH(EDATE($E77,BM$1-1)))/100))),"")</f>
        <v/>
      </c>
      <c r="BN77" t="str" cm="1">
        <f t="array" ref="BN77">IFERROR(IF($E77&lt;44348,"",IF(INDEX(Raw_매출!$B$2:$BI$155,MATCH($A77,Raw_매출!$A$2:$A$155,0),MATCH(EDATE($E77,BN$1-1),Raw_매출!$B$1:$BI$1,0))=0,"",INDEX(Raw_매출!$B$2:$BI$155,MATCH($A77,Raw_매출!$A$2:$A$155,0),MATCH(EDATE($E77,BN$1-1),Raw_매출!$B$1:$BI$1,0))/(INDEX(요약_월별시즈널리티!$F$7:$F$18,MONTH(EDATE($E77,BN$1-1)))/100))),"")</f>
        <v/>
      </c>
    </row>
    <row r="78" spans="1:66" x14ac:dyDescent="0.4">
      <c r="A78" t="str">
        <f>세팅!A79</f>
        <v>(1067) #곡반정파크점</v>
      </c>
      <c r="B78" t="str">
        <f>세팅!B79</f>
        <v>150-0</v>
      </c>
      <c r="C78">
        <f t="shared" si="3"/>
        <v>0</v>
      </c>
      <c r="D78" t="str">
        <f t="shared" si="4"/>
        <v>0</v>
      </c>
      <c r="E78" s="1">
        <f>세팅!D79</f>
        <v>44986</v>
      </c>
      <c r="F78">
        <f t="shared" si="5"/>
        <v>3877692.2993070427</v>
      </c>
      <c r="G78" cm="1">
        <f t="array" ref="G78">IFERROR(IF($E78&lt;44348,"",IF(INDEX(Raw_매출!$B$2:$BI$155,MATCH($A78,Raw_매출!$A$2:$A$155,0),MATCH(EDATE($E78,G$1-1),Raw_매출!$B$1:$BI$1,0))=0,"",INDEX(Raw_매출!$B$2:$BI$155,MATCH($A78,Raw_매출!$A$2:$A$155,0),MATCH(EDATE($E78,G$1-1),Raw_매출!$B$1:$BI$1,0))/(INDEX(요약_월별시즈널리티!$F$7:$F$18,MONTH(EDATE($E78,G$1-1)))/100))),"")</f>
        <v>2554902.8574997596</v>
      </c>
      <c r="H78" cm="1">
        <f t="array" ref="H78">IFERROR(IF($E78&lt;44348,"",IF(INDEX(Raw_매출!$B$2:$BI$155,MATCH($A78,Raw_매출!$A$2:$A$155,0),MATCH(EDATE($E78,H$1-1),Raw_매출!$B$1:$BI$1,0))=0,"",INDEX(Raw_매출!$B$2:$BI$155,MATCH($A78,Raw_매출!$A$2:$A$155,0),MATCH(EDATE($E78,H$1-1),Raw_매출!$B$1:$BI$1,0))/(INDEX(요약_월별시즈널리티!$F$7:$F$18,MONTH(EDATE($E78,H$1-1)))/100))),"")</f>
        <v>2815577.6122476119</v>
      </c>
      <c r="I78" cm="1">
        <f t="array" ref="I78">IFERROR(IF($E78&lt;44348,"",IF(INDEX(Raw_매출!$B$2:$BI$155,MATCH($A78,Raw_매출!$A$2:$A$155,0),MATCH(EDATE($E78,I$1-1),Raw_매출!$B$1:$BI$1,0))=0,"",INDEX(Raw_매출!$B$2:$BI$155,MATCH($A78,Raw_매출!$A$2:$A$155,0),MATCH(EDATE($E78,I$1-1),Raw_매출!$B$1:$BI$1,0))/(INDEX(요약_월별시즈널리티!$F$7:$F$18,MONTH(EDATE($E78,I$1-1)))/100))),"")</f>
        <v>2596715.2675984479</v>
      </c>
      <c r="J78" s="30" cm="1">
        <f t="array" ref="J78">IFERROR(IF($E78&lt;44348,"",IF(INDEX(Raw_매출!$B$2:$BI$155,MATCH($A78,Raw_매출!$A$2:$A$155,0),MATCH(EDATE($E78,J$1-1),Raw_매출!$B$1:$BI$1,0))=0,"",INDEX(Raw_매출!$B$2:$BI$155,MATCH($A78,Raw_매출!$A$2:$A$155,0),MATCH(EDATE($E78,J$1-1),Raw_매출!$B$1:$BI$1,0))/(INDEX(요약_월별시즈널리티!$F$7:$F$18,MONTH(EDATE($E78,J$1-1)))/100))),"")</f>
        <v>2999795.078036801</v>
      </c>
      <c r="K78" s="30" cm="1">
        <f t="array" ref="K78">IFERROR(IF($E78&lt;44348,"",IF(INDEX(Raw_매출!$B$2:$BI$155,MATCH($A78,Raw_매출!$A$2:$A$155,0),MATCH(EDATE($E78,K$1-1),Raw_매출!$B$1:$BI$1,0))=0,"",INDEX(Raw_매출!$B$2:$BI$155,MATCH($A78,Raw_매출!$A$2:$A$155,0),MATCH(EDATE($E78,K$1-1),Raw_매출!$B$1:$BI$1,0))/(INDEX(요약_월별시즈널리티!$F$7:$F$18,MONTH(EDATE($E78,K$1-1)))/100))),"")</f>
        <v>4046192.8263566284</v>
      </c>
      <c r="L78" s="30" cm="1">
        <f t="array" ref="L78">IFERROR(IF($E78&lt;44348,"",IF(INDEX(Raw_매출!$B$2:$BI$155,MATCH($A78,Raw_매출!$A$2:$A$155,0),MATCH(EDATE($E78,L$1-1),Raw_매출!$B$1:$BI$1,0))=0,"",INDEX(Raw_매출!$B$2:$BI$155,MATCH($A78,Raw_매출!$A$2:$A$155,0),MATCH(EDATE($E78,L$1-1),Raw_매출!$B$1:$BI$1,0))/(INDEX(요약_월별시즈널리티!$F$7:$F$18,MONTH(EDATE($E78,L$1-1)))/100))),"")</f>
        <v>3763527.6683065323</v>
      </c>
      <c r="M78" s="30" cm="1">
        <f t="array" ref="M78">IFERROR(IF($E78&lt;44348,"",IF(INDEX(Raw_매출!$B$2:$BI$155,MATCH($A78,Raw_매출!$A$2:$A$155,0),MATCH(EDATE($E78,M$1-1),Raw_매출!$B$1:$BI$1,0))=0,"",INDEX(Raw_매출!$B$2:$BI$155,MATCH($A78,Raw_매출!$A$2:$A$155,0),MATCH(EDATE($E78,M$1-1),Raw_매출!$B$1:$BI$1,0))/(INDEX(요약_월별시즈널리티!$F$7:$F$18,MONTH(EDATE($E78,M$1-1)))/100))),"")</f>
        <v>4618292.6787439063</v>
      </c>
      <c r="N78" s="30" cm="1">
        <f t="array" ref="N78">IFERROR(IF($E78&lt;44348,"",IF(INDEX(Raw_매출!$B$2:$BI$155,MATCH($A78,Raw_매출!$A$2:$A$155,0),MATCH(EDATE($E78,N$1-1),Raw_매출!$B$1:$BI$1,0))=0,"",INDEX(Raw_매출!$B$2:$BI$155,MATCH($A78,Raw_매출!$A$2:$A$155,0),MATCH(EDATE($E78,N$1-1),Raw_매출!$B$1:$BI$1,0))/(INDEX(요약_월별시즈널리티!$F$7:$F$18,MONTH(EDATE($E78,N$1-1)))/100))),"")</f>
        <v>3873884.6072453065</v>
      </c>
      <c r="O78" s="30" cm="1">
        <f t="array" ref="O78">IFERROR(IF($E78&lt;44348,"",IF(INDEX(Raw_매출!$B$2:$BI$155,MATCH($A78,Raw_매출!$A$2:$A$155,0),MATCH(EDATE($E78,O$1-1),Raw_매출!$B$1:$BI$1,0))=0,"",INDEX(Raw_매출!$B$2:$BI$155,MATCH($A78,Raw_매출!$A$2:$A$155,0),MATCH(EDATE($E78,O$1-1),Raw_매출!$B$1:$BI$1,0))/(INDEX(요약_월별시즈널리티!$F$7:$F$18,MONTH(EDATE($E78,O$1-1)))/100))),"")</f>
        <v>3964460.9371530823</v>
      </c>
      <c r="P78" cm="1">
        <f t="array" ref="P78">IFERROR(IF($E78&lt;44348,"",IF(INDEX(Raw_매출!$B$2:$BI$155,MATCH($A78,Raw_매출!$A$2:$A$155,0),MATCH(EDATE($E78,P$1-1),Raw_매출!$B$1:$BI$1,0))=0,"",INDEX(Raw_매출!$B$2:$BI$155,MATCH($A78,Raw_매출!$A$2:$A$155,0),MATCH(EDATE($E78,P$1-1),Raw_매출!$B$1:$BI$1,0))/(INDEX(요약_월별시즈널리티!$F$7:$F$18,MONTH(EDATE($E78,P$1-1)))/100))),"")</f>
        <v>4469822.5925798928</v>
      </c>
      <c r="Q78" cm="1">
        <f t="array" ref="Q78">IFERROR(IF($E78&lt;44348,"",IF(INDEX(Raw_매출!$B$2:$BI$155,MATCH($A78,Raw_매출!$A$2:$A$155,0),MATCH(EDATE($E78,Q$1-1),Raw_매출!$B$1:$BI$1,0))=0,"",INDEX(Raw_매출!$B$2:$BI$155,MATCH($A78,Raw_매출!$A$2:$A$155,0),MATCH(EDATE($E78,Q$1-1),Raw_매출!$B$1:$BI$1,0))/(INDEX(요약_월별시즈널리티!$F$7:$F$18,MONTH(EDATE($E78,Q$1-1)))/100))),"")</f>
        <v>5136321.7994679259</v>
      </c>
      <c r="R78" cm="1">
        <f t="array" ref="R78">IFERROR(IF($E78&lt;44348,"",IF(INDEX(Raw_매출!$B$2:$BI$155,MATCH($A78,Raw_매출!$A$2:$A$155,0),MATCH(EDATE($E78,R$1-1),Raw_매출!$B$1:$BI$1,0))=0,"",INDEX(Raw_매출!$B$2:$BI$155,MATCH($A78,Raw_매출!$A$2:$A$155,0),MATCH(EDATE($E78,R$1-1),Raw_매출!$B$1:$BI$1,0))/(INDEX(요약_월별시즈널리티!$F$7:$F$18,MONTH(EDATE($E78,R$1-1)))/100))),"")</f>
        <v>5963450.7034981931</v>
      </c>
      <c r="S78" cm="1">
        <f t="array" ref="S78">IFERROR(IF($E78&lt;44348,"",IF(INDEX(Raw_매출!$B$2:$BI$155,MATCH($A78,Raw_매출!$A$2:$A$155,0),MATCH(EDATE($E78,S$1-1),Raw_매출!$B$1:$BI$1,0))=0,"",INDEX(Raw_매출!$B$2:$BI$155,MATCH($A78,Raw_매출!$A$2:$A$155,0),MATCH(EDATE($E78,S$1-1),Raw_매출!$B$1:$BI$1,0))/(INDEX(요약_월별시즈널리티!$F$7:$F$18,MONTH(EDATE($E78,S$1-1)))/100))),"")</f>
        <v>6109624.5861106412</v>
      </c>
      <c r="T78" cm="1">
        <f t="array" ref="T78">IFERROR(IF($E78&lt;44348,"",IF(INDEX(Raw_매출!$B$2:$BI$155,MATCH($A78,Raw_매출!$A$2:$A$155,0),MATCH(EDATE($E78,T$1-1),Raw_매출!$B$1:$BI$1,0))=0,"",INDEX(Raw_매출!$B$2:$BI$155,MATCH($A78,Raw_매출!$A$2:$A$155,0),MATCH(EDATE($E78,T$1-1),Raw_매출!$B$1:$BI$1,0))/(INDEX(요약_월별시즈널리티!$F$7:$F$18,MONTH(EDATE($E78,T$1-1)))/100))),"")</f>
        <v>6026285.1065907525</v>
      </c>
      <c r="U78" cm="1">
        <f t="array" ref="U78">IFERROR(IF($E78&lt;44348,"",IF(INDEX(Raw_매출!$B$2:$BI$155,MATCH($A78,Raw_매출!$A$2:$A$155,0),MATCH(EDATE($E78,U$1-1),Raw_매출!$B$1:$BI$1,0))=0,"",INDEX(Raw_매출!$B$2:$BI$155,MATCH($A78,Raw_매출!$A$2:$A$155,0),MATCH(EDATE($E78,U$1-1),Raw_매출!$B$1:$BI$1,0))/(INDEX(요약_월별시즈널리티!$F$7:$F$18,MONTH(EDATE($E78,U$1-1)))/100))),"")</f>
        <v>4614729.2174098324</v>
      </c>
      <c r="V78" cm="1">
        <f t="array" ref="V78">IFERROR(IF($E78&lt;44348,"",IF(INDEX(Raw_매출!$B$2:$BI$155,MATCH($A78,Raw_매출!$A$2:$A$155,0),MATCH(EDATE($E78,V$1-1),Raw_매출!$B$1:$BI$1,0))=0,"",INDEX(Raw_매출!$B$2:$BI$155,MATCH($A78,Raw_매출!$A$2:$A$155,0),MATCH(EDATE($E78,V$1-1),Raw_매출!$B$1:$BI$1,0))/(INDEX(요약_월별시즈널리티!$F$7:$F$18,MONTH(EDATE($E78,V$1-1)))/100))),"")</f>
        <v>4881845.8434946239</v>
      </c>
      <c r="W78" cm="1">
        <f t="array" ref="W78">IFERROR(IF($E78&lt;44348,"",IF(INDEX(Raw_매출!$B$2:$BI$155,MATCH($A78,Raw_매출!$A$2:$A$155,0),MATCH(EDATE($E78,W$1-1),Raw_매출!$B$1:$BI$1,0))=0,"",INDEX(Raw_매출!$B$2:$BI$155,MATCH($A78,Raw_매출!$A$2:$A$155,0),MATCH(EDATE($E78,W$1-1),Raw_매출!$B$1:$BI$1,0))/(INDEX(요약_월별시즈널리티!$F$7:$F$18,MONTH(EDATE($E78,W$1-1)))/100))),"")</f>
        <v>4555083.6110574137</v>
      </c>
      <c r="X78" cm="1">
        <f t="array" ref="X78">IFERROR(IF($E78&lt;44348,"",IF(INDEX(Raw_매출!$B$2:$BI$155,MATCH($A78,Raw_매출!$A$2:$A$155,0),MATCH(EDATE($E78,X$1-1),Raw_매출!$B$1:$BI$1,0))=0,"",INDEX(Raw_매출!$B$2:$BI$155,MATCH($A78,Raw_매출!$A$2:$A$155,0),MATCH(EDATE($E78,X$1-1),Raw_매출!$B$1:$BI$1,0))/(INDEX(요약_월별시즈널리티!$F$7:$F$18,MONTH(EDATE($E78,X$1-1)))/100))),"")</f>
        <v>4197100.1670867801</v>
      </c>
      <c r="Y78" cm="1">
        <f t="array" ref="Y78">IFERROR(IF($E78&lt;44348,"",IF(INDEX(Raw_매출!$B$2:$BI$155,MATCH($A78,Raw_매출!$A$2:$A$155,0),MATCH(EDATE($E78,Y$1-1),Raw_매출!$B$1:$BI$1,0))=0,"",INDEX(Raw_매출!$B$2:$BI$155,MATCH($A78,Raw_매출!$A$2:$A$155,0),MATCH(EDATE($E78,Y$1-1),Raw_매출!$B$1:$BI$1,0))/(INDEX(요약_월별시즈널리티!$F$7:$F$18,MONTH(EDATE($E78,Y$1-1)))/100))),"")</f>
        <v>4240469.5953870658</v>
      </c>
      <c r="Z78" cm="1">
        <f t="array" ref="Z78">IFERROR(IF($E78&lt;44348,"",IF(INDEX(Raw_매출!$B$2:$BI$155,MATCH($A78,Raw_매출!$A$2:$A$155,0),MATCH(EDATE($E78,Z$1-1),Raw_매출!$B$1:$BI$1,0))=0,"",INDEX(Raw_매출!$B$2:$BI$155,MATCH($A78,Raw_매출!$A$2:$A$155,0),MATCH(EDATE($E78,Z$1-1),Raw_매출!$B$1:$BI$1,0))/(INDEX(요약_월별시즈널리티!$F$7:$F$18,MONTH(EDATE($E78,Z$1-1)))/100))),"")</f>
        <v>3835067.9028399698</v>
      </c>
      <c r="AA78" cm="1">
        <f t="array" ref="AA78">IFERROR(IF($E78&lt;44348,"",IF(INDEX(Raw_매출!$B$2:$BI$155,MATCH($A78,Raw_매출!$A$2:$A$155,0),MATCH(EDATE($E78,AA$1-1),Raw_매출!$B$1:$BI$1,0))=0,"",INDEX(Raw_매출!$B$2:$BI$155,MATCH($A78,Raw_매출!$A$2:$A$155,0),MATCH(EDATE($E78,AA$1-1),Raw_매출!$B$1:$BI$1,0))/(INDEX(요약_월별시즈널리티!$F$7:$F$18,MONTH(EDATE($E78,AA$1-1)))/100))),"")</f>
        <v>4116863.3640211816</v>
      </c>
      <c r="AB78" cm="1">
        <f t="array" ref="AB78">IFERROR(IF($E78&lt;44348,"",IF(INDEX(Raw_매출!$B$2:$BI$155,MATCH($A78,Raw_매출!$A$2:$A$155,0),MATCH(EDATE($E78,AB$1-1),Raw_매출!$B$1:$BI$1,0))=0,"",INDEX(Raw_매출!$B$2:$BI$155,MATCH($A78,Raw_매출!$A$2:$A$155,0),MATCH(EDATE($E78,AB$1-1),Raw_매출!$B$1:$BI$1,0))/(INDEX(요약_월별시즈널리티!$F$7:$F$18,MONTH(EDATE($E78,AB$1-1)))/100))),"")</f>
        <v>4467287.0721051851</v>
      </c>
      <c r="AC78" cm="1">
        <f t="array" ref="AC78">IFERROR(IF($E78&lt;44348,"",IF(INDEX(Raw_매출!$B$2:$BI$155,MATCH($A78,Raw_매출!$A$2:$A$155,0),MATCH(EDATE($E78,AC$1-1),Raw_매출!$B$1:$BI$1,0))=0,"",INDEX(Raw_매출!$B$2:$BI$155,MATCH($A78,Raw_매출!$A$2:$A$155,0),MATCH(EDATE($E78,AC$1-1),Raw_매출!$B$1:$BI$1,0))/(INDEX(요약_월별시즈널리티!$F$7:$F$18,MONTH(EDATE($E78,AC$1-1)))/100))),"")</f>
        <v>5133147.0329667712</v>
      </c>
      <c r="AD78" cm="1">
        <f t="array" ref="AD78">IFERROR(IF($E78&lt;44348,"",IF(INDEX(Raw_매출!$B$2:$BI$155,MATCH($A78,Raw_매출!$A$2:$A$155,0),MATCH(EDATE($E78,AD$1-1),Raw_매출!$B$1:$BI$1,0))=0,"",INDEX(Raw_매출!$B$2:$BI$155,MATCH($A78,Raw_매출!$A$2:$A$155,0),MATCH(EDATE($E78,AD$1-1),Raw_매출!$B$1:$BI$1,0))/(INDEX(요약_월별시즈널리티!$F$7:$F$18,MONTH(EDATE($E78,AD$1-1)))/100))),"")</f>
        <v>4644469.4154531108</v>
      </c>
      <c r="AE78" cm="1">
        <f t="array" ref="AE78">IFERROR(IF($E78&lt;44348,"",IF(INDEX(Raw_매출!$B$2:$BI$155,MATCH($A78,Raw_매출!$A$2:$A$155,0),MATCH(EDATE($E78,AE$1-1),Raw_매출!$B$1:$BI$1,0))=0,"",INDEX(Raw_매출!$B$2:$BI$155,MATCH($A78,Raw_매출!$A$2:$A$155,0),MATCH(EDATE($E78,AE$1-1),Raw_매출!$B$1:$BI$1,0))/(INDEX(요약_월별시즈널리티!$F$7:$F$18,MONTH(EDATE($E78,AE$1-1)))/100))),"")</f>
        <v>4615031.5246905191</v>
      </c>
      <c r="AF78" cm="1">
        <f t="array" ref="AF78">IFERROR(IF($E78&lt;44348,"",IF(INDEX(Raw_매출!$B$2:$BI$155,MATCH($A78,Raw_매출!$A$2:$A$155,0),MATCH(EDATE($E78,AF$1-1),Raw_매출!$B$1:$BI$1,0))=0,"",INDEX(Raw_매출!$B$2:$BI$155,MATCH($A78,Raw_매출!$A$2:$A$155,0),MATCH(EDATE($E78,AF$1-1),Raw_매출!$B$1:$BI$1,0))/(INDEX(요약_월별시즈널리티!$F$7:$F$18,MONTH(EDATE($E78,AF$1-1)))/100))),"")</f>
        <v>4188511.4653572999</v>
      </c>
      <c r="AG78" cm="1">
        <f t="array" ref="AG78">IFERROR(IF($E78&lt;44348,"",IF(INDEX(Raw_매출!$B$2:$BI$155,MATCH($A78,Raw_매출!$A$2:$A$155,0),MATCH(EDATE($E78,AG$1-1),Raw_매출!$B$1:$BI$1,0))=0,"",INDEX(Raw_매출!$B$2:$BI$155,MATCH($A78,Raw_매출!$A$2:$A$155,0),MATCH(EDATE($E78,AG$1-1),Raw_매출!$B$1:$BI$1,0))/(INDEX(요약_월별시즈널리티!$F$7:$F$18,MONTH(EDATE($E78,AG$1-1)))/100))),"")</f>
        <v>5006398.4755401509</v>
      </c>
      <c r="AH78" cm="1">
        <f t="array" ref="AH78">IFERROR(IF($E78&lt;44348,"",IF(INDEX(Raw_매출!$B$2:$BI$155,MATCH($A78,Raw_매출!$A$2:$A$155,0),MATCH(EDATE($E78,AH$1-1),Raw_매출!$B$1:$BI$1,0))=0,"",INDEX(Raw_매출!$B$2:$BI$155,MATCH($A78,Raw_매출!$A$2:$A$155,0),MATCH(EDATE($E78,AH$1-1),Raw_매출!$B$1:$BI$1,0))/(INDEX(요약_월별시즈널리티!$F$7:$F$18,MONTH(EDATE($E78,AH$1-1)))/100))),"")</f>
        <v>4667290.5384966331</v>
      </c>
      <c r="AI78" cm="1">
        <f t="array" ref="AI78">IFERROR(IF($E78&lt;44348,"",IF(INDEX(Raw_매출!$B$2:$BI$155,MATCH($A78,Raw_매출!$A$2:$A$155,0),MATCH(EDATE($E78,AI$1-1),Raw_매출!$B$1:$BI$1,0))=0,"",INDEX(Raw_매출!$B$2:$BI$155,MATCH($A78,Raw_매출!$A$2:$A$155,0),MATCH(EDATE($E78,AI$1-1),Raw_매출!$B$1:$BI$1,0))/(INDEX(요약_월별시즈널리티!$F$7:$F$18,MONTH(EDATE($E78,AI$1-1)))/100))),"")</f>
        <v>4299616.04273625</v>
      </c>
      <c r="AJ78" cm="1">
        <f t="array" ref="AJ78">IFERROR(IF($E78&lt;44348,"",IF(INDEX(Raw_매출!$B$2:$BI$155,MATCH($A78,Raw_매출!$A$2:$A$155,0),MATCH(EDATE($E78,AJ$1-1),Raw_매출!$B$1:$BI$1,0))=0,"",INDEX(Raw_매출!$B$2:$BI$155,MATCH($A78,Raw_매출!$A$2:$A$155,0),MATCH(EDATE($E78,AJ$1-1),Raw_매출!$B$1:$BI$1,0))/(INDEX(요약_월별시즈널리티!$F$7:$F$18,MONTH(EDATE($E78,AJ$1-1)))/100))),"")</f>
        <v>4398422.6834718585</v>
      </c>
      <c r="AK78" cm="1">
        <f t="array" ref="AK78">IFERROR(IF($E78&lt;44348,"",IF(INDEX(Raw_매출!$B$2:$BI$155,MATCH($A78,Raw_매출!$A$2:$A$155,0),MATCH(EDATE($E78,AK$1-1),Raw_매출!$B$1:$BI$1,0))=0,"",INDEX(Raw_매출!$B$2:$BI$155,MATCH($A78,Raw_매출!$A$2:$A$155,0),MATCH(EDATE($E78,AK$1-1),Raw_매출!$B$1:$BI$1,0))/(INDEX(요약_월별시즈널리티!$F$7:$F$18,MONTH(EDATE($E78,AK$1-1)))/100))),"")</f>
        <v>4130036.0699786064</v>
      </c>
      <c r="AL78" cm="1">
        <f t="array" ref="AL78">IFERROR(IF($E78&lt;44348,"",IF(INDEX(Raw_매출!$B$2:$BI$155,MATCH($A78,Raw_매출!$A$2:$A$155,0),MATCH(EDATE($E78,AL$1-1),Raw_매출!$B$1:$BI$1,0))=0,"",INDEX(Raw_매출!$B$2:$BI$155,MATCH($A78,Raw_매출!$A$2:$A$155,0),MATCH(EDATE($E78,AL$1-1),Raw_매출!$B$1:$BI$1,0))/(INDEX(요약_월별시즈널리티!$F$7:$F$18,MONTH(EDATE($E78,AL$1-1)))/100))),"")</f>
        <v>4612344.9418671774</v>
      </c>
      <c r="AM78" cm="1">
        <f t="array" ref="AM78">IFERROR(IF($E78&lt;44348,"",IF(INDEX(Raw_매출!$B$2:$BI$155,MATCH($A78,Raw_매출!$A$2:$A$155,0),MATCH(EDATE($E78,AM$1-1),Raw_매출!$B$1:$BI$1,0))=0,"",INDEX(Raw_매출!$B$2:$BI$155,MATCH($A78,Raw_매출!$A$2:$A$155,0),MATCH(EDATE($E78,AM$1-1),Raw_매출!$B$1:$BI$1,0))/(INDEX(요약_월별시즈널리티!$F$7:$F$18,MONTH(EDATE($E78,AM$1-1)))/100))),"")</f>
        <v>5029443.3715314213</v>
      </c>
      <c r="AN78" cm="1">
        <f t="array" ref="AN78">IFERROR(IF($E78&lt;44348,"",IF(INDEX(Raw_매출!$B$2:$BI$155,MATCH($A78,Raw_매출!$A$2:$A$155,0),MATCH(EDATE($E78,AN$1-1),Raw_매출!$B$1:$BI$1,0))=0,"",INDEX(Raw_매출!$B$2:$BI$155,MATCH($A78,Raw_매출!$A$2:$A$155,0),MATCH(EDATE($E78,AN$1-1),Raw_매출!$B$1:$BI$1,0))/(INDEX(요약_월별시즈널리티!$F$7:$F$18,MONTH(EDATE($E78,AN$1-1)))/100))),"")</f>
        <v>5127906.2864754824</v>
      </c>
      <c r="AO78" cm="1">
        <f t="array" ref="AO78">IFERROR(IF($E78&lt;44348,"",IF(INDEX(Raw_매출!$B$2:$BI$155,MATCH($A78,Raw_매출!$A$2:$A$155,0),MATCH(EDATE($E78,AO$1-1),Raw_매출!$B$1:$BI$1,0))=0,"",INDEX(Raw_매출!$B$2:$BI$155,MATCH($A78,Raw_매출!$A$2:$A$155,0),MATCH(EDATE($E78,AO$1-1),Raw_매출!$B$1:$BI$1,0))/(INDEX(요약_월별시즈널리티!$F$7:$F$18,MONTH(EDATE($E78,AO$1-1)))/100))),"")</f>
        <v>5929464.1571957599</v>
      </c>
      <c r="AP78" cm="1">
        <f t="array" ref="AP78">IFERROR(IF($E78&lt;44348,"",IF(INDEX(Raw_매출!$B$2:$BI$155,MATCH($A78,Raw_매출!$A$2:$A$155,0),MATCH(EDATE($E78,AP$1-1),Raw_매출!$B$1:$BI$1,0))=0,"",INDEX(Raw_매출!$B$2:$BI$155,MATCH($A78,Raw_매출!$A$2:$A$155,0),MATCH(EDATE($E78,AP$1-1),Raw_매출!$B$1:$BI$1,0))/(INDEX(요약_월별시즈널리티!$F$7:$F$18,MONTH(EDATE($E78,AP$1-1)))/100))),"")</f>
        <v>5368394.0762005411</v>
      </c>
      <c r="AQ78" cm="1">
        <f t="array" ref="AQ78">IFERROR(IF($E78&lt;44348,"",IF(INDEX(Raw_매출!$B$2:$BI$155,MATCH($A78,Raw_매출!$A$2:$A$155,0),MATCH(EDATE($E78,AQ$1-1),Raw_매출!$B$1:$BI$1,0))=0,"",INDEX(Raw_매출!$B$2:$BI$155,MATCH($A78,Raw_매출!$A$2:$A$155,0),MATCH(EDATE($E78,AQ$1-1),Raw_매출!$B$1:$BI$1,0))/(INDEX(요약_월별시즈널리티!$F$7:$F$18,MONTH(EDATE($E78,AQ$1-1)))/100))),"")</f>
        <v>5396916.3505382426</v>
      </c>
      <c r="AR78" cm="1">
        <f t="array" ref="AR78">IFERROR(IF($E78&lt;44348,"",IF(INDEX(Raw_매출!$B$2:$BI$155,MATCH($A78,Raw_매출!$A$2:$A$155,0),MATCH(EDATE($E78,AR$1-1),Raw_매출!$B$1:$BI$1,0))=0,"",INDEX(Raw_매출!$B$2:$BI$155,MATCH($A78,Raw_매출!$A$2:$A$155,0),MATCH(EDATE($E78,AR$1-1),Raw_매출!$B$1:$BI$1,0))/(INDEX(요약_월별시즈널리티!$F$7:$F$18,MONTH(EDATE($E78,AR$1-1)))/100))),"")</f>
        <v>5928751.3418311635</v>
      </c>
      <c r="AS78" cm="1">
        <f t="array" ref="AS78">IFERROR(IF($E78&lt;44348,"",IF(INDEX(Raw_매출!$B$2:$BI$155,MATCH($A78,Raw_매출!$A$2:$A$155,0),MATCH(EDATE($E78,AS$1-1),Raw_매출!$B$1:$BI$1,0))=0,"",INDEX(Raw_매출!$B$2:$BI$155,MATCH($A78,Raw_매출!$A$2:$A$155,0),MATCH(EDATE($E78,AS$1-1),Raw_매출!$B$1:$BI$1,0))/(INDEX(요약_월별시즈널리티!$F$7:$F$18,MONTH(EDATE($E78,AS$1-1)))/100))),"")</f>
        <v>5853884.2334519764</v>
      </c>
      <c r="AT78" t="str" cm="1">
        <f t="array" ref="AT78">IFERROR(IF($E78&lt;44348,"",IF(INDEX(Raw_매출!$B$2:$BI$155,MATCH($A78,Raw_매출!$A$2:$A$155,0),MATCH(EDATE($E78,AT$1-1),Raw_매출!$B$1:$BI$1,0))=0,"",INDEX(Raw_매출!$B$2:$BI$155,MATCH($A78,Raw_매출!$A$2:$A$155,0),MATCH(EDATE($E78,AT$1-1),Raw_매출!$B$1:$BI$1,0))/(INDEX(요약_월별시즈널리티!$F$7:$F$18,MONTH(EDATE($E78,AT$1-1)))/100))),"")</f>
        <v/>
      </c>
      <c r="AU78" t="str" cm="1">
        <f t="array" ref="AU78">IFERROR(IF($E78&lt;44348,"",IF(INDEX(Raw_매출!$B$2:$BI$155,MATCH($A78,Raw_매출!$A$2:$A$155,0),MATCH(EDATE($E78,AU$1-1),Raw_매출!$B$1:$BI$1,0))=0,"",INDEX(Raw_매출!$B$2:$BI$155,MATCH($A78,Raw_매출!$A$2:$A$155,0),MATCH(EDATE($E78,AU$1-1),Raw_매출!$B$1:$BI$1,0))/(INDEX(요약_월별시즈널리티!$F$7:$F$18,MONTH(EDATE($E78,AU$1-1)))/100))),"")</f>
        <v/>
      </c>
      <c r="AV78" t="str" cm="1">
        <f t="array" ref="AV78">IFERROR(IF($E78&lt;44348,"",IF(INDEX(Raw_매출!$B$2:$BI$155,MATCH($A78,Raw_매출!$A$2:$A$155,0),MATCH(EDATE($E78,AV$1-1),Raw_매출!$B$1:$BI$1,0))=0,"",INDEX(Raw_매출!$B$2:$BI$155,MATCH($A78,Raw_매출!$A$2:$A$155,0),MATCH(EDATE($E78,AV$1-1),Raw_매출!$B$1:$BI$1,0))/(INDEX(요약_월별시즈널리티!$F$7:$F$18,MONTH(EDATE($E78,AV$1-1)))/100))),"")</f>
        <v/>
      </c>
      <c r="AW78" t="str" cm="1">
        <f t="array" ref="AW78">IFERROR(IF($E78&lt;44348,"",IF(INDEX(Raw_매출!$B$2:$BI$155,MATCH($A78,Raw_매출!$A$2:$A$155,0),MATCH(EDATE($E78,AW$1-1),Raw_매출!$B$1:$BI$1,0))=0,"",INDEX(Raw_매출!$B$2:$BI$155,MATCH($A78,Raw_매출!$A$2:$A$155,0),MATCH(EDATE($E78,AW$1-1),Raw_매출!$B$1:$BI$1,0))/(INDEX(요약_월별시즈널리티!$F$7:$F$18,MONTH(EDATE($E78,AW$1-1)))/100))),"")</f>
        <v/>
      </c>
      <c r="AX78" t="str" cm="1">
        <f t="array" ref="AX78">IFERROR(IF($E78&lt;44348,"",IF(INDEX(Raw_매출!$B$2:$BI$155,MATCH($A78,Raw_매출!$A$2:$A$155,0),MATCH(EDATE($E78,AX$1-1),Raw_매출!$B$1:$BI$1,0))=0,"",INDEX(Raw_매출!$B$2:$BI$155,MATCH($A78,Raw_매출!$A$2:$A$155,0),MATCH(EDATE($E78,AX$1-1),Raw_매출!$B$1:$BI$1,0))/(INDEX(요약_월별시즈널리티!$F$7:$F$18,MONTH(EDATE($E78,AX$1-1)))/100))),"")</f>
        <v/>
      </c>
      <c r="AY78" t="str" cm="1">
        <f t="array" ref="AY78">IFERROR(IF($E78&lt;44348,"",IF(INDEX(Raw_매출!$B$2:$BI$155,MATCH($A78,Raw_매출!$A$2:$A$155,0),MATCH(EDATE($E78,AY$1-1),Raw_매출!$B$1:$BI$1,0))=0,"",INDEX(Raw_매출!$B$2:$BI$155,MATCH($A78,Raw_매출!$A$2:$A$155,0),MATCH(EDATE($E78,AY$1-1),Raw_매출!$B$1:$BI$1,0))/(INDEX(요약_월별시즈널리티!$F$7:$F$18,MONTH(EDATE($E78,AY$1-1)))/100))),"")</f>
        <v/>
      </c>
      <c r="AZ78" t="str" cm="1">
        <f t="array" ref="AZ78">IFERROR(IF($E78&lt;44348,"",IF(INDEX(Raw_매출!$B$2:$BI$155,MATCH($A78,Raw_매출!$A$2:$A$155,0),MATCH(EDATE($E78,AZ$1-1),Raw_매출!$B$1:$BI$1,0))=0,"",INDEX(Raw_매출!$B$2:$BI$155,MATCH($A78,Raw_매출!$A$2:$A$155,0),MATCH(EDATE($E78,AZ$1-1),Raw_매출!$B$1:$BI$1,0))/(INDEX(요약_월별시즈널리티!$F$7:$F$18,MONTH(EDATE($E78,AZ$1-1)))/100))),"")</f>
        <v/>
      </c>
      <c r="BA78" t="str" cm="1">
        <f t="array" ref="BA78">IFERROR(IF($E78&lt;44348,"",IF(INDEX(Raw_매출!$B$2:$BI$155,MATCH($A78,Raw_매출!$A$2:$A$155,0),MATCH(EDATE($E78,BA$1-1),Raw_매출!$B$1:$BI$1,0))=0,"",INDEX(Raw_매출!$B$2:$BI$155,MATCH($A78,Raw_매출!$A$2:$A$155,0),MATCH(EDATE($E78,BA$1-1),Raw_매출!$B$1:$BI$1,0))/(INDEX(요약_월별시즈널리티!$F$7:$F$18,MONTH(EDATE($E78,BA$1-1)))/100))),"")</f>
        <v/>
      </c>
      <c r="BB78" t="str" cm="1">
        <f t="array" ref="BB78">IFERROR(IF($E78&lt;44348,"",IF(INDEX(Raw_매출!$B$2:$BI$155,MATCH($A78,Raw_매출!$A$2:$A$155,0),MATCH(EDATE($E78,BB$1-1),Raw_매출!$B$1:$BI$1,0))=0,"",INDEX(Raw_매출!$B$2:$BI$155,MATCH($A78,Raw_매출!$A$2:$A$155,0),MATCH(EDATE($E78,BB$1-1),Raw_매출!$B$1:$BI$1,0))/(INDEX(요약_월별시즈널리티!$F$7:$F$18,MONTH(EDATE($E78,BB$1-1)))/100))),"")</f>
        <v/>
      </c>
      <c r="BC78" t="str" cm="1">
        <f t="array" ref="BC78">IFERROR(IF($E78&lt;44348,"",IF(INDEX(Raw_매출!$B$2:$BI$155,MATCH($A78,Raw_매출!$A$2:$A$155,0),MATCH(EDATE($E78,BC$1-1),Raw_매출!$B$1:$BI$1,0))=0,"",INDEX(Raw_매출!$B$2:$BI$155,MATCH($A78,Raw_매출!$A$2:$A$155,0),MATCH(EDATE($E78,BC$1-1),Raw_매출!$B$1:$BI$1,0))/(INDEX(요약_월별시즈널리티!$F$7:$F$18,MONTH(EDATE($E78,BC$1-1)))/100))),"")</f>
        <v/>
      </c>
      <c r="BD78" t="str" cm="1">
        <f t="array" ref="BD78">IFERROR(IF($E78&lt;44348,"",IF(INDEX(Raw_매출!$B$2:$BI$155,MATCH($A78,Raw_매출!$A$2:$A$155,0),MATCH(EDATE($E78,BD$1-1),Raw_매출!$B$1:$BI$1,0))=0,"",INDEX(Raw_매출!$B$2:$BI$155,MATCH($A78,Raw_매출!$A$2:$A$155,0),MATCH(EDATE($E78,BD$1-1),Raw_매출!$B$1:$BI$1,0))/(INDEX(요약_월별시즈널리티!$F$7:$F$18,MONTH(EDATE($E78,BD$1-1)))/100))),"")</f>
        <v/>
      </c>
      <c r="BE78" t="str" cm="1">
        <f t="array" ref="BE78">IFERROR(IF($E78&lt;44348,"",IF(INDEX(Raw_매출!$B$2:$BI$155,MATCH($A78,Raw_매출!$A$2:$A$155,0),MATCH(EDATE($E78,BE$1-1),Raw_매출!$B$1:$BI$1,0))=0,"",INDEX(Raw_매출!$B$2:$BI$155,MATCH($A78,Raw_매출!$A$2:$A$155,0),MATCH(EDATE($E78,BE$1-1),Raw_매출!$B$1:$BI$1,0))/(INDEX(요약_월별시즈널리티!$F$7:$F$18,MONTH(EDATE($E78,BE$1-1)))/100))),"")</f>
        <v/>
      </c>
      <c r="BF78" t="str" cm="1">
        <f t="array" ref="BF78">IFERROR(IF($E78&lt;44348,"",IF(INDEX(Raw_매출!$B$2:$BI$155,MATCH($A78,Raw_매출!$A$2:$A$155,0),MATCH(EDATE($E78,BF$1-1),Raw_매출!$B$1:$BI$1,0))=0,"",INDEX(Raw_매출!$B$2:$BI$155,MATCH($A78,Raw_매출!$A$2:$A$155,0),MATCH(EDATE($E78,BF$1-1),Raw_매출!$B$1:$BI$1,0))/(INDEX(요약_월별시즈널리티!$F$7:$F$18,MONTH(EDATE($E78,BF$1-1)))/100))),"")</f>
        <v/>
      </c>
      <c r="BG78" t="str" cm="1">
        <f t="array" ref="BG78">IFERROR(IF($E78&lt;44348,"",IF(INDEX(Raw_매출!$B$2:$BI$155,MATCH($A78,Raw_매출!$A$2:$A$155,0),MATCH(EDATE($E78,BG$1-1),Raw_매출!$B$1:$BI$1,0))=0,"",INDEX(Raw_매출!$B$2:$BI$155,MATCH($A78,Raw_매출!$A$2:$A$155,0),MATCH(EDATE($E78,BG$1-1),Raw_매출!$B$1:$BI$1,0))/(INDEX(요약_월별시즈널리티!$F$7:$F$18,MONTH(EDATE($E78,BG$1-1)))/100))),"")</f>
        <v/>
      </c>
      <c r="BH78" t="str" cm="1">
        <f t="array" ref="BH78">IFERROR(IF($E78&lt;44348,"",IF(INDEX(Raw_매출!$B$2:$BI$155,MATCH($A78,Raw_매출!$A$2:$A$155,0),MATCH(EDATE($E78,BH$1-1),Raw_매출!$B$1:$BI$1,0))=0,"",INDEX(Raw_매출!$B$2:$BI$155,MATCH($A78,Raw_매출!$A$2:$A$155,0),MATCH(EDATE($E78,BH$1-1),Raw_매출!$B$1:$BI$1,0))/(INDEX(요약_월별시즈널리티!$F$7:$F$18,MONTH(EDATE($E78,BH$1-1)))/100))),"")</f>
        <v/>
      </c>
      <c r="BI78" t="str" cm="1">
        <f t="array" ref="BI78">IFERROR(IF($E78&lt;44348,"",IF(INDEX(Raw_매출!$B$2:$BI$155,MATCH($A78,Raw_매출!$A$2:$A$155,0),MATCH(EDATE($E78,BI$1-1),Raw_매출!$B$1:$BI$1,0))=0,"",INDEX(Raw_매출!$B$2:$BI$155,MATCH($A78,Raw_매출!$A$2:$A$155,0),MATCH(EDATE($E78,BI$1-1),Raw_매출!$B$1:$BI$1,0))/(INDEX(요약_월별시즈널리티!$F$7:$F$18,MONTH(EDATE($E78,BI$1-1)))/100))),"")</f>
        <v/>
      </c>
      <c r="BJ78" t="str" cm="1">
        <f t="array" ref="BJ78">IFERROR(IF($E78&lt;44348,"",IF(INDEX(Raw_매출!$B$2:$BI$155,MATCH($A78,Raw_매출!$A$2:$A$155,0),MATCH(EDATE($E78,BJ$1-1),Raw_매출!$B$1:$BI$1,0))=0,"",INDEX(Raw_매출!$B$2:$BI$155,MATCH($A78,Raw_매출!$A$2:$A$155,0),MATCH(EDATE($E78,BJ$1-1),Raw_매출!$B$1:$BI$1,0))/(INDEX(요약_월별시즈널리티!$F$7:$F$18,MONTH(EDATE($E78,BJ$1-1)))/100))),"")</f>
        <v/>
      </c>
      <c r="BK78" t="str" cm="1">
        <f t="array" ref="BK78">IFERROR(IF($E78&lt;44348,"",IF(INDEX(Raw_매출!$B$2:$BI$155,MATCH($A78,Raw_매출!$A$2:$A$155,0),MATCH(EDATE($E78,BK$1-1),Raw_매출!$B$1:$BI$1,0))=0,"",INDEX(Raw_매출!$B$2:$BI$155,MATCH($A78,Raw_매출!$A$2:$A$155,0),MATCH(EDATE($E78,BK$1-1),Raw_매출!$B$1:$BI$1,0))/(INDEX(요약_월별시즈널리티!$F$7:$F$18,MONTH(EDATE($E78,BK$1-1)))/100))),"")</f>
        <v/>
      </c>
      <c r="BL78" t="str" cm="1">
        <f t="array" ref="BL78">IFERROR(IF($E78&lt;44348,"",IF(INDEX(Raw_매출!$B$2:$BI$155,MATCH($A78,Raw_매출!$A$2:$A$155,0),MATCH(EDATE($E78,BL$1-1),Raw_매출!$B$1:$BI$1,0))=0,"",INDEX(Raw_매출!$B$2:$BI$155,MATCH($A78,Raw_매출!$A$2:$A$155,0),MATCH(EDATE($E78,BL$1-1),Raw_매출!$B$1:$BI$1,0))/(INDEX(요약_월별시즈널리티!$F$7:$F$18,MONTH(EDATE($E78,BL$1-1)))/100))),"")</f>
        <v/>
      </c>
      <c r="BM78" t="str" cm="1">
        <f t="array" ref="BM78">IFERROR(IF($E78&lt;44348,"",IF(INDEX(Raw_매출!$B$2:$BI$155,MATCH($A78,Raw_매출!$A$2:$A$155,0),MATCH(EDATE($E78,BM$1-1),Raw_매출!$B$1:$BI$1,0))=0,"",INDEX(Raw_매출!$B$2:$BI$155,MATCH($A78,Raw_매출!$A$2:$A$155,0),MATCH(EDATE($E78,BM$1-1),Raw_매출!$B$1:$BI$1,0))/(INDEX(요약_월별시즈널리티!$F$7:$F$18,MONTH(EDATE($E78,BM$1-1)))/100))),"")</f>
        <v/>
      </c>
      <c r="BN78" t="str" cm="1">
        <f t="array" ref="BN78">IFERROR(IF($E78&lt;44348,"",IF(INDEX(Raw_매출!$B$2:$BI$155,MATCH($A78,Raw_매출!$A$2:$A$155,0),MATCH(EDATE($E78,BN$1-1),Raw_매출!$B$1:$BI$1,0))=0,"",INDEX(Raw_매출!$B$2:$BI$155,MATCH($A78,Raw_매출!$A$2:$A$155,0),MATCH(EDATE($E78,BN$1-1),Raw_매출!$B$1:$BI$1,0))/(INDEX(요약_월별시즈널리티!$F$7:$F$18,MONTH(EDATE($E78,BN$1-1)))/100))),"")</f>
        <v/>
      </c>
    </row>
    <row r="79" spans="1:66" x14ac:dyDescent="0.4">
      <c r="A79" t="str">
        <f>세팅!A80</f>
        <v>(1068) #용현사랑점</v>
      </c>
      <c r="B79" t="str">
        <f>세팅!B80</f>
        <v>150-0</v>
      </c>
      <c r="C79">
        <f t="shared" si="3"/>
        <v>0</v>
      </c>
      <c r="D79" t="str">
        <f t="shared" si="4"/>
        <v>0</v>
      </c>
      <c r="E79" s="1">
        <f>세팅!D80</f>
        <v>45017</v>
      </c>
      <c r="F79">
        <f t="shared" si="5"/>
        <v>6262257.4382678829</v>
      </c>
      <c r="G79" cm="1">
        <f t="array" ref="G79">IFERROR(IF($E79&lt;44348,"",IF(INDEX(Raw_매출!$B$2:$BI$155,MATCH($A79,Raw_매출!$A$2:$A$155,0),MATCH(EDATE($E79,G$1-1),Raw_매출!$B$1:$BI$1,0))=0,"",INDEX(Raw_매출!$B$2:$BI$155,MATCH($A79,Raw_매출!$A$2:$A$155,0),MATCH(EDATE($E79,G$1-1),Raw_매출!$B$1:$BI$1,0))/(INDEX(요약_월별시즈널리티!$F$7:$F$18,MONTH(EDATE($E79,G$1-1)))/100))),"")</f>
        <v>4142552.8756092363</v>
      </c>
      <c r="H79" cm="1">
        <f t="array" ref="H79">IFERROR(IF($E79&lt;44348,"",IF(INDEX(Raw_매출!$B$2:$BI$155,MATCH($A79,Raw_매출!$A$2:$A$155,0),MATCH(EDATE($E79,H$1-1),Raw_매출!$B$1:$BI$1,0))=0,"",INDEX(Raw_매출!$B$2:$BI$155,MATCH($A79,Raw_매출!$A$2:$A$155,0),MATCH(EDATE($E79,H$1-1),Raw_매출!$B$1:$BI$1,0))/(INDEX(요약_월별시즈널리티!$F$7:$F$18,MONTH(EDATE($E79,H$1-1)))/100))),"")</f>
        <v>5461749.9339189483</v>
      </c>
      <c r="I79" cm="1">
        <f t="array" ref="I79">IFERROR(IF($E79&lt;44348,"",IF(INDEX(Raw_매출!$B$2:$BI$155,MATCH($A79,Raw_매출!$A$2:$A$155,0),MATCH(EDATE($E79,I$1-1),Raw_매출!$B$1:$BI$1,0))=0,"",INDEX(Raw_매출!$B$2:$BI$155,MATCH($A79,Raw_매출!$A$2:$A$155,0),MATCH(EDATE($E79,I$1-1),Raw_매출!$B$1:$BI$1,0))/(INDEX(요약_월별시즈널리티!$F$7:$F$18,MONTH(EDATE($E79,I$1-1)))/100))),"")</f>
        <v>5739181.7176037235</v>
      </c>
      <c r="J79" s="30" cm="1">
        <f t="array" ref="J79">IFERROR(IF($E79&lt;44348,"",IF(INDEX(Raw_매출!$B$2:$BI$155,MATCH($A79,Raw_매출!$A$2:$A$155,0),MATCH(EDATE($E79,J$1-1),Raw_매출!$B$1:$BI$1,0))=0,"",INDEX(Raw_매출!$B$2:$BI$155,MATCH($A79,Raw_매출!$A$2:$A$155,0),MATCH(EDATE($E79,J$1-1),Raw_매출!$B$1:$BI$1,0))/(INDEX(요약_월별시즈널리티!$F$7:$F$18,MONTH(EDATE($E79,J$1-1)))/100))),"")</f>
        <v>6230496.8984766686</v>
      </c>
      <c r="K79" s="30" cm="1">
        <f t="array" ref="K79">IFERROR(IF($E79&lt;44348,"",IF(INDEX(Raw_매출!$B$2:$BI$155,MATCH($A79,Raw_매출!$A$2:$A$155,0),MATCH(EDATE($E79,K$1-1),Raw_매출!$B$1:$BI$1,0))=0,"",INDEX(Raw_매출!$B$2:$BI$155,MATCH($A79,Raw_매출!$A$2:$A$155,0),MATCH(EDATE($E79,K$1-1),Raw_매출!$B$1:$BI$1,0))/(INDEX(요약_월별시즈널리티!$F$7:$F$18,MONTH(EDATE($E79,K$1-1)))/100))),"")</f>
        <v>6578946.2312656958</v>
      </c>
      <c r="L79" s="30" cm="1">
        <f t="array" ref="L79">IFERROR(IF($E79&lt;44348,"",IF(INDEX(Raw_매출!$B$2:$BI$155,MATCH($A79,Raw_매출!$A$2:$A$155,0),MATCH(EDATE($E79,L$1-1),Raw_매출!$B$1:$BI$1,0))=0,"",INDEX(Raw_매출!$B$2:$BI$155,MATCH($A79,Raw_매출!$A$2:$A$155,0),MATCH(EDATE($E79,L$1-1),Raw_매출!$B$1:$BI$1,0))/(INDEX(요약_월별시즈널리티!$F$7:$F$18,MONTH(EDATE($E79,L$1-1)))/100))),"")</f>
        <v>6383611.0848165387</v>
      </c>
      <c r="M79" s="30" cm="1">
        <f t="array" ref="M79">IFERROR(IF($E79&lt;44348,"",IF(INDEX(Raw_매출!$B$2:$BI$155,MATCH($A79,Raw_매출!$A$2:$A$155,0),MATCH(EDATE($E79,M$1-1),Raw_매출!$B$1:$BI$1,0))=0,"",INDEX(Raw_매출!$B$2:$BI$155,MATCH($A79,Raw_매출!$A$2:$A$155,0),MATCH(EDATE($E79,M$1-1),Raw_매출!$B$1:$BI$1,0))/(INDEX(요약_월별시즈널리티!$F$7:$F$18,MONTH(EDATE($E79,M$1-1)))/100))),"")</f>
        <v>5911177.6510288473</v>
      </c>
      <c r="N79" s="30" cm="1">
        <f t="array" ref="N79">IFERROR(IF($E79&lt;44348,"",IF(INDEX(Raw_매출!$B$2:$BI$155,MATCH($A79,Raw_매출!$A$2:$A$155,0),MATCH(EDATE($E79,N$1-1),Raw_매출!$B$1:$BI$1,0))=0,"",INDEX(Raw_매출!$B$2:$BI$155,MATCH($A79,Raw_매출!$A$2:$A$155,0),MATCH(EDATE($E79,N$1-1),Raw_매출!$B$1:$BI$1,0))/(INDEX(요약_월별시즈널리티!$F$7:$F$18,MONTH(EDATE($E79,N$1-1)))/100))),"")</f>
        <v>6177931.6166610848</v>
      </c>
      <c r="O79" s="30" cm="1">
        <f t="array" ref="O79">IFERROR(IF($E79&lt;44348,"",IF(INDEX(Raw_매출!$B$2:$BI$155,MATCH($A79,Raw_매출!$A$2:$A$155,0),MATCH(EDATE($E79,O$1-1),Raw_매출!$B$1:$BI$1,0))=0,"",INDEX(Raw_매출!$B$2:$BI$155,MATCH($A79,Raw_매출!$A$2:$A$155,0),MATCH(EDATE($E79,O$1-1),Raw_매출!$B$1:$BI$1,0))/(INDEX(요약_월별시즈널리티!$F$7:$F$18,MONTH(EDATE($E79,O$1-1)))/100))),"")</f>
        <v>6291381.1473584594</v>
      </c>
      <c r="P79" cm="1">
        <f t="array" ref="P79">IFERROR(IF($E79&lt;44348,"",IF(INDEX(Raw_매출!$B$2:$BI$155,MATCH($A79,Raw_매출!$A$2:$A$155,0),MATCH(EDATE($E79,P$1-1),Raw_매출!$B$1:$BI$1,0))=0,"",INDEX(Raw_매출!$B$2:$BI$155,MATCH($A79,Raw_매출!$A$2:$A$155,0),MATCH(EDATE($E79,P$1-1),Raw_매출!$B$1:$BI$1,0))/(INDEX(요약_월별시즈널리티!$F$7:$F$18,MONTH(EDATE($E79,P$1-1)))/100))),"")</f>
        <v>5873318.0271355528</v>
      </c>
      <c r="Q79" cm="1">
        <f t="array" ref="Q79">IFERROR(IF($E79&lt;44348,"",IF(INDEX(Raw_매출!$B$2:$BI$155,MATCH($A79,Raw_매출!$A$2:$A$155,0),MATCH(EDATE($E79,Q$1-1),Raw_매출!$B$1:$BI$1,0))=0,"",INDEX(Raw_매출!$B$2:$BI$155,MATCH($A79,Raw_매출!$A$2:$A$155,0),MATCH(EDATE($E79,Q$1-1),Raw_매출!$B$1:$BI$1,0))/(INDEX(요약_월별시즈널리티!$F$7:$F$18,MONTH(EDATE($E79,Q$1-1)))/100))),"")</f>
        <v>5832992.8784370841</v>
      </c>
      <c r="R79" cm="1">
        <f t="array" ref="R79">IFERROR(IF($E79&lt;44348,"",IF(INDEX(Raw_매출!$B$2:$BI$155,MATCH($A79,Raw_매출!$A$2:$A$155,0),MATCH(EDATE($E79,R$1-1),Raw_매출!$B$1:$BI$1,0))=0,"",INDEX(Raw_매출!$B$2:$BI$155,MATCH($A79,Raw_매출!$A$2:$A$155,0),MATCH(EDATE($E79,R$1-1),Raw_매출!$B$1:$BI$1,0))/(INDEX(요약_월별시즈널리티!$F$7:$F$18,MONTH(EDATE($E79,R$1-1)))/100))),"")</f>
        <v>7227420.3139483817</v>
      </c>
      <c r="S79" cm="1">
        <f t="array" ref="S79">IFERROR(IF($E79&lt;44348,"",IF(INDEX(Raw_매출!$B$2:$BI$155,MATCH($A79,Raw_매출!$A$2:$A$155,0),MATCH(EDATE($E79,S$1-1),Raw_매출!$B$1:$BI$1,0))=0,"",INDEX(Raw_매출!$B$2:$BI$155,MATCH($A79,Raw_매출!$A$2:$A$155,0),MATCH(EDATE($E79,S$1-1),Raw_매출!$B$1:$BI$1,0))/(INDEX(요약_월별시즈널리티!$F$7:$F$18,MONTH(EDATE($E79,S$1-1)))/100))),"")</f>
        <v>6707259.8003233932</v>
      </c>
      <c r="T79" cm="1">
        <f t="array" ref="T79">IFERROR(IF($E79&lt;44348,"",IF(INDEX(Raw_매출!$B$2:$BI$155,MATCH($A79,Raw_매출!$A$2:$A$155,0),MATCH(EDATE($E79,T$1-1),Raw_매출!$B$1:$BI$1,0))=0,"",INDEX(Raw_매출!$B$2:$BI$155,MATCH($A79,Raw_매출!$A$2:$A$155,0),MATCH(EDATE($E79,T$1-1),Raw_매출!$B$1:$BI$1,0))/(INDEX(요약_월별시즈널리티!$F$7:$F$18,MONTH(EDATE($E79,T$1-1)))/100))),"")</f>
        <v>6828041.5750771305</v>
      </c>
      <c r="U79" cm="1">
        <f t="array" ref="U79">IFERROR(IF($E79&lt;44348,"",IF(INDEX(Raw_매출!$B$2:$BI$155,MATCH($A79,Raw_매출!$A$2:$A$155,0),MATCH(EDATE($E79,U$1-1),Raw_매출!$B$1:$BI$1,0))=0,"",INDEX(Raw_매출!$B$2:$BI$155,MATCH($A79,Raw_매출!$A$2:$A$155,0),MATCH(EDATE($E79,U$1-1),Raw_매출!$B$1:$BI$1,0))/(INDEX(요약_월별시즈널리티!$F$7:$F$18,MONTH(EDATE($E79,U$1-1)))/100))),"")</f>
        <v>7203407.6008031815</v>
      </c>
      <c r="V79" cm="1">
        <f t="array" ref="V79">IFERROR(IF($E79&lt;44348,"",IF(INDEX(Raw_매출!$B$2:$BI$155,MATCH($A79,Raw_매출!$A$2:$A$155,0),MATCH(EDATE($E79,V$1-1),Raw_매출!$B$1:$BI$1,0))=0,"",INDEX(Raw_매출!$B$2:$BI$155,MATCH($A79,Raw_매출!$A$2:$A$155,0),MATCH(EDATE($E79,V$1-1),Raw_매출!$B$1:$BI$1,0))/(INDEX(요약_월별시즈널리티!$F$7:$F$18,MONTH(EDATE($E79,V$1-1)))/100))),"")</f>
        <v>7230223.2100767661</v>
      </c>
      <c r="W79" cm="1">
        <f t="array" ref="W79">IFERROR(IF($E79&lt;44348,"",IF(INDEX(Raw_매출!$B$2:$BI$155,MATCH($A79,Raw_매출!$A$2:$A$155,0),MATCH(EDATE($E79,W$1-1),Raw_매출!$B$1:$BI$1,0))=0,"",INDEX(Raw_매출!$B$2:$BI$155,MATCH($A79,Raw_매출!$A$2:$A$155,0),MATCH(EDATE($E79,W$1-1),Raw_매출!$B$1:$BI$1,0))/(INDEX(요약_월별시즈널리티!$F$7:$F$18,MONTH(EDATE($E79,W$1-1)))/100))),"")</f>
        <v>6444202.0431672325</v>
      </c>
      <c r="X79" cm="1">
        <f t="array" ref="X79">IFERROR(IF($E79&lt;44348,"",IF(INDEX(Raw_매출!$B$2:$BI$155,MATCH($A79,Raw_매출!$A$2:$A$155,0),MATCH(EDATE($E79,X$1-1),Raw_매출!$B$1:$BI$1,0))=0,"",INDEX(Raw_매출!$B$2:$BI$155,MATCH($A79,Raw_매출!$A$2:$A$155,0),MATCH(EDATE($E79,X$1-1),Raw_매출!$B$1:$BI$1,0))/(INDEX(요약_월별시즈널리티!$F$7:$F$18,MONTH(EDATE($E79,X$1-1)))/100))),"")</f>
        <v>6558894.4682766506</v>
      </c>
      <c r="Y79" cm="1">
        <f t="array" ref="Y79">IFERROR(IF($E79&lt;44348,"",IF(INDEX(Raw_매출!$B$2:$BI$155,MATCH($A79,Raw_매출!$A$2:$A$155,0),MATCH(EDATE($E79,Y$1-1),Raw_매출!$B$1:$BI$1,0))=0,"",INDEX(Raw_매출!$B$2:$BI$155,MATCH($A79,Raw_매출!$A$2:$A$155,0),MATCH(EDATE($E79,Y$1-1),Raw_매출!$B$1:$BI$1,0))/(INDEX(요약_월별시즈널리티!$F$7:$F$18,MONTH(EDATE($E79,Y$1-1)))/100))),"")</f>
        <v>5720857.2817581985</v>
      </c>
      <c r="Z79" cm="1">
        <f t="array" ref="Z79">IFERROR(IF($E79&lt;44348,"",IF(INDEX(Raw_매출!$B$2:$BI$155,MATCH($A79,Raw_매출!$A$2:$A$155,0),MATCH(EDATE($E79,Z$1-1),Raw_매출!$B$1:$BI$1,0))=0,"",INDEX(Raw_매출!$B$2:$BI$155,MATCH($A79,Raw_매출!$A$2:$A$155,0),MATCH(EDATE($E79,Z$1-1),Raw_매출!$B$1:$BI$1,0))/(INDEX(요약_월별시즈널리티!$F$7:$F$18,MONTH(EDATE($E79,Z$1-1)))/100))),"")</f>
        <v>6489133.3958585644</v>
      </c>
      <c r="AA79" cm="1">
        <f t="array" ref="AA79">IFERROR(IF($E79&lt;44348,"",IF(INDEX(Raw_매출!$B$2:$BI$155,MATCH($A79,Raw_매출!$A$2:$A$155,0),MATCH(EDATE($E79,AA$1-1),Raw_매출!$B$1:$BI$1,0))=0,"",INDEX(Raw_매출!$B$2:$BI$155,MATCH($A79,Raw_매출!$A$2:$A$155,0),MATCH(EDATE($E79,AA$1-1),Raw_매출!$B$1:$BI$1,0))/(INDEX(요약_월별시즈널리티!$F$7:$F$18,MONTH(EDATE($E79,AA$1-1)))/100))),"")</f>
        <v>6239315.8795953635</v>
      </c>
      <c r="AB79" cm="1">
        <f t="array" ref="AB79">IFERROR(IF($E79&lt;44348,"",IF(INDEX(Raw_매출!$B$2:$BI$155,MATCH($A79,Raw_매출!$A$2:$A$155,0),MATCH(EDATE($E79,AB$1-1),Raw_매출!$B$1:$BI$1,0))=0,"",INDEX(Raw_매출!$B$2:$BI$155,MATCH($A79,Raw_매출!$A$2:$A$155,0),MATCH(EDATE($E79,AB$1-1),Raw_매출!$B$1:$BI$1,0))/(INDEX(요약_월별시즈널리티!$F$7:$F$18,MONTH(EDATE($E79,AB$1-1)))/100))),"")</f>
        <v>5972076.3345590048</v>
      </c>
      <c r="AC79" cm="1">
        <f t="array" ref="AC79">IFERROR(IF($E79&lt;44348,"",IF(INDEX(Raw_매출!$B$2:$BI$155,MATCH($A79,Raw_매출!$A$2:$A$155,0),MATCH(EDATE($E79,AC$1-1),Raw_매출!$B$1:$BI$1,0))=0,"",INDEX(Raw_매출!$B$2:$BI$155,MATCH($A79,Raw_매출!$A$2:$A$155,0),MATCH(EDATE($E79,AC$1-1),Raw_매출!$B$1:$BI$1,0))/(INDEX(요약_월별시즈널리티!$F$7:$F$18,MONTH(EDATE($E79,AC$1-1)))/100))),"")</f>
        <v>6346353.1994987587</v>
      </c>
      <c r="AD79" cm="1">
        <f t="array" ref="AD79">IFERROR(IF($E79&lt;44348,"",IF(INDEX(Raw_매출!$B$2:$BI$155,MATCH($A79,Raw_매출!$A$2:$A$155,0),MATCH(EDATE($E79,AD$1-1),Raw_매출!$B$1:$BI$1,0))=0,"",INDEX(Raw_매출!$B$2:$BI$155,MATCH($A79,Raw_매출!$A$2:$A$155,0),MATCH(EDATE($E79,AD$1-1),Raw_매출!$B$1:$BI$1,0))/(INDEX(요약_월별시즈널리티!$F$7:$F$18,MONTH(EDATE($E79,AD$1-1)))/100))),"")</f>
        <v>6553972.5204914799</v>
      </c>
      <c r="AE79" cm="1">
        <f t="array" ref="AE79">IFERROR(IF($E79&lt;44348,"",IF(INDEX(Raw_매출!$B$2:$BI$155,MATCH($A79,Raw_매출!$A$2:$A$155,0),MATCH(EDATE($E79,AE$1-1),Raw_매출!$B$1:$BI$1,0))=0,"",INDEX(Raw_매출!$B$2:$BI$155,MATCH($A79,Raw_매출!$A$2:$A$155,0),MATCH(EDATE($E79,AE$1-1),Raw_매출!$B$1:$BI$1,0))/(INDEX(요약_월별시즈널리티!$F$7:$F$18,MONTH(EDATE($E79,AE$1-1)))/100))),"")</f>
        <v>6276793.0995038738</v>
      </c>
      <c r="AF79" cm="1">
        <f t="array" ref="AF79">IFERROR(IF($E79&lt;44348,"",IF(INDEX(Raw_매출!$B$2:$BI$155,MATCH($A79,Raw_매출!$A$2:$A$155,0),MATCH(EDATE($E79,AF$1-1),Raw_매출!$B$1:$BI$1,0))=0,"",INDEX(Raw_매출!$B$2:$BI$155,MATCH($A79,Raw_매출!$A$2:$A$155,0),MATCH(EDATE($E79,AF$1-1),Raw_매출!$B$1:$BI$1,0))/(INDEX(요약_월별시즈널리티!$F$7:$F$18,MONTH(EDATE($E79,AF$1-1)))/100))),"")</f>
        <v>7381630.6571179237</v>
      </c>
      <c r="AG79" cm="1">
        <f t="array" ref="AG79">IFERROR(IF($E79&lt;44348,"",IF(INDEX(Raw_매출!$B$2:$BI$155,MATCH($A79,Raw_매출!$A$2:$A$155,0),MATCH(EDATE($E79,AG$1-1),Raw_매출!$B$1:$BI$1,0))=0,"",INDEX(Raw_매출!$B$2:$BI$155,MATCH($A79,Raw_매출!$A$2:$A$155,0),MATCH(EDATE($E79,AG$1-1),Raw_매출!$B$1:$BI$1,0))/(INDEX(요약_월별시즈널리티!$F$7:$F$18,MONTH(EDATE($E79,AG$1-1)))/100))),"")</f>
        <v>6988200.4477375867</v>
      </c>
      <c r="AH79" cm="1">
        <f t="array" ref="AH79">IFERROR(IF($E79&lt;44348,"",IF(INDEX(Raw_매출!$B$2:$BI$155,MATCH($A79,Raw_매출!$A$2:$A$155,0),MATCH(EDATE($E79,AH$1-1),Raw_매출!$B$1:$BI$1,0))=0,"",INDEX(Raw_매출!$B$2:$BI$155,MATCH($A79,Raw_매출!$A$2:$A$155,0),MATCH(EDATE($E79,AH$1-1),Raw_매출!$B$1:$BI$1,0))/(INDEX(요약_월별시즈널리티!$F$7:$F$18,MONTH(EDATE($E79,AH$1-1)))/100))),"")</f>
        <v>6386020.4947771905</v>
      </c>
      <c r="AI79" cm="1">
        <f t="array" ref="AI79">IFERROR(IF($E79&lt;44348,"",IF(INDEX(Raw_매출!$B$2:$BI$155,MATCH($A79,Raw_매출!$A$2:$A$155,0),MATCH(EDATE($E79,AI$1-1),Raw_매출!$B$1:$BI$1,0))=0,"",INDEX(Raw_매출!$B$2:$BI$155,MATCH($A79,Raw_매출!$A$2:$A$155,0),MATCH(EDATE($E79,AI$1-1),Raw_매출!$B$1:$BI$1,0))/(INDEX(요약_월별시즈널리티!$F$7:$F$18,MONTH(EDATE($E79,AI$1-1)))/100))),"")</f>
        <v>6902724.2657946581</v>
      </c>
      <c r="AJ79" cm="1">
        <f t="array" ref="AJ79">IFERROR(IF($E79&lt;44348,"",IF(INDEX(Raw_매출!$B$2:$BI$155,MATCH($A79,Raw_매출!$A$2:$A$155,0),MATCH(EDATE($E79,AJ$1-1),Raw_매출!$B$1:$BI$1,0))=0,"",INDEX(Raw_매출!$B$2:$BI$155,MATCH($A79,Raw_매출!$A$2:$A$155,0),MATCH(EDATE($E79,AJ$1-1),Raw_매출!$B$1:$BI$1,0))/(INDEX(요약_월별시즈널리티!$F$7:$F$18,MONTH(EDATE($E79,AJ$1-1)))/100))),"")</f>
        <v>6696224.7544633476</v>
      </c>
      <c r="AK79" cm="1">
        <f t="array" ref="AK79">IFERROR(IF($E79&lt;44348,"",IF(INDEX(Raw_매출!$B$2:$BI$155,MATCH($A79,Raw_매출!$A$2:$A$155,0),MATCH(EDATE($E79,AK$1-1),Raw_매출!$B$1:$BI$1,0))=0,"",INDEX(Raw_매출!$B$2:$BI$155,MATCH($A79,Raw_매출!$A$2:$A$155,0),MATCH(EDATE($E79,AK$1-1),Raw_매출!$B$1:$BI$1,0))/(INDEX(요약_월별시즈널리티!$F$7:$F$18,MONTH(EDATE($E79,AK$1-1)))/100))),"")</f>
        <v>6562419.3509695055</v>
      </c>
      <c r="AL79" cm="1">
        <f t="array" ref="AL79">IFERROR(IF($E79&lt;44348,"",IF(INDEX(Raw_매출!$B$2:$BI$155,MATCH($A79,Raw_매출!$A$2:$A$155,0),MATCH(EDATE($E79,AL$1-1),Raw_매출!$B$1:$BI$1,0))=0,"",INDEX(Raw_매출!$B$2:$BI$155,MATCH($A79,Raw_매출!$A$2:$A$155,0),MATCH(EDATE($E79,AL$1-1),Raw_매출!$B$1:$BI$1,0))/(INDEX(요약_월별시즈널리티!$F$7:$F$18,MONTH(EDATE($E79,AL$1-1)))/100))),"")</f>
        <v>6993971.8376678098</v>
      </c>
      <c r="AM79" cm="1">
        <f t="array" ref="AM79">IFERROR(IF($E79&lt;44348,"",IF(INDEX(Raw_매출!$B$2:$BI$155,MATCH($A79,Raw_매출!$A$2:$A$155,0),MATCH(EDATE($E79,AM$1-1),Raw_매출!$B$1:$BI$1,0))=0,"",INDEX(Raw_매출!$B$2:$BI$155,MATCH($A79,Raw_매출!$A$2:$A$155,0),MATCH(EDATE($E79,AM$1-1),Raw_매출!$B$1:$BI$1,0))/(INDEX(요약_월별시즈널리티!$F$7:$F$18,MONTH(EDATE($E79,AM$1-1)))/100))),"")</f>
        <v>6525578.0767017528</v>
      </c>
      <c r="AN79" cm="1">
        <f t="array" ref="AN79">IFERROR(IF($E79&lt;44348,"",IF(INDEX(Raw_매출!$B$2:$BI$155,MATCH($A79,Raw_매출!$A$2:$A$155,0),MATCH(EDATE($E79,AN$1-1),Raw_매출!$B$1:$BI$1,0))=0,"",INDEX(Raw_매출!$B$2:$BI$155,MATCH($A79,Raw_매출!$A$2:$A$155,0),MATCH(EDATE($E79,AN$1-1),Raw_매출!$B$1:$BI$1,0))/(INDEX(요약_월별시즈널리티!$F$7:$F$18,MONTH(EDATE($E79,AN$1-1)))/100))),"")</f>
        <v>6208700.7997315479</v>
      </c>
      <c r="AO79" cm="1">
        <f t="array" ref="AO79">IFERROR(IF($E79&lt;44348,"",IF(INDEX(Raw_매출!$B$2:$BI$155,MATCH($A79,Raw_매출!$A$2:$A$155,0),MATCH(EDATE($E79,AO$1-1),Raw_매출!$B$1:$BI$1,0))=0,"",INDEX(Raw_매출!$B$2:$BI$155,MATCH($A79,Raw_매출!$A$2:$A$155,0),MATCH(EDATE($E79,AO$1-1),Raw_매출!$B$1:$BI$1,0))/(INDEX(요약_월별시즈널리티!$F$7:$F$18,MONTH(EDATE($E79,AO$1-1)))/100))),"")</f>
        <v>6873475.8957032943</v>
      </c>
      <c r="AP79" cm="1">
        <f t="array" ref="AP79">IFERROR(IF($E79&lt;44348,"",IF(INDEX(Raw_매출!$B$2:$BI$155,MATCH($A79,Raw_매출!$A$2:$A$155,0),MATCH(EDATE($E79,AP$1-1),Raw_매출!$B$1:$BI$1,0))=0,"",INDEX(Raw_매출!$B$2:$BI$155,MATCH($A79,Raw_매출!$A$2:$A$155,0),MATCH(EDATE($E79,AP$1-1),Raw_매출!$B$1:$BI$1,0))/(INDEX(요약_월별시즈널리티!$F$7:$F$18,MONTH(EDATE($E79,AP$1-1)))/100))),"")</f>
        <v>7142004.4110496612</v>
      </c>
      <c r="AQ79" cm="1">
        <f t="array" ref="AQ79">IFERROR(IF($E79&lt;44348,"",IF(INDEX(Raw_매출!$B$2:$BI$155,MATCH($A79,Raw_매출!$A$2:$A$155,0),MATCH(EDATE($E79,AQ$1-1),Raw_매출!$B$1:$BI$1,0))=0,"",INDEX(Raw_매출!$B$2:$BI$155,MATCH($A79,Raw_매출!$A$2:$A$155,0),MATCH(EDATE($E79,AQ$1-1),Raw_매출!$B$1:$BI$1,0))/(INDEX(요약_월별시즈널리티!$F$7:$F$18,MONTH(EDATE($E79,AQ$1-1)))/100))),"")</f>
        <v>7326845.8388886079</v>
      </c>
      <c r="AR79" cm="1">
        <f t="array" ref="AR79">IFERROR(IF($E79&lt;44348,"",IF(INDEX(Raw_매출!$B$2:$BI$155,MATCH($A79,Raw_매출!$A$2:$A$155,0),MATCH(EDATE($E79,AR$1-1),Raw_매출!$B$1:$BI$1,0))=0,"",INDEX(Raw_매출!$B$2:$BI$155,MATCH($A79,Raw_매출!$A$2:$A$155,0),MATCH(EDATE($E79,AR$1-1),Raw_매출!$B$1:$BI$1,0))/(INDEX(요약_월별시즈널리티!$F$7:$F$18,MONTH(EDATE($E79,AR$1-1)))/100))),"")</f>
        <v>8008582.3930962337</v>
      </c>
      <c r="AS79" t="str" cm="1">
        <f t="array" ref="AS79">IFERROR(IF($E79&lt;44348,"",IF(INDEX(Raw_매출!$B$2:$BI$155,MATCH($A79,Raw_매출!$A$2:$A$155,0),MATCH(EDATE($E79,AS$1-1),Raw_매출!$B$1:$BI$1,0))=0,"",INDEX(Raw_매출!$B$2:$BI$155,MATCH($A79,Raw_매출!$A$2:$A$155,0),MATCH(EDATE($E79,AS$1-1),Raw_매출!$B$1:$BI$1,0))/(INDEX(요약_월별시즈널리티!$F$7:$F$18,MONTH(EDATE($E79,AS$1-1)))/100))),"")</f>
        <v/>
      </c>
      <c r="AT79" t="str" cm="1">
        <f t="array" ref="AT79">IFERROR(IF($E79&lt;44348,"",IF(INDEX(Raw_매출!$B$2:$BI$155,MATCH($A79,Raw_매출!$A$2:$A$155,0),MATCH(EDATE($E79,AT$1-1),Raw_매출!$B$1:$BI$1,0))=0,"",INDEX(Raw_매출!$B$2:$BI$155,MATCH($A79,Raw_매출!$A$2:$A$155,0),MATCH(EDATE($E79,AT$1-1),Raw_매출!$B$1:$BI$1,0))/(INDEX(요약_월별시즈널리티!$F$7:$F$18,MONTH(EDATE($E79,AT$1-1)))/100))),"")</f>
        <v/>
      </c>
      <c r="AU79" t="str" cm="1">
        <f t="array" ref="AU79">IFERROR(IF($E79&lt;44348,"",IF(INDEX(Raw_매출!$B$2:$BI$155,MATCH($A79,Raw_매출!$A$2:$A$155,0),MATCH(EDATE($E79,AU$1-1),Raw_매출!$B$1:$BI$1,0))=0,"",INDEX(Raw_매출!$B$2:$BI$155,MATCH($A79,Raw_매출!$A$2:$A$155,0),MATCH(EDATE($E79,AU$1-1),Raw_매출!$B$1:$BI$1,0))/(INDEX(요약_월별시즈널리티!$F$7:$F$18,MONTH(EDATE($E79,AU$1-1)))/100))),"")</f>
        <v/>
      </c>
      <c r="AV79" t="str" cm="1">
        <f t="array" ref="AV79">IFERROR(IF($E79&lt;44348,"",IF(INDEX(Raw_매출!$B$2:$BI$155,MATCH($A79,Raw_매출!$A$2:$A$155,0),MATCH(EDATE($E79,AV$1-1),Raw_매출!$B$1:$BI$1,0))=0,"",INDEX(Raw_매출!$B$2:$BI$155,MATCH($A79,Raw_매출!$A$2:$A$155,0),MATCH(EDATE($E79,AV$1-1),Raw_매출!$B$1:$BI$1,0))/(INDEX(요약_월별시즈널리티!$F$7:$F$18,MONTH(EDATE($E79,AV$1-1)))/100))),"")</f>
        <v/>
      </c>
      <c r="AW79" t="str" cm="1">
        <f t="array" ref="AW79">IFERROR(IF($E79&lt;44348,"",IF(INDEX(Raw_매출!$B$2:$BI$155,MATCH($A79,Raw_매출!$A$2:$A$155,0),MATCH(EDATE($E79,AW$1-1),Raw_매출!$B$1:$BI$1,0))=0,"",INDEX(Raw_매출!$B$2:$BI$155,MATCH($A79,Raw_매출!$A$2:$A$155,0),MATCH(EDATE($E79,AW$1-1),Raw_매출!$B$1:$BI$1,0))/(INDEX(요약_월별시즈널리티!$F$7:$F$18,MONTH(EDATE($E79,AW$1-1)))/100))),"")</f>
        <v/>
      </c>
      <c r="AX79" t="str" cm="1">
        <f t="array" ref="AX79">IFERROR(IF($E79&lt;44348,"",IF(INDEX(Raw_매출!$B$2:$BI$155,MATCH($A79,Raw_매출!$A$2:$A$155,0),MATCH(EDATE($E79,AX$1-1),Raw_매출!$B$1:$BI$1,0))=0,"",INDEX(Raw_매출!$B$2:$BI$155,MATCH($A79,Raw_매출!$A$2:$A$155,0),MATCH(EDATE($E79,AX$1-1),Raw_매출!$B$1:$BI$1,0))/(INDEX(요약_월별시즈널리티!$F$7:$F$18,MONTH(EDATE($E79,AX$1-1)))/100))),"")</f>
        <v/>
      </c>
      <c r="AY79" t="str" cm="1">
        <f t="array" ref="AY79">IFERROR(IF($E79&lt;44348,"",IF(INDEX(Raw_매출!$B$2:$BI$155,MATCH($A79,Raw_매출!$A$2:$A$155,0),MATCH(EDATE($E79,AY$1-1),Raw_매출!$B$1:$BI$1,0))=0,"",INDEX(Raw_매출!$B$2:$BI$155,MATCH($A79,Raw_매출!$A$2:$A$155,0),MATCH(EDATE($E79,AY$1-1),Raw_매출!$B$1:$BI$1,0))/(INDEX(요약_월별시즈널리티!$F$7:$F$18,MONTH(EDATE($E79,AY$1-1)))/100))),"")</f>
        <v/>
      </c>
      <c r="AZ79" t="str" cm="1">
        <f t="array" ref="AZ79">IFERROR(IF($E79&lt;44348,"",IF(INDEX(Raw_매출!$B$2:$BI$155,MATCH($A79,Raw_매출!$A$2:$A$155,0),MATCH(EDATE($E79,AZ$1-1),Raw_매출!$B$1:$BI$1,0))=0,"",INDEX(Raw_매출!$B$2:$BI$155,MATCH($A79,Raw_매출!$A$2:$A$155,0),MATCH(EDATE($E79,AZ$1-1),Raw_매출!$B$1:$BI$1,0))/(INDEX(요약_월별시즈널리티!$F$7:$F$18,MONTH(EDATE($E79,AZ$1-1)))/100))),"")</f>
        <v/>
      </c>
      <c r="BA79" t="str" cm="1">
        <f t="array" ref="BA79">IFERROR(IF($E79&lt;44348,"",IF(INDEX(Raw_매출!$B$2:$BI$155,MATCH($A79,Raw_매출!$A$2:$A$155,0),MATCH(EDATE($E79,BA$1-1),Raw_매출!$B$1:$BI$1,0))=0,"",INDEX(Raw_매출!$B$2:$BI$155,MATCH($A79,Raw_매출!$A$2:$A$155,0),MATCH(EDATE($E79,BA$1-1),Raw_매출!$B$1:$BI$1,0))/(INDEX(요약_월별시즈널리티!$F$7:$F$18,MONTH(EDATE($E79,BA$1-1)))/100))),"")</f>
        <v/>
      </c>
      <c r="BB79" t="str" cm="1">
        <f t="array" ref="BB79">IFERROR(IF($E79&lt;44348,"",IF(INDEX(Raw_매출!$B$2:$BI$155,MATCH($A79,Raw_매출!$A$2:$A$155,0),MATCH(EDATE($E79,BB$1-1),Raw_매출!$B$1:$BI$1,0))=0,"",INDEX(Raw_매출!$B$2:$BI$155,MATCH($A79,Raw_매출!$A$2:$A$155,0),MATCH(EDATE($E79,BB$1-1),Raw_매출!$B$1:$BI$1,0))/(INDEX(요약_월별시즈널리티!$F$7:$F$18,MONTH(EDATE($E79,BB$1-1)))/100))),"")</f>
        <v/>
      </c>
      <c r="BC79" t="str" cm="1">
        <f t="array" ref="BC79">IFERROR(IF($E79&lt;44348,"",IF(INDEX(Raw_매출!$B$2:$BI$155,MATCH($A79,Raw_매출!$A$2:$A$155,0),MATCH(EDATE($E79,BC$1-1),Raw_매출!$B$1:$BI$1,0))=0,"",INDEX(Raw_매출!$B$2:$BI$155,MATCH($A79,Raw_매출!$A$2:$A$155,0),MATCH(EDATE($E79,BC$1-1),Raw_매출!$B$1:$BI$1,0))/(INDEX(요약_월별시즈널리티!$F$7:$F$18,MONTH(EDATE($E79,BC$1-1)))/100))),"")</f>
        <v/>
      </c>
      <c r="BD79" t="str" cm="1">
        <f t="array" ref="BD79">IFERROR(IF($E79&lt;44348,"",IF(INDEX(Raw_매출!$B$2:$BI$155,MATCH($A79,Raw_매출!$A$2:$A$155,0),MATCH(EDATE($E79,BD$1-1),Raw_매출!$B$1:$BI$1,0))=0,"",INDEX(Raw_매출!$B$2:$BI$155,MATCH($A79,Raw_매출!$A$2:$A$155,0),MATCH(EDATE($E79,BD$1-1),Raw_매출!$B$1:$BI$1,0))/(INDEX(요약_월별시즈널리티!$F$7:$F$18,MONTH(EDATE($E79,BD$1-1)))/100))),"")</f>
        <v/>
      </c>
      <c r="BE79" t="str" cm="1">
        <f t="array" ref="BE79">IFERROR(IF($E79&lt;44348,"",IF(INDEX(Raw_매출!$B$2:$BI$155,MATCH($A79,Raw_매출!$A$2:$A$155,0),MATCH(EDATE($E79,BE$1-1),Raw_매출!$B$1:$BI$1,0))=0,"",INDEX(Raw_매출!$B$2:$BI$155,MATCH($A79,Raw_매출!$A$2:$A$155,0),MATCH(EDATE($E79,BE$1-1),Raw_매출!$B$1:$BI$1,0))/(INDEX(요약_월별시즈널리티!$F$7:$F$18,MONTH(EDATE($E79,BE$1-1)))/100))),"")</f>
        <v/>
      </c>
      <c r="BF79" t="str" cm="1">
        <f t="array" ref="BF79">IFERROR(IF($E79&lt;44348,"",IF(INDEX(Raw_매출!$B$2:$BI$155,MATCH($A79,Raw_매출!$A$2:$A$155,0),MATCH(EDATE($E79,BF$1-1),Raw_매출!$B$1:$BI$1,0))=0,"",INDEX(Raw_매출!$B$2:$BI$155,MATCH($A79,Raw_매출!$A$2:$A$155,0),MATCH(EDATE($E79,BF$1-1),Raw_매출!$B$1:$BI$1,0))/(INDEX(요약_월별시즈널리티!$F$7:$F$18,MONTH(EDATE($E79,BF$1-1)))/100))),"")</f>
        <v/>
      </c>
      <c r="BG79" t="str" cm="1">
        <f t="array" ref="BG79">IFERROR(IF($E79&lt;44348,"",IF(INDEX(Raw_매출!$B$2:$BI$155,MATCH($A79,Raw_매출!$A$2:$A$155,0),MATCH(EDATE($E79,BG$1-1),Raw_매출!$B$1:$BI$1,0))=0,"",INDEX(Raw_매출!$B$2:$BI$155,MATCH($A79,Raw_매출!$A$2:$A$155,0),MATCH(EDATE($E79,BG$1-1),Raw_매출!$B$1:$BI$1,0))/(INDEX(요약_월별시즈널리티!$F$7:$F$18,MONTH(EDATE($E79,BG$1-1)))/100))),"")</f>
        <v/>
      </c>
      <c r="BH79" t="str" cm="1">
        <f t="array" ref="BH79">IFERROR(IF($E79&lt;44348,"",IF(INDEX(Raw_매출!$B$2:$BI$155,MATCH($A79,Raw_매출!$A$2:$A$155,0),MATCH(EDATE($E79,BH$1-1),Raw_매출!$B$1:$BI$1,0))=0,"",INDEX(Raw_매출!$B$2:$BI$155,MATCH($A79,Raw_매출!$A$2:$A$155,0),MATCH(EDATE($E79,BH$1-1),Raw_매출!$B$1:$BI$1,0))/(INDEX(요약_월별시즈널리티!$F$7:$F$18,MONTH(EDATE($E79,BH$1-1)))/100))),"")</f>
        <v/>
      </c>
      <c r="BI79" t="str" cm="1">
        <f t="array" ref="BI79">IFERROR(IF($E79&lt;44348,"",IF(INDEX(Raw_매출!$B$2:$BI$155,MATCH($A79,Raw_매출!$A$2:$A$155,0),MATCH(EDATE($E79,BI$1-1),Raw_매출!$B$1:$BI$1,0))=0,"",INDEX(Raw_매출!$B$2:$BI$155,MATCH($A79,Raw_매출!$A$2:$A$155,0),MATCH(EDATE($E79,BI$1-1),Raw_매출!$B$1:$BI$1,0))/(INDEX(요약_월별시즈널리티!$F$7:$F$18,MONTH(EDATE($E79,BI$1-1)))/100))),"")</f>
        <v/>
      </c>
      <c r="BJ79" t="str" cm="1">
        <f t="array" ref="BJ79">IFERROR(IF($E79&lt;44348,"",IF(INDEX(Raw_매출!$B$2:$BI$155,MATCH($A79,Raw_매출!$A$2:$A$155,0),MATCH(EDATE($E79,BJ$1-1),Raw_매출!$B$1:$BI$1,0))=0,"",INDEX(Raw_매출!$B$2:$BI$155,MATCH($A79,Raw_매출!$A$2:$A$155,0),MATCH(EDATE($E79,BJ$1-1),Raw_매출!$B$1:$BI$1,0))/(INDEX(요약_월별시즈널리티!$F$7:$F$18,MONTH(EDATE($E79,BJ$1-1)))/100))),"")</f>
        <v/>
      </c>
      <c r="BK79" t="str" cm="1">
        <f t="array" ref="BK79">IFERROR(IF($E79&lt;44348,"",IF(INDEX(Raw_매출!$B$2:$BI$155,MATCH($A79,Raw_매출!$A$2:$A$155,0),MATCH(EDATE($E79,BK$1-1),Raw_매출!$B$1:$BI$1,0))=0,"",INDEX(Raw_매출!$B$2:$BI$155,MATCH($A79,Raw_매출!$A$2:$A$155,0),MATCH(EDATE($E79,BK$1-1),Raw_매출!$B$1:$BI$1,0))/(INDEX(요약_월별시즈널리티!$F$7:$F$18,MONTH(EDATE($E79,BK$1-1)))/100))),"")</f>
        <v/>
      </c>
      <c r="BL79" t="str" cm="1">
        <f t="array" ref="BL79">IFERROR(IF($E79&lt;44348,"",IF(INDEX(Raw_매출!$B$2:$BI$155,MATCH($A79,Raw_매출!$A$2:$A$155,0),MATCH(EDATE($E79,BL$1-1),Raw_매출!$B$1:$BI$1,0))=0,"",INDEX(Raw_매출!$B$2:$BI$155,MATCH($A79,Raw_매출!$A$2:$A$155,0),MATCH(EDATE($E79,BL$1-1),Raw_매출!$B$1:$BI$1,0))/(INDEX(요약_월별시즈널리티!$F$7:$F$18,MONTH(EDATE($E79,BL$1-1)))/100))),"")</f>
        <v/>
      </c>
      <c r="BM79" t="str" cm="1">
        <f t="array" ref="BM79">IFERROR(IF($E79&lt;44348,"",IF(INDEX(Raw_매출!$B$2:$BI$155,MATCH($A79,Raw_매출!$A$2:$A$155,0),MATCH(EDATE($E79,BM$1-1),Raw_매출!$B$1:$BI$1,0))=0,"",INDEX(Raw_매출!$B$2:$BI$155,MATCH($A79,Raw_매출!$A$2:$A$155,0),MATCH(EDATE($E79,BM$1-1),Raw_매출!$B$1:$BI$1,0))/(INDEX(요약_월별시즈널리티!$F$7:$F$18,MONTH(EDATE($E79,BM$1-1)))/100))),"")</f>
        <v/>
      </c>
      <c r="BN79" t="str" cm="1">
        <f t="array" ref="BN79">IFERROR(IF($E79&lt;44348,"",IF(INDEX(Raw_매출!$B$2:$BI$155,MATCH($A79,Raw_매출!$A$2:$A$155,0),MATCH(EDATE($E79,BN$1-1),Raw_매출!$B$1:$BI$1,0))=0,"",INDEX(Raw_매출!$B$2:$BI$155,MATCH($A79,Raw_매출!$A$2:$A$155,0),MATCH(EDATE($E79,BN$1-1),Raw_매출!$B$1:$BI$1,0))/(INDEX(요약_월별시즈널리티!$F$7:$F$18,MONTH(EDATE($E79,BN$1-1)))/100))),"")</f>
        <v/>
      </c>
    </row>
    <row r="80" spans="1:66" x14ac:dyDescent="0.4">
      <c r="A80" t="str">
        <f>세팅!A81</f>
        <v>(1069) #숭실대입구역점</v>
      </c>
      <c r="B80" t="str">
        <f>세팅!B81</f>
        <v>150-1</v>
      </c>
      <c r="C80">
        <f t="shared" si="3"/>
        <v>1</v>
      </c>
      <c r="D80" t="str">
        <f t="shared" si="4"/>
        <v>1</v>
      </c>
      <c r="E80" s="1">
        <f>세팅!D81</f>
        <v>45017</v>
      </c>
      <c r="F80">
        <f t="shared" si="5"/>
        <v>4034615.3147528893</v>
      </c>
      <c r="G80" cm="1">
        <f t="array" ref="G80">IFERROR(IF($E80&lt;44348,"",IF(INDEX(Raw_매출!$B$2:$BI$155,MATCH($A80,Raw_매출!$A$2:$A$155,0),MATCH(EDATE($E80,G$1-1),Raw_매출!$B$1:$BI$1,0))=0,"",INDEX(Raw_매출!$B$2:$BI$155,MATCH($A80,Raw_매출!$A$2:$A$155,0),MATCH(EDATE($E80,G$1-1),Raw_매출!$B$1:$BI$1,0))/(INDEX(요약_월별시즈널리티!$F$7:$F$18,MONTH(EDATE($E80,G$1-1)))/100))),"")</f>
        <v>3765723.5277854283</v>
      </c>
      <c r="H80" cm="1">
        <f t="array" ref="H80">IFERROR(IF($E80&lt;44348,"",IF(INDEX(Raw_매출!$B$2:$BI$155,MATCH($A80,Raw_매출!$A$2:$A$155,0),MATCH(EDATE($E80,H$1-1),Raw_매출!$B$1:$BI$1,0))=0,"",INDEX(Raw_매출!$B$2:$BI$155,MATCH($A80,Raw_매출!$A$2:$A$155,0),MATCH(EDATE($E80,H$1-1),Raw_매출!$B$1:$BI$1,0))/(INDEX(요약_월별시즈널리티!$F$7:$F$18,MONTH(EDATE($E80,H$1-1)))/100))),"")</f>
        <v>3981399.7707658024</v>
      </c>
      <c r="I80" cm="1">
        <f t="array" ref="I80">IFERROR(IF($E80&lt;44348,"",IF(INDEX(Raw_매출!$B$2:$BI$155,MATCH($A80,Raw_매출!$A$2:$A$155,0),MATCH(EDATE($E80,I$1-1),Raw_매출!$B$1:$BI$1,0))=0,"",INDEX(Raw_매출!$B$2:$BI$155,MATCH($A80,Raw_매출!$A$2:$A$155,0),MATCH(EDATE($E80,I$1-1),Raw_매출!$B$1:$BI$1,0))/(INDEX(요약_월별시즈널리티!$F$7:$F$18,MONTH(EDATE($E80,I$1-1)))/100))),"")</f>
        <v>3889197.9854417504</v>
      </c>
      <c r="J80" s="30" cm="1">
        <f t="array" ref="J80">IFERROR(IF($E80&lt;44348,"",IF(INDEX(Raw_매출!$B$2:$BI$155,MATCH($A80,Raw_매출!$A$2:$A$155,0),MATCH(EDATE($E80,J$1-1),Raw_매출!$B$1:$BI$1,0))=0,"",INDEX(Raw_매출!$B$2:$BI$155,MATCH($A80,Raw_매출!$A$2:$A$155,0),MATCH(EDATE($E80,J$1-1),Raw_매출!$B$1:$BI$1,0))/(INDEX(요약_월별시즈널리티!$F$7:$F$18,MONTH(EDATE($E80,J$1-1)))/100))),"")</f>
        <v>4308423.9515685029</v>
      </c>
      <c r="K80" s="30" cm="1">
        <f t="array" ref="K80">IFERROR(IF($E80&lt;44348,"",IF(INDEX(Raw_매출!$B$2:$BI$155,MATCH($A80,Raw_매출!$A$2:$A$155,0),MATCH(EDATE($E80,K$1-1),Raw_매출!$B$1:$BI$1,0))=0,"",INDEX(Raw_매출!$B$2:$BI$155,MATCH($A80,Raw_매출!$A$2:$A$155,0),MATCH(EDATE($E80,K$1-1),Raw_매출!$B$1:$BI$1,0))/(INDEX(요약_월별시즈널리티!$F$7:$F$18,MONTH(EDATE($E80,K$1-1)))/100))),"")</f>
        <v>3682681.1554474542</v>
      </c>
      <c r="L80" s="30" cm="1">
        <f t="array" ref="L80">IFERROR(IF($E80&lt;44348,"",IF(INDEX(Raw_매출!$B$2:$BI$155,MATCH($A80,Raw_매출!$A$2:$A$155,0),MATCH(EDATE($E80,L$1-1),Raw_매출!$B$1:$BI$1,0))=0,"",INDEX(Raw_매출!$B$2:$BI$155,MATCH($A80,Raw_매출!$A$2:$A$155,0),MATCH(EDATE($E80,L$1-1),Raw_매출!$B$1:$BI$1,0))/(INDEX(요약_월별시즈널리티!$F$7:$F$18,MONTH(EDATE($E80,L$1-1)))/100))),"")</f>
        <v>3936135.6935401675</v>
      </c>
      <c r="M80" s="30" cm="1">
        <f t="array" ref="M80">IFERROR(IF($E80&lt;44348,"",IF(INDEX(Raw_매출!$B$2:$BI$155,MATCH($A80,Raw_매출!$A$2:$A$155,0),MATCH(EDATE($E80,M$1-1),Raw_매출!$B$1:$BI$1,0))=0,"",INDEX(Raw_매출!$B$2:$BI$155,MATCH($A80,Raw_매출!$A$2:$A$155,0),MATCH(EDATE($E80,M$1-1),Raw_매출!$B$1:$BI$1,0))/(INDEX(요약_월별시즈널리티!$F$7:$F$18,MONTH(EDATE($E80,M$1-1)))/100))),"")</f>
        <v>3987211.7362201023</v>
      </c>
      <c r="N80" s="30" cm="1">
        <f t="array" ref="N80">IFERROR(IF($E80&lt;44348,"",IF(INDEX(Raw_매출!$B$2:$BI$155,MATCH($A80,Raw_매출!$A$2:$A$155,0),MATCH(EDATE($E80,N$1-1),Raw_매출!$B$1:$BI$1,0))=0,"",INDEX(Raw_매출!$B$2:$BI$155,MATCH($A80,Raw_매출!$A$2:$A$155,0),MATCH(EDATE($E80,N$1-1),Raw_매출!$B$1:$BI$1,0))/(INDEX(요약_월별시즈널리티!$F$7:$F$18,MONTH(EDATE($E80,N$1-1)))/100))),"")</f>
        <v>4084043.1023076698</v>
      </c>
      <c r="O80" s="30" cm="1">
        <f t="array" ref="O80">IFERROR(IF($E80&lt;44348,"",IF(INDEX(Raw_매출!$B$2:$BI$155,MATCH($A80,Raw_매출!$A$2:$A$155,0),MATCH(EDATE($E80,O$1-1),Raw_매출!$B$1:$BI$1,0))=0,"",INDEX(Raw_매출!$B$2:$BI$155,MATCH($A80,Raw_매출!$A$2:$A$155,0),MATCH(EDATE($E80,O$1-1),Raw_매출!$B$1:$BI$1,0))/(INDEX(요약_월별시즈널리티!$F$7:$F$18,MONTH(EDATE($E80,O$1-1)))/100))),"")</f>
        <v>4209196.2494334374</v>
      </c>
      <c r="P80" cm="1">
        <f t="array" ref="P80">IFERROR(IF($E80&lt;44348,"",IF(INDEX(Raw_매출!$B$2:$BI$155,MATCH($A80,Raw_매출!$A$2:$A$155,0),MATCH(EDATE($E80,P$1-1),Raw_매출!$B$1:$BI$1,0))=0,"",INDEX(Raw_매출!$B$2:$BI$155,MATCH($A80,Raw_매출!$A$2:$A$155,0),MATCH(EDATE($E80,P$1-1),Raw_매출!$B$1:$BI$1,0))/(INDEX(요약_월별시즈널리티!$F$7:$F$18,MONTH(EDATE($E80,P$1-1)))/100))),"")</f>
        <v>4715121.4631798277</v>
      </c>
      <c r="Q80" cm="1">
        <f t="array" ref="Q80">IFERROR(IF($E80&lt;44348,"",IF(INDEX(Raw_매출!$B$2:$BI$155,MATCH($A80,Raw_매출!$A$2:$A$155,0),MATCH(EDATE($E80,Q$1-1),Raw_매출!$B$1:$BI$1,0))=0,"",INDEX(Raw_매출!$B$2:$BI$155,MATCH($A80,Raw_매출!$A$2:$A$155,0),MATCH(EDATE($E80,Q$1-1),Raw_매출!$B$1:$BI$1,0))/(INDEX(요약_월별시즈널리티!$F$7:$F$18,MONTH(EDATE($E80,Q$1-1)))/100))),"")</f>
        <v>3982783.9098776141</v>
      </c>
      <c r="R80" cm="1">
        <f t="array" ref="R80">IFERROR(IF($E80&lt;44348,"",IF(INDEX(Raw_매출!$B$2:$BI$155,MATCH($A80,Raw_매출!$A$2:$A$155,0),MATCH(EDATE($E80,R$1-1),Raw_매출!$B$1:$BI$1,0))=0,"",INDEX(Raw_매출!$B$2:$BI$155,MATCH($A80,Raw_매출!$A$2:$A$155,0),MATCH(EDATE($E80,R$1-1),Raw_매출!$B$1:$BI$1,0))/(INDEX(요약_월별시즈널리티!$F$7:$F$18,MONTH(EDATE($E80,R$1-1)))/100))),"")</f>
        <v>4582666.1012427509</v>
      </c>
      <c r="S80" cm="1">
        <f t="array" ref="S80">IFERROR(IF($E80&lt;44348,"",IF(INDEX(Raw_매출!$B$2:$BI$155,MATCH($A80,Raw_매출!$A$2:$A$155,0),MATCH(EDATE($E80,S$1-1),Raw_매출!$B$1:$BI$1,0))=0,"",INDEX(Raw_매출!$B$2:$BI$155,MATCH($A80,Raw_매출!$A$2:$A$155,0),MATCH(EDATE($E80,S$1-1),Raw_매출!$B$1:$BI$1,0))/(INDEX(요약_월별시즈널리티!$F$7:$F$18,MONTH(EDATE($E80,S$1-1)))/100))),"")</f>
        <v>4229288.703386304</v>
      </c>
      <c r="T80" cm="1">
        <f t="array" ref="T80">IFERROR(IF($E80&lt;44348,"",IF(INDEX(Raw_매출!$B$2:$BI$155,MATCH($A80,Raw_매출!$A$2:$A$155,0),MATCH(EDATE($E80,T$1-1),Raw_매출!$B$1:$BI$1,0))=0,"",INDEX(Raw_매출!$B$2:$BI$155,MATCH($A80,Raw_매출!$A$2:$A$155,0),MATCH(EDATE($E80,T$1-1),Raw_매출!$B$1:$BI$1,0))/(INDEX(요약_월별시즈널리티!$F$7:$F$18,MONTH(EDATE($E80,T$1-1)))/100))),"")</f>
        <v>4305467.1939676702</v>
      </c>
      <c r="U80" cm="1">
        <f t="array" ref="U80">IFERROR(IF($E80&lt;44348,"",IF(INDEX(Raw_매출!$B$2:$BI$155,MATCH($A80,Raw_매출!$A$2:$A$155,0),MATCH(EDATE($E80,U$1-1),Raw_매출!$B$1:$BI$1,0))=0,"",INDEX(Raw_매출!$B$2:$BI$155,MATCH($A80,Raw_매출!$A$2:$A$155,0),MATCH(EDATE($E80,U$1-1),Raw_매출!$B$1:$BI$1,0))/(INDEX(요약_월별시즈널리티!$F$7:$F$18,MONTH(EDATE($E80,U$1-1)))/100))),"")</f>
        <v>4515983.9542074772</v>
      </c>
      <c r="V80" cm="1">
        <f t="array" ref="V80">IFERROR(IF($E80&lt;44348,"",IF(INDEX(Raw_매출!$B$2:$BI$155,MATCH($A80,Raw_매출!$A$2:$A$155,0),MATCH(EDATE($E80,V$1-1),Raw_매출!$B$1:$BI$1,0))=0,"",INDEX(Raw_매출!$B$2:$BI$155,MATCH($A80,Raw_매출!$A$2:$A$155,0),MATCH(EDATE($E80,V$1-1),Raw_매출!$B$1:$BI$1,0))/(INDEX(요약_월별시즈널리티!$F$7:$F$18,MONTH(EDATE($E80,V$1-1)))/100))),"")</f>
        <v>4760751.1482044607</v>
      </c>
      <c r="W80" cm="1">
        <f t="array" ref="W80">IFERROR(IF($E80&lt;44348,"",IF(INDEX(Raw_매출!$B$2:$BI$155,MATCH($A80,Raw_매출!$A$2:$A$155,0),MATCH(EDATE($E80,W$1-1),Raw_매출!$B$1:$BI$1,0))=0,"",INDEX(Raw_매출!$B$2:$BI$155,MATCH($A80,Raw_매출!$A$2:$A$155,0),MATCH(EDATE($E80,W$1-1),Raw_매출!$B$1:$BI$1,0))/(INDEX(요약_월별시즈널리티!$F$7:$F$18,MONTH(EDATE($E80,W$1-1)))/100))),"")</f>
        <v>5234130.637001819</v>
      </c>
      <c r="X80" cm="1">
        <f t="array" ref="X80">IFERROR(IF($E80&lt;44348,"",IF(INDEX(Raw_매출!$B$2:$BI$155,MATCH($A80,Raw_매출!$A$2:$A$155,0),MATCH(EDATE($E80,X$1-1),Raw_매출!$B$1:$BI$1,0))=0,"",INDEX(Raw_매출!$B$2:$BI$155,MATCH($A80,Raw_매출!$A$2:$A$155,0),MATCH(EDATE($E80,X$1-1),Raw_매출!$B$1:$BI$1,0))/(INDEX(요약_월별시즈널리티!$F$7:$F$18,MONTH(EDATE($E80,X$1-1)))/100))),"")</f>
        <v>5123228.6749951541</v>
      </c>
      <c r="Y80" cm="1">
        <f t="array" ref="Y80">IFERROR(IF($E80&lt;44348,"",IF(INDEX(Raw_매출!$B$2:$BI$155,MATCH($A80,Raw_매출!$A$2:$A$155,0),MATCH(EDATE($E80,Y$1-1),Raw_매출!$B$1:$BI$1,0))=0,"",INDEX(Raw_매출!$B$2:$BI$155,MATCH($A80,Raw_매출!$A$2:$A$155,0),MATCH(EDATE($E80,Y$1-1),Raw_매출!$B$1:$BI$1,0))/(INDEX(요약_월별시즈널리티!$F$7:$F$18,MONTH(EDATE($E80,Y$1-1)))/100))),"")</f>
        <v>4328975.2138749324</v>
      </c>
      <c r="Z80" cm="1">
        <f t="array" ref="Z80">IFERROR(IF($E80&lt;44348,"",IF(INDEX(Raw_매출!$B$2:$BI$155,MATCH($A80,Raw_매출!$A$2:$A$155,0),MATCH(EDATE($E80,Z$1-1),Raw_매출!$B$1:$BI$1,0))=0,"",INDEX(Raw_매출!$B$2:$BI$155,MATCH($A80,Raw_매출!$A$2:$A$155,0),MATCH(EDATE($E80,Z$1-1),Raw_매출!$B$1:$BI$1,0))/(INDEX(요약_월별시즈널리티!$F$7:$F$18,MONTH(EDATE($E80,Z$1-1)))/100))),"")</f>
        <v>4774709.3472691877</v>
      </c>
      <c r="AA80" cm="1">
        <f t="array" ref="AA80">IFERROR(IF($E80&lt;44348,"",IF(INDEX(Raw_매출!$B$2:$BI$155,MATCH($A80,Raw_매출!$A$2:$A$155,0),MATCH(EDATE($E80,AA$1-1),Raw_매출!$B$1:$BI$1,0))=0,"",INDEX(Raw_매출!$B$2:$BI$155,MATCH($A80,Raw_매출!$A$2:$A$155,0),MATCH(EDATE($E80,AA$1-1),Raw_매출!$B$1:$BI$1,0))/(INDEX(요약_월별시즈널리티!$F$7:$F$18,MONTH(EDATE($E80,AA$1-1)))/100))),"")</f>
        <v>4200225.1521813208</v>
      </c>
      <c r="AB80" cm="1">
        <f t="array" ref="AB80">IFERROR(IF($E80&lt;44348,"",IF(INDEX(Raw_매출!$B$2:$BI$155,MATCH($A80,Raw_매출!$A$2:$A$155,0),MATCH(EDATE($E80,AB$1-1),Raw_매출!$B$1:$BI$1,0))=0,"",INDEX(Raw_매출!$B$2:$BI$155,MATCH($A80,Raw_매출!$A$2:$A$155,0),MATCH(EDATE($E80,AB$1-1),Raw_매출!$B$1:$BI$1,0))/(INDEX(요약_월별시즈널리티!$F$7:$F$18,MONTH(EDATE($E80,AB$1-1)))/100))),"")</f>
        <v>3910114.9261397207</v>
      </c>
      <c r="AC80" cm="1">
        <f t="array" ref="AC80">IFERROR(IF($E80&lt;44348,"",IF(INDEX(Raw_매출!$B$2:$BI$155,MATCH($A80,Raw_매출!$A$2:$A$155,0),MATCH(EDATE($E80,AC$1-1),Raw_매출!$B$1:$BI$1,0))=0,"",INDEX(Raw_매출!$B$2:$BI$155,MATCH($A80,Raw_매출!$A$2:$A$155,0),MATCH(EDATE($E80,AC$1-1),Raw_매출!$B$1:$BI$1,0))/(INDEX(요약_월별시즈널리티!$F$7:$F$18,MONTH(EDATE($E80,AC$1-1)))/100))),"")</f>
        <v>4807043.4038863936</v>
      </c>
      <c r="AD80" cm="1">
        <f t="array" ref="AD80">IFERROR(IF($E80&lt;44348,"",IF(INDEX(Raw_매출!$B$2:$BI$155,MATCH($A80,Raw_매출!$A$2:$A$155,0),MATCH(EDATE($E80,AD$1-1),Raw_매출!$B$1:$BI$1,0))=0,"",INDEX(Raw_매출!$B$2:$BI$155,MATCH($A80,Raw_매출!$A$2:$A$155,0),MATCH(EDATE($E80,AD$1-1),Raw_매출!$B$1:$BI$1,0))/(INDEX(요약_월별시즈널리티!$F$7:$F$18,MONTH(EDATE($E80,AD$1-1)))/100))),"")</f>
        <v>5168866.1808712967</v>
      </c>
      <c r="AE80" cm="1">
        <f t="array" ref="AE80">IFERROR(IF($E80&lt;44348,"",IF(INDEX(Raw_매출!$B$2:$BI$155,MATCH($A80,Raw_매출!$A$2:$A$155,0),MATCH(EDATE($E80,AE$1-1),Raw_매출!$B$1:$BI$1,0))=0,"",INDEX(Raw_매출!$B$2:$BI$155,MATCH($A80,Raw_매출!$A$2:$A$155,0),MATCH(EDATE($E80,AE$1-1),Raw_매출!$B$1:$BI$1,0))/(INDEX(요약_월별시즈널리티!$F$7:$F$18,MONTH(EDATE($E80,AE$1-1)))/100))),"")</f>
        <v>5380429.6148099024</v>
      </c>
      <c r="AF80" cm="1">
        <f t="array" ref="AF80">IFERROR(IF($E80&lt;44348,"",IF(INDEX(Raw_매출!$B$2:$BI$155,MATCH($A80,Raw_매출!$A$2:$A$155,0),MATCH(EDATE($E80,AF$1-1),Raw_매출!$B$1:$BI$1,0))=0,"",INDEX(Raw_매출!$B$2:$BI$155,MATCH($A80,Raw_매출!$A$2:$A$155,0),MATCH(EDATE($E80,AF$1-1),Raw_매출!$B$1:$BI$1,0))/(INDEX(요약_월별시즈널리티!$F$7:$F$18,MONTH(EDATE($E80,AF$1-1)))/100))),"")</f>
        <v>5478358.5554442592</v>
      </c>
      <c r="AG80" cm="1">
        <f t="array" ref="AG80">IFERROR(IF($E80&lt;44348,"",IF(INDEX(Raw_매출!$B$2:$BI$155,MATCH($A80,Raw_매출!$A$2:$A$155,0),MATCH(EDATE($E80,AG$1-1),Raw_매출!$B$1:$BI$1,0))=0,"",INDEX(Raw_매출!$B$2:$BI$155,MATCH($A80,Raw_매출!$A$2:$A$155,0),MATCH(EDATE($E80,AG$1-1),Raw_매출!$B$1:$BI$1,0))/(INDEX(요약_월별시즈널리티!$F$7:$F$18,MONTH(EDATE($E80,AG$1-1)))/100))),"")</f>
        <v>5170274.0197958276</v>
      </c>
      <c r="AH80" cm="1">
        <f t="array" ref="AH80">IFERROR(IF($E80&lt;44348,"",IF(INDEX(Raw_매출!$B$2:$BI$155,MATCH($A80,Raw_매출!$A$2:$A$155,0),MATCH(EDATE($E80,AH$1-1),Raw_매출!$B$1:$BI$1,0))=0,"",INDEX(Raw_매출!$B$2:$BI$155,MATCH($A80,Raw_매출!$A$2:$A$155,0),MATCH(EDATE($E80,AH$1-1),Raw_매출!$B$1:$BI$1,0))/(INDEX(요약_월별시즈널리티!$F$7:$F$18,MONTH(EDATE($E80,AH$1-1)))/100))),"")</f>
        <v>4668602.4620917561</v>
      </c>
      <c r="AI80" cm="1">
        <f t="array" ref="AI80">IFERROR(IF($E80&lt;44348,"",IF(INDEX(Raw_매출!$B$2:$BI$155,MATCH($A80,Raw_매출!$A$2:$A$155,0),MATCH(EDATE($E80,AI$1-1),Raw_매출!$B$1:$BI$1,0))=0,"",INDEX(Raw_매출!$B$2:$BI$155,MATCH($A80,Raw_매출!$A$2:$A$155,0),MATCH(EDATE($E80,AI$1-1),Raw_매출!$B$1:$BI$1,0))/(INDEX(요약_월별시즈널리티!$F$7:$F$18,MONTH(EDATE($E80,AI$1-1)))/100))),"")</f>
        <v>5013336.3604893479</v>
      </c>
      <c r="AJ80" cm="1">
        <f t="array" ref="AJ80">IFERROR(IF($E80&lt;44348,"",IF(INDEX(Raw_매출!$B$2:$BI$155,MATCH($A80,Raw_매출!$A$2:$A$155,0),MATCH(EDATE($E80,AJ$1-1),Raw_매출!$B$1:$BI$1,0))=0,"",INDEX(Raw_매출!$B$2:$BI$155,MATCH($A80,Raw_매출!$A$2:$A$155,0),MATCH(EDATE($E80,AJ$1-1),Raw_매출!$B$1:$BI$1,0))/(INDEX(요약_월별시즈널리티!$F$7:$F$18,MONTH(EDATE($E80,AJ$1-1)))/100))),"")</f>
        <v>5583040.4361197473</v>
      </c>
      <c r="AK80" cm="1">
        <f t="array" ref="AK80">IFERROR(IF($E80&lt;44348,"",IF(INDEX(Raw_매출!$B$2:$BI$155,MATCH($A80,Raw_매출!$A$2:$A$155,0),MATCH(EDATE($E80,AK$1-1),Raw_매출!$B$1:$BI$1,0))=0,"",INDEX(Raw_매출!$B$2:$BI$155,MATCH($A80,Raw_매출!$A$2:$A$155,0),MATCH(EDATE($E80,AK$1-1),Raw_매출!$B$1:$BI$1,0))/(INDEX(요약_월별시즈널리티!$F$7:$F$18,MONTH(EDATE($E80,AK$1-1)))/100))),"")</f>
        <v>5431864.4519465929</v>
      </c>
      <c r="AL80" cm="1">
        <f t="array" ref="AL80">IFERROR(IF($E80&lt;44348,"",IF(INDEX(Raw_매출!$B$2:$BI$155,MATCH($A80,Raw_매출!$A$2:$A$155,0),MATCH(EDATE($E80,AL$1-1),Raw_매출!$B$1:$BI$1,0))=0,"",INDEX(Raw_매출!$B$2:$BI$155,MATCH($A80,Raw_매출!$A$2:$A$155,0),MATCH(EDATE($E80,AL$1-1),Raw_매출!$B$1:$BI$1,0))/(INDEX(요약_월별시즈널리티!$F$7:$F$18,MONTH(EDATE($E80,AL$1-1)))/100))),"")</f>
        <v>5011117.0445342362</v>
      </c>
      <c r="AM80" cm="1">
        <f t="array" ref="AM80">IFERROR(IF($E80&lt;44348,"",IF(INDEX(Raw_매출!$B$2:$BI$155,MATCH($A80,Raw_매출!$A$2:$A$155,0),MATCH(EDATE($E80,AM$1-1),Raw_매출!$B$1:$BI$1,0))=0,"",INDEX(Raw_매출!$B$2:$BI$155,MATCH($A80,Raw_매출!$A$2:$A$155,0),MATCH(EDATE($E80,AM$1-1),Raw_매출!$B$1:$BI$1,0))/(INDEX(요약_월별시즈널리티!$F$7:$F$18,MONTH(EDATE($E80,AM$1-1)))/100))),"")</f>
        <v>4636644.3557212027</v>
      </c>
      <c r="AN80" cm="1">
        <f t="array" ref="AN80">IFERROR(IF($E80&lt;44348,"",IF(INDEX(Raw_매출!$B$2:$BI$155,MATCH($A80,Raw_매출!$A$2:$A$155,0),MATCH(EDATE($E80,AN$1-1),Raw_매출!$B$1:$BI$1,0))=0,"",INDEX(Raw_매출!$B$2:$BI$155,MATCH($A80,Raw_매출!$A$2:$A$155,0),MATCH(EDATE($E80,AN$1-1),Raw_매출!$B$1:$BI$1,0))/(INDEX(요약_월별시즈널리티!$F$7:$F$18,MONTH(EDATE($E80,AN$1-1)))/100))),"")</f>
        <v>5147395.0334927132</v>
      </c>
      <c r="AO80" cm="1">
        <f t="array" ref="AO80">IFERROR(IF($E80&lt;44348,"",IF(INDEX(Raw_매출!$B$2:$BI$155,MATCH($A80,Raw_매출!$A$2:$A$155,0),MATCH(EDATE($E80,AO$1-1),Raw_매출!$B$1:$BI$1,0))=0,"",INDEX(Raw_매출!$B$2:$BI$155,MATCH($A80,Raw_매출!$A$2:$A$155,0),MATCH(EDATE($E80,AO$1-1),Raw_매출!$B$1:$BI$1,0))/(INDEX(요약_월별시즈널리티!$F$7:$F$18,MONTH(EDATE($E80,AO$1-1)))/100))),"")</f>
        <v>4902015.6564886291</v>
      </c>
      <c r="AP80" cm="1">
        <f t="array" ref="AP80">IFERROR(IF($E80&lt;44348,"",IF(INDEX(Raw_매출!$B$2:$BI$155,MATCH($A80,Raw_매출!$A$2:$A$155,0),MATCH(EDATE($E80,AP$1-1),Raw_매출!$B$1:$BI$1,0))=0,"",INDEX(Raw_매출!$B$2:$BI$155,MATCH($A80,Raw_매출!$A$2:$A$155,0),MATCH(EDATE($E80,AP$1-1),Raw_매출!$B$1:$BI$1,0))/(INDEX(요약_월별시즈널리티!$F$7:$F$18,MONTH(EDATE($E80,AP$1-1)))/100))),"")</f>
        <v>5011289.2766321152</v>
      </c>
      <c r="AQ80" cm="1">
        <f t="array" ref="AQ80">IFERROR(IF($E80&lt;44348,"",IF(INDEX(Raw_매출!$B$2:$BI$155,MATCH($A80,Raw_매출!$A$2:$A$155,0),MATCH(EDATE($E80,AQ$1-1),Raw_매출!$B$1:$BI$1,0))=0,"",INDEX(Raw_매출!$B$2:$BI$155,MATCH($A80,Raw_매출!$A$2:$A$155,0),MATCH(EDATE($E80,AQ$1-1),Raw_매출!$B$1:$BI$1,0))/(INDEX(요약_월별시즈널리티!$F$7:$F$18,MONTH(EDATE($E80,AQ$1-1)))/100))),"")</f>
        <v>5081330.9054754348</v>
      </c>
      <c r="AR80" cm="1">
        <f t="array" ref="AR80">IFERROR(IF($E80&lt;44348,"",IF(INDEX(Raw_매출!$B$2:$BI$155,MATCH($A80,Raw_매출!$A$2:$A$155,0),MATCH(EDATE($E80,AR$1-1),Raw_매출!$B$1:$BI$1,0))=0,"",INDEX(Raw_매출!$B$2:$BI$155,MATCH($A80,Raw_매출!$A$2:$A$155,0),MATCH(EDATE($E80,AR$1-1),Raw_매출!$B$1:$BI$1,0))/(INDEX(요약_월별시즈널리티!$F$7:$F$18,MONTH(EDATE($E80,AR$1-1)))/100))),"")</f>
        <v>5632723.8292209357</v>
      </c>
      <c r="AS80" t="str" cm="1">
        <f t="array" ref="AS80">IFERROR(IF($E80&lt;44348,"",IF(INDEX(Raw_매출!$B$2:$BI$155,MATCH($A80,Raw_매출!$A$2:$A$155,0),MATCH(EDATE($E80,AS$1-1),Raw_매출!$B$1:$BI$1,0))=0,"",INDEX(Raw_매출!$B$2:$BI$155,MATCH($A80,Raw_매출!$A$2:$A$155,0),MATCH(EDATE($E80,AS$1-1),Raw_매출!$B$1:$BI$1,0))/(INDEX(요약_월별시즈널리티!$F$7:$F$18,MONTH(EDATE($E80,AS$1-1)))/100))),"")</f>
        <v/>
      </c>
      <c r="AT80" t="str" cm="1">
        <f t="array" ref="AT80">IFERROR(IF($E80&lt;44348,"",IF(INDEX(Raw_매출!$B$2:$BI$155,MATCH($A80,Raw_매출!$A$2:$A$155,0),MATCH(EDATE($E80,AT$1-1),Raw_매출!$B$1:$BI$1,0))=0,"",INDEX(Raw_매출!$B$2:$BI$155,MATCH($A80,Raw_매출!$A$2:$A$155,0),MATCH(EDATE($E80,AT$1-1),Raw_매출!$B$1:$BI$1,0))/(INDEX(요약_월별시즈널리티!$F$7:$F$18,MONTH(EDATE($E80,AT$1-1)))/100))),"")</f>
        <v/>
      </c>
      <c r="AU80" t="str" cm="1">
        <f t="array" ref="AU80">IFERROR(IF($E80&lt;44348,"",IF(INDEX(Raw_매출!$B$2:$BI$155,MATCH($A80,Raw_매출!$A$2:$A$155,0),MATCH(EDATE($E80,AU$1-1),Raw_매출!$B$1:$BI$1,0))=0,"",INDEX(Raw_매출!$B$2:$BI$155,MATCH($A80,Raw_매출!$A$2:$A$155,0),MATCH(EDATE($E80,AU$1-1),Raw_매출!$B$1:$BI$1,0))/(INDEX(요약_월별시즈널리티!$F$7:$F$18,MONTH(EDATE($E80,AU$1-1)))/100))),"")</f>
        <v/>
      </c>
      <c r="AV80" t="str" cm="1">
        <f t="array" ref="AV80">IFERROR(IF($E80&lt;44348,"",IF(INDEX(Raw_매출!$B$2:$BI$155,MATCH($A80,Raw_매출!$A$2:$A$155,0),MATCH(EDATE($E80,AV$1-1),Raw_매출!$B$1:$BI$1,0))=0,"",INDEX(Raw_매출!$B$2:$BI$155,MATCH($A80,Raw_매출!$A$2:$A$155,0),MATCH(EDATE($E80,AV$1-1),Raw_매출!$B$1:$BI$1,0))/(INDEX(요약_월별시즈널리티!$F$7:$F$18,MONTH(EDATE($E80,AV$1-1)))/100))),"")</f>
        <v/>
      </c>
      <c r="AW80" t="str" cm="1">
        <f t="array" ref="AW80">IFERROR(IF($E80&lt;44348,"",IF(INDEX(Raw_매출!$B$2:$BI$155,MATCH($A80,Raw_매출!$A$2:$A$155,0),MATCH(EDATE($E80,AW$1-1),Raw_매출!$B$1:$BI$1,0))=0,"",INDEX(Raw_매출!$B$2:$BI$155,MATCH($A80,Raw_매출!$A$2:$A$155,0),MATCH(EDATE($E80,AW$1-1),Raw_매출!$B$1:$BI$1,0))/(INDEX(요약_월별시즈널리티!$F$7:$F$18,MONTH(EDATE($E80,AW$1-1)))/100))),"")</f>
        <v/>
      </c>
      <c r="AX80" t="str" cm="1">
        <f t="array" ref="AX80">IFERROR(IF($E80&lt;44348,"",IF(INDEX(Raw_매출!$B$2:$BI$155,MATCH($A80,Raw_매출!$A$2:$A$155,0),MATCH(EDATE($E80,AX$1-1),Raw_매출!$B$1:$BI$1,0))=0,"",INDEX(Raw_매출!$B$2:$BI$155,MATCH($A80,Raw_매출!$A$2:$A$155,0),MATCH(EDATE($E80,AX$1-1),Raw_매출!$B$1:$BI$1,0))/(INDEX(요약_월별시즈널리티!$F$7:$F$18,MONTH(EDATE($E80,AX$1-1)))/100))),"")</f>
        <v/>
      </c>
      <c r="AY80" t="str" cm="1">
        <f t="array" ref="AY80">IFERROR(IF($E80&lt;44348,"",IF(INDEX(Raw_매출!$B$2:$BI$155,MATCH($A80,Raw_매출!$A$2:$A$155,0),MATCH(EDATE($E80,AY$1-1),Raw_매출!$B$1:$BI$1,0))=0,"",INDEX(Raw_매출!$B$2:$BI$155,MATCH($A80,Raw_매출!$A$2:$A$155,0),MATCH(EDATE($E80,AY$1-1),Raw_매출!$B$1:$BI$1,0))/(INDEX(요약_월별시즈널리티!$F$7:$F$18,MONTH(EDATE($E80,AY$1-1)))/100))),"")</f>
        <v/>
      </c>
      <c r="AZ80" t="str" cm="1">
        <f t="array" ref="AZ80">IFERROR(IF($E80&lt;44348,"",IF(INDEX(Raw_매출!$B$2:$BI$155,MATCH($A80,Raw_매출!$A$2:$A$155,0),MATCH(EDATE($E80,AZ$1-1),Raw_매출!$B$1:$BI$1,0))=0,"",INDEX(Raw_매출!$B$2:$BI$155,MATCH($A80,Raw_매출!$A$2:$A$155,0),MATCH(EDATE($E80,AZ$1-1),Raw_매출!$B$1:$BI$1,0))/(INDEX(요약_월별시즈널리티!$F$7:$F$18,MONTH(EDATE($E80,AZ$1-1)))/100))),"")</f>
        <v/>
      </c>
      <c r="BA80" t="str" cm="1">
        <f t="array" ref="BA80">IFERROR(IF($E80&lt;44348,"",IF(INDEX(Raw_매출!$B$2:$BI$155,MATCH($A80,Raw_매출!$A$2:$A$155,0),MATCH(EDATE($E80,BA$1-1),Raw_매출!$B$1:$BI$1,0))=0,"",INDEX(Raw_매출!$B$2:$BI$155,MATCH($A80,Raw_매출!$A$2:$A$155,0),MATCH(EDATE($E80,BA$1-1),Raw_매출!$B$1:$BI$1,0))/(INDEX(요약_월별시즈널리티!$F$7:$F$18,MONTH(EDATE($E80,BA$1-1)))/100))),"")</f>
        <v/>
      </c>
      <c r="BB80" t="str" cm="1">
        <f t="array" ref="BB80">IFERROR(IF($E80&lt;44348,"",IF(INDEX(Raw_매출!$B$2:$BI$155,MATCH($A80,Raw_매출!$A$2:$A$155,0),MATCH(EDATE($E80,BB$1-1),Raw_매출!$B$1:$BI$1,0))=0,"",INDEX(Raw_매출!$B$2:$BI$155,MATCH($A80,Raw_매출!$A$2:$A$155,0),MATCH(EDATE($E80,BB$1-1),Raw_매출!$B$1:$BI$1,0))/(INDEX(요약_월별시즈널리티!$F$7:$F$18,MONTH(EDATE($E80,BB$1-1)))/100))),"")</f>
        <v/>
      </c>
      <c r="BC80" t="str" cm="1">
        <f t="array" ref="BC80">IFERROR(IF($E80&lt;44348,"",IF(INDEX(Raw_매출!$B$2:$BI$155,MATCH($A80,Raw_매출!$A$2:$A$155,0),MATCH(EDATE($E80,BC$1-1),Raw_매출!$B$1:$BI$1,0))=0,"",INDEX(Raw_매출!$B$2:$BI$155,MATCH($A80,Raw_매출!$A$2:$A$155,0),MATCH(EDATE($E80,BC$1-1),Raw_매출!$B$1:$BI$1,0))/(INDEX(요약_월별시즈널리티!$F$7:$F$18,MONTH(EDATE($E80,BC$1-1)))/100))),"")</f>
        <v/>
      </c>
      <c r="BD80" t="str" cm="1">
        <f t="array" ref="BD80">IFERROR(IF($E80&lt;44348,"",IF(INDEX(Raw_매출!$B$2:$BI$155,MATCH($A80,Raw_매출!$A$2:$A$155,0),MATCH(EDATE($E80,BD$1-1),Raw_매출!$B$1:$BI$1,0))=0,"",INDEX(Raw_매출!$B$2:$BI$155,MATCH($A80,Raw_매출!$A$2:$A$155,0),MATCH(EDATE($E80,BD$1-1),Raw_매출!$B$1:$BI$1,0))/(INDEX(요약_월별시즈널리티!$F$7:$F$18,MONTH(EDATE($E80,BD$1-1)))/100))),"")</f>
        <v/>
      </c>
      <c r="BE80" t="str" cm="1">
        <f t="array" ref="BE80">IFERROR(IF($E80&lt;44348,"",IF(INDEX(Raw_매출!$B$2:$BI$155,MATCH($A80,Raw_매출!$A$2:$A$155,0),MATCH(EDATE($E80,BE$1-1),Raw_매출!$B$1:$BI$1,0))=0,"",INDEX(Raw_매출!$B$2:$BI$155,MATCH($A80,Raw_매출!$A$2:$A$155,0),MATCH(EDATE($E80,BE$1-1),Raw_매출!$B$1:$BI$1,0))/(INDEX(요약_월별시즈널리티!$F$7:$F$18,MONTH(EDATE($E80,BE$1-1)))/100))),"")</f>
        <v/>
      </c>
      <c r="BF80" t="str" cm="1">
        <f t="array" ref="BF80">IFERROR(IF($E80&lt;44348,"",IF(INDEX(Raw_매출!$B$2:$BI$155,MATCH($A80,Raw_매출!$A$2:$A$155,0),MATCH(EDATE($E80,BF$1-1),Raw_매출!$B$1:$BI$1,0))=0,"",INDEX(Raw_매출!$B$2:$BI$155,MATCH($A80,Raw_매출!$A$2:$A$155,0),MATCH(EDATE($E80,BF$1-1),Raw_매출!$B$1:$BI$1,0))/(INDEX(요약_월별시즈널리티!$F$7:$F$18,MONTH(EDATE($E80,BF$1-1)))/100))),"")</f>
        <v/>
      </c>
      <c r="BG80" t="str" cm="1">
        <f t="array" ref="BG80">IFERROR(IF($E80&lt;44348,"",IF(INDEX(Raw_매출!$B$2:$BI$155,MATCH($A80,Raw_매출!$A$2:$A$155,0),MATCH(EDATE($E80,BG$1-1),Raw_매출!$B$1:$BI$1,0))=0,"",INDEX(Raw_매출!$B$2:$BI$155,MATCH($A80,Raw_매출!$A$2:$A$155,0),MATCH(EDATE($E80,BG$1-1),Raw_매출!$B$1:$BI$1,0))/(INDEX(요약_월별시즈널리티!$F$7:$F$18,MONTH(EDATE($E80,BG$1-1)))/100))),"")</f>
        <v/>
      </c>
      <c r="BH80" t="str" cm="1">
        <f t="array" ref="BH80">IFERROR(IF($E80&lt;44348,"",IF(INDEX(Raw_매출!$B$2:$BI$155,MATCH($A80,Raw_매출!$A$2:$A$155,0),MATCH(EDATE($E80,BH$1-1),Raw_매출!$B$1:$BI$1,0))=0,"",INDEX(Raw_매출!$B$2:$BI$155,MATCH($A80,Raw_매출!$A$2:$A$155,0),MATCH(EDATE($E80,BH$1-1),Raw_매출!$B$1:$BI$1,0))/(INDEX(요약_월별시즈널리티!$F$7:$F$18,MONTH(EDATE($E80,BH$1-1)))/100))),"")</f>
        <v/>
      </c>
      <c r="BI80" t="str" cm="1">
        <f t="array" ref="BI80">IFERROR(IF($E80&lt;44348,"",IF(INDEX(Raw_매출!$B$2:$BI$155,MATCH($A80,Raw_매출!$A$2:$A$155,0),MATCH(EDATE($E80,BI$1-1),Raw_매출!$B$1:$BI$1,0))=0,"",INDEX(Raw_매출!$B$2:$BI$155,MATCH($A80,Raw_매출!$A$2:$A$155,0),MATCH(EDATE($E80,BI$1-1),Raw_매출!$B$1:$BI$1,0))/(INDEX(요약_월별시즈널리티!$F$7:$F$18,MONTH(EDATE($E80,BI$1-1)))/100))),"")</f>
        <v/>
      </c>
      <c r="BJ80" t="str" cm="1">
        <f t="array" ref="BJ80">IFERROR(IF($E80&lt;44348,"",IF(INDEX(Raw_매출!$B$2:$BI$155,MATCH($A80,Raw_매출!$A$2:$A$155,0),MATCH(EDATE($E80,BJ$1-1),Raw_매출!$B$1:$BI$1,0))=0,"",INDEX(Raw_매출!$B$2:$BI$155,MATCH($A80,Raw_매출!$A$2:$A$155,0),MATCH(EDATE($E80,BJ$1-1),Raw_매출!$B$1:$BI$1,0))/(INDEX(요약_월별시즈널리티!$F$7:$F$18,MONTH(EDATE($E80,BJ$1-1)))/100))),"")</f>
        <v/>
      </c>
      <c r="BK80" t="str" cm="1">
        <f t="array" ref="BK80">IFERROR(IF($E80&lt;44348,"",IF(INDEX(Raw_매출!$B$2:$BI$155,MATCH($A80,Raw_매출!$A$2:$A$155,0),MATCH(EDATE($E80,BK$1-1),Raw_매출!$B$1:$BI$1,0))=0,"",INDEX(Raw_매출!$B$2:$BI$155,MATCH($A80,Raw_매출!$A$2:$A$155,0),MATCH(EDATE($E80,BK$1-1),Raw_매출!$B$1:$BI$1,0))/(INDEX(요약_월별시즈널리티!$F$7:$F$18,MONTH(EDATE($E80,BK$1-1)))/100))),"")</f>
        <v/>
      </c>
      <c r="BL80" t="str" cm="1">
        <f t="array" ref="BL80">IFERROR(IF($E80&lt;44348,"",IF(INDEX(Raw_매출!$B$2:$BI$155,MATCH($A80,Raw_매출!$A$2:$A$155,0),MATCH(EDATE($E80,BL$1-1),Raw_매출!$B$1:$BI$1,0))=0,"",INDEX(Raw_매출!$B$2:$BI$155,MATCH($A80,Raw_매출!$A$2:$A$155,0),MATCH(EDATE($E80,BL$1-1),Raw_매출!$B$1:$BI$1,0))/(INDEX(요약_월별시즈널리티!$F$7:$F$18,MONTH(EDATE($E80,BL$1-1)))/100))),"")</f>
        <v/>
      </c>
      <c r="BM80" t="str" cm="1">
        <f t="array" ref="BM80">IFERROR(IF($E80&lt;44348,"",IF(INDEX(Raw_매출!$B$2:$BI$155,MATCH($A80,Raw_매출!$A$2:$A$155,0),MATCH(EDATE($E80,BM$1-1),Raw_매출!$B$1:$BI$1,0))=0,"",INDEX(Raw_매출!$B$2:$BI$155,MATCH($A80,Raw_매출!$A$2:$A$155,0),MATCH(EDATE($E80,BM$1-1),Raw_매출!$B$1:$BI$1,0))/(INDEX(요약_월별시즈널리티!$F$7:$F$18,MONTH(EDATE($E80,BM$1-1)))/100))),"")</f>
        <v/>
      </c>
      <c r="BN80" t="str" cm="1">
        <f t="array" ref="BN80">IFERROR(IF($E80&lt;44348,"",IF(INDEX(Raw_매출!$B$2:$BI$155,MATCH($A80,Raw_매출!$A$2:$A$155,0),MATCH(EDATE($E80,BN$1-1),Raw_매출!$B$1:$BI$1,0))=0,"",INDEX(Raw_매출!$B$2:$BI$155,MATCH($A80,Raw_매출!$A$2:$A$155,0),MATCH(EDATE($E80,BN$1-1),Raw_매출!$B$1:$BI$1,0))/(INDEX(요약_월별시즈널리티!$F$7:$F$18,MONTH(EDATE($E80,BN$1-1)))/100))),"")</f>
        <v/>
      </c>
    </row>
    <row r="81" spans="1:66" x14ac:dyDescent="0.4">
      <c r="A81" t="str">
        <f>세팅!A82</f>
        <v>(1070) #뉴신림로데오점</v>
      </c>
      <c r="B81" t="str">
        <f>세팅!B82</f>
        <v>150-0</v>
      </c>
      <c r="C81">
        <f t="shared" si="3"/>
        <v>0</v>
      </c>
      <c r="D81" t="str">
        <f t="shared" si="4"/>
        <v>0</v>
      </c>
      <c r="E81" s="1">
        <f>세팅!D82</f>
        <v>45017</v>
      </c>
      <c r="F81">
        <f t="shared" si="5"/>
        <v>7474898.2809341075</v>
      </c>
      <c r="G81" cm="1">
        <f t="array" ref="G81">IFERROR(IF($E81&lt;44348,"",IF(INDEX(Raw_매출!$B$2:$BI$155,MATCH($A81,Raw_매출!$A$2:$A$155,0),MATCH(EDATE($E81,G$1-1),Raw_매출!$B$1:$BI$1,0))=0,"",INDEX(Raw_매출!$B$2:$BI$155,MATCH($A81,Raw_매출!$A$2:$A$155,0),MATCH(EDATE($E81,G$1-1),Raw_매출!$B$1:$BI$1,0))/(INDEX(요약_월별시즈널리티!$F$7:$F$18,MONTH(EDATE($E81,G$1-1)))/100))),"")</f>
        <v>5035154.6989551708</v>
      </c>
      <c r="H81" cm="1">
        <f t="array" ref="H81">IFERROR(IF($E81&lt;44348,"",IF(INDEX(Raw_매출!$B$2:$BI$155,MATCH($A81,Raw_매출!$A$2:$A$155,0),MATCH(EDATE($E81,H$1-1),Raw_매출!$B$1:$BI$1,0))=0,"",INDEX(Raw_매출!$B$2:$BI$155,MATCH($A81,Raw_매출!$A$2:$A$155,0),MATCH(EDATE($E81,H$1-1),Raw_매출!$B$1:$BI$1,0))/(INDEX(요약_월별시즈널리티!$F$7:$F$18,MONTH(EDATE($E81,H$1-1)))/100))),"")</f>
        <v>5198878.1630571978</v>
      </c>
      <c r="I81" cm="1">
        <f t="array" ref="I81">IFERROR(IF($E81&lt;44348,"",IF(INDEX(Raw_매출!$B$2:$BI$155,MATCH($A81,Raw_매출!$A$2:$A$155,0),MATCH(EDATE($E81,I$1-1),Raw_매출!$B$1:$BI$1,0))=0,"",INDEX(Raw_매출!$B$2:$BI$155,MATCH($A81,Raw_매출!$A$2:$A$155,0),MATCH(EDATE($E81,I$1-1),Raw_매출!$B$1:$BI$1,0))/(INDEX(요약_월별시즈널리티!$F$7:$F$18,MONTH(EDATE($E81,I$1-1)))/100))),"")</f>
        <v>6012568.7429718617</v>
      </c>
      <c r="J81" s="30" cm="1">
        <f t="array" ref="J81">IFERROR(IF($E81&lt;44348,"",IF(INDEX(Raw_매출!$B$2:$BI$155,MATCH($A81,Raw_매출!$A$2:$A$155,0),MATCH(EDATE($E81,J$1-1),Raw_매출!$B$1:$BI$1,0))=0,"",INDEX(Raw_매출!$B$2:$BI$155,MATCH($A81,Raw_매출!$A$2:$A$155,0),MATCH(EDATE($E81,J$1-1),Raw_매출!$B$1:$BI$1,0))/(INDEX(요약_월별시즈널리티!$F$7:$F$18,MONTH(EDATE($E81,J$1-1)))/100))),"")</f>
        <v>7047282.3704480808</v>
      </c>
      <c r="K81" s="30" cm="1">
        <f t="array" ref="K81">IFERROR(IF($E81&lt;44348,"",IF(INDEX(Raw_매출!$B$2:$BI$155,MATCH($A81,Raw_매출!$A$2:$A$155,0),MATCH(EDATE($E81,K$1-1),Raw_매출!$B$1:$BI$1,0))=0,"",INDEX(Raw_매출!$B$2:$BI$155,MATCH($A81,Raw_매출!$A$2:$A$155,0),MATCH(EDATE($E81,K$1-1),Raw_매출!$B$1:$BI$1,0))/(INDEX(요약_월별시즈널리티!$F$7:$F$18,MONTH(EDATE($E81,K$1-1)))/100))),"")</f>
        <v>7115473.089330486</v>
      </c>
      <c r="L81" s="30" cm="1">
        <f t="array" ref="L81">IFERROR(IF($E81&lt;44348,"",IF(INDEX(Raw_매출!$B$2:$BI$155,MATCH($A81,Raw_매출!$A$2:$A$155,0),MATCH(EDATE($E81,L$1-1),Raw_매출!$B$1:$BI$1,0))=0,"",INDEX(Raw_매출!$B$2:$BI$155,MATCH($A81,Raw_매출!$A$2:$A$155,0),MATCH(EDATE($E81,L$1-1),Raw_매출!$B$1:$BI$1,0))/(INDEX(요약_월별시즈널리티!$F$7:$F$18,MONTH(EDATE($E81,L$1-1)))/100))),"")</f>
        <v>7541679.9345145412</v>
      </c>
      <c r="M81" s="30" cm="1">
        <f t="array" ref="M81">IFERROR(IF($E81&lt;44348,"",IF(INDEX(Raw_매출!$B$2:$BI$155,MATCH($A81,Raw_매출!$A$2:$A$155,0),MATCH(EDATE($E81,M$1-1),Raw_매출!$B$1:$BI$1,0))=0,"",INDEX(Raw_매출!$B$2:$BI$155,MATCH($A81,Raw_매출!$A$2:$A$155,0),MATCH(EDATE($E81,M$1-1),Raw_매출!$B$1:$BI$1,0))/(INDEX(요약_월별시즈널리티!$F$7:$F$18,MONTH(EDATE($E81,M$1-1)))/100))),"")</f>
        <v>7207518.8935382469</v>
      </c>
      <c r="N81" s="30" cm="1">
        <f t="array" ref="N81">IFERROR(IF($E81&lt;44348,"",IF(INDEX(Raw_매출!$B$2:$BI$155,MATCH($A81,Raw_매출!$A$2:$A$155,0),MATCH(EDATE($E81,N$1-1),Raw_매출!$B$1:$BI$1,0))=0,"",INDEX(Raw_매출!$B$2:$BI$155,MATCH($A81,Raw_매출!$A$2:$A$155,0),MATCH(EDATE($E81,N$1-1),Raw_매출!$B$1:$BI$1,0))/(INDEX(요약_월별시즈널리티!$F$7:$F$18,MONTH(EDATE($E81,N$1-1)))/100))),"")</f>
        <v>7638851.0801159209</v>
      </c>
      <c r="O81" s="30" cm="1">
        <f t="array" ref="O81">IFERROR(IF($E81&lt;44348,"",IF(INDEX(Raw_매출!$B$2:$BI$155,MATCH($A81,Raw_매출!$A$2:$A$155,0),MATCH(EDATE($E81,O$1-1),Raw_매출!$B$1:$BI$1,0))=0,"",INDEX(Raw_매출!$B$2:$BI$155,MATCH($A81,Raw_매출!$A$2:$A$155,0),MATCH(EDATE($E81,O$1-1),Raw_매출!$B$1:$BI$1,0))/(INDEX(요약_월별시즈널리티!$F$7:$F$18,MONTH(EDATE($E81,O$1-1)))/100))),"")</f>
        <v>8298584.3176573729</v>
      </c>
      <c r="P81" cm="1">
        <f t="array" ref="P81">IFERROR(IF($E81&lt;44348,"",IF(INDEX(Raw_매출!$B$2:$BI$155,MATCH($A81,Raw_매출!$A$2:$A$155,0),MATCH(EDATE($E81,P$1-1),Raw_매출!$B$1:$BI$1,0))=0,"",INDEX(Raw_매출!$B$2:$BI$155,MATCH($A81,Raw_매출!$A$2:$A$155,0),MATCH(EDATE($E81,P$1-1),Raw_매출!$B$1:$BI$1,0))/(INDEX(요약_월별시즈널리티!$F$7:$F$18,MONTH(EDATE($E81,P$1-1)))/100))),"")</f>
        <v>8665102.2288790271</v>
      </c>
      <c r="Q81" cm="1">
        <f t="array" ref="Q81">IFERROR(IF($E81&lt;44348,"",IF(INDEX(Raw_매출!$B$2:$BI$155,MATCH($A81,Raw_매출!$A$2:$A$155,0),MATCH(EDATE($E81,Q$1-1),Raw_매출!$B$1:$BI$1,0))=0,"",INDEX(Raw_매출!$B$2:$BI$155,MATCH($A81,Raw_매출!$A$2:$A$155,0),MATCH(EDATE($E81,Q$1-1),Raw_매출!$B$1:$BI$1,0))/(INDEX(요약_월별시즈널리티!$F$7:$F$18,MONTH(EDATE($E81,Q$1-1)))/100))),"")</f>
        <v>8751909.5974221285</v>
      </c>
      <c r="R81" cm="1">
        <f t="array" ref="R81">IFERROR(IF($E81&lt;44348,"",IF(INDEX(Raw_매출!$B$2:$BI$155,MATCH($A81,Raw_매출!$A$2:$A$155,0),MATCH(EDATE($E81,R$1-1),Raw_매출!$B$1:$BI$1,0))=0,"",INDEX(Raw_매출!$B$2:$BI$155,MATCH($A81,Raw_매출!$A$2:$A$155,0),MATCH(EDATE($E81,R$1-1),Raw_매출!$B$1:$BI$1,0))/(INDEX(요약_월별시즈널리티!$F$7:$F$18,MONTH(EDATE($E81,R$1-1)))/100))),"")</f>
        <v>8740135.9542847257</v>
      </c>
      <c r="S81" cm="1">
        <f t="array" ref="S81">IFERROR(IF($E81&lt;44348,"",IF(INDEX(Raw_매출!$B$2:$BI$155,MATCH($A81,Raw_매출!$A$2:$A$155,0),MATCH(EDATE($E81,S$1-1),Raw_매출!$B$1:$BI$1,0))=0,"",INDEX(Raw_매출!$B$2:$BI$155,MATCH($A81,Raw_매출!$A$2:$A$155,0),MATCH(EDATE($E81,S$1-1),Raw_매출!$B$1:$BI$1,0))/(INDEX(요약_월별시즈널리티!$F$7:$F$18,MONTH(EDATE($E81,S$1-1)))/100))),"")</f>
        <v>8963303.2404296976</v>
      </c>
      <c r="T81" cm="1">
        <f t="array" ref="T81">IFERROR(IF($E81&lt;44348,"",IF(INDEX(Raw_매출!$B$2:$BI$155,MATCH($A81,Raw_매출!$A$2:$A$155,0),MATCH(EDATE($E81,T$1-1),Raw_매출!$B$1:$BI$1,0))=0,"",INDEX(Raw_매출!$B$2:$BI$155,MATCH($A81,Raw_매출!$A$2:$A$155,0),MATCH(EDATE($E81,T$1-1),Raw_매출!$B$1:$BI$1,0))/(INDEX(요약_월별시즈널리티!$F$7:$F$18,MONTH(EDATE($E81,T$1-1)))/100))),"")</f>
        <v>8607460.8133763317</v>
      </c>
      <c r="U81" cm="1">
        <f t="array" ref="U81">IFERROR(IF($E81&lt;44348,"",IF(INDEX(Raw_매출!$B$2:$BI$155,MATCH($A81,Raw_매출!$A$2:$A$155,0),MATCH(EDATE($E81,U$1-1),Raw_매출!$B$1:$BI$1,0))=0,"",INDEX(Raw_매출!$B$2:$BI$155,MATCH($A81,Raw_매출!$A$2:$A$155,0),MATCH(EDATE($E81,U$1-1),Raw_매출!$B$1:$BI$1,0))/(INDEX(요약_월별시즈널리티!$F$7:$F$18,MONTH(EDATE($E81,U$1-1)))/100))),"")</f>
        <v>8398284.0250233896</v>
      </c>
      <c r="V81" cm="1">
        <f t="array" ref="V81">IFERROR(IF($E81&lt;44348,"",IF(INDEX(Raw_매출!$B$2:$BI$155,MATCH($A81,Raw_매출!$A$2:$A$155,0),MATCH(EDATE($E81,V$1-1),Raw_매출!$B$1:$BI$1,0))=0,"",INDEX(Raw_매출!$B$2:$BI$155,MATCH($A81,Raw_매출!$A$2:$A$155,0),MATCH(EDATE($E81,V$1-1),Raw_매출!$B$1:$BI$1,0))/(INDEX(요약_월별시즈널리티!$F$7:$F$18,MONTH(EDATE($E81,V$1-1)))/100))),"")</f>
        <v>8473647.7367644738</v>
      </c>
      <c r="W81" cm="1">
        <f t="array" ref="W81">IFERROR(IF($E81&lt;44348,"",IF(INDEX(Raw_매출!$B$2:$BI$155,MATCH($A81,Raw_매출!$A$2:$A$155,0),MATCH(EDATE($E81,W$1-1),Raw_매출!$B$1:$BI$1,0))=0,"",INDEX(Raw_매출!$B$2:$BI$155,MATCH($A81,Raw_매출!$A$2:$A$155,0),MATCH(EDATE($E81,W$1-1),Raw_매출!$B$1:$BI$1,0))/(INDEX(요약_월별시즈널리티!$F$7:$F$18,MONTH(EDATE($E81,W$1-1)))/100))),"")</f>
        <v>7906994.7487414666</v>
      </c>
      <c r="X81" cm="1">
        <f t="array" ref="X81">IFERROR(IF($E81&lt;44348,"",IF(INDEX(Raw_매출!$B$2:$BI$155,MATCH($A81,Raw_매출!$A$2:$A$155,0),MATCH(EDATE($E81,X$1-1),Raw_매출!$B$1:$BI$1,0))=0,"",INDEX(Raw_매출!$B$2:$BI$155,MATCH($A81,Raw_매출!$A$2:$A$155,0),MATCH(EDATE($E81,X$1-1),Raw_매출!$B$1:$BI$1,0))/(INDEX(요약_월별시즈널리티!$F$7:$F$18,MONTH(EDATE($E81,X$1-1)))/100))),"")</f>
        <v>8102357.0454718219</v>
      </c>
      <c r="Y81" cm="1">
        <f t="array" ref="Y81">IFERROR(IF($E81&lt;44348,"",IF(INDEX(Raw_매출!$B$2:$BI$155,MATCH($A81,Raw_매출!$A$2:$A$155,0),MATCH(EDATE($E81,Y$1-1),Raw_매출!$B$1:$BI$1,0))=0,"",INDEX(Raw_매출!$B$2:$BI$155,MATCH($A81,Raw_매출!$A$2:$A$155,0),MATCH(EDATE($E81,Y$1-1),Raw_매출!$B$1:$BI$1,0))/(INDEX(요약_월별시즈널리티!$F$7:$F$18,MONTH(EDATE($E81,Y$1-1)))/100))),"")</f>
        <v>8210697.5599638391</v>
      </c>
      <c r="Z81" cm="1">
        <f t="array" ref="Z81">IFERROR(IF($E81&lt;44348,"",IF(INDEX(Raw_매출!$B$2:$BI$155,MATCH($A81,Raw_매출!$A$2:$A$155,0),MATCH(EDATE($E81,Z$1-1),Raw_매출!$B$1:$BI$1,0))=0,"",INDEX(Raw_매출!$B$2:$BI$155,MATCH($A81,Raw_매출!$A$2:$A$155,0),MATCH(EDATE($E81,Z$1-1),Raw_매출!$B$1:$BI$1,0))/(INDEX(요약_월별시즈널리티!$F$7:$F$18,MONTH(EDATE($E81,Z$1-1)))/100))),"")</f>
        <v>8330554.6643414311</v>
      </c>
      <c r="AA81" cm="1">
        <f t="array" ref="AA81">IFERROR(IF($E81&lt;44348,"",IF(INDEX(Raw_매출!$B$2:$BI$155,MATCH($A81,Raw_매출!$A$2:$A$155,0),MATCH(EDATE($E81,AA$1-1),Raw_매출!$B$1:$BI$1,0))=0,"",INDEX(Raw_매출!$B$2:$BI$155,MATCH($A81,Raw_매출!$A$2:$A$155,0),MATCH(EDATE($E81,AA$1-1),Raw_매출!$B$1:$BI$1,0))/(INDEX(요약_월별시즈널리티!$F$7:$F$18,MONTH(EDATE($E81,AA$1-1)))/100))),"")</f>
        <v>8493364.5489339214</v>
      </c>
      <c r="AB81" cm="1">
        <f t="array" ref="AB81">IFERROR(IF($E81&lt;44348,"",IF(INDEX(Raw_매출!$B$2:$BI$155,MATCH($A81,Raw_매출!$A$2:$A$155,0),MATCH(EDATE($E81,AB$1-1),Raw_매출!$B$1:$BI$1,0))=0,"",INDEX(Raw_매출!$B$2:$BI$155,MATCH($A81,Raw_매출!$A$2:$A$155,0),MATCH(EDATE($E81,AB$1-1),Raw_매출!$B$1:$BI$1,0))/(INDEX(요약_월별시즈널리티!$F$7:$F$18,MONTH(EDATE($E81,AB$1-1)))/100))),"")</f>
        <v>9047711.0263485946</v>
      </c>
      <c r="AC81" cm="1">
        <f t="array" ref="AC81">IFERROR(IF($E81&lt;44348,"",IF(INDEX(Raw_매출!$B$2:$BI$155,MATCH($A81,Raw_매출!$A$2:$A$155,0),MATCH(EDATE($E81,AC$1-1),Raw_매출!$B$1:$BI$1,0))=0,"",INDEX(Raw_매출!$B$2:$BI$155,MATCH($A81,Raw_매출!$A$2:$A$155,0),MATCH(EDATE($E81,AC$1-1),Raw_매출!$B$1:$BI$1,0))/(INDEX(요약_월별시즈널리티!$F$7:$F$18,MONTH(EDATE($E81,AC$1-1)))/100))),"")</f>
        <v>9409169.7875422053</v>
      </c>
      <c r="AD81" cm="1">
        <f t="array" ref="AD81">IFERROR(IF($E81&lt;44348,"",IF(INDEX(Raw_매출!$B$2:$BI$155,MATCH($A81,Raw_매출!$A$2:$A$155,0),MATCH(EDATE($E81,AD$1-1),Raw_매출!$B$1:$BI$1,0))=0,"",INDEX(Raw_매출!$B$2:$BI$155,MATCH($A81,Raw_매출!$A$2:$A$155,0),MATCH(EDATE($E81,AD$1-1),Raw_매출!$B$1:$BI$1,0))/(INDEX(요약_월별시즈널리티!$F$7:$F$18,MONTH(EDATE($E81,AD$1-1)))/100))),"")</f>
        <v>8789234.6618425325</v>
      </c>
      <c r="AE81" cm="1">
        <f t="array" ref="AE81">IFERROR(IF($E81&lt;44348,"",IF(INDEX(Raw_매출!$B$2:$BI$155,MATCH($A81,Raw_매출!$A$2:$A$155,0),MATCH(EDATE($E81,AE$1-1),Raw_매출!$B$1:$BI$1,0))=0,"",INDEX(Raw_매출!$B$2:$BI$155,MATCH($A81,Raw_매출!$A$2:$A$155,0),MATCH(EDATE($E81,AE$1-1),Raw_매출!$B$1:$BI$1,0))/(INDEX(요약_월별시즈널리티!$F$7:$F$18,MONTH(EDATE($E81,AE$1-1)))/100))),"")</f>
        <v>9121002.8613510113</v>
      </c>
      <c r="AF81" cm="1">
        <f t="array" ref="AF81">IFERROR(IF($E81&lt;44348,"",IF(INDEX(Raw_매출!$B$2:$BI$155,MATCH($A81,Raw_매출!$A$2:$A$155,0),MATCH(EDATE($E81,AF$1-1),Raw_매출!$B$1:$BI$1,0))=0,"",INDEX(Raw_매출!$B$2:$BI$155,MATCH($A81,Raw_매출!$A$2:$A$155,0),MATCH(EDATE($E81,AF$1-1),Raw_매출!$B$1:$BI$1,0))/(INDEX(요약_월별시즈널리티!$F$7:$F$18,MONTH(EDATE($E81,AF$1-1)))/100))),"")</f>
        <v>9031720.9322597478</v>
      </c>
      <c r="AG81" cm="1">
        <f t="array" ref="AG81">IFERROR(IF($E81&lt;44348,"",IF(INDEX(Raw_매출!$B$2:$BI$155,MATCH($A81,Raw_매출!$A$2:$A$155,0),MATCH(EDATE($E81,AG$1-1),Raw_매출!$B$1:$BI$1,0))=0,"",INDEX(Raw_매출!$B$2:$BI$155,MATCH($A81,Raw_매출!$A$2:$A$155,0),MATCH(EDATE($E81,AG$1-1),Raw_매출!$B$1:$BI$1,0))/(INDEX(요약_월별시즈널리티!$F$7:$F$18,MONTH(EDATE($E81,AG$1-1)))/100))),"")</f>
        <v>9038846.3648895193</v>
      </c>
      <c r="AH81" cm="1">
        <f t="array" ref="AH81">IFERROR(IF($E81&lt;44348,"",IF(INDEX(Raw_매출!$B$2:$BI$155,MATCH($A81,Raw_매출!$A$2:$A$155,0),MATCH(EDATE($E81,AH$1-1),Raw_매출!$B$1:$BI$1,0))=0,"",INDEX(Raw_매출!$B$2:$BI$155,MATCH($A81,Raw_매출!$A$2:$A$155,0),MATCH(EDATE($E81,AH$1-1),Raw_매출!$B$1:$BI$1,0))/(INDEX(요약_월별시즈널리티!$F$7:$F$18,MONTH(EDATE($E81,AH$1-1)))/100))),"")</f>
        <v>8678484.1588698663</v>
      </c>
      <c r="AI81" cm="1">
        <f t="array" ref="AI81">IFERROR(IF($E81&lt;44348,"",IF(INDEX(Raw_매출!$B$2:$BI$155,MATCH($A81,Raw_매출!$A$2:$A$155,0),MATCH(EDATE($E81,AI$1-1),Raw_매출!$B$1:$BI$1,0))=0,"",INDEX(Raw_매출!$B$2:$BI$155,MATCH($A81,Raw_매출!$A$2:$A$155,0),MATCH(EDATE($E81,AI$1-1),Raw_매출!$B$1:$BI$1,0))/(INDEX(요약_월별시즈널리티!$F$7:$F$18,MONTH(EDATE($E81,AI$1-1)))/100))),"")</f>
        <v>8851674.0020281468</v>
      </c>
      <c r="AJ81" cm="1">
        <f t="array" ref="AJ81">IFERROR(IF($E81&lt;44348,"",IF(INDEX(Raw_매출!$B$2:$BI$155,MATCH($A81,Raw_매출!$A$2:$A$155,0),MATCH(EDATE($E81,AJ$1-1),Raw_매출!$B$1:$BI$1,0))=0,"",INDEX(Raw_매출!$B$2:$BI$155,MATCH($A81,Raw_매출!$A$2:$A$155,0),MATCH(EDATE($E81,AJ$1-1),Raw_매출!$B$1:$BI$1,0))/(INDEX(요약_월별시즈널리티!$F$7:$F$18,MONTH(EDATE($E81,AJ$1-1)))/100))),"")</f>
        <v>8704373.0694855917</v>
      </c>
      <c r="AK81" cm="1">
        <f t="array" ref="AK81">IFERROR(IF($E81&lt;44348,"",IF(INDEX(Raw_매출!$B$2:$BI$155,MATCH($A81,Raw_매출!$A$2:$A$155,0),MATCH(EDATE($E81,AK$1-1),Raw_매출!$B$1:$BI$1,0))=0,"",INDEX(Raw_매출!$B$2:$BI$155,MATCH($A81,Raw_매출!$A$2:$A$155,0),MATCH(EDATE($E81,AK$1-1),Raw_매출!$B$1:$BI$1,0))/(INDEX(요약_월별시즈널리티!$F$7:$F$18,MONTH(EDATE($E81,AK$1-1)))/100))),"")</f>
        <v>8947990.0195924584</v>
      </c>
      <c r="AL81" cm="1">
        <f t="array" ref="AL81">IFERROR(IF($E81&lt;44348,"",IF(INDEX(Raw_매출!$B$2:$BI$155,MATCH($A81,Raw_매출!$A$2:$A$155,0),MATCH(EDATE($E81,AL$1-1),Raw_매출!$B$1:$BI$1,0))=0,"",INDEX(Raw_매출!$B$2:$BI$155,MATCH($A81,Raw_매출!$A$2:$A$155,0),MATCH(EDATE($E81,AL$1-1),Raw_매출!$B$1:$BI$1,0))/(INDEX(요약_월별시즈널리티!$F$7:$F$18,MONTH(EDATE($E81,AL$1-1)))/100))),"")</f>
        <v>8727461.7977296244</v>
      </c>
      <c r="AM81" cm="1">
        <f t="array" ref="AM81">IFERROR(IF($E81&lt;44348,"",IF(INDEX(Raw_매출!$B$2:$BI$155,MATCH($A81,Raw_매출!$A$2:$A$155,0),MATCH(EDATE($E81,AM$1-1),Raw_매출!$B$1:$BI$1,0))=0,"",INDEX(Raw_매출!$B$2:$BI$155,MATCH($A81,Raw_매출!$A$2:$A$155,0),MATCH(EDATE($E81,AM$1-1),Raw_매출!$B$1:$BI$1,0))/(INDEX(요약_월별시즈널리티!$F$7:$F$18,MONTH(EDATE($E81,AM$1-1)))/100))),"")</f>
        <v>8359485.1968456926</v>
      </c>
      <c r="AN81" cm="1">
        <f t="array" ref="AN81">IFERROR(IF($E81&lt;44348,"",IF(INDEX(Raw_매출!$B$2:$BI$155,MATCH($A81,Raw_매출!$A$2:$A$155,0),MATCH(EDATE($E81,AN$1-1),Raw_매출!$B$1:$BI$1,0))=0,"",INDEX(Raw_매출!$B$2:$BI$155,MATCH($A81,Raw_매출!$A$2:$A$155,0),MATCH(EDATE($E81,AN$1-1),Raw_매출!$B$1:$BI$1,0))/(INDEX(요약_월별시즈널리티!$F$7:$F$18,MONTH(EDATE($E81,AN$1-1)))/100))),"")</f>
        <v>9775995.8705026731</v>
      </c>
      <c r="AO81" cm="1">
        <f t="array" ref="AO81">IFERROR(IF($E81&lt;44348,"",IF(INDEX(Raw_매출!$B$2:$BI$155,MATCH($A81,Raw_매출!$A$2:$A$155,0),MATCH(EDATE($E81,AO$1-1),Raw_매출!$B$1:$BI$1,0))=0,"",INDEX(Raw_매출!$B$2:$BI$155,MATCH($A81,Raw_매출!$A$2:$A$155,0),MATCH(EDATE($E81,AO$1-1),Raw_매출!$B$1:$BI$1,0))/(INDEX(요약_월별시즈널리티!$F$7:$F$18,MONTH(EDATE($E81,AO$1-1)))/100))),"")</f>
        <v>9731494.1046811845</v>
      </c>
      <c r="AP81" cm="1">
        <f t="array" ref="AP81">IFERROR(IF($E81&lt;44348,"",IF(INDEX(Raw_매출!$B$2:$BI$155,MATCH($A81,Raw_매출!$A$2:$A$155,0),MATCH(EDATE($E81,AP$1-1),Raw_매출!$B$1:$BI$1,0))=0,"",INDEX(Raw_매출!$B$2:$BI$155,MATCH($A81,Raw_매출!$A$2:$A$155,0),MATCH(EDATE($E81,AP$1-1),Raw_매출!$B$1:$BI$1,0))/(INDEX(요약_월별시즈널리티!$F$7:$F$18,MONTH(EDATE($E81,AP$1-1)))/100))),"")</f>
        <v>8858812.6039507557</v>
      </c>
      <c r="AQ81" cm="1">
        <f t="array" ref="AQ81">IFERROR(IF($E81&lt;44348,"",IF(INDEX(Raw_매출!$B$2:$BI$155,MATCH($A81,Raw_매출!$A$2:$A$155,0),MATCH(EDATE($E81,AQ$1-1),Raw_매출!$B$1:$BI$1,0))=0,"",INDEX(Raw_매출!$B$2:$BI$155,MATCH($A81,Raw_매출!$A$2:$A$155,0),MATCH(EDATE($E81,AQ$1-1),Raw_매출!$B$1:$BI$1,0))/(INDEX(요약_월별시즈널리티!$F$7:$F$18,MONTH(EDATE($E81,AQ$1-1)))/100))),"")</f>
        <v>9470671.5634635072</v>
      </c>
      <c r="AR81" cm="1">
        <f t="array" ref="AR81">IFERROR(IF($E81&lt;44348,"",IF(INDEX(Raw_매출!$B$2:$BI$155,MATCH($A81,Raw_매출!$A$2:$A$155,0),MATCH(EDATE($E81,AR$1-1),Raw_매출!$B$1:$BI$1,0))=0,"",INDEX(Raw_매출!$B$2:$BI$155,MATCH($A81,Raw_매출!$A$2:$A$155,0),MATCH(EDATE($E81,AR$1-1),Raw_매출!$B$1:$BI$1,0))/(INDEX(요약_월별시즈널리티!$F$7:$F$18,MONTH(EDATE($E81,AR$1-1)))/100))),"")</f>
        <v>9785761.8401497379</v>
      </c>
      <c r="AS81" t="str" cm="1">
        <f t="array" ref="AS81">IFERROR(IF($E81&lt;44348,"",IF(INDEX(Raw_매출!$B$2:$BI$155,MATCH($A81,Raw_매출!$A$2:$A$155,0),MATCH(EDATE($E81,AS$1-1),Raw_매출!$B$1:$BI$1,0))=0,"",INDEX(Raw_매출!$B$2:$BI$155,MATCH($A81,Raw_매출!$A$2:$A$155,0),MATCH(EDATE($E81,AS$1-1),Raw_매출!$B$1:$BI$1,0))/(INDEX(요약_월별시즈널리티!$F$7:$F$18,MONTH(EDATE($E81,AS$1-1)))/100))),"")</f>
        <v/>
      </c>
      <c r="AT81" t="str" cm="1">
        <f t="array" ref="AT81">IFERROR(IF($E81&lt;44348,"",IF(INDEX(Raw_매출!$B$2:$BI$155,MATCH($A81,Raw_매출!$A$2:$A$155,0),MATCH(EDATE($E81,AT$1-1),Raw_매출!$B$1:$BI$1,0))=0,"",INDEX(Raw_매출!$B$2:$BI$155,MATCH($A81,Raw_매출!$A$2:$A$155,0),MATCH(EDATE($E81,AT$1-1),Raw_매출!$B$1:$BI$1,0))/(INDEX(요약_월별시즈널리티!$F$7:$F$18,MONTH(EDATE($E81,AT$1-1)))/100))),"")</f>
        <v/>
      </c>
      <c r="AU81" t="str" cm="1">
        <f t="array" ref="AU81">IFERROR(IF($E81&lt;44348,"",IF(INDEX(Raw_매출!$B$2:$BI$155,MATCH($A81,Raw_매출!$A$2:$A$155,0),MATCH(EDATE($E81,AU$1-1),Raw_매출!$B$1:$BI$1,0))=0,"",INDEX(Raw_매출!$B$2:$BI$155,MATCH($A81,Raw_매출!$A$2:$A$155,0),MATCH(EDATE($E81,AU$1-1),Raw_매출!$B$1:$BI$1,0))/(INDEX(요약_월별시즈널리티!$F$7:$F$18,MONTH(EDATE($E81,AU$1-1)))/100))),"")</f>
        <v/>
      </c>
      <c r="AV81" t="str" cm="1">
        <f t="array" ref="AV81">IFERROR(IF($E81&lt;44348,"",IF(INDEX(Raw_매출!$B$2:$BI$155,MATCH($A81,Raw_매출!$A$2:$A$155,0),MATCH(EDATE($E81,AV$1-1),Raw_매출!$B$1:$BI$1,0))=0,"",INDEX(Raw_매출!$B$2:$BI$155,MATCH($A81,Raw_매출!$A$2:$A$155,0),MATCH(EDATE($E81,AV$1-1),Raw_매출!$B$1:$BI$1,0))/(INDEX(요약_월별시즈널리티!$F$7:$F$18,MONTH(EDATE($E81,AV$1-1)))/100))),"")</f>
        <v/>
      </c>
      <c r="AW81" t="str" cm="1">
        <f t="array" ref="AW81">IFERROR(IF($E81&lt;44348,"",IF(INDEX(Raw_매출!$B$2:$BI$155,MATCH($A81,Raw_매출!$A$2:$A$155,0),MATCH(EDATE($E81,AW$1-1),Raw_매출!$B$1:$BI$1,0))=0,"",INDEX(Raw_매출!$B$2:$BI$155,MATCH($A81,Raw_매출!$A$2:$A$155,0),MATCH(EDATE($E81,AW$1-1),Raw_매출!$B$1:$BI$1,0))/(INDEX(요약_월별시즈널리티!$F$7:$F$18,MONTH(EDATE($E81,AW$1-1)))/100))),"")</f>
        <v/>
      </c>
      <c r="AX81" t="str" cm="1">
        <f t="array" ref="AX81">IFERROR(IF($E81&lt;44348,"",IF(INDEX(Raw_매출!$B$2:$BI$155,MATCH($A81,Raw_매출!$A$2:$A$155,0),MATCH(EDATE($E81,AX$1-1),Raw_매출!$B$1:$BI$1,0))=0,"",INDEX(Raw_매출!$B$2:$BI$155,MATCH($A81,Raw_매출!$A$2:$A$155,0),MATCH(EDATE($E81,AX$1-1),Raw_매출!$B$1:$BI$1,0))/(INDEX(요약_월별시즈널리티!$F$7:$F$18,MONTH(EDATE($E81,AX$1-1)))/100))),"")</f>
        <v/>
      </c>
      <c r="AY81" t="str" cm="1">
        <f t="array" ref="AY81">IFERROR(IF($E81&lt;44348,"",IF(INDEX(Raw_매출!$B$2:$BI$155,MATCH($A81,Raw_매출!$A$2:$A$155,0),MATCH(EDATE($E81,AY$1-1),Raw_매출!$B$1:$BI$1,0))=0,"",INDEX(Raw_매출!$B$2:$BI$155,MATCH($A81,Raw_매출!$A$2:$A$155,0),MATCH(EDATE($E81,AY$1-1),Raw_매출!$B$1:$BI$1,0))/(INDEX(요약_월별시즈널리티!$F$7:$F$18,MONTH(EDATE($E81,AY$1-1)))/100))),"")</f>
        <v/>
      </c>
      <c r="AZ81" t="str" cm="1">
        <f t="array" ref="AZ81">IFERROR(IF($E81&lt;44348,"",IF(INDEX(Raw_매출!$B$2:$BI$155,MATCH($A81,Raw_매출!$A$2:$A$155,0),MATCH(EDATE($E81,AZ$1-1),Raw_매출!$B$1:$BI$1,0))=0,"",INDEX(Raw_매출!$B$2:$BI$155,MATCH($A81,Raw_매출!$A$2:$A$155,0),MATCH(EDATE($E81,AZ$1-1),Raw_매출!$B$1:$BI$1,0))/(INDEX(요약_월별시즈널리티!$F$7:$F$18,MONTH(EDATE($E81,AZ$1-1)))/100))),"")</f>
        <v/>
      </c>
      <c r="BA81" t="str" cm="1">
        <f t="array" ref="BA81">IFERROR(IF($E81&lt;44348,"",IF(INDEX(Raw_매출!$B$2:$BI$155,MATCH($A81,Raw_매출!$A$2:$A$155,0),MATCH(EDATE($E81,BA$1-1),Raw_매출!$B$1:$BI$1,0))=0,"",INDEX(Raw_매출!$B$2:$BI$155,MATCH($A81,Raw_매출!$A$2:$A$155,0),MATCH(EDATE($E81,BA$1-1),Raw_매출!$B$1:$BI$1,0))/(INDEX(요약_월별시즈널리티!$F$7:$F$18,MONTH(EDATE($E81,BA$1-1)))/100))),"")</f>
        <v/>
      </c>
      <c r="BB81" t="str" cm="1">
        <f t="array" ref="BB81">IFERROR(IF($E81&lt;44348,"",IF(INDEX(Raw_매출!$B$2:$BI$155,MATCH($A81,Raw_매출!$A$2:$A$155,0),MATCH(EDATE($E81,BB$1-1),Raw_매출!$B$1:$BI$1,0))=0,"",INDEX(Raw_매출!$B$2:$BI$155,MATCH($A81,Raw_매출!$A$2:$A$155,0),MATCH(EDATE($E81,BB$1-1),Raw_매출!$B$1:$BI$1,0))/(INDEX(요약_월별시즈널리티!$F$7:$F$18,MONTH(EDATE($E81,BB$1-1)))/100))),"")</f>
        <v/>
      </c>
      <c r="BC81" t="str" cm="1">
        <f t="array" ref="BC81">IFERROR(IF($E81&lt;44348,"",IF(INDEX(Raw_매출!$B$2:$BI$155,MATCH($A81,Raw_매출!$A$2:$A$155,0),MATCH(EDATE($E81,BC$1-1),Raw_매출!$B$1:$BI$1,0))=0,"",INDEX(Raw_매출!$B$2:$BI$155,MATCH($A81,Raw_매출!$A$2:$A$155,0),MATCH(EDATE($E81,BC$1-1),Raw_매출!$B$1:$BI$1,0))/(INDEX(요약_월별시즈널리티!$F$7:$F$18,MONTH(EDATE($E81,BC$1-1)))/100))),"")</f>
        <v/>
      </c>
      <c r="BD81" t="str" cm="1">
        <f t="array" ref="BD81">IFERROR(IF($E81&lt;44348,"",IF(INDEX(Raw_매출!$B$2:$BI$155,MATCH($A81,Raw_매출!$A$2:$A$155,0),MATCH(EDATE($E81,BD$1-1),Raw_매출!$B$1:$BI$1,0))=0,"",INDEX(Raw_매출!$B$2:$BI$155,MATCH($A81,Raw_매출!$A$2:$A$155,0),MATCH(EDATE($E81,BD$1-1),Raw_매출!$B$1:$BI$1,0))/(INDEX(요약_월별시즈널리티!$F$7:$F$18,MONTH(EDATE($E81,BD$1-1)))/100))),"")</f>
        <v/>
      </c>
      <c r="BE81" t="str" cm="1">
        <f t="array" ref="BE81">IFERROR(IF($E81&lt;44348,"",IF(INDEX(Raw_매출!$B$2:$BI$155,MATCH($A81,Raw_매출!$A$2:$A$155,0),MATCH(EDATE($E81,BE$1-1),Raw_매출!$B$1:$BI$1,0))=0,"",INDEX(Raw_매출!$B$2:$BI$155,MATCH($A81,Raw_매출!$A$2:$A$155,0),MATCH(EDATE($E81,BE$1-1),Raw_매출!$B$1:$BI$1,0))/(INDEX(요약_월별시즈널리티!$F$7:$F$18,MONTH(EDATE($E81,BE$1-1)))/100))),"")</f>
        <v/>
      </c>
      <c r="BF81" t="str" cm="1">
        <f t="array" ref="BF81">IFERROR(IF($E81&lt;44348,"",IF(INDEX(Raw_매출!$B$2:$BI$155,MATCH($A81,Raw_매출!$A$2:$A$155,0),MATCH(EDATE($E81,BF$1-1),Raw_매출!$B$1:$BI$1,0))=0,"",INDEX(Raw_매출!$B$2:$BI$155,MATCH($A81,Raw_매출!$A$2:$A$155,0),MATCH(EDATE($E81,BF$1-1),Raw_매출!$B$1:$BI$1,0))/(INDEX(요약_월별시즈널리티!$F$7:$F$18,MONTH(EDATE($E81,BF$1-1)))/100))),"")</f>
        <v/>
      </c>
      <c r="BG81" t="str" cm="1">
        <f t="array" ref="BG81">IFERROR(IF($E81&lt;44348,"",IF(INDEX(Raw_매출!$B$2:$BI$155,MATCH($A81,Raw_매출!$A$2:$A$155,0),MATCH(EDATE($E81,BG$1-1),Raw_매출!$B$1:$BI$1,0))=0,"",INDEX(Raw_매출!$B$2:$BI$155,MATCH($A81,Raw_매출!$A$2:$A$155,0),MATCH(EDATE($E81,BG$1-1),Raw_매출!$B$1:$BI$1,0))/(INDEX(요약_월별시즈널리티!$F$7:$F$18,MONTH(EDATE($E81,BG$1-1)))/100))),"")</f>
        <v/>
      </c>
      <c r="BH81" t="str" cm="1">
        <f t="array" ref="BH81">IFERROR(IF($E81&lt;44348,"",IF(INDEX(Raw_매출!$B$2:$BI$155,MATCH($A81,Raw_매출!$A$2:$A$155,0),MATCH(EDATE($E81,BH$1-1),Raw_매출!$B$1:$BI$1,0))=0,"",INDEX(Raw_매출!$B$2:$BI$155,MATCH($A81,Raw_매출!$A$2:$A$155,0),MATCH(EDATE($E81,BH$1-1),Raw_매출!$B$1:$BI$1,0))/(INDEX(요약_월별시즈널리티!$F$7:$F$18,MONTH(EDATE($E81,BH$1-1)))/100))),"")</f>
        <v/>
      </c>
      <c r="BI81" t="str" cm="1">
        <f t="array" ref="BI81">IFERROR(IF($E81&lt;44348,"",IF(INDEX(Raw_매출!$B$2:$BI$155,MATCH($A81,Raw_매출!$A$2:$A$155,0),MATCH(EDATE($E81,BI$1-1),Raw_매출!$B$1:$BI$1,0))=0,"",INDEX(Raw_매출!$B$2:$BI$155,MATCH($A81,Raw_매출!$A$2:$A$155,0),MATCH(EDATE($E81,BI$1-1),Raw_매출!$B$1:$BI$1,0))/(INDEX(요약_월별시즈널리티!$F$7:$F$18,MONTH(EDATE($E81,BI$1-1)))/100))),"")</f>
        <v/>
      </c>
      <c r="BJ81" t="str" cm="1">
        <f t="array" ref="BJ81">IFERROR(IF($E81&lt;44348,"",IF(INDEX(Raw_매출!$B$2:$BI$155,MATCH($A81,Raw_매출!$A$2:$A$155,0),MATCH(EDATE($E81,BJ$1-1),Raw_매출!$B$1:$BI$1,0))=0,"",INDEX(Raw_매출!$B$2:$BI$155,MATCH($A81,Raw_매출!$A$2:$A$155,0),MATCH(EDATE($E81,BJ$1-1),Raw_매출!$B$1:$BI$1,0))/(INDEX(요약_월별시즈널리티!$F$7:$F$18,MONTH(EDATE($E81,BJ$1-1)))/100))),"")</f>
        <v/>
      </c>
      <c r="BK81" t="str" cm="1">
        <f t="array" ref="BK81">IFERROR(IF($E81&lt;44348,"",IF(INDEX(Raw_매출!$B$2:$BI$155,MATCH($A81,Raw_매출!$A$2:$A$155,0),MATCH(EDATE($E81,BK$1-1),Raw_매출!$B$1:$BI$1,0))=0,"",INDEX(Raw_매출!$B$2:$BI$155,MATCH($A81,Raw_매출!$A$2:$A$155,0),MATCH(EDATE($E81,BK$1-1),Raw_매출!$B$1:$BI$1,0))/(INDEX(요약_월별시즈널리티!$F$7:$F$18,MONTH(EDATE($E81,BK$1-1)))/100))),"")</f>
        <v/>
      </c>
      <c r="BL81" t="str" cm="1">
        <f t="array" ref="BL81">IFERROR(IF($E81&lt;44348,"",IF(INDEX(Raw_매출!$B$2:$BI$155,MATCH($A81,Raw_매출!$A$2:$A$155,0),MATCH(EDATE($E81,BL$1-1),Raw_매출!$B$1:$BI$1,0))=0,"",INDEX(Raw_매출!$B$2:$BI$155,MATCH($A81,Raw_매출!$A$2:$A$155,0),MATCH(EDATE($E81,BL$1-1),Raw_매출!$B$1:$BI$1,0))/(INDEX(요약_월별시즈널리티!$F$7:$F$18,MONTH(EDATE($E81,BL$1-1)))/100))),"")</f>
        <v/>
      </c>
      <c r="BM81" t="str" cm="1">
        <f t="array" ref="BM81">IFERROR(IF($E81&lt;44348,"",IF(INDEX(Raw_매출!$B$2:$BI$155,MATCH($A81,Raw_매출!$A$2:$A$155,0),MATCH(EDATE($E81,BM$1-1),Raw_매출!$B$1:$BI$1,0))=0,"",INDEX(Raw_매출!$B$2:$BI$155,MATCH($A81,Raw_매출!$A$2:$A$155,0),MATCH(EDATE($E81,BM$1-1),Raw_매출!$B$1:$BI$1,0))/(INDEX(요약_월별시즈널리티!$F$7:$F$18,MONTH(EDATE($E81,BM$1-1)))/100))),"")</f>
        <v/>
      </c>
      <c r="BN81" t="str" cm="1">
        <f t="array" ref="BN81">IFERROR(IF($E81&lt;44348,"",IF(INDEX(Raw_매출!$B$2:$BI$155,MATCH($A81,Raw_매출!$A$2:$A$155,0),MATCH(EDATE($E81,BN$1-1),Raw_매출!$B$1:$BI$1,0))=0,"",INDEX(Raw_매출!$B$2:$BI$155,MATCH($A81,Raw_매출!$A$2:$A$155,0),MATCH(EDATE($E81,BN$1-1),Raw_매출!$B$1:$BI$1,0))/(INDEX(요약_월별시즈널리티!$F$7:$F$18,MONTH(EDATE($E81,BN$1-1)))/100))),"")</f>
        <v/>
      </c>
    </row>
    <row r="82" spans="1:66" x14ac:dyDescent="0.4">
      <c r="A82" t="str">
        <f>세팅!A83</f>
        <v>(1071) #성신정문점</v>
      </c>
      <c r="B82" t="str">
        <f>세팅!B83</f>
        <v>150-0</v>
      </c>
      <c r="C82">
        <f t="shared" si="3"/>
        <v>0</v>
      </c>
      <c r="D82" t="str">
        <f t="shared" si="4"/>
        <v>0</v>
      </c>
      <c r="E82" s="1">
        <f>세팅!D83</f>
        <v>45047</v>
      </c>
      <c r="F82">
        <f t="shared" si="5"/>
        <v>4051818.7242576</v>
      </c>
      <c r="G82" cm="1">
        <f t="array" ref="G82">IFERROR(IF($E82&lt;44348,"",IF(INDEX(Raw_매출!$B$2:$BI$155,MATCH($A82,Raw_매출!$A$2:$A$155,0),MATCH(EDATE($E82,G$1-1),Raw_매출!$B$1:$BI$1,0))=0,"",INDEX(Raw_매출!$B$2:$BI$155,MATCH($A82,Raw_매출!$A$2:$A$155,0),MATCH(EDATE($E82,G$1-1),Raw_매출!$B$1:$BI$1,0))/(INDEX(요약_월별시즈널리티!$F$7:$F$18,MONTH(EDATE($E82,G$1-1)))/100))),"")</f>
        <v>3016894.4109070725</v>
      </c>
      <c r="H82" cm="1">
        <f t="array" ref="H82">IFERROR(IF($E82&lt;44348,"",IF(INDEX(Raw_매출!$B$2:$BI$155,MATCH($A82,Raw_매출!$A$2:$A$155,0),MATCH(EDATE($E82,H$1-1),Raw_매출!$B$1:$BI$1,0))=0,"",INDEX(Raw_매출!$B$2:$BI$155,MATCH($A82,Raw_매출!$A$2:$A$155,0),MATCH(EDATE($E82,H$1-1),Raw_매출!$B$1:$BI$1,0))/(INDEX(요약_월별시즈널리티!$F$7:$F$18,MONTH(EDATE($E82,H$1-1)))/100))),"")</f>
        <v>3539184.7603654466</v>
      </c>
      <c r="I82" cm="1">
        <f t="array" ref="I82">IFERROR(IF($E82&lt;44348,"",IF(INDEX(Raw_매출!$B$2:$BI$155,MATCH($A82,Raw_매출!$A$2:$A$155,0),MATCH(EDATE($E82,I$1-1),Raw_매출!$B$1:$BI$1,0))=0,"",INDEX(Raw_매출!$B$2:$BI$155,MATCH($A82,Raw_매출!$A$2:$A$155,0),MATCH(EDATE($E82,I$1-1),Raw_매출!$B$1:$BI$1,0))/(INDEX(요약_월별시즈널리티!$F$7:$F$18,MONTH(EDATE($E82,I$1-1)))/100))),"")</f>
        <v>3927735.050304634</v>
      </c>
      <c r="J82" s="30" cm="1">
        <f t="array" ref="J82">IFERROR(IF($E82&lt;44348,"",IF(INDEX(Raw_매출!$B$2:$BI$155,MATCH($A82,Raw_매출!$A$2:$A$155,0),MATCH(EDATE($E82,J$1-1),Raw_매출!$B$1:$BI$1,0))=0,"",INDEX(Raw_매출!$B$2:$BI$155,MATCH($A82,Raw_매출!$A$2:$A$155,0),MATCH(EDATE($E82,J$1-1),Raw_매출!$B$1:$BI$1,0))/(INDEX(요약_월별시즈널리티!$F$7:$F$18,MONTH(EDATE($E82,J$1-1)))/100))),"")</f>
        <v>3634173.2477320074</v>
      </c>
      <c r="K82" s="30" cm="1">
        <f t="array" ref="K82">IFERROR(IF($E82&lt;44348,"",IF(INDEX(Raw_매출!$B$2:$BI$155,MATCH($A82,Raw_매출!$A$2:$A$155,0),MATCH(EDATE($E82,K$1-1),Raw_매출!$B$1:$BI$1,0))=0,"",INDEX(Raw_매출!$B$2:$BI$155,MATCH($A82,Raw_매출!$A$2:$A$155,0),MATCH(EDATE($E82,K$1-1),Raw_매출!$B$1:$BI$1,0))/(INDEX(요약_월별시즈널리티!$F$7:$F$18,MONTH(EDATE($E82,K$1-1)))/100))),"")</f>
        <v>3927146.8020806746</v>
      </c>
      <c r="L82" s="30" cm="1">
        <f t="array" ref="L82">IFERROR(IF($E82&lt;44348,"",IF(INDEX(Raw_매출!$B$2:$BI$155,MATCH($A82,Raw_매출!$A$2:$A$155,0),MATCH(EDATE($E82,L$1-1),Raw_매출!$B$1:$BI$1,0))=0,"",INDEX(Raw_매출!$B$2:$BI$155,MATCH($A82,Raw_매출!$A$2:$A$155,0),MATCH(EDATE($E82,L$1-1),Raw_매출!$B$1:$BI$1,0))/(INDEX(요약_월별시즈널리티!$F$7:$F$18,MONTH(EDATE($E82,L$1-1)))/100))),"")</f>
        <v>4172774.0962589849</v>
      </c>
      <c r="M82" s="30" cm="1">
        <f t="array" ref="M82">IFERROR(IF($E82&lt;44348,"",IF(INDEX(Raw_매출!$B$2:$BI$155,MATCH($A82,Raw_매출!$A$2:$A$155,0),MATCH(EDATE($E82,M$1-1),Raw_매출!$B$1:$BI$1,0))=0,"",INDEX(Raw_매출!$B$2:$BI$155,MATCH($A82,Raw_매출!$A$2:$A$155,0),MATCH(EDATE($E82,M$1-1),Raw_매출!$B$1:$BI$1,0))/(INDEX(요약_월별시즈널리티!$F$7:$F$18,MONTH(EDATE($E82,M$1-1)))/100))),"")</f>
        <v>3933244.7093014834</v>
      </c>
      <c r="N82" s="30" cm="1">
        <f t="array" ref="N82">IFERROR(IF($E82&lt;44348,"",IF(INDEX(Raw_매출!$B$2:$BI$155,MATCH($A82,Raw_매출!$A$2:$A$155,0),MATCH(EDATE($E82,N$1-1),Raw_매출!$B$1:$BI$1,0))=0,"",INDEX(Raw_매출!$B$2:$BI$155,MATCH($A82,Raw_매출!$A$2:$A$155,0),MATCH(EDATE($E82,N$1-1),Raw_매출!$B$1:$BI$1,0))/(INDEX(요약_월별시즈널리티!$F$7:$F$18,MONTH(EDATE($E82,N$1-1)))/100))),"")</f>
        <v>4393176.3247948159</v>
      </c>
      <c r="O82" s="30" cm="1">
        <f t="array" ref="O82">IFERROR(IF($E82&lt;44348,"",IF(INDEX(Raw_매출!$B$2:$BI$155,MATCH($A82,Raw_매출!$A$2:$A$155,0),MATCH(EDATE($E82,O$1-1),Raw_매출!$B$1:$BI$1,0))=0,"",INDEX(Raw_매출!$B$2:$BI$155,MATCH($A82,Raw_매출!$A$2:$A$155,0),MATCH(EDATE($E82,O$1-1),Raw_매출!$B$1:$BI$1,0))/(INDEX(요약_월별시즈널리티!$F$7:$F$18,MONTH(EDATE($E82,O$1-1)))/100))),"")</f>
        <v>4250397.1653776346</v>
      </c>
      <c r="P82" cm="1">
        <f t="array" ref="P82">IFERROR(IF($E82&lt;44348,"",IF(INDEX(Raw_매출!$B$2:$BI$155,MATCH($A82,Raw_매출!$A$2:$A$155,0),MATCH(EDATE($E82,P$1-1),Raw_매출!$B$1:$BI$1,0))=0,"",INDEX(Raw_매출!$B$2:$BI$155,MATCH($A82,Raw_매출!$A$2:$A$155,0),MATCH(EDATE($E82,P$1-1),Raw_매출!$B$1:$BI$1,0))/(INDEX(요약_월별시즈널리티!$F$7:$F$18,MONTH(EDATE($E82,P$1-1)))/100))),"")</f>
        <v>4726367.4116696296</v>
      </c>
      <c r="Q82" cm="1">
        <f t="array" ref="Q82">IFERROR(IF($E82&lt;44348,"",IF(INDEX(Raw_매출!$B$2:$BI$155,MATCH($A82,Raw_매출!$A$2:$A$155,0),MATCH(EDATE($E82,Q$1-1),Raw_매출!$B$1:$BI$1,0))=0,"",INDEX(Raw_매출!$B$2:$BI$155,MATCH($A82,Raw_매출!$A$2:$A$155,0),MATCH(EDATE($E82,Q$1-1),Raw_매출!$B$1:$BI$1,0))/(INDEX(요약_월별시즈널리티!$F$7:$F$18,MONTH(EDATE($E82,Q$1-1)))/100))),"")</f>
        <v>5114045.6369265392</v>
      </c>
      <c r="R82" cm="1">
        <f t="array" ref="R82">IFERROR(IF($E82&lt;44348,"",IF(INDEX(Raw_매출!$B$2:$BI$155,MATCH($A82,Raw_매출!$A$2:$A$155,0),MATCH(EDATE($E82,R$1-1),Raw_매출!$B$1:$BI$1,0))=0,"",INDEX(Raw_매출!$B$2:$BI$155,MATCH($A82,Raw_매출!$A$2:$A$155,0),MATCH(EDATE($E82,R$1-1),Raw_매출!$B$1:$BI$1,0))/(INDEX(요약_월별시즈널리티!$F$7:$F$18,MONTH(EDATE($E82,R$1-1)))/100))),"")</f>
        <v>5584098.1881827191</v>
      </c>
      <c r="S82" cm="1">
        <f t="array" ref="S82">IFERROR(IF($E82&lt;44348,"",IF(INDEX(Raw_매출!$B$2:$BI$155,MATCH($A82,Raw_매출!$A$2:$A$155,0),MATCH(EDATE($E82,S$1-1),Raw_매출!$B$1:$BI$1,0))=0,"",INDEX(Raw_매출!$B$2:$BI$155,MATCH($A82,Raw_매출!$A$2:$A$155,0),MATCH(EDATE($E82,S$1-1),Raw_매출!$B$1:$BI$1,0))/(INDEX(요약_월별시즈널리티!$F$7:$F$18,MONTH(EDATE($E82,S$1-1)))/100))),"")</f>
        <v>5087315.6796114659</v>
      </c>
      <c r="T82" cm="1">
        <f t="array" ref="T82">IFERROR(IF($E82&lt;44348,"",IF(INDEX(Raw_매출!$B$2:$BI$155,MATCH($A82,Raw_매출!$A$2:$A$155,0),MATCH(EDATE($E82,T$1-1),Raw_매출!$B$1:$BI$1,0))=0,"",INDEX(Raw_매출!$B$2:$BI$155,MATCH($A82,Raw_매출!$A$2:$A$155,0),MATCH(EDATE($E82,T$1-1),Raw_매출!$B$1:$BI$1,0))/(INDEX(요약_월별시즈널리티!$F$7:$F$18,MONTH(EDATE($E82,T$1-1)))/100))),"")</f>
        <v>5811030.9411746738</v>
      </c>
      <c r="U82" cm="1">
        <f t="array" ref="U82">IFERROR(IF($E82&lt;44348,"",IF(INDEX(Raw_매출!$B$2:$BI$155,MATCH($A82,Raw_매출!$A$2:$A$155,0),MATCH(EDATE($E82,U$1-1),Raw_매출!$B$1:$BI$1,0))=0,"",INDEX(Raw_매출!$B$2:$BI$155,MATCH($A82,Raw_매출!$A$2:$A$155,0),MATCH(EDATE($E82,U$1-1),Raw_매출!$B$1:$BI$1,0))/(INDEX(요약_월별시즈널리티!$F$7:$F$18,MONTH(EDATE($E82,U$1-1)))/100))),"")</f>
        <v>5270033.6078099338</v>
      </c>
      <c r="V82" cm="1">
        <f t="array" ref="V82">IFERROR(IF($E82&lt;44348,"",IF(INDEX(Raw_매출!$B$2:$BI$155,MATCH($A82,Raw_매출!$A$2:$A$155,0),MATCH(EDATE($E82,V$1-1),Raw_매출!$B$1:$BI$1,0))=0,"",INDEX(Raw_매출!$B$2:$BI$155,MATCH($A82,Raw_매출!$A$2:$A$155,0),MATCH(EDATE($E82,V$1-1),Raw_매출!$B$1:$BI$1,0))/(INDEX(요약_월별시즈널리티!$F$7:$F$18,MONTH(EDATE($E82,V$1-1)))/100))),"")</f>
        <v>5328226.178392469</v>
      </c>
      <c r="W82" cm="1">
        <f t="array" ref="W82">IFERROR(IF($E82&lt;44348,"",IF(INDEX(Raw_매출!$B$2:$BI$155,MATCH($A82,Raw_매출!$A$2:$A$155,0),MATCH(EDATE($E82,W$1-1),Raw_매출!$B$1:$BI$1,0))=0,"",INDEX(Raw_매출!$B$2:$BI$155,MATCH($A82,Raw_매출!$A$2:$A$155,0),MATCH(EDATE($E82,W$1-1),Raw_매출!$B$1:$BI$1,0))/(INDEX(요약_월별시즈널리티!$F$7:$F$18,MONTH(EDATE($E82,W$1-1)))/100))),"")</f>
        <v>5772366.4655710226</v>
      </c>
      <c r="X82" cm="1">
        <f t="array" ref="X82">IFERROR(IF($E82&lt;44348,"",IF(INDEX(Raw_매출!$B$2:$BI$155,MATCH($A82,Raw_매출!$A$2:$A$155,0),MATCH(EDATE($E82,X$1-1),Raw_매출!$B$1:$BI$1,0))=0,"",INDEX(Raw_매출!$B$2:$BI$155,MATCH($A82,Raw_매출!$A$2:$A$155,0),MATCH(EDATE($E82,X$1-1),Raw_매출!$B$1:$BI$1,0))/(INDEX(요약_월별시즈널리티!$F$7:$F$18,MONTH(EDATE($E82,X$1-1)))/100))),"")</f>
        <v>5527033.2875077939</v>
      </c>
      <c r="Y82" cm="1">
        <f t="array" ref="Y82">IFERROR(IF($E82&lt;44348,"",IF(INDEX(Raw_매출!$B$2:$BI$155,MATCH($A82,Raw_매출!$A$2:$A$155,0),MATCH(EDATE($E82,Y$1-1),Raw_매출!$B$1:$BI$1,0))=0,"",INDEX(Raw_매출!$B$2:$BI$155,MATCH($A82,Raw_매출!$A$2:$A$155,0),MATCH(EDATE($E82,Y$1-1),Raw_매출!$B$1:$BI$1,0))/(INDEX(요약_월별시즈널리티!$F$7:$F$18,MONTH(EDATE($E82,Y$1-1)))/100))),"")</f>
        <v>5309640.2327273749</v>
      </c>
      <c r="Z82" cm="1">
        <f t="array" ref="Z82">IFERROR(IF($E82&lt;44348,"",IF(INDEX(Raw_매출!$B$2:$BI$155,MATCH($A82,Raw_매출!$A$2:$A$155,0),MATCH(EDATE($E82,Z$1-1),Raw_매출!$B$1:$BI$1,0))=0,"",INDEX(Raw_매출!$B$2:$BI$155,MATCH($A82,Raw_매출!$A$2:$A$155,0),MATCH(EDATE($E82,Z$1-1),Raw_매출!$B$1:$BI$1,0))/(INDEX(요약_월별시즈널리티!$F$7:$F$18,MONTH(EDATE($E82,Z$1-1)))/100))),"")</f>
        <v>5173574.6876974246</v>
      </c>
      <c r="AA82" cm="1">
        <f t="array" ref="AA82">IFERROR(IF($E82&lt;44348,"",IF(INDEX(Raw_매출!$B$2:$BI$155,MATCH($A82,Raw_매출!$A$2:$A$155,0),MATCH(EDATE($E82,AA$1-1),Raw_매출!$B$1:$BI$1,0))=0,"",INDEX(Raw_매출!$B$2:$BI$155,MATCH($A82,Raw_매출!$A$2:$A$155,0),MATCH(EDATE($E82,AA$1-1),Raw_매출!$B$1:$BI$1,0))/(INDEX(요약_월별시즈널리티!$F$7:$F$18,MONTH(EDATE($E82,AA$1-1)))/100))),"")</f>
        <v>5983610.9533348251</v>
      </c>
      <c r="AB82" cm="1">
        <f t="array" ref="AB82">IFERROR(IF($E82&lt;44348,"",IF(INDEX(Raw_매출!$B$2:$BI$155,MATCH($A82,Raw_매출!$A$2:$A$155,0),MATCH(EDATE($E82,AB$1-1),Raw_매출!$B$1:$BI$1,0))=0,"",INDEX(Raw_매출!$B$2:$BI$155,MATCH($A82,Raw_매출!$A$2:$A$155,0),MATCH(EDATE($E82,AB$1-1),Raw_매출!$B$1:$BI$1,0))/(INDEX(요약_월별시즈널리티!$F$7:$F$18,MONTH(EDATE($E82,AB$1-1)))/100))),"")</f>
        <v>5456010.5765712475</v>
      </c>
      <c r="AC82" cm="1">
        <f t="array" ref="AC82">IFERROR(IF($E82&lt;44348,"",IF(INDEX(Raw_매출!$B$2:$BI$155,MATCH($A82,Raw_매출!$A$2:$A$155,0),MATCH(EDATE($E82,AC$1-1),Raw_매출!$B$1:$BI$1,0))=0,"",INDEX(Raw_매출!$B$2:$BI$155,MATCH($A82,Raw_매출!$A$2:$A$155,0),MATCH(EDATE($E82,AC$1-1),Raw_매출!$B$1:$BI$1,0))/(INDEX(요약_월별시즈널리티!$F$7:$F$18,MONTH(EDATE($E82,AC$1-1)))/100))),"")</f>
        <v>5663125.8175483765</v>
      </c>
      <c r="AD82" cm="1">
        <f t="array" ref="AD82">IFERROR(IF($E82&lt;44348,"",IF(INDEX(Raw_매출!$B$2:$BI$155,MATCH($A82,Raw_매출!$A$2:$A$155,0),MATCH(EDATE($E82,AD$1-1),Raw_매출!$B$1:$BI$1,0))=0,"",INDEX(Raw_매출!$B$2:$BI$155,MATCH($A82,Raw_매출!$A$2:$A$155,0),MATCH(EDATE($E82,AD$1-1),Raw_매출!$B$1:$BI$1,0))/(INDEX(요약_월별시즈널리티!$F$7:$F$18,MONTH(EDATE($E82,AD$1-1)))/100))),"")</f>
        <v>5766792.6497967811</v>
      </c>
      <c r="AE82" cm="1">
        <f t="array" ref="AE82">IFERROR(IF($E82&lt;44348,"",IF(INDEX(Raw_매출!$B$2:$BI$155,MATCH($A82,Raw_매출!$A$2:$A$155,0),MATCH(EDATE($E82,AE$1-1),Raw_매출!$B$1:$BI$1,0))=0,"",INDEX(Raw_매출!$B$2:$BI$155,MATCH($A82,Raw_매출!$A$2:$A$155,0),MATCH(EDATE($E82,AE$1-1),Raw_매출!$B$1:$BI$1,0))/(INDEX(요약_월별시즈널리티!$F$7:$F$18,MONTH(EDATE($E82,AE$1-1)))/100))),"")</f>
        <v>6023472.4951867089</v>
      </c>
      <c r="AF82" cm="1">
        <f t="array" ref="AF82">IFERROR(IF($E82&lt;44348,"",IF(INDEX(Raw_매출!$B$2:$BI$155,MATCH($A82,Raw_매출!$A$2:$A$155,0),MATCH(EDATE($E82,AF$1-1),Raw_매출!$B$1:$BI$1,0))=0,"",INDEX(Raw_매출!$B$2:$BI$155,MATCH($A82,Raw_매출!$A$2:$A$155,0),MATCH(EDATE($E82,AF$1-1),Raw_매출!$B$1:$BI$1,0))/(INDEX(요약_월별시즈널리티!$F$7:$F$18,MONTH(EDATE($E82,AF$1-1)))/100))),"")</f>
        <v>5823435.5126104169</v>
      </c>
      <c r="AG82" cm="1">
        <f t="array" ref="AG82">IFERROR(IF($E82&lt;44348,"",IF(INDEX(Raw_매출!$B$2:$BI$155,MATCH($A82,Raw_매출!$A$2:$A$155,0),MATCH(EDATE($E82,AG$1-1),Raw_매출!$B$1:$BI$1,0))=0,"",INDEX(Raw_매출!$B$2:$BI$155,MATCH($A82,Raw_매출!$A$2:$A$155,0),MATCH(EDATE($E82,AG$1-1),Raw_매출!$B$1:$BI$1,0))/(INDEX(요약_월별시즈널리티!$F$7:$F$18,MONTH(EDATE($E82,AG$1-1)))/100))),"")</f>
        <v>5084704.5065672975</v>
      </c>
      <c r="AH82" cm="1">
        <f t="array" ref="AH82">IFERROR(IF($E82&lt;44348,"",IF(INDEX(Raw_매출!$B$2:$BI$155,MATCH($A82,Raw_매출!$A$2:$A$155,0),MATCH(EDATE($E82,AH$1-1),Raw_매출!$B$1:$BI$1,0))=0,"",INDEX(Raw_매출!$B$2:$BI$155,MATCH($A82,Raw_매출!$A$2:$A$155,0),MATCH(EDATE($E82,AH$1-1),Raw_매출!$B$1:$BI$1,0))/(INDEX(요약_월별시즈널리티!$F$7:$F$18,MONTH(EDATE($E82,AH$1-1)))/100))),"")</f>
        <v>5728979.8927405896</v>
      </c>
      <c r="AI82" cm="1">
        <f t="array" ref="AI82">IFERROR(IF($E82&lt;44348,"",IF(INDEX(Raw_매출!$B$2:$BI$155,MATCH($A82,Raw_매출!$A$2:$A$155,0),MATCH(EDATE($E82,AI$1-1),Raw_매출!$B$1:$BI$1,0))=0,"",INDEX(Raw_매출!$B$2:$BI$155,MATCH($A82,Raw_매출!$A$2:$A$155,0),MATCH(EDATE($E82,AI$1-1),Raw_매출!$B$1:$BI$1,0))/(INDEX(요약_월별시즈널리티!$F$7:$F$18,MONTH(EDATE($E82,AI$1-1)))/100))),"")</f>
        <v>5282322.0661710007</v>
      </c>
      <c r="AJ82" cm="1">
        <f t="array" ref="AJ82">IFERROR(IF($E82&lt;44348,"",IF(INDEX(Raw_매출!$B$2:$BI$155,MATCH($A82,Raw_매출!$A$2:$A$155,0),MATCH(EDATE($E82,AJ$1-1),Raw_매출!$B$1:$BI$1,0))=0,"",INDEX(Raw_매출!$B$2:$BI$155,MATCH($A82,Raw_매출!$A$2:$A$155,0),MATCH(EDATE($E82,AJ$1-1),Raw_매출!$B$1:$BI$1,0))/(INDEX(요약_월별시즈널리티!$F$7:$F$18,MONTH(EDATE($E82,AJ$1-1)))/100))),"")</f>
        <v>5541956.1346437875</v>
      </c>
      <c r="AK82" cm="1">
        <f t="array" ref="AK82">IFERROR(IF($E82&lt;44348,"",IF(INDEX(Raw_매출!$B$2:$BI$155,MATCH($A82,Raw_매출!$A$2:$A$155,0),MATCH(EDATE($E82,AK$1-1),Raw_매출!$B$1:$BI$1,0))=0,"",INDEX(Raw_매출!$B$2:$BI$155,MATCH($A82,Raw_매출!$A$2:$A$155,0),MATCH(EDATE($E82,AK$1-1),Raw_매출!$B$1:$BI$1,0))/(INDEX(요약_월별시즈널리티!$F$7:$F$18,MONTH(EDATE($E82,AK$1-1)))/100))),"")</f>
        <v>4676719.206794722</v>
      </c>
      <c r="AL82" cm="1">
        <f t="array" ref="AL82">IFERROR(IF($E82&lt;44348,"",IF(INDEX(Raw_매출!$B$2:$BI$155,MATCH($A82,Raw_매출!$A$2:$A$155,0),MATCH(EDATE($E82,AL$1-1),Raw_매출!$B$1:$BI$1,0))=0,"",INDEX(Raw_매출!$B$2:$BI$155,MATCH($A82,Raw_매출!$A$2:$A$155,0),MATCH(EDATE($E82,AL$1-1),Raw_매출!$B$1:$BI$1,0))/(INDEX(요약_월별시즈널리티!$F$7:$F$18,MONTH(EDATE($E82,AL$1-1)))/100))),"")</f>
        <v>3819877.7258569365</v>
      </c>
      <c r="AM82" cm="1">
        <f t="array" ref="AM82">IFERROR(IF($E82&lt;44348,"",IF(INDEX(Raw_매출!$B$2:$BI$155,MATCH($A82,Raw_매출!$A$2:$A$155,0),MATCH(EDATE($E82,AM$1-1),Raw_매출!$B$1:$BI$1,0))=0,"",INDEX(Raw_매출!$B$2:$BI$155,MATCH($A82,Raw_매출!$A$2:$A$155,0),MATCH(EDATE($E82,AM$1-1),Raw_매출!$B$1:$BI$1,0))/(INDEX(요약_월별시즈널리티!$F$7:$F$18,MONTH(EDATE($E82,AM$1-1)))/100))),"")</f>
        <v>3819441.8372105579</v>
      </c>
      <c r="AN82" cm="1">
        <f t="array" ref="AN82">IFERROR(IF($E82&lt;44348,"",IF(INDEX(Raw_매출!$B$2:$BI$155,MATCH($A82,Raw_매출!$A$2:$A$155,0),MATCH(EDATE($E82,AN$1-1),Raw_매출!$B$1:$BI$1,0))=0,"",INDEX(Raw_매출!$B$2:$BI$155,MATCH($A82,Raw_매출!$A$2:$A$155,0),MATCH(EDATE($E82,AN$1-1),Raw_매출!$B$1:$BI$1,0))/(INDEX(요약_월별시즈널리티!$F$7:$F$18,MONTH(EDATE($E82,AN$1-1)))/100))),"")</f>
        <v>4182990.8758567167</v>
      </c>
      <c r="AO82" cm="1">
        <f t="array" ref="AO82">IFERROR(IF($E82&lt;44348,"",IF(INDEX(Raw_매출!$B$2:$BI$155,MATCH($A82,Raw_매출!$A$2:$A$155,0),MATCH(EDATE($E82,AO$1-1),Raw_매출!$B$1:$BI$1,0))=0,"",INDEX(Raw_매출!$B$2:$BI$155,MATCH($A82,Raw_매출!$A$2:$A$155,0),MATCH(EDATE($E82,AO$1-1),Raw_매출!$B$1:$BI$1,0))/(INDEX(요약_월별시즈널리티!$F$7:$F$18,MONTH(EDATE($E82,AO$1-1)))/100))),"")</f>
        <v>3761078.3171560802</v>
      </c>
      <c r="AP82" cm="1">
        <f t="array" ref="AP82">IFERROR(IF($E82&lt;44348,"",IF(INDEX(Raw_매출!$B$2:$BI$155,MATCH($A82,Raw_매출!$A$2:$A$155,0),MATCH(EDATE($E82,AP$1-1),Raw_매출!$B$1:$BI$1,0))=0,"",INDEX(Raw_매출!$B$2:$BI$155,MATCH($A82,Raw_매출!$A$2:$A$155,0),MATCH(EDATE($E82,AP$1-1),Raw_매출!$B$1:$BI$1,0))/(INDEX(요약_월별시즈널리티!$F$7:$F$18,MONTH(EDATE($E82,AP$1-1)))/100))),"")</f>
        <v>3157515.737595269</v>
      </c>
      <c r="AQ82" cm="1">
        <f t="array" ref="AQ82">IFERROR(IF($E82&lt;44348,"",IF(INDEX(Raw_매출!$B$2:$BI$155,MATCH($A82,Raw_매출!$A$2:$A$155,0),MATCH(EDATE($E82,AQ$1-1),Raw_매출!$B$1:$BI$1,0))=0,"",INDEX(Raw_매출!$B$2:$BI$155,MATCH($A82,Raw_매출!$A$2:$A$155,0),MATCH(EDATE($E82,AQ$1-1),Raw_매출!$B$1:$BI$1,0))/(INDEX(요약_월별시즈널리티!$F$7:$F$18,MONTH(EDATE($E82,AQ$1-1)))/100))),"")</f>
        <v>3888647.7375275944</v>
      </c>
      <c r="AR82" t="str" cm="1">
        <f t="array" ref="AR82">IFERROR(IF($E82&lt;44348,"",IF(INDEX(Raw_매출!$B$2:$BI$155,MATCH($A82,Raw_매출!$A$2:$A$155,0),MATCH(EDATE($E82,AR$1-1),Raw_매출!$B$1:$BI$1,0))=0,"",INDEX(Raw_매출!$B$2:$BI$155,MATCH($A82,Raw_매출!$A$2:$A$155,0),MATCH(EDATE($E82,AR$1-1),Raw_매출!$B$1:$BI$1,0))/(INDEX(요약_월별시즈널리티!$F$7:$F$18,MONTH(EDATE($E82,AR$1-1)))/100))),"")</f>
        <v/>
      </c>
      <c r="AS82" t="str" cm="1">
        <f t="array" ref="AS82">IFERROR(IF($E82&lt;44348,"",IF(INDEX(Raw_매출!$B$2:$BI$155,MATCH($A82,Raw_매출!$A$2:$A$155,0),MATCH(EDATE($E82,AS$1-1),Raw_매출!$B$1:$BI$1,0))=0,"",INDEX(Raw_매출!$B$2:$BI$155,MATCH($A82,Raw_매출!$A$2:$A$155,0),MATCH(EDATE($E82,AS$1-1),Raw_매출!$B$1:$BI$1,0))/(INDEX(요약_월별시즈널리티!$F$7:$F$18,MONTH(EDATE($E82,AS$1-1)))/100))),"")</f>
        <v/>
      </c>
      <c r="AT82" t="str" cm="1">
        <f t="array" ref="AT82">IFERROR(IF($E82&lt;44348,"",IF(INDEX(Raw_매출!$B$2:$BI$155,MATCH($A82,Raw_매출!$A$2:$A$155,0),MATCH(EDATE($E82,AT$1-1),Raw_매출!$B$1:$BI$1,0))=0,"",INDEX(Raw_매출!$B$2:$BI$155,MATCH($A82,Raw_매출!$A$2:$A$155,0),MATCH(EDATE($E82,AT$1-1),Raw_매출!$B$1:$BI$1,0))/(INDEX(요약_월별시즈널리티!$F$7:$F$18,MONTH(EDATE($E82,AT$1-1)))/100))),"")</f>
        <v/>
      </c>
      <c r="AU82" t="str" cm="1">
        <f t="array" ref="AU82">IFERROR(IF($E82&lt;44348,"",IF(INDEX(Raw_매출!$B$2:$BI$155,MATCH($A82,Raw_매출!$A$2:$A$155,0),MATCH(EDATE($E82,AU$1-1),Raw_매출!$B$1:$BI$1,0))=0,"",INDEX(Raw_매출!$B$2:$BI$155,MATCH($A82,Raw_매출!$A$2:$A$155,0),MATCH(EDATE($E82,AU$1-1),Raw_매출!$B$1:$BI$1,0))/(INDEX(요약_월별시즈널리티!$F$7:$F$18,MONTH(EDATE($E82,AU$1-1)))/100))),"")</f>
        <v/>
      </c>
      <c r="AV82" t="str" cm="1">
        <f t="array" ref="AV82">IFERROR(IF($E82&lt;44348,"",IF(INDEX(Raw_매출!$B$2:$BI$155,MATCH($A82,Raw_매출!$A$2:$A$155,0),MATCH(EDATE($E82,AV$1-1),Raw_매출!$B$1:$BI$1,0))=0,"",INDEX(Raw_매출!$B$2:$BI$155,MATCH($A82,Raw_매출!$A$2:$A$155,0),MATCH(EDATE($E82,AV$1-1),Raw_매출!$B$1:$BI$1,0))/(INDEX(요약_월별시즈널리티!$F$7:$F$18,MONTH(EDATE($E82,AV$1-1)))/100))),"")</f>
        <v/>
      </c>
      <c r="AW82" t="str" cm="1">
        <f t="array" ref="AW82">IFERROR(IF($E82&lt;44348,"",IF(INDEX(Raw_매출!$B$2:$BI$155,MATCH($A82,Raw_매출!$A$2:$A$155,0),MATCH(EDATE($E82,AW$1-1),Raw_매출!$B$1:$BI$1,0))=0,"",INDEX(Raw_매출!$B$2:$BI$155,MATCH($A82,Raw_매출!$A$2:$A$155,0),MATCH(EDATE($E82,AW$1-1),Raw_매출!$B$1:$BI$1,0))/(INDEX(요약_월별시즈널리티!$F$7:$F$18,MONTH(EDATE($E82,AW$1-1)))/100))),"")</f>
        <v/>
      </c>
      <c r="AX82" t="str" cm="1">
        <f t="array" ref="AX82">IFERROR(IF($E82&lt;44348,"",IF(INDEX(Raw_매출!$B$2:$BI$155,MATCH($A82,Raw_매출!$A$2:$A$155,0),MATCH(EDATE($E82,AX$1-1),Raw_매출!$B$1:$BI$1,0))=0,"",INDEX(Raw_매출!$B$2:$BI$155,MATCH($A82,Raw_매출!$A$2:$A$155,0),MATCH(EDATE($E82,AX$1-1),Raw_매출!$B$1:$BI$1,0))/(INDEX(요약_월별시즈널리티!$F$7:$F$18,MONTH(EDATE($E82,AX$1-1)))/100))),"")</f>
        <v/>
      </c>
      <c r="AY82" t="str" cm="1">
        <f t="array" ref="AY82">IFERROR(IF($E82&lt;44348,"",IF(INDEX(Raw_매출!$B$2:$BI$155,MATCH($A82,Raw_매출!$A$2:$A$155,0),MATCH(EDATE($E82,AY$1-1),Raw_매출!$B$1:$BI$1,0))=0,"",INDEX(Raw_매출!$B$2:$BI$155,MATCH($A82,Raw_매출!$A$2:$A$155,0),MATCH(EDATE($E82,AY$1-1),Raw_매출!$B$1:$BI$1,0))/(INDEX(요약_월별시즈널리티!$F$7:$F$18,MONTH(EDATE($E82,AY$1-1)))/100))),"")</f>
        <v/>
      </c>
      <c r="AZ82" t="str" cm="1">
        <f t="array" ref="AZ82">IFERROR(IF($E82&lt;44348,"",IF(INDEX(Raw_매출!$B$2:$BI$155,MATCH($A82,Raw_매출!$A$2:$A$155,0),MATCH(EDATE($E82,AZ$1-1),Raw_매출!$B$1:$BI$1,0))=0,"",INDEX(Raw_매출!$B$2:$BI$155,MATCH($A82,Raw_매출!$A$2:$A$155,0),MATCH(EDATE($E82,AZ$1-1),Raw_매출!$B$1:$BI$1,0))/(INDEX(요약_월별시즈널리티!$F$7:$F$18,MONTH(EDATE($E82,AZ$1-1)))/100))),"")</f>
        <v/>
      </c>
      <c r="BA82" t="str" cm="1">
        <f t="array" ref="BA82">IFERROR(IF($E82&lt;44348,"",IF(INDEX(Raw_매출!$B$2:$BI$155,MATCH($A82,Raw_매출!$A$2:$A$155,0),MATCH(EDATE($E82,BA$1-1),Raw_매출!$B$1:$BI$1,0))=0,"",INDEX(Raw_매출!$B$2:$BI$155,MATCH($A82,Raw_매출!$A$2:$A$155,0),MATCH(EDATE($E82,BA$1-1),Raw_매출!$B$1:$BI$1,0))/(INDEX(요약_월별시즈널리티!$F$7:$F$18,MONTH(EDATE($E82,BA$1-1)))/100))),"")</f>
        <v/>
      </c>
      <c r="BB82" t="str" cm="1">
        <f t="array" ref="BB82">IFERROR(IF($E82&lt;44348,"",IF(INDEX(Raw_매출!$B$2:$BI$155,MATCH($A82,Raw_매출!$A$2:$A$155,0),MATCH(EDATE($E82,BB$1-1),Raw_매출!$B$1:$BI$1,0))=0,"",INDEX(Raw_매출!$B$2:$BI$155,MATCH($A82,Raw_매출!$A$2:$A$155,0),MATCH(EDATE($E82,BB$1-1),Raw_매출!$B$1:$BI$1,0))/(INDEX(요약_월별시즈널리티!$F$7:$F$18,MONTH(EDATE($E82,BB$1-1)))/100))),"")</f>
        <v/>
      </c>
      <c r="BC82" t="str" cm="1">
        <f t="array" ref="BC82">IFERROR(IF($E82&lt;44348,"",IF(INDEX(Raw_매출!$B$2:$BI$155,MATCH($A82,Raw_매출!$A$2:$A$155,0),MATCH(EDATE($E82,BC$1-1),Raw_매출!$B$1:$BI$1,0))=0,"",INDEX(Raw_매출!$B$2:$BI$155,MATCH($A82,Raw_매출!$A$2:$A$155,0),MATCH(EDATE($E82,BC$1-1),Raw_매출!$B$1:$BI$1,0))/(INDEX(요약_월별시즈널리티!$F$7:$F$18,MONTH(EDATE($E82,BC$1-1)))/100))),"")</f>
        <v/>
      </c>
      <c r="BD82" t="str" cm="1">
        <f t="array" ref="BD82">IFERROR(IF($E82&lt;44348,"",IF(INDEX(Raw_매출!$B$2:$BI$155,MATCH($A82,Raw_매출!$A$2:$A$155,0),MATCH(EDATE($E82,BD$1-1),Raw_매출!$B$1:$BI$1,0))=0,"",INDEX(Raw_매출!$B$2:$BI$155,MATCH($A82,Raw_매출!$A$2:$A$155,0),MATCH(EDATE($E82,BD$1-1),Raw_매출!$B$1:$BI$1,0))/(INDEX(요약_월별시즈널리티!$F$7:$F$18,MONTH(EDATE($E82,BD$1-1)))/100))),"")</f>
        <v/>
      </c>
      <c r="BE82" t="str" cm="1">
        <f t="array" ref="BE82">IFERROR(IF($E82&lt;44348,"",IF(INDEX(Raw_매출!$B$2:$BI$155,MATCH($A82,Raw_매출!$A$2:$A$155,0),MATCH(EDATE($E82,BE$1-1),Raw_매출!$B$1:$BI$1,0))=0,"",INDEX(Raw_매출!$B$2:$BI$155,MATCH($A82,Raw_매출!$A$2:$A$155,0),MATCH(EDATE($E82,BE$1-1),Raw_매출!$B$1:$BI$1,0))/(INDEX(요약_월별시즈널리티!$F$7:$F$18,MONTH(EDATE($E82,BE$1-1)))/100))),"")</f>
        <v/>
      </c>
      <c r="BF82" t="str" cm="1">
        <f t="array" ref="BF82">IFERROR(IF($E82&lt;44348,"",IF(INDEX(Raw_매출!$B$2:$BI$155,MATCH($A82,Raw_매출!$A$2:$A$155,0),MATCH(EDATE($E82,BF$1-1),Raw_매출!$B$1:$BI$1,0))=0,"",INDEX(Raw_매출!$B$2:$BI$155,MATCH($A82,Raw_매출!$A$2:$A$155,0),MATCH(EDATE($E82,BF$1-1),Raw_매출!$B$1:$BI$1,0))/(INDEX(요약_월별시즈널리티!$F$7:$F$18,MONTH(EDATE($E82,BF$1-1)))/100))),"")</f>
        <v/>
      </c>
      <c r="BG82" t="str" cm="1">
        <f t="array" ref="BG82">IFERROR(IF($E82&lt;44348,"",IF(INDEX(Raw_매출!$B$2:$BI$155,MATCH($A82,Raw_매출!$A$2:$A$155,0),MATCH(EDATE($E82,BG$1-1),Raw_매출!$B$1:$BI$1,0))=0,"",INDEX(Raw_매출!$B$2:$BI$155,MATCH($A82,Raw_매출!$A$2:$A$155,0),MATCH(EDATE($E82,BG$1-1),Raw_매출!$B$1:$BI$1,0))/(INDEX(요약_월별시즈널리티!$F$7:$F$18,MONTH(EDATE($E82,BG$1-1)))/100))),"")</f>
        <v/>
      </c>
      <c r="BH82" t="str" cm="1">
        <f t="array" ref="BH82">IFERROR(IF($E82&lt;44348,"",IF(INDEX(Raw_매출!$B$2:$BI$155,MATCH($A82,Raw_매출!$A$2:$A$155,0),MATCH(EDATE($E82,BH$1-1),Raw_매출!$B$1:$BI$1,0))=0,"",INDEX(Raw_매출!$B$2:$BI$155,MATCH($A82,Raw_매출!$A$2:$A$155,0),MATCH(EDATE($E82,BH$1-1),Raw_매출!$B$1:$BI$1,0))/(INDEX(요약_월별시즈널리티!$F$7:$F$18,MONTH(EDATE($E82,BH$1-1)))/100))),"")</f>
        <v/>
      </c>
      <c r="BI82" t="str" cm="1">
        <f t="array" ref="BI82">IFERROR(IF($E82&lt;44348,"",IF(INDEX(Raw_매출!$B$2:$BI$155,MATCH($A82,Raw_매출!$A$2:$A$155,0),MATCH(EDATE($E82,BI$1-1),Raw_매출!$B$1:$BI$1,0))=0,"",INDEX(Raw_매출!$B$2:$BI$155,MATCH($A82,Raw_매출!$A$2:$A$155,0),MATCH(EDATE($E82,BI$1-1),Raw_매출!$B$1:$BI$1,0))/(INDEX(요약_월별시즈널리티!$F$7:$F$18,MONTH(EDATE($E82,BI$1-1)))/100))),"")</f>
        <v/>
      </c>
      <c r="BJ82" t="str" cm="1">
        <f t="array" ref="BJ82">IFERROR(IF($E82&lt;44348,"",IF(INDEX(Raw_매출!$B$2:$BI$155,MATCH($A82,Raw_매출!$A$2:$A$155,0),MATCH(EDATE($E82,BJ$1-1),Raw_매출!$B$1:$BI$1,0))=0,"",INDEX(Raw_매출!$B$2:$BI$155,MATCH($A82,Raw_매출!$A$2:$A$155,0),MATCH(EDATE($E82,BJ$1-1),Raw_매출!$B$1:$BI$1,0))/(INDEX(요약_월별시즈널리티!$F$7:$F$18,MONTH(EDATE($E82,BJ$1-1)))/100))),"")</f>
        <v/>
      </c>
      <c r="BK82" t="str" cm="1">
        <f t="array" ref="BK82">IFERROR(IF($E82&lt;44348,"",IF(INDEX(Raw_매출!$B$2:$BI$155,MATCH($A82,Raw_매출!$A$2:$A$155,0),MATCH(EDATE($E82,BK$1-1),Raw_매출!$B$1:$BI$1,0))=0,"",INDEX(Raw_매출!$B$2:$BI$155,MATCH($A82,Raw_매출!$A$2:$A$155,0),MATCH(EDATE($E82,BK$1-1),Raw_매출!$B$1:$BI$1,0))/(INDEX(요약_월별시즈널리티!$F$7:$F$18,MONTH(EDATE($E82,BK$1-1)))/100))),"")</f>
        <v/>
      </c>
      <c r="BL82" t="str" cm="1">
        <f t="array" ref="BL82">IFERROR(IF($E82&lt;44348,"",IF(INDEX(Raw_매출!$B$2:$BI$155,MATCH($A82,Raw_매출!$A$2:$A$155,0),MATCH(EDATE($E82,BL$1-1),Raw_매출!$B$1:$BI$1,0))=0,"",INDEX(Raw_매출!$B$2:$BI$155,MATCH($A82,Raw_매출!$A$2:$A$155,0),MATCH(EDATE($E82,BL$1-1),Raw_매출!$B$1:$BI$1,0))/(INDEX(요약_월별시즈널리티!$F$7:$F$18,MONTH(EDATE($E82,BL$1-1)))/100))),"")</f>
        <v/>
      </c>
      <c r="BM82" t="str" cm="1">
        <f t="array" ref="BM82">IFERROR(IF($E82&lt;44348,"",IF(INDEX(Raw_매출!$B$2:$BI$155,MATCH($A82,Raw_매출!$A$2:$A$155,0),MATCH(EDATE($E82,BM$1-1),Raw_매출!$B$1:$BI$1,0))=0,"",INDEX(Raw_매출!$B$2:$BI$155,MATCH($A82,Raw_매출!$A$2:$A$155,0),MATCH(EDATE($E82,BM$1-1),Raw_매출!$B$1:$BI$1,0))/(INDEX(요약_월별시즈널리티!$F$7:$F$18,MONTH(EDATE($E82,BM$1-1)))/100))),"")</f>
        <v/>
      </c>
      <c r="BN82" t="str" cm="1">
        <f t="array" ref="BN82">IFERROR(IF($E82&lt;44348,"",IF(INDEX(Raw_매출!$B$2:$BI$155,MATCH($A82,Raw_매출!$A$2:$A$155,0),MATCH(EDATE($E82,BN$1-1),Raw_매출!$B$1:$BI$1,0))=0,"",INDEX(Raw_매출!$B$2:$BI$155,MATCH($A82,Raw_매출!$A$2:$A$155,0),MATCH(EDATE($E82,BN$1-1),Raw_매출!$B$1:$BI$1,0))/(INDEX(요약_월별시즈널리티!$F$7:$F$18,MONTH(EDATE($E82,BN$1-1)))/100))),"")</f>
        <v/>
      </c>
    </row>
    <row r="83" spans="1:66" x14ac:dyDescent="0.4">
      <c r="A83" t="str">
        <f>세팅!A84</f>
        <v>(1072) #역삼센터필드점</v>
      </c>
      <c r="B83" t="str">
        <f>세팅!B84</f>
        <v>150-1</v>
      </c>
      <c r="C83">
        <f t="shared" si="3"/>
        <v>1</v>
      </c>
      <c r="D83" t="str">
        <f t="shared" si="4"/>
        <v>1</v>
      </c>
      <c r="E83" s="1">
        <f>세팅!D84</f>
        <v>45047</v>
      </c>
      <c r="F83">
        <f t="shared" si="5"/>
        <v>3892108.5047575212</v>
      </c>
      <c r="G83" cm="1">
        <f t="array" ref="G83">IFERROR(IF($E83&lt;44348,"",IF(INDEX(Raw_매출!$B$2:$BI$155,MATCH($A83,Raw_매출!$A$2:$A$155,0),MATCH(EDATE($E83,G$1-1),Raw_매출!$B$1:$BI$1,0))=0,"",INDEX(Raw_매출!$B$2:$BI$155,MATCH($A83,Raw_매출!$A$2:$A$155,0),MATCH(EDATE($E83,G$1-1),Raw_매출!$B$1:$BI$1,0))/(INDEX(요약_월별시즈널리티!$F$7:$F$18,MONTH(EDATE($E83,G$1-1)))/100))),"")</f>
        <v>2400676.5897545489</v>
      </c>
      <c r="H83" cm="1">
        <f t="array" ref="H83">IFERROR(IF($E83&lt;44348,"",IF(INDEX(Raw_매출!$B$2:$BI$155,MATCH($A83,Raw_매출!$A$2:$A$155,0),MATCH(EDATE($E83,H$1-1),Raw_매출!$B$1:$BI$1,0))=0,"",INDEX(Raw_매출!$B$2:$BI$155,MATCH($A83,Raw_매출!$A$2:$A$155,0),MATCH(EDATE($E83,H$1-1),Raw_매출!$B$1:$BI$1,0))/(INDEX(요약_월별시즈널리티!$F$7:$F$18,MONTH(EDATE($E83,H$1-1)))/100))),"")</f>
        <v>3108692.6216291697</v>
      </c>
      <c r="I83" cm="1">
        <f t="array" ref="I83">IFERROR(IF($E83&lt;44348,"",IF(INDEX(Raw_매출!$B$2:$BI$155,MATCH($A83,Raw_매출!$A$2:$A$155,0),MATCH(EDATE($E83,I$1-1),Raw_매출!$B$1:$BI$1,0))=0,"",INDEX(Raw_매출!$B$2:$BI$155,MATCH($A83,Raw_매출!$A$2:$A$155,0),MATCH(EDATE($E83,I$1-1),Raw_매출!$B$1:$BI$1,0))/(INDEX(요약_월별시즈널리티!$F$7:$F$18,MONTH(EDATE($E83,I$1-1)))/100))),"")</f>
        <v>3947318.7955390364</v>
      </c>
      <c r="J83" s="30" cm="1">
        <f t="array" ref="J83">IFERROR(IF($E83&lt;44348,"",IF(INDEX(Raw_매출!$B$2:$BI$155,MATCH($A83,Raw_매출!$A$2:$A$155,0),MATCH(EDATE($E83,J$1-1),Raw_매출!$B$1:$BI$1,0))=0,"",INDEX(Raw_매출!$B$2:$BI$155,MATCH($A83,Raw_매출!$A$2:$A$155,0),MATCH(EDATE($E83,J$1-1),Raw_매출!$B$1:$BI$1,0))/(INDEX(요약_월별시즈널리티!$F$7:$F$18,MONTH(EDATE($E83,J$1-1)))/100))),"")</f>
        <v>3858583.5682741757</v>
      </c>
      <c r="K83" s="30" cm="1">
        <f t="array" ref="K83">IFERROR(IF($E83&lt;44348,"",IF(INDEX(Raw_매출!$B$2:$BI$155,MATCH($A83,Raw_매출!$A$2:$A$155,0),MATCH(EDATE($E83,K$1-1),Raw_매출!$B$1:$BI$1,0))=0,"",INDEX(Raw_매출!$B$2:$BI$155,MATCH($A83,Raw_매출!$A$2:$A$155,0),MATCH(EDATE($E83,K$1-1),Raw_매출!$B$1:$BI$1,0))/(INDEX(요약_월별시즈널리티!$F$7:$F$18,MONTH(EDATE($E83,K$1-1)))/100))),"")</f>
        <v>4033515.3510180074</v>
      </c>
      <c r="L83" s="30" cm="1">
        <f t="array" ref="L83">IFERROR(IF($E83&lt;44348,"",IF(INDEX(Raw_매출!$B$2:$BI$155,MATCH($A83,Raw_매출!$A$2:$A$155,0),MATCH(EDATE($E83,L$1-1),Raw_매출!$B$1:$BI$1,0))=0,"",INDEX(Raw_매출!$B$2:$BI$155,MATCH($A83,Raw_매출!$A$2:$A$155,0),MATCH(EDATE($E83,L$1-1),Raw_매출!$B$1:$BI$1,0))/(INDEX(요약_월별시즈널리티!$F$7:$F$18,MONTH(EDATE($E83,L$1-1)))/100))),"")</f>
        <v>3856582.755493429</v>
      </c>
      <c r="M83" s="30" cm="1">
        <f t="array" ref="M83">IFERROR(IF($E83&lt;44348,"",IF(INDEX(Raw_매출!$B$2:$BI$155,MATCH($A83,Raw_매출!$A$2:$A$155,0),MATCH(EDATE($E83,M$1-1),Raw_매출!$B$1:$BI$1,0))=0,"",INDEX(Raw_매출!$B$2:$BI$155,MATCH($A83,Raw_매출!$A$2:$A$155,0),MATCH(EDATE($E83,M$1-1),Raw_매출!$B$1:$BI$1,0))/(INDEX(요약_월별시즈널리티!$F$7:$F$18,MONTH(EDATE($E83,M$1-1)))/100))),"")</f>
        <v>3439067.8099277071</v>
      </c>
      <c r="N83" s="30" cm="1">
        <f t="array" ref="N83">IFERROR(IF($E83&lt;44348,"",IF(INDEX(Raw_매출!$B$2:$BI$155,MATCH($A83,Raw_매출!$A$2:$A$155,0),MATCH(EDATE($E83,N$1-1),Raw_매출!$B$1:$BI$1,0))=0,"",INDEX(Raw_매출!$B$2:$BI$155,MATCH($A83,Raw_매출!$A$2:$A$155,0),MATCH(EDATE($E83,N$1-1),Raw_매출!$B$1:$BI$1,0))/(INDEX(요약_월별시즈널리티!$F$7:$F$18,MONTH(EDATE($E83,N$1-1)))/100))),"")</f>
        <v>3911988.7330259224</v>
      </c>
      <c r="O83" s="30" cm="1">
        <f t="array" ref="O83">IFERROR(IF($E83&lt;44348,"",IF(INDEX(Raw_매출!$B$2:$BI$155,MATCH($A83,Raw_매출!$A$2:$A$155,0),MATCH(EDATE($E83,O$1-1),Raw_매출!$B$1:$BI$1,0))=0,"",INDEX(Raw_매출!$B$2:$BI$155,MATCH($A83,Raw_매출!$A$2:$A$155,0),MATCH(EDATE($E83,O$1-1),Raw_매출!$B$1:$BI$1,0))/(INDEX(요약_월별시즈널리티!$F$7:$F$18,MONTH(EDATE($E83,O$1-1)))/100))),"")</f>
        <v>4252912.8108058851</v>
      </c>
      <c r="P83" cm="1">
        <f t="array" ref="P83">IFERROR(IF($E83&lt;44348,"",IF(INDEX(Raw_매출!$B$2:$BI$155,MATCH($A83,Raw_매출!$A$2:$A$155,0),MATCH(EDATE($E83,P$1-1),Raw_매출!$B$1:$BI$1,0))=0,"",INDEX(Raw_매출!$B$2:$BI$155,MATCH($A83,Raw_매출!$A$2:$A$155,0),MATCH(EDATE($E83,P$1-1),Raw_매출!$B$1:$BI$1,0))/(INDEX(요약_월별시즈널리티!$F$7:$F$18,MONTH(EDATE($E83,P$1-1)))/100))),"")</f>
        <v>4642345.73859917</v>
      </c>
      <c r="Q83" cm="1">
        <f t="array" ref="Q83">IFERROR(IF($E83&lt;44348,"",IF(INDEX(Raw_매출!$B$2:$BI$155,MATCH($A83,Raw_매출!$A$2:$A$155,0),MATCH(EDATE($E83,Q$1-1),Raw_매출!$B$1:$BI$1,0))=0,"",INDEX(Raw_매출!$B$2:$BI$155,MATCH($A83,Raw_매출!$A$2:$A$155,0),MATCH(EDATE($E83,Q$1-1),Raw_매출!$B$1:$BI$1,0))/(INDEX(요약_월별시즈널리티!$F$7:$F$18,MONTH(EDATE($E83,Q$1-1)))/100))),"")</f>
        <v>4681522.145007222</v>
      </c>
      <c r="R83" cm="1">
        <f t="array" ref="R83">IFERROR(IF($E83&lt;44348,"",IF(INDEX(Raw_매출!$B$2:$BI$155,MATCH($A83,Raw_매출!$A$2:$A$155,0),MATCH(EDATE($E83,R$1-1),Raw_매출!$B$1:$BI$1,0))=0,"",INDEX(Raw_매출!$B$2:$BI$155,MATCH($A83,Raw_매출!$A$2:$A$155,0),MATCH(EDATE($E83,R$1-1),Raw_매출!$B$1:$BI$1,0))/(INDEX(요약_월별시즈널리티!$F$7:$F$18,MONTH(EDATE($E83,R$1-1)))/100))),"")</f>
        <v>5268470.9668644499</v>
      </c>
      <c r="S83" cm="1">
        <f t="array" ref="S83">IFERROR(IF($E83&lt;44348,"",IF(INDEX(Raw_매출!$B$2:$BI$155,MATCH($A83,Raw_매출!$A$2:$A$155,0),MATCH(EDATE($E83,S$1-1),Raw_매출!$B$1:$BI$1,0))=0,"",INDEX(Raw_매출!$B$2:$BI$155,MATCH($A83,Raw_매출!$A$2:$A$155,0),MATCH(EDATE($E83,S$1-1),Raw_매출!$B$1:$BI$1,0))/(INDEX(요약_월별시즈널리티!$F$7:$F$18,MONTH(EDATE($E83,S$1-1)))/100))),"")</f>
        <v>4498658.6795500871</v>
      </c>
      <c r="T83" cm="1">
        <f t="array" ref="T83">IFERROR(IF($E83&lt;44348,"",IF(INDEX(Raw_매출!$B$2:$BI$155,MATCH($A83,Raw_매출!$A$2:$A$155,0),MATCH(EDATE($E83,T$1-1),Raw_매출!$B$1:$BI$1,0))=0,"",INDEX(Raw_매출!$B$2:$BI$155,MATCH($A83,Raw_매출!$A$2:$A$155,0),MATCH(EDATE($E83,T$1-1),Raw_매출!$B$1:$BI$1,0))/(INDEX(요약_월별시즈널리티!$F$7:$F$18,MONTH(EDATE($E83,T$1-1)))/100))),"")</f>
        <v>4931843.5631873952</v>
      </c>
      <c r="U83" cm="1">
        <f t="array" ref="U83">IFERROR(IF($E83&lt;44348,"",IF(INDEX(Raw_매출!$B$2:$BI$155,MATCH($A83,Raw_매출!$A$2:$A$155,0),MATCH(EDATE($E83,U$1-1),Raw_매출!$B$1:$BI$1,0))=0,"",INDEX(Raw_매출!$B$2:$BI$155,MATCH($A83,Raw_매출!$A$2:$A$155,0),MATCH(EDATE($E83,U$1-1),Raw_매출!$B$1:$BI$1,0))/(INDEX(요약_월별시즈널리티!$F$7:$F$18,MONTH(EDATE($E83,U$1-1)))/100))),"")</f>
        <v>5203248.2600373942</v>
      </c>
      <c r="V83" cm="1">
        <f t="array" ref="V83">IFERROR(IF($E83&lt;44348,"",IF(INDEX(Raw_매출!$B$2:$BI$155,MATCH($A83,Raw_매출!$A$2:$A$155,0),MATCH(EDATE($E83,V$1-1),Raw_매출!$B$1:$BI$1,0))=0,"",INDEX(Raw_매출!$B$2:$BI$155,MATCH($A83,Raw_매출!$A$2:$A$155,0),MATCH(EDATE($E83,V$1-1),Raw_매출!$B$1:$BI$1,0))/(INDEX(요약_월별시즈널리티!$F$7:$F$18,MONTH(EDATE($E83,V$1-1)))/100))),"")</f>
        <v>4679053.1790773636</v>
      </c>
      <c r="W83" cm="1">
        <f t="array" ref="W83">IFERROR(IF($E83&lt;44348,"",IF(INDEX(Raw_매출!$B$2:$BI$155,MATCH($A83,Raw_매출!$A$2:$A$155,0),MATCH(EDATE($E83,W$1-1),Raw_매출!$B$1:$BI$1,0))=0,"",INDEX(Raw_매출!$B$2:$BI$155,MATCH($A83,Raw_매출!$A$2:$A$155,0),MATCH(EDATE($E83,W$1-1),Raw_매출!$B$1:$BI$1,0))/(INDEX(요약_월별시즈널리티!$F$7:$F$18,MONTH(EDATE($E83,W$1-1)))/100))),"")</f>
        <v>4963386.2095310157</v>
      </c>
      <c r="X83" cm="1">
        <f t="array" ref="X83">IFERROR(IF($E83&lt;44348,"",IF(INDEX(Raw_매출!$B$2:$BI$155,MATCH($A83,Raw_매출!$A$2:$A$155,0),MATCH(EDATE($E83,X$1-1),Raw_매출!$B$1:$BI$1,0))=0,"",INDEX(Raw_매출!$B$2:$BI$155,MATCH($A83,Raw_매출!$A$2:$A$155,0),MATCH(EDATE($E83,X$1-1),Raw_매출!$B$1:$BI$1,0))/(INDEX(요약_월별시즈널리티!$F$7:$F$18,MONTH(EDATE($E83,X$1-1)))/100))),"")</f>
        <v>5020175.540436551</v>
      </c>
      <c r="Y83" cm="1">
        <f t="array" ref="Y83">IFERROR(IF($E83&lt;44348,"",IF(INDEX(Raw_매출!$B$2:$BI$155,MATCH($A83,Raw_매출!$A$2:$A$155,0),MATCH(EDATE($E83,Y$1-1),Raw_매출!$B$1:$BI$1,0))=0,"",INDEX(Raw_매출!$B$2:$BI$155,MATCH($A83,Raw_매출!$A$2:$A$155,0),MATCH(EDATE($E83,Y$1-1),Raw_매출!$B$1:$BI$1,0))/(INDEX(요약_월별시즈널리티!$F$7:$F$18,MONTH(EDATE($E83,Y$1-1)))/100))),"")</f>
        <v>5104467.9733002959</v>
      </c>
      <c r="Z83" cm="1">
        <f t="array" ref="Z83">IFERROR(IF($E83&lt;44348,"",IF(INDEX(Raw_매출!$B$2:$BI$155,MATCH($A83,Raw_매출!$A$2:$A$155,0),MATCH(EDATE($E83,Z$1-1),Raw_매출!$B$1:$BI$1,0))=0,"",INDEX(Raw_매출!$B$2:$BI$155,MATCH($A83,Raw_매출!$A$2:$A$155,0),MATCH(EDATE($E83,Z$1-1),Raw_매출!$B$1:$BI$1,0))/(INDEX(요약_월별시즈널리티!$F$7:$F$18,MONTH(EDATE($E83,Z$1-1)))/100))),"")</f>
        <v>4581569.3670892734</v>
      </c>
      <c r="AA83" cm="1">
        <f t="array" ref="AA83">IFERROR(IF($E83&lt;44348,"",IF(INDEX(Raw_매출!$B$2:$BI$155,MATCH($A83,Raw_매출!$A$2:$A$155,0),MATCH(EDATE($E83,AA$1-1),Raw_매출!$B$1:$BI$1,0))=0,"",INDEX(Raw_매출!$B$2:$BI$155,MATCH($A83,Raw_매출!$A$2:$A$155,0),MATCH(EDATE($E83,AA$1-1),Raw_매출!$B$1:$BI$1,0))/(INDEX(요약_월별시즈널리티!$F$7:$F$18,MONTH(EDATE($E83,AA$1-1)))/100))),"")</f>
        <v>5260719.9166273437</v>
      </c>
      <c r="AB83" cm="1">
        <f t="array" ref="AB83">IFERROR(IF($E83&lt;44348,"",IF(INDEX(Raw_매출!$B$2:$BI$155,MATCH($A83,Raw_매출!$A$2:$A$155,0),MATCH(EDATE($E83,AB$1-1),Raw_매출!$B$1:$BI$1,0))=0,"",INDEX(Raw_매출!$B$2:$BI$155,MATCH($A83,Raw_매출!$A$2:$A$155,0),MATCH(EDATE($E83,AB$1-1),Raw_매출!$B$1:$BI$1,0))/(INDEX(요약_월별시즈널리티!$F$7:$F$18,MONTH(EDATE($E83,AB$1-1)))/100))),"")</f>
        <v>4893105.7049952773</v>
      </c>
      <c r="AC83" cm="1">
        <f t="array" ref="AC83">IFERROR(IF($E83&lt;44348,"",IF(INDEX(Raw_매출!$B$2:$BI$155,MATCH($A83,Raw_매출!$A$2:$A$155,0),MATCH(EDATE($E83,AC$1-1),Raw_매출!$B$1:$BI$1,0))=0,"",INDEX(Raw_매출!$B$2:$BI$155,MATCH($A83,Raw_매출!$A$2:$A$155,0),MATCH(EDATE($E83,AC$1-1),Raw_매출!$B$1:$BI$1,0))/(INDEX(요약_월별시즈널리티!$F$7:$F$18,MONTH(EDATE($E83,AC$1-1)))/100))),"")</f>
        <v>4878246.2895628782</v>
      </c>
      <c r="AD83" cm="1">
        <f t="array" ref="AD83">IFERROR(IF($E83&lt;44348,"",IF(INDEX(Raw_매출!$B$2:$BI$155,MATCH($A83,Raw_매출!$A$2:$A$155,0),MATCH(EDATE($E83,AD$1-1),Raw_매출!$B$1:$BI$1,0))=0,"",INDEX(Raw_매출!$B$2:$BI$155,MATCH($A83,Raw_매출!$A$2:$A$155,0),MATCH(EDATE($E83,AD$1-1),Raw_매출!$B$1:$BI$1,0))/(INDEX(요약_월별시즈널리티!$F$7:$F$18,MONTH(EDATE($E83,AD$1-1)))/100))),"")</f>
        <v>5881673.580111783</v>
      </c>
      <c r="AE83" cm="1">
        <f t="array" ref="AE83">IFERROR(IF($E83&lt;44348,"",IF(INDEX(Raw_매출!$B$2:$BI$155,MATCH($A83,Raw_매출!$A$2:$A$155,0),MATCH(EDATE($E83,AE$1-1),Raw_매출!$B$1:$BI$1,0))=0,"",INDEX(Raw_매출!$B$2:$BI$155,MATCH($A83,Raw_매출!$A$2:$A$155,0),MATCH(EDATE($E83,AE$1-1),Raw_매출!$B$1:$BI$1,0))/(INDEX(요약_월별시즈널리티!$F$7:$F$18,MONTH(EDATE($E83,AE$1-1)))/100))),"")</f>
        <v>6036968.1865061326</v>
      </c>
      <c r="AF83" cm="1">
        <f t="array" ref="AF83">IFERROR(IF($E83&lt;44348,"",IF(INDEX(Raw_매출!$B$2:$BI$155,MATCH($A83,Raw_매출!$A$2:$A$155,0),MATCH(EDATE($E83,AF$1-1),Raw_매출!$B$1:$BI$1,0))=0,"",INDEX(Raw_매출!$B$2:$BI$155,MATCH($A83,Raw_매출!$A$2:$A$155,0),MATCH(EDATE($E83,AF$1-1),Raw_매출!$B$1:$BI$1,0))/(INDEX(요약_월별시즈널리티!$F$7:$F$18,MONTH(EDATE($E83,AF$1-1)))/100))),"")</f>
        <v>6973626.2924350435</v>
      </c>
      <c r="AG83" cm="1">
        <f t="array" ref="AG83">IFERROR(IF($E83&lt;44348,"",IF(INDEX(Raw_매출!$B$2:$BI$155,MATCH($A83,Raw_매출!$A$2:$A$155,0),MATCH(EDATE($E83,AG$1-1),Raw_매출!$B$1:$BI$1,0))=0,"",INDEX(Raw_매출!$B$2:$BI$155,MATCH($A83,Raw_매출!$A$2:$A$155,0),MATCH(EDATE($E83,AG$1-1),Raw_매출!$B$1:$BI$1,0))/(INDEX(요약_월별시즈널리티!$F$7:$F$18,MONTH(EDATE($E83,AG$1-1)))/100))),"")</f>
        <v>7441804.0829799566</v>
      </c>
      <c r="AH83" cm="1">
        <f t="array" ref="AH83">IFERROR(IF($E83&lt;44348,"",IF(INDEX(Raw_매출!$B$2:$BI$155,MATCH($A83,Raw_매출!$A$2:$A$155,0),MATCH(EDATE($E83,AH$1-1),Raw_매출!$B$1:$BI$1,0))=0,"",INDEX(Raw_매출!$B$2:$BI$155,MATCH($A83,Raw_매출!$A$2:$A$155,0),MATCH(EDATE($E83,AH$1-1),Raw_매출!$B$1:$BI$1,0))/(INDEX(요약_월별시즈널리티!$F$7:$F$18,MONTH(EDATE($E83,AH$1-1)))/100))),"")</f>
        <v>7956443.4158792729</v>
      </c>
      <c r="AI83" cm="1">
        <f t="array" ref="AI83">IFERROR(IF($E83&lt;44348,"",IF(INDEX(Raw_매출!$B$2:$BI$155,MATCH($A83,Raw_매출!$A$2:$A$155,0),MATCH(EDATE($E83,AI$1-1),Raw_매출!$B$1:$BI$1,0))=0,"",INDEX(Raw_매출!$B$2:$BI$155,MATCH($A83,Raw_매출!$A$2:$A$155,0),MATCH(EDATE($E83,AI$1-1),Raw_매출!$B$1:$BI$1,0))/(INDEX(요약_월별시즈널리티!$F$7:$F$18,MONTH(EDATE($E83,AI$1-1)))/100))),"")</f>
        <v>7658146.0048580375</v>
      </c>
      <c r="AJ83" cm="1">
        <f t="array" ref="AJ83">IFERROR(IF($E83&lt;44348,"",IF(INDEX(Raw_매출!$B$2:$BI$155,MATCH($A83,Raw_매출!$A$2:$A$155,0),MATCH(EDATE($E83,AJ$1-1),Raw_매출!$B$1:$BI$1,0))=0,"",INDEX(Raw_매출!$B$2:$BI$155,MATCH($A83,Raw_매출!$A$2:$A$155,0),MATCH(EDATE($E83,AJ$1-1),Raw_매출!$B$1:$BI$1,0))/(INDEX(요약_월별시즈널리티!$F$7:$F$18,MONTH(EDATE($E83,AJ$1-1)))/100))),"")</f>
        <v>7886218.6322091343</v>
      </c>
      <c r="AK83" cm="1">
        <f t="array" ref="AK83">IFERROR(IF($E83&lt;44348,"",IF(INDEX(Raw_매출!$B$2:$BI$155,MATCH($A83,Raw_매출!$A$2:$A$155,0),MATCH(EDATE($E83,AK$1-1),Raw_매출!$B$1:$BI$1,0))=0,"",INDEX(Raw_매출!$B$2:$BI$155,MATCH($A83,Raw_매출!$A$2:$A$155,0),MATCH(EDATE($E83,AK$1-1),Raw_매출!$B$1:$BI$1,0))/(INDEX(요약_월별시즈널리티!$F$7:$F$18,MONTH(EDATE($E83,AK$1-1)))/100))),"")</f>
        <v>7501893.4822894745</v>
      </c>
      <c r="AL83" cm="1">
        <f t="array" ref="AL83">IFERROR(IF($E83&lt;44348,"",IF(INDEX(Raw_매출!$B$2:$BI$155,MATCH($A83,Raw_매출!$A$2:$A$155,0),MATCH(EDATE($E83,AL$1-1),Raw_매출!$B$1:$BI$1,0))=0,"",INDEX(Raw_매출!$B$2:$BI$155,MATCH($A83,Raw_매출!$A$2:$A$155,0),MATCH(EDATE($E83,AL$1-1),Raw_매출!$B$1:$BI$1,0))/(INDEX(요약_월별시즈널리티!$F$7:$F$18,MONTH(EDATE($E83,AL$1-1)))/100))),"")</f>
        <v>7250698.2222320931</v>
      </c>
      <c r="AM83" cm="1">
        <f t="array" ref="AM83">IFERROR(IF($E83&lt;44348,"",IF(INDEX(Raw_매출!$B$2:$BI$155,MATCH($A83,Raw_매출!$A$2:$A$155,0),MATCH(EDATE($E83,AM$1-1),Raw_매출!$B$1:$BI$1,0))=0,"",INDEX(Raw_매출!$B$2:$BI$155,MATCH($A83,Raw_매출!$A$2:$A$155,0),MATCH(EDATE($E83,AM$1-1),Raw_매출!$B$1:$BI$1,0))/(INDEX(요약_월별시즈널리티!$F$7:$F$18,MONTH(EDATE($E83,AM$1-1)))/100))),"")</f>
        <v>7553527.4954800457</v>
      </c>
      <c r="AN83" cm="1">
        <f t="array" ref="AN83">IFERROR(IF($E83&lt;44348,"",IF(INDEX(Raw_매출!$B$2:$BI$155,MATCH($A83,Raw_매출!$A$2:$A$155,0),MATCH(EDATE($E83,AN$1-1),Raw_매출!$B$1:$BI$1,0))=0,"",INDEX(Raw_매출!$B$2:$BI$155,MATCH($A83,Raw_매출!$A$2:$A$155,0),MATCH(EDATE($E83,AN$1-1),Raw_매출!$B$1:$BI$1,0))/(INDEX(요약_월별시즈널리티!$F$7:$F$18,MONTH(EDATE($E83,AN$1-1)))/100))),"")</f>
        <v>6930221.9649345856</v>
      </c>
      <c r="AO83" cm="1">
        <f t="array" ref="AO83">IFERROR(IF($E83&lt;44348,"",IF(INDEX(Raw_매출!$B$2:$BI$155,MATCH($A83,Raw_매출!$A$2:$A$155,0),MATCH(EDATE($E83,AO$1-1),Raw_매출!$B$1:$BI$1,0))=0,"",INDEX(Raw_매출!$B$2:$BI$155,MATCH($A83,Raw_매출!$A$2:$A$155,0),MATCH(EDATE($E83,AO$1-1),Raw_매출!$B$1:$BI$1,0))/(INDEX(요약_월별시즈널리티!$F$7:$F$18,MONTH(EDATE($E83,AO$1-1)))/100))),"")</f>
        <v>7317086.4298467617</v>
      </c>
      <c r="AP83" cm="1">
        <f t="array" ref="AP83">IFERROR(IF($E83&lt;44348,"",IF(INDEX(Raw_매출!$B$2:$BI$155,MATCH($A83,Raw_매출!$A$2:$A$155,0),MATCH(EDATE($E83,AP$1-1),Raw_매출!$B$1:$BI$1,0))=0,"",INDEX(Raw_매출!$B$2:$BI$155,MATCH($A83,Raw_매출!$A$2:$A$155,0),MATCH(EDATE($E83,AP$1-1),Raw_매출!$B$1:$BI$1,0))/(INDEX(요약_월별시즈널리티!$F$7:$F$18,MONTH(EDATE($E83,AP$1-1)))/100))),"")</f>
        <v>8346805.2874890417</v>
      </c>
      <c r="AQ83" cm="1">
        <f t="array" ref="AQ83">IFERROR(IF($E83&lt;44348,"",IF(INDEX(Raw_매출!$B$2:$BI$155,MATCH($A83,Raw_매출!$A$2:$A$155,0),MATCH(EDATE($E83,AQ$1-1),Raw_매출!$B$1:$BI$1,0))=0,"",INDEX(Raw_매출!$B$2:$BI$155,MATCH($A83,Raw_매출!$A$2:$A$155,0),MATCH(EDATE($E83,AQ$1-1),Raw_매출!$B$1:$BI$1,0))/(INDEX(요약_월별시즈널리티!$F$7:$F$18,MONTH(EDATE($E83,AQ$1-1)))/100))),"")</f>
        <v>8315433.7937570075</v>
      </c>
      <c r="AR83" t="str" cm="1">
        <f t="array" ref="AR83">IFERROR(IF($E83&lt;44348,"",IF(INDEX(Raw_매출!$B$2:$BI$155,MATCH($A83,Raw_매출!$A$2:$A$155,0),MATCH(EDATE($E83,AR$1-1),Raw_매출!$B$1:$BI$1,0))=0,"",INDEX(Raw_매출!$B$2:$BI$155,MATCH($A83,Raw_매출!$A$2:$A$155,0),MATCH(EDATE($E83,AR$1-1),Raw_매출!$B$1:$BI$1,0))/(INDEX(요약_월별시즈널리티!$F$7:$F$18,MONTH(EDATE($E83,AR$1-1)))/100))),"")</f>
        <v/>
      </c>
      <c r="AS83" t="str" cm="1">
        <f t="array" ref="AS83">IFERROR(IF($E83&lt;44348,"",IF(INDEX(Raw_매출!$B$2:$BI$155,MATCH($A83,Raw_매출!$A$2:$A$155,0),MATCH(EDATE($E83,AS$1-1),Raw_매출!$B$1:$BI$1,0))=0,"",INDEX(Raw_매출!$B$2:$BI$155,MATCH($A83,Raw_매출!$A$2:$A$155,0),MATCH(EDATE($E83,AS$1-1),Raw_매출!$B$1:$BI$1,0))/(INDEX(요약_월별시즈널리티!$F$7:$F$18,MONTH(EDATE($E83,AS$1-1)))/100))),"")</f>
        <v/>
      </c>
      <c r="AT83" t="str" cm="1">
        <f t="array" ref="AT83">IFERROR(IF($E83&lt;44348,"",IF(INDEX(Raw_매출!$B$2:$BI$155,MATCH($A83,Raw_매출!$A$2:$A$155,0),MATCH(EDATE($E83,AT$1-1),Raw_매출!$B$1:$BI$1,0))=0,"",INDEX(Raw_매출!$B$2:$BI$155,MATCH($A83,Raw_매출!$A$2:$A$155,0),MATCH(EDATE($E83,AT$1-1),Raw_매출!$B$1:$BI$1,0))/(INDEX(요약_월별시즈널리티!$F$7:$F$18,MONTH(EDATE($E83,AT$1-1)))/100))),"")</f>
        <v/>
      </c>
      <c r="AU83" t="str" cm="1">
        <f t="array" ref="AU83">IFERROR(IF($E83&lt;44348,"",IF(INDEX(Raw_매출!$B$2:$BI$155,MATCH($A83,Raw_매출!$A$2:$A$155,0),MATCH(EDATE($E83,AU$1-1),Raw_매출!$B$1:$BI$1,0))=0,"",INDEX(Raw_매출!$B$2:$BI$155,MATCH($A83,Raw_매출!$A$2:$A$155,0),MATCH(EDATE($E83,AU$1-1),Raw_매출!$B$1:$BI$1,0))/(INDEX(요약_월별시즈널리티!$F$7:$F$18,MONTH(EDATE($E83,AU$1-1)))/100))),"")</f>
        <v/>
      </c>
      <c r="AV83" t="str" cm="1">
        <f t="array" ref="AV83">IFERROR(IF($E83&lt;44348,"",IF(INDEX(Raw_매출!$B$2:$BI$155,MATCH($A83,Raw_매출!$A$2:$A$155,0),MATCH(EDATE($E83,AV$1-1),Raw_매출!$B$1:$BI$1,0))=0,"",INDEX(Raw_매출!$B$2:$BI$155,MATCH($A83,Raw_매출!$A$2:$A$155,0),MATCH(EDATE($E83,AV$1-1),Raw_매출!$B$1:$BI$1,0))/(INDEX(요약_월별시즈널리티!$F$7:$F$18,MONTH(EDATE($E83,AV$1-1)))/100))),"")</f>
        <v/>
      </c>
      <c r="AW83" t="str" cm="1">
        <f t="array" ref="AW83">IFERROR(IF($E83&lt;44348,"",IF(INDEX(Raw_매출!$B$2:$BI$155,MATCH($A83,Raw_매출!$A$2:$A$155,0),MATCH(EDATE($E83,AW$1-1),Raw_매출!$B$1:$BI$1,0))=0,"",INDEX(Raw_매출!$B$2:$BI$155,MATCH($A83,Raw_매출!$A$2:$A$155,0),MATCH(EDATE($E83,AW$1-1),Raw_매출!$B$1:$BI$1,0))/(INDEX(요약_월별시즈널리티!$F$7:$F$18,MONTH(EDATE($E83,AW$1-1)))/100))),"")</f>
        <v/>
      </c>
      <c r="AX83" t="str" cm="1">
        <f t="array" ref="AX83">IFERROR(IF($E83&lt;44348,"",IF(INDEX(Raw_매출!$B$2:$BI$155,MATCH($A83,Raw_매출!$A$2:$A$155,0),MATCH(EDATE($E83,AX$1-1),Raw_매출!$B$1:$BI$1,0))=0,"",INDEX(Raw_매출!$B$2:$BI$155,MATCH($A83,Raw_매출!$A$2:$A$155,0),MATCH(EDATE($E83,AX$1-1),Raw_매출!$B$1:$BI$1,0))/(INDEX(요약_월별시즈널리티!$F$7:$F$18,MONTH(EDATE($E83,AX$1-1)))/100))),"")</f>
        <v/>
      </c>
      <c r="AY83" t="str" cm="1">
        <f t="array" ref="AY83">IFERROR(IF($E83&lt;44348,"",IF(INDEX(Raw_매출!$B$2:$BI$155,MATCH($A83,Raw_매출!$A$2:$A$155,0),MATCH(EDATE($E83,AY$1-1),Raw_매출!$B$1:$BI$1,0))=0,"",INDEX(Raw_매출!$B$2:$BI$155,MATCH($A83,Raw_매출!$A$2:$A$155,0),MATCH(EDATE($E83,AY$1-1),Raw_매출!$B$1:$BI$1,0))/(INDEX(요약_월별시즈널리티!$F$7:$F$18,MONTH(EDATE($E83,AY$1-1)))/100))),"")</f>
        <v/>
      </c>
      <c r="AZ83" t="str" cm="1">
        <f t="array" ref="AZ83">IFERROR(IF($E83&lt;44348,"",IF(INDEX(Raw_매출!$B$2:$BI$155,MATCH($A83,Raw_매출!$A$2:$A$155,0),MATCH(EDATE($E83,AZ$1-1),Raw_매출!$B$1:$BI$1,0))=0,"",INDEX(Raw_매출!$B$2:$BI$155,MATCH($A83,Raw_매출!$A$2:$A$155,0),MATCH(EDATE($E83,AZ$1-1),Raw_매출!$B$1:$BI$1,0))/(INDEX(요약_월별시즈널리티!$F$7:$F$18,MONTH(EDATE($E83,AZ$1-1)))/100))),"")</f>
        <v/>
      </c>
      <c r="BA83" t="str" cm="1">
        <f t="array" ref="BA83">IFERROR(IF($E83&lt;44348,"",IF(INDEX(Raw_매출!$B$2:$BI$155,MATCH($A83,Raw_매출!$A$2:$A$155,0),MATCH(EDATE($E83,BA$1-1),Raw_매출!$B$1:$BI$1,0))=0,"",INDEX(Raw_매출!$B$2:$BI$155,MATCH($A83,Raw_매출!$A$2:$A$155,0),MATCH(EDATE($E83,BA$1-1),Raw_매출!$B$1:$BI$1,0))/(INDEX(요약_월별시즈널리티!$F$7:$F$18,MONTH(EDATE($E83,BA$1-1)))/100))),"")</f>
        <v/>
      </c>
      <c r="BB83" t="str" cm="1">
        <f t="array" ref="BB83">IFERROR(IF($E83&lt;44348,"",IF(INDEX(Raw_매출!$B$2:$BI$155,MATCH($A83,Raw_매출!$A$2:$A$155,0),MATCH(EDATE($E83,BB$1-1),Raw_매출!$B$1:$BI$1,0))=0,"",INDEX(Raw_매출!$B$2:$BI$155,MATCH($A83,Raw_매출!$A$2:$A$155,0),MATCH(EDATE($E83,BB$1-1),Raw_매출!$B$1:$BI$1,0))/(INDEX(요약_월별시즈널리티!$F$7:$F$18,MONTH(EDATE($E83,BB$1-1)))/100))),"")</f>
        <v/>
      </c>
      <c r="BC83" t="str" cm="1">
        <f t="array" ref="BC83">IFERROR(IF($E83&lt;44348,"",IF(INDEX(Raw_매출!$B$2:$BI$155,MATCH($A83,Raw_매출!$A$2:$A$155,0),MATCH(EDATE($E83,BC$1-1),Raw_매출!$B$1:$BI$1,0))=0,"",INDEX(Raw_매출!$B$2:$BI$155,MATCH($A83,Raw_매출!$A$2:$A$155,0),MATCH(EDATE($E83,BC$1-1),Raw_매출!$B$1:$BI$1,0))/(INDEX(요약_월별시즈널리티!$F$7:$F$18,MONTH(EDATE($E83,BC$1-1)))/100))),"")</f>
        <v/>
      </c>
      <c r="BD83" t="str" cm="1">
        <f t="array" ref="BD83">IFERROR(IF($E83&lt;44348,"",IF(INDEX(Raw_매출!$B$2:$BI$155,MATCH($A83,Raw_매출!$A$2:$A$155,0),MATCH(EDATE($E83,BD$1-1),Raw_매출!$B$1:$BI$1,0))=0,"",INDEX(Raw_매출!$B$2:$BI$155,MATCH($A83,Raw_매출!$A$2:$A$155,0),MATCH(EDATE($E83,BD$1-1),Raw_매출!$B$1:$BI$1,0))/(INDEX(요약_월별시즈널리티!$F$7:$F$18,MONTH(EDATE($E83,BD$1-1)))/100))),"")</f>
        <v/>
      </c>
      <c r="BE83" t="str" cm="1">
        <f t="array" ref="BE83">IFERROR(IF($E83&lt;44348,"",IF(INDEX(Raw_매출!$B$2:$BI$155,MATCH($A83,Raw_매출!$A$2:$A$155,0),MATCH(EDATE($E83,BE$1-1),Raw_매출!$B$1:$BI$1,0))=0,"",INDEX(Raw_매출!$B$2:$BI$155,MATCH($A83,Raw_매출!$A$2:$A$155,0),MATCH(EDATE($E83,BE$1-1),Raw_매출!$B$1:$BI$1,0))/(INDEX(요약_월별시즈널리티!$F$7:$F$18,MONTH(EDATE($E83,BE$1-1)))/100))),"")</f>
        <v/>
      </c>
      <c r="BF83" t="str" cm="1">
        <f t="array" ref="BF83">IFERROR(IF($E83&lt;44348,"",IF(INDEX(Raw_매출!$B$2:$BI$155,MATCH($A83,Raw_매출!$A$2:$A$155,0),MATCH(EDATE($E83,BF$1-1),Raw_매출!$B$1:$BI$1,0))=0,"",INDEX(Raw_매출!$B$2:$BI$155,MATCH($A83,Raw_매출!$A$2:$A$155,0),MATCH(EDATE($E83,BF$1-1),Raw_매출!$B$1:$BI$1,0))/(INDEX(요약_월별시즈널리티!$F$7:$F$18,MONTH(EDATE($E83,BF$1-1)))/100))),"")</f>
        <v/>
      </c>
      <c r="BG83" t="str" cm="1">
        <f t="array" ref="BG83">IFERROR(IF($E83&lt;44348,"",IF(INDEX(Raw_매출!$B$2:$BI$155,MATCH($A83,Raw_매출!$A$2:$A$155,0),MATCH(EDATE($E83,BG$1-1),Raw_매출!$B$1:$BI$1,0))=0,"",INDEX(Raw_매출!$B$2:$BI$155,MATCH($A83,Raw_매출!$A$2:$A$155,0),MATCH(EDATE($E83,BG$1-1),Raw_매출!$B$1:$BI$1,0))/(INDEX(요약_월별시즈널리티!$F$7:$F$18,MONTH(EDATE($E83,BG$1-1)))/100))),"")</f>
        <v/>
      </c>
      <c r="BH83" t="str" cm="1">
        <f t="array" ref="BH83">IFERROR(IF($E83&lt;44348,"",IF(INDEX(Raw_매출!$B$2:$BI$155,MATCH($A83,Raw_매출!$A$2:$A$155,0),MATCH(EDATE($E83,BH$1-1),Raw_매출!$B$1:$BI$1,0))=0,"",INDEX(Raw_매출!$B$2:$BI$155,MATCH($A83,Raw_매출!$A$2:$A$155,0),MATCH(EDATE($E83,BH$1-1),Raw_매출!$B$1:$BI$1,0))/(INDEX(요약_월별시즈널리티!$F$7:$F$18,MONTH(EDATE($E83,BH$1-1)))/100))),"")</f>
        <v/>
      </c>
      <c r="BI83" t="str" cm="1">
        <f t="array" ref="BI83">IFERROR(IF($E83&lt;44348,"",IF(INDEX(Raw_매출!$B$2:$BI$155,MATCH($A83,Raw_매출!$A$2:$A$155,0),MATCH(EDATE($E83,BI$1-1),Raw_매출!$B$1:$BI$1,0))=0,"",INDEX(Raw_매출!$B$2:$BI$155,MATCH($A83,Raw_매출!$A$2:$A$155,0),MATCH(EDATE($E83,BI$1-1),Raw_매출!$B$1:$BI$1,0))/(INDEX(요약_월별시즈널리티!$F$7:$F$18,MONTH(EDATE($E83,BI$1-1)))/100))),"")</f>
        <v/>
      </c>
      <c r="BJ83" t="str" cm="1">
        <f t="array" ref="BJ83">IFERROR(IF($E83&lt;44348,"",IF(INDEX(Raw_매출!$B$2:$BI$155,MATCH($A83,Raw_매출!$A$2:$A$155,0),MATCH(EDATE($E83,BJ$1-1),Raw_매출!$B$1:$BI$1,0))=0,"",INDEX(Raw_매출!$B$2:$BI$155,MATCH($A83,Raw_매출!$A$2:$A$155,0),MATCH(EDATE($E83,BJ$1-1),Raw_매출!$B$1:$BI$1,0))/(INDEX(요약_월별시즈널리티!$F$7:$F$18,MONTH(EDATE($E83,BJ$1-1)))/100))),"")</f>
        <v/>
      </c>
      <c r="BK83" t="str" cm="1">
        <f t="array" ref="BK83">IFERROR(IF($E83&lt;44348,"",IF(INDEX(Raw_매출!$B$2:$BI$155,MATCH($A83,Raw_매출!$A$2:$A$155,0),MATCH(EDATE($E83,BK$1-1),Raw_매출!$B$1:$BI$1,0))=0,"",INDEX(Raw_매출!$B$2:$BI$155,MATCH($A83,Raw_매출!$A$2:$A$155,0),MATCH(EDATE($E83,BK$1-1),Raw_매출!$B$1:$BI$1,0))/(INDEX(요약_월별시즈널리티!$F$7:$F$18,MONTH(EDATE($E83,BK$1-1)))/100))),"")</f>
        <v/>
      </c>
      <c r="BL83" t="str" cm="1">
        <f t="array" ref="BL83">IFERROR(IF($E83&lt;44348,"",IF(INDEX(Raw_매출!$B$2:$BI$155,MATCH($A83,Raw_매출!$A$2:$A$155,0),MATCH(EDATE($E83,BL$1-1),Raw_매출!$B$1:$BI$1,0))=0,"",INDEX(Raw_매출!$B$2:$BI$155,MATCH($A83,Raw_매출!$A$2:$A$155,0),MATCH(EDATE($E83,BL$1-1),Raw_매출!$B$1:$BI$1,0))/(INDEX(요약_월별시즈널리티!$F$7:$F$18,MONTH(EDATE($E83,BL$1-1)))/100))),"")</f>
        <v/>
      </c>
      <c r="BM83" t="str" cm="1">
        <f t="array" ref="BM83">IFERROR(IF($E83&lt;44348,"",IF(INDEX(Raw_매출!$B$2:$BI$155,MATCH($A83,Raw_매출!$A$2:$A$155,0),MATCH(EDATE($E83,BM$1-1),Raw_매출!$B$1:$BI$1,0))=0,"",INDEX(Raw_매출!$B$2:$BI$155,MATCH($A83,Raw_매출!$A$2:$A$155,0),MATCH(EDATE($E83,BM$1-1),Raw_매출!$B$1:$BI$1,0))/(INDEX(요약_월별시즈널리티!$F$7:$F$18,MONTH(EDATE($E83,BM$1-1)))/100))),"")</f>
        <v/>
      </c>
      <c r="BN83" t="str" cm="1">
        <f t="array" ref="BN83">IFERROR(IF($E83&lt;44348,"",IF(INDEX(Raw_매출!$B$2:$BI$155,MATCH($A83,Raw_매출!$A$2:$A$155,0),MATCH(EDATE($E83,BN$1-1),Raw_매출!$B$1:$BI$1,0))=0,"",INDEX(Raw_매출!$B$2:$BI$155,MATCH($A83,Raw_매출!$A$2:$A$155,0),MATCH(EDATE($E83,BN$1-1),Raw_매출!$B$1:$BI$1,0))/(INDEX(요약_월별시즈널리티!$F$7:$F$18,MONTH(EDATE($E83,BN$1-1)))/100))),"")</f>
        <v/>
      </c>
    </row>
    <row r="84" spans="1:66" x14ac:dyDescent="0.4">
      <c r="A84" t="str">
        <f>세팅!A85</f>
        <v>(1073) #고대후문점</v>
      </c>
      <c r="B84" t="str">
        <f>세팅!B85</f>
        <v>150-0</v>
      </c>
      <c r="C84">
        <f t="shared" si="3"/>
        <v>0</v>
      </c>
      <c r="D84" t="str">
        <f t="shared" si="4"/>
        <v>0</v>
      </c>
      <c r="E84" s="1">
        <f>세팅!D85</f>
        <v>45047</v>
      </c>
      <c r="F84">
        <f t="shared" si="5"/>
        <v>7861525.2935143588</v>
      </c>
      <c r="G84" cm="1">
        <f t="array" ref="G84">IFERROR(IF($E84&lt;44348,"",IF(INDEX(Raw_매출!$B$2:$BI$155,MATCH($A84,Raw_매출!$A$2:$A$155,0),MATCH(EDATE($E84,G$1-1),Raw_매출!$B$1:$BI$1,0))=0,"",INDEX(Raw_매출!$B$2:$BI$155,MATCH($A84,Raw_매출!$A$2:$A$155,0),MATCH(EDATE($E84,G$1-1),Raw_매출!$B$1:$BI$1,0))/(INDEX(요약_월별시즈널리티!$F$7:$F$18,MONTH(EDATE($E84,G$1-1)))/100))),"")</f>
        <v>4800404.1154219368</v>
      </c>
      <c r="H84" cm="1">
        <f t="array" ref="H84">IFERROR(IF($E84&lt;44348,"",IF(INDEX(Raw_매출!$B$2:$BI$155,MATCH($A84,Raw_매출!$A$2:$A$155,0),MATCH(EDATE($E84,H$1-1),Raw_매출!$B$1:$BI$1,0))=0,"",INDEX(Raw_매출!$B$2:$BI$155,MATCH($A84,Raw_매출!$A$2:$A$155,0),MATCH(EDATE($E84,H$1-1),Raw_매출!$B$1:$BI$1,0))/(INDEX(요약_월별시즈널리티!$F$7:$F$18,MONTH(EDATE($E84,H$1-1)))/100))),"")</f>
        <v>5223316.940162628</v>
      </c>
      <c r="I84" cm="1">
        <f t="array" ref="I84">IFERROR(IF($E84&lt;44348,"",IF(INDEX(Raw_매출!$B$2:$BI$155,MATCH($A84,Raw_매출!$A$2:$A$155,0),MATCH(EDATE($E84,I$1-1),Raw_매출!$B$1:$BI$1,0))=0,"",INDEX(Raw_매출!$B$2:$BI$155,MATCH($A84,Raw_매출!$A$2:$A$155,0),MATCH(EDATE($E84,I$1-1),Raw_매출!$B$1:$BI$1,0))/(INDEX(요약_월별시즈널리티!$F$7:$F$18,MONTH(EDATE($E84,I$1-1)))/100))),"")</f>
        <v>7873143.2365525095</v>
      </c>
      <c r="J84" s="30" cm="1">
        <f t="array" ref="J84">IFERROR(IF($E84&lt;44348,"",IF(INDEX(Raw_매출!$B$2:$BI$155,MATCH($A84,Raw_매출!$A$2:$A$155,0),MATCH(EDATE($E84,J$1-1),Raw_매출!$B$1:$BI$1,0))=0,"",INDEX(Raw_매출!$B$2:$BI$155,MATCH($A84,Raw_매출!$A$2:$A$155,0),MATCH(EDATE($E84,J$1-1),Raw_매출!$B$1:$BI$1,0))/(INDEX(요약_월별시즈널리티!$F$7:$F$18,MONTH(EDATE($E84,J$1-1)))/100))),"")</f>
        <v>7314404.5088503994</v>
      </c>
      <c r="K84" s="30" cm="1">
        <f t="array" ref="K84">IFERROR(IF($E84&lt;44348,"",IF(INDEX(Raw_매출!$B$2:$BI$155,MATCH($A84,Raw_매출!$A$2:$A$155,0),MATCH(EDATE($E84,K$1-1),Raw_매출!$B$1:$BI$1,0))=0,"",INDEX(Raw_매출!$B$2:$BI$155,MATCH($A84,Raw_매출!$A$2:$A$155,0),MATCH(EDATE($E84,K$1-1),Raw_매출!$B$1:$BI$1,0))/(INDEX(요약_월별시즈널리티!$F$7:$F$18,MONTH(EDATE($E84,K$1-1)))/100))),"")</f>
        <v>8197369.6281986618</v>
      </c>
      <c r="L84" s="30" cm="1">
        <f t="array" ref="L84">IFERROR(IF($E84&lt;44348,"",IF(INDEX(Raw_매출!$B$2:$BI$155,MATCH($A84,Raw_매출!$A$2:$A$155,0),MATCH(EDATE($E84,L$1-1),Raw_매출!$B$1:$BI$1,0))=0,"",INDEX(Raw_매출!$B$2:$BI$155,MATCH($A84,Raw_매출!$A$2:$A$155,0),MATCH(EDATE($E84,L$1-1),Raw_매출!$B$1:$BI$1,0))/(INDEX(요약_월별시즈널리티!$F$7:$F$18,MONTH(EDATE($E84,L$1-1)))/100))),"")</f>
        <v>7406490.1886848351</v>
      </c>
      <c r="M84" s="30" cm="1">
        <f t="array" ref="M84">IFERROR(IF($E84&lt;44348,"",IF(INDEX(Raw_매출!$B$2:$BI$155,MATCH($A84,Raw_매출!$A$2:$A$155,0),MATCH(EDATE($E84,M$1-1),Raw_매출!$B$1:$BI$1,0))=0,"",INDEX(Raw_매출!$B$2:$BI$155,MATCH($A84,Raw_매출!$A$2:$A$155,0),MATCH(EDATE($E84,M$1-1),Raw_매출!$B$1:$BI$1,0))/(INDEX(요약_월별시즈널리티!$F$7:$F$18,MONTH(EDATE($E84,M$1-1)))/100))),"")</f>
        <v>8063391.7788976682</v>
      </c>
      <c r="N84" s="30" cm="1">
        <f t="array" ref="N84">IFERROR(IF($E84&lt;44348,"",IF(INDEX(Raw_매출!$B$2:$BI$155,MATCH($A84,Raw_매출!$A$2:$A$155,0),MATCH(EDATE($E84,N$1-1),Raw_매출!$B$1:$BI$1,0))=0,"",INDEX(Raw_매출!$B$2:$BI$155,MATCH($A84,Raw_매출!$A$2:$A$155,0),MATCH(EDATE($E84,N$1-1),Raw_매출!$B$1:$BI$1,0))/(INDEX(요약_월별시즈널리티!$F$7:$F$18,MONTH(EDATE($E84,N$1-1)))/100))),"")</f>
        <v>7865784.5212073419</v>
      </c>
      <c r="O84" s="30" cm="1">
        <f t="array" ref="O84">IFERROR(IF($E84&lt;44348,"",IF(INDEX(Raw_매출!$B$2:$BI$155,MATCH($A84,Raw_매출!$A$2:$A$155,0),MATCH(EDATE($E84,O$1-1),Raw_매출!$B$1:$BI$1,0))=0,"",INDEX(Raw_매출!$B$2:$BI$155,MATCH($A84,Raw_매출!$A$2:$A$155,0),MATCH(EDATE($E84,O$1-1),Raw_매출!$B$1:$BI$1,0))/(INDEX(요약_월별시즈널리티!$F$7:$F$18,MONTH(EDATE($E84,O$1-1)))/100))),"")</f>
        <v>8321711.1352472482</v>
      </c>
      <c r="P84" cm="1">
        <f t="array" ref="P84">IFERROR(IF($E84&lt;44348,"",IF(INDEX(Raw_매출!$B$2:$BI$155,MATCH($A84,Raw_매출!$A$2:$A$155,0),MATCH(EDATE($E84,P$1-1),Raw_매출!$B$1:$BI$1,0))=0,"",INDEX(Raw_매출!$B$2:$BI$155,MATCH($A84,Raw_매출!$A$2:$A$155,0),MATCH(EDATE($E84,P$1-1),Raw_매출!$B$1:$BI$1,0))/(INDEX(요약_월별시즈널리티!$F$7:$F$18,MONTH(EDATE($E84,P$1-1)))/100))),"")</f>
        <v>8137051.7596818628</v>
      </c>
      <c r="Q84" cm="1">
        <f t="array" ref="Q84">IFERROR(IF($E84&lt;44348,"",IF(INDEX(Raw_매출!$B$2:$BI$155,MATCH($A84,Raw_매출!$A$2:$A$155,0),MATCH(EDATE($E84,Q$1-1),Raw_매출!$B$1:$BI$1,0))=0,"",INDEX(Raw_매출!$B$2:$BI$155,MATCH($A84,Raw_매출!$A$2:$A$155,0),MATCH(EDATE($E84,Q$1-1),Raw_매출!$B$1:$BI$1,0))/(INDEX(요약_월별시즈널리티!$F$7:$F$18,MONTH(EDATE($E84,Q$1-1)))/100))),"")</f>
        <v>9863252.1666765194</v>
      </c>
      <c r="R84" cm="1">
        <f t="array" ref="R84">IFERROR(IF($E84&lt;44348,"",IF(INDEX(Raw_매출!$B$2:$BI$155,MATCH($A84,Raw_매출!$A$2:$A$155,0),MATCH(EDATE($E84,R$1-1),Raw_매출!$B$1:$BI$1,0))=0,"",INDEX(Raw_매출!$B$2:$BI$155,MATCH($A84,Raw_매출!$A$2:$A$155,0),MATCH(EDATE($E84,R$1-1),Raw_매출!$B$1:$BI$1,0))/(INDEX(요약_월별시즈널리티!$F$7:$F$18,MONTH(EDATE($E84,R$1-1)))/100))),"")</f>
        <v>9807822.1198227517</v>
      </c>
      <c r="S84" cm="1">
        <f t="array" ref="S84">IFERROR(IF($E84&lt;44348,"",IF(INDEX(Raw_매출!$B$2:$BI$155,MATCH($A84,Raw_매출!$A$2:$A$155,0),MATCH(EDATE($E84,S$1-1),Raw_매출!$B$1:$BI$1,0))=0,"",INDEX(Raw_매출!$B$2:$BI$155,MATCH($A84,Raw_매출!$A$2:$A$155,0),MATCH(EDATE($E84,S$1-1),Raw_매출!$B$1:$BI$1,0))/(INDEX(요약_월별시즈널리티!$F$7:$F$18,MONTH(EDATE($E84,S$1-1)))/100))),"")</f>
        <v>9682285.3827266134</v>
      </c>
      <c r="T84" cm="1">
        <f t="array" ref="T84">IFERROR(IF($E84&lt;44348,"",IF(INDEX(Raw_매출!$B$2:$BI$155,MATCH($A84,Raw_매출!$A$2:$A$155,0),MATCH(EDATE($E84,T$1-1),Raw_매출!$B$1:$BI$1,0))=0,"",INDEX(Raw_매출!$B$2:$BI$155,MATCH($A84,Raw_매출!$A$2:$A$155,0),MATCH(EDATE($E84,T$1-1),Raw_매출!$B$1:$BI$1,0))/(INDEX(요약_월별시즈널리티!$F$7:$F$18,MONTH(EDATE($E84,T$1-1)))/100))),"")</f>
        <v>9611791.6290863045</v>
      </c>
      <c r="U84" cm="1">
        <f t="array" ref="U84">IFERROR(IF($E84&lt;44348,"",IF(INDEX(Raw_매출!$B$2:$BI$155,MATCH($A84,Raw_매출!$A$2:$A$155,0),MATCH(EDATE($E84,U$1-1),Raw_매출!$B$1:$BI$1,0))=0,"",INDEX(Raw_매출!$B$2:$BI$155,MATCH($A84,Raw_매출!$A$2:$A$155,0),MATCH(EDATE($E84,U$1-1),Raw_매출!$B$1:$BI$1,0))/(INDEX(요약_월별시즈널리티!$F$7:$F$18,MONTH(EDATE($E84,U$1-1)))/100))),"")</f>
        <v>9660814.3728739396</v>
      </c>
      <c r="V84" cm="1">
        <f t="array" ref="V84">IFERROR(IF($E84&lt;44348,"",IF(INDEX(Raw_매출!$B$2:$BI$155,MATCH($A84,Raw_매출!$A$2:$A$155,0),MATCH(EDATE($E84,V$1-1),Raw_매출!$B$1:$BI$1,0))=0,"",INDEX(Raw_매출!$B$2:$BI$155,MATCH($A84,Raw_매출!$A$2:$A$155,0),MATCH(EDATE($E84,V$1-1),Raw_매출!$B$1:$BI$1,0))/(INDEX(요약_월별시즈널리티!$F$7:$F$18,MONTH(EDATE($E84,V$1-1)))/100))),"")</f>
        <v>10163347.42580846</v>
      </c>
      <c r="W84" cm="1">
        <f t="array" ref="W84">IFERROR(IF($E84&lt;44348,"",IF(INDEX(Raw_매출!$B$2:$BI$155,MATCH($A84,Raw_매출!$A$2:$A$155,0),MATCH(EDATE($E84,W$1-1),Raw_매출!$B$1:$BI$1,0))=0,"",INDEX(Raw_매출!$B$2:$BI$155,MATCH($A84,Raw_매출!$A$2:$A$155,0),MATCH(EDATE($E84,W$1-1),Raw_매출!$B$1:$BI$1,0))/(INDEX(요약_월별시즈널리티!$F$7:$F$18,MONTH(EDATE($E84,W$1-1)))/100))),"")</f>
        <v>10713959.607141357</v>
      </c>
      <c r="X84" cm="1">
        <f t="array" ref="X84">IFERROR(IF($E84&lt;44348,"",IF(INDEX(Raw_매출!$B$2:$BI$155,MATCH($A84,Raw_매출!$A$2:$A$155,0),MATCH(EDATE($E84,X$1-1),Raw_매출!$B$1:$BI$1,0))=0,"",INDEX(Raw_매출!$B$2:$BI$155,MATCH($A84,Raw_매출!$A$2:$A$155,0),MATCH(EDATE($E84,X$1-1),Raw_매출!$B$1:$BI$1,0))/(INDEX(요약_월별시즈널리티!$F$7:$F$18,MONTH(EDATE($E84,X$1-1)))/100))),"")</f>
        <v>9387534.9124230221</v>
      </c>
      <c r="Y84" cm="1">
        <f t="array" ref="Y84">IFERROR(IF($E84&lt;44348,"",IF(INDEX(Raw_매출!$B$2:$BI$155,MATCH($A84,Raw_매출!$A$2:$A$155,0),MATCH(EDATE($E84,Y$1-1),Raw_매출!$B$1:$BI$1,0))=0,"",INDEX(Raw_매출!$B$2:$BI$155,MATCH($A84,Raw_매출!$A$2:$A$155,0),MATCH(EDATE($E84,Y$1-1),Raw_매출!$B$1:$BI$1,0))/(INDEX(요약_월별시즈널리티!$F$7:$F$18,MONTH(EDATE($E84,Y$1-1)))/100))),"")</f>
        <v>9197693.4490929283</v>
      </c>
      <c r="Z84" cm="1">
        <f t="array" ref="Z84">IFERROR(IF($E84&lt;44348,"",IF(INDEX(Raw_매출!$B$2:$BI$155,MATCH($A84,Raw_매출!$A$2:$A$155,0),MATCH(EDATE($E84,Z$1-1),Raw_매출!$B$1:$BI$1,0))=0,"",INDEX(Raw_매출!$B$2:$BI$155,MATCH($A84,Raw_매출!$A$2:$A$155,0),MATCH(EDATE($E84,Z$1-1),Raw_매출!$B$1:$BI$1,0))/(INDEX(요약_월별시즈널리티!$F$7:$F$18,MONTH(EDATE($E84,Z$1-1)))/100))),"")</f>
        <v>8747632.7357754782</v>
      </c>
      <c r="AA84" cm="1">
        <f t="array" ref="AA84">IFERROR(IF($E84&lt;44348,"",IF(INDEX(Raw_매출!$B$2:$BI$155,MATCH($A84,Raw_매출!$A$2:$A$155,0),MATCH(EDATE($E84,AA$1-1),Raw_매출!$B$1:$BI$1,0))=0,"",INDEX(Raw_매출!$B$2:$BI$155,MATCH($A84,Raw_매출!$A$2:$A$155,0),MATCH(EDATE($E84,AA$1-1),Raw_매출!$B$1:$BI$1,0))/(INDEX(요약_월별시즈널리티!$F$7:$F$18,MONTH(EDATE($E84,AA$1-1)))/100))),"")</f>
        <v>7645200.251369779</v>
      </c>
      <c r="AB84" cm="1">
        <f t="array" ref="AB84">IFERROR(IF($E84&lt;44348,"",IF(INDEX(Raw_매출!$B$2:$BI$155,MATCH($A84,Raw_매출!$A$2:$A$155,0),MATCH(EDATE($E84,AB$1-1),Raw_매출!$B$1:$BI$1,0))=0,"",INDEX(Raw_매출!$B$2:$BI$155,MATCH($A84,Raw_매출!$A$2:$A$155,0),MATCH(EDATE($E84,AB$1-1),Raw_매출!$B$1:$BI$1,0))/(INDEX(요약_월별시즈널리티!$F$7:$F$18,MONTH(EDATE($E84,AB$1-1)))/100))),"")</f>
        <v>9442626.5960791577</v>
      </c>
      <c r="AC84" cm="1">
        <f t="array" ref="AC84">IFERROR(IF($E84&lt;44348,"",IF(INDEX(Raw_매출!$B$2:$BI$155,MATCH($A84,Raw_매출!$A$2:$A$155,0),MATCH(EDATE($E84,AC$1-1),Raw_매출!$B$1:$BI$1,0))=0,"",INDEX(Raw_매출!$B$2:$BI$155,MATCH($A84,Raw_매출!$A$2:$A$155,0),MATCH(EDATE($E84,AC$1-1),Raw_매출!$B$1:$BI$1,0))/(INDEX(요약_월별시즈널리티!$F$7:$F$18,MONTH(EDATE($E84,AC$1-1)))/100))),"")</f>
        <v>9915592.5621154215</v>
      </c>
      <c r="AD84" cm="1">
        <f t="array" ref="AD84">IFERROR(IF($E84&lt;44348,"",IF(INDEX(Raw_매출!$B$2:$BI$155,MATCH($A84,Raw_매출!$A$2:$A$155,0),MATCH(EDATE($E84,AD$1-1),Raw_매출!$B$1:$BI$1,0))=0,"",INDEX(Raw_매출!$B$2:$BI$155,MATCH($A84,Raw_매출!$A$2:$A$155,0),MATCH(EDATE($E84,AD$1-1),Raw_매출!$B$1:$BI$1,0))/(INDEX(요약_월별시즈널리티!$F$7:$F$18,MONTH(EDATE($E84,AD$1-1)))/100))),"")</f>
        <v>9753345.3878485542</v>
      </c>
      <c r="AE84" cm="1">
        <f t="array" ref="AE84">IFERROR(IF($E84&lt;44348,"",IF(INDEX(Raw_매출!$B$2:$BI$155,MATCH($A84,Raw_매출!$A$2:$A$155,0),MATCH(EDATE($E84,AE$1-1),Raw_매출!$B$1:$BI$1,0))=0,"",INDEX(Raw_매출!$B$2:$BI$155,MATCH($A84,Raw_매출!$A$2:$A$155,0),MATCH(EDATE($E84,AE$1-1),Raw_매출!$B$1:$BI$1,0))/(INDEX(요약_월별시즈널리티!$F$7:$F$18,MONTH(EDATE($E84,AE$1-1)))/100))),"")</f>
        <v>11515459.610922595</v>
      </c>
      <c r="AF84" cm="1">
        <f t="array" ref="AF84">IFERROR(IF($E84&lt;44348,"",IF(INDEX(Raw_매출!$B$2:$BI$155,MATCH($A84,Raw_매출!$A$2:$A$155,0),MATCH(EDATE($E84,AF$1-1),Raw_매출!$B$1:$BI$1,0))=0,"",INDEX(Raw_매출!$B$2:$BI$155,MATCH($A84,Raw_매출!$A$2:$A$155,0),MATCH(EDATE($E84,AF$1-1),Raw_매출!$B$1:$BI$1,0))/(INDEX(요약_월별시즈널리티!$F$7:$F$18,MONTH(EDATE($E84,AF$1-1)))/100))),"")</f>
        <v>11731543.170479869</v>
      </c>
      <c r="AG84" cm="1">
        <f t="array" ref="AG84">IFERROR(IF($E84&lt;44348,"",IF(INDEX(Raw_매출!$B$2:$BI$155,MATCH($A84,Raw_매출!$A$2:$A$155,0),MATCH(EDATE($E84,AG$1-1),Raw_매출!$B$1:$BI$1,0))=0,"",INDEX(Raw_매출!$B$2:$BI$155,MATCH($A84,Raw_매출!$A$2:$A$155,0),MATCH(EDATE($E84,AG$1-1),Raw_매출!$B$1:$BI$1,0))/(INDEX(요약_월별시즈널리티!$F$7:$F$18,MONTH(EDATE($E84,AG$1-1)))/100))),"")</f>
        <v>9862068.402558405</v>
      </c>
      <c r="AH84" cm="1">
        <f t="array" ref="AH84">IFERROR(IF($E84&lt;44348,"",IF(INDEX(Raw_매출!$B$2:$BI$155,MATCH($A84,Raw_매출!$A$2:$A$155,0),MATCH(EDATE($E84,AH$1-1),Raw_매출!$B$1:$BI$1,0))=0,"",INDEX(Raw_매출!$B$2:$BI$155,MATCH($A84,Raw_매출!$A$2:$A$155,0),MATCH(EDATE($E84,AH$1-1),Raw_매출!$B$1:$BI$1,0))/(INDEX(요약_월별시즈널리티!$F$7:$F$18,MONTH(EDATE($E84,AH$1-1)))/100))),"")</f>
        <v>11106066.763631891</v>
      </c>
      <c r="AI84" cm="1">
        <f t="array" ref="AI84">IFERROR(IF($E84&lt;44348,"",IF(INDEX(Raw_매출!$B$2:$BI$155,MATCH($A84,Raw_매출!$A$2:$A$155,0),MATCH(EDATE($E84,AI$1-1),Raw_매출!$B$1:$BI$1,0))=0,"",INDEX(Raw_매출!$B$2:$BI$155,MATCH($A84,Raw_매출!$A$2:$A$155,0),MATCH(EDATE($E84,AI$1-1),Raw_매출!$B$1:$BI$1,0))/(INDEX(요약_월별시즈널리티!$F$7:$F$18,MONTH(EDATE($E84,AI$1-1)))/100))),"")</f>
        <v>12000050.246536892</v>
      </c>
      <c r="AJ84" cm="1">
        <f t="array" ref="AJ84">IFERROR(IF($E84&lt;44348,"",IF(INDEX(Raw_매출!$B$2:$BI$155,MATCH($A84,Raw_매출!$A$2:$A$155,0),MATCH(EDATE($E84,AJ$1-1),Raw_매출!$B$1:$BI$1,0))=0,"",INDEX(Raw_매출!$B$2:$BI$155,MATCH($A84,Raw_매출!$A$2:$A$155,0),MATCH(EDATE($E84,AJ$1-1),Raw_매출!$B$1:$BI$1,0))/(INDEX(요약_월별시즈널리티!$F$7:$F$18,MONTH(EDATE($E84,AJ$1-1)))/100))),"")</f>
        <v>10771821.467387214</v>
      </c>
      <c r="AK84" cm="1">
        <f t="array" ref="AK84">IFERROR(IF($E84&lt;44348,"",IF(INDEX(Raw_매출!$B$2:$BI$155,MATCH($A84,Raw_매출!$A$2:$A$155,0),MATCH(EDATE($E84,AK$1-1),Raw_매출!$B$1:$BI$1,0))=0,"",INDEX(Raw_매출!$B$2:$BI$155,MATCH($A84,Raw_매출!$A$2:$A$155,0),MATCH(EDATE($E84,AK$1-1),Raw_매출!$B$1:$BI$1,0))/(INDEX(요약_월별시즈널리티!$F$7:$F$18,MONTH(EDATE($E84,AK$1-1)))/100))),"")</f>
        <v>10629749.908026516</v>
      </c>
      <c r="AL84" cm="1">
        <f t="array" ref="AL84">IFERROR(IF($E84&lt;44348,"",IF(INDEX(Raw_매출!$B$2:$BI$155,MATCH($A84,Raw_매출!$A$2:$A$155,0),MATCH(EDATE($E84,AL$1-1),Raw_매출!$B$1:$BI$1,0))=0,"",INDEX(Raw_매출!$B$2:$BI$155,MATCH($A84,Raw_매출!$A$2:$A$155,0),MATCH(EDATE($E84,AL$1-1),Raw_매출!$B$1:$BI$1,0))/(INDEX(요약_월별시즈널리티!$F$7:$F$18,MONTH(EDATE($E84,AL$1-1)))/100))),"")</f>
        <v>10481696.479058478</v>
      </c>
      <c r="AM84" cm="1">
        <f t="array" ref="AM84">IFERROR(IF($E84&lt;44348,"",IF(INDEX(Raw_매출!$B$2:$BI$155,MATCH($A84,Raw_매출!$A$2:$A$155,0),MATCH(EDATE($E84,AM$1-1),Raw_매출!$B$1:$BI$1,0))=0,"",INDEX(Raw_매출!$B$2:$BI$155,MATCH($A84,Raw_매출!$A$2:$A$155,0),MATCH(EDATE($E84,AM$1-1),Raw_매출!$B$1:$BI$1,0))/(INDEX(요약_월별시즈널리티!$F$7:$F$18,MONTH(EDATE($E84,AM$1-1)))/100))),"")</f>
        <v>9551356.4235057682</v>
      </c>
      <c r="AN84" cm="1">
        <f t="array" ref="AN84">IFERROR(IF($E84&lt;44348,"",IF(INDEX(Raw_매출!$B$2:$BI$155,MATCH($A84,Raw_매출!$A$2:$A$155,0),MATCH(EDATE($E84,AN$1-1),Raw_매출!$B$1:$BI$1,0))=0,"",INDEX(Raw_매출!$B$2:$BI$155,MATCH($A84,Raw_매출!$A$2:$A$155,0),MATCH(EDATE($E84,AN$1-1),Raw_매출!$B$1:$BI$1,0))/(INDEX(요약_월별시즈널리티!$F$7:$F$18,MONTH(EDATE($E84,AN$1-1)))/100))),"")</f>
        <v>9920525.0729149636</v>
      </c>
      <c r="AO84" cm="1">
        <f t="array" ref="AO84">IFERROR(IF($E84&lt;44348,"",IF(INDEX(Raw_매출!$B$2:$BI$155,MATCH($A84,Raw_매출!$A$2:$A$155,0),MATCH(EDATE($E84,AO$1-1),Raw_매출!$B$1:$BI$1,0))=0,"",INDEX(Raw_매출!$B$2:$BI$155,MATCH($A84,Raw_매출!$A$2:$A$155,0),MATCH(EDATE($E84,AO$1-1),Raw_매출!$B$1:$BI$1,0))/(INDEX(요약_월별시즈널리티!$F$7:$F$18,MONTH(EDATE($E84,AO$1-1)))/100))),"")</f>
        <v>11076981.273649426</v>
      </c>
      <c r="AP84" cm="1">
        <f t="array" ref="AP84">IFERROR(IF($E84&lt;44348,"",IF(INDEX(Raw_매출!$B$2:$BI$155,MATCH($A84,Raw_매출!$A$2:$A$155,0),MATCH(EDATE($E84,AP$1-1),Raw_매출!$B$1:$BI$1,0))=0,"",INDEX(Raw_매출!$B$2:$BI$155,MATCH($A84,Raw_매출!$A$2:$A$155,0),MATCH(EDATE($E84,AP$1-1),Raw_매출!$B$1:$BI$1,0))/(INDEX(요약_월별시즈널리티!$F$7:$F$18,MONTH(EDATE($E84,AP$1-1)))/100))),"")</f>
        <v>11564362.528804779</v>
      </c>
      <c r="AQ84" cm="1">
        <f t="array" ref="AQ84">IFERROR(IF($E84&lt;44348,"",IF(INDEX(Raw_매출!$B$2:$BI$155,MATCH($A84,Raw_매출!$A$2:$A$155,0),MATCH(EDATE($E84,AQ$1-1),Raw_매출!$B$1:$BI$1,0))=0,"",INDEX(Raw_매출!$B$2:$BI$155,MATCH($A84,Raw_매출!$A$2:$A$155,0),MATCH(EDATE($E84,AQ$1-1),Raw_매출!$B$1:$BI$1,0))/(INDEX(요약_월별시즈널리티!$F$7:$F$18,MONTH(EDATE($E84,AQ$1-1)))/100))),"")</f>
        <v>12677977.701926518</v>
      </c>
      <c r="AR84" t="str" cm="1">
        <f t="array" ref="AR84">IFERROR(IF($E84&lt;44348,"",IF(INDEX(Raw_매출!$B$2:$BI$155,MATCH($A84,Raw_매출!$A$2:$A$155,0),MATCH(EDATE($E84,AR$1-1),Raw_매출!$B$1:$BI$1,0))=0,"",INDEX(Raw_매출!$B$2:$BI$155,MATCH($A84,Raw_매출!$A$2:$A$155,0),MATCH(EDATE($E84,AR$1-1),Raw_매출!$B$1:$BI$1,0))/(INDEX(요약_월별시즈널리티!$F$7:$F$18,MONTH(EDATE($E84,AR$1-1)))/100))),"")</f>
        <v/>
      </c>
      <c r="AS84" t="str" cm="1">
        <f t="array" ref="AS84">IFERROR(IF($E84&lt;44348,"",IF(INDEX(Raw_매출!$B$2:$BI$155,MATCH($A84,Raw_매출!$A$2:$A$155,0),MATCH(EDATE($E84,AS$1-1),Raw_매출!$B$1:$BI$1,0))=0,"",INDEX(Raw_매출!$B$2:$BI$155,MATCH($A84,Raw_매출!$A$2:$A$155,0),MATCH(EDATE($E84,AS$1-1),Raw_매출!$B$1:$BI$1,0))/(INDEX(요약_월별시즈널리티!$F$7:$F$18,MONTH(EDATE($E84,AS$1-1)))/100))),"")</f>
        <v/>
      </c>
      <c r="AT84" t="str" cm="1">
        <f t="array" ref="AT84">IFERROR(IF($E84&lt;44348,"",IF(INDEX(Raw_매출!$B$2:$BI$155,MATCH($A84,Raw_매출!$A$2:$A$155,0),MATCH(EDATE($E84,AT$1-1),Raw_매출!$B$1:$BI$1,0))=0,"",INDEX(Raw_매출!$B$2:$BI$155,MATCH($A84,Raw_매출!$A$2:$A$155,0),MATCH(EDATE($E84,AT$1-1),Raw_매출!$B$1:$BI$1,0))/(INDEX(요약_월별시즈널리티!$F$7:$F$18,MONTH(EDATE($E84,AT$1-1)))/100))),"")</f>
        <v/>
      </c>
      <c r="AU84" t="str" cm="1">
        <f t="array" ref="AU84">IFERROR(IF($E84&lt;44348,"",IF(INDEX(Raw_매출!$B$2:$BI$155,MATCH($A84,Raw_매출!$A$2:$A$155,0),MATCH(EDATE($E84,AU$1-1),Raw_매출!$B$1:$BI$1,0))=0,"",INDEX(Raw_매출!$B$2:$BI$155,MATCH($A84,Raw_매출!$A$2:$A$155,0),MATCH(EDATE($E84,AU$1-1),Raw_매출!$B$1:$BI$1,0))/(INDEX(요약_월별시즈널리티!$F$7:$F$18,MONTH(EDATE($E84,AU$1-1)))/100))),"")</f>
        <v/>
      </c>
      <c r="AV84" t="str" cm="1">
        <f t="array" ref="AV84">IFERROR(IF($E84&lt;44348,"",IF(INDEX(Raw_매출!$B$2:$BI$155,MATCH($A84,Raw_매출!$A$2:$A$155,0),MATCH(EDATE($E84,AV$1-1),Raw_매출!$B$1:$BI$1,0))=0,"",INDEX(Raw_매출!$B$2:$BI$155,MATCH($A84,Raw_매출!$A$2:$A$155,0),MATCH(EDATE($E84,AV$1-1),Raw_매출!$B$1:$BI$1,0))/(INDEX(요약_월별시즈널리티!$F$7:$F$18,MONTH(EDATE($E84,AV$1-1)))/100))),"")</f>
        <v/>
      </c>
      <c r="AW84" t="str" cm="1">
        <f t="array" ref="AW84">IFERROR(IF($E84&lt;44348,"",IF(INDEX(Raw_매출!$B$2:$BI$155,MATCH($A84,Raw_매출!$A$2:$A$155,0),MATCH(EDATE($E84,AW$1-1),Raw_매출!$B$1:$BI$1,0))=0,"",INDEX(Raw_매출!$B$2:$BI$155,MATCH($A84,Raw_매출!$A$2:$A$155,0),MATCH(EDATE($E84,AW$1-1),Raw_매출!$B$1:$BI$1,0))/(INDEX(요약_월별시즈널리티!$F$7:$F$18,MONTH(EDATE($E84,AW$1-1)))/100))),"")</f>
        <v/>
      </c>
      <c r="AX84" t="str" cm="1">
        <f t="array" ref="AX84">IFERROR(IF($E84&lt;44348,"",IF(INDEX(Raw_매출!$B$2:$BI$155,MATCH($A84,Raw_매출!$A$2:$A$155,0),MATCH(EDATE($E84,AX$1-1),Raw_매출!$B$1:$BI$1,0))=0,"",INDEX(Raw_매출!$B$2:$BI$155,MATCH($A84,Raw_매출!$A$2:$A$155,0),MATCH(EDATE($E84,AX$1-1),Raw_매출!$B$1:$BI$1,0))/(INDEX(요약_월별시즈널리티!$F$7:$F$18,MONTH(EDATE($E84,AX$1-1)))/100))),"")</f>
        <v/>
      </c>
      <c r="AY84" t="str" cm="1">
        <f t="array" ref="AY84">IFERROR(IF($E84&lt;44348,"",IF(INDEX(Raw_매출!$B$2:$BI$155,MATCH($A84,Raw_매출!$A$2:$A$155,0),MATCH(EDATE($E84,AY$1-1),Raw_매출!$B$1:$BI$1,0))=0,"",INDEX(Raw_매출!$B$2:$BI$155,MATCH($A84,Raw_매출!$A$2:$A$155,0),MATCH(EDATE($E84,AY$1-1),Raw_매출!$B$1:$BI$1,0))/(INDEX(요약_월별시즈널리티!$F$7:$F$18,MONTH(EDATE($E84,AY$1-1)))/100))),"")</f>
        <v/>
      </c>
      <c r="AZ84" t="str" cm="1">
        <f t="array" ref="AZ84">IFERROR(IF($E84&lt;44348,"",IF(INDEX(Raw_매출!$B$2:$BI$155,MATCH($A84,Raw_매출!$A$2:$A$155,0),MATCH(EDATE($E84,AZ$1-1),Raw_매출!$B$1:$BI$1,0))=0,"",INDEX(Raw_매출!$B$2:$BI$155,MATCH($A84,Raw_매출!$A$2:$A$155,0),MATCH(EDATE($E84,AZ$1-1),Raw_매출!$B$1:$BI$1,0))/(INDEX(요약_월별시즈널리티!$F$7:$F$18,MONTH(EDATE($E84,AZ$1-1)))/100))),"")</f>
        <v/>
      </c>
      <c r="BA84" t="str" cm="1">
        <f t="array" ref="BA84">IFERROR(IF($E84&lt;44348,"",IF(INDEX(Raw_매출!$B$2:$BI$155,MATCH($A84,Raw_매출!$A$2:$A$155,0),MATCH(EDATE($E84,BA$1-1),Raw_매출!$B$1:$BI$1,0))=0,"",INDEX(Raw_매출!$B$2:$BI$155,MATCH($A84,Raw_매출!$A$2:$A$155,0),MATCH(EDATE($E84,BA$1-1),Raw_매출!$B$1:$BI$1,0))/(INDEX(요약_월별시즈널리티!$F$7:$F$18,MONTH(EDATE($E84,BA$1-1)))/100))),"")</f>
        <v/>
      </c>
      <c r="BB84" t="str" cm="1">
        <f t="array" ref="BB84">IFERROR(IF($E84&lt;44348,"",IF(INDEX(Raw_매출!$B$2:$BI$155,MATCH($A84,Raw_매출!$A$2:$A$155,0),MATCH(EDATE($E84,BB$1-1),Raw_매출!$B$1:$BI$1,0))=0,"",INDEX(Raw_매출!$B$2:$BI$155,MATCH($A84,Raw_매출!$A$2:$A$155,0),MATCH(EDATE($E84,BB$1-1),Raw_매출!$B$1:$BI$1,0))/(INDEX(요약_월별시즈널리티!$F$7:$F$18,MONTH(EDATE($E84,BB$1-1)))/100))),"")</f>
        <v/>
      </c>
      <c r="BC84" t="str" cm="1">
        <f t="array" ref="BC84">IFERROR(IF($E84&lt;44348,"",IF(INDEX(Raw_매출!$B$2:$BI$155,MATCH($A84,Raw_매출!$A$2:$A$155,0),MATCH(EDATE($E84,BC$1-1),Raw_매출!$B$1:$BI$1,0))=0,"",INDEX(Raw_매출!$B$2:$BI$155,MATCH($A84,Raw_매출!$A$2:$A$155,0),MATCH(EDATE($E84,BC$1-1),Raw_매출!$B$1:$BI$1,0))/(INDEX(요약_월별시즈널리티!$F$7:$F$18,MONTH(EDATE($E84,BC$1-1)))/100))),"")</f>
        <v/>
      </c>
      <c r="BD84" t="str" cm="1">
        <f t="array" ref="BD84">IFERROR(IF($E84&lt;44348,"",IF(INDEX(Raw_매출!$B$2:$BI$155,MATCH($A84,Raw_매출!$A$2:$A$155,0),MATCH(EDATE($E84,BD$1-1),Raw_매출!$B$1:$BI$1,0))=0,"",INDEX(Raw_매출!$B$2:$BI$155,MATCH($A84,Raw_매출!$A$2:$A$155,0),MATCH(EDATE($E84,BD$1-1),Raw_매출!$B$1:$BI$1,0))/(INDEX(요약_월별시즈널리티!$F$7:$F$18,MONTH(EDATE($E84,BD$1-1)))/100))),"")</f>
        <v/>
      </c>
      <c r="BE84" t="str" cm="1">
        <f t="array" ref="BE84">IFERROR(IF($E84&lt;44348,"",IF(INDEX(Raw_매출!$B$2:$BI$155,MATCH($A84,Raw_매출!$A$2:$A$155,0),MATCH(EDATE($E84,BE$1-1),Raw_매출!$B$1:$BI$1,0))=0,"",INDEX(Raw_매출!$B$2:$BI$155,MATCH($A84,Raw_매출!$A$2:$A$155,0),MATCH(EDATE($E84,BE$1-1),Raw_매출!$B$1:$BI$1,0))/(INDEX(요약_월별시즈널리티!$F$7:$F$18,MONTH(EDATE($E84,BE$1-1)))/100))),"")</f>
        <v/>
      </c>
      <c r="BF84" t="str" cm="1">
        <f t="array" ref="BF84">IFERROR(IF($E84&lt;44348,"",IF(INDEX(Raw_매출!$B$2:$BI$155,MATCH($A84,Raw_매출!$A$2:$A$155,0),MATCH(EDATE($E84,BF$1-1),Raw_매출!$B$1:$BI$1,0))=0,"",INDEX(Raw_매출!$B$2:$BI$155,MATCH($A84,Raw_매출!$A$2:$A$155,0),MATCH(EDATE($E84,BF$1-1),Raw_매출!$B$1:$BI$1,0))/(INDEX(요약_월별시즈널리티!$F$7:$F$18,MONTH(EDATE($E84,BF$1-1)))/100))),"")</f>
        <v/>
      </c>
      <c r="BG84" t="str" cm="1">
        <f t="array" ref="BG84">IFERROR(IF($E84&lt;44348,"",IF(INDEX(Raw_매출!$B$2:$BI$155,MATCH($A84,Raw_매출!$A$2:$A$155,0),MATCH(EDATE($E84,BG$1-1),Raw_매출!$B$1:$BI$1,0))=0,"",INDEX(Raw_매출!$B$2:$BI$155,MATCH($A84,Raw_매출!$A$2:$A$155,0),MATCH(EDATE($E84,BG$1-1),Raw_매출!$B$1:$BI$1,0))/(INDEX(요약_월별시즈널리티!$F$7:$F$18,MONTH(EDATE($E84,BG$1-1)))/100))),"")</f>
        <v/>
      </c>
      <c r="BH84" t="str" cm="1">
        <f t="array" ref="BH84">IFERROR(IF($E84&lt;44348,"",IF(INDEX(Raw_매출!$B$2:$BI$155,MATCH($A84,Raw_매출!$A$2:$A$155,0),MATCH(EDATE($E84,BH$1-1),Raw_매출!$B$1:$BI$1,0))=0,"",INDEX(Raw_매출!$B$2:$BI$155,MATCH($A84,Raw_매출!$A$2:$A$155,0),MATCH(EDATE($E84,BH$1-1),Raw_매출!$B$1:$BI$1,0))/(INDEX(요약_월별시즈널리티!$F$7:$F$18,MONTH(EDATE($E84,BH$1-1)))/100))),"")</f>
        <v/>
      </c>
      <c r="BI84" t="str" cm="1">
        <f t="array" ref="BI84">IFERROR(IF($E84&lt;44348,"",IF(INDEX(Raw_매출!$B$2:$BI$155,MATCH($A84,Raw_매출!$A$2:$A$155,0),MATCH(EDATE($E84,BI$1-1),Raw_매출!$B$1:$BI$1,0))=0,"",INDEX(Raw_매출!$B$2:$BI$155,MATCH($A84,Raw_매출!$A$2:$A$155,0),MATCH(EDATE($E84,BI$1-1),Raw_매출!$B$1:$BI$1,0))/(INDEX(요약_월별시즈널리티!$F$7:$F$18,MONTH(EDATE($E84,BI$1-1)))/100))),"")</f>
        <v/>
      </c>
      <c r="BJ84" t="str" cm="1">
        <f t="array" ref="BJ84">IFERROR(IF($E84&lt;44348,"",IF(INDEX(Raw_매출!$B$2:$BI$155,MATCH($A84,Raw_매출!$A$2:$A$155,0),MATCH(EDATE($E84,BJ$1-1),Raw_매출!$B$1:$BI$1,0))=0,"",INDEX(Raw_매출!$B$2:$BI$155,MATCH($A84,Raw_매출!$A$2:$A$155,0),MATCH(EDATE($E84,BJ$1-1),Raw_매출!$B$1:$BI$1,0))/(INDEX(요약_월별시즈널리티!$F$7:$F$18,MONTH(EDATE($E84,BJ$1-1)))/100))),"")</f>
        <v/>
      </c>
      <c r="BK84" t="str" cm="1">
        <f t="array" ref="BK84">IFERROR(IF($E84&lt;44348,"",IF(INDEX(Raw_매출!$B$2:$BI$155,MATCH($A84,Raw_매출!$A$2:$A$155,0),MATCH(EDATE($E84,BK$1-1),Raw_매출!$B$1:$BI$1,0))=0,"",INDEX(Raw_매출!$B$2:$BI$155,MATCH($A84,Raw_매출!$A$2:$A$155,0),MATCH(EDATE($E84,BK$1-1),Raw_매출!$B$1:$BI$1,0))/(INDEX(요약_월별시즈널리티!$F$7:$F$18,MONTH(EDATE($E84,BK$1-1)))/100))),"")</f>
        <v/>
      </c>
      <c r="BL84" t="str" cm="1">
        <f t="array" ref="BL84">IFERROR(IF($E84&lt;44348,"",IF(INDEX(Raw_매출!$B$2:$BI$155,MATCH($A84,Raw_매출!$A$2:$A$155,0),MATCH(EDATE($E84,BL$1-1),Raw_매출!$B$1:$BI$1,0))=0,"",INDEX(Raw_매출!$B$2:$BI$155,MATCH($A84,Raw_매출!$A$2:$A$155,0),MATCH(EDATE($E84,BL$1-1),Raw_매출!$B$1:$BI$1,0))/(INDEX(요약_월별시즈널리티!$F$7:$F$18,MONTH(EDATE($E84,BL$1-1)))/100))),"")</f>
        <v/>
      </c>
      <c r="BM84" t="str" cm="1">
        <f t="array" ref="BM84">IFERROR(IF($E84&lt;44348,"",IF(INDEX(Raw_매출!$B$2:$BI$155,MATCH($A84,Raw_매출!$A$2:$A$155,0),MATCH(EDATE($E84,BM$1-1),Raw_매출!$B$1:$BI$1,0))=0,"",INDEX(Raw_매출!$B$2:$BI$155,MATCH($A84,Raw_매출!$A$2:$A$155,0),MATCH(EDATE($E84,BM$1-1),Raw_매출!$B$1:$BI$1,0))/(INDEX(요약_월별시즈널리티!$F$7:$F$18,MONTH(EDATE($E84,BM$1-1)))/100))),"")</f>
        <v/>
      </c>
      <c r="BN84" t="str" cm="1">
        <f t="array" ref="BN84">IFERROR(IF($E84&lt;44348,"",IF(INDEX(Raw_매출!$B$2:$BI$155,MATCH($A84,Raw_매출!$A$2:$A$155,0),MATCH(EDATE($E84,BN$1-1),Raw_매출!$B$1:$BI$1,0))=0,"",INDEX(Raw_매출!$B$2:$BI$155,MATCH($A84,Raw_매출!$A$2:$A$155,0),MATCH(EDATE($E84,BN$1-1),Raw_매출!$B$1:$BI$1,0))/(INDEX(요약_월별시즈널리티!$F$7:$F$18,MONTH(EDATE($E84,BN$1-1)))/100))),"")</f>
        <v/>
      </c>
    </row>
    <row r="85" spans="1:66" x14ac:dyDescent="0.4">
      <c r="A85" t="str">
        <f>세팅!A86</f>
        <v>(1074) #평택용이파크점</v>
      </c>
      <c r="B85" t="str">
        <f>세팅!B86</f>
        <v>150-1</v>
      </c>
      <c r="C85">
        <f t="shared" si="3"/>
        <v>1</v>
      </c>
      <c r="D85" t="str">
        <f t="shared" si="4"/>
        <v>1</v>
      </c>
      <c r="E85" s="1">
        <f>세팅!D86</f>
        <v>45078</v>
      </c>
      <c r="F85">
        <f t="shared" si="5"/>
        <v>1863720.903358401</v>
      </c>
      <c r="G85" cm="1">
        <f t="array" ref="G85">IFERROR(IF($E85&lt;44348,"",IF(INDEX(Raw_매출!$B$2:$BI$155,MATCH($A85,Raw_매출!$A$2:$A$155,0),MATCH(EDATE($E85,G$1-1),Raw_매출!$B$1:$BI$1,0))=0,"",INDEX(Raw_매출!$B$2:$BI$155,MATCH($A85,Raw_매출!$A$2:$A$155,0),MATCH(EDATE($E85,G$1-1),Raw_매출!$B$1:$BI$1,0))/(INDEX(요약_월별시즈널리티!$F$7:$F$18,MONTH(EDATE($E85,G$1-1)))/100))),"")</f>
        <v>1068456.8154076259</v>
      </c>
      <c r="H85" cm="1">
        <f t="array" ref="H85">IFERROR(IF($E85&lt;44348,"",IF(INDEX(Raw_매출!$B$2:$BI$155,MATCH($A85,Raw_매출!$A$2:$A$155,0),MATCH(EDATE($E85,H$1-1),Raw_매출!$B$1:$BI$1,0))=0,"",INDEX(Raw_매출!$B$2:$BI$155,MATCH($A85,Raw_매출!$A$2:$A$155,0),MATCH(EDATE($E85,H$1-1),Raw_매출!$B$1:$BI$1,0))/(INDEX(요약_월별시즈널리티!$F$7:$F$18,MONTH(EDATE($E85,H$1-1)))/100))),"")</f>
        <v>1306761.2246897018</v>
      </c>
      <c r="I85" cm="1">
        <f t="array" ref="I85">IFERROR(IF($E85&lt;44348,"",IF(INDEX(Raw_매출!$B$2:$BI$155,MATCH($A85,Raw_매출!$A$2:$A$155,0),MATCH(EDATE($E85,I$1-1),Raw_매출!$B$1:$BI$1,0))=0,"",INDEX(Raw_매출!$B$2:$BI$155,MATCH($A85,Raw_매출!$A$2:$A$155,0),MATCH(EDATE($E85,I$1-1),Raw_매출!$B$1:$BI$1,0))/(INDEX(요약_월별시즈널리티!$F$7:$F$18,MONTH(EDATE($E85,I$1-1)))/100))),"")</f>
        <v>1152920.2712570331</v>
      </c>
      <c r="J85" s="30" cm="1">
        <f t="array" ref="J85">IFERROR(IF($E85&lt;44348,"",IF(INDEX(Raw_매출!$B$2:$BI$155,MATCH($A85,Raw_매출!$A$2:$A$155,0),MATCH(EDATE($E85,J$1-1),Raw_매출!$B$1:$BI$1,0))=0,"",INDEX(Raw_매출!$B$2:$BI$155,MATCH($A85,Raw_매출!$A$2:$A$155,0),MATCH(EDATE($E85,J$1-1),Raw_매출!$B$1:$BI$1,0))/(INDEX(요약_월별시즈널리티!$F$7:$F$18,MONTH(EDATE($E85,J$1-1)))/100))),"")</f>
        <v>1254449.7414581198</v>
      </c>
      <c r="K85" s="30" cm="1">
        <f t="array" ref="K85">IFERROR(IF($E85&lt;44348,"",IF(INDEX(Raw_매출!$B$2:$BI$155,MATCH($A85,Raw_매출!$A$2:$A$155,0),MATCH(EDATE($E85,K$1-1),Raw_매출!$B$1:$BI$1,0))=0,"",INDEX(Raw_매출!$B$2:$BI$155,MATCH($A85,Raw_매출!$A$2:$A$155,0),MATCH(EDATE($E85,K$1-1),Raw_매출!$B$1:$BI$1,0))/(INDEX(요약_월별시즈널리티!$F$7:$F$18,MONTH(EDATE($E85,K$1-1)))/100))),"")</f>
        <v>1583500.0760353056</v>
      </c>
      <c r="L85" s="30" cm="1">
        <f t="array" ref="L85">IFERROR(IF($E85&lt;44348,"",IF(INDEX(Raw_매출!$B$2:$BI$155,MATCH($A85,Raw_매출!$A$2:$A$155,0),MATCH(EDATE($E85,L$1-1),Raw_매출!$B$1:$BI$1,0))=0,"",INDEX(Raw_매출!$B$2:$BI$155,MATCH($A85,Raw_매출!$A$2:$A$155,0),MATCH(EDATE($E85,L$1-1),Raw_매출!$B$1:$BI$1,0))/(INDEX(요약_월별시즈널리티!$F$7:$F$18,MONTH(EDATE($E85,L$1-1)))/100))),"")</f>
        <v>1618230.0418405258</v>
      </c>
      <c r="M85" s="30" cm="1">
        <f t="array" ref="M85">IFERROR(IF($E85&lt;44348,"",IF(INDEX(Raw_매출!$B$2:$BI$155,MATCH($A85,Raw_매출!$A$2:$A$155,0),MATCH(EDATE($E85,M$1-1),Raw_매출!$B$1:$BI$1,0))=0,"",INDEX(Raw_매출!$B$2:$BI$155,MATCH($A85,Raw_매출!$A$2:$A$155,0),MATCH(EDATE($E85,M$1-1),Raw_매출!$B$1:$BI$1,0))/(INDEX(요약_월별시즈널리티!$F$7:$F$18,MONTH(EDATE($E85,M$1-1)))/100))),"")</f>
        <v>1968851.003729183</v>
      </c>
      <c r="N85" s="30" cm="1">
        <f t="array" ref="N85">IFERROR(IF($E85&lt;44348,"",IF(INDEX(Raw_매출!$B$2:$BI$155,MATCH($A85,Raw_매출!$A$2:$A$155,0),MATCH(EDATE($E85,N$1-1),Raw_매출!$B$1:$BI$1,0))=0,"",INDEX(Raw_매출!$B$2:$BI$155,MATCH($A85,Raw_매출!$A$2:$A$155,0),MATCH(EDATE($E85,N$1-1),Raw_매출!$B$1:$BI$1,0))/(INDEX(요약_월별시즈널리티!$F$7:$F$18,MONTH(EDATE($E85,N$1-1)))/100))),"")</f>
        <v>2329718.3589353268</v>
      </c>
      <c r="O85" s="30" cm="1">
        <f t="array" ref="O85">IFERROR(IF($E85&lt;44348,"",IF(INDEX(Raw_매출!$B$2:$BI$155,MATCH($A85,Raw_매출!$A$2:$A$155,0),MATCH(EDATE($E85,O$1-1),Raw_매출!$B$1:$BI$1,0))=0,"",INDEX(Raw_매출!$B$2:$BI$155,MATCH($A85,Raw_매출!$A$2:$A$155,0),MATCH(EDATE($E85,O$1-1),Raw_매출!$B$1:$BI$1,0))/(INDEX(요약_월별시즈널리티!$F$7:$F$18,MONTH(EDATE($E85,O$1-1)))/100))),"")</f>
        <v>2427576.1981519451</v>
      </c>
      <c r="P85" cm="1">
        <f t="array" ref="P85">IFERROR(IF($E85&lt;44348,"",IF(INDEX(Raw_매출!$B$2:$BI$155,MATCH($A85,Raw_매출!$A$2:$A$155,0),MATCH(EDATE($E85,P$1-1),Raw_매출!$B$1:$BI$1,0))=0,"",INDEX(Raw_매출!$B$2:$BI$155,MATCH($A85,Raw_매출!$A$2:$A$155,0),MATCH(EDATE($E85,P$1-1),Raw_매출!$B$1:$BI$1,0))/(INDEX(요약_월별시즈널리티!$F$7:$F$18,MONTH(EDATE($E85,P$1-1)))/100))),"")</f>
        <v>2617482.8702138704</v>
      </c>
      <c r="Q85" cm="1">
        <f t="array" ref="Q85">IFERROR(IF($E85&lt;44348,"",IF(INDEX(Raw_매출!$B$2:$BI$155,MATCH($A85,Raw_매출!$A$2:$A$155,0),MATCH(EDATE($E85,Q$1-1),Raw_매출!$B$1:$BI$1,0))=0,"",INDEX(Raw_매출!$B$2:$BI$155,MATCH($A85,Raw_매출!$A$2:$A$155,0),MATCH(EDATE($E85,Q$1-1),Raw_매출!$B$1:$BI$1,0))/(INDEX(요약_월별시즈널리티!$F$7:$F$18,MONTH(EDATE($E85,Q$1-1)))/100))),"")</f>
        <v>2578966.00464501</v>
      </c>
      <c r="R85" cm="1">
        <f t="array" ref="R85">IFERROR(IF($E85&lt;44348,"",IF(INDEX(Raw_매출!$B$2:$BI$155,MATCH($A85,Raw_매출!$A$2:$A$155,0),MATCH(EDATE($E85,R$1-1),Raw_매출!$B$1:$BI$1,0))=0,"",INDEX(Raw_매출!$B$2:$BI$155,MATCH($A85,Raw_매출!$A$2:$A$155,0),MATCH(EDATE($E85,R$1-1),Raw_매출!$B$1:$BI$1,0))/(INDEX(요약_월별시즈널리티!$F$7:$F$18,MONTH(EDATE($E85,R$1-1)))/100))),"")</f>
        <v>2139522.6248905594</v>
      </c>
      <c r="S85" cm="1">
        <f t="array" ref="S85">IFERROR(IF($E85&lt;44348,"",IF(INDEX(Raw_매출!$B$2:$BI$155,MATCH($A85,Raw_매출!$A$2:$A$155,0),MATCH(EDATE($E85,S$1-1),Raw_매출!$B$1:$BI$1,0))=0,"",INDEX(Raw_매출!$B$2:$BI$155,MATCH($A85,Raw_매출!$A$2:$A$155,0),MATCH(EDATE($E85,S$1-1),Raw_매출!$B$1:$BI$1,0))/(INDEX(요약_월별시즈널리티!$F$7:$F$18,MONTH(EDATE($E85,S$1-1)))/100))),"")</f>
        <v>2045781.3793339939</v>
      </c>
      <c r="T85" cm="1">
        <f t="array" ref="T85">IFERROR(IF($E85&lt;44348,"",IF(INDEX(Raw_매출!$B$2:$BI$155,MATCH($A85,Raw_매출!$A$2:$A$155,0),MATCH(EDATE($E85,T$1-1),Raw_매출!$B$1:$BI$1,0))=0,"",INDEX(Raw_매출!$B$2:$BI$155,MATCH($A85,Raw_매출!$A$2:$A$155,0),MATCH(EDATE($E85,T$1-1),Raw_매출!$B$1:$BI$1,0))/(INDEX(요약_월별시즈널리티!$F$7:$F$18,MONTH(EDATE($E85,T$1-1)))/100))),"")</f>
        <v>2170643.2156882379</v>
      </c>
      <c r="U85" cm="1">
        <f t="array" ref="U85">IFERROR(IF($E85&lt;44348,"",IF(INDEX(Raw_매출!$B$2:$BI$155,MATCH($A85,Raw_매출!$A$2:$A$155,0),MATCH(EDATE($E85,U$1-1),Raw_매출!$B$1:$BI$1,0))=0,"",INDEX(Raw_매출!$B$2:$BI$155,MATCH($A85,Raw_매출!$A$2:$A$155,0),MATCH(EDATE($E85,U$1-1),Raw_매출!$B$1:$BI$1,0))/(INDEX(요약_월별시즈널리티!$F$7:$F$18,MONTH(EDATE($E85,U$1-1)))/100))),"")</f>
        <v>2010236.2927693282</v>
      </c>
      <c r="V85" cm="1">
        <f t="array" ref="V85">IFERROR(IF($E85&lt;44348,"",IF(INDEX(Raw_매출!$B$2:$BI$155,MATCH($A85,Raw_매출!$A$2:$A$155,0),MATCH(EDATE($E85,V$1-1),Raw_매출!$B$1:$BI$1,0))=0,"",INDEX(Raw_매출!$B$2:$BI$155,MATCH($A85,Raw_매출!$A$2:$A$155,0),MATCH(EDATE($E85,V$1-1),Raw_매출!$B$1:$BI$1,0))/(INDEX(요약_월별시즈널리티!$F$7:$F$18,MONTH(EDATE($E85,V$1-1)))/100))),"")</f>
        <v>2137258.7593520945</v>
      </c>
      <c r="W85" cm="1">
        <f t="array" ref="W85">IFERROR(IF($E85&lt;44348,"",IF(INDEX(Raw_매출!$B$2:$BI$155,MATCH($A85,Raw_매출!$A$2:$A$155,0),MATCH(EDATE($E85,W$1-1),Raw_매출!$B$1:$BI$1,0))=0,"",INDEX(Raw_매출!$B$2:$BI$155,MATCH($A85,Raw_매출!$A$2:$A$155,0),MATCH(EDATE($E85,W$1-1),Raw_매출!$B$1:$BI$1,0))/(INDEX(요약_월별시즈널리티!$F$7:$F$18,MONTH(EDATE($E85,W$1-1)))/100))),"")</f>
        <v>1948058.7433732343</v>
      </c>
      <c r="X85" cm="1">
        <f t="array" ref="X85">IFERROR(IF($E85&lt;44348,"",IF(INDEX(Raw_매출!$B$2:$BI$155,MATCH($A85,Raw_매출!$A$2:$A$155,0),MATCH(EDATE($E85,X$1-1),Raw_매출!$B$1:$BI$1,0))=0,"",INDEX(Raw_매출!$B$2:$BI$155,MATCH($A85,Raw_매출!$A$2:$A$155,0),MATCH(EDATE($E85,X$1-1),Raw_매출!$B$1:$BI$1,0))/(INDEX(요약_월별시즈널리티!$F$7:$F$18,MONTH(EDATE($E85,X$1-1)))/100))),"")</f>
        <v>2373681.9658355936</v>
      </c>
      <c r="Y85" cm="1">
        <f t="array" ref="Y85">IFERROR(IF($E85&lt;44348,"",IF(INDEX(Raw_매출!$B$2:$BI$155,MATCH($A85,Raw_매출!$A$2:$A$155,0),MATCH(EDATE($E85,Y$1-1),Raw_매출!$B$1:$BI$1,0))=0,"",INDEX(Raw_매출!$B$2:$BI$155,MATCH($A85,Raw_매출!$A$2:$A$155,0),MATCH(EDATE($E85,Y$1-1),Raw_매출!$B$1:$BI$1,0))/(INDEX(요약_월별시즈널리티!$F$7:$F$18,MONTH(EDATE($E85,Y$1-1)))/100))),"")</f>
        <v>2265323.0256478516</v>
      </c>
      <c r="Z85" cm="1">
        <f t="array" ref="Z85">IFERROR(IF($E85&lt;44348,"",IF(INDEX(Raw_매출!$B$2:$BI$155,MATCH($A85,Raw_매출!$A$2:$A$155,0),MATCH(EDATE($E85,Z$1-1),Raw_매출!$B$1:$BI$1,0))=0,"",INDEX(Raw_매출!$B$2:$BI$155,MATCH($A85,Raw_매출!$A$2:$A$155,0),MATCH(EDATE($E85,Z$1-1),Raw_매출!$B$1:$BI$1,0))/(INDEX(요약_월별시즈널리티!$F$7:$F$18,MONTH(EDATE($E85,Z$1-1)))/100))),"")</f>
        <v>2603638.0914830216</v>
      </c>
      <c r="AA85" cm="1">
        <f t="array" ref="AA85">IFERROR(IF($E85&lt;44348,"",IF(INDEX(Raw_매출!$B$2:$BI$155,MATCH($A85,Raw_매출!$A$2:$A$155,0),MATCH(EDATE($E85,AA$1-1),Raw_매출!$B$1:$BI$1,0))=0,"",INDEX(Raw_매출!$B$2:$BI$155,MATCH($A85,Raw_매출!$A$2:$A$155,0),MATCH(EDATE($E85,AA$1-1),Raw_매출!$B$1:$BI$1,0))/(INDEX(요약_월별시즈널리티!$F$7:$F$18,MONTH(EDATE($E85,AA$1-1)))/100))),"")</f>
        <v>2194920.8735385998</v>
      </c>
      <c r="AB85" cm="1">
        <f t="array" ref="AB85">IFERROR(IF($E85&lt;44348,"",IF(INDEX(Raw_매출!$B$2:$BI$155,MATCH($A85,Raw_매출!$A$2:$A$155,0),MATCH(EDATE($E85,AB$1-1),Raw_매출!$B$1:$BI$1,0))=0,"",INDEX(Raw_매출!$B$2:$BI$155,MATCH($A85,Raw_매출!$A$2:$A$155,0),MATCH(EDATE($E85,AB$1-1),Raw_매출!$B$1:$BI$1,0))/(INDEX(요약_월별시즈널리티!$F$7:$F$18,MONTH(EDATE($E85,AB$1-1)))/100))),"")</f>
        <v>2270107.7133046752</v>
      </c>
      <c r="AC85" cm="1">
        <f t="array" ref="AC85">IFERROR(IF($E85&lt;44348,"",IF(INDEX(Raw_매출!$B$2:$BI$155,MATCH($A85,Raw_매출!$A$2:$A$155,0),MATCH(EDATE($E85,AC$1-1),Raw_매출!$B$1:$BI$1,0))=0,"",INDEX(Raw_매출!$B$2:$BI$155,MATCH($A85,Raw_매출!$A$2:$A$155,0),MATCH(EDATE($E85,AC$1-1),Raw_매출!$B$1:$BI$1,0))/(INDEX(요약_월별시즈널리티!$F$7:$F$18,MONTH(EDATE($E85,AC$1-1)))/100))),"")</f>
        <v>2178292.0762100872</v>
      </c>
      <c r="AD85" cm="1">
        <f t="array" ref="AD85">IFERROR(IF($E85&lt;44348,"",IF(INDEX(Raw_매출!$B$2:$BI$155,MATCH($A85,Raw_매출!$A$2:$A$155,0),MATCH(EDATE($E85,AD$1-1),Raw_매출!$B$1:$BI$1,0))=0,"",INDEX(Raw_매출!$B$2:$BI$155,MATCH($A85,Raw_매출!$A$2:$A$155,0),MATCH(EDATE($E85,AD$1-1),Raw_매출!$B$1:$BI$1,0))/(INDEX(요약_월별시즈널리티!$F$7:$F$18,MONTH(EDATE($E85,AD$1-1)))/100))),"")</f>
        <v>2039064.1912646068</v>
      </c>
      <c r="AE85" cm="1">
        <f t="array" ref="AE85">IFERROR(IF($E85&lt;44348,"",IF(INDEX(Raw_매출!$B$2:$BI$155,MATCH($A85,Raw_매출!$A$2:$A$155,0),MATCH(EDATE($E85,AE$1-1),Raw_매출!$B$1:$BI$1,0))=0,"",INDEX(Raw_매출!$B$2:$BI$155,MATCH($A85,Raw_매출!$A$2:$A$155,0),MATCH(EDATE($E85,AE$1-1),Raw_매출!$B$1:$BI$1,0))/(INDEX(요약_월별시즈널리티!$F$7:$F$18,MONTH(EDATE($E85,AE$1-1)))/100))),"")</f>
        <v>2681605.65936545</v>
      </c>
      <c r="AF85" cm="1">
        <f t="array" ref="AF85">IFERROR(IF($E85&lt;44348,"",IF(INDEX(Raw_매출!$B$2:$BI$155,MATCH($A85,Raw_매출!$A$2:$A$155,0),MATCH(EDATE($E85,AF$1-1),Raw_매출!$B$1:$BI$1,0))=0,"",INDEX(Raw_매출!$B$2:$BI$155,MATCH($A85,Raw_매출!$A$2:$A$155,0),MATCH(EDATE($E85,AF$1-1),Raw_매출!$B$1:$BI$1,0))/(INDEX(요약_월별시즈널리티!$F$7:$F$18,MONTH(EDATE($E85,AF$1-1)))/100))),"")</f>
        <v>1846556.1146750194</v>
      </c>
      <c r="AG85" cm="1">
        <f t="array" ref="AG85">IFERROR(IF($E85&lt;44348,"",IF(INDEX(Raw_매출!$B$2:$BI$155,MATCH($A85,Raw_매출!$A$2:$A$155,0),MATCH(EDATE($E85,AG$1-1),Raw_매출!$B$1:$BI$1,0))=0,"",INDEX(Raw_매출!$B$2:$BI$155,MATCH($A85,Raw_매출!$A$2:$A$155,0),MATCH(EDATE($E85,AG$1-1),Raw_매출!$B$1:$BI$1,0))/(INDEX(요약_월별시즈널리티!$F$7:$F$18,MONTH(EDATE($E85,AG$1-1)))/100))),"")</f>
        <v>2233274.6724872207</v>
      </c>
      <c r="AH85" cm="1">
        <f t="array" ref="AH85">IFERROR(IF($E85&lt;44348,"",IF(INDEX(Raw_매출!$B$2:$BI$155,MATCH($A85,Raw_매출!$A$2:$A$155,0),MATCH(EDATE($E85,AH$1-1),Raw_매출!$B$1:$BI$1,0))=0,"",INDEX(Raw_매출!$B$2:$BI$155,MATCH($A85,Raw_매출!$A$2:$A$155,0),MATCH(EDATE($E85,AH$1-1),Raw_매출!$B$1:$BI$1,0))/(INDEX(요약_월별시즈널리티!$F$7:$F$18,MONTH(EDATE($E85,AH$1-1)))/100))),"")</f>
        <v>1968916.7976301471</v>
      </c>
      <c r="AI85" cm="1">
        <f t="array" ref="AI85">IFERROR(IF($E85&lt;44348,"",IF(INDEX(Raw_매출!$B$2:$BI$155,MATCH($A85,Raw_매출!$A$2:$A$155,0),MATCH(EDATE($E85,AI$1-1),Raw_매출!$B$1:$BI$1,0))=0,"",INDEX(Raw_매출!$B$2:$BI$155,MATCH($A85,Raw_매출!$A$2:$A$155,0),MATCH(EDATE($E85,AI$1-1),Raw_매출!$B$1:$BI$1,0))/(INDEX(요약_월별시즈널리티!$F$7:$F$18,MONTH(EDATE($E85,AI$1-1)))/100))),"")</f>
        <v>2725949.9981376333</v>
      </c>
      <c r="AJ85" cm="1">
        <f t="array" ref="AJ85">IFERROR(IF($E85&lt;44348,"",IF(INDEX(Raw_매출!$B$2:$BI$155,MATCH($A85,Raw_매출!$A$2:$A$155,0),MATCH(EDATE($E85,AJ$1-1),Raw_매출!$B$1:$BI$1,0))=0,"",INDEX(Raw_매출!$B$2:$BI$155,MATCH($A85,Raw_매출!$A$2:$A$155,0),MATCH(EDATE($E85,AJ$1-1),Raw_매출!$B$1:$BI$1,0))/(INDEX(요약_월별시즈널리티!$F$7:$F$18,MONTH(EDATE($E85,AJ$1-1)))/100))),"")</f>
        <v>2388761.8051362121</v>
      </c>
      <c r="AK85" cm="1">
        <f t="array" ref="AK85">IFERROR(IF($E85&lt;44348,"",IF(INDEX(Raw_매출!$B$2:$BI$155,MATCH($A85,Raw_매출!$A$2:$A$155,0),MATCH(EDATE($E85,AK$1-1),Raw_매출!$B$1:$BI$1,0))=0,"",INDEX(Raw_매출!$B$2:$BI$155,MATCH($A85,Raw_매출!$A$2:$A$155,0),MATCH(EDATE($E85,AK$1-1),Raw_매출!$B$1:$BI$1,0))/(INDEX(요약_월별시즈널리티!$F$7:$F$18,MONTH(EDATE($E85,AK$1-1)))/100))),"")</f>
        <v>2656973.8409587219</v>
      </c>
      <c r="AL85" cm="1">
        <f t="array" ref="AL85">IFERROR(IF($E85&lt;44348,"",IF(INDEX(Raw_매출!$B$2:$BI$155,MATCH($A85,Raw_매출!$A$2:$A$155,0),MATCH(EDATE($E85,AL$1-1),Raw_매출!$B$1:$BI$1,0))=0,"",INDEX(Raw_매출!$B$2:$BI$155,MATCH($A85,Raw_매출!$A$2:$A$155,0),MATCH(EDATE($E85,AL$1-1),Raw_매출!$B$1:$BI$1,0))/(INDEX(요약_월별시즈널리티!$F$7:$F$18,MONTH(EDATE($E85,AL$1-1)))/100))),"")</f>
        <v>2748425.0204976043</v>
      </c>
      <c r="AM85" cm="1">
        <f t="array" ref="AM85">IFERROR(IF($E85&lt;44348,"",IF(INDEX(Raw_매출!$B$2:$BI$155,MATCH($A85,Raw_매출!$A$2:$A$155,0),MATCH(EDATE($E85,AM$1-1),Raw_매출!$B$1:$BI$1,0))=0,"",INDEX(Raw_매출!$B$2:$BI$155,MATCH($A85,Raw_매출!$A$2:$A$155,0),MATCH(EDATE($E85,AM$1-1),Raw_매출!$B$1:$BI$1,0))/(INDEX(요약_월별시즈널리티!$F$7:$F$18,MONTH(EDATE($E85,AM$1-1)))/100))),"")</f>
        <v>2600080.4520977912</v>
      </c>
      <c r="AN85" cm="1">
        <f t="array" ref="AN85">IFERROR(IF($E85&lt;44348,"",IF(INDEX(Raw_매출!$B$2:$BI$155,MATCH($A85,Raw_매출!$A$2:$A$155,0),MATCH(EDATE($E85,AN$1-1),Raw_매출!$B$1:$BI$1,0))=0,"",INDEX(Raw_매출!$B$2:$BI$155,MATCH($A85,Raw_매출!$A$2:$A$155,0),MATCH(EDATE($E85,AN$1-1),Raw_매출!$B$1:$BI$1,0))/(INDEX(요약_월별시즈널리티!$F$7:$F$18,MONTH(EDATE($E85,AN$1-1)))/100))),"")</f>
        <v>2663381.0541811348</v>
      </c>
      <c r="AO85" cm="1">
        <f t="array" ref="AO85">IFERROR(IF($E85&lt;44348,"",IF(INDEX(Raw_매출!$B$2:$BI$155,MATCH($A85,Raw_매출!$A$2:$A$155,0),MATCH(EDATE($E85,AO$1-1),Raw_매출!$B$1:$BI$1,0))=0,"",INDEX(Raw_매출!$B$2:$BI$155,MATCH($A85,Raw_매출!$A$2:$A$155,0),MATCH(EDATE($E85,AO$1-1),Raw_매출!$B$1:$BI$1,0))/(INDEX(요약_월별시즈널리티!$F$7:$F$18,MONTH(EDATE($E85,AO$1-1)))/100))),"")</f>
        <v>3135235.9252033103</v>
      </c>
      <c r="AP85" cm="1">
        <f t="array" ref="AP85">IFERROR(IF($E85&lt;44348,"",IF(INDEX(Raw_매출!$B$2:$BI$155,MATCH($A85,Raw_매출!$A$2:$A$155,0),MATCH(EDATE($E85,AP$1-1),Raw_매출!$B$1:$BI$1,0))=0,"",INDEX(Raw_매출!$B$2:$BI$155,MATCH($A85,Raw_매출!$A$2:$A$155,0),MATCH(EDATE($E85,AP$1-1),Raw_매출!$B$1:$BI$1,0))/(INDEX(요약_월별시즈널리티!$F$7:$F$18,MONTH(EDATE($E85,AP$1-1)))/100))),"")</f>
        <v>3793978.5948333219</v>
      </c>
      <c r="AQ85" t="str" cm="1">
        <f t="array" ref="AQ85">IFERROR(IF($E85&lt;44348,"",IF(INDEX(Raw_매출!$B$2:$BI$155,MATCH($A85,Raw_매출!$A$2:$A$155,0),MATCH(EDATE($E85,AQ$1-1),Raw_매출!$B$1:$BI$1,0))=0,"",INDEX(Raw_매출!$B$2:$BI$155,MATCH($A85,Raw_매출!$A$2:$A$155,0),MATCH(EDATE($E85,AQ$1-1),Raw_매출!$B$1:$BI$1,0))/(INDEX(요약_월별시즈널리티!$F$7:$F$18,MONTH(EDATE($E85,AQ$1-1)))/100))),"")</f>
        <v/>
      </c>
      <c r="AR85" t="str" cm="1">
        <f t="array" ref="AR85">IFERROR(IF($E85&lt;44348,"",IF(INDEX(Raw_매출!$B$2:$BI$155,MATCH($A85,Raw_매출!$A$2:$A$155,0),MATCH(EDATE($E85,AR$1-1),Raw_매출!$B$1:$BI$1,0))=0,"",INDEX(Raw_매출!$B$2:$BI$155,MATCH($A85,Raw_매출!$A$2:$A$155,0),MATCH(EDATE($E85,AR$1-1),Raw_매출!$B$1:$BI$1,0))/(INDEX(요약_월별시즈널리티!$F$7:$F$18,MONTH(EDATE($E85,AR$1-1)))/100))),"")</f>
        <v/>
      </c>
      <c r="AS85" t="str" cm="1">
        <f t="array" ref="AS85">IFERROR(IF($E85&lt;44348,"",IF(INDEX(Raw_매출!$B$2:$BI$155,MATCH($A85,Raw_매출!$A$2:$A$155,0),MATCH(EDATE($E85,AS$1-1),Raw_매출!$B$1:$BI$1,0))=0,"",INDEX(Raw_매출!$B$2:$BI$155,MATCH($A85,Raw_매출!$A$2:$A$155,0),MATCH(EDATE($E85,AS$1-1),Raw_매출!$B$1:$BI$1,0))/(INDEX(요약_월별시즈널리티!$F$7:$F$18,MONTH(EDATE($E85,AS$1-1)))/100))),"")</f>
        <v/>
      </c>
      <c r="AT85" t="str" cm="1">
        <f t="array" ref="AT85">IFERROR(IF($E85&lt;44348,"",IF(INDEX(Raw_매출!$B$2:$BI$155,MATCH($A85,Raw_매출!$A$2:$A$155,0),MATCH(EDATE($E85,AT$1-1),Raw_매출!$B$1:$BI$1,0))=0,"",INDEX(Raw_매출!$B$2:$BI$155,MATCH($A85,Raw_매출!$A$2:$A$155,0),MATCH(EDATE($E85,AT$1-1),Raw_매출!$B$1:$BI$1,0))/(INDEX(요약_월별시즈널리티!$F$7:$F$18,MONTH(EDATE($E85,AT$1-1)))/100))),"")</f>
        <v/>
      </c>
      <c r="AU85" t="str" cm="1">
        <f t="array" ref="AU85">IFERROR(IF($E85&lt;44348,"",IF(INDEX(Raw_매출!$B$2:$BI$155,MATCH($A85,Raw_매출!$A$2:$A$155,0),MATCH(EDATE($E85,AU$1-1),Raw_매출!$B$1:$BI$1,0))=0,"",INDEX(Raw_매출!$B$2:$BI$155,MATCH($A85,Raw_매출!$A$2:$A$155,0),MATCH(EDATE($E85,AU$1-1),Raw_매출!$B$1:$BI$1,0))/(INDEX(요약_월별시즈널리티!$F$7:$F$18,MONTH(EDATE($E85,AU$1-1)))/100))),"")</f>
        <v/>
      </c>
      <c r="AV85" t="str" cm="1">
        <f t="array" ref="AV85">IFERROR(IF($E85&lt;44348,"",IF(INDEX(Raw_매출!$B$2:$BI$155,MATCH($A85,Raw_매출!$A$2:$A$155,0),MATCH(EDATE($E85,AV$1-1),Raw_매출!$B$1:$BI$1,0))=0,"",INDEX(Raw_매출!$B$2:$BI$155,MATCH($A85,Raw_매출!$A$2:$A$155,0),MATCH(EDATE($E85,AV$1-1),Raw_매출!$B$1:$BI$1,0))/(INDEX(요약_월별시즈널리티!$F$7:$F$18,MONTH(EDATE($E85,AV$1-1)))/100))),"")</f>
        <v/>
      </c>
      <c r="AW85" t="str" cm="1">
        <f t="array" ref="AW85">IFERROR(IF($E85&lt;44348,"",IF(INDEX(Raw_매출!$B$2:$BI$155,MATCH($A85,Raw_매출!$A$2:$A$155,0),MATCH(EDATE($E85,AW$1-1),Raw_매출!$B$1:$BI$1,0))=0,"",INDEX(Raw_매출!$B$2:$BI$155,MATCH($A85,Raw_매출!$A$2:$A$155,0),MATCH(EDATE($E85,AW$1-1),Raw_매출!$B$1:$BI$1,0))/(INDEX(요약_월별시즈널리티!$F$7:$F$18,MONTH(EDATE($E85,AW$1-1)))/100))),"")</f>
        <v/>
      </c>
      <c r="AX85" t="str" cm="1">
        <f t="array" ref="AX85">IFERROR(IF($E85&lt;44348,"",IF(INDEX(Raw_매출!$B$2:$BI$155,MATCH($A85,Raw_매출!$A$2:$A$155,0),MATCH(EDATE($E85,AX$1-1),Raw_매출!$B$1:$BI$1,0))=0,"",INDEX(Raw_매출!$B$2:$BI$155,MATCH($A85,Raw_매출!$A$2:$A$155,0),MATCH(EDATE($E85,AX$1-1),Raw_매출!$B$1:$BI$1,0))/(INDEX(요약_월별시즈널리티!$F$7:$F$18,MONTH(EDATE($E85,AX$1-1)))/100))),"")</f>
        <v/>
      </c>
      <c r="AY85" t="str" cm="1">
        <f t="array" ref="AY85">IFERROR(IF($E85&lt;44348,"",IF(INDEX(Raw_매출!$B$2:$BI$155,MATCH($A85,Raw_매출!$A$2:$A$155,0),MATCH(EDATE($E85,AY$1-1),Raw_매출!$B$1:$BI$1,0))=0,"",INDEX(Raw_매출!$B$2:$BI$155,MATCH($A85,Raw_매출!$A$2:$A$155,0),MATCH(EDATE($E85,AY$1-1),Raw_매출!$B$1:$BI$1,0))/(INDEX(요약_월별시즈널리티!$F$7:$F$18,MONTH(EDATE($E85,AY$1-1)))/100))),"")</f>
        <v/>
      </c>
      <c r="AZ85" t="str" cm="1">
        <f t="array" ref="AZ85">IFERROR(IF($E85&lt;44348,"",IF(INDEX(Raw_매출!$B$2:$BI$155,MATCH($A85,Raw_매출!$A$2:$A$155,0),MATCH(EDATE($E85,AZ$1-1),Raw_매출!$B$1:$BI$1,0))=0,"",INDEX(Raw_매출!$B$2:$BI$155,MATCH($A85,Raw_매출!$A$2:$A$155,0),MATCH(EDATE($E85,AZ$1-1),Raw_매출!$B$1:$BI$1,0))/(INDEX(요약_월별시즈널리티!$F$7:$F$18,MONTH(EDATE($E85,AZ$1-1)))/100))),"")</f>
        <v/>
      </c>
      <c r="BA85" t="str" cm="1">
        <f t="array" ref="BA85">IFERROR(IF($E85&lt;44348,"",IF(INDEX(Raw_매출!$B$2:$BI$155,MATCH($A85,Raw_매출!$A$2:$A$155,0),MATCH(EDATE($E85,BA$1-1),Raw_매출!$B$1:$BI$1,0))=0,"",INDEX(Raw_매출!$B$2:$BI$155,MATCH($A85,Raw_매출!$A$2:$A$155,0),MATCH(EDATE($E85,BA$1-1),Raw_매출!$B$1:$BI$1,0))/(INDEX(요약_월별시즈널리티!$F$7:$F$18,MONTH(EDATE($E85,BA$1-1)))/100))),"")</f>
        <v/>
      </c>
      <c r="BB85" t="str" cm="1">
        <f t="array" ref="BB85">IFERROR(IF($E85&lt;44348,"",IF(INDEX(Raw_매출!$B$2:$BI$155,MATCH($A85,Raw_매출!$A$2:$A$155,0),MATCH(EDATE($E85,BB$1-1),Raw_매출!$B$1:$BI$1,0))=0,"",INDEX(Raw_매출!$B$2:$BI$155,MATCH($A85,Raw_매출!$A$2:$A$155,0),MATCH(EDATE($E85,BB$1-1),Raw_매출!$B$1:$BI$1,0))/(INDEX(요약_월별시즈널리티!$F$7:$F$18,MONTH(EDATE($E85,BB$1-1)))/100))),"")</f>
        <v/>
      </c>
      <c r="BC85" t="str" cm="1">
        <f t="array" ref="BC85">IFERROR(IF($E85&lt;44348,"",IF(INDEX(Raw_매출!$B$2:$BI$155,MATCH($A85,Raw_매출!$A$2:$A$155,0),MATCH(EDATE($E85,BC$1-1),Raw_매출!$B$1:$BI$1,0))=0,"",INDEX(Raw_매출!$B$2:$BI$155,MATCH($A85,Raw_매출!$A$2:$A$155,0),MATCH(EDATE($E85,BC$1-1),Raw_매출!$B$1:$BI$1,0))/(INDEX(요약_월별시즈널리티!$F$7:$F$18,MONTH(EDATE($E85,BC$1-1)))/100))),"")</f>
        <v/>
      </c>
      <c r="BD85" t="str" cm="1">
        <f t="array" ref="BD85">IFERROR(IF($E85&lt;44348,"",IF(INDEX(Raw_매출!$B$2:$BI$155,MATCH($A85,Raw_매출!$A$2:$A$155,0),MATCH(EDATE($E85,BD$1-1),Raw_매출!$B$1:$BI$1,0))=0,"",INDEX(Raw_매출!$B$2:$BI$155,MATCH($A85,Raw_매출!$A$2:$A$155,0),MATCH(EDATE($E85,BD$1-1),Raw_매출!$B$1:$BI$1,0))/(INDEX(요약_월별시즈널리티!$F$7:$F$18,MONTH(EDATE($E85,BD$1-1)))/100))),"")</f>
        <v/>
      </c>
      <c r="BE85" t="str" cm="1">
        <f t="array" ref="BE85">IFERROR(IF($E85&lt;44348,"",IF(INDEX(Raw_매출!$B$2:$BI$155,MATCH($A85,Raw_매출!$A$2:$A$155,0),MATCH(EDATE($E85,BE$1-1),Raw_매출!$B$1:$BI$1,0))=0,"",INDEX(Raw_매출!$B$2:$BI$155,MATCH($A85,Raw_매출!$A$2:$A$155,0),MATCH(EDATE($E85,BE$1-1),Raw_매출!$B$1:$BI$1,0))/(INDEX(요약_월별시즈널리티!$F$7:$F$18,MONTH(EDATE($E85,BE$1-1)))/100))),"")</f>
        <v/>
      </c>
      <c r="BF85" t="str" cm="1">
        <f t="array" ref="BF85">IFERROR(IF($E85&lt;44348,"",IF(INDEX(Raw_매출!$B$2:$BI$155,MATCH($A85,Raw_매출!$A$2:$A$155,0),MATCH(EDATE($E85,BF$1-1),Raw_매출!$B$1:$BI$1,0))=0,"",INDEX(Raw_매출!$B$2:$BI$155,MATCH($A85,Raw_매출!$A$2:$A$155,0),MATCH(EDATE($E85,BF$1-1),Raw_매출!$B$1:$BI$1,0))/(INDEX(요약_월별시즈널리티!$F$7:$F$18,MONTH(EDATE($E85,BF$1-1)))/100))),"")</f>
        <v/>
      </c>
      <c r="BG85" t="str" cm="1">
        <f t="array" ref="BG85">IFERROR(IF($E85&lt;44348,"",IF(INDEX(Raw_매출!$B$2:$BI$155,MATCH($A85,Raw_매출!$A$2:$A$155,0),MATCH(EDATE($E85,BG$1-1),Raw_매출!$B$1:$BI$1,0))=0,"",INDEX(Raw_매출!$B$2:$BI$155,MATCH($A85,Raw_매출!$A$2:$A$155,0),MATCH(EDATE($E85,BG$1-1),Raw_매출!$B$1:$BI$1,0))/(INDEX(요약_월별시즈널리티!$F$7:$F$18,MONTH(EDATE($E85,BG$1-1)))/100))),"")</f>
        <v/>
      </c>
      <c r="BH85" t="str" cm="1">
        <f t="array" ref="BH85">IFERROR(IF($E85&lt;44348,"",IF(INDEX(Raw_매출!$B$2:$BI$155,MATCH($A85,Raw_매출!$A$2:$A$155,0),MATCH(EDATE($E85,BH$1-1),Raw_매출!$B$1:$BI$1,0))=0,"",INDEX(Raw_매출!$B$2:$BI$155,MATCH($A85,Raw_매출!$A$2:$A$155,0),MATCH(EDATE($E85,BH$1-1),Raw_매출!$B$1:$BI$1,0))/(INDEX(요약_월별시즈널리티!$F$7:$F$18,MONTH(EDATE($E85,BH$1-1)))/100))),"")</f>
        <v/>
      </c>
      <c r="BI85" t="str" cm="1">
        <f t="array" ref="BI85">IFERROR(IF($E85&lt;44348,"",IF(INDEX(Raw_매출!$B$2:$BI$155,MATCH($A85,Raw_매출!$A$2:$A$155,0),MATCH(EDATE($E85,BI$1-1),Raw_매출!$B$1:$BI$1,0))=0,"",INDEX(Raw_매출!$B$2:$BI$155,MATCH($A85,Raw_매출!$A$2:$A$155,0),MATCH(EDATE($E85,BI$1-1),Raw_매출!$B$1:$BI$1,0))/(INDEX(요약_월별시즈널리티!$F$7:$F$18,MONTH(EDATE($E85,BI$1-1)))/100))),"")</f>
        <v/>
      </c>
      <c r="BJ85" t="str" cm="1">
        <f t="array" ref="BJ85">IFERROR(IF($E85&lt;44348,"",IF(INDEX(Raw_매출!$B$2:$BI$155,MATCH($A85,Raw_매출!$A$2:$A$155,0),MATCH(EDATE($E85,BJ$1-1),Raw_매출!$B$1:$BI$1,0))=0,"",INDEX(Raw_매출!$B$2:$BI$155,MATCH($A85,Raw_매출!$A$2:$A$155,0),MATCH(EDATE($E85,BJ$1-1),Raw_매출!$B$1:$BI$1,0))/(INDEX(요약_월별시즈널리티!$F$7:$F$18,MONTH(EDATE($E85,BJ$1-1)))/100))),"")</f>
        <v/>
      </c>
      <c r="BK85" t="str" cm="1">
        <f t="array" ref="BK85">IFERROR(IF($E85&lt;44348,"",IF(INDEX(Raw_매출!$B$2:$BI$155,MATCH($A85,Raw_매출!$A$2:$A$155,0),MATCH(EDATE($E85,BK$1-1),Raw_매출!$B$1:$BI$1,0))=0,"",INDEX(Raw_매출!$B$2:$BI$155,MATCH($A85,Raw_매출!$A$2:$A$155,0),MATCH(EDATE($E85,BK$1-1),Raw_매출!$B$1:$BI$1,0))/(INDEX(요약_월별시즈널리티!$F$7:$F$18,MONTH(EDATE($E85,BK$1-1)))/100))),"")</f>
        <v/>
      </c>
      <c r="BL85" t="str" cm="1">
        <f t="array" ref="BL85">IFERROR(IF($E85&lt;44348,"",IF(INDEX(Raw_매출!$B$2:$BI$155,MATCH($A85,Raw_매출!$A$2:$A$155,0),MATCH(EDATE($E85,BL$1-1),Raw_매출!$B$1:$BI$1,0))=0,"",INDEX(Raw_매출!$B$2:$BI$155,MATCH($A85,Raw_매출!$A$2:$A$155,0),MATCH(EDATE($E85,BL$1-1),Raw_매출!$B$1:$BI$1,0))/(INDEX(요약_월별시즈널리티!$F$7:$F$18,MONTH(EDATE($E85,BL$1-1)))/100))),"")</f>
        <v/>
      </c>
      <c r="BM85" t="str" cm="1">
        <f t="array" ref="BM85">IFERROR(IF($E85&lt;44348,"",IF(INDEX(Raw_매출!$B$2:$BI$155,MATCH($A85,Raw_매출!$A$2:$A$155,0),MATCH(EDATE($E85,BM$1-1),Raw_매출!$B$1:$BI$1,0))=0,"",INDEX(Raw_매출!$B$2:$BI$155,MATCH($A85,Raw_매출!$A$2:$A$155,0),MATCH(EDATE($E85,BM$1-1),Raw_매출!$B$1:$BI$1,0))/(INDEX(요약_월별시즈널리티!$F$7:$F$18,MONTH(EDATE($E85,BM$1-1)))/100))),"")</f>
        <v/>
      </c>
      <c r="BN85" t="str" cm="1">
        <f t="array" ref="BN85">IFERROR(IF($E85&lt;44348,"",IF(INDEX(Raw_매출!$B$2:$BI$155,MATCH($A85,Raw_매출!$A$2:$A$155,0),MATCH(EDATE($E85,BN$1-1),Raw_매출!$B$1:$BI$1,0))=0,"",INDEX(Raw_매출!$B$2:$BI$155,MATCH($A85,Raw_매출!$A$2:$A$155,0),MATCH(EDATE($E85,BN$1-1),Raw_매출!$B$1:$BI$1,0))/(INDEX(요약_월별시즈널리티!$F$7:$F$18,MONTH(EDATE($E85,BN$1-1)))/100))),"")</f>
        <v/>
      </c>
    </row>
    <row r="86" spans="1:66" x14ac:dyDescent="0.4">
      <c r="A86" t="str">
        <f>세팅!A87</f>
        <v>(1075) #연대동문점</v>
      </c>
      <c r="B86" t="str">
        <f>세팅!B87</f>
        <v>150-1</v>
      </c>
      <c r="C86">
        <f t="shared" si="3"/>
        <v>1</v>
      </c>
      <c r="D86" t="str">
        <f t="shared" si="4"/>
        <v>1</v>
      </c>
      <c r="E86" s="1">
        <f>세팅!D87</f>
        <v>45078</v>
      </c>
      <c r="F86">
        <f t="shared" si="5"/>
        <v>5522471.0536741242</v>
      </c>
      <c r="G86" cm="1">
        <f t="array" ref="G86">IFERROR(IF($E86&lt;44348,"",IF(INDEX(Raw_매출!$B$2:$BI$155,MATCH($A86,Raw_매출!$A$2:$A$155,0),MATCH(EDATE($E86,G$1-1),Raw_매출!$B$1:$BI$1,0))=0,"",INDEX(Raw_매출!$B$2:$BI$155,MATCH($A86,Raw_매출!$A$2:$A$155,0),MATCH(EDATE($E86,G$1-1),Raw_매출!$B$1:$BI$1,0))/(INDEX(요약_월별시즈널리티!$F$7:$F$18,MONTH(EDATE($E86,G$1-1)))/100))),"")</f>
        <v>3957272.32766598</v>
      </c>
      <c r="H86" cm="1">
        <f t="array" ref="H86">IFERROR(IF($E86&lt;44348,"",IF(INDEX(Raw_매출!$B$2:$BI$155,MATCH($A86,Raw_매출!$A$2:$A$155,0),MATCH(EDATE($E86,H$1-1),Raw_매출!$B$1:$BI$1,0))=0,"",INDEX(Raw_매출!$B$2:$BI$155,MATCH($A86,Raw_매출!$A$2:$A$155,0),MATCH(EDATE($E86,H$1-1),Raw_매출!$B$1:$BI$1,0))/(INDEX(요약_월별시즈널리티!$F$7:$F$18,MONTH(EDATE($E86,H$1-1)))/100))),"")</f>
        <v>4723522.9261661852</v>
      </c>
      <c r="I86" cm="1">
        <f t="array" ref="I86">IFERROR(IF($E86&lt;44348,"",IF(INDEX(Raw_매출!$B$2:$BI$155,MATCH($A86,Raw_매출!$A$2:$A$155,0),MATCH(EDATE($E86,I$1-1),Raw_매출!$B$1:$BI$1,0))=0,"",INDEX(Raw_매출!$B$2:$BI$155,MATCH($A86,Raw_매출!$A$2:$A$155,0),MATCH(EDATE($E86,I$1-1),Raw_매출!$B$1:$BI$1,0))/(INDEX(요약_월별시즈널리티!$F$7:$F$18,MONTH(EDATE($E86,I$1-1)))/100))),"")</f>
        <v>5120602.5337930406</v>
      </c>
      <c r="J86" s="30" cm="1">
        <f t="array" ref="J86">IFERROR(IF($E86&lt;44348,"",IF(INDEX(Raw_매출!$B$2:$BI$155,MATCH($A86,Raw_매출!$A$2:$A$155,0),MATCH(EDATE($E86,J$1-1),Raw_매출!$B$1:$BI$1,0))=0,"",INDEX(Raw_매출!$B$2:$BI$155,MATCH($A86,Raw_매출!$A$2:$A$155,0),MATCH(EDATE($E86,J$1-1),Raw_매출!$B$1:$BI$1,0))/(INDEX(요약_월별시즈널리티!$F$7:$F$18,MONTH(EDATE($E86,J$1-1)))/100))),"")</f>
        <v>5355881.1612811843</v>
      </c>
      <c r="K86" s="30" cm="1">
        <f t="array" ref="K86">IFERROR(IF($E86&lt;44348,"",IF(INDEX(Raw_매출!$B$2:$BI$155,MATCH($A86,Raw_매출!$A$2:$A$155,0),MATCH(EDATE($E86,K$1-1),Raw_매출!$B$1:$BI$1,0))=0,"",INDEX(Raw_매출!$B$2:$BI$155,MATCH($A86,Raw_매출!$A$2:$A$155,0),MATCH(EDATE($E86,K$1-1),Raw_매출!$B$1:$BI$1,0))/(INDEX(요약_월별시즈널리티!$F$7:$F$18,MONTH(EDATE($E86,K$1-1)))/100))),"")</f>
        <v>5617911.2638345286</v>
      </c>
      <c r="L86" s="30" cm="1">
        <f t="array" ref="L86">IFERROR(IF($E86&lt;44348,"",IF(INDEX(Raw_매출!$B$2:$BI$155,MATCH($A86,Raw_매출!$A$2:$A$155,0),MATCH(EDATE($E86,L$1-1),Raw_매출!$B$1:$BI$1,0))=0,"",INDEX(Raw_매출!$B$2:$BI$155,MATCH($A86,Raw_매출!$A$2:$A$155,0),MATCH(EDATE($E86,L$1-1),Raw_매출!$B$1:$BI$1,0))/(INDEX(요약_월별시즈널리티!$F$7:$F$18,MONTH(EDATE($E86,L$1-1)))/100))),"")</f>
        <v>5195340.8138245968</v>
      </c>
      <c r="M86" s="30" cm="1">
        <f t="array" ref="M86">IFERROR(IF($E86&lt;44348,"",IF(INDEX(Raw_매출!$B$2:$BI$155,MATCH($A86,Raw_매출!$A$2:$A$155,0),MATCH(EDATE($E86,M$1-1),Raw_매출!$B$1:$BI$1,0))=0,"",INDEX(Raw_매출!$B$2:$BI$155,MATCH($A86,Raw_매출!$A$2:$A$155,0),MATCH(EDATE($E86,M$1-1),Raw_매출!$B$1:$BI$1,0))/(INDEX(요약_월별시즈널리티!$F$7:$F$18,MONTH(EDATE($E86,M$1-1)))/100))),"")</f>
        <v>5704804.937385085</v>
      </c>
      <c r="N86" s="30" cm="1">
        <f t="array" ref="N86">IFERROR(IF($E86&lt;44348,"",IF(INDEX(Raw_매출!$B$2:$BI$155,MATCH($A86,Raw_매출!$A$2:$A$155,0),MATCH(EDATE($E86,N$1-1),Raw_매출!$B$1:$BI$1,0))=0,"",INDEX(Raw_매출!$B$2:$BI$155,MATCH($A86,Raw_매출!$A$2:$A$155,0),MATCH(EDATE($E86,N$1-1),Raw_매출!$B$1:$BI$1,0))/(INDEX(요약_월별시즈널리티!$F$7:$F$18,MONTH(EDATE($E86,N$1-1)))/100))),"")</f>
        <v>5563003.8260123413</v>
      </c>
      <c r="O86" s="30" cm="1">
        <f t="array" ref="O86">IFERROR(IF($E86&lt;44348,"",IF(INDEX(Raw_매출!$B$2:$BI$155,MATCH($A86,Raw_매출!$A$2:$A$155,0),MATCH(EDATE($E86,O$1-1),Raw_매출!$B$1:$BI$1,0))=0,"",INDEX(Raw_매출!$B$2:$BI$155,MATCH($A86,Raw_매출!$A$2:$A$155,0),MATCH(EDATE($E86,O$1-1),Raw_매출!$B$1:$BI$1,0))/(INDEX(요약_월별시즈널리티!$F$7:$F$18,MONTH(EDATE($E86,O$1-1)))/100))),"")</f>
        <v>5697884.3197070081</v>
      </c>
      <c r="P86" cm="1">
        <f t="array" ref="P86">IFERROR(IF($E86&lt;44348,"",IF(INDEX(Raw_매출!$B$2:$BI$155,MATCH($A86,Raw_매출!$A$2:$A$155,0),MATCH(EDATE($E86,P$1-1),Raw_매출!$B$1:$BI$1,0))=0,"",INDEX(Raw_매출!$B$2:$BI$155,MATCH($A86,Raw_매출!$A$2:$A$155,0),MATCH(EDATE($E86,P$1-1),Raw_매출!$B$1:$BI$1,0))/(INDEX(요약_월별시즈널리티!$F$7:$F$18,MONTH(EDATE($E86,P$1-1)))/100))),"")</f>
        <v>6542662.631661878</v>
      </c>
      <c r="Q86" cm="1">
        <f t="array" ref="Q86">IFERROR(IF($E86&lt;44348,"",IF(INDEX(Raw_매출!$B$2:$BI$155,MATCH($A86,Raw_매출!$A$2:$A$155,0),MATCH(EDATE($E86,Q$1-1),Raw_매출!$B$1:$BI$1,0))=0,"",INDEX(Raw_매출!$B$2:$BI$155,MATCH($A86,Raw_매출!$A$2:$A$155,0),MATCH(EDATE($E86,Q$1-1),Raw_매출!$B$1:$BI$1,0))/(INDEX(요약_월별시즈널리티!$F$7:$F$18,MONTH(EDATE($E86,Q$1-1)))/100))),"")</f>
        <v>4683527.4458928704</v>
      </c>
      <c r="R86" cm="1">
        <f t="array" ref="R86">IFERROR(IF($E86&lt;44348,"",IF(INDEX(Raw_매출!$B$2:$BI$155,MATCH($A86,Raw_매출!$A$2:$A$155,0),MATCH(EDATE($E86,R$1-1),Raw_매출!$B$1:$BI$1,0))=0,"",INDEX(Raw_매출!$B$2:$BI$155,MATCH($A86,Raw_매출!$A$2:$A$155,0),MATCH(EDATE($E86,R$1-1),Raw_매출!$B$1:$BI$1,0))/(INDEX(요약_월별시즈널리티!$F$7:$F$18,MONTH(EDATE($E86,R$1-1)))/100))),"")</f>
        <v>4759651.3035192601</v>
      </c>
      <c r="S86" cm="1">
        <f t="array" ref="S86">IFERROR(IF($E86&lt;44348,"",IF(INDEX(Raw_매출!$B$2:$BI$155,MATCH($A86,Raw_매출!$A$2:$A$155,0),MATCH(EDATE($E86,S$1-1),Raw_매출!$B$1:$BI$1,0))=0,"",INDEX(Raw_매출!$B$2:$BI$155,MATCH($A86,Raw_매출!$A$2:$A$155,0),MATCH(EDATE($E86,S$1-1),Raw_매출!$B$1:$BI$1,0))/(INDEX(요약_월별시즈널리티!$F$7:$F$18,MONTH(EDATE($E86,S$1-1)))/100))),"")</f>
        <v>4499035.9044497795</v>
      </c>
      <c r="T86" cm="1">
        <f t="array" ref="T86">IFERROR(IF($E86&lt;44348,"",IF(INDEX(Raw_매출!$B$2:$BI$155,MATCH($A86,Raw_매출!$A$2:$A$155,0),MATCH(EDATE($E86,T$1-1),Raw_매출!$B$1:$BI$1,0))=0,"",INDEX(Raw_매출!$B$2:$BI$155,MATCH($A86,Raw_매출!$A$2:$A$155,0),MATCH(EDATE($E86,T$1-1),Raw_매출!$B$1:$BI$1,0))/(INDEX(요약_월별시즈널리티!$F$7:$F$18,MONTH(EDATE($E86,T$1-1)))/100))),"")</f>
        <v>4877250.5497330148</v>
      </c>
      <c r="U86" cm="1">
        <f t="array" ref="U86">IFERROR(IF($E86&lt;44348,"",IF(INDEX(Raw_매출!$B$2:$BI$155,MATCH($A86,Raw_매출!$A$2:$A$155,0),MATCH(EDATE($E86,U$1-1),Raw_매출!$B$1:$BI$1,0))=0,"",INDEX(Raw_매출!$B$2:$BI$155,MATCH($A86,Raw_매출!$A$2:$A$155,0),MATCH(EDATE($E86,U$1-1),Raw_매출!$B$1:$BI$1,0))/(INDEX(요약_월별시즈널리티!$F$7:$F$18,MONTH(EDATE($E86,U$1-1)))/100))),"")</f>
        <v>5191218.2879339512</v>
      </c>
      <c r="V86" cm="1">
        <f t="array" ref="V86">IFERROR(IF($E86&lt;44348,"",IF(INDEX(Raw_매출!$B$2:$BI$155,MATCH($A86,Raw_매출!$A$2:$A$155,0),MATCH(EDATE($E86,V$1-1),Raw_매출!$B$1:$BI$1,0))=0,"",INDEX(Raw_매출!$B$2:$BI$155,MATCH($A86,Raw_매출!$A$2:$A$155,0),MATCH(EDATE($E86,V$1-1),Raw_매출!$B$1:$BI$1,0))/(INDEX(요약_월별시즈널리티!$F$7:$F$18,MONTH(EDATE($E86,V$1-1)))/100))),"")</f>
        <v>4675132.4357394334</v>
      </c>
      <c r="W86" cm="1">
        <f t="array" ref="W86">IFERROR(IF($E86&lt;44348,"",IF(INDEX(Raw_매출!$B$2:$BI$155,MATCH($A86,Raw_매출!$A$2:$A$155,0),MATCH(EDATE($E86,W$1-1),Raw_매출!$B$1:$BI$1,0))=0,"",INDEX(Raw_매출!$B$2:$BI$155,MATCH($A86,Raw_매출!$A$2:$A$155,0),MATCH(EDATE($E86,W$1-1),Raw_매출!$B$1:$BI$1,0))/(INDEX(요약_월별시즈널리티!$F$7:$F$18,MONTH(EDATE($E86,W$1-1)))/100))),"")</f>
        <v>4713413.7088757679</v>
      </c>
      <c r="X86" cm="1">
        <f t="array" ref="X86">IFERROR(IF($E86&lt;44348,"",IF(INDEX(Raw_매출!$B$2:$BI$155,MATCH($A86,Raw_매출!$A$2:$A$155,0),MATCH(EDATE($E86,X$1-1),Raw_매출!$B$1:$BI$1,0))=0,"",INDEX(Raw_매출!$B$2:$BI$155,MATCH($A86,Raw_매출!$A$2:$A$155,0),MATCH(EDATE($E86,X$1-1),Raw_매출!$B$1:$BI$1,0))/(INDEX(요약_월별시즈널리티!$F$7:$F$18,MONTH(EDATE($E86,X$1-1)))/100))),"")</f>
        <v>4626004.8427773556</v>
      </c>
      <c r="Y86" cm="1">
        <f t="array" ref="Y86">IFERROR(IF($E86&lt;44348,"",IF(INDEX(Raw_매출!$B$2:$BI$155,MATCH($A86,Raw_매출!$A$2:$A$155,0),MATCH(EDATE($E86,Y$1-1),Raw_매출!$B$1:$BI$1,0))=0,"",INDEX(Raw_매출!$B$2:$BI$155,MATCH($A86,Raw_매출!$A$2:$A$155,0),MATCH(EDATE($E86,Y$1-1),Raw_매출!$B$1:$BI$1,0))/(INDEX(요약_월별시즈널리티!$F$7:$F$18,MONTH(EDATE($E86,Y$1-1)))/100))),"")</f>
        <v>4396650.5684987102</v>
      </c>
      <c r="Z86" cm="1">
        <f t="array" ref="Z86">IFERROR(IF($E86&lt;44348,"",IF(INDEX(Raw_매출!$B$2:$BI$155,MATCH($A86,Raw_매출!$A$2:$A$155,0),MATCH(EDATE($E86,Z$1-1),Raw_매출!$B$1:$BI$1,0))=0,"",INDEX(Raw_매출!$B$2:$BI$155,MATCH($A86,Raw_매출!$A$2:$A$155,0),MATCH(EDATE($E86,Z$1-1),Raw_매출!$B$1:$BI$1,0))/(INDEX(요약_월별시즈널리티!$F$7:$F$18,MONTH(EDATE($E86,Z$1-1)))/100))),"")</f>
        <v>4207103.8962390563</v>
      </c>
      <c r="AA86" cm="1">
        <f t="array" ref="AA86">IFERROR(IF($E86&lt;44348,"",IF(INDEX(Raw_매출!$B$2:$BI$155,MATCH($A86,Raw_매출!$A$2:$A$155,0),MATCH(EDATE($E86,AA$1-1),Raw_매출!$B$1:$BI$1,0))=0,"",INDEX(Raw_매출!$B$2:$BI$155,MATCH($A86,Raw_매출!$A$2:$A$155,0),MATCH(EDATE($E86,AA$1-1),Raw_매출!$B$1:$BI$1,0))/(INDEX(요약_월별시즈널리티!$F$7:$F$18,MONTH(EDATE($E86,AA$1-1)))/100))),"")</f>
        <v>4820200.7090876279</v>
      </c>
      <c r="AB86" cm="1">
        <f t="array" ref="AB86">IFERROR(IF($E86&lt;44348,"",IF(INDEX(Raw_매출!$B$2:$BI$155,MATCH($A86,Raw_매출!$A$2:$A$155,0),MATCH(EDATE($E86,AB$1-1),Raw_매출!$B$1:$BI$1,0))=0,"",INDEX(Raw_매출!$B$2:$BI$155,MATCH($A86,Raw_매출!$A$2:$A$155,0),MATCH(EDATE($E86,AB$1-1),Raw_매출!$B$1:$BI$1,0))/(INDEX(요약_월별시즈널리티!$F$7:$F$18,MONTH(EDATE($E86,AB$1-1)))/100))),"")</f>
        <v>5155364.2935697157</v>
      </c>
      <c r="AC86" cm="1">
        <f t="array" ref="AC86">IFERROR(IF($E86&lt;44348,"",IF(INDEX(Raw_매출!$B$2:$BI$155,MATCH($A86,Raw_매출!$A$2:$A$155,0),MATCH(EDATE($E86,AC$1-1),Raw_매출!$B$1:$BI$1,0))=0,"",INDEX(Raw_매출!$B$2:$BI$155,MATCH($A86,Raw_매출!$A$2:$A$155,0),MATCH(EDATE($E86,AC$1-1),Raw_매출!$B$1:$BI$1,0))/(INDEX(요약_월별시즈널리티!$F$7:$F$18,MONTH(EDATE($E86,AC$1-1)))/100))),"")</f>
        <v>4450843.3028933164</v>
      </c>
      <c r="AD86" cm="1">
        <f t="array" ref="AD86">IFERROR(IF($E86&lt;44348,"",IF(INDEX(Raw_매출!$B$2:$BI$155,MATCH($A86,Raw_매출!$A$2:$A$155,0),MATCH(EDATE($E86,AD$1-1),Raw_매출!$B$1:$BI$1,0))=0,"",INDEX(Raw_매출!$B$2:$BI$155,MATCH($A86,Raw_매출!$A$2:$A$155,0),MATCH(EDATE($E86,AD$1-1),Raw_매출!$B$1:$BI$1,0))/(INDEX(요약_월별시즈널리티!$F$7:$F$18,MONTH(EDATE($E86,AD$1-1)))/100))),"")</f>
        <v>4950014.5781219387</v>
      </c>
      <c r="AE86" cm="1">
        <f t="array" ref="AE86">IFERROR(IF($E86&lt;44348,"",IF(INDEX(Raw_매출!$B$2:$BI$155,MATCH($A86,Raw_매출!$A$2:$A$155,0),MATCH(EDATE($E86,AE$1-1),Raw_매출!$B$1:$BI$1,0))=0,"",INDEX(Raw_매출!$B$2:$BI$155,MATCH($A86,Raw_매출!$A$2:$A$155,0),MATCH(EDATE($E86,AE$1-1),Raw_매출!$B$1:$BI$1,0))/(INDEX(요약_월별시즈널리티!$F$7:$F$18,MONTH(EDATE($E86,AE$1-1)))/100))),"")</f>
        <v>4873498.2965990417</v>
      </c>
      <c r="AF86" cm="1">
        <f t="array" ref="AF86">IFERROR(IF($E86&lt;44348,"",IF(INDEX(Raw_매출!$B$2:$BI$155,MATCH($A86,Raw_매출!$A$2:$A$155,0),MATCH(EDATE($E86,AF$1-1),Raw_매출!$B$1:$BI$1,0))=0,"",INDEX(Raw_매출!$B$2:$BI$155,MATCH($A86,Raw_매출!$A$2:$A$155,0),MATCH(EDATE($E86,AF$1-1),Raw_매출!$B$1:$BI$1,0))/(INDEX(요약_월별시즈널리티!$F$7:$F$18,MONTH(EDATE($E86,AF$1-1)))/100))),"")</f>
        <v>4722042.2039655354</v>
      </c>
      <c r="AG86" cm="1">
        <f t="array" ref="AG86">IFERROR(IF($E86&lt;44348,"",IF(INDEX(Raw_매출!$B$2:$BI$155,MATCH($A86,Raw_매출!$A$2:$A$155,0),MATCH(EDATE($E86,AG$1-1),Raw_매출!$B$1:$BI$1,0))=0,"",INDEX(Raw_매출!$B$2:$BI$155,MATCH($A86,Raw_매출!$A$2:$A$155,0),MATCH(EDATE($E86,AG$1-1),Raw_매출!$B$1:$BI$1,0))/(INDEX(요약_월별시즈널리티!$F$7:$F$18,MONTH(EDATE($E86,AG$1-1)))/100))),"")</f>
        <v>5135086.3090664614</v>
      </c>
      <c r="AH86" cm="1">
        <f t="array" ref="AH86">IFERROR(IF($E86&lt;44348,"",IF(INDEX(Raw_매출!$B$2:$BI$155,MATCH($A86,Raw_매출!$A$2:$A$155,0),MATCH(EDATE($E86,AH$1-1),Raw_매출!$B$1:$BI$1,0))=0,"",INDEX(Raw_매출!$B$2:$BI$155,MATCH($A86,Raw_매출!$A$2:$A$155,0),MATCH(EDATE($E86,AH$1-1),Raw_매출!$B$1:$BI$1,0))/(INDEX(요약_월별시즈널리티!$F$7:$F$18,MONTH(EDATE($E86,AH$1-1)))/100))),"")</f>
        <v>5320265.1757872384</v>
      </c>
      <c r="AI86" cm="1">
        <f t="array" ref="AI86">IFERROR(IF($E86&lt;44348,"",IF(INDEX(Raw_매출!$B$2:$BI$155,MATCH($A86,Raw_매출!$A$2:$A$155,0),MATCH(EDATE($E86,AI$1-1),Raw_매출!$B$1:$BI$1,0))=0,"",INDEX(Raw_매출!$B$2:$BI$155,MATCH($A86,Raw_매출!$A$2:$A$155,0),MATCH(EDATE($E86,AI$1-1),Raw_매출!$B$1:$BI$1,0))/(INDEX(요약_월별시즈널리티!$F$7:$F$18,MONTH(EDATE($E86,AI$1-1)))/100))),"")</f>
        <v>4589489.1957029477</v>
      </c>
      <c r="AJ86" cm="1">
        <f t="array" ref="AJ86">IFERROR(IF($E86&lt;44348,"",IF(INDEX(Raw_매출!$B$2:$BI$155,MATCH($A86,Raw_매출!$A$2:$A$155,0),MATCH(EDATE($E86,AJ$1-1),Raw_매출!$B$1:$BI$1,0))=0,"",INDEX(Raw_매출!$B$2:$BI$155,MATCH($A86,Raw_매출!$A$2:$A$155,0),MATCH(EDATE($E86,AJ$1-1),Raw_매출!$B$1:$BI$1,0))/(INDEX(요약_월별시즈널리티!$F$7:$F$18,MONTH(EDATE($E86,AJ$1-1)))/100))),"")</f>
        <v>4714197.8902030112</v>
      </c>
      <c r="AK86" cm="1">
        <f t="array" ref="AK86">IFERROR(IF($E86&lt;44348,"",IF(INDEX(Raw_매출!$B$2:$BI$155,MATCH($A86,Raw_매출!$A$2:$A$155,0),MATCH(EDATE($E86,AK$1-1),Raw_매출!$B$1:$BI$1,0))=0,"",INDEX(Raw_매출!$B$2:$BI$155,MATCH($A86,Raw_매출!$A$2:$A$155,0),MATCH(EDATE($E86,AK$1-1),Raw_매출!$B$1:$BI$1,0))/(INDEX(요약_월별시즈널리티!$F$7:$F$18,MONTH(EDATE($E86,AK$1-1)))/100))),"")</f>
        <v>4135356.4737768541</v>
      </c>
      <c r="AL86" cm="1">
        <f t="array" ref="AL86">IFERROR(IF($E86&lt;44348,"",IF(INDEX(Raw_매출!$B$2:$BI$155,MATCH($A86,Raw_매출!$A$2:$A$155,0),MATCH(EDATE($E86,AL$1-1),Raw_매출!$B$1:$BI$1,0))=0,"",INDEX(Raw_매출!$B$2:$BI$155,MATCH($A86,Raw_매출!$A$2:$A$155,0),MATCH(EDATE($E86,AL$1-1),Raw_매출!$B$1:$BI$1,0))/(INDEX(요약_월별시즈널리티!$F$7:$F$18,MONTH(EDATE($E86,AL$1-1)))/100))),"")</f>
        <v>4180475.4048937336</v>
      </c>
      <c r="AM86" cm="1">
        <f t="array" ref="AM86">IFERROR(IF($E86&lt;44348,"",IF(INDEX(Raw_매출!$B$2:$BI$155,MATCH($A86,Raw_매출!$A$2:$A$155,0),MATCH(EDATE($E86,AM$1-1),Raw_매출!$B$1:$BI$1,0))=0,"",INDEX(Raw_매출!$B$2:$BI$155,MATCH($A86,Raw_매출!$A$2:$A$155,0),MATCH(EDATE($E86,AM$1-1),Raw_매출!$B$1:$BI$1,0))/(INDEX(요약_월별시즈널리티!$F$7:$F$18,MONTH(EDATE($E86,AM$1-1)))/100))),"")</f>
        <v>4848532.2192955147</v>
      </c>
      <c r="AN86" cm="1">
        <f t="array" ref="AN86">IFERROR(IF($E86&lt;44348,"",IF(INDEX(Raw_매출!$B$2:$BI$155,MATCH($A86,Raw_매출!$A$2:$A$155,0),MATCH(EDATE($E86,AN$1-1),Raw_매출!$B$1:$BI$1,0))=0,"",INDEX(Raw_매출!$B$2:$BI$155,MATCH($A86,Raw_매출!$A$2:$A$155,0),MATCH(EDATE($E86,AN$1-1),Raw_매출!$B$1:$BI$1,0))/(INDEX(요약_월별시즈널리티!$F$7:$F$18,MONTH(EDATE($E86,AN$1-1)))/100))),"")</f>
        <v>4955408.7522056019</v>
      </c>
      <c r="AO86" cm="1">
        <f t="array" ref="AO86">IFERROR(IF($E86&lt;44348,"",IF(INDEX(Raw_매출!$B$2:$BI$155,MATCH($A86,Raw_매출!$A$2:$A$155,0),MATCH(EDATE($E86,AO$1-1),Raw_매출!$B$1:$BI$1,0))=0,"",INDEX(Raw_매출!$B$2:$BI$155,MATCH($A86,Raw_매출!$A$2:$A$155,0),MATCH(EDATE($E86,AO$1-1),Raw_매출!$B$1:$BI$1,0))/(INDEX(요약_월별시즈널리티!$F$7:$F$18,MONTH(EDATE($E86,AO$1-1)))/100))),"")</f>
        <v>4754843.5709540155</v>
      </c>
      <c r="AP86" cm="1">
        <f t="array" ref="AP86">IFERROR(IF($E86&lt;44348,"",IF(INDEX(Raw_매출!$B$2:$BI$155,MATCH($A86,Raw_매출!$A$2:$A$155,0),MATCH(EDATE($E86,AP$1-1),Raw_매출!$B$1:$BI$1,0))=0,"",INDEX(Raw_매출!$B$2:$BI$155,MATCH($A86,Raw_매출!$A$2:$A$155,0),MATCH(EDATE($E86,AP$1-1),Raw_매출!$B$1:$BI$1,0))/(INDEX(요약_월별시즈널리티!$F$7:$F$18,MONTH(EDATE($E86,AP$1-1)))/100))),"")</f>
        <v>5645650.0820880635</v>
      </c>
      <c r="AQ86" t="str" cm="1">
        <f t="array" ref="AQ86">IFERROR(IF($E86&lt;44348,"",IF(INDEX(Raw_매출!$B$2:$BI$155,MATCH($A86,Raw_매출!$A$2:$A$155,0),MATCH(EDATE($E86,AQ$1-1),Raw_매출!$B$1:$BI$1,0))=0,"",INDEX(Raw_매출!$B$2:$BI$155,MATCH($A86,Raw_매출!$A$2:$A$155,0),MATCH(EDATE($E86,AQ$1-1),Raw_매출!$B$1:$BI$1,0))/(INDEX(요약_월별시즈널리티!$F$7:$F$18,MONTH(EDATE($E86,AQ$1-1)))/100))),"")</f>
        <v/>
      </c>
      <c r="AR86" t="str" cm="1">
        <f t="array" ref="AR86">IFERROR(IF($E86&lt;44348,"",IF(INDEX(Raw_매출!$B$2:$BI$155,MATCH($A86,Raw_매출!$A$2:$A$155,0),MATCH(EDATE($E86,AR$1-1),Raw_매출!$B$1:$BI$1,0))=0,"",INDEX(Raw_매출!$B$2:$BI$155,MATCH($A86,Raw_매출!$A$2:$A$155,0),MATCH(EDATE($E86,AR$1-1),Raw_매출!$B$1:$BI$1,0))/(INDEX(요약_월별시즈널리티!$F$7:$F$18,MONTH(EDATE($E86,AR$1-1)))/100))),"")</f>
        <v/>
      </c>
      <c r="AS86" t="str" cm="1">
        <f t="array" ref="AS86">IFERROR(IF($E86&lt;44348,"",IF(INDEX(Raw_매출!$B$2:$BI$155,MATCH($A86,Raw_매출!$A$2:$A$155,0),MATCH(EDATE($E86,AS$1-1),Raw_매출!$B$1:$BI$1,0))=0,"",INDEX(Raw_매출!$B$2:$BI$155,MATCH($A86,Raw_매출!$A$2:$A$155,0),MATCH(EDATE($E86,AS$1-1),Raw_매출!$B$1:$BI$1,0))/(INDEX(요약_월별시즈널리티!$F$7:$F$18,MONTH(EDATE($E86,AS$1-1)))/100))),"")</f>
        <v/>
      </c>
      <c r="AT86" t="str" cm="1">
        <f t="array" ref="AT86">IFERROR(IF($E86&lt;44348,"",IF(INDEX(Raw_매출!$B$2:$BI$155,MATCH($A86,Raw_매출!$A$2:$A$155,0),MATCH(EDATE($E86,AT$1-1),Raw_매출!$B$1:$BI$1,0))=0,"",INDEX(Raw_매출!$B$2:$BI$155,MATCH($A86,Raw_매출!$A$2:$A$155,0),MATCH(EDATE($E86,AT$1-1),Raw_매출!$B$1:$BI$1,0))/(INDEX(요약_월별시즈널리티!$F$7:$F$18,MONTH(EDATE($E86,AT$1-1)))/100))),"")</f>
        <v/>
      </c>
      <c r="AU86" t="str" cm="1">
        <f t="array" ref="AU86">IFERROR(IF($E86&lt;44348,"",IF(INDEX(Raw_매출!$B$2:$BI$155,MATCH($A86,Raw_매출!$A$2:$A$155,0),MATCH(EDATE($E86,AU$1-1),Raw_매출!$B$1:$BI$1,0))=0,"",INDEX(Raw_매출!$B$2:$BI$155,MATCH($A86,Raw_매출!$A$2:$A$155,0),MATCH(EDATE($E86,AU$1-1),Raw_매출!$B$1:$BI$1,0))/(INDEX(요약_월별시즈널리티!$F$7:$F$18,MONTH(EDATE($E86,AU$1-1)))/100))),"")</f>
        <v/>
      </c>
      <c r="AV86" t="str" cm="1">
        <f t="array" ref="AV86">IFERROR(IF($E86&lt;44348,"",IF(INDEX(Raw_매출!$B$2:$BI$155,MATCH($A86,Raw_매출!$A$2:$A$155,0),MATCH(EDATE($E86,AV$1-1),Raw_매출!$B$1:$BI$1,0))=0,"",INDEX(Raw_매출!$B$2:$BI$155,MATCH($A86,Raw_매출!$A$2:$A$155,0),MATCH(EDATE($E86,AV$1-1),Raw_매출!$B$1:$BI$1,0))/(INDEX(요약_월별시즈널리티!$F$7:$F$18,MONTH(EDATE($E86,AV$1-1)))/100))),"")</f>
        <v/>
      </c>
      <c r="AW86" t="str" cm="1">
        <f t="array" ref="AW86">IFERROR(IF($E86&lt;44348,"",IF(INDEX(Raw_매출!$B$2:$BI$155,MATCH($A86,Raw_매출!$A$2:$A$155,0),MATCH(EDATE($E86,AW$1-1),Raw_매출!$B$1:$BI$1,0))=0,"",INDEX(Raw_매출!$B$2:$BI$155,MATCH($A86,Raw_매출!$A$2:$A$155,0),MATCH(EDATE($E86,AW$1-1),Raw_매출!$B$1:$BI$1,0))/(INDEX(요약_월별시즈널리티!$F$7:$F$18,MONTH(EDATE($E86,AW$1-1)))/100))),"")</f>
        <v/>
      </c>
      <c r="AX86" t="str" cm="1">
        <f t="array" ref="AX86">IFERROR(IF($E86&lt;44348,"",IF(INDEX(Raw_매출!$B$2:$BI$155,MATCH($A86,Raw_매출!$A$2:$A$155,0),MATCH(EDATE($E86,AX$1-1),Raw_매출!$B$1:$BI$1,0))=0,"",INDEX(Raw_매출!$B$2:$BI$155,MATCH($A86,Raw_매출!$A$2:$A$155,0),MATCH(EDATE($E86,AX$1-1),Raw_매출!$B$1:$BI$1,0))/(INDEX(요약_월별시즈널리티!$F$7:$F$18,MONTH(EDATE($E86,AX$1-1)))/100))),"")</f>
        <v/>
      </c>
      <c r="AY86" t="str" cm="1">
        <f t="array" ref="AY86">IFERROR(IF($E86&lt;44348,"",IF(INDEX(Raw_매출!$B$2:$BI$155,MATCH($A86,Raw_매출!$A$2:$A$155,0),MATCH(EDATE($E86,AY$1-1),Raw_매출!$B$1:$BI$1,0))=0,"",INDEX(Raw_매출!$B$2:$BI$155,MATCH($A86,Raw_매출!$A$2:$A$155,0),MATCH(EDATE($E86,AY$1-1),Raw_매출!$B$1:$BI$1,0))/(INDEX(요약_월별시즈널리티!$F$7:$F$18,MONTH(EDATE($E86,AY$1-1)))/100))),"")</f>
        <v/>
      </c>
      <c r="AZ86" t="str" cm="1">
        <f t="array" ref="AZ86">IFERROR(IF($E86&lt;44348,"",IF(INDEX(Raw_매출!$B$2:$BI$155,MATCH($A86,Raw_매출!$A$2:$A$155,0),MATCH(EDATE($E86,AZ$1-1),Raw_매출!$B$1:$BI$1,0))=0,"",INDEX(Raw_매출!$B$2:$BI$155,MATCH($A86,Raw_매출!$A$2:$A$155,0),MATCH(EDATE($E86,AZ$1-1),Raw_매출!$B$1:$BI$1,0))/(INDEX(요약_월별시즈널리티!$F$7:$F$18,MONTH(EDATE($E86,AZ$1-1)))/100))),"")</f>
        <v/>
      </c>
      <c r="BA86" t="str" cm="1">
        <f t="array" ref="BA86">IFERROR(IF($E86&lt;44348,"",IF(INDEX(Raw_매출!$B$2:$BI$155,MATCH($A86,Raw_매출!$A$2:$A$155,0),MATCH(EDATE($E86,BA$1-1),Raw_매출!$B$1:$BI$1,0))=0,"",INDEX(Raw_매출!$B$2:$BI$155,MATCH($A86,Raw_매출!$A$2:$A$155,0),MATCH(EDATE($E86,BA$1-1),Raw_매출!$B$1:$BI$1,0))/(INDEX(요약_월별시즈널리티!$F$7:$F$18,MONTH(EDATE($E86,BA$1-1)))/100))),"")</f>
        <v/>
      </c>
      <c r="BB86" t="str" cm="1">
        <f t="array" ref="BB86">IFERROR(IF($E86&lt;44348,"",IF(INDEX(Raw_매출!$B$2:$BI$155,MATCH($A86,Raw_매출!$A$2:$A$155,0),MATCH(EDATE($E86,BB$1-1),Raw_매출!$B$1:$BI$1,0))=0,"",INDEX(Raw_매출!$B$2:$BI$155,MATCH($A86,Raw_매출!$A$2:$A$155,0),MATCH(EDATE($E86,BB$1-1),Raw_매출!$B$1:$BI$1,0))/(INDEX(요약_월별시즈널리티!$F$7:$F$18,MONTH(EDATE($E86,BB$1-1)))/100))),"")</f>
        <v/>
      </c>
      <c r="BC86" t="str" cm="1">
        <f t="array" ref="BC86">IFERROR(IF($E86&lt;44348,"",IF(INDEX(Raw_매출!$B$2:$BI$155,MATCH($A86,Raw_매출!$A$2:$A$155,0),MATCH(EDATE($E86,BC$1-1),Raw_매출!$B$1:$BI$1,0))=0,"",INDEX(Raw_매출!$B$2:$BI$155,MATCH($A86,Raw_매출!$A$2:$A$155,0),MATCH(EDATE($E86,BC$1-1),Raw_매출!$B$1:$BI$1,0))/(INDEX(요약_월별시즈널리티!$F$7:$F$18,MONTH(EDATE($E86,BC$1-1)))/100))),"")</f>
        <v/>
      </c>
      <c r="BD86" t="str" cm="1">
        <f t="array" ref="BD86">IFERROR(IF($E86&lt;44348,"",IF(INDEX(Raw_매출!$B$2:$BI$155,MATCH($A86,Raw_매출!$A$2:$A$155,0),MATCH(EDATE($E86,BD$1-1),Raw_매출!$B$1:$BI$1,0))=0,"",INDEX(Raw_매출!$B$2:$BI$155,MATCH($A86,Raw_매출!$A$2:$A$155,0),MATCH(EDATE($E86,BD$1-1),Raw_매출!$B$1:$BI$1,0))/(INDEX(요약_월별시즈널리티!$F$7:$F$18,MONTH(EDATE($E86,BD$1-1)))/100))),"")</f>
        <v/>
      </c>
      <c r="BE86" t="str" cm="1">
        <f t="array" ref="BE86">IFERROR(IF($E86&lt;44348,"",IF(INDEX(Raw_매출!$B$2:$BI$155,MATCH($A86,Raw_매출!$A$2:$A$155,0),MATCH(EDATE($E86,BE$1-1),Raw_매출!$B$1:$BI$1,0))=0,"",INDEX(Raw_매출!$B$2:$BI$155,MATCH($A86,Raw_매출!$A$2:$A$155,0),MATCH(EDATE($E86,BE$1-1),Raw_매출!$B$1:$BI$1,0))/(INDEX(요약_월별시즈널리티!$F$7:$F$18,MONTH(EDATE($E86,BE$1-1)))/100))),"")</f>
        <v/>
      </c>
      <c r="BF86" t="str" cm="1">
        <f t="array" ref="BF86">IFERROR(IF($E86&lt;44348,"",IF(INDEX(Raw_매출!$B$2:$BI$155,MATCH($A86,Raw_매출!$A$2:$A$155,0),MATCH(EDATE($E86,BF$1-1),Raw_매출!$B$1:$BI$1,0))=0,"",INDEX(Raw_매출!$B$2:$BI$155,MATCH($A86,Raw_매출!$A$2:$A$155,0),MATCH(EDATE($E86,BF$1-1),Raw_매출!$B$1:$BI$1,0))/(INDEX(요약_월별시즈널리티!$F$7:$F$18,MONTH(EDATE($E86,BF$1-1)))/100))),"")</f>
        <v/>
      </c>
      <c r="BG86" t="str" cm="1">
        <f t="array" ref="BG86">IFERROR(IF($E86&lt;44348,"",IF(INDEX(Raw_매출!$B$2:$BI$155,MATCH($A86,Raw_매출!$A$2:$A$155,0),MATCH(EDATE($E86,BG$1-1),Raw_매출!$B$1:$BI$1,0))=0,"",INDEX(Raw_매출!$B$2:$BI$155,MATCH($A86,Raw_매출!$A$2:$A$155,0),MATCH(EDATE($E86,BG$1-1),Raw_매출!$B$1:$BI$1,0))/(INDEX(요약_월별시즈널리티!$F$7:$F$18,MONTH(EDATE($E86,BG$1-1)))/100))),"")</f>
        <v/>
      </c>
      <c r="BH86" t="str" cm="1">
        <f t="array" ref="BH86">IFERROR(IF($E86&lt;44348,"",IF(INDEX(Raw_매출!$B$2:$BI$155,MATCH($A86,Raw_매출!$A$2:$A$155,0),MATCH(EDATE($E86,BH$1-1),Raw_매출!$B$1:$BI$1,0))=0,"",INDEX(Raw_매출!$B$2:$BI$155,MATCH($A86,Raw_매출!$A$2:$A$155,0),MATCH(EDATE($E86,BH$1-1),Raw_매출!$B$1:$BI$1,0))/(INDEX(요약_월별시즈널리티!$F$7:$F$18,MONTH(EDATE($E86,BH$1-1)))/100))),"")</f>
        <v/>
      </c>
      <c r="BI86" t="str" cm="1">
        <f t="array" ref="BI86">IFERROR(IF($E86&lt;44348,"",IF(INDEX(Raw_매출!$B$2:$BI$155,MATCH($A86,Raw_매출!$A$2:$A$155,0),MATCH(EDATE($E86,BI$1-1),Raw_매출!$B$1:$BI$1,0))=0,"",INDEX(Raw_매출!$B$2:$BI$155,MATCH($A86,Raw_매출!$A$2:$A$155,0),MATCH(EDATE($E86,BI$1-1),Raw_매출!$B$1:$BI$1,0))/(INDEX(요약_월별시즈널리티!$F$7:$F$18,MONTH(EDATE($E86,BI$1-1)))/100))),"")</f>
        <v/>
      </c>
      <c r="BJ86" t="str" cm="1">
        <f t="array" ref="BJ86">IFERROR(IF($E86&lt;44348,"",IF(INDEX(Raw_매출!$B$2:$BI$155,MATCH($A86,Raw_매출!$A$2:$A$155,0),MATCH(EDATE($E86,BJ$1-1),Raw_매출!$B$1:$BI$1,0))=0,"",INDEX(Raw_매출!$B$2:$BI$155,MATCH($A86,Raw_매출!$A$2:$A$155,0),MATCH(EDATE($E86,BJ$1-1),Raw_매출!$B$1:$BI$1,0))/(INDEX(요약_월별시즈널리티!$F$7:$F$18,MONTH(EDATE($E86,BJ$1-1)))/100))),"")</f>
        <v/>
      </c>
      <c r="BK86" t="str" cm="1">
        <f t="array" ref="BK86">IFERROR(IF($E86&lt;44348,"",IF(INDEX(Raw_매출!$B$2:$BI$155,MATCH($A86,Raw_매출!$A$2:$A$155,0),MATCH(EDATE($E86,BK$1-1),Raw_매출!$B$1:$BI$1,0))=0,"",INDEX(Raw_매출!$B$2:$BI$155,MATCH($A86,Raw_매출!$A$2:$A$155,0),MATCH(EDATE($E86,BK$1-1),Raw_매출!$B$1:$BI$1,0))/(INDEX(요약_월별시즈널리티!$F$7:$F$18,MONTH(EDATE($E86,BK$1-1)))/100))),"")</f>
        <v/>
      </c>
      <c r="BL86" t="str" cm="1">
        <f t="array" ref="BL86">IFERROR(IF($E86&lt;44348,"",IF(INDEX(Raw_매출!$B$2:$BI$155,MATCH($A86,Raw_매출!$A$2:$A$155,0),MATCH(EDATE($E86,BL$1-1),Raw_매출!$B$1:$BI$1,0))=0,"",INDEX(Raw_매출!$B$2:$BI$155,MATCH($A86,Raw_매출!$A$2:$A$155,0),MATCH(EDATE($E86,BL$1-1),Raw_매출!$B$1:$BI$1,0))/(INDEX(요약_월별시즈널리티!$F$7:$F$18,MONTH(EDATE($E86,BL$1-1)))/100))),"")</f>
        <v/>
      </c>
      <c r="BM86" t="str" cm="1">
        <f t="array" ref="BM86">IFERROR(IF($E86&lt;44348,"",IF(INDEX(Raw_매출!$B$2:$BI$155,MATCH($A86,Raw_매출!$A$2:$A$155,0),MATCH(EDATE($E86,BM$1-1),Raw_매출!$B$1:$BI$1,0))=0,"",INDEX(Raw_매출!$B$2:$BI$155,MATCH($A86,Raw_매출!$A$2:$A$155,0),MATCH(EDATE($E86,BM$1-1),Raw_매출!$B$1:$BI$1,0))/(INDEX(요약_월별시즈널리티!$F$7:$F$18,MONTH(EDATE($E86,BM$1-1)))/100))),"")</f>
        <v/>
      </c>
      <c r="BN86" t="str" cm="1">
        <f t="array" ref="BN86">IFERROR(IF($E86&lt;44348,"",IF(INDEX(Raw_매출!$B$2:$BI$155,MATCH($A86,Raw_매출!$A$2:$A$155,0),MATCH(EDATE($E86,BN$1-1),Raw_매출!$B$1:$BI$1,0))=0,"",INDEX(Raw_매출!$B$2:$BI$155,MATCH($A86,Raw_매출!$A$2:$A$155,0),MATCH(EDATE($E86,BN$1-1),Raw_매출!$B$1:$BI$1,0))/(INDEX(요약_월별시즈널리티!$F$7:$F$18,MONTH(EDATE($E86,BN$1-1)))/100))),"")</f>
        <v/>
      </c>
    </row>
    <row r="87" spans="1:66" x14ac:dyDescent="0.4">
      <c r="A87" t="str">
        <f>세팅!A88</f>
        <v>(1076) #수원매탄스쿨점</v>
      </c>
      <c r="B87" t="str">
        <f>세팅!B88</f>
        <v>150-0</v>
      </c>
      <c r="C87">
        <f t="shared" si="3"/>
        <v>0</v>
      </c>
      <c r="D87" t="str">
        <f t="shared" si="4"/>
        <v>0</v>
      </c>
      <c r="E87" s="1">
        <f>세팅!D88</f>
        <v>45108</v>
      </c>
      <c r="F87">
        <f t="shared" si="5"/>
        <v>4865677.8820060771</v>
      </c>
      <c r="G87" cm="1">
        <f t="array" ref="G87">IFERROR(IF($E87&lt;44348,"",IF(INDEX(Raw_매출!$B$2:$BI$155,MATCH($A87,Raw_매출!$A$2:$A$155,0),MATCH(EDATE($E87,G$1-1),Raw_매출!$B$1:$BI$1,0))=0,"",INDEX(Raw_매출!$B$2:$BI$155,MATCH($A87,Raw_매출!$A$2:$A$155,0),MATCH(EDATE($E87,G$1-1),Raw_매출!$B$1:$BI$1,0))/(INDEX(요약_월별시즈널리티!$F$7:$F$18,MONTH(EDATE($E87,G$1-1)))/100))),"")</f>
        <v>3281805.8141953116</v>
      </c>
      <c r="H87" cm="1">
        <f t="array" ref="H87">IFERROR(IF($E87&lt;44348,"",IF(INDEX(Raw_매출!$B$2:$BI$155,MATCH($A87,Raw_매출!$A$2:$A$155,0),MATCH(EDATE($E87,H$1-1),Raw_매출!$B$1:$BI$1,0))=0,"",INDEX(Raw_매출!$B$2:$BI$155,MATCH($A87,Raw_매출!$A$2:$A$155,0),MATCH(EDATE($E87,H$1-1),Raw_매출!$B$1:$BI$1,0))/(INDEX(요약_월별시즈널리티!$F$7:$F$18,MONTH(EDATE($E87,H$1-1)))/100))),"")</f>
        <v>3702976.080069412</v>
      </c>
      <c r="I87" cm="1">
        <f t="array" ref="I87">IFERROR(IF($E87&lt;44348,"",IF(INDEX(Raw_매출!$B$2:$BI$155,MATCH($A87,Raw_매출!$A$2:$A$155,0),MATCH(EDATE($E87,I$1-1),Raw_매출!$B$1:$BI$1,0))=0,"",INDEX(Raw_매출!$B$2:$BI$155,MATCH($A87,Raw_매출!$A$2:$A$155,0),MATCH(EDATE($E87,I$1-1),Raw_매출!$B$1:$BI$1,0))/(INDEX(요약_월별시즈널리티!$F$7:$F$18,MONTH(EDATE($E87,I$1-1)))/100))),"")</f>
        <v>4406554.3465869622</v>
      </c>
      <c r="J87" s="30" cm="1">
        <f t="array" ref="J87">IFERROR(IF($E87&lt;44348,"",IF(INDEX(Raw_매출!$B$2:$BI$155,MATCH($A87,Raw_매출!$A$2:$A$155,0),MATCH(EDATE($E87,J$1-1),Raw_매출!$B$1:$BI$1,0))=0,"",INDEX(Raw_매출!$B$2:$BI$155,MATCH($A87,Raw_매출!$A$2:$A$155,0),MATCH(EDATE($E87,J$1-1),Raw_매출!$B$1:$BI$1,0))/(INDEX(요약_월별시즈널리티!$F$7:$F$18,MONTH(EDATE($E87,J$1-1)))/100))),"")</f>
        <v>3917571.7829187964</v>
      </c>
      <c r="K87" s="30" cm="1">
        <f t="array" ref="K87">IFERROR(IF($E87&lt;44348,"",IF(INDEX(Raw_매출!$B$2:$BI$155,MATCH($A87,Raw_매출!$A$2:$A$155,0),MATCH(EDATE($E87,K$1-1),Raw_매출!$B$1:$BI$1,0))=0,"",INDEX(Raw_매출!$B$2:$BI$155,MATCH($A87,Raw_매출!$A$2:$A$155,0),MATCH(EDATE($E87,K$1-1),Raw_매출!$B$1:$BI$1,0))/(INDEX(요약_월별시즈널리티!$F$7:$F$18,MONTH(EDATE($E87,K$1-1)))/100))),"")</f>
        <v>4402448.6263939803</v>
      </c>
      <c r="L87" s="30" cm="1">
        <f t="array" ref="L87">IFERROR(IF($E87&lt;44348,"",IF(INDEX(Raw_매출!$B$2:$BI$155,MATCH($A87,Raw_매출!$A$2:$A$155,0),MATCH(EDATE($E87,L$1-1),Raw_매출!$B$1:$BI$1,0))=0,"",INDEX(Raw_매출!$B$2:$BI$155,MATCH($A87,Raw_매출!$A$2:$A$155,0),MATCH(EDATE($E87,L$1-1),Raw_매출!$B$1:$BI$1,0))/(INDEX(요약_월별시즈널리티!$F$7:$F$18,MONTH(EDATE($E87,L$1-1)))/100))),"")</f>
        <v>4805866.1535103275</v>
      </c>
      <c r="M87" s="30" cm="1">
        <f t="array" ref="M87">IFERROR(IF($E87&lt;44348,"",IF(INDEX(Raw_매출!$B$2:$BI$155,MATCH($A87,Raw_매출!$A$2:$A$155,0),MATCH(EDATE($E87,M$1-1),Raw_매출!$B$1:$BI$1,0))=0,"",INDEX(Raw_매출!$B$2:$BI$155,MATCH($A87,Raw_매출!$A$2:$A$155,0),MATCH(EDATE($E87,M$1-1),Raw_매출!$B$1:$BI$1,0))/(INDEX(요약_월별시즈널리티!$F$7:$F$18,MONTH(EDATE($E87,M$1-1)))/100))),"")</f>
        <v>5291445.9439758863</v>
      </c>
      <c r="N87" s="30" cm="1">
        <f t="array" ref="N87">IFERROR(IF($E87&lt;44348,"",IF(INDEX(Raw_매출!$B$2:$BI$155,MATCH($A87,Raw_매출!$A$2:$A$155,0),MATCH(EDATE($E87,N$1-1),Raw_매출!$B$1:$BI$1,0))=0,"",INDEX(Raw_매출!$B$2:$BI$155,MATCH($A87,Raw_매출!$A$2:$A$155,0),MATCH(EDATE($E87,N$1-1),Raw_매출!$B$1:$BI$1,0))/(INDEX(요약_월별시즈널리티!$F$7:$F$18,MONTH(EDATE($E87,N$1-1)))/100))),"")</f>
        <v>5461776.5371914459</v>
      </c>
      <c r="O87" s="30" cm="1">
        <f t="array" ref="O87">IFERROR(IF($E87&lt;44348,"",IF(INDEX(Raw_매출!$B$2:$BI$155,MATCH($A87,Raw_매출!$A$2:$A$155,0),MATCH(EDATE($E87,O$1-1),Raw_매출!$B$1:$BI$1,0))=0,"",INDEX(Raw_매출!$B$2:$BI$155,MATCH($A87,Raw_매출!$A$2:$A$155,0),MATCH(EDATE($E87,O$1-1),Raw_매출!$B$1:$BI$1,0))/(INDEX(요약_월별시즈널리티!$F$7:$F$18,MONTH(EDATE($E87,O$1-1)))/100))),"")</f>
        <v>5314958.2480460247</v>
      </c>
      <c r="P87" cm="1">
        <f t="array" ref="P87">IFERROR(IF($E87&lt;44348,"",IF(INDEX(Raw_매출!$B$2:$BI$155,MATCH($A87,Raw_매출!$A$2:$A$155,0),MATCH(EDATE($E87,P$1-1),Raw_매출!$B$1:$BI$1,0))=0,"",INDEX(Raw_매출!$B$2:$BI$155,MATCH($A87,Raw_매출!$A$2:$A$155,0),MATCH(EDATE($E87,P$1-1),Raw_매출!$B$1:$BI$1,0))/(INDEX(요약_월별시즈널리티!$F$7:$F$18,MONTH(EDATE($E87,P$1-1)))/100))),"")</f>
        <v>5126636.6449068971</v>
      </c>
      <c r="Q87" cm="1">
        <f t="array" ref="Q87">IFERROR(IF($E87&lt;44348,"",IF(INDEX(Raw_매출!$B$2:$BI$155,MATCH($A87,Raw_매출!$A$2:$A$155,0),MATCH(EDATE($E87,Q$1-1),Raw_매출!$B$1:$BI$1,0))=0,"",INDEX(Raw_매출!$B$2:$BI$155,MATCH($A87,Raw_매출!$A$2:$A$155,0),MATCH(EDATE($E87,Q$1-1),Raw_매출!$B$1:$BI$1,0))/(INDEX(요약_월별시즈널리티!$F$7:$F$18,MONTH(EDATE($E87,Q$1-1)))/100))),"")</f>
        <v>5007034.3484785492</v>
      </c>
      <c r="R87" cm="1">
        <f t="array" ref="R87">IFERROR(IF($E87&lt;44348,"",IF(INDEX(Raw_매출!$B$2:$BI$155,MATCH($A87,Raw_매출!$A$2:$A$155,0),MATCH(EDATE($E87,R$1-1),Raw_매출!$B$1:$BI$1,0))=0,"",INDEX(Raw_매출!$B$2:$BI$155,MATCH($A87,Raw_매출!$A$2:$A$155,0),MATCH(EDATE($E87,R$1-1),Raw_매출!$B$1:$BI$1,0))/(INDEX(요약_월별시즈널리티!$F$7:$F$18,MONTH(EDATE($E87,R$1-1)))/100))),"")</f>
        <v>5524032.9389919443</v>
      </c>
      <c r="S87" cm="1">
        <f t="array" ref="S87">IFERROR(IF($E87&lt;44348,"",IF(INDEX(Raw_매출!$B$2:$BI$155,MATCH($A87,Raw_매출!$A$2:$A$155,0),MATCH(EDATE($E87,S$1-1),Raw_매출!$B$1:$BI$1,0))=0,"",INDEX(Raw_매출!$B$2:$BI$155,MATCH($A87,Raw_매출!$A$2:$A$155,0),MATCH(EDATE($E87,S$1-1),Raw_매출!$B$1:$BI$1,0))/(INDEX(요약_월별시즈널리티!$F$7:$F$18,MONTH(EDATE($E87,S$1-1)))/100))),"")</f>
        <v>6193736.7757147271</v>
      </c>
      <c r="T87" cm="1">
        <f t="array" ref="T87">IFERROR(IF($E87&lt;44348,"",IF(INDEX(Raw_매출!$B$2:$BI$155,MATCH($A87,Raw_매출!$A$2:$A$155,0),MATCH(EDATE($E87,T$1-1),Raw_매출!$B$1:$BI$1,0))=0,"",INDEX(Raw_매출!$B$2:$BI$155,MATCH($A87,Raw_매출!$A$2:$A$155,0),MATCH(EDATE($E87,T$1-1),Raw_매출!$B$1:$BI$1,0))/(INDEX(요약_월별시즈널리티!$F$7:$F$18,MONTH(EDATE($E87,T$1-1)))/100))),"")</f>
        <v>5667820.730709862</v>
      </c>
      <c r="U87" cm="1">
        <f t="array" ref="U87">IFERROR(IF($E87&lt;44348,"",IF(INDEX(Raw_매출!$B$2:$BI$155,MATCH($A87,Raw_매출!$A$2:$A$155,0),MATCH(EDATE($E87,U$1-1),Raw_매출!$B$1:$BI$1,0))=0,"",INDEX(Raw_매출!$B$2:$BI$155,MATCH($A87,Raw_매출!$A$2:$A$155,0),MATCH(EDATE($E87,U$1-1),Raw_매출!$B$1:$BI$1,0))/(INDEX(요약_월별시즈널리티!$F$7:$F$18,MONTH(EDATE($E87,U$1-1)))/100))),"")</f>
        <v>5631810.1661160849</v>
      </c>
      <c r="V87" cm="1">
        <f t="array" ref="V87">IFERROR(IF($E87&lt;44348,"",IF(INDEX(Raw_매출!$B$2:$BI$155,MATCH($A87,Raw_매출!$A$2:$A$155,0),MATCH(EDATE($E87,V$1-1),Raw_매출!$B$1:$BI$1,0))=0,"",INDEX(Raw_매출!$B$2:$BI$155,MATCH($A87,Raw_매출!$A$2:$A$155,0),MATCH(EDATE($E87,V$1-1),Raw_매출!$B$1:$BI$1,0))/(INDEX(요약_월별시즈널리티!$F$7:$F$18,MONTH(EDATE($E87,V$1-1)))/100))),"")</f>
        <v>6299500.411747979</v>
      </c>
      <c r="W87" cm="1">
        <f t="array" ref="W87">IFERROR(IF($E87&lt;44348,"",IF(INDEX(Raw_매출!$B$2:$BI$155,MATCH($A87,Raw_매출!$A$2:$A$155,0),MATCH(EDATE($E87,W$1-1),Raw_매출!$B$1:$BI$1,0))=0,"",INDEX(Raw_매출!$B$2:$BI$155,MATCH($A87,Raw_매출!$A$2:$A$155,0),MATCH(EDATE($E87,W$1-1),Raw_매출!$B$1:$BI$1,0))/(INDEX(요약_월별시즈널리티!$F$7:$F$18,MONTH(EDATE($E87,W$1-1)))/100))),"")</f>
        <v>6649459.9421043778</v>
      </c>
      <c r="X87" cm="1">
        <f t="array" ref="X87">IFERROR(IF($E87&lt;44348,"",IF(INDEX(Raw_매출!$B$2:$BI$155,MATCH($A87,Raw_매출!$A$2:$A$155,0),MATCH(EDATE($E87,X$1-1),Raw_매출!$B$1:$BI$1,0))=0,"",INDEX(Raw_매출!$B$2:$BI$155,MATCH($A87,Raw_매출!$A$2:$A$155,0),MATCH(EDATE($E87,X$1-1),Raw_매출!$B$1:$BI$1,0))/(INDEX(요약_월별시즈널리티!$F$7:$F$18,MONTH(EDATE($E87,X$1-1)))/100))),"")</f>
        <v>6352669.1289093308</v>
      </c>
      <c r="Y87" cm="1">
        <f t="array" ref="Y87">IFERROR(IF($E87&lt;44348,"",IF(INDEX(Raw_매출!$B$2:$BI$155,MATCH($A87,Raw_매출!$A$2:$A$155,0),MATCH(EDATE($E87,Y$1-1),Raw_매출!$B$1:$BI$1,0))=0,"",INDEX(Raw_매출!$B$2:$BI$155,MATCH($A87,Raw_매출!$A$2:$A$155,0),MATCH(EDATE($E87,Y$1-1),Raw_매출!$B$1:$BI$1,0))/(INDEX(요약_월별시즈널리티!$F$7:$F$18,MONTH(EDATE($E87,Y$1-1)))/100))),"")</f>
        <v>7214486.6009294335</v>
      </c>
      <c r="Z87" cm="1">
        <f t="array" ref="Z87">IFERROR(IF($E87&lt;44348,"",IF(INDEX(Raw_매출!$B$2:$BI$155,MATCH($A87,Raw_매출!$A$2:$A$155,0),MATCH(EDATE($E87,Z$1-1),Raw_매출!$B$1:$BI$1,0))=0,"",INDEX(Raw_매출!$B$2:$BI$155,MATCH($A87,Raw_매출!$A$2:$A$155,0),MATCH(EDATE($E87,Z$1-1),Raw_매출!$B$1:$BI$1,0))/(INDEX(요약_월별시즈널리티!$F$7:$F$18,MONTH(EDATE($E87,Z$1-1)))/100))),"")</f>
        <v>7356381.0297031403</v>
      </c>
      <c r="AA87" cm="1">
        <f t="array" ref="AA87">IFERROR(IF($E87&lt;44348,"",IF(INDEX(Raw_매출!$B$2:$BI$155,MATCH($A87,Raw_매출!$A$2:$A$155,0),MATCH(EDATE($E87,AA$1-1),Raw_매출!$B$1:$BI$1,0))=0,"",INDEX(Raw_매출!$B$2:$BI$155,MATCH($A87,Raw_매출!$A$2:$A$155,0),MATCH(EDATE($E87,AA$1-1),Raw_매출!$B$1:$BI$1,0))/(INDEX(요약_월별시즈널리티!$F$7:$F$18,MONTH(EDATE($E87,AA$1-1)))/100))),"")</f>
        <v>7482371.3474921053</v>
      </c>
      <c r="AB87" cm="1">
        <f t="array" ref="AB87">IFERROR(IF($E87&lt;44348,"",IF(INDEX(Raw_매출!$B$2:$BI$155,MATCH($A87,Raw_매출!$A$2:$A$155,0),MATCH(EDATE($E87,AB$1-1),Raw_매출!$B$1:$BI$1,0))=0,"",INDEX(Raw_매출!$B$2:$BI$155,MATCH($A87,Raw_매출!$A$2:$A$155,0),MATCH(EDATE($E87,AB$1-1),Raw_매출!$B$1:$BI$1,0))/(INDEX(요약_월별시즈널리티!$F$7:$F$18,MONTH(EDATE($E87,AB$1-1)))/100))),"")</f>
        <v>6234430.3678488377</v>
      </c>
      <c r="AC87" cm="1">
        <f t="array" ref="AC87">IFERROR(IF($E87&lt;44348,"",IF(INDEX(Raw_매출!$B$2:$BI$155,MATCH($A87,Raw_매출!$A$2:$A$155,0),MATCH(EDATE($E87,AC$1-1),Raw_매출!$B$1:$BI$1,0))=0,"",INDEX(Raw_매출!$B$2:$BI$155,MATCH($A87,Raw_매출!$A$2:$A$155,0),MATCH(EDATE($E87,AC$1-1),Raw_매출!$B$1:$BI$1,0))/(INDEX(요약_월별시즈널리티!$F$7:$F$18,MONTH(EDATE($E87,AC$1-1)))/100))),"")</f>
        <v>6802464.2979281507</v>
      </c>
      <c r="AD87" cm="1">
        <f t="array" ref="AD87">IFERROR(IF($E87&lt;44348,"",IF(INDEX(Raw_매출!$B$2:$BI$155,MATCH($A87,Raw_매출!$A$2:$A$155,0),MATCH(EDATE($E87,AD$1-1),Raw_매출!$B$1:$BI$1,0))=0,"",INDEX(Raw_매출!$B$2:$BI$155,MATCH($A87,Raw_매출!$A$2:$A$155,0),MATCH(EDATE($E87,AD$1-1),Raw_매출!$B$1:$BI$1,0))/(INDEX(요약_월별시즈널리티!$F$7:$F$18,MONTH(EDATE($E87,AD$1-1)))/100))),"")</f>
        <v>6933406.2937563285</v>
      </c>
      <c r="AE87" cm="1">
        <f t="array" ref="AE87">IFERROR(IF($E87&lt;44348,"",IF(INDEX(Raw_매출!$B$2:$BI$155,MATCH($A87,Raw_매출!$A$2:$A$155,0),MATCH(EDATE($E87,AE$1-1),Raw_매출!$B$1:$BI$1,0))=0,"",INDEX(Raw_매출!$B$2:$BI$155,MATCH($A87,Raw_매출!$A$2:$A$155,0),MATCH(EDATE($E87,AE$1-1),Raw_매출!$B$1:$BI$1,0))/(INDEX(요약_월별시즈널리티!$F$7:$F$18,MONTH(EDATE($E87,AE$1-1)))/100))),"")</f>
        <v>6028325.7763324464</v>
      </c>
      <c r="AF87" cm="1">
        <f t="array" ref="AF87">IFERROR(IF($E87&lt;44348,"",IF(INDEX(Raw_매출!$B$2:$BI$155,MATCH($A87,Raw_매출!$A$2:$A$155,0),MATCH(EDATE($E87,AF$1-1),Raw_매출!$B$1:$BI$1,0))=0,"",INDEX(Raw_매출!$B$2:$BI$155,MATCH($A87,Raw_매출!$A$2:$A$155,0),MATCH(EDATE($E87,AF$1-1),Raw_매출!$B$1:$BI$1,0))/(INDEX(요약_월별시즈널리티!$F$7:$F$18,MONTH(EDATE($E87,AF$1-1)))/100))),"")</f>
        <v>4671066.5235646181</v>
      </c>
      <c r="AG87" cm="1">
        <f t="array" ref="AG87">IFERROR(IF($E87&lt;44348,"",IF(INDEX(Raw_매출!$B$2:$BI$155,MATCH($A87,Raw_매출!$A$2:$A$155,0),MATCH(EDATE($E87,AG$1-1),Raw_매출!$B$1:$BI$1,0))=0,"",INDEX(Raw_매출!$B$2:$BI$155,MATCH($A87,Raw_매출!$A$2:$A$155,0),MATCH(EDATE($E87,AG$1-1),Raw_매출!$B$1:$BI$1,0))/(INDEX(요약_월별시즈널리티!$F$7:$F$18,MONTH(EDATE($E87,AG$1-1)))/100))),"")</f>
        <v>3446610.6523133614</v>
      </c>
      <c r="AH87" cm="1">
        <f t="array" ref="AH87">IFERROR(IF($E87&lt;44348,"",IF(INDEX(Raw_매출!$B$2:$BI$155,MATCH($A87,Raw_매출!$A$2:$A$155,0),MATCH(EDATE($E87,AH$1-1),Raw_매출!$B$1:$BI$1,0))=0,"",INDEX(Raw_매출!$B$2:$BI$155,MATCH($A87,Raw_매출!$A$2:$A$155,0),MATCH(EDATE($E87,AH$1-1),Raw_매출!$B$1:$BI$1,0))/(INDEX(요약_월별시즈널리티!$F$7:$F$18,MONTH(EDATE($E87,AH$1-1)))/100))),"")</f>
        <v>3479039.0484157167</v>
      </c>
      <c r="AI87" cm="1">
        <f t="array" ref="AI87">IFERROR(IF($E87&lt;44348,"",IF(INDEX(Raw_매출!$B$2:$BI$155,MATCH($A87,Raw_매출!$A$2:$A$155,0),MATCH(EDATE($E87,AI$1-1),Raw_매출!$B$1:$BI$1,0))=0,"",INDEX(Raw_매출!$B$2:$BI$155,MATCH($A87,Raw_매출!$A$2:$A$155,0),MATCH(EDATE($E87,AI$1-1),Raw_매출!$B$1:$BI$1,0))/(INDEX(요약_월별시즈널리티!$F$7:$F$18,MONTH(EDATE($E87,AI$1-1)))/100))),"")</f>
        <v>3466787.8202599273</v>
      </c>
      <c r="AJ87" cm="1">
        <f t="array" ref="AJ87">IFERROR(IF($E87&lt;44348,"",IF(INDEX(Raw_매출!$B$2:$BI$155,MATCH($A87,Raw_매출!$A$2:$A$155,0),MATCH(EDATE($E87,AJ$1-1),Raw_매출!$B$1:$BI$1,0))=0,"",INDEX(Raw_매출!$B$2:$BI$155,MATCH($A87,Raw_매출!$A$2:$A$155,0),MATCH(EDATE($E87,AJ$1-1),Raw_매출!$B$1:$BI$1,0))/(INDEX(요약_월별시즈널리티!$F$7:$F$18,MONTH(EDATE($E87,AJ$1-1)))/100))),"")</f>
        <v>3189133.1363165043</v>
      </c>
      <c r="AK87" cm="1">
        <f t="array" ref="AK87">IFERROR(IF($E87&lt;44348,"",IF(INDEX(Raw_매출!$B$2:$BI$155,MATCH($A87,Raw_매출!$A$2:$A$155,0),MATCH(EDATE($E87,AK$1-1),Raw_매출!$B$1:$BI$1,0))=0,"",INDEX(Raw_매출!$B$2:$BI$155,MATCH($A87,Raw_매출!$A$2:$A$155,0),MATCH(EDATE($E87,AK$1-1),Raw_매출!$B$1:$BI$1,0))/(INDEX(요약_월별시즈널리티!$F$7:$F$18,MONTH(EDATE($E87,AK$1-1)))/100))),"")</f>
        <v>4571762.6298232041</v>
      </c>
      <c r="AL87" cm="1">
        <f t="array" ref="AL87">IFERROR(IF($E87&lt;44348,"",IF(INDEX(Raw_매출!$B$2:$BI$155,MATCH($A87,Raw_매출!$A$2:$A$155,0),MATCH(EDATE($E87,AL$1-1),Raw_매출!$B$1:$BI$1,0))=0,"",INDEX(Raw_매출!$B$2:$BI$155,MATCH($A87,Raw_매출!$A$2:$A$155,0),MATCH(EDATE($E87,AL$1-1),Raw_매출!$B$1:$BI$1,0))/(INDEX(요약_월별시즈널리티!$F$7:$F$18,MONTH(EDATE($E87,AL$1-1)))/100))),"")</f>
        <v>4189338.1781855356</v>
      </c>
      <c r="AM87" cm="1">
        <f t="array" ref="AM87">IFERROR(IF($E87&lt;44348,"",IF(INDEX(Raw_매출!$B$2:$BI$155,MATCH($A87,Raw_매출!$A$2:$A$155,0),MATCH(EDATE($E87,AM$1-1),Raw_매출!$B$1:$BI$1,0))=0,"",INDEX(Raw_매출!$B$2:$BI$155,MATCH($A87,Raw_매출!$A$2:$A$155,0),MATCH(EDATE($E87,AM$1-1),Raw_매출!$B$1:$BI$1,0))/(INDEX(요약_월별시즈널리티!$F$7:$F$18,MONTH(EDATE($E87,AM$1-1)))/100))),"")</f>
        <v>4074287.1129057868</v>
      </c>
      <c r="AN87" cm="1">
        <f t="array" ref="AN87">IFERROR(IF($E87&lt;44348,"",IF(INDEX(Raw_매출!$B$2:$BI$155,MATCH($A87,Raw_매출!$A$2:$A$155,0),MATCH(EDATE($E87,AN$1-1),Raw_매출!$B$1:$BI$1,0))=0,"",INDEX(Raw_매출!$B$2:$BI$155,MATCH($A87,Raw_매출!$A$2:$A$155,0),MATCH(EDATE($E87,AN$1-1),Raw_매출!$B$1:$BI$1,0))/(INDEX(요약_월별시즈널리티!$F$7:$F$18,MONTH(EDATE($E87,AN$1-1)))/100))),"")</f>
        <v>4239848.2981897481</v>
      </c>
      <c r="AO87" cm="1">
        <f t="array" ref="AO87">IFERROR(IF($E87&lt;44348,"",IF(INDEX(Raw_매출!$B$2:$BI$155,MATCH($A87,Raw_매출!$A$2:$A$155,0),MATCH(EDATE($E87,AO$1-1),Raw_매출!$B$1:$BI$1,0))=0,"",INDEX(Raw_매출!$B$2:$BI$155,MATCH($A87,Raw_매출!$A$2:$A$155,0),MATCH(EDATE($E87,AO$1-1),Raw_매출!$B$1:$BI$1,0))/(INDEX(요약_월별시즈널리티!$F$7:$F$18,MONTH(EDATE($E87,AO$1-1)))/100))),"")</f>
        <v>3817278.1181731154</v>
      </c>
      <c r="AP87" t="str" cm="1">
        <f t="array" ref="AP87">IFERROR(IF($E87&lt;44348,"",IF(INDEX(Raw_매출!$B$2:$BI$155,MATCH($A87,Raw_매출!$A$2:$A$155,0),MATCH(EDATE($E87,AP$1-1),Raw_매출!$B$1:$BI$1,0))=0,"",INDEX(Raw_매출!$B$2:$BI$155,MATCH($A87,Raw_매출!$A$2:$A$155,0),MATCH(EDATE($E87,AP$1-1),Raw_매출!$B$1:$BI$1,0))/(INDEX(요약_월별시즈널리티!$F$7:$F$18,MONTH(EDATE($E87,AP$1-1)))/100))),"")</f>
        <v/>
      </c>
      <c r="AQ87" t="str" cm="1">
        <f t="array" ref="AQ87">IFERROR(IF($E87&lt;44348,"",IF(INDEX(Raw_매출!$B$2:$BI$155,MATCH($A87,Raw_매출!$A$2:$A$155,0),MATCH(EDATE($E87,AQ$1-1),Raw_매출!$B$1:$BI$1,0))=0,"",INDEX(Raw_매출!$B$2:$BI$155,MATCH($A87,Raw_매출!$A$2:$A$155,0),MATCH(EDATE($E87,AQ$1-1),Raw_매출!$B$1:$BI$1,0))/(INDEX(요약_월별시즈널리티!$F$7:$F$18,MONTH(EDATE($E87,AQ$1-1)))/100))),"")</f>
        <v/>
      </c>
      <c r="AR87" t="str" cm="1">
        <f t="array" ref="AR87">IFERROR(IF($E87&lt;44348,"",IF(INDEX(Raw_매출!$B$2:$BI$155,MATCH($A87,Raw_매출!$A$2:$A$155,0),MATCH(EDATE($E87,AR$1-1),Raw_매출!$B$1:$BI$1,0))=0,"",INDEX(Raw_매출!$B$2:$BI$155,MATCH($A87,Raw_매출!$A$2:$A$155,0),MATCH(EDATE($E87,AR$1-1),Raw_매출!$B$1:$BI$1,0))/(INDEX(요약_월별시즈널리티!$F$7:$F$18,MONTH(EDATE($E87,AR$1-1)))/100))),"")</f>
        <v/>
      </c>
      <c r="AS87" t="str" cm="1">
        <f t="array" ref="AS87">IFERROR(IF($E87&lt;44348,"",IF(INDEX(Raw_매출!$B$2:$BI$155,MATCH($A87,Raw_매출!$A$2:$A$155,0),MATCH(EDATE($E87,AS$1-1),Raw_매출!$B$1:$BI$1,0))=0,"",INDEX(Raw_매출!$B$2:$BI$155,MATCH($A87,Raw_매출!$A$2:$A$155,0),MATCH(EDATE($E87,AS$1-1),Raw_매출!$B$1:$BI$1,0))/(INDEX(요약_월별시즈널리티!$F$7:$F$18,MONTH(EDATE($E87,AS$1-1)))/100))),"")</f>
        <v/>
      </c>
      <c r="AT87" t="str" cm="1">
        <f t="array" ref="AT87">IFERROR(IF($E87&lt;44348,"",IF(INDEX(Raw_매출!$B$2:$BI$155,MATCH($A87,Raw_매출!$A$2:$A$155,0),MATCH(EDATE($E87,AT$1-1),Raw_매출!$B$1:$BI$1,0))=0,"",INDEX(Raw_매출!$B$2:$BI$155,MATCH($A87,Raw_매출!$A$2:$A$155,0),MATCH(EDATE($E87,AT$1-1),Raw_매출!$B$1:$BI$1,0))/(INDEX(요약_월별시즈널리티!$F$7:$F$18,MONTH(EDATE($E87,AT$1-1)))/100))),"")</f>
        <v/>
      </c>
      <c r="AU87" t="str" cm="1">
        <f t="array" ref="AU87">IFERROR(IF($E87&lt;44348,"",IF(INDEX(Raw_매출!$B$2:$BI$155,MATCH($A87,Raw_매출!$A$2:$A$155,0),MATCH(EDATE($E87,AU$1-1),Raw_매출!$B$1:$BI$1,0))=0,"",INDEX(Raw_매출!$B$2:$BI$155,MATCH($A87,Raw_매출!$A$2:$A$155,0),MATCH(EDATE($E87,AU$1-1),Raw_매출!$B$1:$BI$1,0))/(INDEX(요약_월별시즈널리티!$F$7:$F$18,MONTH(EDATE($E87,AU$1-1)))/100))),"")</f>
        <v/>
      </c>
      <c r="AV87" t="str" cm="1">
        <f t="array" ref="AV87">IFERROR(IF($E87&lt;44348,"",IF(INDEX(Raw_매출!$B$2:$BI$155,MATCH($A87,Raw_매출!$A$2:$A$155,0),MATCH(EDATE($E87,AV$1-1),Raw_매출!$B$1:$BI$1,0))=0,"",INDEX(Raw_매출!$B$2:$BI$155,MATCH($A87,Raw_매출!$A$2:$A$155,0),MATCH(EDATE($E87,AV$1-1),Raw_매출!$B$1:$BI$1,0))/(INDEX(요약_월별시즈널리티!$F$7:$F$18,MONTH(EDATE($E87,AV$1-1)))/100))),"")</f>
        <v/>
      </c>
      <c r="AW87" t="str" cm="1">
        <f t="array" ref="AW87">IFERROR(IF($E87&lt;44348,"",IF(INDEX(Raw_매출!$B$2:$BI$155,MATCH($A87,Raw_매출!$A$2:$A$155,0),MATCH(EDATE($E87,AW$1-1),Raw_매출!$B$1:$BI$1,0))=0,"",INDEX(Raw_매출!$B$2:$BI$155,MATCH($A87,Raw_매출!$A$2:$A$155,0),MATCH(EDATE($E87,AW$1-1),Raw_매출!$B$1:$BI$1,0))/(INDEX(요약_월별시즈널리티!$F$7:$F$18,MONTH(EDATE($E87,AW$1-1)))/100))),"")</f>
        <v/>
      </c>
      <c r="AX87" t="str" cm="1">
        <f t="array" ref="AX87">IFERROR(IF($E87&lt;44348,"",IF(INDEX(Raw_매출!$B$2:$BI$155,MATCH($A87,Raw_매출!$A$2:$A$155,0),MATCH(EDATE($E87,AX$1-1),Raw_매출!$B$1:$BI$1,0))=0,"",INDEX(Raw_매출!$B$2:$BI$155,MATCH($A87,Raw_매출!$A$2:$A$155,0),MATCH(EDATE($E87,AX$1-1),Raw_매출!$B$1:$BI$1,0))/(INDEX(요약_월별시즈널리티!$F$7:$F$18,MONTH(EDATE($E87,AX$1-1)))/100))),"")</f>
        <v/>
      </c>
      <c r="AY87" t="str" cm="1">
        <f t="array" ref="AY87">IFERROR(IF($E87&lt;44348,"",IF(INDEX(Raw_매출!$B$2:$BI$155,MATCH($A87,Raw_매출!$A$2:$A$155,0),MATCH(EDATE($E87,AY$1-1),Raw_매출!$B$1:$BI$1,0))=0,"",INDEX(Raw_매출!$B$2:$BI$155,MATCH($A87,Raw_매출!$A$2:$A$155,0),MATCH(EDATE($E87,AY$1-1),Raw_매출!$B$1:$BI$1,0))/(INDEX(요약_월별시즈널리티!$F$7:$F$18,MONTH(EDATE($E87,AY$1-1)))/100))),"")</f>
        <v/>
      </c>
      <c r="AZ87" t="str" cm="1">
        <f t="array" ref="AZ87">IFERROR(IF($E87&lt;44348,"",IF(INDEX(Raw_매출!$B$2:$BI$155,MATCH($A87,Raw_매출!$A$2:$A$155,0),MATCH(EDATE($E87,AZ$1-1),Raw_매출!$B$1:$BI$1,0))=0,"",INDEX(Raw_매출!$B$2:$BI$155,MATCH($A87,Raw_매출!$A$2:$A$155,0),MATCH(EDATE($E87,AZ$1-1),Raw_매출!$B$1:$BI$1,0))/(INDEX(요약_월별시즈널리티!$F$7:$F$18,MONTH(EDATE($E87,AZ$1-1)))/100))),"")</f>
        <v/>
      </c>
      <c r="BA87" t="str" cm="1">
        <f t="array" ref="BA87">IFERROR(IF($E87&lt;44348,"",IF(INDEX(Raw_매출!$B$2:$BI$155,MATCH($A87,Raw_매출!$A$2:$A$155,0),MATCH(EDATE($E87,BA$1-1),Raw_매출!$B$1:$BI$1,0))=0,"",INDEX(Raw_매출!$B$2:$BI$155,MATCH($A87,Raw_매출!$A$2:$A$155,0),MATCH(EDATE($E87,BA$1-1),Raw_매출!$B$1:$BI$1,0))/(INDEX(요약_월별시즈널리티!$F$7:$F$18,MONTH(EDATE($E87,BA$1-1)))/100))),"")</f>
        <v/>
      </c>
      <c r="BB87" t="str" cm="1">
        <f t="array" ref="BB87">IFERROR(IF($E87&lt;44348,"",IF(INDEX(Raw_매출!$B$2:$BI$155,MATCH($A87,Raw_매출!$A$2:$A$155,0),MATCH(EDATE($E87,BB$1-1),Raw_매출!$B$1:$BI$1,0))=0,"",INDEX(Raw_매출!$B$2:$BI$155,MATCH($A87,Raw_매출!$A$2:$A$155,0),MATCH(EDATE($E87,BB$1-1),Raw_매출!$B$1:$BI$1,0))/(INDEX(요약_월별시즈널리티!$F$7:$F$18,MONTH(EDATE($E87,BB$1-1)))/100))),"")</f>
        <v/>
      </c>
      <c r="BC87" t="str" cm="1">
        <f t="array" ref="BC87">IFERROR(IF($E87&lt;44348,"",IF(INDEX(Raw_매출!$B$2:$BI$155,MATCH($A87,Raw_매출!$A$2:$A$155,0),MATCH(EDATE($E87,BC$1-1),Raw_매출!$B$1:$BI$1,0))=0,"",INDEX(Raw_매출!$B$2:$BI$155,MATCH($A87,Raw_매출!$A$2:$A$155,0),MATCH(EDATE($E87,BC$1-1),Raw_매출!$B$1:$BI$1,0))/(INDEX(요약_월별시즈널리티!$F$7:$F$18,MONTH(EDATE($E87,BC$1-1)))/100))),"")</f>
        <v/>
      </c>
      <c r="BD87" t="str" cm="1">
        <f t="array" ref="BD87">IFERROR(IF($E87&lt;44348,"",IF(INDEX(Raw_매출!$B$2:$BI$155,MATCH($A87,Raw_매출!$A$2:$A$155,0),MATCH(EDATE($E87,BD$1-1),Raw_매출!$B$1:$BI$1,0))=0,"",INDEX(Raw_매출!$B$2:$BI$155,MATCH($A87,Raw_매출!$A$2:$A$155,0),MATCH(EDATE($E87,BD$1-1),Raw_매출!$B$1:$BI$1,0))/(INDEX(요약_월별시즈널리티!$F$7:$F$18,MONTH(EDATE($E87,BD$1-1)))/100))),"")</f>
        <v/>
      </c>
      <c r="BE87" t="str" cm="1">
        <f t="array" ref="BE87">IFERROR(IF($E87&lt;44348,"",IF(INDEX(Raw_매출!$B$2:$BI$155,MATCH($A87,Raw_매출!$A$2:$A$155,0),MATCH(EDATE($E87,BE$1-1),Raw_매출!$B$1:$BI$1,0))=0,"",INDEX(Raw_매출!$B$2:$BI$155,MATCH($A87,Raw_매출!$A$2:$A$155,0),MATCH(EDATE($E87,BE$1-1),Raw_매출!$B$1:$BI$1,0))/(INDEX(요약_월별시즈널리티!$F$7:$F$18,MONTH(EDATE($E87,BE$1-1)))/100))),"")</f>
        <v/>
      </c>
      <c r="BF87" t="str" cm="1">
        <f t="array" ref="BF87">IFERROR(IF($E87&lt;44348,"",IF(INDEX(Raw_매출!$B$2:$BI$155,MATCH($A87,Raw_매출!$A$2:$A$155,0),MATCH(EDATE($E87,BF$1-1),Raw_매출!$B$1:$BI$1,0))=0,"",INDEX(Raw_매출!$B$2:$BI$155,MATCH($A87,Raw_매출!$A$2:$A$155,0),MATCH(EDATE($E87,BF$1-1),Raw_매출!$B$1:$BI$1,0))/(INDEX(요약_월별시즈널리티!$F$7:$F$18,MONTH(EDATE($E87,BF$1-1)))/100))),"")</f>
        <v/>
      </c>
      <c r="BG87" t="str" cm="1">
        <f t="array" ref="BG87">IFERROR(IF($E87&lt;44348,"",IF(INDEX(Raw_매출!$B$2:$BI$155,MATCH($A87,Raw_매출!$A$2:$A$155,0),MATCH(EDATE($E87,BG$1-1),Raw_매출!$B$1:$BI$1,0))=0,"",INDEX(Raw_매출!$B$2:$BI$155,MATCH($A87,Raw_매출!$A$2:$A$155,0),MATCH(EDATE($E87,BG$1-1),Raw_매출!$B$1:$BI$1,0))/(INDEX(요약_월별시즈널리티!$F$7:$F$18,MONTH(EDATE($E87,BG$1-1)))/100))),"")</f>
        <v/>
      </c>
      <c r="BH87" t="str" cm="1">
        <f t="array" ref="BH87">IFERROR(IF($E87&lt;44348,"",IF(INDEX(Raw_매출!$B$2:$BI$155,MATCH($A87,Raw_매출!$A$2:$A$155,0),MATCH(EDATE($E87,BH$1-1),Raw_매출!$B$1:$BI$1,0))=0,"",INDEX(Raw_매출!$B$2:$BI$155,MATCH($A87,Raw_매출!$A$2:$A$155,0),MATCH(EDATE($E87,BH$1-1),Raw_매출!$B$1:$BI$1,0))/(INDEX(요약_월별시즈널리티!$F$7:$F$18,MONTH(EDATE($E87,BH$1-1)))/100))),"")</f>
        <v/>
      </c>
      <c r="BI87" t="str" cm="1">
        <f t="array" ref="BI87">IFERROR(IF($E87&lt;44348,"",IF(INDEX(Raw_매출!$B$2:$BI$155,MATCH($A87,Raw_매출!$A$2:$A$155,0),MATCH(EDATE($E87,BI$1-1),Raw_매출!$B$1:$BI$1,0))=0,"",INDEX(Raw_매출!$B$2:$BI$155,MATCH($A87,Raw_매출!$A$2:$A$155,0),MATCH(EDATE($E87,BI$1-1),Raw_매출!$B$1:$BI$1,0))/(INDEX(요약_월별시즈널리티!$F$7:$F$18,MONTH(EDATE($E87,BI$1-1)))/100))),"")</f>
        <v/>
      </c>
      <c r="BJ87" t="str" cm="1">
        <f t="array" ref="BJ87">IFERROR(IF($E87&lt;44348,"",IF(INDEX(Raw_매출!$B$2:$BI$155,MATCH($A87,Raw_매출!$A$2:$A$155,0),MATCH(EDATE($E87,BJ$1-1),Raw_매출!$B$1:$BI$1,0))=0,"",INDEX(Raw_매출!$B$2:$BI$155,MATCH($A87,Raw_매출!$A$2:$A$155,0),MATCH(EDATE($E87,BJ$1-1),Raw_매출!$B$1:$BI$1,0))/(INDEX(요약_월별시즈널리티!$F$7:$F$18,MONTH(EDATE($E87,BJ$1-1)))/100))),"")</f>
        <v/>
      </c>
      <c r="BK87" t="str" cm="1">
        <f t="array" ref="BK87">IFERROR(IF($E87&lt;44348,"",IF(INDEX(Raw_매출!$B$2:$BI$155,MATCH($A87,Raw_매출!$A$2:$A$155,0),MATCH(EDATE($E87,BK$1-1),Raw_매출!$B$1:$BI$1,0))=0,"",INDEX(Raw_매출!$B$2:$BI$155,MATCH($A87,Raw_매출!$A$2:$A$155,0),MATCH(EDATE($E87,BK$1-1),Raw_매출!$B$1:$BI$1,0))/(INDEX(요약_월별시즈널리티!$F$7:$F$18,MONTH(EDATE($E87,BK$1-1)))/100))),"")</f>
        <v/>
      </c>
      <c r="BL87" t="str" cm="1">
        <f t="array" ref="BL87">IFERROR(IF($E87&lt;44348,"",IF(INDEX(Raw_매출!$B$2:$BI$155,MATCH($A87,Raw_매출!$A$2:$A$155,0),MATCH(EDATE($E87,BL$1-1),Raw_매출!$B$1:$BI$1,0))=0,"",INDEX(Raw_매출!$B$2:$BI$155,MATCH($A87,Raw_매출!$A$2:$A$155,0),MATCH(EDATE($E87,BL$1-1),Raw_매출!$B$1:$BI$1,0))/(INDEX(요약_월별시즈널리티!$F$7:$F$18,MONTH(EDATE($E87,BL$1-1)))/100))),"")</f>
        <v/>
      </c>
      <c r="BM87" t="str" cm="1">
        <f t="array" ref="BM87">IFERROR(IF($E87&lt;44348,"",IF(INDEX(Raw_매출!$B$2:$BI$155,MATCH($A87,Raw_매출!$A$2:$A$155,0),MATCH(EDATE($E87,BM$1-1),Raw_매출!$B$1:$BI$1,0))=0,"",INDEX(Raw_매출!$B$2:$BI$155,MATCH($A87,Raw_매출!$A$2:$A$155,0),MATCH(EDATE($E87,BM$1-1),Raw_매출!$B$1:$BI$1,0))/(INDEX(요약_월별시즈널리티!$F$7:$F$18,MONTH(EDATE($E87,BM$1-1)))/100))),"")</f>
        <v/>
      </c>
      <c r="BN87" t="str" cm="1">
        <f t="array" ref="BN87">IFERROR(IF($E87&lt;44348,"",IF(INDEX(Raw_매출!$B$2:$BI$155,MATCH($A87,Raw_매출!$A$2:$A$155,0),MATCH(EDATE($E87,BN$1-1),Raw_매출!$B$1:$BI$1,0))=0,"",INDEX(Raw_매출!$B$2:$BI$155,MATCH($A87,Raw_매출!$A$2:$A$155,0),MATCH(EDATE($E87,BN$1-1),Raw_매출!$B$1:$BI$1,0))/(INDEX(요약_월별시즈널리티!$F$7:$F$18,MONTH(EDATE($E87,BN$1-1)))/100))),"")</f>
        <v/>
      </c>
    </row>
    <row r="88" spans="1:66" x14ac:dyDescent="0.4">
      <c r="A88" t="str">
        <f>세팅!A89</f>
        <v>(1077) #양청송대공원점</v>
      </c>
      <c r="B88" t="str">
        <f>세팅!B89</f>
        <v>150-0</v>
      </c>
      <c r="C88">
        <f t="shared" si="3"/>
        <v>0</v>
      </c>
      <c r="D88" t="str">
        <f t="shared" si="4"/>
        <v>0</v>
      </c>
      <c r="E88" s="1">
        <f>세팅!D89</f>
        <v>45139</v>
      </c>
      <c r="F88">
        <f t="shared" si="5"/>
        <v>3799437.6680105771</v>
      </c>
      <c r="G88" cm="1">
        <f t="array" ref="G88">IFERROR(IF($E88&lt;44348,"",IF(INDEX(Raw_매출!$B$2:$BI$155,MATCH($A88,Raw_매출!$A$2:$A$155,0),MATCH(EDATE($E88,G$1-1),Raw_매출!$B$1:$BI$1,0))=0,"",INDEX(Raw_매출!$B$2:$BI$155,MATCH($A88,Raw_매출!$A$2:$A$155,0),MATCH(EDATE($E88,G$1-1),Raw_매출!$B$1:$BI$1,0))/(INDEX(요약_월별시즈널리티!$F$7:$F$18,MONTH(EDATE($E88,G$1-1)))/100))),"")</f>
        <v>1928302.0268281463</v>
      </c>
      <c r="H88" cm="1">
        <f t="array" ref="H88">IFERROR(IF($E88&lt;44348,"",IF(INDEX(Raw_매출!$B$2:$BI$155,MATCH($A88,Raw_매출!$A$2:$A$155,0),MATCH(EDATE($E88,H$1-1),Raw_매출!$B$1:$BI$1,0))=0,"",INDEX(Raw_매출!$B$2:$BI$155,MATCH($A88,Raw_매출!$A$2:$A$155,0),MATCH(EDATE($E88,H$1-1),Raw_매출!$B$1:$BI$1,0))/(INDEX(요약_월별시즈널리티!$F$7:$F$18,MONTH(EDATE($E88,H$1-1)))/100))),"")</f>
        <v>2001286.7945414986</v>
      </c>
      <c r="I88" cm="1">
        <f t="array" ref="I88">IFERROR(IF($E88&lt;44348,"",IF(INDEX(Raw_매출!$B$2:$BI$155,MATCH($A88,Raw_매출!$A$2:$A$155,0),MATCH(EDATE($E88,I$1-1),Raw_매출!$B$1:$BI$1,0))=0,"",INDEX(Raw_매출!$B$2:$BI$155,MATCH($A88,Raw_매출!$A$2:$A$155,0),MATCH(EDATE($E88,I$1-1),Raw_매출!$B$1:$BI$1,0))/(INDEX(요약_월별시즈널리티!$F$7:$F$18,MONTH(EDATE($E88,I$1-1)))/100))),"")</f>
        <v>2705628.9732550536</v>
      </c>
      <c r="J88" s="30" cm="1">
        <f t="array" ref="J88">IFERROR(IF($E88&lt;44348,"",IF(INDEX(Raw_매출!$B$2:$BI$155,MATCH($A88,Raw_매출!$A$2:$A$155,0),MATCH(EDATE($E88,J$1-1),Raw_매출!$B$1:$BI$1,0))=0,"",INDEX(Raw_매출!$B$2:$BI$155,MATCH($A88,Raw_매출!$A$2:$A$155,0),MATCH(EDATE($E88,J$1-1),Raw_매출!$B$1:$BI$1,0))/(INDEX(요약_월별시즈널리티!$F$7:$F$18,MONTH(EDATE($E88,J$1-1)))/100))),"")</f>
        <v>3199423.2299592774</v>
      </c>
      <c r="K88" s="30" cm="1">
        <f t="array" ref="K88">IFERROR(IF($E88&lt;44348,"",IF(INDEX(Raw_매출!$B$2:$BI$155,MATCH($A88,Raw_매출!$A$2:$A$155,0),MATCH(EDATE($E88,K$1-1),Raw_매출!$B$1:$BI$1,0))=0,"",INDEX(Raw_매출!$B$2:$BI$155,MATCH($A88,Raw_매출!$A$2:$A$155,0),MATCH(EDATE($E88,K$1-1),Raw_매출!$B$1:$BI$1,0))/(INDEX(요약_월별시즈널리티!$F$7:$F$18,MONTH(EDATE($E88,K$1-1)))/100))),"")</f>
        <v>3387755.3585413699</v>
      </c>
      <c r="L88" s="30" cm="1">
        <f t="array" ref="L88">IFERROR(IF($E88&lt;44348,"",IF(INDEX(Raw_매출!$B$2:$BI$155,MATCH($A88,Raw_매출!$A$2:$A$155,0),MATCH(EDATE($E88,L$1-1),Raw_매출!$B$1:$BI$1,0))=0,"",INDEX(Raw_매출!$B$2:$BI$155,MATCH($A88,Raw_매출!$A$2:$A$155,0),MATCH(EDATE($E88,L$1-1),Raw_매출!$B$1:$BI$1,0))/(INDEX(요약_월별시즈널리티!$F$7:$F$18,MONTH(EDATE($E88,L$1-1)))/100))),"")</f>
        <v>4216199.7670451319</v>
      </c>
      <c r="M88" s="30" cm="1">
        <f t="array" ref="M88">IFERROR(IF($E88&lt;44348,"",IF(INDEX(Raw_매출!$B$2:$BI$155,MATCH($A88,Raw_매출!$A$2:$A$155,0),MATCH(EDATE($E88,M$1-1),Raw_매출!$B$1:$BI$1,0))=0,"",INDEX(Raw_매출!$B$2:$BI$155,MATCH($A88,Raw_매출!$A$2:$A$155,0),MATCH(EDATE($E88,M$1-1),Raw_매출!$B$1:$BI$1,0))/(INDEX(요약_월별시즈널리티!$F$7:$F$18,MONTH(EDATE($E88,M$1-1)))/100))),"")</f>
        <v>4041143.4989532414</v>
      </c>
      <c r="N88" s="30" cm="1">
        <f t="array" ref="N88">IFERROR(IF($E88&lt;44348,"",IF(INDEX(Raw_매출!$B$2:$BI$155,MATCH($A88,Raw_매출!$A$2:$A$155,0),MATCH(EDATE($E88,N$1-1),Raw_매출!$B$1:$BI$1,0))=0,"",INDEX(Raw_매출!$B$2:$BI$155,MATCH($A88,Raw_매출!$A$2:$A$155,0),MATCH(EDATE($E88,N$1-1),Raw_매출!$B$1:$BI$1,0))/(INDEX(요약_월별시즈널리티!$F$7:$F$18,MONTH(EDATE($E88,N$1-1)))/100))),"")</f>
        <v>4159126.715736757</v>
      </c>
      <c r="O88" s="30" cm="1">
        <f t="array" ref="O88">IFERROR(IF($E88&lt;44348,"",IF(INDEX(Raw_매출!$B$2:$BI$155,MATCH($A88,Raw_매출!$A$2:$A$155,0),MATCH(EDATE($E88,O$1-1),Raw_매출!$B$1:$BI$1,0))=0,"",INDEX(Raw_매출!$B$2:$BI$155,MATCH($A88,Raw_매출!$A$2:$A$155,0),MATCH(EDATE($E88,O$1-1),Raw_매출!$B$1:$BI$1,0))/(INDEX(요약_월별시즈널리티!$F$7:$F$18,MONTH(EDATE($E88,O$1-1)))/100))),"")</f>
        <v>3792977.4378276845</v>
      </c>
      <c r="P88" cm="1">
        <f t="array" ref="P88">IFERROR(IF($E88&lt;44348,"",IF(INDEX(Raw_매출!$B$2:$BI$155,MATCH($A88,Raw_매출!$A$2:$A$155,0),MATCH(EDATE($E88,P$1-1),Raw_매출!$B$1:$BI$1,0))=0,"",INDEX(Raw_매출!$B$2:$BI$155,MATCH($A88,Raw_매출!$A$2:$A$155,0),MATCH(EDATE($E88,P$1-1),Raw_매출!$B$1:$BI$1,0))/(INDEX(요약_월별시즈널리티!$F$7:$F$18,MONTH(EDATE($E88,P$1-1)))/100))),"")</f>
        <v>3419952.438083319</v>
      </c>
      <c r="Q88" cm="1">
        <f t="array" ref="Q88">IFERROR(IF($E88&lt;44348,"",IF(INDEX(Raw_매출!$B$2:$BI$155,MATCH($A88,Raw_매출!$A$2:$A$155,0),MATCH(EDATE($E88,Q$1-1),Raw_매출!$B$1:$BI$1,0))=0,"",INDEX(Raw_매출!$B$2:$BI$155,MATCH($A88,Raw_매출!$A$2:$A$155,0),MATCH(EDATE($E88,Q$1-1),Raw_매출!$B$1:$BI$1,0))/(INDEX(요약_월별시즈널리티!$F$7:$F$18,MONTH(EDATE($E88,Q$1-1)))/100))),"")</f>
        <v>3505444.3260602257</v>
      </c>
      <c r="R88" cm="1">
        <f t="array" ref="R88">IFERROR(IF($E88&lt;44348,"",IF(INDEX(Raw_매출!$B$2:$BI$155,MATCH($A88,Raw_매출!$A$2:$A$155,0),MATCH(EDATE($E88,R$1-1),Raw_매출!$B$1:$BI$1,0))=0,"",INDEX(Raw_매출!$B$2:$BI$155,MATCH($A88,Raw_매출!$A$2:$A$155,0),MATCH(EDATE($E88,R$1-1),Raw_매출!$B$1:$BI$1,0))/(INDEX(요약_월별시즈널리티!$F$7:$F$18,MONTH(EDATE($E88,R$1-1)))/100))),"")</f>
        <v>3656906.1832825341</v>
      </c>
      <c r="S88" cm="1">
        <f t="array" ref="S88">IFERROR(IF($E88&lt;44348,"",IF(INDEX(Raw_매출!$B$2:$BI$155,MATCH($A88,Raw_매출!$A$2:$A$155,0),MATCH(EDATE($E88,S$1-1),Raw_매출!$B$1:$BI$1,0))=0,"",INDEX(Raw_매출!$B$2:$BI$155,MATCH($A88,Raw_매출!$A$2:$A$155,0),MATCH(EDATE($E88,S$1-1),Raw_매출!$B$1:$BI$1,0))/(INDEX(요약_월별시즈널리티!$F$7:$F$18,MONTH(EDATE($E88,S$1-1)))/100))),"")</f>
        <v>3608517.9543180601</v>
      </c>
      <c r="T88" cm="1">
        <f t="array" ref="T88">IFERROR(IF($E88&lt;44348,"",IF(INDEX(Raw_매출!$B$2:$BI$155,MATCH($A88,Raw_매출!$A$2:$A$155,0),MATCH(EDATE($E88,T$1-1),Raw_매출!$B$1:$BI$1,0))=0,"",INDEX(Raw_매출!$B$2:$BI$155,MATCH($A88,Raw_매출!$A$2:$A$155,0),MATCH(EDATE($E88,T$1-1),Raw_매출!$B$1:$BI$1,0))/(INDEX(요약_월별시즈널리티!$F$7:$F$18,MONTH(EDATE($E88,T$1-1)))/100))),"")</f>
        <v>3533053.8251821515</v>
      </c>
      <c r="U88" cm="1">
        <f t="array" ref="U88">IFERROR(IF($E88&lt;44348,"",IF(INDEX(Raw_매출!$B$2:$BI$155,MATCH($A88,Raw_매출!$A$2:$A$155,0),MATCH(EDATE($E88,U$1-1),Raw_매출!$B$1:$BI$1,0))=0,"",INDEX(Raw_매출!$B$2:$BI$155,MATCH($A88,Raw_매출!$A$2:$A$155,0),MATCH(EDATE($E88,U$1-1),Raw_매출!$B$1:$BI$1,0))/(INDEX(요약_월별시즈널리티!$F$7:$F$18,MONTH(EDATE($E88,U$1-1)))/100))),"")</f>
        <v>3282654.3801060342</v>
      </c>
      <c r="V88" cm="1">
        <f t="array" ref="V88">IFERROR(IF($E88&lt;44348,"",IF(INDEX(Raw_매출!$B$2:$BI$155,MATCH($A88,Raw_매출!$A$2:$A$155,0),MATCH(EDATE($E88,V$1-1),Raw_매출!$B$1:$BI$1,0))=0,"",INDEX(Raw_매출!$B$2:$BI$155,MATCH($A88,Raw_매출!$A$2:$A$155,0),MATCH(EDATE($E88,V$1-1),Raw_매출!$B$1:$BI$1,0))/(INDEX(요약_월별시즈널리티!$F$7:$F$18,MONTH(EDATE($E88,V$1-1)))/100))),"")</f>
        <v>3405940.1884322716</v>
      </c>
      <c r="W88" cm="1">
        <f t="array" ref="W88">IFERROR(IF($E88&lt;44348,"",IF(INDEX(Raw_매출!$B$2:$BI$155,MATCH($A88,Raw_매출!$A$2:$A$155,0),MATCH(EDATE($E88,W$1-1),Raw_매출!$B$1:$BI$1,0))=0,"",INDEX(Raw_매출!$B$2:$BI$155,MATCH($A88,Raw_매출!$A$2:$A$155,0),MATCH(EDATE($E88,W$1-1),Raw_매출!$B$1:$BI$1,0))/(INDEX(요약_월별시즈널리티!$F$7:$F$18,MONTH(EDATE($E88,W$1-1)))/100))),"")</f>
        <v>3677801.4812416933</v>
      </c>
      <c r="X88" cm="1">
        <f t="array" ref="X88">IFERROR(IF($E88&lt;44348,"",IF(INDEX(Raw_매출!$B$2:$BI$155,MATCH($A88,Raw_매출!$A$2:$A$155,0),MATCH(EDATE($E88,X$1-1),Raw_매출!$B$1:$BI$1,0))=0,"",INDEX(Raw_매출!$B$2:$BI$155,MATCH($A88,Raw_매출!$A$2:$A$155,0),MATCH(EDATE($E88,X$1-1),Raw_매출!$B$1:$BI$1,0))/(INDEX(요약_월별시즈널리티!$F$7:$F$18,MONTH(EDATE($E88,X$1-1)))/100))),"")</f>
        <v>4785438.696307472</v>
      </c>
      <c r="Y88" cm="1">
        <f t="array" ref="Y88">IFERROR(IF($E88&lt;44348,"",IF(INDEX(Raw_매출!$B$2:$BI$155,MATCH($A88,Raw_매출!$A$2:$A$155,0),MATCH(EDATE($E88,Y$1-1),Raw_매출!$B$1:$BI$1,0))=0,"",INDEX(Raw_매출!$B$2:$BI$155,MATCH($A88,Raw_매출!$A$2:$A$155,0),MATCH(EDATE($E88,Y$1-1),Raw_매출!$B$1:$BI$1,0))/(INDEX(요약_월별시즈널리티!$F$7:$F$18,MONTH(EDATE($E88,Y$1-1)))/100))),"")</f>
        <v>4368877.8532173438</v>
      </c>
      <c r="Z88" cm="1">
        <f t="array" ref="Z88">IFERROR(IF($E88&lt;44348,"",IF(INDEX(Raw_매출!$B$2:$BI$155,MATCH($A88,Raw_매출!$A$2:$A$155,0),MATCH(EDATE($E88,Z$1-1),Raw_매출!$B$1:$BI$1,0))=0,"",INDEX(Raw_매출!$B$2:$BI$155,MATCH($A88,Raw_매출!$A$2:$A$155,0),MATCH(EDATE($E88,Z$1-1),Raw_매출!$B$1:$BI$1,0))/(INDEX(요약_월별시즈널리티!$F$7:$F$18,MONTH(EDATE($E88,Z$1-1)))/100))),"")</f>
        <v>4997458.075006105</v>
      </c>
      <c r="AA88" cm="1">
        <f t="array" ref="AA88">IFERROR(IF($E88&lt;44348,"",IF(INDEX(Raw_매출!$B$2:$BI$155,MATCH($A88,Raw_매출!$A$2:$A$155,0),MATCH(EDATE($E88,AA$1-1),Raw_매출!$B$1:$BI$1,0))=0,"",INDEX(Raw_매출!$B$2:$BI$155,MATCH($A88,Raw_매출!$A$2:$A$155,0),MATCH(EDATE($E88,AA$1-1),Raw_매출!$B$1:$BI$1,0))/(INDEX(요약_월별시즈널리티!$F$7:$F$18,MONTH(EDATE($E88,AA$1-1)))/100))),"")</f>
        <v>4092521.7434099913</v>
      </c>
      <c r="AB88" cm="1">
        <f t="array" ref="AB88">IFERROR(IF($E88&lt;44348,"",IF(INDEX(Raw_매출!$B$2:$BI$155,MATCH($A88,Raw_매출!$A$2:$A$155,0),MATCH(EDATE($E88,AB$1-1),Raw_매출!$B$1:$BI$1,0))=0,"",INDEX(Raw_매출!$B$2:$BI$155,MATCH($A88,Raw_매출!$A$2:$A$155,0),MATCH(EDATE($E88,AB$1-1),Raw_매출!$B$1:$BI$1,0))/(INDEX(요약_월별시즈널리티!$F$7:$F$18,MONTH(EDATE($E88,AB$1-1)))/100))),"")</f>
        <v>4663957.1716108536</v>
      </c>
      <c r="AC88" cm="1">
        <f t="array" ref="AC88">IFERROR(IF($E88&lt;44348,"",IF(INDEX(Raw_매출!$B$2:$BI$155,MATCH($A88,Raw_매출!$A$2:$A$155,0),MATCH(EDATE($E88,AC$1-1),Raw_매출!$B$1:$BI$1,0))=0,"",INDEX(Raw_매출!$B$2:$BI$155,MATCH($A88,Raw_매출!$A$2:$A$155,0),MATCH(EDATE($E88,AC$1-1),Raw_매출!$B$1:$BI$1,0))/(INDEX(요약_월별시즈널리티!$F$7:$F$18,MONTH(EDATE($E88,AC$1-1)))/100))),"")</f>
        <v>4265275.4041465679</v>
      </c>
      <c r="AD88" cm="1">
        <f t="array" ref="AD88">IFERROR(IF($E88&lt;44348,"",IF(INDEX(Raw_매출!$B$2:$BI$155,MATCH($A88,Raw_매출!$A$2:$A$155,0),MATCH(EDATE($E88,AD$1-1),Raw_매출!$B$1:$BI$1,0))=0,"",INDEX(Raw_매출!$B$2:$BI$155,MATCH($A88,Raw_매출!$A$2:$A$155,0),MATCH(EDATE($E88,AD$1-1),Raw_매출!$B$1:$BI$1,0))/(INDEX(요약_월별시즈널리티!$F$7:$F$18,MONTH(EDATE($E88,AD$1-1)))/100))),"")</f>
        <v>4131998.289622678</v>
      </c>
      <c r="AE88" cm="1">
        <f t="array" ref="AE88">IFERROR(IF($E88&lt;44348,"",IF(INDEX(Raw_매출!$B$2:$BI$155,MATCH($A88,Raw_매출!$A$2:$A$155,0),MATCH(EDATE($E88,AE$1-1),Raw_매출!$B$1:$BI$1,0))=0,"",INDEX(Raw_매출!$B$2:$BI$155,MATCH($A88,Raw_매출!$A$2:$A$155,0),MATCH(EDATE($E88,AE$1-1),Raw_매출!$B$1:$BI$1,0))/(INDEX(요약_월별시즈널리티!$F$7:$F$18,MONTH(EDATE($E88,AE$1-1)))/100))),"")</f>
        <v>3766634.1343157841</v>
      </c>
      <c r="AF88" cm="1">
        <f t="array" ref="AF88">IFERROR(IF($E88&lt;44348,"",IF(INDEX(Raw_매출!$B$2:$BI$155,MATCH($A88,Raw_매출!$A$2:$A$155,0),MATCH(EDATE($E88,AF$1-1),Raw_매출!$B$1:$BI$1,0))=0,"",INDEX(Raw_매출!$B$2:$BI$155,MATCH($A88,Raw_매출!$A$2:$A$155,0),MATCH(EDATE($E88,AF$1-1),Raw_매출!$B$1:$BI$1,0))/(INDEX(요약_월별시즈널리티!$F$7:$F$18,MONTH(EDATE($E88,AF$1-1)))/100))),"")</f>
        <v>4147085.0007801116</v>
      </c>
      <c r="AG88" cm="1">
        <f t="array" ref="AG88">IFERROR(IF($E88&lt;44348,"",IF(INDEX(Raw_매출!$B$2:$BI$155,MATCH($A88,Raw_매출!$A$2:$A$155,0),MATCH(EDATE($E88,AG$1-1),Raw_매출!$B$1:$BI$1,0))=0,"",INDEX(Raw_매출!$B$2:$BI$155,MATCH($A88,Raw_매출!$A$2:$A$155,0),MATCH(EDATE($E88,AG$1-1),Raw_매출!$B$1:$BI$1,0))/(INDEX(요약_월별시즈널리티!$F$7:$F$18,MONTH(EDATE($E88,AG$1-1)))/100))),"")</f>
        <v>4143949.2112403577</v>
      </c>
      <c r="AH88" cm="1">
        <f t="array" ref="AH88">IFERROR(IF($E88&lt;44348,"",IF(INDEX(Raw_매출!$B$2:$BI$155,MATCH($A88,Raw_매출!$A$2:$A$155,0),MATCH(EDATE($E88,AH$1-1),Raw_매출!$B$1:$BI$1,0))=0,"",INDEX(Raw_매출!$B$2:$BI$155,MATCH($A88,Raw_매출!$A$2:$A$155,0),MATCH(EDATE($E88,AH$1-1),Raw_매출!$B$1:$BI$1,0))/(INDEX(요약_월별시즈널리티!$F$7:$F$18,MONTH(EDATE($E88,AH$1-1)))/100))),"")</f>
        <v>4897230.6403384181</v>
      </c>
      <c r="AI88" cm="1">
        <f t="array" ref="AI88">IFERROR(IF($E88&lt;44348,"",IF(INDEX(Raw_매출!$B$2:$BI$155,MATCH($A88,Raw_매출!$A$2:$A$155,0),MATCH(EDATE($E88,AI$1-1),Raw_매출!$B$1:$BI$1,0))=0,"",INDEX(Raw_매출!$B$2:$BI$155,MATCH($A88,Raw_매출!$A$2:$A$155,0),MATCH(EDATE($E88,AI$1-1),Raw_매출!$B$1:$BI$1,0))/(INDEX(요약_월별시즈널리티!$F$7:$F$18,MONTH(EDATE($E88,AI$1-1)))/100))),"")</f>
        <v>4250693.6226988938</v>
      </c>
      <c r="AJ88" cm="1">
        <f t="array" ref="AJ88">IFERROR(IF($E88&lt;44348,"",IF(INDEX(Raw_매출!$B$2:$BI$155,MATCH($A88,Raw_매출!$A$2:$A$155,0),MATCH(EDATE($E88,AJ$1-1),Raw_매출!$B$1:$BI$1,0))=0,"",INDEX(Raw_매출!$B$2:$BI$155,MATCH($A88,Raw_매출!$A$2:$A$155,0),MATCH(EDATE($E88,AJ$1-1),Raw_매출!$B$1:$BI$1,0))/(INDEX(요약_월별시즈널리티!$F$7:$F$18,MONTH(EDATE($E88,AJ$1-1)))/100))),"")</f>
        <v>4999729.9424597826</v>
      </c>
      <c r="AK88" cm="1">
        <f t="array" ref="AK88">IFERROR(IF($E88&lt;44348,"",IF(INDEX(Raw_매출!$B$2:$BI$155,MATCH($A88,Raw_매출!$A$2:$A$155,0),MATCH(EDATE($E88,AK$1-1),Raw_매출!$B$1:$BI$1,0))=0,"",INDEX(Raw_매출!$B$2:$BI$155,MATCH($A88,Raw_매출!$A$2:$A$155,0),MATCH(EDATE($E88,AK$1-1),Raw_매출!$B$1:$BI$1,0))/(INDEX(요약_월별시즈널리티!$F$7:$F$18,MONTH(EDATE($E88,AK$1-1)))/100))),"")</f>
        <v>5150723.1307298094</v>
      </c>
      <c r="AL88" cm="1">
        <f t="array" ref="AL88">IFERROR(IF($E88&lt;44348,"",IF(INDEX(Raw_매출!$B$2:$BI$155,MATCH($A88,Raw_매출!$A$2:$A$155,0),MATCH(EDATE($E88,AL$1-1),Raw_매출!$B$1:$BI$1,0))=0,"",INDEX(Raw_매출!$B$2:$BI$155,MATCH($A88,Raw_매출!$A$2:$A$155,0),MATCH(EDATE($E88,AL$1-1),Raw_매출!$B$1:$BI$1,0))/(INDEX(요약_월별시즈널리티!$F$7:$F$18,MONTH(EDATE($E88,AL$1-1)))/100))),"")</f>
        <v>4392981.0503717605</v>
      </c>
      <c r="AM88" cm="1">
        <f t="array" ref="AM88">IFERROR(IF($E88&lt;44348,"",IF(INDEX(Raw_매출!$B$2:$BI$155,MATCH($A88,Raw_매출!$A$2:$A$155,0),MATCH(EDATE($E88,AM$1-1),Raw_매출!$B$1:$BI$1,0))=0,"",INDEX(Raw_매출!$B$2:$BI$155,MATCH($A88,Raw_매출!$A$2:$A$155,0),MATCH(EDATE($E88,AM$1-1),Raw_매출!$B$1:$BI$1,0))/(INDEX(요약_월별시즈널리티!$F$7:$F$18,MONTH(EDATE($E88,AM$1-1)))/100))),"")</f>
        <v>4371578.9842951344</v>
      </c>
      <c r="AN88" cm="1">
        <f t="array" ref="AN88">IFERROR(IF($E88&lt;44348,"",IF(INDEX(Raw_매출!$B$2:$BI$155,MATCH($A88,Raw_매출!$A$2:$A$155,0),MATCH(EDATE($E88,AN$1-1),Raw_매출!$B$1:$BI$1,0))=0,"",INDEX(Raw_매출!$B$2:$BI$155,MATCH($A88,Raw_매출!$A$2:$A$155,0),MATCH(EDATE($E88,AN$1-1),Raw_매출!$B$1:$BI$1,0))/(INDEX(요약_월별시즈널리티!$F$7:$F$18,MONTH(EDATE($E88,AN$1-1)))/100))),"")</f>
        <v>4200329.8743920159</v>
      </c>
      <c r="AO88" t="str" cm="1">
        <f t="array" ref="AO88">IFERROR(IF($E88&lt;44348,"",IF(INDEX(Raw_매출!$B$2:$BI$155,MATCH($A88,Raw_매출!$A$2:$A$155,0),MATCH(EDATE($E88,AO$1-1),Raw_매출!$B$1:$BI$1,0))=0,"",INDEX(Raw_매출!$B$2:$BI$155,MATCH($A88,Raw_매출!$A$2:$A$155,0),MATCH(EDATE($E88,AO$1-1),Raw_매출!$B$1:$BI$1,0))/(INDEX(요약_월별시즈널리티!$F$7:$F$18,MONTH(EDATE($E88,AO$1-1)))/100))),"")</f>
        <v/>
      </c>
      <c r="AP88" t="str" cm="1">
        <f t="array" ref="AP88">IFERROR(IF($E88&lt;44348,"",IF(INDEX(Raw_매출!$B$2:$BI$155,MATCH($A88,Raw_매출!$A$2:$A$155,0),MATCH(EDATE($E88,AP$1-1),Raw_매출!$B$1:$BI$1,0))=0,"",INDEX(Raw_매출!$B$2:$BI$155,MATCH($A88,Raw_매출!$A$2:$A$155,0),MATCH(EDATE($E88,AP$1-1),Raw_매출!$B$1:$BI$1,0))/(INDEX(요약_월별시즈널리티!$F$7:$F$18,MONTH(EDATE($E88,AP$1-1)))/100))),"")</f>
        <v/>
      </c>
      <c r="AQ88" t="str" cm="1">
        <f t="array" ref="AQ88">IFERROR(IF($E88&lt;44348,"",IF(INDEX(Raw_매출!$B$2:$BI$155,MATCH($A88,Raw_매출!$A$2:$A$155,0),MATCH(EDATE($E88,AQ$1-1),Raw_매출!$B$1:$BI$1,0))=0,"",INDEX(Raw_매출!$B$2:$BI$155,MATCH($A88,Raw_매출!$A$2:$A$155,0),MATCH(EDATE($E88,AQ$1-1),Raw_매출!$B$1:$BI$1,0))/(INDEX(요약_월별시즈널리티!$F$7:$F$18,MONTH(EDATE($E88,AQ$1-1)))/100))),"")</f>
        <v/>
      </c>
      <c r="AR88" t="str" cm="1">
        <f t="array" ref="AR88">IFERROR(IF($E88&lt;44348,"",IF(INDEX(Raw_매출!$B$2:$BI$155,MATCH($A88,Raw_매출!$A$2:$A$155,0),MATCH(EDATE($E88,AR$1-1),Raw_매출!$B$1:$BI$1,0))=0,"",INDEX(Raw_매출!$B$2:$BI$155,MATCH($A88,Raw_매출!$A$2:$A$155,0),MATCH(EDATE($E88,AR$1-1),Raw_매출!$B$1:$BI$1,0))/(INDEX(요약_월별시즈널리티!$F$7:$F$18,MONTH(EDATE($E88,AR$1-1)))/100))),"")</f>
        <v/>
      </c>
      <c r="AS88" t="str" cm="1">
        <f t="array" ref="AS88">IFERROR(IF($E88&lt;44348,"",IF(INDEX(Raw_매출!$B$2:$BI$155,MATCH($A88,Raw_매출!$A$2:$A$155,0),MATCH(EDATE($E88,AS$1-1),Raw_매출!$B$1:$BI$1,0))=0,"",INDEX(Raw_매출!$B$2:$BI$155,MATCH($A88,Raw_매출!$A$2:$A$155,0),MATCH(EDATE($E88,AS$1-1),Raw_매출!$B$1:$BI$1,0))/(INDEX(요약_월별시즈널리티!$F$7:$F$18,MONTH(EDATE($E88,AS$1-1)))/100))),"")</f>
        <v/>
      </c>
      <c r="AT88" t="str" cm="1">
        <f t="array" ref="AT88">IFERROR(IF($E88&lt;44348,"",IF(INDEX(Raw_매출!$B$2:$BI$155,MATCH($A88,Raw_매출!$A$2:$A$155,0),MATCH(EDATE($E88,AT$1-1),Raw_매출!$B$1:$BI$1,0))=0,"",INDEX(Raw_매출!$B$2:$BI$155,MATCH($A88,Raw_매출!$A$2:$A$155,0),MATCH(EDATE($E88,AT$1-1),Raw_매출!$B$1:$BI$1,0))/(INDEX(요약_월별시즈널리티!$F$7:$F$18,MONTH(EDATE($E88,AT$1-1)))/100))),"")</f>
        <v/>
      </c>
      <c r="AU88" t="str" cm="1">
        <f t="array" ref="AU88">IFERROR(IF($E88&lt;44348,"",IF(INDEX(Raw_매출!$B$2:$BI$155,MATCH($A88,Raw_매출!$A$2:$A$155,0),MATCH(EDATE($E88,AU$1-1),Raw_매출!$B$1:$BI$1,0))=0,"",INDEX(Raw_매출!$B$2:$BI$155,MATCH($A88,Raw_매출!$A$2:$A$155,0),MATCH(EDATE($E88,AU$1-1),Raw_매출!$B$1:$BI$1,0))/(INDEX(요약_월별시즈널리티!$F$7:$F$18,MONTH(EDATE($E88,AU$1-1)))/100))),"")</f>
        <v/>
      </c>
      <c r="AV88" t="str" cm="1">
        <f t="array" ref="AV88">IFERROR(IF($E88&lt;44348,"",IF(INDEX(Raw_매출!$B$2:$BI$155,MATCH($A88,Raw_매출!$A$2:$A$155,0),MATCH(EDATE($E88,AV$1-1),Raw_매출!$B$1:$BI$1,0))=0,"",INDEX(Raw_매출!$B$2:$BI$155,MATCH($A88,Raw_매출!$A$2:$A$155,0),MATCH(EDATE($E88,AV$1-1),Raw_매출!$B$1:$BI$1,0))/(INDEX(요약_월별시즈널리티!$F$7:$F$18,MONTH(EDATE($E88,AV$1-1)))/100))),"")</f>
        <v/>
      </c>
      <c r="AW88" t="str" cm="1">
        <f t="array" ref="AW88">IFERROR(IF($E88&lt;44348,"",IF(INDEX(Raw_매출!$B$2:$BI$155,MATCH($A88,Raw_매출!$A$2:$A$155,0),MATCH(EDATE($E88,AW$1-1),Raw_매출!$B$1:$BI$1,0))=0,"",INDEX(Raw_매출!$B$2:$BI$155,MATCH($A88,Raw_매출!$A$2:$A$155,0),MATCH(EDATE($E88,AW$1-1),Raw_매출!$B$1:$BI$1,0))/(INDEX(요약_월별시즈널리티!$F$7:$F$18,MONTH(EDATE($E88,AW$1-1)))/100))),"")</f>
        <v/>
      </c>
      <c r="AX88" t="str" cm="1">
        <f t="array" ref="AX88">IFERROR(IF($E88&lt;44348,"",IF(INDEX(Raw_매출!$B$2:$BI$155,MATCH($A88,Raw_매출!$A$2:$A$155,0),MATCH(EDATE($E88,AX$1-1),Raw_매출!$B$1:$BI$1,0))=0,"",INDEX(Raw_매출!$B$2:$BI$155,MATCH($A88,Raw_매출!$A$2:$A$155,0),MATCH(EDATE($E88,AX$1-1),Raw_매출!$B$1:$BI$1,0))/(INDEX(요약_월별시즈널리티!$F$7:$F$18,MONTH(EDATE($E88,AX$1-1)))/100))),"")</f>
        <v/>
      </c>
      <c r="AY88" t="str" cm="1">
        <f t="array" ref="AY88">IFERROR(IF($E88&lt;44348,"",IF(INDEX(Raw_매출!$B$2:$BI$155,MATCH($A88,Raw_매출!$A$2:$A$155,0),MATCH(EDATE($E88,AY$1-1),Raw_매출!$B$1:$BI$1,0))=0,"",INDEX(Raw_매출!$B$2:$BI$155,MATCH($A88,Raw_매출!$A$2:$A$155,0),MATCH(EDATE($E88,AY$1-1),Raw_매출!$B$1:$BI$1,0))/(INDEX(요약_월별시즈널리티!$F$7:$F$18,MONTH(EDATE($E88,AY$1-1)))/100))),"")</f>
        <v/>
      </c>
      <c r="AZ88" t="str" cm="1">
        <f t="array" ref="AZ88">IFERROR(IF($E88&lt;44348,"",IF(INDEX(Raw_매출!$B$2:$BI$155,MATCH($A88,Raw_매출!$A$2:$A$155,0),MATCH(EDATE($E88,AZ$1-1),Raw_매출!$B$1:$BI$1,0))=0,"",INDEX(Raw_매출!$B$2:$BI$155,MATCH($A88,Raw_매출!$A$2:$A$155,0),MATCH(EDATE($E88,AZ$1-1),Raw_매출!$B$1:$BI$1,0))/(INDEX(요약_월별시즈널리티!$F$7:$F$18,MONTH(EDATE($E88,AZ$1-1)))/100))),"")</f>
        <v/>
      </c>
      <c r="BA88" t="str" cm="1">
        <f t="array" ref="BA88">IFERROR(IF($E88&lt;44348,"",IF(INDEX(Raw_매출!$B$2:$BI$155,MATCH($A88,Raw_매출!$A$2:$A$155,0),MATCH(EDATE($E88,BA$1-1),Raw_매출!$B$1:$BI$1,0))=0,"",INDEX(Raw_매출!$B$2:$BI$155,MATCH($A88,Raw_매출!$A$2:$A$155,0),MATCH(EDATE($E88,BA$1-1),Raw_매출!$B$1:$BI$1,0))/(INDEX(요약_월별시즈널리티!$F$7:$F$18,MONTH(EDATE($E88,BA$1-1)))/100))),"")</f>
        <v/>
      </c>
      <c r="BB88" t="str" cm="1">
        <f t="array" ref="BB88">IFERROR(IF($E88&lt;44348,"",IF(INDEX(Raw_매출!$B$2:$BI$155,MATCH($A88,Raw_매출!$A$2:$A$155,0),MATCH(EDATE($E88,BB$1-1),Raw_매출!$B$1:$BI$1,0))=0,"",INDEX(Raw_매출!$B$2:$BI$155,MATCH($A88,Raw_매출!$A$2:$A$155,0),MATCH(EDATE($E88,BB$1-1),Raw_매출!$B$1:$BI$1,0))/(INDEX(요약_월별시즈널리티!$F$7:$F$18,MONTH(EDATE($E88,BB$1-1)))/100))),"")</f>
        <v/>
      </c>
      <c r="BC88" t="str" cm="1">
        <f t="array" ref="BC88">IFERROR(IF($E88&lt;44348,"",IF(INDEX(Raw_매출!$B$2:$BI$155,MATCH($A88,Raw_매출!$A$2:$A$155,0),MATCH(EDATE($E88,BC$1-1),Raw_매출!$B$1:$BI$1,0))=0,"",INDEX(Raw_매출!$B$2:$BI$155,MATCH($A88,Raw_매출!$A$2:$A$155,0),MATCH(EDATE($E88,BC$1-1),Raw_매출!$B$1:$BI$1,0))/(INDEX(요약_월별시즈널리티!$F$7:$F$18,MONTH(EDATE($E88,BC$1-1)))/100))),"")</f>
        <v/>
      </c>
      <c r="BD88" t="str" cm="1">
        <f t="array" ref="BD88">IFERROR(IF($E88&lt;44348,"",IF(INDEX(Raw_매출!$B$2:$BI$155,MATCH($A88,Raw_매출!$A$2:$A$155,0),MATCH(EDATE($E88,BD$1-1),Raw_매출!$B$1:$BI$1,0))=0,"",INDEX(Raw_매출!$B$2:$BI$155,MATCH($A88,Raw_매출!$A$2:$A$155,0),MATCH(EDATE($E88,BD$1-1),Raw_매출!$B$1:$BI$1,0))/(INDEX(요약_월별시즈널리티!$F$7:$F$18,MONTH(EDATE($E88,BD$1-1)))/100))),"")</f>
        <v/>
      </c>
      <c r="BE88" t="str" cm="1">
        <f t="array" ref="BE88">IFERROR(IF($E88&lt;44348,"",IF(INDEX(Raw_매출!$B$2:$BI$155,MATCH($A88,Raw_매출!$A$2:$A$155,0),MATCH(EDATE($E88,BE$1-1),Raw_매출!$B$1:$BI$1,0))=0,"",INDEX(Raw_매출!$B$2:$BI$155,MATCH($A88,Raw_매출!$A$2:$A$155,0),MATCH(EDATE($E88,BE$1-1),Raw_매출!$B$1:$BI$1,0))/(INDEX(요약_월별시즈널리티!$F$7:$F$18,MONTH(EDATE($E88,BE$1-1)))/100))),"")</f>
        <v/>
      </c>
      <c r="BF88" t="str" cm="1">
        <f t="array" ref="BF88">IFERROR(IF($E88&lt;44348,"",IF(INDEX(Raw_매출!$B$2:$BI$155,MATCH($A88,Raw_매출!$A$2:$A$155,0),MATCH(EDATE($E88,BF$1-1),Raw_매출!$B$1:$BI$1,0))=0,"",INDEX(Raw_매출!$B$2:$BI$155,MATCH($A88,Raw_매출!$A$2:$A$155,0),MATCH(EDATE($E88,BF$1-1),Raw_매출!$B$1:$BI$1,0))/(INDEX(요약_월별시즈널리티!$F$7:$F$18,MONTH(EDATE($E88,BF$1-1)))/100))),"")</f>
        <v/>
      </c>
      <c r="BG88" t="str" cm="1">
        <f t="array" ref="BG88">IFERROR(IF($E88&lt;44348,"",IF(INDEX(Raw_매출!$B$2:$BI$155,MATCH($A88,Raw_매출!$A$2:$A$155,0),MATCH(EDATE($E88,BG$1-1),Raw_매출!$B$1:$BI$1,0))=0,"",INDEX(Raw_매출!$B$2:$BI$155,MATCH($A88,Raw_매출!$A$2:$A$155,0),MATCH(EDATE($E88,BG$1-1),Raw_매출!$B$1:$BI$1,0))/(INDEX(요약_월별시즈널리티!$F$7:$F$18,MONTH(EDATE($E88,BG$1-1)))/100))),"")</f>
        <v/>
      </c>
      <c r="BH88" t="str" cm="1">
        <f t="array" ref="BH88">IFERROR(IF($E88&lt;44348,"",IF(INDEX(Raw_매출!$B$2:$BI$155,MATCH($A88,Raw_매출!$A$2:$A$155,0),MATCH(EDATE($E88,BH$1-1),Raw_매출!$B$1:$BI$1,0))=0,"",INDEX(Raw_매출!$B$2:$BI$155,MATCH($A88,Raw_매출!$A$2:$A$155,0),MATCH(EDATE($E88,BH$1-1),Raw_매출!$B$1:$BI$1,0))/(INDEX(요약_월별시즈널리티!$F$7:$F$18,MONTH(EDATE($E88,BH$1-1)))/100))),"")</f>
        <v/>
      </c>
      <c r="BI88" t="str" cm="1">
        <f t="array" ref="BI88">IFERROR(IF($E88&lt;44348,"",IF(INDEX(Raw_매출!$B$2:$BI$155,MATCH($A88,Raw_매출!$A$2:$A$155,0),MATCH(EDATE($E88,BI$1-1),Raw_매출!$B$1:$BI$1,0))=0,"",INDEX(Raw_매출!$B$2:$BI$155,MATCH($A88,Raw_매출!$A$2:$A$155,0),MATCH(EDATE($E88,BI$1-1),Raw_매출!$B$1:$BI$1,0))/(INDEX(요약_월별시즈널리티!$F$7:$F$18,MONTH(EDATE($E88,BI$1-1)))/100))),"")</f>
        <v/>
      </c>
      <c r="BJ88" t="str" cm="1">
        <f t="array" ref="BJ88">IFERROR(IF($E88&lt;44348,"",IF(INDEX(Raw_매출!$B$2:$BI$155,MATCH($A88,Raw_매출!$A$2:$A$155,0),MATCH(EDATE($E88,BJ$1-1),Raw_매출!$B$1:$BI$1,0))=0,"",INDEX(Raw_매출!$B$2:$BI$155,MATCH($A88,Raw_매출!$A$2:$A$155,0),MATCH(EDATE($E88,BJ$1-1),Raw_매출!$B$1:$BI$1,0))/(INDEX(요약_월별시즈널리티!$F$7:$F$18,MONTH(EDATE($E88,BJ$1-1)))/100))),"")</f>
        <v/>
      </c>
      <c r="BK88" t="str" cm="1">
        <f t="array" ref="BK88">IFERROR(IF($E88&lt;44348,"",IF(INDEX(Raw_매출!$B$2:$BI$155,MATCH($A88,Raw_매출!$A$2:$A$155,0),MATCH(EDATE($E88,BK$1-1),Raw_매출!$B$1:$BI$1,0))=0,"",INDEX(Raw_매출!$B$2:$BI$155,MATCH($A88,Raw_매출!$A$2:$A$155,0),MATCH(EDATE($E88,BK$1-1),Raw_매출!$B$1:$BI$1,0))/(INDEX(요약_월별시즈널리티!$F$7:$F$18,MONTH(EDATE($E88,BK$1-1)))/100))),"")</f>
        <v/>
      </c>
      <c r="BL88" t="str" cm="1">
        <f t="array" ref="BL88">IFERROR(IF($E88&lt;44348,"",IF(INDEX(Raw_매출!$B$2:$BI$155,MATCH($A88,Raw_매출!$A$2:$A$155,0),MATCH(EDATE($E88,BL$1-1),Raw_매출!$B$1:$BI$1,0))=0,"",INDEX(Raw_매출!$B$2:$BI$155,MATCH($A88,Raw_매출!$A$2:$A$155,0),MATCH(EDATE($E88,BL$1-1),Raw_매출!$B$1:$BI$1,0))/(INDEX(요약_월별시즈널리티!$F$7:$F$18,MONTH(EDATE($E88,BL$1-1)))/100))),"")</f>
        <v/>
      </c>
      <c r="BM88" t="str" cm="1">
        <f t="array" ref="BM88">IFERROR(IF($E88&lt;44348,"",IF(INDEX(Raw_매출!$B$2:$BI$155,MATCH($A88,Raw_매출!$A$2:$A$155,0),MATCH(EDATE($E88,BM$1-1),Raw_매출!$B$1:$BI$1,0))=0,"",INDEX(Raw_매출!$B$2:$BI$155,MATCH($A88,Raw_매출!$A$2:$A$155,0),MATCH(EDATE($E88,BM$1-1),Raw_매출!$B$1:$BI$1,0))/(INDEX(요약_월별시즈널리티!$F$7:$F$18,MONTH(EDATE($E88,BM$1-1)))/100))),"")</f>
        <v/>
      </c>
      <c r="BN88" t="str" cm="1">
        <f t="array" ref="BN88">IFERROR(IF($E88&lt;44348,"",IF(INDEX(Raw_매출!$B$2:$BI$155,MATCH($A88,Raw_매출!$A$2:$A$155,0),MATCH(EDATE($E88,BN$1-1),Raw_매출!$B$1:$BI$1,0))=0,"",INDEX(Raw_매출!$B$2:$BI$155,MATCH($A88,Raw_매출!$A$2:$A$155,0),MATCH(EDATE($E88,BN$1-1),Raw_매출!$B$1:$BI$1,0))/(INDEX(요약_월별시즈널리티!$F$7:$F$18,MONTH(EDATE($E88,BN$1-1)))/100))),"")</f>
        <v/>
      </c>
    </row>
    <row r="89" spans="1:66" x14ac:dyDescent="0.4">
      <c r="A89" t="str">
        <f>세팅!A90</f>
        <v>(1078) #오창양청파크점</v>
      </c>
      <c r="B89" t="str">
        <f>세팅!B90</f>
        <v>150-0</v>
      </c>
      <c r="C89">
        <f t="shared" si="3"/>
        <v>0</v>
      </c>
      <c r="D89" t="str">
        <f t="shared" si="4"/>
        <v>0</v>
      </c>
      <c r="E89" s="1">
        <f>세팅!D90</f>
        <v>45139</v>
      </c>
      <c r="F89">
        <f t="shared" si="5"/>
        <v>3626866.4647597629</v>
      </c>
      <c r="G89" cm="1">
        <f t="array" ref="G89">IFERROR(IF($E89&lt;44348,"",IF(INDEX(Raw_매출!$B$2:$BI$155,MATCH($A89,Raw_매출!$A$2:$A$155,0),MATCH(EDATE($E89,G$1-1),Raw_매출!$B$1:$BI$1,0))=0,"",INDEX(Raw_매출!$B$2:$BI$155,MATCH($A89,Raw_매출!$A$2:$A$155,0),MATCH(EDATE($E89,G$1-1),Raw_매출!$B$1:$BI$1,0))/(INDEX(요약_월별시즈널리티!$F$7:$F$18,MONTH(EDATE($E89,G$1-1)))/100))),"")</f>
        <v>1401672.7418527706</v>
      </c>
      <c r="H89" cm="1">
        <f t="array" ref="H89">IFERROR(IF($E89&lt;44348,"",IF(INDEX(Raw_매출!$B$2:$BI$155,MATCH($A89,Raw_매출!$A$2:$A$155,0),MATCH(EDATE($E89,H$1-1),Raw_매출!$B$1:$BI$1,0))=0,"",INDEX(Raw_매출!$B$2:$BI$155,MATCH($A89,Raw_매출!$A$2:$A$155,0),MATCH(EDATE($E89,H$1-1),Raw_매출!$B$1:$BI$1,0))/(INDEX(요약_월별시즈널리티!$F$7:$F$18,MONTH(EDATE($E89,H$1-1)))/100))),"")</f>
        <v>2014690.2304733202</v>
      </c>
      <c r="I89" cm="1">
        <f t="array" ref="I89">IFERROR(IF($E89&lt;44348,"",IF(INDEX(Raw_매출!$B$2:$BI$155,MATCH($A89,Raw_매출!$A$2:$A$155,0),MATCH(EDATE($E89,I$1-1),Raw_매출!$B$1:$BI$1,0))=0,"",INDEX(Raw_매출!$B$2:$BI$155,MATCH($A89,Raw_매출!$A$2:$A$155,0),MATCH(EDATE($E89,I$1-1),Raw_매출!$B$1:$BI$1,0))/(INDEX(요약_월별시즈널리티!$F$7:$F$18,MONTH(EDATE($E89,I$1-1)))/100))),"")</f>
        <v>2536364.9575664392</v>
      </c>
      <c r="J89" s="30" cm="1">
        <f t="array" ref="J89">IFERROR(IF($E89&lt;44348,"",IF(INDEX(Raw_매출!$B$2:$BI$155,MATCH($A89,Raw_매출!$A$2:$A$155,0),MATCH(EDATE($E89,J$1-1),Raw_매출!$B$1:$BI$1,0))=0,"",INDEX(Raw_매출!$B$2:$BI$155,MATCH($A89,Raw_매출!$A$2:$A$155,0),MATCH(EDATE($E89,J$1-1),Raw_매출!$B$1:$BI$1,0))/(INDEX(요약_월별시즈널리티!$F$7:$F$18,MONTH(EDATE($E89,J$1-1)))/100))),"")</f>
        <v>3030855.5995606426</v>
      </c>
      <c r="K89" s="30" cm="1">
        <f t="array" ref="K89">IFERROR(IF($E89&lt;44348,"",IF(INDEX(Raw_매출!$B$2:$BI$155,MATCH($A89,Raw_매출!$A$2:$A$155,0),MATCH(EDATE($E89,K$1-1),Raw_매출!$B$1:$BI$1,0))=0,"",INDEX(Raw_매출!$B$2:$BI$155,MATCH($A89,Raw_매출!$A$2:$A$155,0),MATCH(EDATE($E89,K$1-1),Raw_매출!$B$1:$BI$1,0))/(INDEX(요약_월별시즈널리티!$F$7:$F$18,MONTH(EDATE($E89,K$1-1)))/100))),"")</f>
        <v>3071337.8873922662</v>
      </c>
      <c r="L89" s="30" cm="1">
        <f t="array" ref="L89">IFERROR(IF($E89&lt;44348,"",IF(INDEX(Raw_매출!$B$2:$BI$155,MATCH($A89,Raw_매출!$A$2:$A$155,0),MATCH(EDATE($E89,L$1-1),Raw_매출!$B$1:$BI$1,0))=0,"",INDEX(Raw_매출!$B$2:$BI$155,MATCH($A89,Raw_매출!$A$2:$A$155,0),MATCH(EDATE($E89,L$1-1),Raw_매출!$B$1:$BI$1,0))/(INDEX(요약_월별시즈널리티!$F$7:$F$18,MONTH(EDATE($E89,L$1-1)))/100))),"")</f>
        <v>4245267.0063601984</v>
      </c>
      <c r="M89" s="30" cm="1">
        <f t="array" ref="M89">IFERROR(IF($E89&lt;44348,"",IF(INDEX(Raw_매출!$B$2:$BI$155,MATCH($A89,Raw_매출!$A$2:$A$155,0),MATCH(EDATE($E89,M$1-1),Raw_매출!$B$1:$BI$1,0))=0,"",INDEX(Raw_매출!$B$2:$BI$155,MATCH($A89,Raw_매출!$A$2:$A$155,0),MATCH(EDATE($E89,M$1-1),Raw_매출!$B$1:$BI$1,0))/(INDEX(요약_월별시즈널리티!$F$7:$F$18,MONTH(EDATE($E89,M$1-1)))/100))),"")</f>
        <v>3675289.7383667175</v>
      </c>
      <c r="N89" s="30" cm="1">
        <f t="array" ref="N89">IFERROR(IF($E89&lt;44348,"",IF(INDEX(Raw_매출!$B$2:$BI$155,MATCH($A89,Raw_매출!$A$2:$A$155,0),MATCH(EDATE($E89,N$1-1),Raw_매출!$B$1:$BI$1,0))=0,"",INDEX(Raw_매출!$B$2:$BI$155,MATCH($A89,Raw_매출!$A$2:$A$155,0),MATCH(EDATE($E89,N$1-1),Raw_매출!$B$1:$BI$1,0))/(INDEX(요약_월별시즈널리티!$F$7:$F$18,MONTH(EDATE($E89,N$1-1)))/100))),"")</f>
        <v>4111108.5708059822</v>
      </c>
      <c r="O89" s="30" cm="1">
        <f t="array" ref="O89">IFERROR(IF($E89&lt;44348,"",IF(INDEX(Raw_매출!$B$2:$BI$155,MATCH($A89,Raw_매출!$A$2:$A$155,0),MATCH(EDATE($E89,O$1-1),Raw_매출!$B$1:$BI$1,0))=0,"",INDEX(Raw_매출!$B$2:$BI$155,MATCH($A89,Raw_매출!$A$2:$A$155,0),MATCH(EDATE($E89,O$1-1),Raw_매출!$B$1:$BI$1,0))/(INDEX(요약_월별시즈널리티!$F$7:$F$18,MONTH(EDATE($E89,O$1-1)))/100))),"")</f>
        <v>3627339.9860727689</v>
      </c>
      <c r="P89" cm="1">
        <f t="array" ref="P89">IFERROR(IF($E89&lt;44348,"",IF(INDEX(Raw_매출!$B$2:$BI$155,MATCH($A89,Raw_매출!$A$2:$A$155,0),MATCH(EDATE($E89,P$1-1),Raw_매출!$B$1:$BI$1,0))=0,"",INDEX(Raw_매출!$B$2:$BI$155,MATCH($A89,Raw_매출!$A$2:$A$155,0),MATCH(EDATE($E89,P$1-1),Raw_매출!$B$1:$BI$1,0))/(INDEX(요약_월별시즈널리티!$F$7:$F$18,MONTH(EDATE($E89,P$1-1)))/100))),"")</f>
        <v>3540540.520997948</v>
      </c>
      <c r="Q89" cm="1">
        <f t="array" ref="Q89">IFERROR(IF($E89&lt;44348,"",IF(INDEX(Raw_매출!$B$2:$BI$155,MATCH($A89,Raw_매출!$A$2:$A$155,0),MATCH(EDATE($E89,Q$1-1),Raw_매출!$B$1:$BI$1,0))=0,"",INDEX(Raw_매출!$B$2:$BI$155,MATCH($A89,Raw_매출!$A$2:$A$155,0),MATCH(EDATE($E89,Q$1-1),Raw_매출!$B$1:$BI$1,0))/(INDEX(요약_월별시즈널리티!$F$7:$F$18,MONTH(EDATE($E89,Q$1-1)))/100))),"")</f>
        <v>3505882.1344638402</v>
      </c>
      <c r="R89" cm="1">
        <f t="array" ref="R89">IFERROR(IF($E89&lt;44348,"",IF(INDEX(Raw_매출!$B$2:$BI$155,MATCH($A89,Raw_매출!$A$2:$A$155,0),MATCH(EDATE($E89,R$1-1),Raw_매출!$B$1:$BI$1,0))=0,"",INDEX(Raw_매출!$B$2:$BI$155,MATCH($A89,Raw_매출!$A$2:$A$155,0),MATCH(EDATE($E89,R$1-1),Raw_매출!$B$1:$BI$1,0))/(INDEX(요약_월별시즈널리티!$F$7:$F$18,MONTH(EDATE($E89,R$1-1)))/100))),"")</f>
        <v>3131354.8855628232</v>
      </c>
      <c r="S89" cm="1">
        <f t="array" ref="S89">IFERROR(IF($E89&lt;44348,"",IF(INDEX(Raw_매출!$B$2:$BI$155,MATCH($A89,Raw_매출!$A$2:$A$155,0),MATCH(EDATE($E89,S$1-1),Raw_매출!$B$1:$BI$1,0))=0,"",INDEX(Raw_매출!$B$2:$BI$155,MATCH($A89,Raw_매출!$A$2:$A$155,0),MATCH(EDATE($E89,S$1-1),Raw_매출!$B$1:$BI$1,0))/(INDEX(요약_월별시즈널리티!$F$7:$F$18,MONTH(EDATE($E89,S$1-1)))/100))),"")</f>
        <v>3660700.7035271013</v>
      </c>
      <c r="T89" cm="1">
        <f t="array" ref="T89">IFERROR(IF($E89&lt;44348,"",IF(INDEX(Raw_매출!$B$2:$BI$155,MATCH($A89,Raw_매출!$A$2:$A$155,0),MATCH(EDATE($E89,T$1-1),Raw_매출!$B$1:$BI$1,0))=0,"",INDEX(Raw_매출!$B$2:$BI$155,MATCH($A89,Raw_매출!$A$2:$A$155,0),MATCH(EDATE($E89,T$1-1),Raw_매출!$B$1:$BI$1,0))/(INDEX(요약_월별시즈널리티!$F$7:$F$18,MONTH(EDATE($E89,T$1-1)))/100))),"")</f>
        <v>3332481.6937493333</v>
      </c>
      <c r="U89" cm="1">
        <f t="array" ref="U89">IFERROR(IF($E89&lt;44348,"",IF(INDEX(Raw_매출!$B$2:$BI$155,MATCH($A89,Raw_매출!$A$2:$A$155,0),MATCH(EDATE($E89,U$1-1),Raw_매출!$B$1:$BI$1,0))=0,"",INDEX(Raw_매출!$B$2:$BI$155,MATCH($A89,Raw_매출!$A$2:$A$155,0),MATCH(EDATE($E89,U$1-1),Raw_매출!$B$1:$BI$1,0))/(INDEX(요약_월별시즈널리티!$F$7:$F$18,MONTH(EDATE($E89,U$1-1)))/100))),"")</f>
        <v>3423283.8311452921</v>
      </c>
      <c r="V89" cm="1">
        <f t="array" ref="V89">IFERROR(IF($E89&lt;44348,"",IF(INDEX(Raw_매출!$B$2:$BI$155,MATCH($A89,Raw_매출!$A$2:$A$155,0),MATCH(EDATE($E89,V$1-1),Raw_매출!$B$1:$BI$1,0))=0,"",INDEX(Raw_매출!$B$2:$BI$155,MATCH($A89,Raw_매출!$A$2:$A$155,0),MATCH(EDATE($E89,V$1-1),Raw_매출!$B$1:$BI$1,0))/(INDEX(요약_월별시즈널리티!$F$7:$F$18,MONTH(EDATE($E89,V$1-1)))/100))),"")</f>
        <v>4235388.9799254071</v>
      </c>
      <c r="W89" cm="1">
        <f t="array" ref="W89">IFERROR(IF($E89&lt;44348,"",IF(INDEX(Raw_매출!$B$2:$BI$155,MATCH($A89,Raw_매출!$A$2:$A$155,0),MATCH(EDATE($E89,W$1-1),Raw_매출!$B$1:$BI$1,0))=0,"",INDEX(Raw_매출!$B$2:$BI$155,MATCH($A89,Raw_매출!$A$2:$A$155,0),MATCH(EDATE($E89,W$1-1),Raw_매출!$B$1:$BI$1,0))/(INDEX(요약_월별시즈널리티!$F$7:$F$18,MONTH(EDATE($E89,W$1-1)))/100))),"")</f>
        <v>4612963.3686921513</v>
      </c>
      <c r="X89" cm="1">
        <f t="array" ref="X89">IFERROR(IF($E89&lt;44348,"",IF(INDEX(Raw_매출!$B$2:$BI$155,MATCH($A89,Raw_매출!$A$2:$A$155,0),MATCH(EDATE($E89,X$1-1),Raw_매출!$B$1:$BI$1,0))=0,"",INDEX(Raw_매출!$B$2:$BI$155,MATCH($A89,Raw_매출!$A$2:$A$155,0),MATCH(EDATE($E89,X$1-1),Raw_매출!$B$1:$BI$1,0))/(INDEX(요약_월별시즈널리티!$F$7:$F$18,MONTH(EDATE($E89,X$1-1)))/100))),"")</f>
        <v>4854437.6872893069</v>
      </c>
      <c r="Y89" cm="1">
        <f t="array" ref="Y89">IFERROR(IF($E89&lt;44348,"",IF(INDEX(Raw_매출!$B$2:$BI$155,MATCH($A89,Raw_매출!$A$2:$A$155,0),MATCH(EDATE($E89,Y$1-1),Raw_매출!$B$1:$BI$1,0))=0,"",INDEX(Raw_매출!$B$2:$BI$155,MATCH($A89,Raw_매출!$A$2:$A$155,0),MATCH(EDATE($E89,Y$1-1),Raw_매출!$B$1:$BI$1,0))/(INDEX(요약_월별시즈널리티!$F$7:$F$18,MONTH(EDATE($E89,Y$1-1)))/100))),"")</f>
        <v>4246119.8397663347</v>
      </c>
      <c r="Z89" cm="1">
        <f t="array" ref="Z89">IFERROR(IF($E89&lt;44348,"",IF(INDEX(Raw_매출!$B$2:$BI$155,MATCH($A89,Raw_매출!$A$2:$A$155,0),MATCH(EDATE($E89,Z$1-1),Raw_매출!$B$1:$BI$1,0))=0,"",INDEX(Raw_매출!$B$2:$BI$155,MATCH($A89,Raw_매출!$A$2:$A$155,0),MATCH(EDATE($E89,Z$1-1),Raw_매출!$B$1:$BI$1,0))/(INDEX(요약_월별시즈널리티!$F$7:$F$18,MONTH(EDATE($E89,Z$1-1)))/100))),"")</f>
        <v>4871793.7870186018</v>
      </c>
      <c r="AA89" cm="1">
        <f t="array" ref="AA89">IFERROR(IF($E89&lt;44348,"",IF(INDEX(Raw_매출!$B$2:$BI$155,MATCH($A89,Raw_매출!$A$2:$A$155,0),MATCH(EDATE($E89,AA$1-1),Raw_매출!$B$1:$BI$1,0))=0,"",INDEX(Raw_매출!$B$2:$BI$155,MATCH($A89,Raw_매출!$A$2:$A$155,0),MATCH(EDATE($E89,AA$1-1),Raw_매출!$B$1:$BI$1,0))/(INDEX(요약_월별시즈널리티!$F$7:$F$18,MONTH(EDATE($E89,AA$1-1)))/100))),"")</f>
        <v>4311268.0502852742</v>
      </c>
      <c r="AB89" cm="1">
        <f t="array" ref="AB89">IFERROR(IF($E89&lt;44348,"",IF(INDEX(Raw_매출!$B$2:$BI$155,MATCH($A89,Raw_매출!$A$2:$A$155,0),MATCH(EDATE($E89,AB$1-1),Raw_매출!$B$1:$BI$1,0))=0,"",INDEX(Raw_매출!$B$2:$BI$155,MATCH($A89,Raw_매출!$A$2:$A$155,0),MATCH(EDATE($E89,AB$1-1),Raw_매출!$B$1:$BI$1,0))/(INDEX(요약_월별시즈널리티!$F$7:$F$18,MONTH(EDATE($E89,AB$1-1)))/100))),"")</f>
        <v>4080956.5935089523</v>
      </c>
      <c r="AC89" cm="1">
        <f t="array" ref="AC89">IFERROR(IF($E89&lt;44348,"",IF(INDEX(Raw_매출!$B$2:$BI$155,MATCH($A89,Raw_매출!$A$2:$A$155,0),MATCH(EDATE($E89,AC$1-1),Raw_매출!$B$1:$BI$1,0))=0,"",INDEX(Raw_매출!$B$2:$BI$155,MATCH($A89,Raw_매출!$A$2:$A$155,0),MATCH(EDATE($E89,AC$1-1),Raw_매출!$B$1:$BI$1,0))/(INDEX(요약_월별시즈널리티!$F$7:$F$18,MONTH(EDATE($E89,AC$1-1)))/100))),"")</f>
        <v>4055283.0356218028</v>
      </c>
      <c r="AD89" cm="1">
        <f t="array" ref="AD89">IFERROR(IF($E89&lt;44348,"",IF(INDEX(Raw_매출!$B$2:$BI$155,MATCH($A89,Raw_매출!$A$2:$A$155,0),MATCH(EDATE($E89,AD$1-1),Raw_매출!$B$1:$BI$1,0))=0,"",INDEX(Raw_매출!$B$2:$BI$155,MATCH($A89,Raw_매출!$A$2:$A$155,0),MATCH(EDATE($E89,AD$1-1),Raw_매출!$B$1:$BI$1,0))/(INDEX(요약_월별시즈널리티!$F$7:$F$18,MONTH(EDATE($E89,AD$1-1)))/100))),"")</f>
        <v>3354552.2629562747</v>
      </c>
      <c r="AE89" cm="1">
        <f t="array" ref="AE89">IFERROR(IF($E89&lt;44348,"",IF(INDEX(Raw_매출!$B$2:$BI$155,MATCH($A89,Raw_매출!$A$2:$A$155,0),MATCH(EDATE($E89,AE$1-1),Raw_매출!$B$1:$BI$1,0))=0,"",INDEX(Raw_매출!$B$2:$BI$155,MATCH($A89,Raw_매출!$A$2:$A$155,0),MATCH(EDATE($E89,AE$1-1),Raw_매출!$B$1:$BI$1,0))/(INDEX(요약_월별시즈널리티!$F$7:$F$18,MONTH(EDATE($E89,AE$1-1)))/100))),"")</f>
        <v>3532904.4157458609</v>
      </c>
      <c r="AF89" cm="1">
        <f t="array" ref="AF89">IFERROR(IF($E89&lt;44348,"",IF(INDEX(Raw_매출!$B$2:$BI$155,MATCH($A89,Raw_매출!$A$2:$A$155,0),MATCH(EDATE($E89,AF$1-1),Raw_매출!$B$1:$BI$1,0))=0,"",INDEX(Raw_매출!$B$2:$BI$155,MATCH($A89,Raw_매출!$A$2:$A$155,0),MATCH(EDATE($E89,AF$1-1),Raw_매출!$B$1:$BI$1,0))/(INDEX(요약_월별시즈널리티!$F$7:$F$18,MONTH(EDATE($E89,AF$1-1)))/100))),"")</f>
        <v>3580684.9622602868</v>
      </c>
      <c r="AG89" cm="1">
        <f t="array" ref="AG89">IFERROR(IF($E89&lt;44348,"",IF(INDEX(Raw_매출!$B$2:$BI$155,MATCH($A89,Raw_매출!$A$2:$A$155,0),MATCH(EDATE($E89,AG$1-1),Raw_매출!$B$1:$BI$1,0))=0,"",INDEX(Raw_매출!$B$2:$BI$155,MATCH($A89,Raw_매출!$A$2:$A$155,0),MATCH(EDATE($E89,AG$1-1),Raw_매출!$B$1:$BI$1,0))/(INDEX(요약_월별시즈널리티!$F$7:$F$18,MONTH(EDATE($E89,AG$1-1)))/100))),"")</f>
        <v>4344486.3239704901</v>
      </c>
      <c r="AH89" cm="1">
        <f t="array" ref="AH89">IFERROR(IF($E89&lt;44348,"",IF(INDEX(Raw_매출!$B$2:$BI$155,MATCH($A89,Raw_매출!$A$2:$A$155,0),MATCH(EDATE($E89,AH$1-1),Raw_매출!$B$1:$BI$1,0))=0,"",INDEX(Raw_매출!$B$2:$BI$155,MATCH($A89,Raw_매출!$A$2:$A$155,0),MATCH(EDATE($E89,AH$1-1),Raw_매출!$B$1:$BI$1,0))/(INDEX(요약_월별시즈널리티!$F$7:$F$18,MONTH(EDATE($E89,AH$1-1)))/100))),"")</f>
        <v>4267133.4824021868</v>
      </c>
      <c r="AI89" cm="1">
        <f t="array" ref="AI89">IFERROR(IF($E89&lt;44348,"",IF(INDEX(Raw_매출!$B$2:$BI$155,MATCH($A89,Raw_매출!$A$2:$A$155,0),MATCH(EDATE($E89,AI$1-1),Raw_매출!$B$1:$BI$1,0))=0,"",INDEX(Raw_매출!$B$2:$BI$155,MATCH($A89,Raw_매출!$A$2:$A$155,0),MATCH(EDATE($E89,AI$1-1),Raw_매출!$B$1:$BI$1,0))/(INDEX(요약_월별시즈널리티!$F$7:$F$18,MONTH(EDATE($E89,AI$1-1)))/100))),"")</f>
        <v>4084075.088297924</v>
      </c>
      <c r="AJ89" cm="1">
        <f t="array" ref="AJ89">IFERROR(IF($E89&lt;44348,"",IF(INDEX(Raw_매출!$B$2:$BI$155,MATCH($A89,Raw_매출!$A$2:$A$155,0),MATCH(EDATE($E89,AJ$1-1),Raw_매출!$B$1:$BI$1,0))=0,"",INDEX(Raw_매출!$B$2:$BI$155,MATCH($A89,Raw_매출!$A$2:$A$155,0),MATCH(EDATE($E89,AJ$1-1),Raw_매출!$B$1:$BI$1,0))/(INDEX(요약_월별시즈널리티!$F$7:$F$18,MONTH(EDATE($E89,AJ$1-1)))/100))),"")</f>
        <v>5127324.7968227854</v>
      </c>
      <c r="AK89" cm="1">
        <f t="array" ref="AK89">IFERROR(IF($E89&lt;44348,"",IF(INDEX(Raw_매출!$B$2:$BI$155,MATCH($A89,Raw_매출!$A$2:$A$155,0),MATCH(EDATE($E89,AK$1-1),Raw_매출!$B$1:$BI$1,0))=0,"",INDEX(Raw_매출!$B$2:$BI$155,MATCH($A89,Raw_매출!$A$2:$A$155,0),MATCH(EDATE($E89,AK$1-1),Raw_매출!$B$1:$BI$1,0))/(INDEX(요약_월별시즈널리티!$F$7:$F$18,MONTH(EDATE($E89,AK$1-1)))/100))),"")</f>
        <v>5005957.1811667271</v>
      </c>
      <c r="AL89" cm="1">
        <f t="array" ref="AL89">IFERROR(IF($E89&lt;44348,"",IF(INDEX(Raw_매출!$B$2:$BI$155,MATCH($A89,Raw_매출!$A$2:$A$155,0),MATCH(EDATE($E89,AL$1-1),Raw_매출!$B$1:$BI$1,0))=0,"",INDEX(Raw_매출!$B$2:$BI$155,MATCH($A89,Raw_매출!$A$2:$A$155,0),MATCH(EDATE($E89,AL$1-1),Raw_매출!$B$1:$BI$1,0))/(INDEX(요약_월별시즈널리티!$F$7:$F$18,MONTH(EDATE($E89,AL$1-1)))/100))),"")</f>
        <v>4571798.7285366002</v>
      </c>
      <c r="AM89" cm="1">
        <f t="array" ref="AM89">IFERROR(IF($E89&lt;44348,"",IF(INDEX(Raw_매출!$B$2:$BI$155,MATCH($A89,Raw_매출!$A$2:$A$155,0),MATCH(EDATE($E89,AM$1-1),Raw_매출!$B$1:$BI$1,0))=0,"",INDEX(Raw_매출!$B$2:$BI$155,MATCH($A89,Raw_매출!$A$2:$A$155,0),MATCH(EDATE($E89,AM$1-1),Raw_매출!$B$1:$BI$1,0))/(INDEX(요약_월별시즈널리티!$F$7:$F$18,MONTH(EDATE($E89,AM$1-1)))/100))),"")</f>
        <v>4750750.3030959573</v>
      </c>
      <c r="AN89" cm="1">
        <f t="array" ref="AN89">IFERROR(IF($E89&lt;44348,"",IF(INDEX(Raw_매출!$B$2:$BI$155,MATCH($A89,Raw_매출!$A$2:$A$155,0),MATCH(EDATE($E89,AN$1-1),Raw_매출!$B$1:$BI$1,0))=0,"",INDEX(Raw_매출!$B$2:$BI$155,MATCH($A89,Raw_매출!$A$2:$A$155,0),MATCH(EDATE($E89,AN$1-1),Raw_매출!$B$1:$BI$1,0))/(INDEX(요약_월별시즈널리티!$F$7:$F$18,MONTH(EDATE($E89,AN$1-1)))/100))),"")</f>
        <v>4518408.7032038998</v>
      </c>
      <c r="AO89" t="str" cm="1">
        <f t="array" ref="AO89">IFERROR(IF($E89&lt;44348,"",IF(INDEX(Raw_매출!$B$2:$BI$155,MATCH($A89,Raw_매출!$A$2:$A$155,0),MATCH(EDATE($E89,AO$1-1),Raw_매출!$B$1:$BI$1,0))=0,"",INDEX(Raw_매출!$B$2:$BI$155,MATCH($A89,Raw_매출!$A$2:$A$155,0),MATCH(EDATE($E89,AO$1-1),Raw_매출!$B$1:$BI$1,0))/(INDEX(요약_월별시즈널리티!$F$7:$F$18,MONTH(EDATE($E89,AO$1-1)))/100))),"")</f>
        <v/>
      </c>
      <c r="AP89" t="str" cm="1">
        <f t="array" ref="AP89">IFERROR(IF($E89&lt;44348,"",IF(INDEX(Raw_매출!$B$2:$BI$155,MATCH($A89,Raw_매출!$A$2:$A$155,0),MATCH(EDATE($E89,AP$1-1),Raw_매출!$B$1:$BI$1,0))=0,"",INDEX(Raw_매출!$B$2:$BI$155,MATCH($A89,Raw_매출!$A$2:$A$155,0),MATCH(EDATE($E89,AP$1-1),Raw_매출!$B$1:$BI$1,0))/(INDEX(요약_월별시즈널리티!$F$7:$F$18,MONTH(EDATE($E89,AP$1-1)))/100))),"")</f>
        <v/>
      </c>
      <c r="AQ89" t="str" cm="1">
        <f t="array" ref="AQ89">IFERROR(IF($E89&lt;44348,"",IF(INDEX(Raw_매출!$B$2:$BI$155,MATCH($A89,Raw_매출!$A$2:$A$155,0),MATCH(EDATE($E89,AQ$1-1),Raw_매출!$B$1:$BI$1,0))=0,"",INDEX(Raw_매출!$B$2:$BI$155,MATCH($A89,Raw_매출!$A$2:$A$155,0),MATCH(EDATE($E89,AQ$1-1),Raw_매출!$B$1:$BI$1,0))/(INDEX(요약_월별시즈널리티!$F$7:$F$18,MONTH(EDATE($E89,AQ$1-1)))/100))),"")</f>
        <v/>
      </c>
      <c r="AR89" t="str" cm="1">
        <f t="array" ref="AR89">IFERROR(IF($E89&lt;44348,"",IF(INDEX(Raw_매출!$B$2:$BI$155,MATCH($A89,Raw_매출!$A$2:$A$155,0),MATCH(EDATE($E89,AR$1-1),Raw_매출!$B$1:$BI$1,0))=0,"",INDEX(Raw_매출!$B$2:$BI$155,MATCH($A89,Raw_매출!$A$2:$A$155,0),MATCH(EDATE($E89,AR$1-1),Raw_매출!$B$1:$BI$1,0))/(INDEX(요약_월별시즈널리티!$F$7:$F$18,MONTH(EDATE($E89,AR$1-1)))/100))),"")</f>
        <v/>
      </c>
      <c r="AS89" t="str" cm="1">
        <f t="array" ref="AS89">IFERROR(IF($E89&lt;44348,"",IF(INDEX(Raw_매출!$B$2:$BI$155,MATCH($A89,Raw_매출!$A$2:$A$155,0),MATCH(EDATE($E89,AS$1-1),Raw_매출!$B$1:$BI$1,0))=0,"",INDEX(Raw_매출!$B$2:$BI$155,MATCH($A89,Raw_매출!$A$2:$A$155,0),MATCH(EDATE($E89,AS$1-1),Raw_매출!$B$1:$BI$1,0))/(INDEX(요약_월별시즈널리티!$F$7:$F$18,MONTH(EDATE($E89,AS$1-1)))/100))),"")</f>
        <v/>
      </c>
      <c r="AT89" t="str" cm="1">
        <f t="array" ref="AT89">IFERROR(IF($E89&lt;44348,"",IF(INDEX(Raw_매출!$B$2:$BI$155,MATCH($A89,Raw_매출!$A$2:$A$155,0),MATCH(EDATE($E89,AT$1-1),Raw_매출!$B$1:$BI$1,0))=0,"",INDEX(Raw_매출!$B$2:$BI$155,MATCH($A89,Raw_매출!$A$2:$A$155,0),MATCH(EDATE($E89,AT$1-1),Raw_매출!$B$1:$BI$1,0))/(INDEX(요약_월별시즈널리티!$F$7:$F$18,MONTH(EDATE($E89,AT$1-1)))/100))),"")</f>
        <v/>
      </c>
      <c r="AU89" t="str" cm="1">
        <f t="array" ref="AU89">IFERROR(IF($E89&lt;44348,"",IF(INDEX(Raw_매출!$B$2:$BI$155,MATCH($A89,Raw_매출!$A$2:$A$155,0),MATCH(EDATE($E89,AU$1-1),Raw_매출!$B$1:$BI$1,0))=0,"",INDEX(Raw_매출!$B$2:$BI$155,MATCH($A89,Raw_매출!$A$2:$A$155,0),MATCH(EDATE($E89,AU$1-1),Raw_매출!$B$1:$BI$1,0))/(INDEX(요약_월별시즈널리티!$F$7:$F$18,MONTH(EDATE($E89,AU$1-1)))/100))),"")</f>
        <v/>
      </c>
      <c r="AV89" t="str" cm="1">
        <f t="array" ref="AV89">IFERROR(IF($E89&lt;44348,"",IF(INDEX(Raw_매출!$B$2:$BI$155,MATCH($A89,Raw_매출!$A$2:$A$155,0),MATCH(EDATE($E89,AV$1-1),Raw_매출!$B$1:$BI$1,0))=0,"",INDEX(Raw_매출!$B$2:$BI$155,MATCH($A89,Raw_매출!$A$2:$A$155,0),MATCH(EDATE($E89,AV$1-1),Raw_매출!$B$1:$BI$1,0))/(INDEX(요약_월별시즈널리티!$F$7:$F$18,MONTH(EDATE($E89,AV$1-1)))/100))),"")</f>
        <v/>
      </c>
      <c r="AW89" t="str" cm="1">
        <f t="array" ref="AW89">IFERROR(IF($E89&lt;44348,"",IF(INDEX(Raw_매출!$B$2:$BI$155,MATCH($A89,Raw_매출!$A$2:$A$155,0),MATCH(EDATE($E89,AW$1-1),Raw_매출!$B$1:$BI$1,0))=0,"",INDEX(Raw_매출!$B$2:$BI$155,MATCH($A89,Raw_매출!$A$2:$A$155,0),MATCH(EDATE($E89,AW$1-1),Raw_매출!$B$1:$BI$1,0))/(INDEX(요약_월별시즈널리티!$F$7:$F$18,MONTH(EDATE($E89,AW$1-1)))/100))),"")</f>
        <v/>
      </c>
      <c r="AX89" t="str" cm="1">
        <f t="array" ref="AX89">IFERROR(IF($E89&lt;44348,"",IF(INDEX(Raw_매출!$B$2:$BI$155,MATCH($A89,Raw_매출!$A$2:$A$155,0),MATCH(EDATE($E89,AX$1-1),Raw_매출!$B$1:$BI$1,0))=0,"",INDEX(Raw_매출!$B$2:$BI$155,MATCH($A89,Raw_매출!$A$2:$A$155,0),MATCH(EDATE($E89,AX$1-1),Raw_매출!$B$1:$BI$1,0))/(INDEX(요약_월별시즈널리티!$F$7:$F$18,MONTH(EDATE($E89,AX$1-1)))/100))),"")</f>
        <v/>
      </c>
      <c r="AY89" t="str" cm="1">
        <f t="array" ref="AY89">IFERROR(IF($E89&lt;44348,"",IF(INDEX(Raw_매출!$B$2:$BI$155,MATCH($A89,Raw_매출!$A$2:$A$155,0),MATCH(EDATE($E89,AY$1-1),Raw_매출!$B$1:$BI$1,0))=0,"",INDEX(Raw_매출!$B$2:$BI$155,MATCH($A89,Raw_매출!$A$2:$A$155,0),MATCH(EDATE($E89,AY$1-1),Raw_매출!$B$1:$BI$1,0))/(INDEX(요약_월별시즈널리티!$F$7:$F$18,MONTH(EDATE($E89,AY$1-1)))/100))),"")</f>
        <v/>
      </c>
      <c r="AZ89" t="str" cm="1">
        <f t="array" ref="AZ89">IFERROR(IF($E89&lt;44348,"",IF(INDEX(Raw_매출!$B$2:$BI$155,MATCH($A89,Raw_매출!$A$2:$A$155,0),MATCH(EDATE($E89,AZ$1-1),Raw_매출!$B$1:$BI$1,0))=0,"",INDEX(Raw_매출!$B$2:$BI$155,MATCH($A89,Raw_매출!$A$2:$A$155,0),MATCH(EDATE($E89,AZ$1-1),Raw_매출!$B$1:$BI$1,0))/(INDEX(요약_월별시즈널리티!$F$7:$F$18,MONTH(EDATE($E89,AZ$1-1)))/100))),"")</f>
        <v/>
      </c>
      <c r="BA89" t="str" cm="1">
        <f t="array" ref="BA89">IFERROR(IF($E89&lt;44348,"",IF(INDEX(Raw_매출!$B$2:$BI$155,MATCH($A89,Raw_매출!$A$2:$A$155,0),MATCH(EDATE($E89,BA$1-1),Raw_매출!$B$1:$BI$1,0))=0,"",INDEX(Raw_매출!$B$2:$BI$155,MATCH($A89,Raw_매출!$A$2:$A$155,0),MATCH(EDATE($E89,BA$1-1),Raw_매출!$B$1:$BI$1,0))/(INDEX(요약_월별시즈널리티!$F$7:$F$18,MONTH(EDATE($E89,BA$1-1)))/100))),"")</f>
        <v/>
      </c>
      <c r="BB89" t="str" cm="1">
        <f t="array" ref="BB89">IFERROR(IF($E89&lt;44348,"",IF(INDEX(Raw_매출!$B$2:$BI$155,MATCH($A89,Raw_매출!$A$2:$A$155,0),MATCH(EDATE($E89,BB$1-1),Raw_매출!$B$1:$BI$1,0))=0,"",INDEX(Raw_매출!$B$2:$BI$155,MATCH($A89,Raw_매출!$A$2:$A$155,0),MATCH(EDATE($E89,BB$1-1),Raw_매출!$B$1:$BI$1,0))/(INDEX(요약_월별시즈널리티!$F$7:$F$18,MONTH(EDATE($E89,BB$1-1)))/100))),"")</f>
        <v/>
      </c>
      <c r="BC89" t="str" cm="1">
        <f t="array" ref="BC89">IFERROR(IF($E89&lt;44348,"",IF(INDEX(Raw_매출!$B$2:$BI$155,MATCH($A89,Raw_매출!$A$2:$A$155,0),MATCH(EDATE($E89,BC$1-1),Raw_매출!$B$1:$BI$1,0))=0,"",INDEX(Raw_매출!$B$2:$BI$155,MATCH($A89,Raw_매출!$A$2:$A$155,0),MATCH(EDATE($E89,BC$1-1),Raw_매출!$B$1:$BI$1,0))/(INDEX(요약_월별시즈널리티!$F$7:$F$18,MONTH(EDATE($E89,BC$1-1)))/100))),"")</f>
        <v/>
      </c>
      <c r="BD89" t="str" cm="1">
        <f t="array" ref="BD89">IFERROR(IF($E89&lt;44348,"",IF(INDEX(Raw_매출!$B$2:$BI$155,MATCH($A89,Raw_매출!$A$2:$A$155,0),MATCH(EDATE($E89,BD$1-1),Raw_매출!$B$1:$BI$1,0))=0,"",INDEX(Raw_매출!$B$2:$BI$155,MATCH($A89,Raw_매출!$A$2:$A$155,0),MATCH(EDATE($E89,BD$1-1),Raw_매출!$B$1:$BI$1,0))/(INDEX(요약_월별시즈널리티!$F$7:$F$18,MONTH(EDATE($E89,BD$1-1)))/100))),"")</f>
        <v/>
      </c>
      <c r="BE89" t="str" cm="1">
        <f t="array" ref="BE89">IFERROR(IF($E89&lt;44348,"",IF(INDEX(Raw_매출!$B$2:$BI$155,MATCH($A89,Raw_매출!$A$2:$A$155,0),MATCH(EDATE($E89,BE$1-1),Raw_매출!$B$1:$BI$1,0))=0,"",INDEX(Raw_매출!$B$2:$BI$155,MATCH($A89,Raw_매출!$A$2:$A$155,0),MATCH(EDATE($E89,BE$1-1),Raw_매출!$B$1:$BI$1,0))/(INDEX(요약_월별시즈널리티!$F$7:$F$18,MONTH(EDATE($E89,BE$1-1)))/100))),"")</f>
        <v/>
      </c>
      <c r="BF89" t="str" cm="1">
        <f t="array" ref="BF89">IFERROR(IF($E89&lt;44348,"",IF(INDEX(Raw_매출!$B$2:$BI$155,MATCH($A89,Raw_매출!$A$2:$A$155,0),MATCH(EDATE($E89,BF$1-1),Raw_매출!$B$1:$BI$1,0))=0,"",INDEX(Raw_매출!$B$2:$BI$155,MATCH($A89,Raw_매출!$A$2:$A$155,0),MATCH(EDATE($E89,BF$1-1),Raw_매출!$B$1:$BI$1,0))/(INDEX(요약_월별시즈널리티!$F$7:$F$18,MONTH(EDATE($E89,BF$1-1)))/100))),"")</f>
        <v/>
      </c>
      <c r="BG89" t="str" cm="1">
        <f t="array" ref="BG89">IFERROR(IF($E89&lt;44348,"",IF(INDEX(Raw_매출!$B$2:$BI$155,MATCH($A89,Raw_매출!$A$2:$A$155,0),MATCH(EDATE($E89,BG$1-1),Raw_매출!$B$1:$BI$1,0))=0,"",INDEX(Raw_매출!$B$2:$BI$155,MATCH($A89,Raw_매출!$A$2:$A$155,0),MATCH(EDATE($E89,BG$1-1),Raw_매출!$B$1:$BI$1,0))/(INDEX(요약_월별시즈널리티!$F$7:$F$18,MONTH(EDATE($E89,BG$1-1)))/100))),"")</f>
        <v/>
      </c>
      <c r="BH89" t="str" cm="1">
        <f t="array" ref="BH89">IFERROR(IF($E89&lt;44348,"",IF(INDEX(Raw_매출!$B$2:$BI$155,MATCH($A89,Raw_매출!$A$2:$A$155,0),MATCH(EDATE($E89,BH$1-1),Raw_매출!$B$1:$BI$1,0))=0,"",INDEX(Raw_매출!$B$2:$BI$155,MATCH($A89,Raw_매출!$A$2:$A$155,0),MATCH(EDATE($E89,BH$1-1),Raw_매출!$B$1:$BI$1,0))/(INDEX(요약_월별시즈널리티!$F$7:$F$18,MONTH(EDATE($E89,BH$1-1)))/100))),"")</f>
        <v/>
      </c>
      <c r="BI89" t="str" cm="1">
        <f t="array" ref="BI89">IFERROR(IF($E89&lt;44348,"",IF(INDEX(Raw_매출!$B$2:$BI$155,MATCH($A89,Raw_매출!$A$2:$A$155,0),MATCH(EDATE($E89,BI$1-1),Raw_매출!$B$1:$BI$1,0))=0,"",INDEX(Raw_매출!$B$2:$BI$155,MATCH($A89,Raw_매출!$A$2:$A$155,0),MATCH(EDATE($E89,BI$1-1),Raw_매출!$B$1:$BI$1,0))/(INDEX(요약_월별시즈널리티!$F$7:$F$18,MONTH(EDATE($E89,BI$1-1)))/100))),"")</f>
        <v/>
      </c>
      <c r="BJ89" t="str" cm="1">
        <f t="array" ref="BJ89">IFERROR(IF($E89&lt;44348,"",IF(INDEX(Raw_매출!$B$2:$BI$155,MATCH($A89,Raw_매출!$A$2:$A$155,0),MATCH(EDATE($E89,BJ$1-1),Raw_매출!$B$1:$BI$1,0))=0,"",INDEX(Raw_매출!$B$2:$BI$155,MATCH($A89,Raw_매출!$A$2:$A$155,0),MATCH(EDATE($E89,BJ$1-1),Raw_매출!$B$1:$BI$1,0))/(INDEX(요약_월별시즈널리티!$F$7:$F$18,MONTH(EDATE($E89,BJ$1-1)))/100))),"")</f>
        <v/>
      </c>
      <c r="BK89" t="str" cm="1">
        <f t="array" ref="BK89">IFERROR(IF($E89&lt;44348,"",IF(INDEX(Raw_매출!$B$2:$BI$155,MATCH($A89,Raw_매출!$A$2:$A$155,0),MATCH(EDATE($E89,BK$1-1),Raw_매출!$B$1:$BI$1,0))=0,"",INDEX(Raw_매출!$B$2:$BI$155,MATCH($A89,Raw_매출!$A$2:$A$155,0),MATCH(EDATE($E89,BK$1-1),Raw_매출!$B$1:$BI$1,0))/(INDEX(요약_월별시즈널리티!$F$7:$F$18,MONTH(EDATE($E89,BK$1-1)))/100))),"")</f>
        <v/>
      </c>
      <c r="BL89" t="str" cm="1">
        <f t="array" ref="BL89">IFERROR(IF($E89&lt;44348,"",IF(INDEX(Raw_매출!$B$2:$BI$155,MATCH($A89,Raw_매출!$A$2:$A$155,0),MATCH(EDATE($E89,BL$1-1),Raw_매출!$B$1:$BI$1,0))=0,"",INDEX(Raw_매출!$B$2:$BI$155,MATCH($A89,Raw_매출!$A$2:$A$155,0),MATCH(EDATE($E89,BL$1-1),Raw_매출!$B$1:$BI$1,0))/(INDEX(요약_월별시즈널리티!$F$7:$F$18,MONTH(EDATE($E89,BL$1-1)))/100))),"")</f>
        <v/>
      </c>
      <c r="BM89" t="str" cm="1">
        <f t="array" ref="BM89">IFERROR(IF($E89&lt;44348,"",IF(INDEX(Raw_매출!$B$2:$BI$155,MATCH($A89,Raw_매출!$A$2:$A$155,0),MATCH(EDATE($E89,BM$1-1),Raw_매출!$B$1:$BI$1,0))=0,"",INDEX(Raw_매출!$B$2:$BI$155,MATCH($A89,Raw_매출!$A$2:$A$155,0),MATCH(EDATE($E89,BM$1-1),Raw_매출!$B$1:$BI$1,0))/(INDEX(요약_월별시즈널리티!$F$7:$F$18,MONTH(EDATE($E89,BM$1-1)))/100))),"")</f>
        <v/>
      </c>
      <c r="BN89" t="str" cm="1">
        <f t="array" ref="BN89">IFERROR(IF($E89&lt;44348,"",IF(INDEX(Raw_매출!$B$2:$BI$155,MATCH($A89,Raw_매출!$A$2:$A$155,0),MATCH(EDATE($E89,BN$1-1),Raw_매출!$B$1:$BI$1,0))=0,"",INDEX(Raw_매출!$B$2:$BI$155,MATCH($A89,Raw_매출!$A$2:$A$155,0),MATCH(EDATE($E89,BN$1-1),Raw_매출!$B$1:$BI$1,0))/(INDEX(요약_월별시즈널리티!$F$7:$F$18,MONTH(EDATE($E89,BN$1-1)))/100))),"")</f>
        <v/>
      </c>
    </row>
    <row r="90" spans="1:66" x14ac:dyDescent="0.4">
      <c r="A90" t="str">
        <f>세팅!A91</f>
        <v>(1079) #충북대정문점</v>
      </c>
      <c r="B90" t="str">
        <f>세팅!B91</f>
        <v>150-0</v>
      </c>
      <c r="C90">
        <f t="shared" si="3"/>
        <v>0</v>
      </c>
      <c r="D90" t="str">
        <f t="shared" si="4"/>
        <v>0</v>
      </c>
      <c r="E90" s="1">
        <f>세팅!D91</f>
        <v>45139</v>
      </c>
      <c r="F90">
        <f t="shared" si="5"/>
        <v>3403714.7755188704</v>
      </c>
      <c r="G90" cm="1">
        <f t="array" ref="G90">IFERROR(IF($E90&lt;44348,"",IF(INDEX(Raw_매출!$B$2:$BI$155,MATCH($A90,Raw_매출!$A$2:$A$155,0),MATCH(EDATE($E90,G$1-1),Raw_매출!$B$1:$BI$1,0))=0,"",INDEX(Raw_매출!$B$2:$BI$155,MATCH($A90,Raw_매출!$A$2:$A$155,0),MATCH(EDATE($E90,G$1-1),Raw_매출!$B$1:$BI$1,0))/(INDEX(요약_월별시즈널리티!$F$7:$F$18,MONTH(EDATE($E90,G$1-1)))/100))),"")</f>
        <v>1991195.7140438508</v>
      </c>
      <c r="H90" cm="1">
        <f t="array" ref="H90">IFERROR(IF($E90&lt;44348,"",IF(INDEX(Raw_매출!$B$2:$BI$155,MATCH($A90,Raw_매출!$A$2:$A$155,0),MATCH(EDATE($E90,H$1-1),Raw_매출!$B$1:$BI$1,0))=0,"",INDEX(Raw_매출!$B$2:$BI$155,MATCH($A90,Raw_매출!$A$2:$A$155,0),MATCH(EDATE($E90,H$1-1),Raw_매출!$B$1:$BI$1,0))/(INDEX(요약_월별시즈널리티!$F$7:$F$18,MONTH(EDATE($E90,H$1-1)))/100))),"")</f>
        <v>2879571.403734195</v>
      </c>
      <c r="I90" cm="1">
        <f t="array" ref="I90">IFERROR(IF($E90&lt;44348,"",IF(INDEX(Raw_매출!$B$2:$BI$155,MATCH($A90,Raw_매출!$A$2:$A$155,0),MATCH(EDATE($E90,I$1-1),Raw_매출!$B$1:$BI$1,0))=0,"",INDEX(Raw_매출!$B$2:$BI$155,MATCH($A90,Raw_매출!$A$2:$A$155,0),MATCH(EDATE($E90,I$1-1),Raw_매출!$B$1:$BI$1,0))/(INDEX(요약_월별시즈널리티!$F$7:$F$18,MONTH(EDATE($E90,I$1-1)))/100))),"")</f>
        <v>2871674.8445178191</v>
      </c>
      <c r="J90" s="30" cm="1">
        <f t="array" ref="J90">IFERROR(IF($E90&lt;44348,"",IF(INDEX(Raw_매출!$B$2:$BI$155,MATCH($A90,Raw_매출!$A$2:$A$155,0),MATCH(EDATE($E90,J$1-1),Raw_매출!$B$1:$BI$1,0))=0,"",INDEX(Raw_매출!$B$2:$BI$155,MATCH($A90,Raw_매출!$A$2:$A$155,0),MATCH(EDATE($E90,J$1-1),Raw_매출!$B$1:$BI$1,0))/(INDEX(요약_월별시즈널리티!$F$7:$F$18,MONTH(EDATE($E90,J$1-1)))/100))),"")</f>
        <v>2854123.7249546661</v>
      </c>
      <c r="K90" s="30" cm="1">
        <f t="array" ref="K90">IFERROR(IF($E90&lt;44348,"",IF(INDEX(Raw_매출!$B$2:$BI$155,MATCH($A90,Raw_매출!$A$2:$A$155,0),MATCH(EDATE($E90,K$1-1),Raw_매출!$B$1:$BI$1,0))=0,"",INDEX(Raw_매출!$B$2:$BI$155,MATCH($A90,Raw_매출!$A$2:$A$155,0),MATCH(EDATE($E90,K$1-1),Raw_매출!$B$1:$BI$1,0))/(INDEX(요약_월별시즈널리티!$F$7:$F$18,MONTH(EDATE($E90,K$1-1)))/100))),"")</f>
        <v>3165819.8965318766</v>
      </c>
      <c r="L90" s="30" cm="1">
        <f t="array" ref="L90">IFERROR(IF($E90&lt;44348,"",IF(INDEX(Raw_매출!$B$2:$BI$155,MATCH($A90,Raw_매출!$A$2:$A$155,0),MATCH(EDATE($E90,L$1-1),Raw_매출!$B$1:$BI$1,0))=0,"",INDEX(Raw_매출!$B$2:$BI$155,MATCH($A90,Raw_매출!$A$2:$A$155,0),MATCH(EDATE($E90,L$1-1),Raw_매출!$B$1:$BI$1,0))/(INDEX(요약_월별시즈널리티!$F$7:$F$18,MONTH(EDATE($E90,L$1-1)))/100))),"")</f>
        <v>3463494.487139958</v>
      </c>
      <c r="M90" s="30" cm="1">
        <f t="array" ref="M90">IFERROR(IF($E90&lt;44348,"",IF(INDEX(Raw_매출!$B$2:$BI$155,MATCH($A90,Raw_매출!$A$2:$A$155,0),MATCH(EDATE($E90,M$1-1),Raw_매출!$B$1:$BI$1,0))=0,"",INDEX(Raw_매출!$B$2:$BI$155,MATCH($A90,Raw_매출!$A$2:$A$155,0),MATCH(EDATE($E90,M$1-1),Raw_매출!$B$1:$BI$1,0))/(INDEX(요약_월별시즈널리티!$F$7:$F$18,MONTH(EDATE($E90,M$1-1)))/100))),"")</f>
        <v>3381273.2032026215</v>
      </c>
      <c r="N90" s="30" cm="1">
        <f t="array" ref="N90">IFERROR(IF($E90&lt;44348,"",IF(INDEX(Raw_매출!$B$2:$BI$155,MATCH($A90,Raw_매출!$A$2:$A$155,0),MATCH(EDATE($E90,N$1-1),Raw_매출!$B$1:$BI$1,0))=0,"",INDEX(Raw_매출!$B$2:$BI$155,MATCH($A90,Raw_매출!$A$2:$A$155,0),MATCH(EDATE($E90,N$1-1),Raw_매출!$B$1:$BI$1,0))/(INDEX(요약_월별시즈널리티!$F$7:$F$18,MONTH(EDATE($E90,N$1-1)))/100))),"")</f>
        <v>3582672.2818967761</v>
      </c>
      <c r="O90" s="30" cm="1">
        <f t="array" ref="O90">IFERROR(IF($E90&lt;44348,"",IF(INDEX(Raw_매출!$B$2:$BI$155,MATCH($A90,Raw_매출!$A$2:$A$155,0),MATCH(EDATE($E90,O$1-1),Raw_매출!$B$1:$BI$1,0))=0,"",INDEX(Raw_매출!$B$2:$BI$155,MATCH($A90,Raw_매출!$A$2:$A$155,0),MATCH(EDATE($E90,O$1-1),Raw_매출!$B$1:$BI$1,0))/(INDEX(요약_월별시즈널리티!$F$7:$F$18,MONTH(EDATE($E90,O$1-1)))/100))),"")</f>
        <v>3974905.0593873253</v>
      </c>
      <c r="P90" cm="1">
        <f t="array" ref="P90">IFERROR(IF($E90&lt;44348,"",IF(INDEX(Raw_매출!$B$2:$BI$155,MATCH($A90,Raw_매출!$A$2:$A$155,0),MATCH(EDATE($E90,P$1-1),Raw_매출!$B$1:$BI$1,0))=0,"",INDEX(Raw_매출!$B$2:$BI$155,MATCH($A90,Raw_매출!$A$2:$A$155,0),MATCH(EDATE($E90,P$1-1),Raw_매출!$B$1:$BI$1,0))/(INDEX(요약_월별시즈널리티!$F$7:$F$18,MONTH(EDATE($E90,P$1-1)))/100))),"")</f>
        <v>3631517.8043931657</v>
      </c>
      <c r="Q90" cm="1">
        <f t="array" ref="Q90">IFERROR(IF($E90&lt;44348,"",IF(INDEX(Raw_매출!$B$2:$BI$155,MATCH($A90,Raw_매출!$A$2:$A$155,0),MATCH(EDATE($E90,Q$1-1),Raw_매출!$B$1:$BI$1,0))=0,"",INDEX(Raw_매출!$B$2:$BI$155,MATCH($A90,Raw_매출!$A$2:$A$155,0),MATCH(EDATE($E90,Q$1-1),Raw_매출!$B$1:$BI$1,0))/(INDEX(요약_월별시즈널리티!$F$7:$F$18,MONTH(EDATE($E90,Q$1-1)))/100))),"")</f>
        <v>3594124.8504812429</v>
      </c>
      <c r="R90" cm="1">
        <f t="array" ref="R90">IFERROR(IF($E90&lt;44348,"",IF(INDEX(Raw_매출!$B$2:$BI$155,MATCH($A90,Raw_매출!$A$2:$A$155,0),MATCH(EDATE($E90,R$1-1),Raw_매출!$B$1:$BI$1,0))=0,"",INDEX(Raw_매출!$B$2:$BI$155,MATCH($A90,Raw_매출!$A$2:$A$155,0),MATCH(EDATE($E90,R$1-1),Raw_매출!$B$1:$BI$1,0))/(INDEX(요약_월별시즈널리티!$F$7:$F$18,MONTH(EDATE($E90,R$1-1)))/100))),"")</f>
        <v>3617996.6250680364</v>
      </c>
      <c r="S90" cm="1">
        <f t="array" ref="S90">IFERROR(IF($E90&lt;44348,"",IF(INDEX(Raw_매출!$B$2:$BI$155,MATCH($A90,Raw_매출!$A$2:$A$155,0),MATCH(EDATE($E90,S$1-1),Raw_매출!$B$1:$BI$1,0))=0,"",INDEX(Raw_매출!$B$2:$BI$155,MATCH($A90,Raw_매출!$A$2:$A$155,0),MATCH(EDATE($E90,S$1-1),Raw_매출!$B$1:$BI$1,0))/(INDEX(요약_월별시즈널리티!$F$7:$F$18,MONTH(EDATE($E90,S$1-1)))/100))),"")</f>
        <v>3992867.1762387748</v>
      </c>
      <c r="T90" cm="1">
        <f t="array" ref="T90">IFERROR(IF($E90&lt;44348,"",IF(INDEX(Raw_매출!$B$2:$BI$155,MATCH($A90,Raw_매출!$A$2:$A$155,0),MATCH(EDATE($E90,T$1-1),Raw_매출!$B$1:$BI$1,0))=0,"",INDEX(Raw_매출!$B$2:$BI$155,MATCH($A90,Raw_매출!$A$2:$A$155,0),MATCH(EDATE($E90,T$1-1),Raw_매출!$B$1:$BI$1,0))/(INDEX(요약_월별시즈널리티!$F$7:$F$18,MONTH(EDATE($E90,T$1-1)))/100))),"")</f>
        <v>3752922.1102813478</v>
      </c>
      <c r="U90" cm="1">
        <f t="array" ref="U90">IFERROR(IF($E90&lt;44348,"",IF(INDEX(Raw_매출!$B$2:$BI$155,MATCH($A90,Raw_매출!$A$2:$A$155,0),MATCH(EDATE($E90,U$1-1),Raw_매출!$B$1:$BI$1,0))=0,"",INDEX(Raw_매출!$B$2:$BI$155,MATCH($A90,Raw_매출!$A$2:$A$155,0),MATCH(EDATE($E90,U$1-1),Raw_매출!$B$1:$BI$1,0))/(INDEX(요약_월별시즈널리티!$F$7:$F$18,MONTH(EDATE($E90,U$1-1)))/100))),"")</f>
        <v>4169253.1694274782</v>
      </c>
      <c r="V90" cm="1">
        <f t="array" ref="V90">IFERROR(IF($E90&lt;44348,"",IF(INDEX(Raw_매출!$B$2:$BI$155,MATCH($A90,Raw_매출!$A$2:$A$155,0),MATCH(EDATE($E90,V$1-1),Raw_매출!$B$1:$BI$1,0))=0,"",INDEX(Raw_매출!$B$2:$BI$155,MATCH($A90,Raw_매출!$A$2:$A$155,0),MATCH(EDATE($E90,V$1-1),Raw_매출!$B$1:$BI$1,0))/(INDEX(요약_월별시즈널리티!$F$7:$F$18,MONTH(EDATE($E90,V$1-1)))/100))),"")</f>
        <v>4022427.0710252058</v>
      </c>
      <c r="W90" cm="1">
        <f t="array" ref="W90">IFERROR(IF($E90&lt;44348,"",IF(INDEX(Raw_매출!$B$2:$BI$155,MATCH($A90,Raw_매출!$A$2:$A$155,0),MATCH(EDATE($E90,W$1-1),Raw_매출!$B$1:$BI$1,0))=0,"",INDEX(Raw_매출!$B$2:$BI$155,MATCH($A90,Raw_매출!$A$2:$A$155,0),MATCH(EDATE($E90,W$1-1),Raw_매출!$B$1:$BI$1,0))/(INDEX(요약_월별시즈널리티!$F$7:$F$18,MONTH(EDATE($E90,W$1-1)))/100))),"")</f>
        <v>5015269.176532235</v>
      </c>
      <c r="X90" cm="1">
        <f t="array" ref="X90">IFERROR(IF($E90&lt;44348,"",IF(INDEX(Raw_매출!$B$2:$BI$155,MATCH($A90,Raw_매출!$A$2:$A$155,0),MATCH(EDATE($E90,X$1-1),Raw_매출!$B$1:$BI$1,0))=0,"",INDEX(Raw_매출!$B$2:$BI$155,MATCH($A90,Raw_매출!$A$2:$A$155,0),MATCH(EDATE($E90,X$1-1),Raw_매출!$B$1:$BI$1,0))/(INDEX(요약_월별시즈널리티!$F$7:$F$18,MONTH(EDATE($E90,X$1-1)))/100))),"")</f>
        <v>4837706.9973887606</v>
      </c>
      <c r="Y90" cm="1">
        <f t="array" ref="Y90">IFERROR(IF($E90&lt;44348,"",IF(INDEX(Raw_매출!$B$2:$BI$155,MATCH($A90,Raw_매출!$A$2:$A$155,0),MATCH(EDATE($E90,Y$1-1),Raw_매출!$B$1:$BI$1,0))=0,"",INDEX(Raw_매출!$B$2:$BI$155,MATCH($A90,Raw_매출!$A$2:$A$155,0),MATCH(EDATE($E90,Y$1-1),Raw_매출!$B$1:$BI$1,0))/(INDEX(요약_월별시즈널리티!$F$7:$F$18,MONTH(EDATE($E90,Y$1-1)))/100))),"")</f>
        <v>4428827.2339043012</v>
      </c>
      <c r="Z90" cm="1">
        <f t="array" ref="Z90">IFERROR(IF($E90&lt;44348,"",IF(INDEX(Raw_매출!$B$2:$BI$155,MATCH($A90,Raw_매출!$A$2:$A$155,0),MATCH(EDATE($E90,Z$1-1),Raw_매출!$B$1:$BI$1,0))=0,"",INDEX(Raw_매출!$B$2:$BI$155,MATCH($A90,Raw_매출!$A$2:$A$155,0),MATCH(EDATE($E90,Z$1-1),Raw_매출!$B$1:$BI$1,0))/(INDEX(요약_월별시즈널리티!$F$7:$F$18,MONTH(EDATE($E90,Z$1-1)))/100))),"")</f>
        <v>5499024.3732564487</v>
      </c>
      <c r="AA90" cm="1">
        <f t="array" ref="AA90">IFERROR(IF($E90&lt;44348,"",IF(INDEX(Raw_매출!$B$2:$BI$155,MATCH($A90,Raw_매출!$A$2:$A$155,0),MATCH(EDATE($E90,AA$1-1),Raw_매출!$B$1:$BI$1,0))=0,"",INDEX(Raw_매출!$B$2:$BI$155,MATCH($A90,Raw_매출!$A$2:$A$155,0),MATCH(EDATE($E90,AA$1-1),Raw_매출!$B$1:$BI$1,0))/(INDEX(요약_월별시즈널리티!$F$7:$F$18,MONTH(EDATE($E90,AA$1-1)))/100))),"")</f>
        <v>4795227.0262523703</v>
      </c>
      <c r="AB90" cm="1">
        <f t="array" ref="AB90">IFERROR(IF($E90&lt;44348,"",IF(INDEX(Raw_매출!$B$2:$BI$155,MATCH($A90,Raw_매출!$A$2:$A$155,0),MATCH(EDATE($E90,AB$1-1),Raw_매출!$B$1:$BI$1,0))=0,"",INDEX(Raw_매출!$B$2:$BI$155,MATCH($A90,Raw_매출!$A$2:$A$155,0),MATCH(EDATE($E90,AB$1-1),Raw_매출!$B$1:$BI$1,0))/(INDEX(요약_월별시즈널리티!$F$7:$F$18,MONTH(EDATE($E90,AB$1-1)))/100))),"")</f>
        <v>5275106.9905379396</v>
      </c>
      <c r="AC90" cm="1">
        <f t="array" ref="AC90">IFERROR(IF($E90&lt;44348,"",IF(INDEX(Raw_매출!$B$2:$BI$155,MATCH($A90,Raw_매출!$A$2:$A$155,0),MATCH(EDATE($E90,AC$1-1),Raw_매출!$B$1:$BI$1,0))=0,"",INDEX(Raw_매출!$B$2:$BI$155,MATCH($A90,Raw_매출!$A$2:$A$155,0),MATCH(EDATE($E90,AC$1-1),Raw_매출!$B$1:$BI$1,0))/(INDEX(요약_월별시즈널리티!$F$7:$F$18,MONTH(EDATE($E90,AC$1-1)))/100))),"")</f>
        <v>5138985.3125508474</v>
      </c>
      <c r="AD90" cm="1">
        <f t="array" ref="AD90">IFERROR(IF($E90&lt;44348,"",IF(INDEX(Raw_매출!$B$2:$BI$155,MATCH($A90,Raw_매출!$A$2:$A$155,0),MATCH(EDATE($E90,AD$1-1),Raw_매출!$B$1:$BI$1,0))=0,"",INDEX(Raw_매출!$B$2:$BI$155,MATCH($A90,Raw_매출!$A$2:$A$155,0),MATCH(EDATE($E90,AD$1-1),Raw_매출!$B$1:$BI$1,0))/(INDEX(요약_월별시즈널리티!$F$7:$F$18,MONTH(EDATE($E90,AD$1-1)))/100))),"")</f>
        <v>5099559.4938060762</v>
      </c>
      <c r="AE90" cm="1">
        <f t="array" ref="AE90">IFERROR(IF($E90&lt;44348,"",IF(INDEX(Raw_매출!$B$2:$BI$155,MATCH($A90,Raw_매출!$A$2:$A$155,0),MATCH(EDATE($E90,AE$1-1),Raw_매출!$B$1:$BI$1,0))=0,"",INDEX(Raw_매출!$B$2:$BI$155,MATCH($A90,Raw_매출!$A$2:$A$155,0),MATCH(EDATE($E90,AE$1-1),Raw_매출!$B$1:$BI$1,0))/(INDEX(요약_월별시즈널리티!$F$7:$F$18,MONTH(EDATE($E90,AE$1-1)))/100))),"")</f>
        <v>5566679.2932288256</v>
      </c>
      <c r="AF90" cm="1">
        <f t="array" ref="AF90">IFERROR(IF($E90&lt;44348,"",IF(INDEX(Raw_매출!$B$2:$BI$155,MATCH($A90,Raw_매출!$A$2:$A$155,0),MATCH(EDATE($E90,AF$1-1),Raw_매출!$B$1:$BI$1,0))=0,"",INDEX(Raw_매출!$B$2:$BI$155,MATCH($A90,Raw_매출!$A$2:$A$155,0),MATCH(EDATE($E90,AF$1-1),Raw_매출!$B$1:$BI$1,0))/(INDEX(요약_월별시즈널리티!$F$7:$F$18,MONTH(EDATE($E90,AF$1-1)))/100))),"")</f>
        <v>5664799.3977724239</v>
      </c>
      <c r="AG90" cm="1">
        <f t="array" ref="AG90">IFERROR(IF($E90&lt;44348,"",IF(INDEX(Raw_매출!$B$2:$BI$155,MATCH($A90,Raw_매출!$A$2:$A$155,0),MATCH(EDATE($E90,AG$1-1),Raw_매출!$B$1:$BI$1,0))=0,"",INDEX(Raw_매출!$B$2:$BI$155,MATCH($A90,Raw_매출!$A$2:$A$155,0),MATCH(EDATE($E90,AG$1-1),Raw_매출!$B$1:$BI$1,0))/(INDEX(요약_월별시즈널리티!$F$7:$F$18,MONTH(EDATE($E90,AG$1-1)))/100))),"")</f>
        <v>4938233.9705396602</v>
      </c>
      <c r="AH90" cm="1">
        <f t="array" ref="AH90">IFERROR(IF($E90&lt;44348,"",IF(INDEX(Raw_매출!$B$2:$BI$155,MATCH($A90,Raw_매출!$A$2:$A$155,0),MATCH(EDATE($E90,AH$1-1),Raw_매출!$B$1:$BI$1,0))=0,"",INDEX(Raw_매출!$B$2:$BI$155,MATCH($A90,Raw_매출!$A$2:$A$155,0),MATCH(EDATE($E90,AH$1-1),Raw_매출!$B$1:$BI$1,0))/(INDEX(요약_월별시즈널리티!$F$7:$F$18,MONTH(EDATE($E90,AH$1-1)))/100))),"")</f>
        <v>5818003.7070355546</v>
      </c>
      <c r="AI90" cm="1">
        <f t="array" ref="AI90">IFERROR(IF($E90&lt;44348,"",IF(INDEX(Raw_매출!$B$2:$BI$155,MATCH($A90,Raw_매출!$A$2:$A$155,0),MATCH(EDATE($E90,AI$1-1),Raw_매출!$B$1:$BI$1,0))=0,"",INDEX(Raw_매출!$B$2:$BI$155,MATCH($A90,Raw_매출!$A$2:$A$155,0),MATCH(EDATE($E90,AI$1-1),Raw_매출!$B$1:$BI$1,0))/(INDEX(요약_월별시즈널리티!$F$7:$F$18,MONTH(EDATE($E90,AI$1-1)))/100))),"")</f>
        <v>5873407.3713941285</v>
      </c>
      <c r="AJ90" cm="1">
        <f t="array" ref="AJ90">IFERROR(IF($E90&lt;44348,"",IF(INDEX(Raw_매출!$B$2:$BI$155,MATCH($A90,Raw_매출!$A$2:$A$155,0),MATCH(EDATE($E90,AJ$1-1),Raw_매출!$B$1:$BI$1,0))=0,"",INDEX(Raw_매출!$B$2:$BI$155,MATCH($A90,Raw_매출!$A$2:$A$155,0),MATCH(EDATE($E90,AJ$1-1),Raw_매출!$B$1:$BI$1,0))/(INDEX(요약_월별시즈널리티!$F$7:$F$18,MONTH(EDATE($E90,AJ$1-1)))/100))),"")</f>
        <v>5785951.5289221257</v>
      </c>
      <c r="AK90" cm="1">
        <f t="array" ref="AK90">IFERROR(IF($E90&lt;44348,"",IF(INDEX(Raw_매출!$B$2:$BI$155,MATCH($A90,Raw_매출!$A$2:$A$155,0),MATCH(EDATE($E90,AK$1-1),Raw_매출!$B$1:$BI$1,0))=0,"",INDEX(Raw_매출!$B$2:$BI$155,MATCH($A90,Raw_매출!$A$2:$A$155,0),MATCH(EDATE($E90,AK$1-1),Raw_매출!$B$1:$BI$1,0))/(INDEX(요약_월별시즈널리티!$F$7:$F$18,MONTH(EDATE($E90,AK$1-1)))/100))),"")</f>
        <v>6251725.006275095</v>
      </c>
      <c r="AL90" cm="1">
        <f t="array" ref="AL90">IFERROR(IF($E90&lt;44348,"",IF(INDEX(Raw_매출!$B$2:$BI$155,MATCH($A90,Raw_매출!$A$2:$A$155,0),MATCH(EDATE($E90,AL$1-1),Raw_매출!$B$1:$BI$1,0))=0,"",INDEX(Raw_매출!$B$2:$BI$155,MATCH($A90,Raw_매출!$A$2:$A$155,0),MATCH(EDATE($E90,AL$1-1),Raw_매출!$B$1:$BI$1,0))/(INDEX(요약_월별시즈널리티!$F$7:$F$18,MONTH(EDATE($E90,AL$1-1)))/100))),"")</f>
        <v>5748716.6686819503</v>
      </c>
      <c r="AM90" cm="1">
        <f t="array" ref="AM90">IFERROR(IF($E90&lt;44348,"",IF(INDEX(Raw_매출!$B$2:$BI$155,MATCH($A90,Raw_매출!$A$2:$A$155,0),MATCH(EDATE($E90,AM$1-1),Raw_매출!$B$1:$BI$1,0))=0,"",INDEX(Raw_매출!$B$2:$BI$155,MATCH($A90,Raw_매출!$A$2:$A$155,0),MATCH(EDATE($E90,AM$1-1),Raw_매출!$B$1:$BI$1,0))/(INDEX(요약_월별시즈널리티!$F$7:$F$18,MONTH(EDATE($E90,AM$1-1)))/100))),"")</f>
        <v>4938574.3029118888</v>
      </c>
      <c r="AN90" cm="1">
        <f t="array" ref="AN90">IFERROR(IF($E90&lt;44348,"",IF(INDEX(Raw_매출!$B$2:$BI$155,MATCH($A90,Raw_매출!$A$2:$A$155,0),MATCH(EDATE($E90,AN$1-1),Raw_매출!$B$1:$BI$1,0))=0,"",INDEX(Raw_매출!$B$2:$BI$155,MATCH($A90,Raw_매출!$A$2:$A$155,0),MATCH(EDATE($E90,AN$1-1),Raw_매출!$B$1:$BI$1,0))/(INDEX(요약_월별시즈널리티!$F$7:$F$18,MONTH(EDATE($E90,AN$1-1)))/100))),"")</f>
        <v>5117638.2771962481</v>
      </c>
      <c r="AO90" t="str" cm="1">
        <f t="array" ref="AO90">IFERROR(IF($E90&lt;44348,"",IF(INDEX(Raw_매출!$B$2:$BI$155,MATCH($A90,Raw_매출!$A$2:$A$155,0),MATCH(EDATE($E90,AO$1-1),Raw_매출!$B$1:$BI$1,0))=0,"",INDEX(Raw_매출!$B$2:$BI$155,MATCH($A90,Raw_매출!$A$2:$A$155,0),MATCH(EDATE($E90,AO$1-1),Raw_매출!$B$1:$BI$1,0))/(INDEX(요약_월별시즈널리티!$F$7:$F$18,MONTH(EDATE($E90,AO$1-1)))/100))),"")</f>
        <v/>
      </c>
      <c r="AP90" t="str" cm="1">
        <f t="array" ref="AP90">IFERROR(IF($E90&lt;44348,"",IF(INDEX(Raw_매출!$B$2:$BI$155,MATCH($A90,Raw_매출!$A$2:$A$155,0),MATCH(EDATE($E90,AP$1-1),Raw_매출!$B$1:$BI$1,0))=0,"",INDEX(Raw_매출!$B$2:$BI$155,MATCH($A90,Raw_매출!$A$2:$A$155,0),MATCH(EDATE($E90,AP$1-1),Raw_매출!$B$1:$BI$1,0))/(INDEX(요약_월별시즈널리티!$F$7:$F$18,MONTH(EDATE($E90,AP$1-1)))/100))),"")</f>
        <v/>
      </c>
      <c r="AQ90" t="str" cm="1">
        <f t="array" ref="AQ90">IFERROR(IF($E90&lt;44348,"",IF(INDEX(Raw_매출!$B$2:$BI$155,MATCH($A90,Raw_매출!$A$2:$A$155,0),MATCH(EDATE($E90,AQ$1-1),Raw_매출!$B$1:$BI$1,0))=0,"",INDEX(Raw_매출!$B$2:$BI$155,MATCH($A90,Raw_매출!$A$2:$A$155,0),MATCH(EDATE($E90,AQ$1-1),Raw_매출!$B$1:$BI$1,0))/(INDEX(요약_월별시즈널리티!$F$7:$F$18,MONTH(EDATE($E90,AQ$1-1)))/100))),"")</f>
        <v/>
      </c>
      <c r="AR90" t="str" cm="1">
        <f t="array" ref="AR90">IFERROR(IF($E90&lt;44348,"",IF(INDEX(Raw_매출!$B$2:$BI$155,MATCH($A90,Raw_매출!$A$2:$A$155,0),MATCH(EDATE($E90,AR$1-1),Raw_매출!$B$1:$BI$1,0))=0,"",INDEX(Raw_매출!$B$2:$BI$155,MATCH($A90,Raw_매출!$A$2:$A$155,0),MATCH(EDATE($E90,AR$1-1),Raw_매출!$B$1:$BI$1,0))/(INDEX(요약_월별시즈널리티!$F$7:$F$18,MONTH(EDATE($E90,AR$1-1)))/100))),"")</f>
        <v/>
      </c>
      <c r="AS90" t="str" cm="1">
        <f t="array" ref="AS90">IFERROR(IF($E90&lt;44348,"",IF(INDEX(Raw_매출!$B$2:$BI$155,MATCH($A90,Raw_매출!$A$2:$A$155,0),MATCH(EDATE($E90,AS$1-1),Raw_매출!$B$1:$BI$1,0))=0,"",INDEX(Raw_매출!$B$2:$BI$155,MATCH($A90,Raw_매출!$A$2:$A$155,0),MATCH(EDATE($E90,AS$1-1),Raw_매출!$B$1:$BI$1,0))/(INDEX(요약_월별시즈널리티!$F$7:$F$18,MONTH(EDATE($E90,AS$1-1)))/100))),"")</f>
        <v/>
      </c>
      <c r="AT90" t="str" cm="1">
        <f t="array" ref="AT90">IFERROR(IF($E90&lt;44348,"",IF(INDEX(Raw_매출!$B$2:$BI$155,MATCH($A90,Raw_매출!$A$2:$A$155,0),MATCH(EDATE($E90,AT$1-1),Raw_매출!$B$1:$BI$1,0))=0,"",INDEX(Raw_매출!$B$2:$BI$155,MATCH($A90,Raw_매출!$A$2:$A$155,0),MATCH(EDATE($E90,AT$1-1),Raw_매출!$B$1:$BI$1,0))/(INDEX(요약_월별시즈널리티!$F$7:$F$18,MONTH(EDATE($E90,AT$1-1)))/100))),"")</f>
        <v/>
      </c>
      <c r="AU90" t="str" cm="1">
        <f t="array" ref="AU90">IFERROR(IF($E90&lt;44348,"",IF(INDEX(Raw_매출!$B$2:$BI$155,MATCH($A90,Raw_매출!$A$2:$A$155,0),MATCH(EDATE($E90,AU$1-1),Raw_매출!$B$1:$BI$1,0))=0,"",INDEX(Raw_매출!$B$2:$BI$155,MATCH($A90,Raw_매출!$A$2:$A$155,0),MATCH(EDATE($E90,AU$1-1),Raw_매출!$B$1:$BI$1,0))/(INDEX(요약_월별시즈널리티!$F$7:$F$18,MONTH(EDATE($E90,AU$1-1)))/100))),"")</f>
        <v/>
      </c>
      <c r="AV90" t="str" cm="1">
        <f t="array" ref="AV90">IFERROR(IF($E90&lt;44348,"",IF(INDEX(Raw_매출!$B$2:$BI$155,MATCH($A90,Raw_매출!$A$2:$A$155,0),MATCH(EDATE($E90,AV$1-1),Raw_매출!$B$1:$BI$1,0))=0,"",INDEX(Raw_매출!$B$2:$BI$155,MATCH($A90,Raw_매출!$A$2:$A$155,0),MATCH(EDATE($E90,AV$1-1),Raw_매출!$B$1:$BI$1,0))/(INDEX(요약_월별시즈널리티!$F$7:$F$18,MONTH(EDATE($E90,AV$1-1)))/100))),"")</f>
        <v/>
      </c>
      <c r="AW90" t="str" cm="1">
        <f t="array" ref="AW90">IFERROR(IF($E90&lt;44348,"",IF(INDEX(Raw_매출!$B$2:$BI$155,MATCH($A90,Raw_매출!$A$2:$A$155,0),MATCH(EDATE($E90,AW$1-1),Raw_매출!$B$1:$BI$1,0))=0,"",INDEX(Raw_매출!$B$2:$BI$155,MATCH($A90,Raw_매출!$A$2:$A$155,0),MATCH(EDATE($E90,AW$1-1),Raw_매출!$B$1:$BI$1,0))/(INDEX(요약_월별시즈널리티!$F$7:$F$18,MONTH(EDATE($E90,AW$1-1)))/100))),"")</f>
        <v/>
      </c>
      <c r="AX90" t="str" cm="1">
        <f t="array" ref="AX90">IFERROR(IF($E90&lt;44348,"",IF(INDEX(Raw_매출!$B$2:$BI$155,MATCH($A90,Raw_매출!$A$2:$A$155,0),MATCH(EDATE($E90,AX$1-1),Raw_매출!$B$1:$BI$1,0))=0,"",INDEX(Raw_매출!$B$2:$BI$155,MATCH($A90,Raw_매출!$A$2:$A$155,0),MATCH(EDATE($E90,AX$1-1),Raw_매출!$B$1:$BI$1,0))/(INDEX(요약_월별시즈널리티!$F$7:$F$18,MONTH(EDATE($E90,AX$1-1)))/100))),"")</f>
        <v/>
      </c>
      <c r="AY90" t="str" cm="1">
        <f t="array" ref="AY90">IFERROR(IF($E90&lt;44348,"",IF(INDEX(Raw_매출!$B$2:$BI$155,MATCH($A90,Raw_매출!$A$2:$A$155,0),MATCH(EDATE($E90,AY$1-1),Raw_매출!$B$1:$BI$1,0))=0,"",INDEX(Raw_매출!$B$2:$BI$155,MATCH($A90,Raw_매출!$A$2:$A$155,0),MATCH(EDATE($E90,AY$1-1),Raw_매출!$B$1:$BI$1,0))/(INDEX(요약_월별시즈널리티!$F$7:$F$18,MONTH(EDATE($E90,AY$1-1)))/100))),"")</f>
        <v/>
      </c>
      <c r="AZ90" t="str" cm="1">
        <f t="array" ref="AZ90">IFERROR(IF($E90&lt;44348,"",IF(INDEX(Raw_매출!$B$2:$BI$155,MATCH($A90,Raw_매출!$A$2:$A$155,0),MATCH(EDATE($E90,AZ$1-1),Raw_매출!$B$1:$BI$1,0))=0,"",INDEX(Raw_매출!$B$2:$BI$155,MATCH($A90,Raw_매출!$A$2:$A$155,0),MATCH(EDATE($E90,AZ$1-1),Raw_매출!$B$1:$BI$1,0))/(INDEX(요약_월별시즈널리티!$F$7:$F$18,MONTH(EDATE($E90,AZ$1-1)))/100))),"")</f>
        <v/>
      </c>
      <c r="BA90" t="str" cm="1">
        <f t="array" ref="BA90">IFERROR(IF($E90&lt;44348,"",IF(INDEX(Raw_매출!$B$2:$BI$155,MATCH($A90,Raw_매출!$A$2:$A$155,0),MATCH(EDATE($E90,BA$1-1),Raw_매출!$B$1:$BI$1,0))=0,"",INDEX(Raw_매출!$B$2:$BI$155,MATCH($A90,Raw_매출!$A$2:$A$155,0),MATCH(EDATE($E90,BA$1-1),Raw_매출!$B$1:$BI$1,0))/(INDEX(요약_월별시즈널리티!$F$7:$F$18,MONTH(EDATE($E90,BA$1-1)))/100))),"")</f>
        <v/>
      </c>
      <c r="BB90" t="str" cm="1">
        <f t="array" ref="BB90">IFERROR(IF($E90&lt;44348,"",IF(INDEX(Raw_매출!$B$2:$BI$155,MATCH($A90,Raw_매출!$A$2:$A$155,0),MATCH(EDATE($E90,BB$1-1),Raw_매출!$B$1:$BI$1,0))=0,"",INDEX(Raw_매출!$B$2:$BI$155,MATCH($A90,Raw_매출!$A$2:$A$155,0),MATCH(EDATE($E90,BB$1-1),Raw_매출!$B$1:$BI$1,0))/(INDEX(요약_월별시즈널리티!$F$7:$F$18,MONTH(EDATE($E90,BB$1-1)))/100))),"")</f>
        <v/>
      </c>
      <c r="BC90" t="str" cm="1">
        <f t="array" ref="BC90">IFERROR(IF($E90&lt;44348,"",IF(INDEX(Raw_매출!$B$2:$BI$155,MATCH($A90,Raw_매출!$A$2:$A$155,0),MATCH(EDATE($E90,BC$1-1),Raw_매출!$B$1:$BI$1,0))=0,"",INDEX(Raw_매출!$B$2:$BI$155,MATCH($A90,Raw_매출!$A$2:$A$155,0),MATCH(EDATE($E90,BC$1-1),Raw_매출!$B$1:$BI$1,0))/(INDEX(요약_월별시즈널리티!$F$7:$F$18,MONTH(EDATE($E90,BC$1-1)))/100))),"")</f>
        <v/>
      </c>
      <c r="BD90" t="str" cm="1">
        <f t="array" ref="BD90">IFERROR(IF($E90&lt;44348,"",IF(INDEX(Raw_매출!$B$2:$BI$155,MATCH($A90,Raw_매출!$A$2:$A$155,0),MATCH(EDATE($E90,BD$1-1),Raw_매출!$B$1:$BI$1,0))=0,"",INDEX(Raw_매출!$B$2:$BI$155,MATCH($A90,Raw_매출!$A$2:$A$155,0),MATCH(EDATE($E90,BD$1-1),Raw_매출!$B$1:$BI$1,0))/(INDEX(요약_월별시즈널리티!$F$7:$F$18,MONTH(EDATE($E90,BD$1-1)))/100))),"")</f>
        <v/>
      </c>
      <c r="BE90" t="str" cm="1">
        <f t="array" ref="BE90">IFERROR(IF($E90&lt;44348,"",IF(INDEX(Raw_매출!$B$2:$BI$155,MATCH($A90,Raw_매출!$A$2:$A$155,0),MATCH(EDATE($E90,BE$1-1),Raw_매출!$B$1:$BI$1,0))=0,"",INDEX(Raw_매출!$B$2:$BI$155,MATCH($A90,Raw_매출!$A$2:$A$155,0),MATCH(EDATE($E90,BE$1-1),Raw_매출!$B$1:$BI$1,0))/(INDEX(요약_월별시즈널리티!$F$7:$F$18,MONTH(EDATE($E90,BE$1-1)))/100))),"")</f>
        <v/>
      </c>
      <c r="BF90" t="str" cm="1">
        <f t="array" ref="BF90">IFERROR(IF($E90&lt;44348,"",IF(INDEX(Raw_매출!$B$2:$BI$155,MATCH($A90,Raw_매출!$A$2:$A$155,0),MATCH(EDATE($E90,BF$1-1),Raw_매출!$B$1:$BI$1,0))=0,"",INDEX(Raw_매출!$B$2:$BI$155,MATCH($A90,Raw_매출!$A$2:$A$155,0),MATCH(EDATE($E90,BF$1-1),Raw_매출!$B$1:$BI$1,0))/(INDEX(요약_월별시즈널리티!$F$7:$F$18,MONTH(EDATE($E90,BF$1-1)))/100))),"")</f>
        <v/>
      </c>
      <c r="BG90" t="str" cm="1">
        <f t="array" ref="BG90">IFERROR(IF($E90&lt;44348,"",IF(INDEX(Raw_매출!$B$2:$BI$155,MATCH($A90,Raw_매출!$A$2:$A$155,0),MATCH(EDATE($E90,BG$1-1),Raw_매출!$B$1:$BI$1,0))=0,"",INDEX(Raw_매출!$B$2:$BI$155,MATCH($A90,Raw_매출!$A$2:$A$155,0),MATCH(EDATE($E90,BG$1-1),Raw_매출!$B$1:$BI$1,0))/(INDEX(요약_월별시즈널리티!$F$7:$F$18,MONTH(EDATE($E90,BG$1-1)))/100))),"")</f>
        <v/>
      </c>
      <c r="BH90" t="str" cm="1">
        <f t="array" ref="BH90">IFERROR(IF($E90&lt;44348,"",IF(INDEX(Raw_매출!$B$2:$BI$155,MATCH($A90,Raw_매출!$A$2:$A$155,0),MATCH(EDATE($E90,BH$1-1),Raw_매출!$B$1:$BI$1,0))=0,"",INDEX(Raw_매출!$B$2:$BI$155,MATCH($A90,Raw_매출!$A$2:$A$155,0),MATCH(EDATE($E90,BH$1-1),Raw_매출!$B$1:$BI$1,0))/(INDEX(요약_월별시즈널리티!$F$7:$F$18,MONTH(EDATE($E90,BH$1-1)))/100))),"")</f>
        <v/>
      </c>
      <c r="BI90" t="str" cm="1">
        <f t="array" ref="BI90">IFERROR(IF($E90&lt;44348,"",IF(INDEX(Raw_매출!$B$2:$BI$155,MATCH($A90,Raw_매출!$A$2:$A$155,0),MATCH(EDATE($E90,BI$1-1),Raw_매출!$B$1:$BI$1,0))=0,"",INDEX(Raw_매출!$B$2:$BI$155,MATCH($A90,Raw_매출!$A$2:$A$155,0),MATCH(EDATE($E90,BI$1-1),Raw_매출!$B$1:$BI$1,0))/(INDEX(요약_월별시즈널리티!$F$7:$F$18,MONTH(EDATE($E90,BI$1-1)))/100))),"")</f>
        <v/>
      </c>
      <c r="BJ90" t="str" cm="1">
        <f t="array" ref="BJ90">IFERROR(IF($E90&lt;44348,"",IF(INDEX(Raw_매출!$B$2:$BI$155,MATCH($A90,Raw_매출!$A$2:$A$155,0),MATCH(EDATE($E90,BJ$1-1),Raw_매출!$B$1:$BI$1,0))=0,"",INDEX(Raw_매출!$B$2:$BI$155,MATCH($A90,Raw_매출!$A$2:$A$155,0),MATCH(EDATE($E90,BJ$1-1),Raw_매출!$B$1:$BI$1,0))/(INDEX(요약_월별시즈널리티!$F$7:$F$18,MONTH(EDATE($E90,BJ$1-1)))/100))),"")</f>
        <v/>
      </c>
      <c r="BK90" t="str" cm="1">
        <f t="array" ref="BK90">IFERROR(IF($E90&lt;44348,"",IF(INDEX(Raw_매출!$B$2:$BI$155,MATCH($A90,Raw_매출!$A$2:$A$155,0),MATCH(EDATE($E90,BK$1-1),Raw_매출!$B$1:$BI$1,0))=0,"",INDEX(Raw_매출!$B$2:$BI$155,MATCH($A90,Raw_매출!$A$2:$A$155,0),MATCH(EDATE($E90,BK$1-1),Raw_매출!$B$1:$BI$1,0))/(INDEX(요약_월별시즈널리티!$F$7:$F$18,MONTH(EDATE($E90,BK$1-1)))/100))),"")</f>
        <v/>
      </c>
      <c r="BL90" t="str" cm="1">
        <f t="array" ref="BL90">IFERROR(IF($E90&lt;44348,"",IF(INDEX(Raw_매출!$B$2:$BI$155,MATCH($A90,Raw_매출!$A$2:$A$155,0),MATCH(EDATE($E90,BL$1-1),Raw_매출!$B$1:$BI$1,0))=0,"",INDEX(Raw_매출!$B$2:$BI$155,MATCH($A90,Raw_매출!$A$2:$A$155,0),MATCH(EDATE($E90,BL$1-1),Raw_매출!$B$1:$BI$1,0))/(INDEX(요약_월별시즈널리티!$F$7:$F$18,MONTH(EDATE($E90,BL$1-1)))/100))),"")</f>
        <v/>
      </c>
      <c r="BM90" t="str" cm="1">
        <f t="array" ref="BM90">IFERROR(IF($E90&lt;44348,"",IF(INDEX(Raw_매출!$B$2:$BI$155,MATCH($A90,Raw_매출!$A$2:$A$155,0),MATCH(EDATE($E90,BM$1-1),Raw_매출!$B$1:$BI$1,0))=0,"",INDEX(Raw_매출!$B$2:$BI$155,MATCH($A90,Raw_매출!$A$2:$A$155,0),MATCH(EDATE($E90,BM$1-1),Raw_매출!$B$1:$BI$1,0))/(INDEX(요약_월별시즈널리티!$F$7:$F$18,MONTH(EDATE($E90,BM$1-1)))/100))),"")</f>
        <v/>
      </c>
      <c r="BN90" t="str" cm="1">
        <f t="array" ref="BN90">IFERROR(IF($E90&lt;44348,"",IF(INDEX(Raw_매출!$B$2:$BI$155,MATCH($A90,Raw_매출!$A$2:$A$155,0),MATCH(EDATE($E90,BN$1-1),Raw_매출!$B$1:$BI$1,0))=0,"",INDEX(Raw_매출!$B$2:$BI$155,MATCH($A90,Raw_매출!$A$2:$A$155,0),MATCH(EDATE($E90,BN$1-1),Raw_매출!$B$1:$BI$1,0))/(INDEX(요약_월별시즈널리티!$F$7:$F$18,MONTH(EDATE($E90,BN$1-1)))/100))),"")</f>
        <v/>
      </c>
    </row>
    <row r="91" spans="1:66" x14ac:dyDescent="0.4">
      <c r="A91" t="str">
        <f>세팅!A92</f>
        <v>(1080) #오산대호스쿨점</v>
      </c>
      <c r="B91" t="str">
        <f>세팅!B92</f>
        <v>150-1</v>
      </c>
      <c r="C91">
        <f t="shared" si="3"/>
        <v>1</v>
      </c>
      <c r="D91" t="str">
        <f t="shared" si="4"/>
        <v>1</v>
      </c>
      <c r="E91" s="1">
        <f>세팅!D92</f>
        <v>45139</v>
      </c>
      <c r="F91">
        <f t="shared" si="5"/>
        <v>3199025.6071857153</v>
      </c>
      <c r="G91" cm="1">
        <f t="array" ref="G91">IFERROR(IF($E91&lt;44348,"",IF(INDEX(Raw_매출!$B$2:$BI$155,MATCH($A91,Raw_매출!$A$2:$A$155,0),MATCH(EDATE($E91,G$1-1),Raw_매출!$B$1:$BI$1,0))=0,"",INDEX(Raw_매출!$B$2:$BI$155,MATCH($A91,Raw_매출!$A$2:$A$155,0),MATCH(EDATE($E91,G$1-1),Raw_매출!$B$1:$BI$1,0))/(INDEX(요약_월별시즈널리티!$F$7:$F$18,MONTH(EDATE($E91,G$1-1)))/100))),"")</f>
        <v>1124031.1173287225</v>
      </c>
      <c r="H91" cm="1">
        <f t="array" ref="H91">IFERROR(IF($E91&lt;44348,"",IF(INDEX(Raw_매출!$B$2:$BI$155,MATCH($A91,Raw_매출!$A$2:$A$155,0),MATCH(EDATE($E91,H$1-1),Raw_매출!$B$1:$BI$1,0))=0,"",INDEX(Raw_매출!$B$2:$BI$155,MATCH($A91,Raw_매출!$A$2:$A$155,0),MATCH(EDATE($E91,H$1-1),Raw_매출!$B$1:$BI$1,0))/(INDEX(요약_월별시즈널리티!$F$7:$F$18,MONTH(EDATE($E91,H$1-1)))/100))),"")</f>
        <v>1530388.7339501975</v>
      </c>
      <c r="I91" cm="1">
        <f t="array" ref="I91">IFERROR(IF($E91&lt;44348,"",IF(INDEX(Raw_매출!$B$2:$BI$155,MATCH($A91,Raw_매출!$A$2:$A$155,0),MATCH(EDATE($E91,I$1-1),Raw_매출!$B$1:$BI$1,0))=0,"",INDEX(Raw_매출!$B$2:$BI$155,MATCH($A91,Raw_매출!$A$2:$A$155,0),MATCH(EDATE($E91,I$1-1),Raw_매출!$B$1:$BI$1,0))/(INDEX(요약_월별시즈널리티!$F$7:$F$18,MONTH(EDATE($E91,I$1-1)))/100))),"")</f>
        <v>1935999.352702176</v>
      </c>
      <c r="J91" s="30" cm="1">
        <f t="array" ref="J91">IFERROR(IF($E91&lt;44348,"",IF(INDEX(Raw_매출!$B$2:$BI$155,MATCH($A91,Raw_매출!$A$2:$A$155,0),MATCH(EDATE($E91,J$1-1),Raw_매출!$B$1:$BI$1,0))=0,"",INDEX(Raw_매출!$B$2:$BI$155,MATCH($A91,Raw_매출!$A$2:$A$155,0),MATCH(EDATE($E91,J$1-1),Raw_매출!$B$1:$BI$1,0))/(INDEX(요약_월별시즈널리티!$F$7:$F$18,MONTH(EDATE($E91,J$1-1)))/100))),"")</f>
        <v>2447832.5132246227</v>
      </c>
      <c r="K91" s="30" cm="1">
        <f t="array" ref="K91">IFERROR(IF($E91&lt;44348,"",IF(INDEX(Raw_매출!$B$2:$BI$155,MATCH($A91,Raw_매출!$A$2:$A$155,0),MATCH(EDATE($E91,K$1-1),Raw_매출!$B$1:$BI$1,0))=0,"",INDEX(Raw_매출!$B$2:$BI$155,MATCH($A91,Raw_매출!$A$2:$A$155,0),MATCH(EDATE($E91,K$1-1),Raw_매출!$B$1:$BI$1,0))/(INDEX(요약_월별시즈널리티!$F$7:$F$18,MONTH(EDATE($E91,K$1-1)))/100))),"")</f>
        <v>3331238.4136089389</v>
      </c>
      <c r="L91" s="30" cm="1">
        <f t="array" ref="L91">IFERROR(IF($E91&lt;44348,"",IF(INDEX(Raw_매출!$B$2:$BI$155,MATCH($A91,Raw_매출!$A$2:$A$155,0),MATCH(EDATE($E91,L$1-1),Raw_매출!$B$1:$BI$1,0))=0,"",INDEX(Raw_매출!$B$2:$BI$155,MATCH($A91,Raw_매출!$A$2:$A$155,0),MATCH(EDATE($E91,L$1-1),Raw_매출!$B$1:$BI$1,0))/(INDEX(요약_월별시즈널리티!$F$7:$F$18,MONTH(EDATE($E91,L$1-1)))/100))),"")</f>
        <v>3185993.5300961514</v>
      </c>
      <c r="M91" s="30" cm="1">
        <f t="array" ref="M91">IFERROR(IF($E91&lt;44348,"",IF(INDEX(Raw_매출!$B$2:$BI$155,MATCH($A91,Raw_매출!$A$2:$A$155,0),MATCH(EDATE($E91,M$1-1),Raw_매출!$B$1:$BI$1,0))=0,"",INDEX(Raw_매출!$B$2:$BI$155,MATCH($A91,Raw_매출!$A$2:$A$155,0),MATCH(EDATE($E91,M$1-1),Raw_매출!$B$1:$BI$1,0))/(INDEX(요약_월별시즈널리티!$F$7:$F$18,MONTH(EDATE($E91,M$1-1)))/100))),"")</f>
        <v>3546564.0743149687</v>
      </c>
      <c r="N91" s="30" cm="1">
        <f t="array" ref="N91">IFERROR(IF($E91&lt;44348,"",IF(INDEX(Raw_매출!$B$2:$BI$155,MATCH($A91,Raw_매출!$A$2:$A$155,0),MATCH(EDATE($E91,N$1-1),Raw_매출!$B$1:$BI$1,0))=0,"",INDEX(Raw_매출!$B$2:$BI$155,MATCH($A91,Raw_매출!$A$2:$A$155,0),MATCH(EDATE($E91,N$1-1),Raw_매출!$B$1:$BI$1,0))/(INDEX(요약_월별시즈널리티!$F$7:$F$18,MONTH(EDATE($E91,N$1-1)))/100))),"")</f>
        <v>3239454.7183334948</v>
      </c>
      <c r="O91" s="30" cm="1">
        <f t="array" ref="O91">IFERROR(IF($E91&lt;44348,"",IF(INDEX(Raw_매출!$B$2:$BI$155,MATCH($A91,Raw_매출!$A$2:$A$155,0),MATCH(EDATE($E91,O$1-1),Raw_매출!$B$1:$BI$1,0))=0,"",INDEX(Raw_매출!$B$2:$BI$155,MATCH($A91,Raw_매출!$A$2:$A$155,0),MATCH(EDATE($E91,O$1-1),Raw_매출!$B$1:$BI$1,0))/(INDEX(요약_월별시즈널리티!$F$7:$F$18,MONTH(EDATE($E91,O$1-1)))/100))),"")</f>
        <v>3443070.3935361132</v>
      </c>
      <c r="P91" cm="1">
        <f t="array" ref="P91">IFERROR(IF($E91&lt;44348,"",IF(INDEX(Raw_매출!$B$2:$BI$155,MATCH($A91,Raw_매출!$A$2:$A$155,0),MATCH(EDATE($E91,P$1-1),Raw_매출!$B$1:$BI$1,0))=0,"",INDEX(Raw_매출!$B$2:$BI$155,MATCH($A91,Raw_매출!$A$2:$A$155,0),MATCH(EDATE($E91,P$1-1),Raw_매출!$B$1:$BI$1,0))/(INDEX(요약_월별시즈널리티!$F$7:$F$18,MONTH(EDATE($E91,P$1-1)))/100))),"")</f>
        <v>2752228.9089205884</v>
      </c>
      <c r="Q91" cm="1">
        <f t="array" ref="Q91">IFERROR(IF($E91&lt;44348,"",IF(INDEX(Raw_매출!$B$2:$BI$155,MATCH($A91,Raw_매출!$A$2:$A$155,0),MATCH(EDATE($E91,Q$1-1),Raw_매출!$B$1:$BI$1,0))=0,"",INDEX(Raw_매출!$B$2:$BI$155,MATCH($A91,Raw_매출!$A$2:$A$155,0),MATCH(EDATE($E91,Q$1-1),Raw_매출!$B$1:$BI$1,0))/(INDEX(요약_월별시즈널리티!$F$7:$F$18,MONTH(EDATE($E91,Q$1-1)))/100))),"")</f>
        <v>2743122.6046110992</v>
      </c>
      <c r="R91" cm="1">
        <f t="array" ref="R91">IFERROR(IF($E91&lt;44348,"",IF(INDEX(Raw_매출!$B$2:$BI$155,MATCH($A91,Raw_매출!$A$2:$A$155,0),MATCH(EDATE($E91,R$1-1),Raw_매출!$B$1:$BI$1,0))=0,"",INDEX(Raw_매출!$B$2:$BI$155,MATCH($A91,Raw_매출!$A$2:$A$155,0),MATCH(EDATE($E91,R$1-1),Raw_매출!$B$1:$BI$1,0))/(INDEX(요약_월별시즈널리티!$F$7:$F$18,MONTH(EDATE($E91,R$1-1)))/100))),"")</f>
        <v>2958416.0855733673</v>
      </c>
      <c r="S91" cm="1">
        <f t="array" ref="S91">IFERROR(IF($E91&lt;44348,"",IF(INDEX(Raw_매출!$B$2:$BI$155,MATCH($A91,Raw_매출!$A$2:$A$155,0),MATCH(EDATE($E91,S$1-1),Raw_매출!$B$1:$BI$1,0))=0,"",INDEX(Raw_매출!$B$2:$BI$155,MATCH($A91,Raw_매출!$A$2:$A$155,0),MATCH(EDATE($E91,S$1-1),Raw_매출!$B$1:$BI$1,0))/(INDEX(요약_월별시즈널리티!$F$7:$F$18,MONTH(EDATE($E91,S$1-1)))/100))),"")</f>
        <v>2833420.386489118</v>
      </c>
      <c r="T91" cm="1">
        <f t="array" ref="T91">IFERROR(IF($E91&lt;44348,"",IF(INDEX(Raw_매출!$B$2:$BI$155,MATCH($A91,Raw_매출!$A$2:$A$155,0),MATCH(EDATE($E91,T$1-1),Raw_매출!$B$1:$BI$1,0))=0,"",INDEX(Raw_매출!$B$2:$BI$155,MATCH($A91,Raw_매출!$A$2:$A$155,0),MATCH(EDATE($E91,T$1-1),Raw_매출!$B$1:$BI$1,0))/(INDEX(요약_월별시즈널리티!$F$7:$F$18,MONTH(EDATE($E91,T$1-1)))/100))),"")</f>
        <v>2941914.3598343669</v>
      </c>
      <c r="U91" cm="1">
        <f t="array" ref="U91">IFERROR(IF($E91&lt;44348,"",IF(INDEX(Raw_매출!$B$2:$BI$155,MATCH($A91,Raw_매출!$A$2:$A$155,0),MATCH(EDATE($E91,U$1-1),Raw_매출!$B$1:$BI$1,0))=0,"",INDEX(Raw_매출!$B$2:$BI$155,MATCH($A91,Raw_매출!$A$2:$A$155,0),MATCH(EDATE($E91,U$1-1),Raw_매출!$B$1:$BI$1,0))/(INDEX(요약_월별시즈널리티!$F$7:$F$18,MONTH(EDATE($E91,U$1-1)))/100))),"")</f>
        <v>3215791.3740109052</v>
      </c>
      <c r="V91" cm="1">
        <f t="array" ref="V91">IFERROR(IF($E91&lt;44348,"",IF(INDEX(Raw_매출!$B$2:$BI$155,MATCH($A91,Raw_매출!$A$2:$A$155,0),MATCH(EDATE($E91,V$1-1),Raw_매출!$B$1:$BI$1,0))=0,"",INDEX(Raw_매출!$B$2:$BI$155,MATCH($A91,Raw_매출!$A$2:$A$155,0),MATCH(EDATE($E91,V$1-1),Raw_매출!$B$1:$BI$1,0))/(INDEX(요약_월별시즈널리티!$F$7:$F$18,MONTH(EDATE($E91,V$1-1)))/100))),"")</f>
        <v>3583699.7973090545</v>
      </c>
      <c r="W91" cm="1">
        <f t="array" ref="W91">IFERROR(IF($E91&lt;44348,"",IF(INDEX(Raw_매출!$B$2:$BI$155,MATCH($A91,Raw_매출!$A$2:$A$155,0),MATCH(EDATE($E91,W$1-1),Raw_매출!$B$1:$BI$1,0))=0,"",INDEX(Raw_매출!$B$2:$BI$155,MATCH($A91,Raw_매출!$A$2:$A$155,0),MATCH(EDATE($E91,W$1-1),Raw_매출!$B$1:$BI$1,0))/(INDEX(요약_월별시즈널리티!$F$7:$F$18,MONTH(EDATE($E91,W$1-1)))/100))),"")</f>
        <v>3441156.1294552661</v>
      </c>
      <c r="X91" cm="1">
        <f t="array" ref="X91">IFERROR(IF($E91&lt;44348,"",IF(INDEX(Raw_매출!$B$2:$BI$155,MATCH($A91,Raw_매출!$A$2:$A$155,0),MATCH(EDATE($E91,X$1-1),Raw_매출!$B$1:$BI$1,0))=0,"",INDEX(Raw_매출!$B$2:$BI$155,MATCH($A91,Raw_매출!$A$2:$A$155,0),MATCH(EDATE($E91,X$1-1),Raw_매출!$B$1:$BI$1,0))/(INDEX(요약_월별시즈널리티!$F$7:$F$18,MONTH(EDATE($E91,X$1-1)))/100))),"")</f>
        <v>4154538.9906749604</v>
      </c>
      <c r="Y91" cm="1">
        <f t="array" ref="Y91">IFERROR(IF($E91&lt;44348,"",IF(INDEX(Raw_매출!$B$2:$BI$155,MATCH($A91,Raw_매출!$A$2:$A$155,0),MATCH(EDATE($E91,Y$1-1),Raw_매출!$B$1:$BI$1,0))=0,"",INDEX(Raw_매출!$B$2:$BI$155,MATCH($A91,Raw_매출!$A$2:$A$155,0),MATCH(EDATE($E91,Y$1-1),Raw_매출!$B$1:$BI$1,0))/(INDEX(요약_월별시즈널리티!$F$7:$F$18,MONTH(EDATE($E91,Y$1-1)))/100))),"")</f>
        <v>3492072.1872191452</v>
      </c>
      <c r="Z91" cm="1">
        <f t="array" ref="Z91">IFERROR(IF($E91&lt;44348,"",IF(INDEX(Raw_매출!$B$2:$BI$155,MATCH($A91,Raw_매출!$A$2:$A$155,0),MATCH(EDATE($E91,Z$1-1),Raw_매출!$B$1:$BI$1,0))=0,"",INDEX(Raw_매출!$B$2:$BI$155,MATCH($A91,Raw_매출!$A$2:$A$155,0),MATCH(EDATE($E91,Z$1-1),Raw_매출!$B$1:$BI$1,0))/(INDEX(요약_월별시즈널리티!$F$7:$F$18,MONTH(EDATE($E91,Z$1-1)))/100))),"")</f>
        <v>3354529.4925760846</v>
      </c>
      <c r="AA91" cm="1">
        <f t="array" ref="AA91">IFERROR(IF($E91&lt;44348,"",IF(INDEX(Raw_매출!$B$2:$BI$155,MATCH($A91,Raw_매출!$A$2:$A$155,0),MATCH(EDATE($E91,AA$1-1),Raw_매출!$B$1:$BI$1,0))=0,"",INDEX(Raw_매출!$B$2:$BI$155,MATCH($A91,Raw_매출!$A$2:$A$155,0),MATCH(EDATE($E91,AA$1-1),Raw_매출!$B$1:$BI$1,0))/(INDEX(요약_월별시즈널리티!$F$7:$F$18,MONTH(EDATE($E91,AA$1-1)))/100))),"")</f>
        <v>3433743.960441805</v>
      </c>
      <c r="AB91" cm="1">
        <f t="array" ref="AB91">IFERROR(IF($E91&lt;44348,"",IF(INDEX(Raw_매출!$B$2:$BI$155,MATCH($A91,Raw_매출!$A$2:$A$155,0),MATCH(EDATE($E91,AB$1-1),Raw_매출!$B$1:$BI$1,0))=0,"",INDEX(Raw_매출!$B$2:$BI$155,MATCH($A91,Raw_매출!$A$2:$A$155,0),MATCH(EDATE($E91,AB$1-1),Raw_매출!$B$1:$BI$1,0))/(INDEX(요약_월별시즈널리티!$F$7:$F$18,MONTH(EDATE($E91,AB$1-1)))/100))),"")</f>
        <v>3395096.4496405823</v>
      </c>
      <c r="AC91" cm="1">
        <f t="array" ref="AC91">IFERROR(IF($E91&lt;44348,"",IF(INDEX(Raw_매출!$B$2:$BI$155,MATCH($A91,Raw_매출!$A$2:$A$155,0),MATCH(EDATE($E91,AC$1-1),Raw_매출!$B$1:$BI$1,0))=0,"",INDEX(Raw_매출!$B$2:$BI$155,MATCH($A91,Raw_매출!$A$2:$A$155,0),MATCH(EDATE($E91,AC$1-1),Raw_매출!$B$1:$BI$1,0))/(INDEX(요약_월별시즈널리티!$F$7:$F$18,MONTH(EDATE($E91,AC$1-1)))/100))),"")</f>
        <v>3243479.2354886071</v>
      </c>
      <c r="AD91" cm="1">
        <f t="array" ref="AD91">IFERROR(IF($E91&lt;44348,"",IF(INDEX(Raw_매출!$B$2:$BI$155,MATCH($A91,Raw_매출!$A$2:$A$155,0),MATCH(EDATE($E91,AD$1-1),Raw_매출!$B$1:$BI$1,0))=0,"",INDEX(Raw_매출!$B$2:$BI$155,MATCH($A91,Raw_매출!$A$2:$A$155,0),MATCH(EDATE($E91,AD$1-1),Raw_매출!$B$1:$BI$1,0))/(INDEX(요약_월별시즈널리티!$F$7:$F$18,MONTH(EDATE($E91,AD$1-1)))/100))),"")</f>
        <v>2957651.8418569029</v>
      </c>
      <c r="AE91" cm="1">
        <f t="array" ref="AE91">IFERROR(IF($E91&lt;44348,"",IF(INDEX(Raw_매출!$B$2:$BI$155,MATCH($A91,Raw_매출!$A$2:$A$155,0),MATCH(EDATE($E91,AE$1-1),Raw_매출!$B$1:$BI$1,0))=0,"",INDEX(Raw_매출!$B$2:$BI$155,MATCH($A91,Raw_매출!$A$2:$A$155,0),MATCH(EDATE($E91,AE$1-1),Raw_매출!$B$1:$BI$1,0))/(INDEX(요약_월별시즈널리티!$F$7:$F$18,MONTH(EDATE($E91,AE$1-1)))/100))),"")</f>
        <v>2671462.7721834234</v>
      </c>
      <c r="AF91" cm="1">
        <f t="array" ref="AF91">IFERROR(IF($E91&lt;44348,"",IF(INDEX(Raw_매출!$B$2:$BI$155,MATCH($A91,Raw_매출!$A$2:$A$155,0),MATCH(EDATE($E91,AF$1-1),Raw_매출!$B$1:$BI$1,0))=0,"",INDEX(Raw_매출!$B$2:$BI$155,MATCH($A91,Raw_매출!$A$2:$A$155,0),MATCH(EDATE($E91,AF$1-1),Raw_매출!$B$1:$BI$1,0))/(INDEX(요약_월별시즈널리티!$F$7:$F$18,MONTH(EDATE($E91,AF$1-1)))/100))),"")</f>
        <v>2821463.2142771622</v>
      </c>
      <c r="AG91" cm="1">
        <f t="array" ref="AG91">IFERROR(IF($E91&lt;44348,"",IF(INDEX(Raw_매출!$B$2:$BI$155,MATCH($A91,Raw_매출!$A$2:$A$155,0),MATCH(EDATE($E91,AG$1-1),Raw_매출!$B$1:$BI$1,0))=0,"",INDEX(Raw_매출!$B$2:$BI$155,MATCH($A91,Raw_매출!$A$2:$A$155,0),MATCH(EDATE($E91,AG$1-1),Raw_매출!$B$1:$BI$1,0))/(INDEX(요약_월별시즈널리티!$F$7:$F$18,MONTH(EDATE($E91,AG$1-1)))/100))),"")</f>
        <v>3505000.4769694083</v>
      </c>
      <c r="AH91" cm="1">
        <f t="array" ref="AH91">IFERROR(IF($E91&lt;44348,"",IF(INDEX(Raw_매출!$B$2:$BI$155,MATCH($A91,Raw_매출!$A$2:$A$155,0),MATCH(EDATE($E91,AH$1-1),Raw_매출!$B$1:$BI$1,0))=0,"",INDEX(Raw_매출!$B$2:$BI$155,MATCH($A91,Raw_매출!$A$2:$A$155,0),MATCH(EDATE($E91,AH$1-1),Raw_매출!$B$1:$BI$1,0))/(INDEX(요약_월별시즈널리티!$F$7:$F$18,MONTH(EDATE($E91,AH$1-1)))/100))),"")</f>
        <v>3568658.3779811766</v>
      </c>
      <c r="AI91" cm="1">
        <f t="array" ref="AI91">IFERROR(IF($E91&lt;44348,"",IF(INDEX(Raw_매출!$B$2:$BI$155,MATCH($A91,Raw_매출!$A$2:$A$155,0),MATCH(EDATE($E91,AI$1-1),Raw_매출!$B$1:$BI$1,0))=0,"",INDEX(Raw_매출!$B$2:$BI$155,MATCH($A91,Raw_매출!$A$2:$A$155,0),MATCH(EDATE($E91,AI$1-1),Raw_매출!$B$1:$BI$1,0))/(INDEX(요약_월별시즈널리티!$F$7:$F$18,MONTH(EDATE($E91,AI$1-1)))/100))),"")</f>
        <v>3072015.3165267301</v>
      </c>
      <c r="AJ91" cm="1">
        <f t="array" ref="AJ91">IFERROR(IF($E91&lt;44348,"",IF(INDEX(Raw_매출!$B$2:$BI$155,MATCH($A91,Raw_매출!$A$2:$A$155,0),MATCH(EDATE($E91,AJ$1-1),Raw_매출!$B$1:$BI$1,0))=0,"",INDEX(Raw_매출!$B$2:$BI$155,MATCH($A91,Raw_매출!$A$2:$A$155,0),MATCH(EDATE($E91,AJ$1-1),Raw_매출!$B$1:$BI$1,0))/(INDEX(요약_월별시즈널리티!$F$7:$F$18,MONTH(EDATE($E91,AJ$1-1)))/100))),"")</f>
        <v>3664043.0589222205</v>
      </c>
      <c r="AK91" cm="1">
        <f t="array" ref="AK91">IFERROR(IF($E91&lt;44348,"",IF(INDEX(Raw_매출!$B$2:$BI$155,MATCH($A91,Raw_매출!$A$2:$A$155,0),MATCH(EDATE($E91,AK$1-1),Raw_매출!$B$1:$BI$1,0))=0,"",INDEX(Raw_매출!$B$2:$BI$155,MATCH($A91,Raw_매출!$A$2:$A$155,0),MATCH(EDATE($E91,AK$1-1),Raw_매출!$B$1:$BI$1,0))/(INDEX(요약_월별시즈널리티!$F$7:$F$18,MONTH(EDATE($E91,AK$1-1)))/100))),"")</f>
        <v>3708900.7804182018</v>
      </c>
      <c r="AL91" cm="1">
        <f t="array" ref="AL91">IFERROR(IF($E91&lt;44348,"",IF(INDEX(Raw_매출!$B$2:$BI$155,MATCH($A91,Raw_매출!$A$2:$A$155,0),MATCH(EDATE($E91,AL$1-1),Raw_매출!$B$1:$BI$1,0))=0,"",INDEX(Raw_매출!$B$2:$BI$155,MATCH($A91,Raw_매출!$A$2:$A$155,0),MATCH(EDATE($E91,AL$1-1),Raw_매출!$B$1:$BI$1,0))/(INDEX(요약_월별시즈널리티!$F$7:$F$18,MONTH(EDATE($E91,AL$1-1)))/100))),"")</f>
        <v>3602225.3199097365</v>
      </c>
      <c r="AM91" cm="1">
        <f t="array" ref="AM91">IFERROR(IF($E91&lt;44348,"",IF(INDEX(Raw_매출!$B$2:$BI$155,MATCH($A91,Raw_매출!$A$2:$A$155,0),MATCH(EDATE($E91,AM$1-1),Raw_매출!$B$1:$BI$1,0))=0,"",INDEX(Raw_매출!$B$2:$BI$155,MATCH($A91,Raw_매출!$A$2:$A$155,0),MATCH(EDATE($E91,AM$1-1),Raw_매출!$B$1:$BI$1,0))/(INDEX(요약_월별시즈널리티!$F$7:$F$18,MONTH(EDATE($E91,AM$1-1)))/100))),"")</f>
        <v>3897661.4679595763</v>
      </c>
      <c r="AN91" cm="1">
        <f t="array" ref="AN91">IFERROR(IF($E91&lt;44348,"",IF(INDEX(Raw_매출!$B$2:$BI$155,MATCH($A91,Raw_매출!$A$2:$A$155,0),MATCH(EDATE($E91,AN$1-1),Raw_매출!$B$1:$BI$1,0))=0,"",INDEX(Raw_매출!$B$2:$BI$155,MATCH($A91,Raw_매출!$A$2:$A$155,0),MATCH(EDATE($E91,AN$1-1),Raw_매출!$B$1:$BI$1,0))/(INDEX(요약_월별시즈널리티!$F$7:$F$18,MONTH(EDATE($E91,AN$1-1)))/100))),"")</f>
        <v>3668540.7944333018</v>
      </c>
      <c r="AO91" t="str" cm="1">
        <f t="array" ref="AO91">IFERROR(IF($E91&lt;44348,"",IF(INDEX(Raw_매출!$B$2:$BI$155,MATCH($A91,Raw_매출!$A$2:$A$155,0),MATCH(EDATE($E91,AO$1-1),Raw_매출!$B$1:$BI$1,0))=0,"",INDEX(Raw_매출!$B$2:$BI$155,MATCH($A91,Raw_매출!$A$2:$A$155,0),MATCH(EDATE($E91,AO$1-1),Raw_매출!$B$1:$BI$1,0))/(INDEX(요약_월별시즈널리티!$F$7:$F$18,MONTH(EDATE($E91,AO$1-1)))/100))),"")</f>
        <v/>
      </c>
      <c r="AP91" t="str" cm="1">
        <f t="array" ref="AP91">IFERROR(IF($E91&lt;44348,"",IF(INDEX(Raw_매출!$B$2:$BI$155,MATCH($A91,Raw_매출!$A$2:$A$155,0),MATCH(EDATE($E91,AP$1-1),Raw_매출!$B$1:$BI$1,0))=0,"",INDEX(Raw_매출!$B$2:$BI$155,MATCH($A91,Raw_매출!$A$2:$A$155,0),MATCH(EDATE($E91,AP$1-1),Raw_매출!$B$1:$BI$1,0))/(INDEX(요약_월별시즈널리티!$F$7:$F$18,MONTH(EDATE($E91,AP$1-1)))/100))),"")</f>
        <v/>
      </c>
      <c r="AQ91" t="str" cm="1">
        <f t="array" ref="AQ91">IFERROR(IF($E91&lt;44348,"",IF(INDEX(Raw_매출!$B$2:$BI$155,MATCH($A91,Raw_매출!$A$2:$A$155,0),MATCH(EDATE($E91,AQ$1-1),Raw_매출!$B$1:$BI$1,0))=0,"",INDEX(Raw_매출!$B$2:$BI$155,MATCH($A91,Raw_매출!$A$2:$A$155,0),MATCH(EDATE($E91,AQ$1-1),Raw_매출!$B$1:$BI$1,0))/(INDEX(요약_월별시즈널리티!$F$7:$F$18,MONTH(EDATE($E91,AQ$1-1)))/100))),"")</f>
        <v/>
      </c>
      <c r="AR91" t="str" cm="1">
        <f t="array" ref="AR91">IFERROR(IF($E91&lt;44348,"",IF(INDEX(Raw_매출!$B$2:$BI$155,MATCH($A91,Raw_매출!$A$2:$A$155,0),MATCH(EDATE($E91,AR$1-1),Raw_매출!$B$1:$BI$1,0))=0,"",INDEX(Raw_매출!$B$2:$BI$155,MATCH($A91,Raw_매출!$A$2:$A$155,0),MATCH(EDATE($E91,AR$1-1),Raw_매출!$B$1:$BI$1,0))/(INDEX(요약_월별시즈널리티!$F$7:$F$18,MONTH(EDATE($E91,AR$1-1)))/100))),"")</f>
        <v/>
      </c>
      <c r="AS91" t="str" cm="1">
        <f t="array" ref="AS91">IFERROR(IF($E91&lt;44348,"",IF(INDEX(Raw_매출!$B$2:$BI$155,MATCH($A91,Raw_매출!$A$2:$A$155,0),MATCH(EDATE($E91,AS$1-1),Raw_매출!$B$1:$BI$1,0))=0,"",INDEX(Raw_매출!$B$2:$BI$155,MATCH($A91,Raw_매출!$A$2:$A$155,0),MATCH(EDATE($E91,AS$1-1),Raw_매출!$B$1:$BI$1,0))/(INDEX(요약_월별시즈널리티!$F$7:$F$18,MONTH(EDATE($E91,AS$1-1)))/100))),"")</f>
        <v/>
      </c>
      <c r="AT91" t="str" cm="1">
        <f t="array" ref="AT91">IFERROR(IF($E91&lt;44348,"",IF(INDEX(Raw_매출!$B$2:$BI$155,MATCH($A91,Raw_매출!$A$2:$A$155,0),MATCH(EDATE($E91,AT$1-1),Raw_매출!$B$1:$BI$1,0))=0,"",INDEX(Raw_매출!$B$2:$BI$155,MATCH($A91,Raw_매출!$A$2:$A$155,0),MATCH(EDATE($E91,AT$1-1),Raw_매출!$B$1:$BI$1,0))/(INDEX(요약_월별시즈널리티!$F$7:$F$18,MONTH(EDATE($E91,AT$1-1)))/100))),"")</f>
        <v/>
      </c>
      <c r="AU91" t="str" cm="1">
        <f t="array" ref="AU91">IFERROR(IF($E91&lt;44348,"",IF(INDEX(Raw_매출!$B$2:$BI$155,MATCH($A91,Raw_매출!$A$2:$A$155,0),MATCH(EDATE($E91,AU$1-1),Raw_매출!$B$1:$BI$1,0))=0,"",INDEX(Raw_매출!$B$2:$BI$155,MATCH($A91,Raw_매출!$A$2:$A$155,0),MATCH(EDATE($E91,AU$1-1),Raw_매출!$B$1:$BI$1,0))/(INDEX(요약_월별시즈널리티!$F$7:$F$18,MONTH(EDATE($E91,AU$1-1)))/100))),"")</f>
        <v/>
      </c>
      <c r="AV91" t="str" cm="1">
        <f t="array" ref="AV91">IFERROR(IF($E91&lt;44348,"",IF(INDEX(Raw_매출!$B$2:$BI$155,MATCH($A91,Raw_매출!$A$2:$A$155,0),MATCH(EDATE($E91,AV$1-1),Raw_매출!$B$1:$BI$1,0))=0,"",INDEX(Raw_매출!$B$2:$BI$155,MATCH($A91,Raw_매출!$A$2:$A$155,0),MATCH(EDATE($E91,AV$1-1),Raw_매출!$B$1:$BI$1,0))/(INDEX(요약_월별시즈널리티!$F$7:$F$18,MONTH(EDATE($E91,AV$1-1)))/100))),"")</f>
        <v/>
      </c>
      <c r="AW91" t="str" cm="1">
        <f t="array" ref="AW91">IFERROR(IF($E91&lt;44348,"",IF(INDEX(Raw_매출!$B$2:$BI$155,MATCH($A91,Raw_매출!$A$2:$A$155,0),MATCH(EDATE($E91,AW$1-1),Raw_매출!$B$1:$BI$1,0))=0,"",INDEX(Raw_매출!$B$2:$BI$155,MATCH($A91,Raw_매출!$A$2:$A$155,0),MATCH(EDATE($E91,AW$1-1),Raw_매출!$B$1:$BI$1,0))/(INDEX(요약_월별시즈널리티!$F$7:$F$18,MONTH(EDATE($E91,AW$1-1)))/100))),"")</f>
        <v/>
      </c>
      <c r="AX91" t="str" cm="1">
        <f t="array" ref="AX91">IFERROR(IF($E91&lt;44348,"",IF(INDEX(Raw_매출!$B$2:$BI$155,MATCH($A91,Raw_매출!$A$2:$A$155,0),MATCH(EDATE($E91,AX$1-1),Raw_매출!$B$1:$BI$1,0))=0,"",INDEX(Raw_매출!$B$2:$BI$155,MATCH($A91,Raw_매출!$A$2:$A$155,0),MATCH(EDATE($E91,AX$1-1),Raw_매출!$B$1:$BI$1,0))/(INDEX(요약_월별시즈널리티!$F$7:$F$18,MONTH(EDATE($E91,AX$1-1)))/100))),"")</f>
        <v/>
      </c>
      <c r="AY91" t="str" cm="1">
        <f t="array" ref="AY91">IFERROR(IF($E91&lt;44348,"",IF(INDEX(Raw_매출!$B$2:$BI$155,MATCH($A91,Raw_매출!$A$2:$A$155,0),MATCH(EDATE($E91,AY$1-1),Raw_매출!$B$1:$BI$1,0))=0,"",INDEX(Raw_매출!$B$2:$BI$155,MATCH($A91,Raw_매출!$A$2:$A$155,0),MATCH(EDATE($E91,AY$1-1),Raw_매출!$B$1:$BI$1,0))/(INDEX(요약_월별시즈널리티!$F$7:$F$18,MONTH(EDATE($E91,AY$1-1)))/100))),"")</f>
        <v/>
      </c>
      <c r="AZ91" t="str" cm="1">
        <f t="array" ref="AZ91">IFERROR(IF($E91&lt;44348,"",IF(INDEX(Raw_매출!$B$2:$BI$155,MATCH($A91,Raw_매출!$A$2:$A$155,0),MATCH(EDATE($E91,AZ$1-1),Raw_매출!$B$1:$BI$1,0))=0,"",INDEX(Raw_매출!$B$2:$BI$155,MATCH($A91,Raw_매출!$A$2:$A$155,0),MATCH(EDATE($E91,AZ$1-1),Raw_매출!$B$1:$BI$1,0))/(INDEX(요약_월별시즈널리티!$F$7:$F$18,MONTH(EDATE($E91,AZ$1-1)))/100))),"")</f>
        <v/>
      </c>
      <c r="BA91" t="str" cm="1">
        <f t="array" ref="BA91">IFERROR(IF($E91&lt;44348,"",IF(INDEX(Raw_매출!$B$2:$BI$155,MATCH($A91,Raw_매출!$A$2:$A$155,0),MATCH(EDATE($E91,BA$1-1),Raw_매출!$B$1:$BI$1,0))=0,"",INDEX(Raw_매출!$B$2:$BI$155,MATCH($A91,Raw_매출!$A$2:$A$155,0),MATCH(EDATE($E91,BA$1-1),Raw_매출!$B$1:$BI$1,0))/(INDEX(요약_월별시즈널리티!$F$7:$F$18,MONTH(EDATE($E91,BA$1-1)))/100))),"")</f>
        <v/>
      </c>
      <c r="BB91" t="str" cm="1">
        <f t="array" ref="BB91">IFERROR(IF($E91&lt;44348,"",IF(INDEX(Raw_매출!$B$2:$BI$155,MATCH($A91,Raw_매출!$A$2:$A$155,0),MATCH(EDATE($E91,BB$1-1),Raw_매출!$B$1:$BI$1,0))=0,"",INDEX(Raw_매출!$B$2:$BI$155,MATCH($A91,Raw_매출!$A$2:$A$155,0),MATCH(EDATE($E91,BB$1-1),Raw_매출!$B$1:$BI$1,0))/(INDEX(요약_월별시즈널리티!$F$7:$F$18,MONTH(EDATE($E91,BB$1-1)))/100))),"")</f>
        <v/>
      </c>
      <c r="BC91" t="str" cm="1">
        <f t="array" ref="BC91">IFERROR(IF($E91&lt;44348,"",IF(INDEX(Raw_매출!$B$2:$BI$155,MATCH($A91,Raw_매출!$A$2:$A$155,0),MATCH(EDATE($E91,BC$1-1),Raw_매출!$B$1:$BI$1,0))=0,"",INDEX(Raw_매출!$B$2:$BI$155,MATCH($A91,Raw_매출!$A$2:$A$155,0),MATCH(EDATE($E91,BC$1-1),Raw_매출!$B$1:$BI$1,0))/(INDEX(요약_월별시즈널리티!$F$7:$F$18,MONTH(EDATE($E91,BC$1-1)))/100))),"")</f>
        <v/>
      </c>
      <c r="BD91" t="str" cm="1">
        <f t="array" ref="BD91">IFERROR(IF($E91&lt;44348,"",IF(INDEX(Raw_매출!$B$2:$BI$155,MATCH($A91,Raw_매출!$A$2:$A$155,0),MATCH(EDATE($E91,BD$1-1),Raw_매출!$B$1:$BI$1,0))=0,"",INDEX(Raw_매출!$B$2:$BI$155,MATCH($A91,Raw_매출!$A$2:$A$155,0),MATCH(EDATE($E91,BD$1-1),Raw_매출!$B$1:$BI$1,0))/(INDEX(요약_월별시즈널리티!$F$7:$F$18,MONTH(EDATE($E91,BD$1-1)))/100))),"")</f>
        <v/>
      </c>
      <c r="BE91" t="str" cm="1">
        <f t="array" ref="BE91">IFERROR(IF($E91&lt;44348,"",IF(INDEX(Raw_매출!$B$2:$BI$155,MATCH($A91,Raw_매출!$A$2:$A$155,0),MATCH(EDATE($E91,BE$1-1),Raw_매출!$B$1:$BI$1,0))=0,"",INDEX(Raw_매출!$B$2:$BI$155,MATCH($A91,Raw_매출!$A$2:$A$155,0),MATCH(EDATE($E91,BE$1-1),Raw_매출!$B$1:$BI$1,0))/(INDEX(요약_월별시즈널리티!$F$7:$F$18,MONTH(EDATE($E91,BE$1-1)))/100))),"")</f>
        <v/>
      </c>
      <c r="BF91" t="str" cm="1">
        <f t="array" ref="BF91">IFERROR(IF($E91&lt;44348,"",IF(INDEX(Raw_매출!$B$2:$BI$155,MATCH($A91,Raw_매출!$A$2:$A$155,0),MATCH(EDATE($E91,BF$1-1),Raw_매출!$B$1:$BI$1,0))=0,"",INDEX(Raw_매출!$B$2:$BI$155,MATCH($A91,Raw_매출!$A$2:$A$155,0),MATCH(EDATE($E91,BF$1-1),Raw_매출!$B$1:$BI$1,0))/(INDEX(요약_월별시즈널리티!$F$7:$F$18,MONTH(EDATE($E91,BF$1-1)))/100))),"")</f>
        <v/>
      </c>
      <c r="BG91" t="str" cm="1">
        <f t="array" ref="BG91">IFERROR(IF($E91&lt;44348,"",IF(INDEX(Raw_매출!$B$2:$BI$155,MATCH($A91,Raw_매출!$A$2:$A$155,0),MATCH(EDATE($E91,BG$1-1),Raw_매출!$B$1:$BI$1,0))=0,"",INDEX(Raw_매출!$B$2:$BI$155,MATCH($A91,Raw_매출!$A$2:$A$155,0),MATCH(EDATE($E91,BG$1-1),Raw_매출!$B$1:$BI$1,0))/(INDEX(요약_월별시즈널리티!$F$7:$F$18,MONTH(EDATE($E91,BG$1-1)))/100))),"")</f>
        <v/>
      </c>
      <c r="BH91" t="str" cm="1">
        <f t="array" ref="BH91">IFERROR(IF($E91&lt;44348,"",IF(INDEX(Raw_매출!$B$2:$BI$155,MATCH($A91,Raw_매출!$A$2:$A$155,0),MATCH(EDATE($E91,BH$1-1),Raw_매출!$B$1:$BI$1,0))=0,"",INDEX(Raw_매출!$B$2:$BI$155,MATCH($A91,Raw_매출!$A$2:$A$155,0),MATCH(EDATE($E91,BH$1-1),Raw_매출!$B$1:$BI$1,0))/(INDEX(요약_월별시즈널리티!$F$7:$F$18,MONTH(EDATE($E91,BH$1-1)))/100))),"")</f>
        <v/>
      </c>
      <c r="BI91" t="str" cm="1">
        <f t="array" ref="BI91">IFERROR(IF($E91&lt;44348,"",IF(INDEX(Raw_매출!$B$2:$BI$155,MATCH($A91,Raw_매출!$A$2:$A$155,0),MATCH(EDATE($E91,BI$1-1),Raw_매출!$B$1:$BI$1,0))=0,"",INDEX(Raw_매출!$B$2:$BI$155,MATCH($A91,Raw_매출!$A$2:$A$155,0),MATCH(EDATE($E91,BI$1-1),Raw_매출!$B$1:$BI$1,0))/(INDEX(요약_월별시즈널리티!$F$7:$F$18,MONTH(EDATE($E91,BI$1-1)))/100))),"")</f>
        <v/>
      </c>
      <c r="BJ91" t="str" cm="1">
        <f t="array" ref="BJ91">IFERROR(IF($E91&lt;44348,"",IF(INDEX(Raw_매출!$B$2:$BI$155,MATCH($A91,Raw_매출!$A$2:$A$155,0),MATCH(EDATE($E91,BJ$1-1),Raw_매출!$B$1:$BI$1,0))=0,"",INDEX(Raw_매출!$B$2:$BI$155,MATCH($A91,Raw_매출!$A$2:$A$155,0),MATCH(EDATE($E91,BJ$1-1),Raw_매출!$B$1:$BI$1,0))/(INDEX(요약_월별시즈널리티!$F$7:$F$18,MONTH(EDATE($E91,BJ$1-1)))/100))),"")</f>
        <v/>
      </c>
      <c r="BK91" t="str" cm="1">
        <f t="array" ref="BK91">IFERROR(IF($E91&lt;44348,"",IF(INDEX(Raw_매출!$B$2:$BI$155,MATCH($A91,Raw_매출!$A$2:$A$155,0),MATCH(EDATE($E91,BK$1-1),Raw_매출!$B$1:$BI$1,0))=0,"",INDEX(Raw_매출!$B$2:$BI$155,MATCH($A91,Raw_매출!$A$2:$A$155,0),MATCH(EDATE($E91,BK$1-1),Raw_매출!$B$1:$BI$1,0))/(INDEX(요약_월별시즈널리티!$F$7:$F$18,MONTH(EDATE($E91,BK$1-1)))/100))),"")</f>
        <v/>
      </c>
      <c r="BL91" t="str" cm="1">
        <f t="array" ref="BL91">IFERROR(IF($E91&lt;44348,"",IF(INDEX(Raw_매출!$B$2:$BI$155,MATCH($A91,Raw_매출!$A$2:$A$155,0),MATCH(EDATE($E91,BL$1-1),Raw_매출!$B$1:$BI$1,0))=0,"",INDEX(Raw_매출!$B$2:$BI$155,MATCH($A91,Raw_매출!$A$2:$A$155,0),MATCH(EDATE($E91,BL$1-1),Raw_매출!$B$1:$BI$1,0))/(INDEX(요약_월별시즈널리티!$F$7:$F$18,MONTH(EDATE($E91,BL$1-1)))/100))),"")</f>
        <v/>
      </c>
      <c r="BM91" t="str" cm="1">
        <f t="array" ref="BM91">IFERROR(IF($E91&lt;44348,"",IF(INDEX(Raw_매출!$B$2:$BI$155,MATCH($A91,Raw_매출!$A$2:$A$155,0),MATCH(EDATE($E91,BM$1-1),Raw_매출!$B$1:$BI$1,0))=0,"",INDEX(Raw_매출!$B$2:$BI$155,MATCH($A91,Raw_매출!$A$2:$A$155,0),MATCH(EDATE($E91,BM$1-1),Raw_매출!$B$1:$BI$1,0))/(INDEX(요약_월별시즈널리티!$F$7:$F$18,MONTH(EDATE($E91,BM$1-1)))/100))),"")</f>
        <v/>
      </c>
      <c r="BN91" t="str" cm="1">
        <f t="array" ref="BN91">IFERROR(IF($E91&lt;44348,"",IF(INDEX(Raw_매출!$B$2:$BI$155,MATCH($A91,Raw_매출!$A$2:$A$155,0),MATCH(EDATE($E91,BN$1-1),Raw_매출!$B$1:$BI$1,0))=0,"",INDEX(Raw_매출!$B$2:$BI$155,MATCH($A91,Raw_매출!$A$2:$A$155,0),MATCH(EDATE($E91,BN$1-1),Raw_매출!$B$1:$BI$1,0))/(INDEX(요약_월별시즈널리티!$F$7:$F$18,MONTH(EDATE($E91,BN$1-1)))/100))),"")</f>
        <v/>
      </c>
    </row>
    <row r="92" spans="1:66" x14ac:dyDescent="0.4">
      <c r="A92" t="str">
        <f>세팅!A93</f>
        <v>(1081) #등마루증미역점</v>
      </c>
      <c r="B92" t="str">
        <f>세팅!B93</f>
        <v>150-2</v>
      </c>
      <c r="C92">
        <f t="shared" si="3"/>
        <v>2</v>
      </c>
      <c r="D92" t="str">
        <f t="shared" si="4"/>
        <v>2</v>
      </c>
      <c r="E92" s="1">
        <f>세팅!D93</f>
        <v>45139</v>
      </c>
      <c r="F92">
        <f t="shared" si="5"/>
        <v>5051239.645982069</v>
      </c>
      <c r="G92" cm="1">
        <f t="array" ref="G92">IFERROR(IF($E92&lt;44348,"",IF(INDEX(Raw_매출!$B$2:$BI$155,MATCH($A92,Raw_매출!$A$2:$A$155,0),MATCH(EDATE($E92,G$1-1),Raw_매출!$B$1:$BI$1,0))=0,"",INDEX(Raw_매출!$B$2:$BI$155,MATCH($A92,Raw_매출!$A$2:$A$155,0),MATCH(EDATE($E92,G$1-1),Raw_매출!$B$1:$BI$1,0))/(INDEX(요약_월별시즈널리티!$F$7:$F$18,MONTH(EDATE($E92,G$1-1)))/100))),"")</f>
        <v>2981629.1938201115</v>
      </c>
      <c r="H92" cm="1">
        <f t="array" ref="H92">IFERROR(IF($E92&lt;44348,"",IF(INDEX(Raw_매출!$B$2:$BI$155,MATCH($A92,Raw_매출!$A$2:$A$155,0),MATCH(EDATE($E92,H$1-1),Raw_매출!$B$1:$BI$1,0))=0,"",INDEX(Raw_매출!$B$2:$BI$155,MATCH($A92,Raw_매출!$A$2:$A$155,0),MATCH(EDATE($E92,H$1-1),Raw_매출!$B$1:$BI$1,0))/(INDEX(요약_월별시즈널리티!$F$7:$F$18,MONTH(EDATE($E92,H$1-1)))/100))),"")</f>
        <v>3971112.4689747719</v>
      </c>
      <c r="I92" cm="1">
        <f t="array" ref="I92">IFERROR(IF($E92&lt;44348,"",IF(INDEX(Raw_매출!$B$2:$BI$155,MATCH($A92,Raw_매출!$A$2:$A$155,0),MATCH(EDATE($E92,I$1-1),Raw_매출!$B$1:$BI$1,0))=0,"",INDEX(Raw_매출!$B$2:$BI$155,MATCH($A92,Raw_매출!$A$2:$A$155,0),MATCH(EDATE($E92,I$1-1),Raw_매출!$B$1:$BI$1,0))/(INDEX(요약_월별시즈널리티!$F$7:$F$18,MONTH(EDATE($E92,I$1-1)))/100))),"")</f>
        <v>3964719.3289426616</v>
      </c>
      <c r="J92" s="30" cm="1">
        <f t="array" ref="J92">IFERROR(IF($E92&lt;44348,"",IF(INDEX(Raw_매출!$B$2:$BI$155,MATCH($A92,Raw_매출!$A$2:$A$155,0),MATCH(EDATE($E92,J$1-1),Raw_매출!$B$1:$BI$1,0))=0,"",INDEX(Raw_매출!$B$2:$BI$155,MATCH($A92,Raw_매출!$A$2:$A$155,0),MATCH(EDATE($E92,J$1-1),Raw_매출!$B$1:$BI$1,0))/(INDEX(요약_월별시즈널리티!$F$7:$F$18,MONTH(EDATE($E92,J$1-1)))/100))),"")</f>
        <v>4306878.9442021614</v>
      </c>
      <c r="K92" s="30" cm="1">
        <f t="array" ref="K92">IFERROR(IF($E92&lt;44348,"",IF(INDEX(Raw_매출!$B$2:$BI$155,MATCH($A92,Raw_매출!$A$2:$A$155,0),MATCH(EDATE($E92,K$1-1),Raw_매출!$B$1:$BI$1,0))=0,"",INDEX(Raw_매출!$B$2:$BI$155,MATCH($A92,Raw_매출!$A$2:$A$155,0),MATCH(EDATE($E92,K$1-1),Raw_매출!$B$1:$BI$1,0))/(INDEX(요약_월별시즈널리티!$F$7:$F$18,MONTH(EDATE($E92,K$1-1)))/100))),"")</f>
        <v>4391976.3074709075</v>
      </c>
      <c r="L92" s="30" cm="1">
        <f t="array" ref="L92">IFERROR(IF($E92&lt;44348,"",IF(INDEX(Raw_매출!$B$2:$BI$155,MATCH($A92,Raw_매출!$A$2:$A$155,0),MATCH(EDATE($E92,L$1-1),Raw_매출!$B$1:$BI$1,0))=0,"",INDEX(Raw_매출!$B$2:$BI$155,MATCH($A92,Raw_매출!$A$2:$A$155,0),MATCH(EDATE($E92,L$1-1),Raw_매출!$B$1:$BI$1,0))/(INDEX(요약_월별시즈널리티!$F$7:$F$18,MONTH(EDATE($E92,L$1-1)))/100))),"")</f>
        <v>4543903.779141794</v>
      </c>
      <c r="M92" s="30" cm="1">
        <f t="array" ref="M92">IFERROR(IF($E92&lt;44348,"",IF(INDEX(Raw_매출!$B$2:$BI$155,MATCH($A92,Raw_매출!$A$2:$A$155,0),MATCH(EDATE($E92,M$1-1),Raw_매출!$B$1:$BI$1,0))=0,"",INDEX(Raw_매출!$B$2:$BI$155,MATCH($A92,Raw_매출!$A$2:$A$155,0),MATCH(EDATE($E92,M$1-1),Raw_매출!$B$1:$BI$1,0))/(INDEX(요약_월별시즈널리티!$F$7:$F$18,MONTH(EDATE($E92,M$1-1)))/100))),"")</f>
        <v>5684786.3350882865</v>
      </c>
      <c r="N92" s="30" cm="1">
        <f t="array" ref="N92">IFERROR(IF($E92&lt;44348,"",IF(INDEX(Raw_매출!$B$2:$BI$155,MATCH($A92,Raw_매출!$A$2:$A$155,0),MATCH(EDATE($E92,N$1-1),Raw_매출!$B$1:$BI$1,0))=0,"",INDEX(Raw_매출!$B$2:$BI$155,MATCH($A92,Raw_매출!$A$2:$A$155,0),MATCH(EDATE($E92,N$1-1),Raw_매출!$B$1:$BI$1,0))/(INDEX(요약_월별시즈널리티!$F$7:$F$18,MONTH(EDATE($E92,N$1-1)))/100))),"")</f>
        <v>6199836.1288588559</v>
      </c>
      <c r="O92" s="30" cm="1">
        <f t="array" ref="O92">IFERROR(IF($E92&lt;44348,"",IF(INDEX(Raw_매출!$B$2:$BI$155,MATCH($A92,Raw_매출!$A$2:$A$155,0),MATCH(EDATE($E92,O$1-1),Raw_매출!$B$1:$BI$1,0))=0,"",INDEX(Raw_매출!$B$2:$BI$155,MATCH($A92,Raw_매출!$A$2:$A$155,0),MATCH(EDATE($E92,O$1-1),Raw_매출!$B$1:$BI$1,0))/(INDEX(요약_월별시즈널리티!$F$7:$F$18,MONTH(EDATE($E92,O$1-1)))/100))),"")</f>
        <v>5180056.3811304076</v>
      </c>
      <c r="P92" cm="1">
        <f t="array" ref="P92">IFERROR(IF($E92&lt;44348,"",IF(INDEX(Raw_매출!$B$2:$BI$155,MATCH($A92,Raw_매출!$A$2:$A$155,0),MATCH(EDATE($E92,P$1-1),Raw_매출!$B$1:$BI$1,0))=0,"",INDEX(Raw_매출!$B$2:$BI$155,MATCH($A92,Raw_매출!$A$2:$A$155,0),MATCH(EDATE($E92,P$1-1),Raw_매출!$B$1:$BI$1,0))/(INDEX(요약_월별시즈널리티!$F$7:$F$18,MONTH(EDATE($E92,P$1-1)))/100))),"")</f>
        <v>4635200.5297698872</v>
      </c>
      <c r="Q92" cm="1">
        <f t="array" ref="Q92">IFERROR(IF($E92&lt;44348,"",IF(INDEX(Raw_매출!$B$2:$BI$155,MATCH($A92,Raw_매출!$A$2:$A$155,0),MATCH(EDATE($E92,Q$1-1),Raw_매출!$B$1:$BI$1,0))=0,"",INDEX(Raw_매출!$B$2:$BI$155,MATCH($A92,Raw_매출!$A$2:$A$155,0),MATCH(EDATE($E92,Q$1-1),Raw_매출!$B$1:$BI$1,0))/(INDEX(요약_월별시즈널리티!$F$7:$F$18,MONTH(EDATE($E92,Q$1-1)))/100))),"")</f>
        <v>4876222.4377770871</v>
      </c>
      <c r="R92" cm="1">
        <f t="array" ref="R92">IFERROR(IF($E92&lt;44348,"",IF(INDEX(Raw_매출!$B$2:$BI$155,MATCH($A92,Raw_매출!$A$2:$A$155,0),MATCH(EDATE($E92,R$1-1),Raw_매출!$B$1:$BI$1,0))=0,"",INDEX(Raw_매출!$B$2:$BI$155,MATCH($A92,Raw_매출!$A$2:$A$155,0),MATCH(EDATE($E92,R$1-1),Raw_매출!$B$1:$BI$1,0))/(INDEX(요약_월별시즈널리티!$F$7:$F$18,MONTH(EDATE($E92,R$1-1)))/100))),"")</f>
        <v>4584229.9557940774</v>
      </c>
      <c r="S92" cm="1">
        <f t="array" ref="S92">IFERROR(IF($E92&lt;44348,"",IF(INDEX(Raw_매출!$B$2:$BI$155,MATCH($A92,Raw_매출!$A$2:$A$155,0),MATCH(EDATE($E92,S$1-1),Raw_매출!$B$1:$BI$1,0))=0,"",INDEX(Raw_매출!$B$2:$BI$155,MATCH($A92,Raw_매출!$A$2:$A$155,0),MATCH(EDATE($E92,S$1-1),Raw_매출!$B$1:$BI$1,0))/(INDEX(요약_월별시즈널리티!$F$7:$F$18,MONTH(EDATE($E92,S$1-1)))/100))),"")</f>
        <v>4757684.9874629686</v>
      </c>
      <c r="T92" cm="1">
        <f t="array" ref="T92">IFERROR(IF($E92&lt;44348,"",IF(INDEX(Raw_매출!$B$2:$BI$155,MATCH($A92,Raw_매출!$A$2:$A$155,0),MATCH(EDATE($E92,T$1-1),Raw_매출!$B$1:$BI$1,0))=0,"",INDEX(Raw_매출!$B$2:$BI$155,MATCH($A92,Raw_매출!$A$2:$A$155,0),MATCH(EDATE($E92,T$1-1),Raw_매출!$B$1:$BI$1,0))/(INDEX(요약_월별시즈널리티!$F$7:$F$18,MONTH(EDATE($E92,T$1-1)))/100))),"")</f>
        <v>4362768.4575220551</v>
      </c>
      <c r="U92" cm="1">
        <f t="array" ref="U92">IFERROR(IF($E92&lt;44348,"",IF(INDEX(Raw_매출!$B$2:$BI$155,MATCH($A92,Raw_매출!$A$2:$A$155,0),MATCH(EDATE($E92,U$1-1),Raw_매출!$B$1:$BI$1,0))=0,"",INDEX(Raw_매출!$B$2:$BI$155,MATCH($A92,Raw_매출!$A$2:$A$155,0),MATCH(EDATE($E92,U$1-1),Raw_매출!$B$1:$BI$1,0))/(INDEX(요약_월별시즈널리티!$F$7:$F$18,MONTH(EDATE($E92,U$1-1)))/100))),"")</f>
        <v>4525385.8349622423</v>
      </c>
      <c r="V92" cm="1">
        <f t="array" ref="V92">IFERROR(IF($E92&lt;44348,"",IF(INDEX(Raw_매출!$B$2:$BI$155,MATCH($A92,Raw_매출!$A$2:$A$155,0),MATCH(EDATE($E92,V$1-1),Raw_매출!$B$1:$BI$1,0))=0,"",INDEX(Raw_매출!$B$2:$BI$155,MATCH($A92,Raw_매출!$A$2:$A$155,0),MATCH(EDATE($E92,V$1-1),Raw_매출!$B$1:$BI$1,0))/(INDEX(요약_월별시즈널리티!$F$7:$F$18,MONTH(EDATE($E92,V$1-1)))/100))),"")</f>
        <v>4526324.22350231</v>
      </c>
      <c r="W92" cm="1">
        <f t="array" ref="W92">IFERROR(IF($E92&lt;44348,"",IF(INDEX(Raw_매출!$B$2:$BI$155,MATCH($A92,Raw_매출!$A$2:$A$155,0),MATCH(EDATE($E92,W$1-1),Raw_매출!$B$1:$BI$1,0))=0,"",INDEX(Raw_매출!$B$2:$BI$155,MATCH($A92,Raw_매출!$A$2:$A$155,0),MATCH(EDATE($E92,W$1-1),Raw_매출!$B$1:$BI$1,0))/(INDEX(요약_월별시즈널리티!$F$7:$F$18,MONTH(EDATE($E92,W$1-1)))/100))),"")</f>
        <v>4358569.3735827655</v>
      </c>
      <c r="X92" cm="1">
        <f t="array" ref="X92">IFERROR(IF($E92&lt;44348,"",IF(INDEX(Raw_매출!$B$2:$BI$155,MATCH($A92,Raw_매출!$A$2:$A$155,0),MATCH(EDATE($E92,X$1-1),Raw_매출!$B$1:$BI$1,0))=0,"",INDEX(Raw_매출!$B$2:$BI$155,MATCH($A92,Raw_매출!$A$2:$A$155,0),MATCH(EDATE($E92,X$1-1),Raw_매출!$B$1:$BI$1,0))/(INDEX(요약_월별시즈널리티!$F$7:$F$18,MONTH(EDATE($E92,X$1-1)))/100))),"")</f>
        <v>4602763.2909521228</v>
      </c>
      <c r="Y92" cm="1">
        <f t="array" ref="Y92">IFERROR(IF($E92&lt;44348,"",IF(INDEX(Raw_매출!$B$2:$BI$155,MATCH($A92,Raw_매출!$A$2:$A$155,0),MATCH(EDATE($E92,Y$1-1),Raw_매출!$B$1:$BI$1,0))=0,"",INDEX(Raw_매출!$B$2:$BI$155,MATCH($A92,Raw_매출!$A$2:$A$155,0),MATCH(EDATE($E92,Y$1-1),Raw_매출!$B$1:$BI$1,0))/(INDEX(요약_월별시즈널리티!$F$7:$F$18,MONTH(EDATE($E92,Y$1-1)))/100))),"")</f>
        <v>5314388.6178813186</v>
      </c>
      <c r="Z92" cm="1">
        <f t="array" ref="Z92">IFERROR(IF($E92&lt;44348,"",IF(INDEX(Raw_매출!$B$2:$BI$155,MATCH($A92,Raw_매출!$A$2:$A$155,0),MATCH(EDATE($E92,Z$1-1),Raw_매출!$B$1:$BI$1,0))=0,"",INDEX(Raw_매출!$B$2:$BI$155,MATCH($A92,Raw_매출!$A$2:$A$155,0),MATCH(EDATE($E92,Z$1-1),Raw_매출!$B$1:$BI$1,0))/(INDEX(요약_월별시즈널리티!$F$7:$F$18,MONTH(EDATE($E92,Z$1-1)))/100))),"")</f>
        <v>5519997.5792935081</v>
      </c>
      <c r="AA92" cm="1">
        <f t="array" ref="AA92">IFERROR(IF($E92&lt;44348,"",IF(INDEX(Raw_매출!$B$2:$BI$155,MATCH($A92,Raw_매출!$A$2:$A$155,0),MATCH(EDATE($E92,AA$1-1),Raw_매출!$B$1:$BI$1,0))=0,"",INDEX(Raw_매출!$B$2:$BI$155,MATCH($A92,Raw_매출!$A$2:$A$155,0),MATCH(EDATE($E92,AA$1-1),Raw_매출!$B$1:$BI$1,0))/(INDEX(요약_월별시즈널리티!$F$7:$F$18,MONTH(EDATE($E92,AA$1-1)))/100))),"")</f>
        <v>5396346.7272908548</v>
      </c>
      <c r="AB92" cm="1">
        <f t="array" ref="AB92">IFERROR(IF($E92&lt;44348,"",IF(INDEX(Raw_매출!$B$2:$BI$155,MATCH($A92,Raw_매출!$A$2:$A$155,0),MATCH(EDATE($E92,AB$1-1),Raw_매출!$B$1:$BI$1,0))=0,"",INDEX(Raw_매출!$B$2:$BI$155,MATCH($A92,Raw_매출!$A$2:$A$155,0),MATCH(EDATE($E92,AB$1-1),Raw_매출!$B$1:$BI$1,0))/(INDEX(요약_월별시즈널리티!$F$7:$F$18,MONTH(EDATE($E92,AB$1-1)))/100))),"")</f>
        <v>5838243.6572955688</v>
      </c>
      <c r="AC92" cm="1">
        <f t="array" ref="AC92">IFERROR(IF($E92&lt;44348,"",IF(INDEX(Raw_매출!$B$2:$BI$155,MATCH($A92,Raw_매출!$A$2:$A$155,0),MATCH(EDATE($E92,AC$1-1),Raw_매출!$B$1:$BI$1,0))=0,"",INDEX(Raw_매출!$B$2:$BI$155,MATCH($A92,Raw_매출!$A$2:$A$155,0),MATCH(EDATE($E92,AC$1-1),Raw_매출!$B$1:$BI$1,0))/(INDEX(요약_월별시즈널리티!$F$7:$F$18,MONTH(EDATE($E92,AC$1-1)))/100))),"")</f>
        <v>5258711.3173259478</v>
      </c>
      <c r="AD92" cm="1">
        <f t="array" ref="AD92">IFERROR(IF($E92&lt;44348,"",IF(INDEX(Raw_매출!$B$2:$BI$155,MATCH($A92,Raw_매출!$A$2:$A$155,0),MATCH(EDATE($E92,AD$1-1),Raw_매출!$B$1:$BI$1,0))=0,"",INDEX(Raw_매출!$B$2:$BI$155,MATCH($A92,Raw_매출!$A$2:$A$155,0),MATCH(EDATE($E92,AD$1-1),Raw_매출!$B$1:$BI$1,0))/(INDEX(요약_월별시즈널리티!$F$7:$F$18,MONTH(EDATE($E92,AD$1-1)))/100))),"")</f>
        <v>4718354.7280335939</v>
      </c>
      <c r="AE92" cm="1">
        <f t="array" ref="AE92">IFERROR(IF($E92&lt;44348,"",IF(INDEX(Raw_매출!$B$2:$BI$155,MATCH($A92,Raw_매출!$A$2:$A$155,0),MATCH(EDATE($E92,AE$1-1),Raw_매출!$B$1:$BI$1,0))=0,"",INDEX(Raw_매출!$B$2:$BI$155,MATCH($A92,Raw_매출!$A$2:$A$155,0),MATCH(EDATE($E92,AE$1-1),Raw_매출!$B$1:$BI$1,0))/(INDEX(요약_월별시즈널리티!$F$7:$F$18,MONTH(EDATE($E92,AE$1-1)))/100))),"")</f>
        <v>5035796.9916981971</v>
      </c>
      <c r="AF92" cm="1">
        <f t="array" ref="AF92">IFERROR(IF($E92&lt;44348,"",IF(INDEX(Raw_매출!$B$2:$BI$155,MATCH($A92,Raw_매출!$A$2:$A$155,0),MATCH(EDATE($E92,AF$1-1),Raw_매출!$B$1:$BI$1,0))=0,"",INDEX(Raw_매출!$B$2:$BI$155,MATCH($A92,Raw_매출!$A$2:$A$155,0),MATCH(EDATE($E92,AF$1-1),Raw_매출!$B$1:$BI$1,0))/(INDEX(요약_월별시즈널리티!$F$7:$F$18,MONTH(EDATE($E92,AF$1-1)))/100))),"")</f>
        <v>5002677.6528661773</v>
      </c>
      <c r="AG92" cm="1">
        <f t="array" ref="AG92">IFERROR(IF($E92&lt;44348,"",IF(INDEX(Raw_매출!$B$2:$BI$155,MATCH($A92,Raw_매출!$A$2:$A$155,0),MATCH(EDATE($E92,AG$1-1),Raw_매출!$B$1:$BI$1,0))=0,"",INDEX(Raw_매출!$B$2:$BI$155,MATCH($A92,Raw_매출!$A$2:$A$155,0),MATCH(EDATE($E92,AG$1-1),Raw_매출!$B$1:$BI$1,0))/(INDEX(요약_월별시즈널리티!$F$7:$F$18,MONTH(EDATE($E92,AG$1-1)))/100))),"")</f>
        <v>5337171.417308569</v>
      </c>
      <c r="AH92" cm="1">
        <f t="array" ref="AH92">IFERROR(IF($E92&lt;44348,"",IF(INDEX(Raw_매출!$B$2:$BI$155,MATCH($A92,Raw_매출!$A$2:$A$155,0),MATCH(EDATE($E92,AH$1-1),Raw_매출!$B$1:$BI$1,0))=0,"",INDEX(Raw_매출!$B$2:$BI$155,MATCH($A92,Raw_매출!$A$2:$A$155,0),MATCH(EDATE($E92,AH$1-1),Raw_매출!$B$1:$BI$1,0))/(INDEX(요약_월별시즈널리티!$F$7:$F$18,MONTH(EDATE($E92,AH$1-1)))/100))),"")</f>
        <v>5413643.0989357177</v>
      </c>
      <c r="AI92" cm="1">
        <f t="array" ref="AI92">IFERROR(IF($E92&lt;44348,"",IF(INDEX(Raw_매출!$B$2:$BI$155,MATCH($A92,Raw_매출!$A$2:$A$155,0),MATCH(EDATE($E92,AI$1-1),Raw_매출!$B$1:$BI$1,0))=0,"",INDEX(Raw_매출!$B$2:$BI$155,MATCH($A92,Raw_매출!$A$2:$A$155,0),MATCH(EDATE($E92,AI$1-1),Raw_매출!$B$1:$BI$1,0))/(INDEX(요약_월별시즈널리티!$F$7:$F$18,MONTH(EDATE($E92,AI$1-1)))/100))),"")</f>
        <v>5263769.538171784</v>
      </c>
      <c r="AJ92" cm="1">
        <f t="array" ref="AJ92">IFERROR(IF($E92&lt;44348,"",IF(INDEX(Raw_매출!$B$2:$BI$155,MATCH($A92,Raw_매출!$A$2:$A$155,0),MATCH(EDATE($E92,AJ$1-1),Raw_매출!$B$1:$BI$1,0))=0,"",INDEX(Raw_매출!$B$2:$BI$155,MATCH($A92,Raw_매출!$A$2:$A$155,0),MATCH(EDATE($E92,AJ$1-1),Raw_매출!$B$1:$BI$1,0))/(INDEX(요약_월별시즈널리티!$F$7:$F$18,MONTH(EDATE($E92,AJ$1-1)))/100))),"")</f>
        <v>5933671.546711131</v>
      </c>
      <c r="AK92" cm="1">
        <f t="array" ref="AK92">IFERROR(IF($E92&lt;44348,"",IF(INDEX(Raw_매출!$B$2:$BI$155,MATCH($A92,Raw_매출!$A$2:$A$155,0),MATCH(EDATE($E92,AK$1-1),Raw_매출!$B$1:$BI$1,0))=0,"",INDEX(Raw_매출!$B$2:$BI$155,MATCH($A92,Raw_매출!$A$2:$A$155,0),MATCH(EDATE($E92,AK$1-1),Raw_매출!$B$1:$BI$1,0))/(INDEX(요약_월별시즈널리티!$F$7:$F$18,MONTH(EDATE($E92,AK$1-1)))/100))),"")</f>
        <v>6233964.4238709044</v>
      </c>
      <c r="AL92" cm="1">
        <f t="array" ref="AL92">IFERROR(IF($E92&lt;44348,"",IF(INDEX(Raw_매출!$B$2:$BI$155,MATCH($A92,Raw_매출!$A$2:$A$155,0),MATCH(EDATE($E92,AL$1-1),Raw_매출!$B$1:$BI$1,0))=0,"",INDEX(Raw_매출!$B$2:$BI$155,MATCH($A92,Raw_매출!$A$2:$A$155,0),MATCH(EDATE($E92,AL$1-1),Raw_매출!$B$1:$BI$1,0))/(INDEX(요약_월별시즈널리티!$F$7:$F$18,MONTH(EDATE($E92,AL$1-1)))/100))),"")</f>
        <v>6593088.8875900386</v>
      </c>
      <c r="AM92" cm="1">
        <f t="array" ref="AM92">IFERROR(IF($E92&lt;44348,"",IF(INDEX(Raw_매출!$B$2:$BI$155,MATCH($A92,Raw_매출!$A$2:$A$155,0),MATCH(EDATE($E92,AM$1-1),Raw_매출!$B$1:$BI$1,0))=0,"",INDEX(Raw_매출!$B$2:$BI$155,MATCH($A92,Raw_매출!$A$2:$A$155,0),MATCH(EDATE($E92,AM$1-1),Raw_매출!$B$1:$BI$1,0))/(INDEX(요약_월별시즈널리티!$F$7:$F$18,MONTH(EDATE($E92,AM$1-1)))/100))),"")</f>
        <v>6209860.3979970543</v>
      </c>
      <c r="AN92" cm="1">
        <f t="array" ref="AN92">IFERROR(IF($E92&lt;44348,"",IF(INDEX(Raw_매출!$B$2:$BI$155,MATCH($A92,Raw_매출!$A$2:$A$155,0),MATCH(EDATE($E92,AN$1-1),Raw_매출!$B$1:$BI$1,0))=0,"",INDEX(Raw_매출!$B$2:$BI$155,MATCH($A92,Raw_매출!$A$2:$A$155,0),MATCH(EDATE($E92,AN$1-1),Raw_매출!$B$1:$BI$1,0))/(INDEX(요약_월별시즈널리티!$F$7:$F$18,MONTH(EDATE($E92,AN$1-1)))/100))),"")</f>
        <v>6396691.9474626249</v>
      </c>
      <c r="AO92" t="str" cm="1">
        <f t="array" ref="AO92">IFERROR(IF($E92&lt;44348,"",IF(INDEX(Raw_매출!$B$2:$BI$155,MATCH($A92,Raw_매출!$A$2:$A$155,0),MATCH(EDATE($E92,AO$1-1),Raw_매출!$B$1:$BI$1,0))=0,"",INDEX(Raw_매출!$B$2:$BI$155,MATCH($A92,Raw_매출!$A$2:$A$155,0),MATCH(EDATE($E92,AO$1-1),Raw_매출!$B$1:$BI$1,0))/(INDEX(요약_월별시즈널리티!$F$7:$F$18,MONTH(EDATE($E92,AO$1-1)))/100))),"")</f>
        <v/>
      </c>
      <c r="AP92" t="str" cm="1">
        <f t="array" ref="AP92">IFERROR(IF($E92&lt;44348,"",IF(INDEX(Raw_매출!$B$2:$BI$155,MATCH($A92,Raw_매출!$A$2:$A$155,0),MATCH(EDATE($E92,AP$1-1),Raw_매출!$B$1:$BI$1,0))=0,"",INDEX(Raw_매출!$B$2:$BI$155,MATCH($A92,Raw_매출!$A$2:$A$155,0),MATCH(EDATE($E92,AP$1-1),Raw_매출!$B$1:$BI$1,0))/(INDEX(요약_월별시즈널리티!$F$7:$F$18,MONTH(EDATE($E92,AP$1-1)))/100))),"")</f>
        <v/>
      </c>
      <c r="AQ92" t="str" cm="1">
        <f t="array" ref="AQ92">IFERROR(IF($E92&lt;44348,"",IF(INDEX(Raw_매출!$B$2:$BI$155,MATCH($A92,Raw_매출!$A$2:$A$155,0),MATCH(EDATE($E92,AQ$1-1),Raw_매출!$B$1:$BI$1,0))=0,"",INDEX(Raw_매출!$B$2:$BI$155,MATCH($A92,Raw_매출!$A$2:$A$155,0),MATCH(EDATE($E92,AQ$1-1),Raw_매출!$B$1:$BI$1,0))/(INDEX(요약_월별시즈널리티!$F$7:$F$18,MONTH(EDATE($E92,AQ$1-1)))/100))),"")</f>
        <v/>
      </c>
      <c r="AR92" t="str" cm="1">
        <f t="array" ref="AR92">IFERROR(IF($E92&lt;44348,"",IF(INDEX(Raw_매출!$B$2:$BI$155,MATCH($A92,Raw_매출!$A$2:$A$155,0),MATCH(EDATE($E92,AR$1-1),Raw_매출!$B$1:$BI$1,0))=0,"",INDEX(Raw_매출!$B$2:$BI$155,MATCH($A92,Raw_매출!$A$2:$A$155,0),MATCH(EDATE($E92,AR$1-1),Raw_매출!$B$1:$BI$1,0))/(INDEX(요약_월별시즈널리티!$F$7:$F$18,MONTH(EDATE($E92,AR$1-1)))/100))),"")</f>
        <v/>
      </c>
      <c r="AS92" t="str" cm="1">
        <f t="array" ref="AS92">IFERROR(IF($E92&lt;44348,"",IF(INDEX(Raw_매출!$B$2:$BI$155,MATCH($A92,Raw_매출!$A$2:$A$155,0),MATCH(EDATE($E92,AS$1-1),Raw_매출!$B$1:$BI$1,0))=0,"",INDEX(Raw_매출!$B$2:$BI$155,MATCH($A92,Raw_매출!$A$2:$A$155,0),MATCH(EDATE($E92,AS$1-1),Raw_매출!$B$1:$BI$1,0))/(INDEX(요약_월별시즈널리티!$F$7:$F$18,MONTH(EDATE($E92,AS$1-1)))/100))),"")</f>
        <v/>
      </c>
      <c r="AT92" t="str" cm="1">
        <f t="array" ref="AT92">IFERROR(IF($E92&lt;44348,"",IF(INDEX(Raw_매출!$B$2:$BI$155,MATCH($A92,Raw_매출!$A$2:$A$155,0),MATCH(EDATE($E92,AT$1-1),Raw_매출!$B$1:$BI$1,0))=0,"",INDEX(Raw_매출!$B$2:$BI$155,MATCH($A92,Raw_매출!$A$2:$A$155,0),MATCH(EDATE($E92,AT$1-1),Raw_매출!$B$1:$BI$1,0))/(INDEX(요약_월별시즈널리티!$F$7:$F$18,MONTH(EDATE($E92,AT$1-1)))/100))),"")</f>
        <v/>
      </c>
      <c r="AU92" t="str" cm="1">
        <f t="array" ref="AU92">IFERROR(IF($E92&lt;44348,"",IF(INDEX(Raw_매출!$B$2:$BI$155,MATCH($A92,Raw_매출!$A$2:$A$155,0),MATCH(EDATE($E92,AU$1-1),Raw_매출!$B$1:$BI$1,0))=0,"",INDEX(Raw_매출!$B$2:$BI$155,MATCH($A92,Raw_매출!$A$2:$A$155,0),MATCH(EDATE($E92,AU$1-1),Raw_매출!$B$1:$BI$1,0))/(INDEX(요약_월별시즈널리티!$F$7:$F$18,MONTH(EDATE($E92,AU$1-1)))/100))),"")</f>
        <v/>
      </c>
      <c r="AV92" t="str" cm="1">
        <f t="array" ref="AV92">IFERROR(IF($E92&lt;44348,"",IF(INDEX(Raw_매출!$B$2:$BI$155,MATCH($A92,Raw_매출!$A$2:$A$155,0),MATCH(EDATE($E92,AV$1-1),Raw_매출!$B$1:$BI$1,0))=0,"",INDEX(Raw_매출!$B$2:$BI$155,MATCH($A92,Raw_매출!$A$2:$A$155,0),MATCH(EDATE($E92,AV$1-1),Raw_매출!$B$1:$BI$1,0))/(INDEX(요약_월별시즈널리티!$F$7:$F$18,MONTH(EDATE($E92,AV$1-1)))/100))),"")</f>
        <v/>
      </c>
      <c r="AW92" t="str" cm="1">
        <f t="array" ref="AW92">IFERROR(IF($E92&lt;44348,"",IF(INDEX(Raw_매출!$B$2:$BI$155,MATCH($A92,Raw_매출!$A$2:$A$155,0),MATCH(EDATE($E92,AW$1-1),Raw_매출!$B$1:$BI$1,0))=0,"",INDEX(Raw_매출!$B$2:$BI$155,MATCH($A92,Raw_매출!$A$2:$A$155,0),MATCH(EDATE($E92,AW$1-1),Raw_매출!$B$1:$BI$1,0))/(INDEX(요약_월별시즈널리티!$F$7:$F$18,MONTH(EDATE($E92,AW$1-1)))/100))),"")</f>
        <v/>
      </c>
      <c r="AX92" t="str" cm="1">
        <f t="array" ref="AX92">IFERROR(IF($E92&lt;44348,"",IF(INDEX(Raw_매출!$B$2:$BI$155,MATCH($A92,Raw_매출!$A$2:$A$155,0),MATCH(EDATE($E92,AX$1-1),Raw_매출!$B$1:$BI$1,0))=0,"",INDEX(Raw_매출!$B$2:$BI$155,MATCH($A92,Raw_매출!$A$2:$A$155,0),MATCH(EDATE($E92,AX$1-1),Raw_매출!$B$1:$BI$1,0))/(INDEX(요약_월별시즈널리티!$F$7:$F$18,MONTH(EDATE($E92,AX$1-1)))/100))),"")</f>
        <v/>
      </c>
      <c r="AY92" t="str" cm="1">
        <f t="array" ref="AY92">IFERROR(IF($E92&lt;44348,"",IF(INDEX(Raw_매출!$B$2:$BI$155,MATCH($A92,Raw_매출!$A$2:$A$155,0),MATCH(EDATE($E92,AY$1-1),Raw_매출!$B$1:$BI$1,0))=0,"",INDEX(Raw_매출!$B$2:$BI$155,MATCH($A92,Raw_매출!$A$2:$A$155,0),MATCH(EDATE($E92,AY$1-1),Raw_매출!$B$1:$BI$1,0))/(INDEX(요약_월별시즈널리티!$F$7:$F$18,MONTH(EDATE($E92,AY$1-1)))/100))),"")</f>
        <v/>
      </c>
      <c r="AZ92" t="str" cm="1">
        <f t="array" ref="AZ92">IFERROR(IF($E92&lt;44348,"",IF(INDEX(Raw_매출!$B$2:$BI$155,MATCH($A92,Raw_매출!$A$2:$A$155,0),MATCH(EDATE($E92,AZ$1-1),Raw_매출!$B$1:$BI$1,0))=0,"",INDEX(Raw_매출!$B$2:$BI$155,MATCH($A92,Raw_매출!$A$2:$A$155,0),MATCH(EDATE($E92,AZ$1-1),Raw_매출!$B$1:$BI$1,0))/(INDEX(요약_월별시즈널리티!$F$7:$F$18,MONTH(EDATE($E92,AZ$1-1)))/100))),"")</f>
        <v/>
      </c>
      <c r="BA92" t="str" cm="1">
        <f t="array" ref="BA92">IFERROR(IF($E92&lt;44348,"",IF(INDEX(Raw_매출!$B$2:$BI$155,MATCH($A92,Raw_매출!$A$2:$A$155,0),MATCH(EDATE($E92,BA$1-1),Raw_매출!$B$1:$BI$1,0))=0,"",INDEX(Raw_매출!$B$2:$BI$155,MATCH($A92,Raw_매출!$A$2:$A$155,0),MATCH(EDATE($E92,BA$1-1),Raw_매출!$B$1:$BI$1,0))/(INDEX(요약_월별시즈널리티!$F$7:$F$18,MONTH(EDATE($E92,BA$1-1)))/100))),"")</f>
        <v/>
      </c>
      <c r="BB92" t="str" cm="1">
        <f t="array" ref="BB92">IFERROR(IF($E92&lt;44348,"",IF(INDEX(Raw_매출!$B$2:$BI$155,MATCH($A92,Raw_매출!$A$2:$A$155,0),MATCH(EDATE($E92,BB$1-1),Raw_매출!$B$1:$BI$1,0))=0,"",INDEX(Raw_매출!$B$2:$BI$155,MATCH($A92,Raw_매출!$A$2:$A$155,0),MATCH(EDATE($E92,BB$1-1),Raw_매출!$B$1:$BI$1,0))/(INDEX(요약_월별시즈널리티!$F$7:$F$18,MONTH(EDATE($E92,BB$1-1)))/100))),"")</f>
        <v/>
      </c>
      <c r="BC92" t="str" cm="1">
        <f t="array" ref="BC92">IFERROR(IF($E92&lt;44348,"",IF(INDEX(Raw_매출!$B$2:$BI$155,MATCH($A92,Raw_매출!$A$2:$A$155,0),MATCH(EDATE($E92,BC$1-1),Raw_매출!$B$1:$BI$1,0))=0,"",INDEX(Raw_매출!$B$2:$BI$155,MATCH($A92,Raw_매출!$A$2:$A$155,0),MATCH(EDATE($E92,BC$1-1),Raw_매출!$B$1:$BI$1,0))/(INDEX(요약_월별시즈널리티!$F$7:$F$18,MONTH(EDATE($E92,BC$1-1)))/100))),"")</f>
        <v/>
      </c>
      <c r="BD92" t="str" cm="1">
        <f t="array" ref="BD92">IFERROR(IF($E92&lt;44348,"",IF(INDEX(Raw_매출!$B$2:$BI$155,MATCH($A92,Raw_매출!$A$2:$A$155,0),MATCH(EDATE($E92,BD$1-1),Raw_매출!$B$1:$BI$1,0))=0,"",INDEX(Raw_매출!$B$2:$BI$155,MATCH($A92,Raw_매출!$A$2:$A$155,0),MATCH(EDATE($E92,BD$1-1),Raw_매출!$B$1:$BI$1,0))/(INDEX(요약_월별시즈널리티!$F$7:$F$18,MONTH(EDATE($E92,BD$1-1)))/100))),"")</f>
        <v/>
      </c>
      <c r="BE92" t="str" cm="1">
        <f t="array" ref="BE92">IFERROR(IF($E92&lt;44348,"",IF(INDEX(Raw_매출!$B$2:$BI$155,MATCH($A92,Raw_매출!$A$2:$A$155,0),MATCH(EDATE($E92,BE$1-1),Raw_매출!$B$1:$BI$1,0))=0,"",INDEX(Raw_매출!$B$2:$BI$155,MATCH($A92,Raw_매출!$A$2:$A$155,0),MATCH(EDATE($E92,BE$1-1),Raw_매출!$B$1:$BI$1,0))/(INDEX(요약_월별시즈널리티!$F$7:$F$18,MONTH(EDATE($E92,BE$1-1)))/100))),"")</f>
        <v/>
      </c>
      <c r="BF92" t="str" cm="1">
        <f t="array" ref="BF92">IFERROR(IF($E92&lt;44348,"",IF(INDEX(Raw_매출!$B$2:$BI$155,MATCH($A92,Raw_매출!$A$2:$A$155,0),MATCH(EDATE($E92,BF$1-1),Raw_매출!$B$1:$BI$1,0))=0,"",INDEX(Raw_매출!$B$2:$BI$155,MATCH($A92,Raw_매출!$A$2:$A$155,0),MATCH(EDATE($E92,BF$1-1),Raw_매출!$B$1:$BI$1,0))/(INDEX(요약_월별시즈널리티!$F$7:$F$18,MONTH(EDATE($E92,BF$1-1)))/100))),"")</f>
        <v/>
      </c>
      <c r="BG92" t="str" cm="1">
        <f t="array" ref="BG92">IFERROR(IF($E92&lt;44348,"",IF(INDEX(Raw_매출!$B$2:$BI$155,MATCH($A92,Raw_매출!$A$2:$A$155,0),MATCH(EDATE($E92,BG$1-1),Raw_매출!$B$1:$BI$1,0))=0,"",INDEX(Raw_매출!$B$2:$BI$155,MATCH($A92,Raw_매출!$A$2:$A$155,0),MATCH(EDATE($E92,BG$1-1),Raw_매출!$B$1:$BI$1,0))/(INDEX(요약_월별시즈널리티!$F$7:$F$18,MONTH(EDATE($E92,BG$1-1)))/100))),"")</f>
        <v/>
      </c>
      <c r="BH92" t="str" cm="1">
        <f t="array" ref="BH92">IFERROR(IF($E92&lt;44348,"",IF(INDEX(Raw_매출!$B$2:$BI$155,MATCH($A92,Raw_매출!$A$2:$A$155,0),MATCH(EDATE($E92,BH$1-1),Raw_매출!$B$1:$BI$1,0))=0,"",INDEX(Raw_매출!$B$2:$BI$155,MATCH($A92,Raw_매출!$A$2:$A$155,0),MATCH(EDATE($E92,BH$1-1),Raw_매출!$B$1:$BI$1,0))/(INDEX(요약_월별시즈널리티!$F$7:$F$18,MONTH(EDATE($E92,BH$1-1)))/100))),"")</f>
        <v/>
      </c>
      <c r="BI92" t="str" cm="1">
        <f t="array" ref="BI92">IFERROR(IF($E92&lt;44348,"",IF(INDEX(Raw_매출!$B$2:$BI$155,MATCH($A92,Raw_매출!$A$2:$A$155,0),MATCH(EDATE($E92,BI$1-1),Raw_매출!$B$1:$BI$1,0))=0,"",INDEX(Raw_매출!$B$2:$BI$155,MATCH($A92,Raw_매출!$A$2:$A$155,0),MATCH(EDATE($E92,BI$1-1),Raw_매출!$B$1:$BI$1,0))/(INDEX(요약_월별시즈널리티!$F$7:$F$18,MONTH(EDATE($E92,BI$1-1)))/100))),"")</f>
        <v/>
      </c>
      <c r="BJ92" t="str" cm="1">
        <f t="array" ref="BJ92">IFERROR(IF($E92&lt;44348,"",IF(INDEX(Raw_매출!$B$2:$BI$155,MATCH($A92,Raw_매출!$A$2:$A$155,0),MATCH(EDATE($E92,BJ$1-1),Raw_매출!$B$1:$BI$1,0))=0,"",INDEX(Raw_매출!$B$2:$BI$155,MATCH($A92,Raw_매출!$A$2:$A$155,0),MATCH(EDATE($E92,BJ$1-1),Raw_매출!$B$1:$BI$1,0))/(INDEX(요약_월별시즈널리티!$F$7:$F$18,MONTH(EDATE($E92,BJ$1-1)))/100))),"")</f>
        <v/>
      </c>
      <c r="BK92" t="str" cm="1">
        <f t="array" ref="BK92">IFERROR(IF($E92&lt;44348,"",IF(INDEX(Raw_매출!$B$2:$BI$155,MATCH($A92,Raw_매출!$A$2:$A$155,0),MATCH(EDATE($E92,BK$1-1),Raw_매출!$B$1:$BI$1,0))=0,"",INDEX(Raw_매출!$B$2:$BI$155,MATCH($A92,Raw_매출!$A$2:$A$155,0),MATCH(EDATE($E92,BK$1-1),Raw_매출!$B$1:$BI$1,0))/(INDEX(요약_월별시즈널리티!$F$7:$F$18,MONTH(EDATE($E92,BK$1-1)))/100))),"")</f>
        <v/>
      </c>
      <c r="BL92" t="str" cm="1">
        <f t="array" ref="BL92">IFERROR(IF($E92&lt;44348,"",IF(INDEX(Raw_매출!$B$2:$BI$155,MATCH($A92,Raw_매출!$A$2:$A$155,0),MATCH(EDATE($E92,BL$1-1),Raw_매출!$B$1:$BI$1,0))=0,"",INDEX(Raw_매출!$B$2:$BI$155,MATCH($A92,Raw_매출!$A$2:$A$155,0),MATCH(EDATE($E92,BL$1-1),Raw_매출!$B$1:$BI$1,0))/(INDEX(요약_월별시즈널리티!$F$7:$F$18,MONTH(EDATE($E92,BL$1-1)))/100))),"")</f>
        <v/>
      </c>
      <c r="BM92" t="str" cm="1">
        <f t="array" ref="BM92">IFERROR(IF($E92&lt;44348,"",IF(INDEX(Raw_매출!$B$2:$BI$155,MATCH($A92,Raw_매출!$A$2:$A$155,0),MATCH(EDATE($E92,BM$1-1),Raw_매출!$B$1:$BI$1,0))=0,"",INDEX(Raw_매출!$B$2:$BI$155,MATCH($A92,Raw_매출!$A$2:$A$155,0),MATCH(EDATE($E92,BM$1-1),Raw_매출!$B$1:$BI$1,0))/(INDEX(요약_월별시즈널리티!$F$7:$F$18,MONTH(EDATE($E92,BM$1-1)))/100))),"")</f>
        <v/>
      </c>
      <c r="BN92" t="str" cm="1">
        <f t="array" ref="BN92">IFERROR(IF($E92&lt;44348,"",IF(INDEX(Raw_매출!$B$2:$BI$155,MATCH($A92,Raw_매출!$A$2:$A$155,0),MATCH(EDATE($E92,BN$1-1),Raw_매출!$B$1:$BI$1,0))=0,"",INDEX(Raw_매출!$B$2:$BI$155,MATCH($A92,Raw_매출!$A$2:$A$155,0),MATCH(EDATE($E92,BN$1-1),Raw_매출!$B$1:$BI$1,0))/(INDEX(요약_월별시즈널리티!$F$7:$F$18,MONTH(EDATE($E92,BN$1-1)))/100))),"")</f>
        <v/>
      </c>
    </row>
    <row r="93" spans="1:66" x14ac:dyDescent="0.4">
      <c r="A93" t="str">
        <f>세팅!A94</f>
        <v>(1082) #천천푸르지오서문점</v>
      </c>
      <c r="B93" t="str">
        <f>세팅!B94</f>
        <v>150-0</v>
      </c>
      <c r="C93">
        <f t="shared" si="3"/>
        <v>0</v>
      </c>
      <c r="D93" t="str">
        <f t="shared" si="4"/>
        <v>0</v>
      </c>
      <c r="E93" s="1">
        <f>세팅!D94</f>
        <v>45139</v>
      </c>
      <c r="F93">
        <f t="shared" si="5"/>
        <v>4390903.9323879359</v>
      </c>
      <c r="G93" cm="1">
        <f t="array" ref="G93">IFERROR(IF($E93&lt;44348,"",IF(INDEX(Raw_매출!$B$2:$BI$155,MATCH($A93,Raw_매출!$A$2:$A$155,0),MATCH(EDATE($E93,G$1-1),Raw_매출!$B$1:$BI$1,0))=0,"",INDEX(Raw_매출!$B$2:$BI$155,MATCH($A93,Raw_매출!$A$2:$A$155,0),MATCH(EDATE($E93,G$1-1),Raw_매출!$B$1:$BI$1,0))/(INDEX(요약_월별시즈널리티!$F$7:$F$18,MONTH(EDATE($E93,G$1-1)))/100))),"")</f>
        <v>2491640.5284302016</v>
      </c>
      <c r="H93" cm="1">
        <f t="array" ref="H93">IFERROR(IF($E93&lt;44348,"",IF(INDEX(Raw_매출!$B$2:$BI$155,MATCH($A93,Raw_매출!$A$2:$A$155,0),MATCH(EDATE($E93,H$1-1),Raw_매출!$B$1:$BI$1,0))=0,"",INDEX(Raw_매출!$B$2:$BI$155,MATCH($A93,Raw_매출!$A$2:$A$155,0),MATCH(EDATE($E93,H$1-1),Raw_매출!$B$1:$BI$1,0))/(INDEX(요약_월별시즈널리티!$F$7:$F$18,MONTH(EDATE($E93,H$1-1)))/100))),"")</f>
        <v>2531671.3412802885</v>
      </c>
      <c r="I93" cm="1">
        <f t="array" ref="I93">IFERROR(IF($E93&lt;44348,"",IF(INDEX(Raw_매출!$B$2:$BI$155,MATCH($A93,Raw_매출!$A$2:$A$155,0),MATCH(EDATE($E93,I$1-1),Raw_매출!$B$1:$BI$1,0))=0,"",INDEX(Raw_매출!$B$2:$BI$155,MATCH($A93,Raw_매출!$A$2:$A$155,0),MATCH(EDATE($E93,I$1-1),Raw_매출!$B$1:$BI$1,0))/(INDEX(요약_월별시즈널리티!$F$7:$F$18,MONTH(EDATE($E93,I$1-1)))/100))),"")</f>
        <v>3270049.9811047921</v>
      </c>
      <c r="J93" s="30" cm="1">
        <f t="array" ref="J93">IFERROR(IF($E93&lt;44348,"",IF(INDEX(Raw_매출!$B$2:$BI$155,MATCH($A93,Raw_매출!$A$2:$A$155,0),MATCH(EDATE($E93,J$1-1),Raw_매출!$B$1:$BI$1,0))=0,"",INDEX(Raw_매출!$B$2:$BI$155,MATCH($A93,Raw_매출!$A$2:$A$155,0),MATCH(EDATE($E93,J$1-1),Raw_매출!$B$1:$BI$1,0))/(INDEX(요약_월별시즈널리티!$F$7:$F$18,MONTH(EDATE($E93,J$1-1)))/100))),"")</f>
        <v>3538479.4893935691</v>
      </c>
      <c r="K93" s="30" cm="1">
        <f t="array" ref="K93">IFERROR(IF($E93&lt;44348,"",IF(INDEX(Raw_매출!$B$2:$BI$155,MATCH($A93,Raw_매출!$A$2:$A$155,0),MATCH(EDATE($E93,K$1-1),Raw_매출!$B$1:$BI$1,0))=0,"",INDEX(Raw_매출!$B$2:$BI$155,MATCH($A93,Raw_매출!$A$2:$A$155,0),MATCH(EDATE($E93,K$1-1),Raw_매출!$B$1:$BI$1,0))/(INDEX(요약_월별시즈널리티!$F$7:$F$18,MONTH(EDATE($E93,K$1-1)))/100))),"")</f>
        <v>3896669.1570279705</v>
      </c>
      <c r="L93" s="30" cm="1">
        <f t="array" ref="L93">IFERROR(IF($E93&lt;44348,"",IF(INDEX(Raw_매출!$B$2:$BI$155,MATCH($A93,Raw_매출!$A$2:$A$155,0),MATCH(EDATE($E93,L$1-1),Raw_매출!$B$1:$BI$1,0))=0,"",INDEX(Raw_매출!$B$2:$BI$155,MATCH($A93,Raw_매출!$A$2:$A$155,0),MATCH(EDATE($E93,L$1-1),Raw_매출!$B$1:$BI$1,0))/(INDEX(요약_월별시즈널리티!$F$7:$F$18,MONTH(EDATE($E93,L$1-1)))/100))),"")</f>
        <v>4167073.2764113522</v>
      </c>
      <c r="M93" s="30" cm="1">
        <f t="array" ref="M93">IFERROR(IF($E93&lt;44348,"",IF(INDEX(Raw_매출!$B$2:$BI$155,MATCH($A93,Raw_매출!$A$2:$A$155,0),MATCH(EDATE($E93,M$1-1),Raw_매출!$B$1:$BI$1,0))=0,"",INDEX(Raw_매출!$B$2:$BI$155,MATCH($A93,Raw_매출!$A$2:$A$155,0),MATCH(EDATE($E93,M$1-1),Raw_매출!$B$1:$BI$1,0))/(INDEX(요약_월별시즈널리티!$F$7:$F$18,MONTH(EDATE($E93,M$1-1)))/100))),"")</f>
        <v>4776410.2550770277</v>
      </c>
      <c r="N93" s="30" cm="1">
        <f t="array" ref="N93">IFERROR(IF($E93&lt;44348,"",IF(INDEX(Raw_매출!$B$2:$BI$155,MATCH($A93,Raw_매출!$A$2:$A$155,0),MATCH(EDATE($E93,N$1-1),Raw_매출!$B$1:$BI$1,0))=0,"",INDEX(Raw_매출!$B$2:$BI$155,MATCH($A93,Raw_매출!$A$2:$A$155,0),MATCH(EDATE($E93,N$1-1),Raw_매출!$B$1:$BI$1,0))/(INDEX(요약_월별시즈널리티!$F$7:$F$18,MONTH(EDATE($E93,N$1-1)))/100))),"")</f>
        <v>4735066.5959448181</v>
      </c>
      <c r="O93" s="30" cm="1">
        <f t="array" ref="O93">IFERROR(IF($E93&lt;44348,"",IF(INDEX(Raw_매출!$B$2:$BI$155,MATCH($A93,Raw_매출!$A$2:$A$155,0),MATCH(EDATE($E93,O$1-1),Raw_매출!$B$1:$BI$1,0))=0,"",INDEX(Raw_매출!$B$2:$BI$155,MATCH($A93,Raw_매출!$A$2:$A$155,0),MATCH(EDATE($E93,O$1-1),Raw_매출!$B$1:$BI$1,0))/(INDEX(요약_월별시즈널리티!$F$7:$F$18,MONTH(EDATE($E93,O$1-1)))/100))),"")</f>
        <v>5231724.8204728756</v>
      </c>
      <c r="P93" cm="1">
        <f t="array" ref="P93">IFERROR(IF($E93&lt;44348,"",IF(INDEX(Raw_매출!$B$2:$BI$155,MATCH($A93,Raw_매출!$A$2:$A$155,0),MATCH(EDATE($E93,P$1-1),Raw_매출!$B$1:$BI$1,0))=0,"",INDEX(Raw_매출!$B$2:$BI$155,MATCH($A93,Raw_매출!$A$2:$A$155,0),MATCH(EDATE($E93,P$1-1),Raw_매출!$B$1:$BI$1,0))/(INDEX(요약_월별시즈널리티!$F$7:$F$18,MONTH(EDATE($E93,P$1-1)))/100))),"")</f>
        <v>4939470.4761135839</v>
      </c>
      <c r="Q93" cm="1">
        <f t="array" ref="Q93">IFERROR(IF($E93&lt;44348,"",IF(INDEX(Raw_매출!$B$2:$BI$155,MATCH($A93,Raw_매출!$A$2:$A$155,0),MATCH(EDATE($E93,Q$1-1),Raw_매출!$B$1:$BI$1,0))=0,"",INDEX(Raw_매출!$B$2:$BI$155,MATCH($A93,Raw_매출!$A$2:$A$155,0),MATCH(EDATE($E93,Q$1-1),Raw_매출!$B$1:$BI$1,0))/(INDEX(요약_월별시즈널리티!$F$7:$F$18,MONTH(EDATE($E93,Q$1-1)))/100))),"")</f>
        <v>5201582.1851920793</v>
      </c>
      <c r="R93" cm="1">
        <f t="array" ref="R93">IFERROR(IF($E93&lt;44348,"",IF(INDEX(Raw_매출!$B$2:$BI$155,MATCH($A93,Raw_매출!$A$2:$A$155,0),MATCH(EDATE($E93,R$1-1),Raw_매출!$B$1:$BI$1,0))=0,"",INDEX(Raw_매출!$B$2:$BI$155,MATCH($A93,Raw_매출!$A$2:$A$155,0),MATCH(EDATE($E93,R$1-1),Raw_매출!$B$1:$BI$1,0))/(INDEX(요약_월별시즈널리티!$F$7:$F$18,MONTH(EDATE($E93,R$1-1)))/100))),"")</f>
        <v>5001430.6006120369</v>
      </c>
      <c r="S93" cm="1">
        <f t="array" ref="S93">IFERROR(IF($E93&lt;44348,"",IF(INDEX(Raw_매출!$B$2:$BI$155,MATCH($A93,Raw_매출!$A$2:$A$155,0),MATCH(EDATE($E93,S$1-1),Raw_매출!$B$1:$BI$1,0))=0,"",INDEX(Raw_매출!$B$2:$BI$155,MATCH($A93,Raw_매출!$A$2:$A$155,0),MATCH(EDATE($E93,S$1-1),Raw_매출!$B$1:$BI$1,0))/(INDEX(요약_월별시즈널리티!$F$7:$F$18,MONTH(EDATE($E93,S$1-1)))/100))),"")</f>
        <v>5101267.9677480757</v>
      </c>
      <c r="T93" cm="1">
        <f t="array" ref="T93">IFERROR(IF($E93&lt;44348,"",IF(INDEX(Raw_매출!$B$2:$BI$155,MATCH($A93,Raw_매출!$A$2:$A$155,0),MATCH(EDATE($E93,T$1-1),Raw_매출!$B$1:$BI$1,0))=0,"",INDEX(Raw_매출!$B$2:$BI$155,MATCH($A93,Raw_매출!$A$2:$A$155,0),MATCH(EDATE($E93,T$1-1),Raw_매출!$B$1:$BI$1,0))/(INDEX(요약_월별시즈널리티!$F$7:$F$18,MONTH(EDATE($E93,T$1-1)))/100))),"")</f>
        <v>4858356.0066554295</v>
      </c>
      <c r="U93" cm="1">
        <f t="array" ref="U93">IFERROR(IF($E93&lt;44348,"",IF(INDEX(Raw_매출!$B$2:$BI$155,MATCH($A93,Raw_매출!$A$2:$A$155,0),MATCH(EDATE($E93,U$1-1),Raw_매출!$B$1:$BI$1,0))=0,"",INDEX(Raw_매출!$B$2:$BI$155,MATCH($A93,Raw_매출!$A$2:$A$155,0),MATCH(EDATE($E93,U$1-1),Raw_매출!$B$1:$BI$1,0))/(INDEX(요약_월별시즈널리티!$F$7:$F$18,MONTH(EDATE($E93,U$1-1)))/100))),"")</f>
        <v>4935119.6372243222</v>
      </c>
      <c r="V93" cm="1">
        <f t="array" ref="V93">IFERROR(IF($E93&lt;44348,"",IF(INDEX(Raw_매출!$B$2:$BI$155,MATCH($A93,Raw_매출!$A$2:$A$155,0),MATCH(EDATE($E93,V$1-1),Raw_매출!$B$1:$BI$1,0))=0,"",INDEX(Raw_매출!$B$2:$BI$155,MATCH($A93,Raw_매출!$A$2:$A$155,0),MATCH(EDATE($E93,V$1-1),Raw_매출!$B$1:$BI$1,0))/(INDEX(요약_월별시즈널리티!$F$7:$F$18,MONTH(EDATE($E93,V$1-1)))/100))),"")</f>
        <v>5240801.2465697099</v>
      </c>
      <c r="W93" cm="1">
        <f t="array" ref="W93">IFERROR(IF($E93&lt;44348,"",IF(INDEX(Raw_매출!$B$2:$BI$155,MATCH($A93,Raw_매출!$A$2:$A$155,0),MATCH(EDATE($E93,W$1-1),Raw_매출!$B$1:$BI$1,0))=0,"",INDEX(Raw_매출!$B$2:$BI$155,MATCH($A93,Raw_매출!$A$2:$A$155,0),MATCH(EDATE($E93,W$1-1),Raw_매출!$B$1:$BI$1,0))/(INDEX(요약_월별시즈널리티!$F$7:$F$18,MONTH(EDATE($E93,W$1-1)))/100))),"")</f>
        <v>5320721.9732620846</v>
      </c>
      <c r="X93" cm="1">
        <f t="array" ref="X93">IFERROR(IF($E93&lt;44348,"",IF(INDEX(Raw_매출!$B$2:$BI$155,MATCH($A93,Raw_매출!$A$2:$A$155,0),MATCH(EDATE($E93,X$1-1),Raw_매출!$B$1:$BI$1,0))=0,"",INDEX(Raw_매출!$B$2:$BI$155,MATCH($A93,Raw_매출!$A$2:$A$155,0),MATCH(EDATE($E93,X$1-1),Raw_매출!$B$1:$BI$1,0))/(INDEX(요약_월별시즈널리티!$F$7:$F$18,MONTH(EDATE($E93,X$1-1)))/100))),"")</f>
        <v>6223267.3754427265</v>
      </c>
      <c r="Y93" cm="1">
        <f t="array" ref="Y93">IFERROR(IF($E93&lt;44348,"",IF(INDEX(Raw_매출!$B$2:$BI$155,MATCH($A93,Raw_매출!$A$2:$A$155,0),MATCH(EDATE($E93,Y$1-1),Raw_매출!$B$1:$BI$1,0))=0,"",INDEX(Raw_매출!$B$2:$BI$155,MATCH($A93,Raw_매출!$A$2:$A$155,0),MATCH(EDATE($E93,Y$1-1),Raw_매출!$B$1:$BI$1,0))/(INDEX(요약_월별시즈널리티!$F$7:$F$18,MONTH(EDATE($E93,Y$1-1)))/100))),"")</f>
        <v>5922507.6374481851</v>
      </c>
      <c r="Z93" cm="1">
        <f t="array" ref="Z93">IFERROR(IF($E93&lt;44348,"",IF(INDEX(Raw_매출!$B$2:$BI$155,MATCH($A93,Raw_매출!$A$2:$A$155,0),MATCH(EDATE($E93,Z$1-1),Raw_매출!$B$1:$BI$1,0))=0,"",INDEX(Raw_매출!$B$2:$BI$155,MATCH($A93,Raw_매출!$A$2:$A$155,0),MATCH(EDATE($E93,Z$1-1),Raw_매출!$B$1:$BI$1,0))/(INDEX(요약_월별시즈널리티!$F$7:$F$18,MONTH(EDATE($E93,Z$1-1)))/100))),"")</f>
        <v>6078452.9270889275</v>
      </c>
      <c r="AA93" cm="1">
        <f t="array" ref="AA93">IFERROR(IF($E93&lt;44348,"",IF(INDEX(Raw_매출!$B$2:$BI$155,MATCH($A93,Raw_매출!$A$2:$A$155,0),MATCH(EDATE($E93,AA$1-1),Raw_매출!$B$1:$BI$1,0))=0,"",INDEX(Raw_매출!$B$2:$BI$155,MATCH($A93,Raw_매출!$A$2:$A$155,0),MATCH(EDATE($E93,AA$1-1),Raw_매출!$B$1:$BI$1,0))/(INDEX(요약_월별시즈널리티!$F$7:$F$18,MONTH(EDATE($E93,AA$1-1)))/100))),"")</f>
        <v>5575725.1238047183</v>
      </c>
      <c r="AB93" cm="1">
        <f t="array" ref="AB93">IFERROR(IF($E93&lt;44348,"",IF(INDEX(Raw_매출!$B$2:$BI$155,MATCH($A93,Raw_매출!$A$2:$A$155,0),MATCH(EDATE($E93,AB$1-1),Raw_매출!$B$1:$BI$1,0))=0,"",INDEX(Raw_매출!$B$2:$BI$155,MATCH($A93,Raw_매출!$A$2:$A$155,0),MATCH(EDATE($E93,AB$1-1),Raw_매출!$B$1:$BI$1,0))/(INDEX(요약_월별시즈널리티!$F$7:$F$18,MONTH(EDATE($E93,AB$1-1)))/100))),"")</f>
        <v>6557102.7594745141</v>
      </c>
      <c r="AC93" cm="1">
        <f t="array" ref="AC93">IFERROR(IF($E93&lt;44348,"",IF(INDEX(Raw_매출!$B$2:$BI$155,MATCH($A93,Raw_매출!$A$2:$A$155,0),MATCH(EDATE($E93,AC$1-1),Raw_매출!$B$1:$BI$1,0))=0,"",INDEX(Raw_매출!$B$2:$BI$155,MATCH($A93,Raw_매출!$A$2:$A$155,0),MATCH(EDATE($E93,AC$1-1),Raw_매출!$B$1:$BI$1,0))/(INDEX(요약_월별시즈널리티!$F$7:$F$18,MONTH(EDATE($E93,AC$1-1)))/100))),"")</f>
        <v>6318947.063821258</v>
      </c>
      <c r="AD93" cm="1">
        <f t="array" ref="AD93">IFERROR(IF($E93&lt;44348,"",IF(INDEX(Raw_매출!$B$2:$BI$155,MATCH($A93,Raw_매출!$A$2:$A$155,0),MATCH(EDATE($E93,AD$1-1),Raw_매출!$B$1:$BI$1,0))=0,"",INDEX(Raw_매출!$B$2:$BI$155,MATCH($A93,Raw_매출!$A$2:$A$155,0),MATCH(EDATE($E93,AD$1-1),Raw_매출!$B$1:$BI$1,0))/(INDEX(요약_월별시즈널리티!$F$7:$F$18,MONTH(EDATE($E93,AD$1-1)))/100))),"")</f>
        <v>6213941.4689687565</v>
      </c>
      <c r="AE93" cm="1">
        <f t="array" ref="AE93">IFERROR(IF($E93&lt;44348,"",IF(INDEX(Raw_매출!$B$2:$BI$155,MATCH($A93,Raw_매출!$A$2:$A$155,0),MATCH(EDATE($E93,AE$1-1),Raw_매출!$B$1:$BI$1,0))=0,"",INDEX(Raw_매출!$B$2:$BI$155,MATCH($A93,Raw_매출!$A$2:$A$155,0),MATCH(EDATE($E93,AE$1-1),Raw_매출!$B$1:$BI$1,0))/(INDEX(요약_월별시즈널리티!$F$7:$F$18,MONTH(EDATE($E93,AE$1-1)))/100))),"")</f>
        <v>6073474.2337161079</v>
      </c>
      <c r="AF93" cm="1">
        <f t="array" ref="AF93">IFERROR(IF($E93&lt;44348,"",IF(INDEX(Raw_매출!$B$2:$BI$155,MATCH($A93,Raw_매출!$A$2:$A$155,0),MATCH(EDATE($E93,AF$1-1),Raw_매출!$B$1:$BI$1,0))=0,"",INDEX(Raw_매출!$B$2:$BI$155,MATCH($A93,Raw_매출!$A$2:$A$155,0),MATCH(EDATE($E93,AF$1-1),Raw_매출!$B$1:$BI$1,0))/(INDEX(요약_월별시즈널리티!$F$7:$F$18,MONTH(EDATE($E93,AF$1-1)))/100))),"")</f>
        <v>5586506.1531602405</v>
      </c>
      <c r="AG93" cm="1">
        <f t="array" ref="AG93">IFERROR(IF($E93&lt;44348,"",IF(INDEX(Raw_매출!$B$2:$BI$155,MATCH($A93,Raw_매출!$A$2:$A$155,0),MATCH(EDATE($E93,AG$1-1),Raw_매출!$B$1:$BI$1,0))=0,"",INDEX(Raw_매출!$B$2:$BI$155,MATCH($A93,Raw_매출!$A$2:$A$155,0),MATCH(EDATE($E93,AG$1-1),Raw_매출!$B$1:$BI$1,0))/(INDEX(요약_월별시즈널리티!$F$7:$F$18,MONTH(EDATE($E93,AG$1-1)))/100))),"")</f>
        <v>5912111.9510234483</v>
      </c>
      <c r="AH93" cm="1">
        <f t="array" ref="AH93">IFERROR(IF($E93&lt;44348,"",IF(INDEX(Raw_매출!$B$2:$BI$155,MATCH($A93,Raw_매출!$A$2:$A$155,0),MATCH(EDATE($E93,AH$1-1),Raw_매출!$B$1:$BI$1,0))=0,"",INDEX(Raw_매출!$B$2:$BI$155,MATCH($A93,Raw_매출!$A$2:$A$155,0),MATCH(EDATE($E93,AH$1-1),Raw_매출!$B$1:$BI$1,0))/(INDEX(요약_월별시즈널리티!$F$7:$F$18,MONTH(EDATE($E93,AH$1-1)))/100))),"")</f>
        <v>5861629.5860823123</v>
      </c>
      <c r="AI93" cm="1">
        <f t="array" ref="AI93">IFERROR(IF($E93&lt;44348,"",IF(INDEX(Raw_매출!$B$2:$BI$155,MATCH($A93,Raw_매출!$A$2:$A$155,0),MATCH(EDATE($E93,AI$1-1),Raw_매출!$B$1:$BI$1,0))=0,"",INDEX(Raw_매출!$B$2:$BI$155,MATCH($A93,Raw_매출!$A$2:$A$155,0),MATCH(EDATE($E93,AI$1-1),Raw_매출!$B$1:$BI$1,0))/(INDEX(요약_월별시즈널리티!$F$7:$F$18,MONTH(EDATE($E93,AI$1-1)))/100))),"")</f>
        <v>5955356.9415461533</v>
      </c>
      <c r="AJ93" cm="1">
        <f t="array" ref="AJ93">IFERROR(IF($E93&lt;44348,"",IF(INDEX(Raw_매출!$B$2:$BI$155,MATCH($A93,Raw_매출!$A$2:$A$155,0),MATCH(EDATE($E93,AJ$1-1),Raw_매출!$B$1:$BI$1,0))=0,"",INDEX(Raw_매출!$B$2:$BI$155,MATCH($A93,Raw_매출!$A$2:$A$155,0),MATCH(EDATE($E93,AJ$1-1),Raw_매출!$B$1:$BI$1,0))/(INDEX(요약_월별시즈널리티!$F$7:$F$18,MONTH(EDATE($E93,AJ$1-1)))/100))),"")</f>
        <v>7020298.5475006951</v>
      </c>
      <c r="AK93" cm="1">
        <f t="array" ref="AK93">IFERROR(IF($E93&lt;44348,"",IF(INDEX(Raw_매출!$B$2:$BI$155,MATCH($A93,Raw_매출!$A$2:$A$155,0),MATCH(EDATE($E93,AK$1-1),Raw_매출!$B$1:$BI$1,0))=0,"",INDEX(Raw_매출!$B$2:$BI$155,MATCH($A93,Raw_매출!$A$2:$A$155,0),MATCH(EDATE($E93,AK$1-1),Raw_매출!$B$1:$BI$1,0))/(INDEX(요약_월별시즈널리티!$F$7:$F$18,MONTH(EDATE($E93,AK$1-1)))/100))),"")</f>
        <v>6123829.8303785194</v>
      </c>
      <c r="AL93" cm="1">
        <f t="array" ref="AL93">IFERROR(IF($E93&lt;44348,"",IF(INDEX(Raw_매출!$B$2:$BI$155,MATCH($A93,Raw_매출!$A$2:$A$155,0),MATCH(EDATE($E93,AL$1-1),Raw_매출!$B$1:$BI$1,0))=0,"",INDEX(Raw_매출!$B$2:$BI$155,MATCH($A93,Raw_매출!$A$2:$A$155,0),MATCH(EDATE($E93,AL$1-1),Raw_매출!$B$1:$BI$1,0))/(INDEX(요약_월별시즈널리티!$F$7:$F$18,MONTH(EDATE($E93,AL$1-1)))/100))),"")</f>
        <v>6176382.7743159421</v>
      </c>
      <c r="AM93" cm="1">
        <f t="array" ref="AM93">IFERROR(IF($E93&lt;44348,"",IF(INDEX(Raw_매출!$B$2:$BI$155,MATCH($A93,Raw_매출!$A$2:$A$155,0),MATCH(EDATE($E93,AM$1-1),Raw_매출!$B$1:$BI$1,0))=0,"",INDEX(Raw_매출!$B$2:$BI$155,MATCH($A93,Raw_매출!$A$2:$A$155,0),MATCH(EDATE($E93,AM$1-1),Raw_매출!$B$1:$BI$1,0))/(INDEX(요약_월별시즈널리티!$F$7:$F$18,MONTH(EDATE($E93,AM$1-1)))/100))),"")</f>
        <v>6398036.7297298815</v>
      </c>
      <c r="AN93" cm="1">
        <f t="array" ref="AN93">IFERROR(IF($E93&lt;44348,"",IF(INDEX(Raw_매출!$B$2:$BI$155,MATCH($A93,Raw_매출!$A$2:$A$155,0),MATCH(EDATE($E93,AN$1-1),Raw_매출!$B$1:$BI$1,0))=0,"",INDEX(Raw_매출!$B$2:$BI$155,MATCH($A93,Raw_매출!$A$2:$A$155,0),MATCH(EDATE($E93,AN$1-1),Raw_매출!$B$1:$BI$1,0))/(INDEX(요약_월별시즈널리티!$F$7:$F$18,MONTH(EDATE($E93,AN$1-1)))/100))),"")</f>
        <v>6990388.4778268272</v>
      </c>
      <c r="AO93" t="str" cm="1">
        <f t="array" ref="AO93">IFERROR(IF($E93&lt;44348,"",IF(INDEX(Raw_매출!$B$2:$BI$155,MATCH($A93,Raw_매출!$A$2:$A$155,0),MATCH(EDATE($E93,AO$1-1),Raw_매출!$B$1:$BI$1,0))=0,"",INDEX(Raw_매출!$B$2:$BI$155,MATCH($A93,Raw_매출!$A$2:$A$155,0),MATCH(EDATE($E93,AO$1-1),Raw_매출!$B$1:$BI$1,0))/(INDEX(요약_월별시즈널리티!$F$7:$F$18,MONTH(EDATE($E93,AO$1-1)))/100))),"")</f>
        <v/>
      </c>
      <c r="AP93" t="str" cm="1">
        <f t="array" ref="AP93">IFERROR(IF($E93&lt;44348,"",IF(INDEX(Raw_매출!$B$2:$BI$155,MATCH($A93,Raw_매출!$A$2:$A$155,0),MATCH(EDATE($E93,AP$1-1),Raw_매출!$B$1:$BI$1,0))=0,"",INDEX(Raw_매출!$B$2:$BI$155,MATCH($A93,Raw_매출!$A$2:$A$155,0),MATCH(EDATE($E93,AP$1-1),Raw_매출!$B$1:$BI$1,0))/(INDEX(요약_월별시즈널리티!$F$7:$F$18,MONTH(EDATE($E93,AP$1-1)))/100))),"")</f>
        <v/>
      </c>
      <c r="AQ93" t="str" cm="1">
        <f t="array" ref="AQ93">IFERROR(IF($E93&lt;44348,"",IF(INDEX(Raw_매출!$B$2:$BI$155,MATCH($A93,Raw_매출!$A$2:$A$155,0),MATCH(EDATE($E93,AQ$1-1),Raw_매출!$B$1:$BI$1,0))=0,"",INDEX(Raw_매출!$B$2:$BI$155,MATCH($A93,Raw_매출!$A$2:$A$155,0),MATCH(EDATE($E93,AQ$1-1),Raw_매출!$B$1:$BI$1,0))/(INDEX(요약_월별시즈널리티!$F$7:$F$18,MONTH(EDATE($E93,AQ$1-1)))/100))),"")</f>
        <v/>
      </c>
      <c r="AR93" t="str" cm="1">
        <f t="array" ref="AR93">IFERROR(IF($E93&lt;44348,"",IF(INDEX(Raw_매출!$B$2:$BI$155,MATCH($A93,Raw_매출!$A$2:$A$155,0),MATCH(EDATE($E93,AR$1-1),Raw_매출!$B$1:$BI$1,0))=0,"",INDEX(Raw_매출!$B$2:$BI$155,MATCH($A93,Raw_매출!$A$2:$A$155,0),MATCH(EDATE($E93,AR$1-1),Raw_매출!$B$1:$BI$1,0))/(INDEX(요약_월별시즈널리티!$F$7:$F$18,MONTH(EDATE($E93,AR$1-1)))/100))),"")</f>
        <v/>
      </c>
      <c r="AS93" t="str" cm="1">
        <f t="array" ref="AS93">IFERROR(IF($E93&lt;44348,"",IF(INDEX(Raw_매출!$B$2:$BI$155,MATCH($A93,Raw_매출!$A$2:$A$155,0),MATCH(EDATE($E93,AS$1-1),Raw_매출!$B$1:$BI$1,0))=0,"",INDEX(Raw_매출!$B$2:$BI$155,MATCH($A93,Raw_매출!$A$2:$A$155,0),MATCH(EDATE($E93,AS$1-1),Raw_매출!$B$1:$BI$1,0))/(INDEX(요약_월별시즈널리티!$F$7:$F$18,MONTH(EDATE($E93,AS$1-1)))/100))),"")</f>
        <v/>
      </c>
      <c r="AT93" t="str" cm="1">
        <f t="array" ref="AT93">IFERROR(IF($E93&lt;44348,"",IF(INDEX(Raw_매출!$B$2:$BI$155,MATCH($A93,Raw_매출!$A$2:$A$155,0),MATCH(EDATE($E93,AT$1-1),Raw_매출!$B$1:$BI$1,0))=0,"",INDEX(Raw_매출!$B$2:$BI$155,MATCH($A93,Raw_매출!$A$2:$A$155,0),MATCH(EDATE($E93,AT$1-1),Raw_매출!$B$1:$BI$1,0))/(INDEX(요약_월별시즈널리티!$F$7:$F$18,MONTH(EDATE($E93,AT$1-1)))/100))),"")</f>
        <v/>
      </c>
      <c r="AU93" t="str" cm="1">
        <f t="array" ref="AU93">IFERROR(IF($E93&lt;44348,"",IF(INDEX(Raw_매출!$B$2:$BI$155,MATCH($A93,Raw_매출!$A$2:$A$155,0),MATCH(EDATE($E93,AU$1-1),Raw_매출!$B$1:$BI$1,0))=0,"",INDEX(Raw_매출!$B$2:$BI$155,MATCH($A93,Raw_매출!$A$2:$A$155,0),MATCH(EDATE($E93,AU$1-1),Raw_매출!$B$1:$BI$1,0))/(INDEX(요약_월별시즈널리티!$F$7:$F$18,MONTH(EDATE($E93,AU$1-1)))/100))),"")</f>
        <v/>
      </c>
      <c r="AV93" t="str" cm="1">
        <f t="array" ref="AV93">IFERROR(IF($E93&lt;44348,"",IF(INDEX(Raw_매출!$B$2:$BI$155,MATCH($A93,Raw_매출!$A$2:$A$155,0),MATCH(EDATE($E93,AV$1-1),Raw_매출!$B$1:$BI$1,0))=0,"",INDEX(Raw_매출!$B$2:$BI$155,MATCH($A93,Raw_매출!$A$2:$A$155,0),MATCH(EDATE($E93,AV$1-1),Raw_매출!$B$1:$BI$1,0))/(INDEX(요약_월별시즈널리티!$F$7:$F$18,MONTH(EDATE($E93,AV$1-1)))/100))),"")</f>
        <v/>
      </c>
      <c r="AW93" t="str" cm="1">
        <f t="array" ref="AW93">IFERROR(IF($E93&lt;44348,"",IF(INDEX(Raw_매출!$B$2:$BI$155,MATCH($A93,Raw_매출!$A$2:$A$155,0),MATCH(EDATE($E93,AW$1-1),Raw_매출!$B$1:$BI$1,0))=0,"",INDEX(Raw_매출!$B$2:$BI$155,MATCH($A93,Raw_매출!$A$2:$A$155,0),MATCH(EDATE($E93,AW$1-1),Raw_매출!$B$1:$BI$1,0))/(INDEX(요약_월별시즈널리티!$F$7:$F$18,MONTH(EDATE($E93,AW$1-1)))/100))),"")</f>
        <v/>
      </c>
      <c r="AX93" t="str" cm="1">
        <f t="array" ref="AX93">IFERROR(IF($E93&lt;44348,"",IF(INDEX(Raw_매출!$B$2:$BI$155,MATCH($A93,Raw_매출!$A$2:$A$155,0),MATCH(EDATE($E93,AX$1-1),Raw_매출!$B$1:$BI$1,0))=0,"",INDEX(Raw_매출!$B$2:$BI$155,MATCH($A93,Raw_매출!$A$2:$A$155,0),MATCH(EDATE($E93,AX$1-1),Raw_매출!$B$1:$BI$1,0))/(INDEX(요약_월별시즈널리티!$F$7:$F$18,MONTH(EDATE($E93,AX$1-1)))/100))),"")</f>
        <v/>
      </c>
      <c r="AY93" t="str" cm="1">
        <f t="array" ref="AY93">IFERROR(IF($E93&lt;44348,"",IF(INDEX(Raw_매출!$B$2:$BI$155,MATCH($A93,Raw_매출!$A$2:$A$155,0),MATCH(EDATE($E93,AY$1-1),Raw_매출!$B$1:$BI$1,0))=0,"",INDEX(Raw_매출!$B$2:$BI$155,MATCH($A93,Raw_매출!$A$2:$A$155,0),MATCH(EDATE($E93,AY$1-1),Raw_매출!$B$1:$BI$1,0))/(INDEX(요약_월별시즈널리티!$F$7:$F$18,MONTH(EDATE($E93,AY$1-1)))/100))),"")</f>
        <v/>
      </c>
      <c r="AZ93" t="str" cm="1">
        <f t="array" ref="AZ93">IFERROR(IF($E93&lt;44348,"",IF(INDEX(Raw_매출!$B$2:$BI$155,MATCH($A93,Raw_매출!$A$2:$A$155,0),MATCH(EDATE($E93,AZ$1-1),Raw_매출!$B$1:$BI$1,0))=0,"",INDEX(Raw_매출!$B$2:$BI$155,MATCH($A93,Raw_매출!$A$2:$A$155,0),MATCH(EDATE($E93,AZ$1-1),Raw_매출!$B$1:$BI$1,0))/(INDEX(요약_월별시즈널리티!$F$7:$F$18,MONTH(EDATE($E93,AZ$1-1)))/100))),"")</f>
        <v/>
      </c>
      <c r="BA93" t="str" cm="1">
        <f t="array" ref="BA93">IFERROR(IF($E93&lt;44348,"",IF(INDEX(Raw_매출!$B$2:$BI$155,MATCH($A93,Raw_매출!$A$2:$A$155,0),MATCH(EDATE($E93,BA$1-1),Raw_매출!$B$1:$BI$1,0))=0,"",INDEX(Raw_매출!$B$2:$BI$155,MATCH($A93,Raw_매출!$A$2:$A$155,0),MATCH(EDATE($E93,BA$1-1),Raw_매출!$B$1:$BI$1,0))/(INDEX(요약_월별시즈널리티!$F$7:$F$18,MONTH(EDATE($E93,BA$1-1)))/100))),"")</f>
        <v/>
      </c>
      <c r="BB93" t="str" cm="1">
        <f t="array" ref="BB93">IFERROR(IF($E93&lt;44348,"",IF(INDEX(Raw_매출!$B$2:$BI$155,MATCH($A93,Raw_매출!$A$2:$A$155,0),MATCH(EDATE($E93,BB$1-1),Raw_매출!$B$1:$BI$1,0))=0,"",INDEX(Raw_매출!$B$2:$BI$155,MATCH($A93,Raw_매출!$A$2:$A$155,0),MATCH(EDATE($E93,BB$1-1),Raw_매출!$B$1:$BI$1,0))/(INDEX(요약_월별시즈널리티!$F$7:$F$18,MONTH(EDATE($E93,BB$1-1)))/100))),"")</f>
        <v/>
      </c>
      <c r="BC93" t="str" cm="1">
        <f t="array" ref="BC93">IFERROR(IF($E93&lt;44348,"",IF(INDEX(Raw_매출!$B$2:$BI$155,MATCH($A93,Raw_매출!$A$2:$A$155,0),MATCH(EDATE($E93,BC$1-1),Raw_매출!$B$1:$BI$1,0))=0,"",INDEX(Raw_매출!$B$2:$BI$155,MATCH($A93,Raw_매출!$A$2:$A$155,0),MATCH(EDATE($E93,BC$1-1),Raw_매출!$B$1:$BI$1,0))/(INDEX(요약_월별시즈널리티!$F$7:$F$18,MONTH(EDATE($E93,BC$1-1)))/100))),"")</f>
        <v/>
      </c>
      <c r="BD93" t="str" cm="1">
        <f t="array" ref="BD93">IFERROR(IF($E93&lt;44348,"",IF(INDEX(Raw_매출!$B$2:$BI$155,MATCH($A93,Raw_매출!$A$2:$A$155,0),MATCH(EDATE($E93,BD$1-1),Raw_매출!$B$1:$BI$1,0))=0,"",INDEX(Raw_매출!$B$2:$BI$155,MATCH($A93,Raw_매출!$A$2:$A$155,0),MATCH(EDATE($E93,BD$1-1),Raw_매출!$B$1:$BI$1,0))/(INDEX(요약_월별시즈널리티!$F$7:$F$18,MONTH(EDATE($E93,BD$1-1)))/100))),"")</f>
        <v/>
      </c>
      <c r="BE93" t="str" cm="1">
        <f t="array" ref="BE93">IFERROR(IF($E93&lt;44348,"",IF(INDEX(Raw_매출!$B$2:$BI$155,MATCH($A93,Raw_매출!$A$2:$A$155,0),MATCH(EDATE($E93,BE$1-1),Raw_매출!$B$1:$BI$1,0))=0,"",INDEX(Raw_매출!$B$2:$BI$155,MATCH($A93,Raw_매출!$A$2:$A$155,0),MATCH(EDATE($E93,BE$1-1),Raw_매출!$B$1:$BI$1,0))/(INDEX(요약_월별시즈널리티!$F$7:$F$18,MONTH(EDATE($E93,BE$1-1)))/100))),"")</f>
        <v/>
      </c>
      <c r="BF93" t="str" cm="1">
        <f t="array" ref="BF93">IFERROR(IF($E93&lt;44348,"",IF(INDEX(Raw_매출!$B$2:$BI$155,MATCH($A93,Raw_매출!$A$2:$A$155,0),MATCH(EDATE($E93,BF$1-1),Raw_매출!$B$1:$BI$1,0))=0,"",INDEX(Raw_매출!$B$2:$BI$155,MATCH($A93,Raw_매출!$A$2:$A$155,0),MATCH(EDATE($E93,BF$1-1),Raw_매출!$B$1:$BI$1,0))/(INDEX(요약_월별시즈널리티!$F$7:$F$18,MONTH(EDATE($E93,BF$1-1)))/100))),"")</f>
        <v/>
      </c>
      <c r="BG93" t="str" cm="1">
        <f t="array" ref="BG93">IFERROR(IF($E93&lt;44348,"",IF(INDEX(Raw_매출!$B$2:$BI$155,MATCH($A93,Raw_매출!$A$2:$A$155,0),MATCH(EDATE($E93,BG$1-1),Raw_매출!$B$1:$BI$1,0))=0,"",INDEX(Raw_매출!$B$2:$BI$155,MATCH($A93,Raw_매출!$A$2:$A$155,0),MATCH(EDATE($E93,BG$1-1),Raw_매출!$B$1:$BI$1,0))/(INDEX(요약_월별시즈널리티!$F$7:$F$18,MONTH(EDATE($E93,BG$1-1)))/100))),"")</f>
        <v/>
      </c>
      <c r="BH93" t="str" cm="1">
        <f t="array" ref="BH93">IFERROR(IF($E93&lt;44348,"",IF(INDEX(Raw_매출!$B$2:$BI$155,MATCH($A93,Raw_매출!$A$2:$A$155,0),MATCH(EDATE($E93,BH$1-1),Raw_매출!$B$1:$BI$1,0))=0,"",INDEX(Raw_매출!$B$2:$BI$155,MATCH($A93,Raw_매출!$A$2:$A$155,0),MATCH(EDATE($E93,BH$1-1),Raw_매출!$B$1:$BI$1,0))/(INDEX(요약_월별시즈널리티!$F$7:$F$18,MONTH(EDATE($E93,BH$1-1)))/100))),"")</f>
        <v/>
      </c>
      <c r="BI93" t="str" cm="1">
        <f t="array" ref="BI93">IFERROR(IF($E93&lt;44348,"",IF(INDEX(Raw_매출!$B$2:$BI$155,MATCH($A93,Raw_매출!$A$2:$A$155,0),MATCH(EDATE($E93,BI$1-1),Raw_매출!$B$1:$BI$1,0))=0,"",INDEX(Raw_매출!$B$2:$BI$155,MATCH($A93,Raw_매출!$A$2:$A$155,0),MATCH(EDATE($E93,BI$1-1),Raw_매출!$B$1:$BI$1,0))/(INDEX(요약_월별시즈널리티!$F$7:$F$18,MONTH(EDATE($E93,BI$1-1)))/100))),"")</f>
        <v/>
      </c>
      <c r="BJ93" t="str" cm="1">
        <f t="array" ref="BJ93">IFERROR(IF($E93&lt;44348,"",IF(INDEX(Raw_매출!$B$2:$BI$155,MATCH($A93,Raw_매출!$A$2:$A$155,0),MATCH(EDATE($E93,BJ$1-1),Raw_매출!$B$1:$BI$1,0))=0,"",INDEX(Raw_매출!$B$2:$BI$155,MATCH($A93,Raw_매출!$A$2:$A$155,0),MATCH(EDATE($E93,BJ$1-1),Raw_매출!$B$1:$BI$1,0))/(INDEX(요약_월별시즈널리티!$F$7:$F$18,MONTH(EDATE($E93,BJ$1-1)))/100))),"")</f>
        <v/>
      </c>
      <c r="BK93" t="str" cm="1">
        <f t="array" ref="BK93">IFERROR(IF($E93&lt;44348,"",IF(INDEX(Raw_매출!$B$2:$BI$155,MATCH($A93,Raw_매출!$A$2:$A$155,0),MATCH(EDATE($E93,BK$1-1),Raw_매출!$B$1:$BI$1,0))=0,"",INDEX(Raw_매출!$B$2:$BI$155,MATCH($A93,Raw_매출!$A$2:$A$155,0),MATCH(EDATE($E93,BK$1-1),Raw_매출!$B$1:$BI$1,0))/(INDEX(요약_월별시즈널리티!$F$7:$F$18,MONTH(EDATE($E93,BK$1-1)))/100))),"")</f>
        <v/>
      </c>
      <c r="BL93" t="str" cm="1">
        <f t="array" ref="BL93">IFERROR(IF($E93&lt;44348,"",IF(INDEX(Raw_매출!$B$2:$BI$155,MATCH($A93,Raw_매출!$A$2:$A$155,0),MATCH(EDATE($E93,BL$1-1),Raw_매출!$B$1:$BI$1,0))=0,"",INDEX(Raw_매출!$B$2:$BI$155,MATCH($A93,Raw_매출!$A$2:$A$155,0),MATCH(EDATE($E93,BL$1-1),Raw_매출!$B$1:$BI$1,0))/(INDEX(요약_월별시즈널리티!$F$7:$F$18,MONTH(EDATE($E93,BL$1-1)))/100))),"")</f>
        <v/>
      </c>
      <c r="BM93" t="str" cm="1">
        <f t="array" ref="BM93">IFERROR(IF($E93&lt;44348,"",IF(INDEX(Raw_매출!$B$2:$BI$155,MATCH($A93,Raw_매출!$A$2:$A$155,0),MATCH(EDATE($E93,BM$1-1),Raw_매출!$B$1:$BI$1,0))=0,"",INDEX(Raw_매출!$B$2:$BI$155,MATCH($A93,Raw_매출!$A$2:$A$155,0),MATCH(EDATE($E93,BM$1-1),Raw_매출!$B$1:$BI$1,0))/(INDEX(요약_월별시즈널리티!$F$7:$F$18,MONTH(EDATE($E93,BM$1-1)))/100))),"")</f>
        <v/>
      </c>
      <c r="BN93" t="str" cm="1">
        <f t="array" ref="BN93">IFERROR(IF($E93&lt;44348,"",IF(INDEX(Raw_매출!$B$2:$BI$155,MATCH($A93,Raw_매출!$A$2:$A$155,0),MATCH(EDATE($E93,BN$1-1),Raw_매출!$B$1:$BI$1,0))=0,"",INDEX(Raw_매출!$B$2:$BI$155,MATCH($A93,Raw_매출!$A$2:$A$155,0),MATCH(EDATE($E93,BN$1-1),Raw_매출!$B$1:$BI$1,0))/(INDEX(요약_월별시즈널리티!$F$7:$F$18,MONTH(EDATE($E93,BN$1-1)))/100))),"")</f>
        <v/>
      </c>
    </row>
    <row r="94" spans="1:66" x14ac:dyDescent="0.4">
      <c r="A94" t="str">
        <f>세팅!A95</f>
        <v>(1083) #신촌창천스쿨점</v>
      </c>
      <c r="B94" t="str">
        <f>세팅!B95</f>
        <v>150-0</v>
      </c>
      <c r="C94">
        <f t="shared" si="3"/>
        <v>0</v>
      </c>
      <c r="D94" t="str">
        <f t="shared" si="4"/>
        <v>0</v>
      </c>
      <c r="E94" s="1">
        <f>세팅!D95</f>
        <v>45170</v>
      </c>
      <c r="F94">
        <f t="shared" si="5"/>
        <v>4125608.106100393</v>
      </c>
      <c r="G94" cm="1">
        <f t="array" ref="G94">IFERROR(IF($E94&lt;44348,"",IF(INDEX(Raw_매출!$B$2:$BI$155,MATCH($A94,Raw_매출!$A$2:$A$155,0),MATCH(EDATE($E94,G$1-1),Raw_매출!$B$1:$BI$1,0))=0,"",INDEX(Raw_매출!$B$2:$BI$155,MATCH($A94,Raw_매출!$A$2:$A$155,0),MATCH(EDATE($E94,G$1-1),Raw_매출!$B$1:$BI$1,0))/(INDEX(요약_월별시즈널리티!$F$7:$F$18,MONTH(EDATE($E94,G$1-1)))/100))),"")</f>
        <v>2495825.6396712661</v>
      </c>
      <c r="H94" cm="1">
        <f t="array" ref="H94">IFERROR(IF($E94&lt;44348,"",IF(INDEX(Raw_매출!$B$2:$BI$155,MATCH($A94,Raw_매출!$A$2:$A$155,0),MATCH(EDATE($E94,H$1-1),Raw_매출!$B$1:$BI$1,0))=0,"",INDEX(Raw_매출!$B$2:$BI$155,MATCH($A94,Raw_매출!$A$2:$A$155,0),MATCH(EDATE($E94,H$1-1),Raw_매출!$B$1:$BI$1,0))/(INDEX(요약_월별시즈널리티!$F$7:$F$18,MONTH(EDATE($E94,H$1-1)))/100))),"")</f>
        <v>3009683.0650166678</v>
      </c>
      <c r="I94" cm="1">
        <f t="array" ref="I94">IFERROR(IF($E94&lt;44348,"",IF(INDEX(Raw_매출!$B$2:$BI$155,MATCH($A94,Raw_매출!$A$2:$A$155,0),MATCH(EDATE($E94,I$1-1),Raw_매출!$B$1:$BI$1,0))=0,"",INDEX(Raw_매출!$B$2:$BI$155,MATCH($A94,Raw_매출!$A$2:$A$155,0),MATCH(EDATE($E94,I$1-1),Raw_매출!$B$1:$BI$1,0))/(INDEX(요약_월별시즈널리티!$F$7:$F$18,MONTH(EDATE($E94,I$1-1)))/100))),"")</f>
        <v>3708968.1184292254</v>
      </c>
      <c r="J94" s="30" cm="1">
        <f t="array" ref="J94">IFERROR(IF($E94&lt;44348,"",IF(INDEX(Raw_매출!$B$2:$BI$155,MATCH($A94,Raw_매출!$A$2:$A$155,0),MATCH(EDATE($E94,J$1-1),Raw_매출!$B$1:$BI$1,0))=0,"",INDEX(Raw_매출!$B$2:$BI$155,MATCH($A94,Raw_매출!$A$2:$A$155,0),MATCH(EDATE($E94,J$1-1),Raw_매출!$B$1:$BI$1,0))/(INDEX(요약_월별시즈널리티!$F$7:$F$18,MONTH(EDATE($E94,J$1-1)))/100))),"")</f>
        <v>3805119.4482846837</v>
      </c>
      <c r="K94" s="30" cm="1">
        <f t="array" ref="K94">IFERROR(IF($E94&lt;44348,"",IF(INDEX(Raw_매출!$B$2:$BI$155,MATCH($A94,Raw_매출!$A$2:$A$155,0),MATCH(EDATE($E94,K$1-1),Raw_매출!$B$1:$BI$1,0))=0,"",INDEX(Raw_매출!$B$2:$BI$155,MATCH($A94,Raw_매출!$A$2:$A$155,0),MATCH(EDATE($E94,K$1-1),Raw_매출!$B$1:$BI$1,0))/(INDEX(요약_월별시즈널리티!$F$7:$F$18,MONTH(EDATE($E94,K$1-1)))/100))),"")</f>
        <v>4316891.496282435</v>
      </c>
      <c r="L94" s="30" cm="1">
        <f t="array" ref="L94">IFERROR(IF($E94&lt;44348,"",IF(INDEX(Raw_매출!$B$2:$BI$155,MATCH($A94,Raw_매출!$A$2:$A$155,0),MATCH(EDATE($E94,L$1-1),Raw_매출!$B$1:$BI$1,0))=0,"",INDEX(Raw_매출!$B$2:$BI$155,MATCH($A94,Raw_매출!$A$2:$A$155,0),MATCH(EDATE($E94,L$1-1),Raw_매출!$B$1:$BI$1,0))/(INDEX(요약_월별시즈널리티!$F$7:$F$18,MONTH(EDATE($E94,L$1-1)))/100))),"")</f>
        <v>4415907.2110331161</v>
      </c>
      <c r="M94" s="30" cm="1">
        <f t="array" ref="M94">IFERROR(IF($E94&lt;44348,"",IF(INDEX(Raw_매출!$B$2:$BI$155,MATCH($A94,Raw_매출!$A$2:$A$155,0),MATCH(EDATE($E94,M$1-1),Raw_매출!$B$1:$BI$1,0))=0,"",INDEX(Raw_매출!$B$2:$BI$155,MATCH($A94,Raw_매출!$A$2:$A$155,0),MATCH(EDATE($E94,M$1-1),Raw_매출!$B$1:$BI$1,0))/(INDEX(요약_월별시즈널리티!$F$7:$F$18,MONTH(EDATE($E94,M$1-1)))/100))),"")</f>
        <v>4544589.1324806707</v>
      </c>
      <c r="N94" s="30" cm="1">
        <f t="array" ref="N94">IFERROR(IF($E94&lt;44348,"",IF(INDEX(Raw_매출!$B$2:$BI$155,MATCH($A94,Raw_매출!$A$2:$A$155,0),MATCH(EDATE($E94,N$1-1),Raw_매출!$B$1:$BI$1,0))=0,"",INDEX(Raw_매출!$B$2:$BI$155,MATCH($A94,Raw_매출!$A$2:$A$155,0),MATCH(EDATE($E94,N$1-1),Raw_매출!$B$1:$BI$1,0))/(INDEX(요약_월별시즈널리티!$F$7:$F$18,MONTH(EDATE($E94,N$1-1)))/100))),"")</f>
        <v>4173526.9961857782</v>
      </c>
      <c r="O94" s="30" cm="1">
        <f t="array" ref="O94">IFERROR(IF($E94&lt;44348,"",IF(INDEX(Raw_매출!$B$2:$BI$155,MATCH($A94,Raw_매출!$A$2:$A$155,0),MATCH(EDATE($E94,O$1-1),Raw_매출!$B$1:$BI$1,0))=0,"",INDEX(Raw_매출!$B$2:$BI$155,MATCH($A94,Raw_매출!$A$2:$A$155,0),MATCH(EDATE($E94,O$1-1),Raw_매출!$B$1:$BI$1,0))/(INDEX(요약_월별시즈널리티!$F$7:$F$18,MONTH(EDATE($E94,O$1-1)))/100))),"")</f>
        <v>3497614.3523356728</v>
      </c>
      <c r="P94" cm="1">
        <f t="array" ref="P94">IFERROR(IF($E94&lt;44348,"",IF(INDEX(Raw_매출!$B$2:$BI$155,MATCH($A94,Raw_매출!$A$2:$A$155,0),MATCH(EDATE($E94,P$1-1),Raw_매출!$B$1:$BI$1,0))=0,"",INDEX(Raw_매출!$B$2:$BI$155,MATCH($A94,Raw_매출!$A$2:$A$155,0),MATCH(EDATE($E94,P$1-1),Raw_매출!$B$1:$BI$1,0))/(INDEX(요약_월별시즈널리티!$F$7:$F$18,MONTH(EDATE($E94,P$1-1)))/100))),"")</f>
        <v>3809351.4616981093</v>
      </c>
      <c r="Q94" cm="1">
        <f t="array" ref="Q94">IFERROR(IF($E94&lt;44348,"",IF(INDEX(Raw_매출!$B$2:$BI$155,MATCH($A94,Raw_매출!$A$2:$A$155,0),MATCH(EDATE($E94,Q$1-1),Raw_매출!$B$1:$BI$1,0))=0,"",INDEX(Raw_매출!$B$2:$BI$155,MATCH($A94,Raw_매출!$A$2:$A$155,0),MATCH(EDATE($E94,Q$1-1),Raw_매출!$B$1:$BI$1,0))/(INDEX(요약_월별시즈널리티!$F$7:$F$18,MONTH(EDATE($E94,Q$1-1)))/100))),"")</f>
        <v>4178617.1563270111</v>
      </c>
      <c r="R94" cm="1">
        <f t="array" ref="R94">IFERROR(IF($E94&lt;44348,"",IF(INDEX(Raw_매출!$B$2:$BI$155,MATCH($A94,Raw_매출!$A$2:$A$155,0),MATCH(EDATE($E94,R$1-1),Raw_매출!$B$1:$BI$1,0))=0,"",INDEX(Raw_매출!$B$2:$BI$155,MATCH($A94,Raw_매출!$A$2:$A$155,0),MATCH(EDATE($E94,R$1-1),Raw_매출!$B$1:$BI$1,0))/(INDEX(요약_월별시즈널리티!$F$7:$F$18,MONTH(EDATE($E94,R$1-1)))/100))),"")</f>
        <v>4210329.5964637203</v>
      </c>
      <c r="S94" cm="1">
        <f t="array" ref="S94">IFERROR(IF($E94&lt;44348,"",IF(INDEX(Raw_매출!$B$2:$BI$155,MATCH($A94,Raw_매출!$A$2:$A$155,0),MATCH(EDATE($E94,S$1-1),Raw_매출!$B$1:$BI$1,0))=0,"",INDEX(Raw_매출!$B$2:$BI$155,MATCH($A94,Raw_매출!$A$2:$A$155,0),MATCH(EDATE($E94,S$1-1),Raw_매출!$B$1:$BI$1,0))/(INDEX(요약_월별시즈널리티!$F$7:$F$18,MONTH(EDATE($E94,S$1-1)))/100))),"")</f>
        <v>4892553.7448302116</v>
      </c>
      <c r="T94" cm="1">
        <f t="array" ref="T94">IFERROR(IF($E94&lt;44348,"",IF(INDEX(Raw_매출!$B$2:$BI$155,MATCH($A94,Raw_매출!$A$2:$A$155,0),MATCH(EDATE($E94,T$1-1),Raw_매출!$B$1:$BI$1,0))=0,"",INDEX(Raw_매출!$B$2:$BI$155,MATCH($A94,Raw_매출!$A$2:$A$155,0),MATCH(EDATE($E94,T$1-1),Raw_매출!$B$1:$BI$1,0))/(INDEX(요약_월별시즈널리티!$F$7:$F$18,MONTH(EDATE($E94,T$1-1)))/100))),"")</f>
        <v>4189721.2600499489</v>
      </c>
      <c r="U94" cm="1">
        <f t="array" ref="U94">IFERROR(IF($E94&lt;44348,"",IF(INDEX(Raw_매출!$B$2:$BI$155,MATCH($A94,Raw_매출!$A$2:$A$155,0),MATCH(EDATE($E94,U$1-1),Raw_매출!$B$1:$BI$1,0))=0,"",INDEX(Raw_매출!$B$2:$BI$155,MATCH($A94,Raw_매출!$A$2:$A$155,0),MATCH(EDATE($E94,U$1-1),Raw_매출!$B$1:$BI$1,0))/(INDEX(요약_월별시즈널리티!$F$7:$F$18,MONTH(EDATE($E94,U$1-1)))/100))),"")</f>
        <v>4543699.6561741699</v>
      </c>
      <c r="V94" cm="1">
        <f t="array" ref="V94">IFERROR(IF($E94&lt;44348,"",IF(INDEX(Raw_매출!$B$2:$BI$155,MATCH($A94,Raw_매출!$A$2:$A$155,0),MATCH(EDATE($E94,V$1-1),Raw_매출!$B$1:$BI$1,0))=0,"",INDEX(Raw_매출!$B$2:$BI$155,MATCH($A94,Raw_매출!$A$2:$A$155,0),MATCH(EDATE($E94,V$1-1),Raw_매출!$B$1:$BI$1,0))/(INDEX(요약_월별시즈널리티!$F$7:$F$18,MONTH(EDATE($E94,V$1-1)))/100))),"")</f>
        <v>4357437.0991723035</v>
      </c>
      <c r="W94" cm="1">
        <f t="array" ref="W94">IFERROR(IF($E94&lt;44348,"",IF(INDEX(Raw_매출!$B$2:$BI$155,MATCH($A94,Raw_매출!$A$2:$A$155,0),MATCH(EDATE($E94,W$1-1),Raw_매출!$B$1:$BI$1,0))=0,"",INDEX(Raw_매출!$B$2:$BI$155,MATCH($A94,Raw_매출!$A$2:$A$155,0),MATCH(EDATE($E94,W$1-1),Raw_매출!$B$1:$BI$1,0))/(INDEX(요약_월별시즈널리티!$F$7:$F$18,MONTH(EDATE($E94,W$1-1)))/100))),"")</f>
        <v>4472916.4395900313</v>
      </c>
      <c r="X94" cm="1">
        <f t="array" ref="X94">IFERROR(IF($E94&lt;44348,"",IF(INDEX(Raw_매출!$B$2:$BI$155,MATCH($A94,Raw_매출!$A$2:$A$155,0),MATCH(EDATE($E94,X$1-1),Raw_매출!$B$1:$BI$1,0))=0,"",INDEX(Raw_매출!$B$2:$BI$155,MATCH($A94,Raw_매출!$A$2:$A$155,0),MATCH(EDATE($E94,X$1-1),Raw_매출!$B$1:$BI$1,0))/(INDEX(요약_월별시즈널리티!$F$7:$F$18,MONTH(EDATE($E94,X$1-1)))/100))),"")</f>
        <v>4126078.7089943904</v>
      </c>
      <c r="Y94" cm="1">
        <f t="array" ref="Y94">IFERROR(IF($E94&lt;44348,"",IF(INDEX(Raw_매출!$B$2:$BI$155,MATCH($A94,Raw_매출!$A$2:$A$155,0),MATCH(EDATE($E94,Y$1-1),Raw_매출!$B$1:$BI$1,0))=0,"",INDEX(Raw_매출!$B$2:$BI$155,MATCH($A94,Raw_매출!$A$2:$A$155,0),MATCH(EDATE($E94,Y$1-1),Raw_매출!$B$1:$BI$1,0))/(INDEX(요약_월별시즈널리티!$F$7:$F$18,MONTH(EDATE($E94,Y$1-1)))/100))),"")</f>
        <v>3867590.9189635213</v>
      </c>
      <c r="Z94" cm="1">
        <f t="array" ref="Z94">IFERROR(IF($E94&lt;44348,"",IF(INDEX(Raw_매출!$B$2:$BI$155,MATCH($A94,Raw_매출!$A$2:$A$155,0),MATCH(EDATE($E94,Z$1-1),Raw_매출!$B$1:$BI$1,0))=0,"",INDEX(Raw_매출!$B$2:$BI$155,MATCH($A94,Raw_매출!$A$2:$A$155,0),MATCH(EDATE($E94,Z$1-1),Raw_매출!$B$1:$BI$1,0))/(INDEX(요약_월별시즈널리티!$F$7:$F$18,MONTH(EDATE($E94,Z$1-1)))/100))),"")</f>
        <v>4902356.6543956585</v>
      </c>
      <c r="AA94" cm="1">
        <f t="array" ref="AA94">IFERROR(IF($E94&lt;44348,"",IF(INDEX(Raw_매출!$B$2:$BI$155,MATCH($A94,Raw_매출!$A$2:$A$155,0),MATCH(EDATE($E94,AA$1-1),Raw_매출!$B$1:$BI$1,0))=0,"",INDEX(Raw_매출!$B$2:$BI$155,MATCH($A94,Raw_매출!$A$2:$A$155,0),MATCH(EDATE($E94,AA$1-1),Raw_매출!$B$1:$BI$1,0))/(INDEX(요약_월별시즈널리티!$F$7:$F$18,MONTH(EDATE($E94,AA$1-1)))/100))),"")</f>
        <v>5064519.1602378683</v>
      </c>
      <c r="AB94" cm="1">
        <f t="array" ref="AB94">IFERROR(IF($E94&lt;44348,"",IF(INDEX(Raw_매출!$B$2:$BI$155,MATCH($A94,Raw_매출!$A$2:$A$155,0),MATCH(EDATE($E94,AB$1-1),Raw_매출!$B$1:$BI$1,0))=0,"",INDEX(Raw_매출!$B$2:$BI$155,MATCH($A94,Raw_매출!$A$2:$A$155,0),MATCH(EDATE($E94,AB$1-1),Raw_매출!$B$1:$BI$1,0))/(INDEX(요약_월별시즈널리티!$F$7:$F$18,MONTH(EDATE($E94,AB$1-1)))/100))),"")</f>
        <v>4912443.7863694569</v>
      </c>
      <c r="AC94" cm="1">
        <f t="array" ref="AC94">IFERROR(IF($E94&lt;44348,"",IF(INDEX(Raw_매출!$B$2:$BI$155,MATCH($A94,Raw_매출!$A$2:$A$155,0),MATCH(EDATE($E94,AC$1-1),Raw_매출!$B$1:$BI$1,0))=0,"",INDEX(Raw_매출!$B$2:$BI$155,MATCH($A94,Raw_매출!$A$2:$A$155,0),MATCH(EDATE($E94,AC$1-1),Raw_매출!$B$1:$BI$1,0))/(INDEX(요약_월별시즈널리티!$F$7:$F$18,MONTH(EDATE($E94,AC$1-1)))/100))),"")</f>
        <v>4098486.2026557103</v>
      </c>
      <c r="AD94" cm="1">
        <f t="array" ref="AD94">IFERROR(IF($E94&lt;44348,"",IF(INDEX(Raw_매출!$B$2:$BI$155,MATCH($A94,Raw_매출!$A$2:$A$155,0),MATCH(EDATE($E94,AD$1-1),Raw_매출!$B$1:$BI$1,0))=0,"",INDEX(Raw_매출!$B$2:$BI$155,MATCH($A94,Raw_매출!$A$2:$A$155,0),MATCH(EDATE($E94,AD$1-1),Raw_매출!$B$1:$BI$1,0))/(INDEX(요약_월별시즈널리티!$F$7:$F$18,MONTH(EDATE($E94,AD$1-1)))/100))),"")</f>
        <v>3982636.4175206078</v>
      </c>
      <c r="AE94" cm="1">
        <f t="array" ref="AE94">IFERROR(IF($E94&lt;44348,"",IF(INDEX(Raw_매출!$B$2:$BI$155,MATCH($A94,Raw_매출!$A$2:$A$155,0),MATCH(EDATE($E94,AE$1-1),Raw_매출!$B$1:$BI$1,0))=0,"",INDEX(Raw_매출!$B$2:$BI$155,MATCH($A94,Raw_매출!$A$2:$A$155,0),MATCH(EDATE($E94,AE$1-1),Raw_매출!$B$1:$BI$1,0))/(INDEX(요약_월별시즈널리티!$F$7:$F$18,MONTH(EDATE($E94,AE$1-1)))/100))),"")</f>
        <v>3836618.6774264039</v>
      </c>
      <c r="AF94" cm="1">
        <f t="array" ref="AF94">IFERROR(IF($E94&lt;44348,"",IF(INDEX(Raw_매출!$B$2:$BI$155,MATCH($A94,Raw_매출!$A$2:$A$155,0),MATCH(EDATE($E94,AF$1-1),Raw_매출!$B$1:$BI$1,0))=0,"",INDEX(Raw_매출!$B$2:$BI$155,MATCH($A94,Raw_매출!$A$2:$A$155,0),MATCH(EDATE($E94,AF$1-1),Raw_매출!$B$1:$BI$1,0))/(INDEX(요약_월별시즈널리티!$F$7:$F$18,MONTH(EDATE($E94,AF$1-1)))/100))),"")</f>
        <v>4192930.7535499223</v>
      </c>
      <c r="AG94" cm="1">
        <f t="array" ref="AG94">IFERROR(IF($E94&lt;44348,"",IF(INDEX(Raw_매출!$B$2:$BI$155,MATCH($A94,Raw_매출!$A$2:$A$155,0),MATCH(EDATE($E94,AG$1-1),Raw_매출!$B$1:$BI$1,0))=0,"",INDEX(Raw_매출!$B$2:$BI$155,MATCH($A94,Raw_매출!$A$2:$A$155,0),MATCH(EDATE($E94,AG$1-1),Raw_매출!$B$1:$BI$1,0))/(INDEX(요약_월별시즈널리티!$F$7:$F$18,MONTH(EDATE($E94,AG$1-1)))/100))),"")</f>
        <v>4170334.3610826745</v>
      </c>
      <c r="AH94" cm="1">
        <f t="array" ref="AH94">IFERROR(IF($E94&lt;44348,"",IF(INDEX(Raw_매출!$B$2:$BI$155,MATCH($A94,Raw_매출!$A$2:$A$155,0),MATCH(EDATE($E94,AH$1-1),Raw_매출!$B$1:$BI$1,0))=0,"",INDEX(Raw_매출!$B$2:$BI$155,MATCH($A94,Raw_매출!$A$2:$A$155,0),MATCH(EDATE($E94,AH$1-1),Raw_매출!$B$1:$BI$1,0))/(INDEX(요약_월별시즈널리티!$F$7:$F$18,MONTH(EDATE($E94,AH$1-1)))/100))),"")</f>
        <v>3930308.3523336439</v>
      </c>
      <c r="AI94" cm="1">
        <f t="array" ref="AI94">IFERROR(IF($E94&lt;44348,"",IF(INDEX(Raw_매출!$B$2:$BI$155,MATCH($A94,Raw_매출!$A$2:$A$155,0),MATCH(EDATE($E94,AI$1-1),Raw_매출!$B$1:$BI$1,0))=0,"",INDEX(Raw_매출!$B$2:$BI$155,MATCH($A94,Raw_매출!$A$2:$A$155,0),MATCH(EDATE($E94,AI$1-1),Raw_매출!$B$1:$BI$1,0))/(INDEX(요약_월별시즈널리티!$F$7:$F$18,MONTH(EDATE($E94,AI$1-1)))/100))),"")</f>
        <v>4526085.5394709557</v>
      </c>
      <c r="AJ94" cm="1">
        <f t="array" ref="AJ94">IFERROR(IF($E94&lt;44348,"",IF(INDEX(Raw_매출!$B$2:$BI$155,MATCH($A94,Raw_매출!$A$2:$A$155,0),MATCH(EDATE($E94,AJ$1-1),Raw_매출!$B$1:$BI$1,0))=0,"",INDEX(Raw_매출!$B$2:$BI$155,MATCH($A94,Raw_매출!$A$2:$A$155,0),MATCH(EDATE($E94,AJ$1-1),Raw_매출!$B$1:$BI$1,0))/(INDEX(요약_월별시즈널리티!$F$7:$F$18,MONTH(EDATE($E94,AJ$1-1)))/100))),"")</f>
        <v>4211939.3201227318</v>
      </c>
      <c r="AK94" cm="1">
        <f t="array" ref="AK94">IFERROR(IF($E94&lt;44348,"",IF(INDEX(Raw_매출!$B$2:$BI$155,MATCH($A94,Raw_매출!$A$2:$A$155,0),MATCH(EDATE($E94,AK$1-1),Raw_매출!$B$1:$BI$1,0))=0,"",INDEX(Raw_매출!$B$2:$BI$155,MATCH($A94,Raw_매출!$A$2:$A$155,0),MATCH(EDATE($E94,AK$1-1),Raw_매출!$B$1:$BI$1,0))/(INDEX(요약_월별시즈널리티!$F$7:$F$18,MONTH(EDATE($E94,AK$1-1)))/100))),"")</f>
        <v>4419604.0552873015</v>
      </c>
      <c r="AL94" cm="1">
        <f t="array" ref="AL94">IFERROR(IF($E94&lt;44348,"",IF(INDEX(Raw_매출!$B$2:$BI$155,MATCH($A94,Raw_매출!$A$2:$A$155,0),MATCH(EDATE($E94,AL$1-1),Raw_매출!$B$1:$BI$1,0))=0,"",INDEX(Raw_매출!$B$2:$BI$155,MATCH($A94,Raw_매출!$A$2:$A$155,0),MATCH(EDATE($E94,AL$1-1),Raw_매출!$B$1:$BI$1,0))/(INDEX(요약_월별시즈널리티!$F$7:$F$18,MONTH(EDATE($E94,AL$1-1)))/100))),"")</f>
        <v>4002127.8813192677</v>
      </c>
      <c r="AM94" cm="1">
        <f t="array" ref="AM94">IFERROR(IF($E94&lt;44348,"",IF(INDEX(Raw_매출!$B$2:$BI$155,MATCH($A94,Raw_매출!$A$2:$A$155,0),MATCH(EDATE($E94,AM$1-1),Raw_매출!$B$1:$BI$1,0))=0,"",INDEX(Raw_매출!$B$2:$BI$155,MATCH($A94,Raw_매출!$A$2:$A$155,0),MATCH(EDATE($E94,AM$1-1),Raw_매출!$B$1:$BI$1,0))/(INDEX(요약_월별시즈널리티!$F$7:$F$18,MONTH(EDATE($E94,AM$1-1)))/100))),"")</f>
        <v>4310800.9341375129</v>
      </c>
      <c r="AN94" t="str" cm="1">
        <f t="array" ref="AN94">IFERROR(IF($E94&lt;44348,"",IF(INDEX(Raw_매출!$B$2:$BI$155,MATCH($A94,Raw_매출!$A$2:$A$155,0),MATCH(EDATE($E94,AN$1-1),Raw_매출!$B$1:$BI$1,0))=0,"",INDEX(Raw_매출!$B$2:$BI$155,MATCH($A94,Raw_매출!$A$2:$A$155,0),MATCH(EDATE($E94,AN$1-1),Raw_매출!$B$1:$BI$1,0))/(INDEX(요약_월별시즈널리티!$F$7:$F$18,MONTH(EDATE($E94,AN$1-1)))/100))),"")</f>
        <v/>
      </c>
      <c r="AO94" t="str" cm="1">
        <f t="array" ref="AO94">IFERROR(IF($E94&lt;44348,"",IF(INDEX(Raw_매출!$B$2:$BI$155,MATCH($A94,Raw_매출!$A$2:$A$155,0),MATCH(EDATE($E94,AO$1-1),Raw_매출!$B$1:$BI$1,0))=0,"",INDEX(Raw_매출!$B$2:$BI$155,MATCH($A94,Raw_매출!$A$2:$A$155,0),MATCH(EDATE($E94,AO$1-1),Raw_매출!$B$1:$BI$1,0))/(INDEX(요약_월별시즈널리티!$F$7:$F$18,MONTH(EDATE($E94,AO$1-1)))/100))),"")</f>
        <v/>
      </c>
      <c r="AP94" t="str" cm="1">
        <f t="array" ref="AP94">IFERROR(IF($E94&lt;44348,"",IF(INDEX(Raw_매출!$B$2:$BI$155,MATCH($A94,Raw_매출!$A$2:$A$155,0),MATCH(EDATE($E94,AP$1-1),Raw_매출!$B$1:$BI$1,0))=0,"",INDEX(Raw_매출!$B$2:$BI$155,MATCH($A94,Raw_매출!$A$2:$A$155,0),MATCH(EDATE($E94,AP$1-1),Raw_매출!$B$1:$BI$1,0))/(INDEX(요약_월별시즈널리티!$F$7:$F$18,MONTH(EDATE($E94,AP$1-1)))/100))),"")</f>
        <v/>
      </c>
      <c r="AQ94" t="str" cm="1">
        <f t="array" ref="AQ94">IFERROR(IF($E94&lt;44348,"",IF(INDEX(Raw_매출!$B$2:$BI$155,MATCH($A94,Raw_매출!$A$2:$A$155,0),MATCH(EDATE($E94,AQ$1-1),Raw_매출!$B$1:$BI$1,0))=0,"",INDEX(Raw_매출!$B$2:$BI$155,MATCH($A94,Raw_매출!$A$2:$A$155,0),MATCH(EDATE($E94,AQ$1-1),Raw_매출!$B$1:$BI$1,0))/(INDEX(요약_월별시즈널리티!$F$7:$F$18,MONTH(EDATE($E94,AQ$1-1)))/100))),"")</f>
        <v/>
      </c>
      <c r="AR94" t="str" cm="1">
        <f t="array" ref="AR94">IFERROR(IF($E94&lt;44348,"",IF(INDEX(Raw_매출!$B$2:$BI$155,MATCH($A94,Raw_매출!$A$2:$A$155,0),MATCH(EDATE($E94,AR$1-1),Raw_매출!$B$1:$BI$1,0))=0,"",INDEX(Raw_매출!$B$2:$BI$155,MATCH($A94,Raw_매출!$A$2:$A$155,0),MATCH(EDATE($E94,AR$1-1),Raw_매출!$B$1:$BI$1,0))/(INDEX(요약_월별시즈널리티!$F$7:$F$18,MONTH(EDATE($E94,AR$1-1)))/100))),"")</f>
        <v/>
      </c>
      <c r="AS94" t="str" cm="1">
        <f t="array" ref="AS94">IFERROR(IF($E94&lt;44348,"",IF(INDEX(Raw_매출!$B$2:$BI$155,MATCH($A94,Raw_매출!$A$2:$A$155,0),MATCH(EDATE($E94,AS$1-1),Raw_매출!$B$1:$BI$1,0))=0,"",INDEX(Raw_매출!$B$2:$BI$155,MATCH($A94,Raw_매출!$A$2:$A$155,0),MATCH(EDATE($E94,AS$1-1),Raw_매출!$B$1:$BI$1,0))/(INDEX(요약_월별시즈널리티!$F$7:$F$18,MONTH(EDATE($E94,AS$1-1)))/100))),"")</f>
        <v/>
      </c>
      <c r="AT94" t="str" cm="1">
        <f t="array" ref="AT94">IFERROR(IF($E94&lt;44348,"",IF(INDEX(Raw_매출!$B$2:$BI$155,MATCH($A94,Raw_매출!$A$2:$A$155,0),MATCH(EDATE($E94,AT$1-1),Raw_매출!$B$1:$BI$1,0))=0,"",INDEX(Raw_매출!$B$2:$BI$155,MATCH($A94,Raw_매출!$A$2:$A$155,0),MATCH(EDATE($E94,AT$1-1),Raw_매출!$B$1:$BI$1,0))/(INDEX(요약_월별시즈널리티!$F$7:$F$18,MONTH(EDATE($E94,AT$1-1)))/100))),"")</f>
        <v/>
      </c>
      <c r="AU94" t="str" cm="1">
        <f t="array" ref="AU94">IFERROR(IF($E94&lt;44348,"",IF(INDEX(Raw_매출!$B$2:$BI$155,MATCH($A94,Raw_매출!$A$2:$A$155,0),MATCH(EDATE($E94,AU$1-1),Raw_매출!$B$1:$BI$1,0))=0,"",INDEX(Raw_매출!$B$2:$BI$155,MATCH($A94,Raw_매출!$A$2:$A$155,0),MATCH(EDATE($E94,AU$1-1),Raw_매출!$B$1:$BI$1,0))/(INDEX(요약_월별시즈널리티!$F$7:$F$18,MONTH(EDATE($E94,AU$1-1)))/100))),"")</f>
        <v/>
      </c>
      <c r="AV94" t="str" cm="1">
        <f t="array" ref="AV94">IFERROR(IF($E94&lt;44348,"",IF(INDEX(Raw_매출!$B$2:$BI$155,MATCH($A94,Raw_매출!$A$2:$A$155,0),MATCH(EDATE($E94,AV$1-1),Raw_매출!$B$1:$BI$1,0))=0,"",INDEX(Raw_매출!$B$2:$BI$155,MATCH($A94,Raw_매출!$A$2:$A$155,0),MATCH(EDATE($E94,AV$1-1),Raw_매출!$B$1:$BI$1,0))/(INDEX(요약_월별시즈널리티!$F$7:$F$18,MONTH(EDATE($E94,AV$1-1)))/100))),"")</f>
        <v/>
      </c>
      <c r="AW94" t="str" cm="1">
        <f t="array" ref="AW94">IFERROR(IF($E94&lt;44348,"",IF(INDEX(Raw_매출!$B$2:$BI$155,MATCH($A94,Raw_매출!$A$2:$A$155,0),MATCH(EDATE($E94,AW$1-1),Raw_매출!$B$1:$BI$1,0))=0,"",INDEX(Raw_매출!$B$2:$BI$155,MATCH($A94,Raw_매출!$A$2:$A$155,0),MATCH(EDATE($E94,AW$1-1),Raw_매출!$B$1:$BI$1,0))/(INDEX(요약_월별시즈널리티!$F$7:$F$18,MONTH(EDATE($E94,AW$1-1)))/100))),"")</f>
        <v/>
      </c>
      <c r="AX94" t="str" cm="1">
        <f t="array" ref="AX94">IFERROR(IF($E94&lt;44348,"",IF(INDEX(Raw_매출!$B$2:$BI$155,MATCH($A94,Raw_매출!$A$2:$A$155,0),MATCH(EDATE($E94,AX$1-1),Raw_매출!$B$1:$BI$1,0))=0,"",INDEX(Raw_매출!$B$2:$BI$155,MATCH($A94,Raw_매출!$A$2:$A$155,0),MATCH(EDATE($E94,AX$1-1),Raw_매출!$B$1:$BI$1,0))/(INDEX(요약_월별시즈널리티!$F$7:$F$18,MONTH(EDATE($E94,AX$1-1)))/100))),"")</f>
        <v/>
      </c>
      <c r="AY94" t="str" cm="1">
        <f t="array" ref="AY94">IFERROR(IF($E94&lt;44348,"",IF(INDEX(Raw_매출!$B$2:$BI$155,MATCH($A94,Raw_매출!$A$2:$A$155,0),MATCH(EDATE($E94,AY$1-1),Raw_매출!$B$1:$BI$1,0))=0,"",INDEX(Raw_매출!$B$2:$BI$155,MATCH($A94,Raw_매출!$A$2:$A$155,0),MATCH(EDATE($E94,AY$1-1),Raw_매출!$B$1:$BI$1,0))/(INDEX(요약_월별시즈널리티!$F$7:$F$18,MONTH(EDATE($E94,AY$1-1)))/100))),"")</f>
        <v/>
      </c>
      <c r="AZ94" t="str" cm="1">
        <f t="array" ref="AZ94">IFERROR(IF($E94&lt;44348,"",IF(INDEX(Raw_매출!$B$2:$BI$155,MATCH($A94,Raw_매출!$A$2:$A$155,0),MATCH(EDATE($E94,AZ$1-1),Raw_매출!$B$1:$BI$1,0))=0,"",INDEX(Raw_매출!$B$2:$BI$155,MATCH($A94,Raw_매출!$A$2:$A$155,0),MATCH(EDATE($E94,AZ$1-1),Raw_매출!$B$1:$BI$1,0))/(INDEX(요약_월별시즈널리티!$F$7:$F$18,MONTH(EDATE($E94,AZ$1-1)))/100))),"")</f>
        <v/>
      </c>
      <c r="BA94" t="str" cm="1">
        <f t="array" ref="BA94">IFERROR(IF($E94&lt;44348,"",IF(INDEX(Raw_매출!$B$2:$BI$155,MATCH($A94,Raw_매출!$A$2:$A$155,0),MATCH(EDATE($E94,BA$1-1),Raw_매출!$B$1:$BI$1,0))=0,"",INDEX(Raw_매출!$B$2:$BI$155,MATCH($A94,Raw_매출!$A$2:$A$155,0),MATCH(EDATE($E94,BA$1-1),Raw_매출!$B$1:$BI$1,0))/(INDEX(요약_월별시즈널리티!$F$7:$F$18,MONTH(EDATE($E94,BA$1-1)))/100))),"")</f>
        <v/>
      </c>
      <c r="BB94" t="str" cm="1">
        <f t="array" ref="BB94">IFERROR(IF($E94&lt;44348,"",IF(INDEX(Raw_매출!$B$2:$BI$155,MATCH($A94,Raw_매출!$A$2:$A$155,0),MATCH(EDATE($E94,BB$1-1),Raw_매출!$B$1:$BI$1,0))=0,"",INDEX(Raw_매출!$B$2:$BI$155,MATCH($A94,Raw_매출!$A$2:$A$155,0),MATCH(EDATE($E94,BB$1-1),Raw_매출!$B$1:$BI$1,0))/(INDEX(요약_월별시즈널리티!$F$7:$F$18,MONTH(EDATE($E94,BB$1-1)))/100))),"")</f>
        <v/>
      </c>
      <c r="BC94" t="str" cm="1">
        <f t="array" ref="BC94">IFERROR(IF($E94&lt;44348,"",IF(INDEX(Raw_매출!$B$2:$BI$155,MATCH($A94,Raw_매출!$A$2:$A$155,0),MATCH(EDATE($E94,BC$1-1),Raw_매출!$B$1:$BI$1,0))=0,"",INDEX(Raw_매출!$B$2:$BI$155,MATCH($A94,Raw_매출!$A$2:$A$155,0),MATCH(EDATE($E94,BC$1-1),Raw_매출!$B$1:$BI$1,0))/(INDEX(요약_월별시즈널리티!$F$7:$F$18,MONTH(EDATE($E94,BC$1-1)))/100))),"")</f>
        <v/>
      </c>
      <c r="BD94" t="str" cm="1">
        <f t="array" ref="BD94">IFERROR(IF($E94&lt;44348,"",IF(INDEX(Raw_매출!$B$2:$BI$155,MATCH($A94,Raw_매출!$A$2:$A$155,0),MATCH(EDATE($E94,BD$1-1),Raw_매출!$B$1:$BI$1,0))=0,"",INDEX(Raw_매출!$B$2:$BI$155,MATCH($A94,Raw_매출!$A$2:$A$155,0),MATCH(EDATE($E94,BD$1-1),Raw_매출!$B$1:$BI$1,0))/(INDEX(요약_월별시즈널리티!$F$7:$F$18,MONTH(EDATE($E94,BD$1-1)))/100))),"")</f>
        <v/>
      </c>
      <c r="BE94" t="str" cm="1">
        <f t="array" ref="BE94">IFERROR(IF($E94&lt;44348,"",IF(INDEX(Raw_매출!$B$2:$BI$155,MATCH($A94,Raw_매출!$A$2:$A$155,0),MATCH(EDATE($E94,BE$1-1),Raw_매출!$B$1:$BI$1,0))=0,"",INDEX(Raw_매출!$B$2:$BI$155,MATCH($A94,Raw_매출!$A$2:$A$155,0),MATCH(EDATE($E94,BE$1-1),Raw_매출!$B$1:$BI$1,0))/(INDEX(요약_월별시즈널리티!$F$7:$F$18,MONTH(EDATE($E94,BE$1-1)))/100))),"")</f>
        <v/>
      </c>
      <c r="BF94" t="str" cm="1">
        <f t="array" ref="BF94">IFERROR(IF($E94&lt;44348,"",IF(INDEX(Raw_매출!$B$2:$BI$155,MATCH($A94,Raw_매출!$A$2:$A$155,0),MATCH(EDATE($E94,BF$1-1),Raw_매출!$B$1:$BI$1,0))=0,"",INDEX(Raw_매출!$B$2:$BI$155,MATCH($A94,Raw_매출!$A$2:$A$155,0),MATCH(EDATE($E94,BF$1-1),Raw_매출!$B$1:$BI$1,0))/(INDEX(요약_월별시즈널리티!$F$7:$F$18,MONTH(EDATE($E94,BF$1-1)))/100))),"")</f>
        <v/>
      </c>
      <c r="BG94" t="str" cm="1">
        <f t="array" ref="BG94">IFERROR(IF($E94&lt;44348,"",IF(INDEX(Raw_매출!$B$2:$BI$155,MATCH($A94,Raw_매출!$A$2:$A$155,0),MATCH(EDATE($E94,BG$1-1),Raw_매출!$B$1:$BI$1,0))=0,"",INDEX(Raw_매출!$B$2:$BI$155,MATCH($A94,Raw_매출!$A$2:$A$155,0),MATCH(EDATE($E94,BG$1-1),Raw_매출!$B$1:$BI$1,0))/(INDEX(요약_월별시즈널리티!$F$7:$F$18,MONTH(EDATE($E94,BG$1-1)))/100))),"")</f>
        <v/>
      </c>
      <c r="BH94" t="str" cm="1">
        <f t="array" ref="BH94">IFERROR(IF($E94&lt;44348,"",IF(INDEX(Raw_매출!$B$2:$BI$155,MATCH($A94,Raw_매출!$A$2:$A$155,0),MATCH(EDATE($E94,BH$1-1),Raw_매출!$B$1:$BI$1,0))=0,"",INDEX(Raw_매출!$B$2:$BI$155,MATCH($A94,Raw_매출!$A$2:$A$155,0),MATCH(EDATE($E94,BH$1-1),Raw_매출!$B$1:$BI$1,0))/(INDEX(요약_월별시즈널리티!$F$7:$F$18,MONTH(EDATE($E94,BH$1-1)))/100))),"")</f>
        <v/>
      </c>
      <c r="BI94" t="str" cm="1">
        <f t="array" ref="BI94">IFERROR(IF($E94&lt;44348,"",IF(INDEX(Raw_매출!$B$2:$BI$155,MATCH($A94,Raw_매출!$A$2:$A$155,0),MATCH(EDATE($E94,BI$1-1),Raw_매출!$B$1:$BI$1,0))=0,"",INDEX(Raw_매출!$B$2:$BI$155,MATCH($A94,Raw_매출!$A$2:$A$155,0),MATCH(EDATE($E94,BI$1-1),Raw_매출!$B$1:$BI$1,0))/(INDEX(요약_월별시즈널리티!$F$7:$F$18,MONTH(EDATE($E94,BI$1-1)))/100))),"")</f>
        <v/>
      </c>
      <c r="BJ94" t="str" cm="1">
        <f t="array" ref="BJ94">IFERROR(IF($E94&lt;44348,"",IF(INDEX(Raw_매출!$B$2:$BI$155,MATCH($A94,Raw_매출!$A$2:$A$155,0),MATCH(EDATE($E94,BJ$1-1),Raw_매출!$B$1:$BI$1,0))=0,"",INDEX(Raw_매출!$B$2:$BI$155,MATCH($A94,Raw_매출!$A$2:$A$155,0),MATCH(EDATE($E94,BJ$1-1),Raw_매출!$B$1:$BI$1,0))/(INDEX(요약_월별시즈널리티!$F$7:$F$18,MONTH(EDATE($E94,BJ$1-1)))/100))),"")</f>
        <v/>
      </c>
      <c r="BK94" t="str" cm="1">
        <f t="array" ref="BK94">IFERROR(IF($E94&lt;44348,"",IF(INDEX(Raw_매출!$B$2:$BI$155,MATCH($A94,Raw_매출!$A$2:$A$155,0),MATCH(EDATE($E94,BK$1-1),Raw_매출!$B$1:$BI$1,0))=0,"",INDEX(Raw_매출!$B$2:$BI$155,MATCH($A94,Raw_매출!$A$2:$A$155,0),MATCH(EDATE($E94,BK$1-1),Raw_매출!$B$1:$BI$1,0))/(INDEX(요약_월별시즈널리티!$F$7:$F$18,MONTH(EDATE($E94,BK$1-1)))/100))),"")</f>
        <v/>
      </c>
      <c r="BL94" t="str" cm="1">
        <f t="array" ref="BL94">IFERROR(IF($E94&lt;44348,"",IF(INDEX(Raw_매출!$B$2:$BI$155,MATCH($A94,Raw_매출!$A$2:$A$155,0),MATCH(EDATE($E94,BL$1-1),Raw_매출!$B$1:$BI$1,0))=0,"",INDEX(Raw_매출!$B$2:$BI$155,MATCH($A94,Raw_매출!$A$2:$A$155,0),MATCH(EDATE($E94,BL$1-1),Raw_매출!$B$1:$BI$1,0))/(INDEX(요약_월별시즈널리티!$F$7:$F$18,MONTH(EDATE($E94,BL$1-1)))/100))),"")</f>
        <v/>
      </c>
      <c r="BM94" t="str" cm="1">
        <f t="array" ref="BM94">IFERROR(IF($E94&lt;44348,"",IF(INDEX(Raw_매출!$B$2:$BI$155,MATCH($A94,Raw_매출!$A$2:$A$155,0),MATCH(EDATE($E94,BM$1-1),Raw_매출!$B$1:$BI$1,0))=0,"",INDEX(Raw_매출!$B$2:$BI$155,MATCH($A94,Raw_매출!$A$2:$A$155,0),MATCH(EDATE($E94,BM$1-1),Raw_매출!$B$1:$BI$1,0))/(INDEX(요약_월별시즈널리티!$F$7:$F$18,MONTH(EDATE($E94,BM$1-1)))/100))),"")</f>
        <v/>
      </c>
      <c r="BN94" t="str" cm="1">
        <f t="array" ref="BN94">IFERROR(IF($E94&lt;44348,"",IF(INDEX(Raw_매출!$B$2:$BI$155,MATCH($A94,Raw_매출!$A$2:$A$155,0),MATCH(EDATE($E94,BN$1-1),Raw_매출!$B$1:$BI$1,0))=0,"",INDEX(Raw_매출!$B$2:$BI$155,MATCH($A94,Raw_매출!$A$2:$A$155,0),MATCH(EDATE($E94,BN$1-1),Raw_매출!$B$1:$BI$1,0))/(INDEX(요약_월별시즈널리티!$F$7:$F$18,MONTH(EDATE($E94,BN$1-1)))/100))),"")</f>
        <v/>
      </c>
    </row>
    <row r="95" spans="1:66" x14ac:dyDescent="0.4">
      <c r="A95" t="str">
        <f>세팅!A96</f>
        <v>(1084) #신대방삼거리점</v>
      </c>
      <c r="B95" t="str">
        <f>세팅!B96</f>
        <v>150-2</v>
      </c>
      <c r="C95">
        <f t="shared" si="3"/>
        <v>2</v>
      </c>
      <c r="D95" t="str">
        <f t="shared" si="4"/>
        <v>2</v>
      </c>
      <c r="E95" s="1">
        <f>세팅!D96</f>
        <v>45170</v>
      </c>
      <c r="F95">
        <f t="shared" si="5"/>
        <v>7324183.247677044</v>
      </c>
      <c r="G95" cm="1">
        <f t="array" ref="G95">IFERROR(IF($E95&lt;44348,"",IF(INDEX(Raw_매출!$B$2:$BI$155,MATCH($A95,Raw_매출!$A$2:$A$155,0),MATCH(EDATE($E95,G$1-1),Raw_매출!$B$1:$BI$1,0))=0,"",INDEX(Raw_매출!$B$2:$BI$155,MATCH($A95,Raw_매출!$A$2:$A$155,0),MATCH(EDATE($E95,G$1-1),Raw_매출!$B$1:$BI$1,0))/(INDEX(요약_월별시즈널리티!$F$7:$F$18,MONTH(EDATE($E95,G$1-1)))/100))),"")</f>
        <v>4019572.5815986162</v>
      </c>
      <c r="H95" cm="1">
        <f t="array" ref="H95">IFERROR(IF($E95&lt;44348,"",IF(INDEX(Raw_매출!$B$2:$BI$155,MATCH($A95,Raw_매출!$A$2:$A$155,0),MATCH(EDATE($E95,H$1-1),Raw_매출!$B$1:$BI$1,0))=0,"",INDEX(Raw_매출!$B$2:$BI$155,MATCH($A95,Raw_매출!$A$2:$A$155,0),MATCH(EDATE($E95,H$1-1),Raw_매출!$B$1:$BI$1,0))/(INDEX(요약_월별시즈널리티!$F$7:$F$18,MONTH(EDATE($E95,H$1-1)))/100))),"")</f>
        <v>5321911.1840634132</v>
      </c>
      <c r="I95" cm="1">
        <f t="array" ref="I95">IFERROR(IF($E95&lt;44348,"",IF(INDEX(Raw_매출!$B$2:$BI$155,MATCH($A95,Raw_매출!$A$2:$A$155,0),MATCH(EDATE($E95,I$1-1),Raw_매출!$B$1:$BI$1,0))=0,"",INDEX(Raw_매출!$B$2:$BI$155,MATCH($A95,Raw_매출!$A$2:$A$155,0),MATCH(EDATE($E95,I$1-1),Raw_매출!$B$1:$BI$1,0))/(INDEX(요약_월별시즈널리티!$F$7:$F$18,MONTH(EDATE($E95,I$1-1)))/100))),"")</f>
        <v>5089685.8887884151</v>
      </c>
      <c r="J95" s="30" cm="1">
        <f t="array" ref="J95">IFERROR(IF($E95&lt;44348,"",IF(INDEX(Raw_매출!$B$2:$BI$155,MATCH($A95,Raw_매출!$A$2:$A$155,0),MATCH(EDATE($E95,J$1-1),Raw_매출!$B$1:$BI$1,0))=0,"",INDEX(Raw_매출!$B$2:$BI$155,MATCH($A95,Raw_매출!$A$2:$A$155,0),MATCH(EDATE($E95,J$1-1),Raw_매출!$B$1:$BI$1,0))/(INDEX(요약_월별시즈널리티!$F$7:$F$18,MONTH(EDATE($E95,J$1-1)))/100))),"")</f>
        <v>6242993.3520395979</v>
      </c>
      <c r="K95" s="30" cm="1">
        <f t="array" ref="K95">IFERROR(IF($E95&lt;44348,"",IF(INDEX(Raw_매출!$B$2:$BI$155,MATCH($A95,Raw_매출!$A$2:$A$155,0),MATCH(EDATE($E95,K$1-1),Raw_매출!$B$1:$BI$1,0))=0,"",INDEX(Raw_매출!$B$2:$BI$155,MATCH($A95,Raw_매출!$A$2:$A$155,0),MATCH(EDATE($E95,K$1-1),Raw_매출!$B$1:$BI$1,0))/(INDEX(요약_월별시즈널리티!$F$7:$F$18,MONTH(EDATE($E95,K$1-1)))/100))),"")</f>
        <v>6413797.3069168478</v>
      </c>
      <c r="L95" s="30" cm="1">
        <f t="array" ref="L95">IFERROR(IF($E95&lt;44348,"",IF(INDEX(Raw_매출!$B$2:$BI$155,MATCH($A95,Raw_매출!$A$2:$A$155,0),MATCH(EDATE($E95,L$1-1),Raw_매출!$B$1:$BI$1,0))=0,"",INDEX(Raw_매출!$B$2:$BI$155,MATCH($A95,Raw_매출!$A$2:$A$155,0),MATCH(EDATE($E95,L$1-1),Raw_매출!$B$1:$BI$1,0))/(INDEX(요약_월별시즈널리티!$F$7:$F$18,MONTH(EDATE($E95,L$1-1)))/100))),"")</f>
        <v>6780935.7869840646</v>
      </c>
      <c r="M95" s="30" cm="1">
        <f t="array" ref="M95">IFERROR(IF($E95&lt;44348,"",IF(INDEX(Raw_매출!$B$2:$BI$155,MATCH($A95,Raw_매출!$A$2:$A$155,0),MATCH(EDATE($E95,M$1-1),Raw_매출!$B$1:$BI$1,0))=0,"",INDEX(Raw_매출!$B$2:$BI$155,MATCH($A95,Raw_매출!$A$2:$A$155,0),MATCH(EDATE($E95,M$1-1),Raw_매출!$B$1:$BI$1,0))/(INDEX(요약_월별시즈널리티!$F$7:$F$18,MONTH(EDATE($E95,M$1-1)))/100))),"")</f>
        <v>8468523.6741394326</v>
      </c>
      <c r="N95" s="30" cm="1">
        <f t="array" ref="N95">IFERROR(IF($E95&lt;44348,"",IF(INDEX(Raw_매출!$B$2:$BI$155,MATCH($A95,Raw_매출!$A$2:$A$155,0),MATCH(EDATE($E95,N$1-1),Raw_매출!$B$1:$BI$1,0))=0,"",INDEX(Raw_매출!$B$2:$BI$155,MATCH($A95,Raw_매출!$A$2:$A$155,0),MATCH(EDATE($E95,N$1-1),Raw_매출!$B$1:$BI$1,0))/(INDEX(요약_월별시즈널리티!$F$7:$F$18,MONTH(EDATE($E95,N$1-1)))/100))),"")</f>
        <v>8493789.8730553407</v>
      </c>
      <c r="O95" s="30" cm="1">
        <f t="array" ref="O95">IFERROR(IF($E95&lt;44348,"",IF(INDEX(Raw_매출!$B$2:$BI$155,MATCH($A95,Raw_매출!$A$2:$A$155,0),MATCH(EDATE($E95,O$1-1),Raw_매출!$B$1:$BI$1,0))=0,"",INDEX(Raw_매출!$B$2:$BI$155,MATCH($A95,Raw_매출!$A$2:$A$155,0),MATCH(EDATE($E95,O$1-1),Raw_매출!$B$1:$BI$1,0))/(INDEX(요약_월별시즈널리티!$F$7:$F$18,MONTH(EDATE($E95,O$1-1)))/100))),"")</f>
        <v>7545059.4929269841</v>
      </c>
      <c r="P95" cm="1">
        <f t="array" ref="P95">IFERROR(IF($E95&lt;44348,"",IF(INDEX(Raw_매출!$B$2:$BI$155,MATCH($A95,Raw_매출!$A$2:$A$155,0),MATCH(EDATE($E95,P$1-1),Raw_매출!$B$1:$BI$1,0))=0,"",INDEX(Raw_매출!$B$2:$BI$155,MATCH($A95,Raw_매출!$A$2:$A$155,0),MATCH(EDATE($E95,P$1-1),Raw_매출!$B$1:$BI$1,0))/(INDEX(요약_월별시즈널리티!$F$7:$F$18,MONTH(EDATE($E95,P$1-1)))/100))),"")</f>
        <v>8567424.0049531087</v>
      </c>
      <c r="Q95" cm="1">
        <f t="array" ref="Q95">IFERROR(IF($E95&lt;44348,"",IF(INDEX(Raw_매출!$B$2:$BI$155,MATCH($A95,Raw_매출!$A$2:$A$155,0),MATCH(EDATE($E95,Q$1-1),Raw_매출!$B$1:$BI$1,0))=0,"",INDEX(Raw_매출!$B$2:$BI$155,MATCH($A95,Raw_매출!$A$2:$A$155,0),MATCH(EDATE($E95,Q$1-1),Raw_매출!$B$1:$BI$1,0))/(INDEX(요약_월별시즈널리티!$F$7:$F$18,MONTH(EDATE($E95,Q$1-1)))/100))),"")</f>
        <v>8239502.5681326687</v>
      </c>
      <c r="R95" cm="1">
        <f t="array" ref="R95">IFERROR(IF($E95&lt;44348,"",IF(INDEX(Raw_매출!$B$2:$BI$155,MATCH($A95,Raw_매출!$A$2:$A$155,0),MATCH(EDATE($E95,R$1-1),Raw_매출!$B$1:$BI$1,0))=0,"",INDEX(Raw_매출!$B$2:$BI$155,MATCH($A95,Raw_매출!$A$2:$A$155,0),MATCH(EDATE($E95,R$1-1),Raw_매출!$B$1:$BI$1,0))/(INDEX(요약_월별시즈널리티!$F$7:$F$18,MONTH(EDATE($E95,R$1-1)))/100))),"")</f>
        <v>8612358.5243879594</v>
      </c>
      <c r="S95" cm="1">
        <f t="array" ref="S95">IFERROR(IF($E95&lt;44348,"",IF(INDEX(Raw_매출!$B$2:$BI$155,MATCH($A95,Raw_매출!$A$2:$A$155,0),MATCH(EDATE($E95,S$1-1),Raw_매출!$B$1:$BI$1,0))=0,"",INDEX(Raw_매출!$B$2:$BI$155,MATCH($A95,Raw_매출!$A$2:$A$155,0),MATCH(EDATE($E95,S$1-1),Raw_매출!$B$1:$BI$1,0))/(INDEX(요약_월별시즈널리티!$F$7:$F$18,MONTH(EDATE($E95,S$1-1)))/100))),"")</f>
        <v>8612856.1667707786</v>
      </c>
      <c r="T95" cm="1">
        <f t="array" ref="T95">IFERROR(IF($E95&lt;44348,"",IF(INDEX(Raw_매출!$B$2:$BI$155,MATCH($A95,Raw_매출!$A$2:$A$155,0),MATCH(EDATE($E95,T$1-1),Raw_매출!$B$1:$BI$1,0))=0,"",INDEX(Raw_매출!$B$2:$BI$155,MATCH($A95,Raw_매출!$A$2:$A$155,0),MATCH(EDATE($E95,T$1-1),Raw_매출!$B$1:$BI$1,0))/(INDEX(요약_월별시즈널리티!$F$7:$F$18,MONTH(EDATE($E95,T$1-1)))/100))),"")</f>
        <v>8544952.033958355</v>
      </c>
      <c r="U95" cm="1">
        <f t="array" ref="U95">IFERROR(IF($E95&lt;44348,"",IF(INDEX(Raw_매출!$B$2:$BI$155,MATCH($A95,Raw_매출!$A$2:$A$155,0),MATCH(EDATE($E95,U$1-1),Raw_매출!$B$1:$BI$1,0))=0,"",INDEX(Raw_매출!$B$2:$BI$155,MATCH($A95,Raw_매출!$A$2:$A$155,0),MATCH(EDATE($E95,U$1-1),Raw_매출!$B$1:$BI$1,0))/(INDEX(요약_월별시즈널리티!$F$7:$F$18,MONTH(EDATE($E95,U$1-1)))/100))),"")</f>
        <v>8227637.1623630049</v>
      </c>
      <c r="V95" cm="1">
        <f t="array" ref="V95">IFERROR(IF($E95&lt;44348,"",IF(INDEX(Raw_매출!$B$2:$BI$155,MATCH($A95,Raw_매출!$A$2:$A$155,0),MATCH(EDATE($E95,V$1-1),Raw_매출!$B$1:$BI$1,0))=0,"",INDEX(Raw_매출!$B$2:$BI$155,MATCH($A95,Raw_매출!$A$2:$A$155,0),MATCH(EDATE($E95,V$1-1),Raw_매출!$B$1:$BI$1,0))/(INDEX(요약_월별시즈널리티!$F$7:$F$18,MONTH(EDATE($E95,V$1-1)))/100))),"")</f>
        <v>8549155.6769365687</v>
      </c>
      <c r="W95" cm="1">
        <f t="array" ref="W95">IFERROR(IF($E95&lt;44348,"",IF(INDEX(Raw_매출!$B$2:$BI$155,MATCH($A95,Raw_매출!$A$2:$A$155,0),MATCH(EDATE($E95,W$1-1),Raw_매출!$B$1:$BI$1,0))=0,"",INDEX(Raw_매출!$B$2:$BI$155,MATCH($A95,Raw_매출!$A$2:$A$155,0),MATCH(EDATE($E95,W$1-1),Raw_매출!$B$1:$BI$1,0))/(INDEX(요약_월별시즈널리티!$F$7:$F$18,MONTH(EDATE($E95,W$1-1)))/100))),"")</f>
        <v>9626353.4162510317</v>
      </c>
      <c r="X95" cm="1">
        <f t="array" ref="X95">IFERROR(IF($E95&lt;44348,"",IF(INDEX(Raw_매출!$B$2:$BI$155,MATCH($A95,Raw_매출!$A$2:$A$155,0),MATCH(EDATE($E95,X$1-1),Raw_매출!$B$1:$BI$1,0))=0,"",INDEX(Raw_매출!$B$2:$BI$155,MATCH($A95,Raw_매출!$A$2:$A$155,0),MATCH(EDATE($E95,X$1-1),Raw_매출!$B$1:$BI$1,0))/(INDEX(요약_월별시즈널리티!$F$7:$F$18,MONTH(EDATE($E95,X$1-1)))/100))),"")</f>
        <v>8845885.2642381564</v>
      </c>
      <c r="Y95" cm="1">
        <f t="array" ref="Y95">IFERROR(IF($E95&lt;44348,"",IF(INDEX(Raw_매출!$B$2:$BI$155,MATCH($A95,Raw_매출!$A$2:$A$155,0),MATCH(EDATE($E95,Y$1-1),Raw_매출!$B$1:$BI$1,0))=0,"",INDEX(Raw_매출!$B$2:$BI$155,MATCH($A95,Raw_매출!$A$2:$A$155,0),MATCH(EDATE($E95,Y$1-1),Raw_매출!$B$1:$BI$1,0))/(INDEX(요약_월별시즈널리티!$F$7:$F$18,MONTH(EDATE($E95,Y$1-1)))/100))),"")</f>
        <v>9869653.2138576042</v>
      </c>
      <c r="Z95" cm="1">
        <f t="array" ref="Z95">IFERROR(IF($E95&lt;44348,"",IF(INDEX(Raw_매출!$B$2:$BI$155,MATCH($A95,Raw_매출!$A$2:$A$155,0),MATCH(EDATE($E95,Z$1-1),Raw_매출!$B$1:$BI$1,0))=0,"",INDEX(Raw_매출!$B$2:$BI$155,MATCH($A95,Raw_매출!$A$2:$A$155,0),MATCH(EDATE($E95,Z$1-1),Raw_매출!$B$1:$BI$1,0))/(INDEX(요약_월별시즈널리티!$F$7:$F$18,MONTH(EDATE($E95,Z$1-1)))/100))),"")</f>
        <v>8548194.0661054719</v>
      </c>
      <c r="AA95" cm="1">
        <f t="array" ref="AA95">IFERROR(IF($E95&lt;44348,"",IF(INDEX(Raw_매출!$B$2:$BI$155,MATCH($A95,Raw_매출!$A$2:$A$155,0),MATCH(EDATE($E95,AA$1-1),Raw_매출!$B$1:$BI$1,0))=0,"",INDEX(Raw_매출!$B$2:$BI$155,MATCH($A95,Raw_매출!$A$2:$A$155,0),MATCH(EDATE($E95,AA$1-1),Raw_매출!$B$1:$BI$1,0))/(INDEX(요약_월별시즈널리티!$F$7:$F$18,MONTH(EDATE($E95,AA$1-1)))/100))),"")</f>
        <v>9850905.5990924425</v>
      </c>
      <c r="AB95" cm="1">
        <f t="array" ref="AB95">IFERROR(IF($E95&lt;44348,"",IF(INDEX(Raw_매출!$B$2:$BI$155,MATCH($A95,Raw_매출!$A$2:$A$155,0),MATCH(EDATE($E95,AB$1-1),Raw_매출!$B$1:$BI$1,0))=0,"",INDEX(Raw_매출!$B$2:$BI$155,MATCH($A95,Raw_매출!$A$2:$A$155,0),MATCH(EDATE($E95,AB$1-1),Raw_매출!$B$1:$BI$1,0))/(INDEX(요약_월별시즈널리티!$F$7:$F$18,MONTH(EDATE($E95,AB$1-1)))/100))),"")</f>
        <v>9517079.0777710434</v>
      </c>
      <c r="AC95" cm="1">
        <f t="array" ref="AC95">IFERROR(IF($E95&lt;44348,"",IF(INDEX(Raw_매출!$B$2:$BI$155,MATCH($A95,Raw_매출!$A$2:$A$155,0),MATCH(EDATE($E95,AC$1-1),Raw_매출!$B$1:$BI$1,0))=0,"",INDEX(Raw_매출!$B$2:$BI$155,MATCH($A95,Raw_매출!$A$2:$A$155,0),MATCH(EDATE($E95,AC$1-1),Raw_매출!$B$1:$BI$1,0))/(INDEX(요약_월별시즈널리티!$F$7:$F$18,MONTH(EDATE($E95,AC$1-1)))/100))),"")</f>
        <v>8351559.8030592734</v>
      </c>
      <c r="AD95" cm="1">
        <f t="array" ref="AD95">IFERROR(IF($E95&lt;44348,"",IF(INDEX(Raw_매출!$B$2:$BI$155,MATCH($A95,Raw_매출!$A$2:$A$155,0),MATCH(EDATE($E95,AD$1-1),Raw_매출!$B$1:$BI$1,0))=0,"",INDEX(Raw_매출!$B$2:$BI$155,MATCH($A95,Raw_매출!$A$2:$A$155,0),MATCH(EDATE($E95,AD$1-1),Raw_매출!$B$1:$BI$1,0))/(INDEX(요약_월별시즈널리티!$F$7:$F$18,MONTH(EDATE($E95,AD$1-1)))/100))),"")</f>
        <v>8583057.7882123664</v>
      </c>
      <c r="AE95" cm="1">
        <f t="array" ref="AE95">IFERROR(IF($E95&lt;44348,"",IF(INDEX(Raw_매출!$B$2:$BI$155,MATCH($A95,Raw_매출!$A$2:$A$155,0),MATCH(EDATE($E95,AE$1-1),Raw_매출!$B$1:$BI$1,0))=0,"",INDEX(Raw_매출!$B$2:$BI$155,MATCH($A95,Raw_매출!$A$2:$A$155,0),MATCH(EDATE($E95,AE$1-1),Raw_매출!$B$1:$BI$1,0))/(INDEX(요약_월별시즈널리티!$F$7:$F$18,MONTH(EDATE($E95,AE$1-1)))/100))),"")</f>
        <v>8383839.1876972532</v>
      </c>
      <c r="AF95" cm="1">
        <f t="array" ref="AF95">IFERROR(IF($E95&lt;44348,"",IF(INDEX(Raw_매출!$B$2:$BI$155,MATCH($A95,Raw_매출!$A$2:$A$155,0),MATCH(EDATE($E95,AF$1-1),Raw_매출!$B$1:$BI$1,0))=0,"",INDEX(Raw_매출!$B$2:$BI$155,MATCH($A95,Raw_매출!$A$2:$A$155,0),MATCH(EDATE($E95,AF$1-1),Raw_매출!$B$1:$BI$1,0))/(INDEX(요약_월별시즈널리티!$F$7:$F$18,MONTH(EDATE($E95,AF$1-1)))/100))),"")</f>
        <v>9616196.1851758324</v>
      </c>
      <c r="AG95" cm="1">
        <f t="array" ref="AG95">IFERROR(IF($E95&lt;44348,"",IF(INDEX(Raw_매출!$B$2:$BI$155,MATCH($A95,Raw_매출!$A$2:$A$155,0),MATCH(EDATE($E95,AG$1-1),Raw_매출!$B$1:$BI$1,0))=0,"",INDEX(Raw_매출!$B$2:$BI$155,MATCH($A95,Raw_매출!$A$2:$A$155,0),MATCH(EDATE($E95,AG$1-1),Raw_매출!$B$1:$BI$1,0))/(INDEX(요약_월별시즈널리티!$F$7:$F$18,MONTH(EDATE($E95,AG$1-1)))/100))),"")</f>
        <v>8781461.0694162976</v>
      </c>
      <c r="AH95" cm="1">
        <f t="array" ref="AH95">IFERROR(IF($E95&lt;44348,"",IF(INDEX(Raw_매출!$B$2:$BI$155,MATCH($A95,Raw_매출!$A$2:$A$155,0),MATCH(EDATE($E95,AH$1-1),Raw_매출!$B$1:$BI$1,0))=0,"",INDEX(Raw_매출!$B$2:$BI$155,MATCH($A95,Raw_매출!$A$2:$A$155,0),MATCH(EDATE($E95,AH$1-1),Raw_매출!$B$1:$BI$1,0))/(INDEX(요약_월별시즈널리티!$F$7:$F$18,MONTH(EDATE($E95,AH$1-1)))/100))),"")</f>
        <v>8835708.2008148711</v>
      </c>
      <c r="AI95" cm="1">
        <f t="array" ref="AI95">IFERROR(IF($E95&lt;44348,"",IF(INDEX(Raw_매출!$B$2:$BI$155,MATCH($A95,Raw_매출!$A$2:$A$155,0),MATCH(EDATE($E95,AI$1-1),Raw_매출!$B$1:$BI$1,0))=0,"",INDEX(Raw_매출!$B$2:$BI$155,MATCH($A95,Raw_매출!$A$2:$A$155,0),MATCH(EDATE($E95,AI$1-1),Raw_매출!$B$1:$BI$1,0))/(INDEX(요약_월별시즈널리티!$F$7:$F$18,MONTH(EDATE($E95,AI$1-1)))/100))),"")</f>
        <v>9704898.6774387602</v>
      </c>
      <c r="AJ95" cm="1">
        <f t="array" ref="AJ95">IFERROR(IF($E95&lt;44348,"",IF(INDEX(Raw_매출!$B$2:$BI$155,MATCH($A95,Raw_매출!$A$2:$A$155,0),MATCH(EDATE($E95,AJ$1-1),Raw_매출!$B$1:$BI$1,0))=0,"",INDEX(Raw_매출!$B$2:$BI$155,MATCH($A95,Raw_매출!$A$2:$A$155,0),MATCH(EDATE($E95,AJ$1-1),Raw_매출!$B$1:$BI$1,0))/(INDEX(요약_월별시즈널리티!$F$7:$F$18,MONTH(EDATE($E95,AJ$1-1)))/100))),"")</f>
        <v>10260799.798322173</v>
      </c>
      <c r="AK95" cm="1">
        <f t="array" ref="AK95">IFERROR(IF($E95&lt;44348,"",IF(INDEX(Raw_매출!$B$2:$BI$155,MATCH($A95,Raw_매출!$A$2:$A$155,0),MATCH(EDATE($E95,AK$1-1),Raw_매출!$B$1:$BI$1,0))=0,"",INDEX(Raw_매출!$B$2:$BI$155,MATCH($A95,Raw_매출!$A$2:$A$155,0),MATCH(EDATE($E95,AK$1-1),Raw_매출!$B$1:$BI$1,0))/(INDEX(요약_월별시즈널리티!$F$7:$F$18,MONTH(EDATE($E95,AK$1-1)))/100))),"")</f>
        <v>9790823.5974474605</v>
      </c>
      <c r="AL95" cm="1">
        <f t="array" ref="AL95">IFERROR(IF($E95&lt;44348,"",IF(INDEX(Raw_매출!$B$2:$BI$155,MATCH($A95,Raw_매출!$A$2:$A$155,0),MATCH(EDATE($E95,AL$1-1),Raw_매출!$B$1:$BI$1,0))=0,"",INDEX(Raw_매출!$B$2:$BI$155,MATCH($A95,Raw_매출!$A$2:$A$155,0),MATCH(EDATE($E95,AL$1-1),Raw_매출!$B$1:$BI$1,0))/(INDEX(요약_월별시즈널리티!$F$7:$F$18,MONTH(EDATE($E95,AL$1-1)))/100))),"")</f>
        <v>9339904.6087778658</v>
      </c>
      <c r="AM95" cm="1">
        <f t="array" ref="AM95">IFERROR(IF($E95&lt;44348,"",IF(INDEX(Raw_매출!$B$2:$BI$155,MATCH($A95,Raw_매출!$A$2:$A$155,0),MATCH(EDATE($E95,AM$1-1),Raw_매출!$B$1:$BI$1,0))=0,"",INDEX(Raw_매출!$B$2:$BI$155,MATCH($A95,Raw_매출!$A$2:$A$155,0),MATCH(EDATE($E95,AM$1-1),Raw_매출!$B$1:$BI$1,0))/(INDEX(요약_월별시즈널리티!$F$7:$F$18,MONTH(EDATE($E95,AM$1-1)))/100))),"")</f>
        <v>9751823.308392873</v>
      </c>
      <c r="AN95" t="str" cm="1">
        <f t="array" ref="AN95">IFERROR(IF($E95&lt;44348,"",IF(INDEX(Raw_매출!$B$2:$BI$155,MATCH($A95,Raw_매출!$A$2:$A$155,0),MATCH(EDATE($E95,AN$1-1),Raw_매출!$B$1:$BI$1,0))=0,"",INDEX(Raw_매출!$B$2:$BI$155,MATCH($A95,Raw_매출!$A$2:$A$155,0),MATCH(EDATE($E95,AN$1-1),Raw_매출!$B$1:$BI$1,0))/(INDEX(요약_월별시즈널리티!$F$7:$F$18,MONTH(EDATE($E95,AN$1-1)))/100))),"")</f>
        <v/>
      </c>
      <c r="AO95" t="str" cm="1">
        <f t="array" ref="AO95">IFERROR(IF($E95&lt;44348,"",IF(INDEX(Raw_매출!$B$2:$BI$155,MATCH($A95,Raw_매출!$A$2:$A$155,0),MATCH(EDATE($E95,AO$1-1),Raw_매출!$B$1:$BI$1,0))=0,"",INDEX(Raw_매출!$B$2:$BI$155,MATCH($A95,Raw_매출!$A$2:$A$155,0),MATCH(EDATE($E95,AO$1-1),Raw_매출!$B$1:$BI$1,0))/(INDEX(요약_월별시즈널리티!$F$7:$F$18,MONTH(EDATE($E95,AO$1-1)))/100))),"")</f>
        <v/>
      </c>
      <c r="AP95" t="str" cm="1">
        <f t="array" ref="AP95">IFERROR(IF($E95&lt;44348,"",IF(INDEX(Raw_매출!$B$2:$BI$155,MATCH($A95,Raw_매출!$A$2:$A$155,0),MATCH(EDATE($E95,AP$1-1),Raw_매출!$B$1:$BI$1,0))=0,"",INDEX(Raw_매출!$B$2:$BI$155,MATCH($A95,Raw_매출!$A$2:$A$155,0),MATCH(EDATE($E95,AP$1-1),Raw_매출!$B$1:$BI$1,0))/(INDEX(요약_월별시즈널리티!$F$7:$F$18,MONTH(EDATE($E95,AP$1-1)))/100))),"")</f>
        <v/>
      </c>
      <c r="AQ95" t="str" cm="1">
        <f t="array" ref="AQ95">IFERROR(IF($E95&lt;44348,"",IF(INDEX(Raw_매출!$B$2:$BI$155,MATCH($A95,Raw_매출!$A$2:$A$155,0),MATCH(EDATE($E95,AQ$1-1),Raw_매출!$B$1:$BI$1,0))=0,"",INDEX(Raw_매출!$B$2:$BI$155,MATCH($A95,Raw_매출!$A$2:$A$155,0),MATCH(EDATE($E95,AQ$1-1),Raw_매출!$B$1:$BI$1,0))/(INDEX(요약_월별시즈널리티!$F$7:$F$18,MONTH(EDATE($E95,AQ$1-1)))/100))),"")</f>
        <v/>
      </c>
      <c r="AR95" t="str" cm="1">
        <f t="array" ref="AR95">IFERROR(IF($E95&lt;44348,"",IF(INDEX(Raw_매출!$B$2:$BI$155,MATCH($A95,Raw_매출!$A$2:$A$155,0),MATCH(EDATE($E95,AR$1-1),Raw_매출!$B$1:$BI$1,0))=0,"",INDEX(Raw_매출!$B$2:$BI$155,MATCH($A95,Raw_매출!$A$2:$A$155,0),MATCH(EDATE($E95,AR$1-1),Raw_매출!$B$1:$BI$1,0))/(INDEX(요약_월별시즈널리티!$F$7:$F$18,MONTH(EDATE($E95,AR$1-1)))/100))),"")</f>
        <v/>
      </c>
      <c r="AS95" t="str" cm="1">
        <f t="array" ref="AS95">IFERROR(IF($E95&lt;44348,"",IF(INDEX(Raw_매출!$B$2:$BI$155,MATCH($A95,Raw_매출!$A$2:$A$155,0),MATCH(EDATE($E95,AS$1-1),Raw_매출!$B$1:$BI$1,0))=0,"",INDEX(Raw_매출!$B$2:$BI$155,MATCH($A95,Raw_매출!$A$2:$A$155,0),MATCH(EDATE($E95,AS$1-1),Raw_매출!$B$1:$BI$1,0))/(INDEX(요약_월별시즈널리티!$F$7:$F$18,MONTH(EDATE($E95,AS$1-1)))/100))),"")</f>
        <v/>
      </c>
      <c r="AT95" t="str" cm="1">
        <f t="array" ref="AT95">IFERROR(IF($E95&lt;44348,"",IF(INDEX(Raw_매출!$B$2:$BI$155,MATCH($A95,Raw_매출!$A$2:$A$155,0),MATCH(EDATE($E95,AT$1-1),Raw_매출!$B$1:$BI$1,0))=0,"",INDEX(Raw_매출!$B$2:$BI$155,MATCH($A95,Raw_매출!$A$2:$A$155,0),MATCH(EDATE($E95,AT$1-1),Raw_매출!$B$1:$BI$1,0))/(INDEX(요약_월별시즈널리티!$F$7:$F$18,MONTH(EDATE($E95,AT$1-1)))/100))),"")</f>
        <v/>
      </c>
      <c r="AU95" t="str" cm="1">
        <f t="array" ref="AU95">IFERROR(IF($E95&lt;44348,"",IF(INDEX(Raw_매출!$B$2:$BI$155,MATCH($A95,Raw_매출!$A$2:$A$155,0),MATCH(EDATE($E95,AU$1-1),Raw_매출!$B$1:$BI$1,0))=0,"",INDEX(Raw_매출!$B$2:$BI$155,MATCH($A95,Raw_매출!$A$2:$A$155,0),MATCH(EDATE($E95,AU$1-1),Raw_매출!$B$1:$BI$1,0))/(INDEX(요약_월별시즈널리티!$F$7:$F$18,MONTH(EDATE($E95,AU$1-1)))/100))),"")</f>
        <v/>
      </c>
      <c r="AV95" t="str" cm="1">
        <f t="array" ref="AV95">IFERROR(IF($E95&lt;44348,"",IF(INDEX(Raw_매출!$B$2:$BI$155,MATCH($A95,Raw_매출!$A$2:$A$155,0),MATCH(EDATE($E95,AV$1-1),Raw_매출!$B$1:$BI$1,0))=0,"",INDEX(Raw_매출!$B$2:$BI$155,MATCH($A95,Raw_매출!$A$2:$A$155,0),MATCH(EDATE($E95,AV$1-1),Raw_매출!$B$1:$BI$1,0))/(INDEX(요약_월별시즈널리티!$F$7:$F$18,MONTH(EDATE($E95,AV$1-1)))/100))),"")</f>
        <v/>
      </c>
      <c r="AW95" t="str" cm="1">
        <f t="array" ref="AW95">IFERROR(IF($E95&lt;44348,"",IF(INDEX(Raw_매출!$B$2:$BI$155,MATCH($A95,Raw_매출!$A$2:$A$155,0),MATCH(EDATE($E95,AW$1-1),Raw_매출!$B$1:$BI$1,0))=0,"",INDEX(Raw_매출!$B$2:$BI$155,MATCH($A95,Raw_매출!$A$2:$A$155,0),MATCH(EDATE($E95,AW$1-1),Raw_매출!$B$1:$BI$1,0))/(INDEX(요약_월별시즈널리티!$F$7:$F$18,MONTH(EDATE($E95,AW$1-1)))/100))),"")</f>
        <v/>
      </c>
      <c r="AX95" t="str" cm="1">
        <f t="array" ref="AX95">IFERROR(IF($E95&lt;44348,"",IF(INDEX(Raw_매출!$B$2:$BI$155,MATCH($A95,Raw_매출!$A$2:$A$155,0),MATCH(EDATE($E95,AX$1-1),Raw_매출!$B$1:$BI$1,0))=0,"",INDEX(Raw_매출!$B$2:$BI$155,MATCH($A95,Raw_매출!$A$2:$A$155,0),MATCH(EDATE($E95,AX$1-1),Raw_매출!$B$1:$BI$1,0))/(INDEX(요약_월별시즈널리티!$F$7:$F$18,MONTH(EDATE($E95,AX$1-1)))/100))),"")</f>
        <v/>
      </c>
      <c r="AY95" t="str" cm="1">
        <f t="array" ref="AY95">IFERROR(IF($E95&lt;44348,"",IF(INDEX(Raw_매출!$B$2:$BI$155,MATCH($A95,Raw_매출!$A$2:$A$155,0),MATCH(EDATE($E95,AY$1-1),Raw_매출!$B$1:$BI$1,0))=0,"",INDEX(Raw_매출!$B$2:$BI$155,MATCH($A95,Raw_매출!$A$2:$A$155,0),MATCH(EDATE($E95,AY$1-1),Raw_매출!$B$1:$BI$1,0))/(INDEX(요약_월별시즈널리티!$F$7:$F$18,MONTH(EDATE($E95,AY$1-1)))/100))),"")</f>
        <v/>
      </c>
      <c r="AZ95" t="str" cm="1">
        <f t="array" ref="AZ95">IFERROR(IF($E95&lt;44348,"",IF(INDEX(Raw_매출!$B$2:$BI$155,MATCH($A95,Raw_매출!$A$2:$A$155,0),MATCH(EDATE($E95,AZ$1-1),Raw_매출!$B$1:$BI$1,0))=0,"",INDEX(Raw_매출!$B$2:$BI$155,MATCH($A95,Raw_매출!$A$2:$A$155,0),MATCH(EDATE($E95,AZ$1-1),Raw_매출!$B$1:$BI$1,0))/(INDEX(요약_월별시즈널리티!$F$7:$F$18,MONTH(EDATE($E95,AZ$1-1)))/100))),"")</f>
        <v/>
      </c>
      <c r="BA95" t="str" cm="1">
        <f t="array" ref="BA95">IFERROR(IF($E95&lt;44348,"",IF(INDEX(Raw_매출!$B$2:$BI$155,MATCH($A95,Raw_매출!$A$2:$A$155,0),MATCH(EDATE($E95,BA$1-1),Raw_매출!$B$1:$BI$1,0))=0,"",INDEX(Raw_매출!$B$2:$BI$155,MATCH($A95,Raw_매출!$A$2:$A$155,0),MATCH(EDATE($E95,BA$1-1),Raw_매출!$B$1:$BI$1,0))/(INDEX(요약_월별시즈널리티!$F$7:$F$18,MONTH(EDATE($E95,BA$1-1)))/100))),"")</f>
        <v/>
      </c>
      <c r="BB95" t="str" cm="1">
        <f t="array" ref="BB95">IFERROR(IF($E95&lt;44348,"",IF(INDEX(Raw_매출!$B$2:$BI$155,MATCH($A95,Raw_매출!$A$2:$A$155,0),MATCH(EDATE($E95,BB$1-1),Raw_매출!$B$1:$BI$1,0))=0,"",INDEX(Raw_매출!$B$2:$BI$155,MATCH($A95,Raw_매출!$A$2:$A$155,0),MATCH(EDATE($E95,BB$1-1),Raw_매출!$B$1:$BI$1,0))/(INDEX(요약_월별시즈널리티!$F$7:$F$18,MONTH(EDATE($E95,BB$1-1)))/100))),"")</f>
        <v/>
      </c>
      <c r="BC95" t="str" cm="1">
        <f t="array" ref="BC95">IFERROR(IF($E95&lt;44348,"",IF(INDEX(Raw_매출!$B$2:$BI$155,MATCH($A95,Raw_매출!$A$2:$A$155,0),MATCH(EDATE($E95,BC$1-1),Raw_매출!$B$1:$BI$1,0))=0,"",INDEX(Raw_매출!$B$2:$BI$155,MATCH($A95,Raw_매출!$A$2:$A$155,0),MATCH(EDATE($E95,BC$1-1),Raw_매출!$B$1:$BI$1,0))/(INDEX(요약_월별시즈널리티!$F$7:$F$18,MONTH(EDATE($E95,BC$1-1)))/100))),"")</f>
        <v/>
      </c>
      <c r="BD95" t="str" cm="1">
        <f t="array" ref="BD95">IFERROR(IF($E95&lt;44348,"",IF(INDEX(Raw_매출!$B$2:$BI$155,MATCH($A95,Raw_매출!$A$2:$A$155,0),MATCH(EDATE($E95,BD$1-1),Raw_매출!$B$1:$BI$1,0))=0,"",INDEX(Raw_매출!$B$2:$BI$155,MATCH($A95,Raw_매출!$A$2:$A$155,0),MATCH(EDATE($E95,BD$1-1),Raw_매출!$B$1:$BI$1,0))/(INDEX(요약_월별시즈널리티!$F$7:$F$18,MONTH(EDATE($E95,BD$1-1)))/100))),"")</f>
        <v/>
      </c>
      <c r="BE95" t="str" cm="1">
        <f t="array" ref="BE95">IFERROR(IF($E95&lt;44348,"",IF(INDEX(Raw_매출!$B$2:$BI$155,MATCH($A95,Raw_매출!$A$2:$A$155,0),MATCH(EDATE($E95,BE$1-1),Raw_매출!$B$1:$BI$1,0))=0,"",INDEX(Raw_매출!$B$2:$BI$155,MATCH($A95,Raw_매출!$A$2:$A$155,0),MATCH(EDATE($E95,BE$1-1),Raw_매출!$B$1:$BI$1,0))/(INDEX(요약_월별시즈널리티!$F$7:$F$18,MONTH(EDATE($E95,BE$1-1)))/100))),"")</f>
        <v/>
      </c>
      <c r="BF95" t="str" cm="1">
        <f t="array" ref="BF95">IFERROR(IF($E95&lt;44348,"",IF(INDEX(Raw_매출!$B$2:$BI$155,MATCH($A95,Raw_매출!$A$2:$A$155,0),MATCH(EDATE($E95,BF$1-1),Raw_매출!$B$1:$BI$1,0))=0,"",INDEX(Raw_매출!$B$2:$BI$155,MATCH($A95,Raw_매출!$A$2:$A$155,0),MATCH(EDATE($E95,BF$1-1),Raw_매출!$B$1:$BI$1,0))/(INDEX(요약_월별시즈널리티!$F$7:$F$18,MONTH(EDATE($E95,BF$1-1)))/100))),"")</f>
        <v/>
      </c>
      <c r="BG95" t="str" cm="1">
        <f t="array" ref="BG95">IFERROR(IF($E95&lt;44348,"",IF(INDEX(Raw_매출!$B$2:$BI$155,MATCH($A95,Raw_매출!$A$2:$A$155,0),MATCH(EDATE($E95,BG$1-1),Raw_매출!$B$1:$BI$1,0))=0,"",INDEX(Raw_매출!$B$2:$BI$155,MATCH($A95,Raw_매출!$A$2:$A$155,0),MATCH(EDATE($E95,BG$1-1),Raw_매출!$B$1:$BI$1,0))/(INDEX(요약_월별시즈널리티!$F$7:$F$18,MONTH(EDATE($E95,BG$1-1)))/100))),"")</f>
        <v/>
      </c>
      <c r="BH95" t="str" cm="1">
        <f t="array" ref="BH95">IFERROR(IF($E95&lt;44348,"",IF(INDEX(Raw_매출!$B$2:$BI$155,MATCH($A95,Raw_매출!$A$2:$A$155,0),MATCH(EDATE($E95,BH$1-1),Raw_매출!$B$1:$BI$1,0))=0,"",INDEX(Raw_매출!$B$2:$BI$155,MATCH($A95,Raw_매출!$A$2:$A$155,0),MATCH(EDATE($E95,BH$1-1),Raw_매출!$B$1:$BI$1,0))/(INDEX(요약_월별시즈널리티!$F$7:$F$18,MONTH(EDATE($E95,BH$1-1)))/100))),"")</f>
        <v/>
      </c>
      <c r="BI95" t="str" cm="1">
        <f t="array" ref="BI95">IFERROR(IF($E95&lt;44348,"",IF(INDEX(Raw_매출!$B$2:$BI$155,MATCH($A95,Raw_매출!$A$2:$A$155,0),MATCH(EDATE($E95,BI$1-1),Raw_매출!$B$1:$BI$1,0))=0,"",INDEX(Raw_매출!$B$2:$BI$155,MATCH($A95,Raw_매출!$A$2:$A$155,0),MATCH(EDATE($E95,BI$1-1),Raw_매출!$B$1:$BI$1,0))/(INDEX(요약_월별시즈널리티!$F$7:$F$18,MONTH(EDATE($E95,BI$1-1)))/100))),"")</f>
        <v/>
      </c>
      <c r="BJ95" t="str" cm="1">
        <f t="array" ref="BJ95">IFERROR(IF($E95&lt;44348,"",IF(INDEX(Raw_매출!$B$2:$BI$155,MATCH($A95,Raw_매출!$A$2:$A$155,0),MATCH(EDATE($E95,BJ$1-1),Raw_매출!$B$1:$BI$1,0))=0,"",INDEX(Raw_매출!$B$2:$BI$155,MATCH($A95,Raw_매출!$A$2:$A$155,0),MATCH(EDATE($E95,BJ$1-1),Raw_매출!$B$1:$BI$1,0))/(INDEX(요약_월별시즈널리티!$F$7:$F$18,MONTH(EDATE($E95,BJ$1-1)))/100))),"")</f>
        <v/>
      </c>
      <c r="BK95" t="str" cm="1">
        <f t="array" ref="BK95">IFERROR(IF($E95&lt;44348,"",IF(INDEX(Raw_매출!$B$2:$BI$155,MATCH($A95,Raw_매출!$A$2:$A$155,0),MATCH(EDATE($E95,BK$1-1),Raw_매출!$B$1:$BI$1,0))=0,"",INDEX(Raw_매출!$B$2:$BI$155,MATCH($A95,Raw_매출!$A$2:$A$155,0),MATCH(EDATE($E95,BK$1-1),Raw_매출!$B$1:$BI$1,0))/(INDEX(요약_월별시즈널리티!$F$7:$F$18,MONTH(EDATE($E95,BK$1-1)))/100))),"")</f>
        <v/>
      </c>
      <c r="BL95" t="str" cm="1">
        <f t="array" ref="BL95">IFERROR(IF($E95&lt;44348,"",IF(INDEX(Raw_매출!$B$2:$BI$155,MATCH($A95,Raw_매출!$A$2:$A$155,0),MATCH(EDATE($E95,BL$1-1),Raw_매출!$B$1:$BI$1,0))=0,"",INDEX(Raw_매출!$B$2:$BI$155,MATCH($A95,Raw_매출!$A$2:$A$155,0),MATCH(EDATE($E95,BL$1-1),Raw_매출!$B$1:$BI$1,0))/(INDEX(요약_월별시즈널리티!$F$7:$F$18,MONTH(EDATE($E95,BL$1-1)))/100))),"")</f>
        <v/>
      </c>
      <c r="BM95" t="str" cm="1">
        <f t="array" ref="BM95">IFERROR(IF($E95&lt;44348,"",IF(INDEX(Raw_매출!$B$2:$BI$155,MATCH($A95,Raw_매출!$A$2:$A$155,0),MATCH(EDATE($E95,BM$1-1),Raw_매출!$B$1:$BI$1,0))=0,"",INDEX(Raw_매출!$B$2:$BI$155,MATCH($A95,Raw_매출!$A$2:$A$155,0),MATCH(EDATE($E95,BM$1-1),Raw_매출!$B$1:$BI$1,0))/(INDEX(요약_월별시즈널리티!$F$7:$F$18,MONTH(EDATE($E95,BM$1-1)))/100))),"")</f>
        <v/>
      </c>
      <c r="BN95" t="str" cm="1">
        <f t="array" ref="BN95">IFERROR(IF($E95&lt;44348,"",IF(INDEX(Raw_매출!$B$2:$BI$155,MATCH($A95,Raw_매출!$A$2:$A$155,0),MATCH(EDATE($E95,BN$1-1),Raw_매출!$B$1:$BI$1,0))=0,"",INDEX(Raw_매출!$B$2:$BI$155,MATCH($A95,Raw_매출!$A$2:$A$155,0),MATCH(EDATE($E95,BN$1-1),Raw_매출!$B$1:$BI$1,0))/(INDEX(요약_월별시즈널리티!$F$7:$F$18,MONTH(EDATE($E95,BN$1-1)))/100))),"")</f>
        <v/>
      </c>
    </row>
    <row r="96" spans="1:66" x14ac:dyDescent="0.4">
      <c r="A96" t="str">
        <f>세팅!A97</f>
        <v>(1085) #신설동오거리점</v>
      </c>
      <c r="B96" t="str">
        <f>세팅!B97</f>
        <v>150-3</v>
      </c>
      <c r="C96">
        <f t="shared" si="3"/>
        <v>3</v>
      </c>
      <c r="D96" t="str">
        <f t="shared" si="4"/>
        <v>3+</v>
      </c>
      <c r="E96" s="1">
        <f>세팅!D97</f>
        <v>45170</v>
      </c>
      <c r="F96">
        <f t="shared" si="5"/>
        <v>7701241.1406098483</v>
      </c>
      <c r="G96" cm="1">
        <f t="array" ref="G96">IFERROR(IF($E96&lt;44348,"",IF(INDEX(Raw_매출!$B$2:$BI$155,MATCH($A96,Raw_매출!$A$2:$A$155,0),MATCH(EDATE($E96,G$1-1),Raw_매출!$B$1:$BI$1,0))=0,"",INDEX(Raw_매출!$B$2:$BI$155,MATCH($A96,Raw_매출!$A$2:$A$155,0),MATCH(EDATE($E96,G$1-1),Raw_매출!$B$1:$BI$1,0))/(INDEX(요약_월별시즈널리티!$F$7:$F$18,MONTH(EDATE($E96,G$1-1)))/100))),"")</f>
        <v>6043711.1357615814</v>
      </c>
      <c r="H96" cm="1">
        <f t="array" ref="H96">IFERROR(IF($E96&lt;44348,"",IF(INDEX(Raw_매출!$B$2:$BI$155,MATCH($A96,Raw_매출!$A$2:$A$155,0),MATCH(EDATE($E96,H$1-1),Raw_매출!$B$1:$BI$1,0))=0,"",INDEX(Raw_매출!$B$2:$BI$155,MATCH($A96,Raw_매출!$A$2:$A$155,0),MATCH(EDATE($E96,H$1-1),Raw_매출!$B$1:$BI$1,0))/(INDEX(요약_월별시즈널리티!$F$7:$F$18,MONTH(EDATE($E96,H$1-1)))/100))),"")</f>
        <v>6307329.4996657036</v>
      </c>
      <c r="I96" cm="1">
        <f t="array" ref="I96">IFERROR(IF($E96&lt;44348,"",IF(INDEX(Raw_매출!$B$2:$BI$155,MATCH($A96,Raw_매출!$A$2:$A$155,0),MATCH(EDATE($E96,I$1-1),Raw_매출!$B$1:$BI$1,0))=0,"",INDEX(Raw_매출!$B$2:$BI$155,MATCH($A96,Raw_매출!$A$2:$A$155,0),MATCH(EDATE($E96,I$1-1),Raw_매출!$B$1:$BI$1,0))/(INDEX(요약_월별시즈널리티!$F$7:$F$18,MONTH(EDATE($E96,I$1-1)))/100))),"")</f>
        <v>6921358.0891883979</v>
      </c>
      <c r="J96" s="30" cm="1">
        <f t="array" ref="J96">IFERROR(IF($E96&lt;44348,"",IF(INDEX(Raw_매출!$B$2:$BI$155,MATCH($A96,Raw_매출!$A$2:$A$155,0),MATCH(EDATE($E96,J$1-1),Raw_매출!$B$1:$BI$1,0))=0,"",INDEX(Raw_매출!$B$2:$BI$155,MATCH($A96,Raw_매출!$A$2:$A$155,0),MATCH(EDATE($E96,J$1-1),Raw_매출!$B$1:$BI$1,0))/(INDEX(요약_월별시즈널리티!$F$7:$F$18,MONTH(EDATE($E96,J$1-1)))/100))),"")</f>
        <v>6342188.3324432652</v>
      </c>
      <c r="K96" s="30" cm="1">
        <f t="array" ref="K96">IFERROR(IF($E96&lt;44348,"",IF(INDEX(Raw_매출!$B$2:$BI$155,MATCH($A96,Raw_매출!$A$2:$A$155,0),MATCH(EDATE($E96,K$1-1),Raw_매출!$B$1:$BI$1,0))=0,"",INDEX(Raw_매출!$B$2:$BI$155,MATCH($A96,Raw_매출!$A$2:$A$155,0),MATCH(EDATE($E96,K$1-1),Raw_매출!$B$1:$BI$1,0))/(INDEX(요약_월별시즈널리티!$F$7:$F$18,MONTH(EDATE($E96,K$1-1)))/100))),"")</f>
        <v>7409070.1270019151</v>
      </c>
      <c r="L96" s="30" cm="1">
        <f t="array" ref="L96">IFERROR(IF($E96&lt;44348,"",IF(INDEX(Raw_매출!$B$2:$BI$155,MATCH($A96,Raw_매출!$A$2:$A$155,0),MATCH(EDATE($E96,L$1-1),Raw_매출!$B$1:$BI$1,0))=0,"",INDEX(Raw_매출!$B$2:$BI$155,MATCH($A96,Raw_매출!$A$2:$A$155,0),MATCH(EDATE($E96,L$1-1),Raw_매출!$B$1:$BI$1,0))/(INDEX(요약_월별시즈널리티!$F$7:$F$18,MONTH(EDATE($E96,L$1-1)))/100))),"")</f>
        <v>7575238.3868241189</v>
      </c>
      <c r="M96" s="30" cm="1">
        <f t="array" ref="M96">IFERROR(IF($E96&lt;44348,"",IF(INDEX(Raw_매출!$B$2:$BI$155,MATCH($A96,Raw_매출!$A$2:$A$155,0),MATCH(EDATE($E96,M$1-1),Raw_매출!$B$1:$BI$1,0))=0,"",INDEX(Raw_매출!$B$2:$BI$155,MATCH($A96,Raw_매출!$A$2:$A$155,0),MATCH(EDATE($E96,M$1-1),Raw_매출!$B$1:$BI$1,0))/(INDEX(요약_월별시즈널리티!$F$7:$F$18,MONTH(EDATE($E96,M$1-1)))/100))),"")</f>
        <v>8022405.6752647888</v>
      </c>
      <c r="N96" s="30" cm="1">
        <f t="array" ref="N96">IFERROR(IF($E96&lt;44348,"",IF(INDEX(Raw_매출!$B$2:$BI$155,MATCH($A96,Raw_매출!$A$2:$A$155,0),MATCH(EDATE($E96,N$1-1),Raw_매출!$B$1:$BI$1,0))=0,"",INDEX(Raw_매출!$B$2:$BI$155,MATCH($A96,Raw_매출!$A$2:$A$155,0),MATCH(EDATE($E96,N$1-1),Raw_매출!$B$1:$BI$1,0))/(INDEX(요약_월별시즈널리티!$F$7:$F$18,MONTH(EDATE($E96,N$1-1)))/100))),"")</f>
        <v>8789126.9210417699</v>
      </c>
      <c r="O96" s="30" cm="1">
        <f t="array" ref="O96">IFERROR(IF($E96&lt;44348,"",IF(INDEX(Raw_매출!$B$2:$BI$155,MATCH($A96,Raw_매출!$A$2:$A$155,0),MATCH(EDATE($E96,O$1-1),Raw_매출!$B$1:$BI$1,0))=0,"",INDEX(Raw_매출!$B$2:$BI$155,MATCH($A96,Raw_매출!$A$2:$A$155,0),MATCH(EDATE($E96,O$1-1),Raw_매출!$B$1:$BI$1,0))/(INDEX(요약_월별시즈널리티!$F$7:$F$18,MONTH(EDATE($E96,O$1-1)))/100))),"")</f>
        <v>8069417.40108323</v>
      </c>
      <c r="P96" cm="1">
        <f t="array" ref="P96">IFERROR(IF($E96&lt;44348,"",IF(INDEX(Raw_매출!$B$2:$BI$155,MATCH($A96,Raw_매출!$A$2:$A$155,0),MATCH(EDATE($E96,P$1-1),Raw_매출!$B$1:$BI$1,0))=0,"",INDEX(Raw_매출!$B$2:$BI$155,MATCH($A96,Raw_매출!$A$2:$A$155,0),MATCH(EDATE($E96,P$1-1),Raw_매출!$B$1:$BI$1,0))/(INDEX(요약_월별시즈널리티!$F$7:$F$18,MONTH(EDATE($E96,P$1-1)))/100))),"")</f>
        <v>8521697.3494644873</v>
      </c>
      <c r="Q96" cm="1">
        <f t="array" ref="Q96">IFERROR(IF($E96&lt;44348,"",IF(INDEX(Raw_매출!$B$2:$BI$155,MATCH($A96,Raw_매출!$A$2:$A$155,0),MATCH(EDATE($E96,Q$1-1),Raw_매출!$B$1:$BI$1,0))=0,"",INDEX(Raw_매출!$B$2:$BI$155,MATCH($A96,Raw_매출!$A$2:$A$155,0),MATCH(EDATE($E96,Q$1-1),Raw_매출!$B$1:$BI$1,0))/(INDEX(요약_월별시즈널리티!$F$7:$F$18,MONTH(EDATE($E96,Q$1-1)))/100))),"")</f>
        <v>8743425.7686764356</v>
      </c>
      <c r="R96" cm="1">
        <f t="array" ref="R96">IFERROR(IF($E96&lt;44348,"",IF(INDEX(Raw_매출!$B$2:$BI$155,MATCH($A96,Raw_매출!$A$2:$A$155,0),MATCH(EDATE($E96,R$1-1),Raw_매출!$B$1:$BI$1,0))=0,"",INDEX(Raw_매출!$B$2:$BI$155,MATCH($A96,Raw_매출!$A$2:$A$155,0),MATCH(EDATE($E96,R$1-1),Raw_매출!$B$1:$BI$1,0))/(INDEX(요약_월별시즈널리티!$F$7:$F$18,MONTH(EDATE($E96,R$1-1)))/100))),"")</f>
        <v>8629008.0062482711</v>
      </c>
      <c r="S96" cm="1">
        <f t="array" ref="S96">IFERROR(IF($E96&lt;44348,"",IF(INDEX(Raw_매출!$B$2:$BI$155,MATCH($A96,Raw_매출!$A$2:$A$155,0),MATCH(EDATE($E96,S$1-1),Raw_매출!$B$1:$BI$1,0))=0,"",INDEX(Raw_매출!$B$2:$BI$155,MATCH($A96,Raw_매출!$A$2:$A$155,0),MATCH(EDATE($E96,S$1-1),Raw_매출!$B$1:$BI$1,0))/(INDEX(요약_월별시즈널리티!$F$7:$F$18,MONTH(EDATE($E96,S$1-1)))/100))),"")</f>
        <v>5903694.169794213</v>
      </c>
      <c r="T96" cm="1">
        <f t="array" ref="T96">IFERROR(IF($E96&lt;44348,"",IF(INDEX(Raw_매출!$B$2:$BI$155,MATCH($A96,Raw_매출!$A$2:$A$155,0),MATCH(EDATE($E96,T$1-1),Raw_매출!$B$1:$BI$1,0))=0,"",INDEX(Raw_매출!$B$2:$BI$155,MATCH($A96,Raw_매출!$A$2:$A$155,0),MATCH(EDATE($E96,T$1-1),Raw_매출!$B$1:$BI$1,0))/(INDEX(요약_월별시즈널리티!$F$7:$F$18,MONTH(EDATE($E96,T$1-1)))/100))),"")</f>
        <v>6251980.8759114482</v>
      </c>
      <c r="U96" cm="1">
        <f t="array" ref="U96">IFERROR(IF($E96&lt;44348,"",IF(INDEX(Raw_매출!$B$2:$BI$155,MATCH($A96,Raw_매출!$A$2:$A$155,0),MATCH(EDATE($E96,U$1-1),Raw_매출!$B$1:$BI$1,0))=0,"",INDEX(Raw_매출!$B$2:$BI$155,MATCH($A96,Raw_매출!$A$2:$A$155,0),MATCH(EDATE($E96,U$1-1),Raw_매출!$B$1:$BI$1,0))/(INDEX(요약_월별시즈널리티!$F$7:$F$18,MONTH(EDATE($E96,U$1-1)))/100))),"")</f>
        <v>6022993.4715921171</v>
      </c>
      <c r="V96" cm="1">
        <f t="array" ref="V96">IFERROR(IF($E96&lt;44348,"",IF(INDEX(Raw_매출!$B$2:$BI$155,MATCH($A96,Raw_매출!$A$2:$A$155,0),MATCH(EDATE($E96,V$1-1),Raw_매출!$B$1:$BI$1,0))=0,"",INDEX(Raw_매출!$B$2:$BI$155,MATCH($A96,Raw_매출!$A$2:$A$155,0),MATCH(EDATE($E96,V$1-1),Raw_매출!$B$1:$BI$1,0))/(INDEX(요약_월별시즈널리티!$F$7:$F$18,MONTH(EDATE($E96,V$1-1)))/100))),"")</f>
        <v>5961279.6076931823</v>
      </c>
      <c r="W96" cm="1">
        <f t="array" ref="W96">IFERROR(IF($E96&lt;44348,"",IF(INDEX(Raw_매출!$B$2:$BI$155,MATCH($A96,Raw_매출!$A$2:$A$155,0),MATCH(EDATE($E96,W$1-1),Raw_매출!$B$1:$BI$1,0))=0,"",INDEX(Raw_매출!$B$2:$BI$155,MATCH($A96,Raw_매출!$A$2:$A$155,0),MATCH(EDATE($E96,W$1-1),Raw_매출!$B$1:$BI$1,0))/(INDEX(요약_월별시즈널리티!$F$7:$F$18,MONTH(EDATE($E96,W$1-1)))/100))),"")</f>
        <v>6133264.3929376826</v>
      </c>
      <c r="X96" cm="1">
        <f t="array" ref="X96">IFERROR(IF($E96&lt;44348,"",IF(INDEX(Raw_매출!$B$2:$BI$155,MATCH($A96,Raw_매출!$A$2:$A$155,0),MATCH(EDATE($E96,X$1-1),Raw_매출!$B$1:$BI$1,0))=0,"",INDEX(Raw_매출!$B$2:$BI$155,MATCH($A96,Raw_매출!$A$2:$A$155,0),MATCH(EDATE($E96,X$1-1),Raw_매출!$B$1:$BI$1,0))/(INDEX(요약_월별시즈널리티!$F$7:$F$18,MONTH(EDATE($E96,X$1-1)))/100))),"")</f>
        <v>6233786.4621233679</v>
      </c>
      <c r="Y96" cm="1">
        <f t="array" ref="Y96">IFERROR(IF($E96&lt;44348,"",IF(INDEX(Raw_매출!$B$2:$BI$155,MATCH($A96,Raw_매출!$A$2:$A$155,0),MATCH(EDATE($E96,Y$1-1),Raw_매출!$B$1:$BI$1,0))=0,"",INDEX(Raw_매출!$B$2:$BI$155,MATCH($A96,Raw_매출!$A$2:$A$155,0),MATCH(EDATE($E96,Y$1-1),Raw_매출!$B$1:$BI$1,0))/(INDEX(요약_월별시즈널리티!$F$7:$F$18,MONTH(EDATE($E96,Y$1-1)))/100))),"")</f>
        <v>6669222.2429689225</v>
      </c>
      <c r="Z96" cm="1">
        <f t="array" ref="Z96">IFERROR(IF($E96&lt;44348,"",IF(INDEX(Raw_매출!$B$2:$BI$155,MATCH($A96,Raw_매출!$A$2:$A$155,0),MATCH(EDATE($E96,Z$1-1),Raw_매출!$B$1:$BI$1,0))=0,"",INDEX(Raw_매출!$B$2:$BI$155,MATCH($A96,Raw_매출!$A$2:$A$155,0),MATCH(EDATE($E96,Z$1-1),Raw_매출!$B$1:$BI$1,0))/(INDEX(요약_월별시즈널리티!$F$7:$F$18,MONTH(EDATE($E96,Z$1-1)))/100))),"")</f>
        <v>6873394.661843338</v>
      </c>
      <c r="AA96" cm="1">
        <f t="array" ref="AA96">IFERROR(IF($E96&lt;44348,"",IF(INDEX(Raw_매출!$B$2:$BI$155,MATCH($A96,Raw_매출!$A$2:$A$155,0),MATCH(EDATE($E96,AA$1-1),Raw_매출!$B$1:$BI$1,0))=0,"",INDEX(Raw_매출!$B$2:$BI$155,MATCH($A96,Raw_매출!$A$2:$A$155,0),MATCH(EDATE($E96,AA$1-1),Raw_매출!$B$1:$BI$1,0))/(INDEX(요약_월별시즈널리티!$F$7:$F$18,MONTH(EDATE($E96,AA$1-1)))/100))),"")</f>
        <v>6913675.6276616333</v>
      </c>
      <c r="AB96" cm="1">
        <f t="array" ref="AB96">IFERROR(IF($E96&lt;44348,"",IF(INDEX(Raw_매출!$B$2:$BI$155,MATCH($A96,Raw_매출!$A$2:$A$155,0),MATCH(EDATE($E96,AB$1-1),Raw_매출!$B$1:$BI$1,0))=0,"",INDEX(Raw_매출!$B$2:$BI$155,MATCH($A96,Raw_매출!$A$2:$A$155,0),MATCH(EDATE($E96,AB$1-1),Raw_매출!$B$1:$BI$1,0))/(INDEX(요약_월별시즈널리티!$F$7:$F$18,MONTH(EDATE($E96,AB$1-1)))/100))),"")</f>
        <v>6528949.1614216585</v>
      </c>
      <c r="AC96" cm="1">
        <f t="array" ref="AC96">IFERROR(IF($E96&lt;44348,"",IF(INDEX(Raw_매출!$B$2:$BI$155,MATCH($A96,Raw_매출!$A$2:$A$155,0),MATCH(EDATE($E96,AC$1-1),Raw_매출!$B$1:$BI$1,0))=0,"",INDEX(Raw_매출!$B$2:$BI$155,MATCH($A96,Raw_매출!$A$2:$A$155,0),MATCH(EDATE($E96,AC$1-1),Raw_매출!$B$1:$BI$1,0))/(INDEX(요약_월별시즈널리티!$F$7:$F$18,MONTH(EDATE($E96,AC$1-1)))/100))),"")</f>
        <v>6073349.2842786601</v>
      </c>
      <c r="AD96" cm="1">
        <f t="array" ref="AD96">IFERROR(IF($E96&lt;44348,"",IF(INDEX(Raw_매출!$B$2:$BI$155,MATCH($A96,Raw_매출!$A$2:$A$155,0),MATCH(EDATE($E96,AD$1-1),Raw_매출!$B$1:$BI$1,0))=0,"",INDEX(Raw_매출!$B$2:$BI$155,MATCH($A96,Raw_매출!$A$2:$A$155,0),MATCH(EDATE($E96,AD$1-1),Raw_매출!$B$1:$BI$1,0))/(INDEX(요약_월별시즈널리티!$F$7:$F$18,MONTH(EDATE($E96,AD$1-1)))/100))),"")</f>
        <v>6810294.6525477702</v>
      </c>
      <c r="AE96" cm="1">
        <f t="array" ref="AE96">IFERROR(IF($E96&lt;44348,"",IF(INDEX(Raw_매출!$B$2:$BI$155,MATCH($A96,Raw_매출!$A$2:$A$155,0),MATCH(EDATE($E96,AE$1-1),Raw_매출!$B$1:$BI$1,0))=0,"",INDEX(Raw_매출!$B$2:$BI$155,MATCH($A96,Raw_매출!$A$2:$A$155,0),MATCH(EDATE($E96,AE$1-1),Raw_매출!$B$1:$BI$1,0))/(INDEX(요약_월별시즈널리티!$F$7:$F$18,MONTH(EDATE($E96,AE$1-1)))/100))),"")</f>
        <v>8005406.8572526025</v>
      </c>
      <c r="AF96" cm="1">
        <f t="array" ref="AF96">IFERROR(IF($E96&lt;44348,"",IF(INDEX(Raw_매출!$B$2:$BI$155,MATCH($A96,Raw_매출!$A$2:$A$155,0),MATCH(EDATE($E96,AF$1-1),Raw_매출!$B$1:$BI$1,0))=0,"",INDEX(Raw_매출!$B$2:$BI$155,MATCH($A96,Raw_매출!$A$2:$A$155,0),MATCH(EDATE($E96,AF$1-1),Raw_매출!$B$1:$BI$1,0))/(INDEX(요약_월별시즈널리티!$F$7:$F$18,MONTH(EDATE($E96,AF$1-1)))/100))),"")</f>
        <v>7670551.0501219844</v>
      </c>
      <c r="AG96" cm="1">
        <f t="array" ref="AG96">IFERROR(IF($E96&lt;44348,"",IF(INDEX(Raw_매출!$B$2:$BI$155,MATCH($A96,Raw_매출!$A$2:$A$155,0),MATCH(EDATE($E96,AG$1-1),Raw_매출!$B$1:$BI$1,0))=0,"",INDEX(Raw_매출!$B$2:$BI$155,MATCH($A96,Raw_매출!$A$2:$A$155,0),MATCH(EDATE($E96,AG$1-1),Raw_매출!$B$1:$BI$1,0))/(INDEX(요약_월별시즈널리티!$F$7:$F$18,MONTH(EDATE($E96,AG$1-1)))/100))),"")</f>
        <v>6991618.6143374583</v>
      </c>
      <c r="AH96" cm="1">
        <f t="array" ref="AH96">IFERROR(IF($E96&lt;44348,"",IF(INDEX(Raw_매출!$B$2:$BI$155,MATCH($A96,Raw_매출!$A$2:$A$155,0),MATCH(EDATE($E96,AH$1-1),Raw_매출!$B$1:$BI$1,0))=0,"",INDEX(Raw_매출!$B$2:$BI$155,MATCH($A96,Raw_매출!$A$2:$A$155,0),MATCH(EDATE($E96,AH$1-1),Raw_매출!$B$1:$BI$1,0))/(INDEX(요약_월별시즈널리티!$F$7:$F$18,MONTH(EDATE($E96,AH$1-1)))/100))),"")</f>
        <v>6753794.2745436337</v>
      </c>
      <c r="AI96" cm="1">
        <f t="array" ref="AI96">IFERROR(IF($E96&lt;44348,"",IF(INDEX(Raw_매출!$B$2:$BI$155,MATCH($A96,Raw_매출!$A$2:$A$155,0),MATCH(EDATE($E96,AI$1-1),Raw_매출!$B$1:$BI$1,0))=0,"",INDEX(Raw_매출!$B$2:$BI$155,MATCH($A96,Raw_매출!$A$2:$A$155,0),MATCH(EDATE($E96,AI$1-1),Raw_매출!$B$1:$BI$1,0))/(INDEX(요약_월별시즈널리티!$F$7:$F$18,MONTH(EDATE($E96,AI$1-1)))/100))),"")</f>
        <v>6555881.8395325243</v>
      </c>
      <c r="AJ96" cm="1">
        <f t="array" ref="AJ96">IFERROR(IF($E96&lt;44348,"",IF(INDEX(Raw_매출!$B$2:$BI$155,MATCH($A96,Raw_매출!$A$2:$A$155,0),MATCH(EDATE($E96,AJ$1-1),Raw_매출!$B$1:$BI$1,0))=0,"",INDEX(Raw_매출!$B$2:$BI$155,MATCH($A96,Raw_매출!$A$2:$A$155,0),MATCH(EDATE($E96,AJ$1-1),Raw_매출!$B$1:$BI$1,0))/(INDEX(요약_월별시즈널리티!$F$7:$F$18,MONTH(EDATE($E96,AJ$1-1)))/100))),"")</f>
        <v>6663979.3265027609</v>
      </c>
      <c r="AK96" cm="1">
        <f t="array" ref="AK96">IFERROR(IF($E96&lt;44348,"",IF(INDEX(Raw_매출!$B$2:$BI$155,MATCH($A96,Raw_매출!$A$2:$A$155,0),MATCH(EDATE($E96,AK$1-1),Raw_매출!$B$1:$BI$1,0))=0,"",INDEX(Raw_매출!$B$2:$BI$155,MATCH($A96,Raw_매출!$A$2:$A$155,0),MATCH(EDATE($E96,AK$1-1),Raw_매출!$B$1:$BI$1,0))/(INDEX(요약_월별시즈널리티!$F$7:$F$18,MONTH(EDATE($E96,AK$1-1)))/100))),"")</f>
        <v>7306980.596515853</v>
      </c>
      <c r="AL96" cm="1">
        <f t="array" ref="AL96">IFERROR(IF($E96&lt;44348,"",IF(INDEX(Raw_매출!$B$2:$BI$155,MATCH($A96,Raw_매출!$A$2:$A$155,0),MATCH(EDATE($E96,AL$1-1),Raw_매출!$B$1:$BI$1,0))=0,"",INDEX(Raw_매출!$B$2:$BI$155,MATCH($A96,Raw_매출!$A$2:$A$155,0),MATCH(EDATE($E96,AL$1-1),Raw_매출!$B$1:$BI$1,0))/(INDEX(요약_월별시즈널리티!$F$7:$F$18,MONTH(EDATE($E96,AL$1-1)))/100))),"")</f>
        <v>7679986.046652873</v>
      </c>
      <c r="AM96" cm="1">
        <f t="array" ref="AM96">IFERROR(IF($E96&lt;44348,"",IF(INDEX(Raw_매출!$B$2:$BI$155,MATCH($A96,Raw_매출!$A$2:$A$155,0),MATCH(EDATE($E96,AM$1-1),Raw_매출!$B$1:$BI$1,0))=0,"",INDEX(Raw_매출!$B$2:$BI$155,MATCH($A96,Raw_매출!$A$2:$A$155,0),MATCH(EDATE($E96,AM$1-1),Raw_매출!$B$1:$BI$1,0))/(INDEX(요약_월별시즈널리티!$F$7:$F$18,MONTH(EDATE($E96,AM$1-1)))/100))),"")</f>
        <v>7737301.9144222401</v>
      </c>
      <c r="AN96" t="str" cm="1">
        <f t="array" ref="AN96">IFERROR(IF($E96&lt;44348,"",IF(INDEX(Raw_매출!$B$2:$BI$155,MATCH($A96,Raw_매출!$A$2:$A$155,0),MATCH(EDATE($E96,AN$1-1),Raw_매출!$B$1:$BI$1,0))=0,"",INDEX(Raw_매출!$B$2:$BI$155,MATCH($A96,Raw_매출!$A$2:$A$155,0),MATCH(EDATE($E96,AN$1-1),Raw_매출!$B$1:$BI$1,0))/(INDEX(요약_월별시즈널리티!$F$7:$F$18,MONTH(EDATE($E96,AN$1-1)))/100))),"")</f>
        <v/>
      </c>
      <c r="AO96" t="str" cm="1">
        <f t="array" ref="AO96">IFERROR(IF($E96&lt;44348,"",IF(INDEX(Raw_매출!$B$2:$BI$155,MATCH($A96,Raw_매출!$A$2:$A$155,0),MATCH(EDATE($E96,AO$1-1),Raw_매출!$B$1:$BI$1,0))=0,"",INDEX(Raw_매출!$B$2:$BI$155,MATCH($A96,Raw_매출!$A$2:$A$155,0),MATCH(EDATE($E96,AO$1-1),Raw_매출!$B$1:$BI$1,0))/(INDEX(요약_월별시즈널리티!$F$7:$F$18,MONTH(EDATE($E96,AO$1-1)))/100))),"")</f>
        <v/>
      </c>
      <c r="AP96" t="str" cm="1">
        <f t="array" ref="AP96">IFERROR(IF($E96&lt;44348,"",IF(INDEX(Raw_매출!$B$2:$BI$155,MATCH($A96,Raw_매출!$A$2:$A$155,0),MATCH(EDATE($E96,AP$1-1),Raw_매출!$B$1:$BI$1,0))=0,"",INDEX(Raw_매출!$B$2:$BI$155,MATCH($A96,Raw_매출!$A$2:$A$155,0),MATCH(EDATE($E96,AP$1-1),Raw_매출!$B$1:$BI$1,0))/(INDEX(요약_월별시즈널리티!$F$7:$F$18,MONTH(EDATE($E96,AP$1-1)))/100))),"")</f>
        <v/>
      </c>
      <c r="AQ96" t="str" cm="1">
        <f t="array" ref="AQ96">IFERROR(IF($E96&lt;44348,"",IF(INDEX(Raw_매출!$B$2:$BI$155,MATCH($A96,Raw_매출!$A$2:$A$155,0),MATCH(EDATE($E96,AQ$1-1),Raw_매출!$B$1:$BI$1,0))=0,"",INDEX(Raw_매출!$B$2:$BI$155,MATCH($A96,Raw_매출!$A$2:$A$155,0),MATCH(EDATE($E96,AQ$1-1),Raw_매출!$B$1:$BI$1,0))/(INDEX(요약_월별시즈널리티!$F$7:$F$18,MONTH(EDATE($E96,AQ$1-1)))/100))),"")</f>
        <v/>
      </c>
      <c r="AR96" t="str" cm="1">
        <f t="array" ref="AR96">IFERROR(IF($E96&lt;44348,"",IF(INDEX(Raw_매출!$B$2:$BI$155,MATCH($A96,Raw_매출!$A$2:$A$155,0),MATCH(EDATE($E96,AR$1-1),Raw_매출!$B$1:$BI$1,0))=0,"",INDEX(Raw_매출!$B$2:$BI$155,MATCH($A96,Raw_매출!$A$2:$A$155,0),MATCH(EDATE($E96,AR$1-1),Raw_매출!$B$1:$BI$1,0))/(INDEX(요약_월별시즈널리티!$F$7:$F$18,MONTH(EDATE($E96,AR$1-1)))/100))),"")</f>
        <v/>
      </c>
      <c r="AS96" t="str" cm="1">
        <f t="array" ref="AS96">IFERROR(IF($E96&lt;44348,"",IF(INDEX(Raw_매출!$B$2:$BI$155,MATCH($A96,Raw_매출!$A$2:$A$155,0),MATCH(EDATE($E96,AS$1-1),Raw_매출!$B$1:$BI$1,0))=0,"",INDEX(Raw_매출!$B$2:$BI$155,MATCH($A96,Raw_매출!$A$2:$A$155,0),MATCH(EDATE($E96,AS$1-1),Raw_매출!$B$1:$BI$1,0))/(INDEX(요약_월별시즈널리티!$F$7:$F$18,MONTH(EDATE($E96,AS$1-1)))/100))),"")</f>
        <v/>
      </c>
      <c r="AT96" t="str" cm="1">
        <f t="array" ref="AT96">IFERROR(IF($E96&lt;44348,"",IF(INDEX(Raw_매출!$B$2:$BI$155,MATCH($A96,Raw_매출!$A$2:$A$155,0),MATCH(EDATE($E96,AT$1-1),Raw_매출!$B$1:$BI$1,0))=0,"",INDEX(Raw_매출!$B$2:$BI$155,MATCH($A96,Raw_매출!$A$2:$A$155,0),MATCH(EDATE($E96,AT$1-1),Raw_매출!$B$1:$BI$1,0))/(INDEX(요약_월별시즈널리티!$F$7:$F$18,MONTH(EDATE($E96,AT$1-1)))/100))),"")</f>
        <v/>
      </c>
      <c r="AU96" t="str" cm="1">
        <f t="array" ref="AU96">IFERROR(IF($E96&lt;44348,"",IF(INDEX(Raw_매출!$B$2:$BI$155,MATCH($A96,Raw_매출!$A$2:$A$155,0),MATCH(EDATE($E96,AU$1-1),Raw_매출!$B$1:$BI$1,0))=0,"",INDEX(Raw_매출!$B$2:$BI$155,MATCH($A96,Raw_매출!$A$2:$A$155,0),MATCH(EDATE($E96,AU$1-1),Raw_매출!$B$1:$BI$1,0))/(INDEX(요약_월별시즈널리티!$F$7:$F$18,MONTH(EDATE($E96,AU$1-1)))/100))),"")</f>
        <v/>
      </c>
      <c r="AV96" t="str" cm="1">
        <f t="array" ref="AV96">IFERROR(IF($E96&lt;44348,"",IF(INDEX(Raw_매출!$B$2:$BI$155,MATCH($A96,Raw_매출!$A$2:$A$155,0),MATCH(EDATE($E96,AV$1-1),Raw_매출!$B$1:$BI$1,0))=0,"",INDEX(Raw_매출!$B$2:$BI$155,MATCH($A96,Raw_매출!$A$2:$A$155,0),MATCH(EDATE($E96,AV$1-1),Raw_매출!$B$1:$BI$1,0))/(INDEX(요약_월별시즈널리티!$F$7:$F$18,MONTH(EDATE($E96,AV$1-1)))/100))),"")</f>
        <v/>
      </c>
      <c r="AW96" t="str" cm="1">
        <f t="array" ref="AW96">IFERROR(IF($E96&lt;44348,"",IF(INDEX(Raw_매출!$B$2:$BI$155,MATCH($A96,Raw_매출!$A$2:$A$155,0),MATCH(EDATE($E96,AW$1-1),Raw_매출!$B$1:$BI$1,0))=0,"",INDEX(Raw_매출!$B$2:$BI$155,MATCH($A96,Raw_매출!$A$2:$A$155,0),MATCH(EDATE($E96,AW$1-1),Raw_매출!$B$1:$BI$1,0))/(INDEX(요약_월별시즈널리티!$F$7:$F$18,MONTH(EDATE($E96,AW$1-1)))/100))),"")</f>
        <v/>
      </c>
      <c r="AX96" t="str" cm="1">
        <f t="array" ref="AX96">IFERROR(IF($E96&lt;44348,"",IF(INDEX(Raw_매출!$B$2:$BI$155,MATCH($A96,Raw_매출!$A$2:$A$155,0),MATCH(EDATE($E96,AX$1-1),Raw_매출!$B$1:$BI$1,0))=0,"",INDEX(Raw_매출!$B$2:$BI$155,MATCH($A96,Raw_매출!$A$2:$A$155,0),MATCH(EDATE($E96,AX$1-1),Raw_매출!$B$1:$BI$1,0))/(INDEX(요약_월별시즈널리티!$F$7:$F$18,MONTH(EDATE($E96,AX$1-1)))/100))),"")</f>
        <v/>
      </c>
      <c r="AY96" t="str" cm="1">
        <f t="array" ref="AY96">IFERROR(IF($E96&lt;44348,"",IF(INDEX(Raw_매출!$B$2:$BI$155,MATCH($A96,Raw_매출!$A$2:$A$155,0),MATCH(EDATE($E96,AY$1-1),Raw_매출!$B$1:$BI$1,0))=0,"",INDEX(Raw_매출!$B$2:$BI$155,MATCH($A96,Raw_매출!$A$2:$A$155,0),MATCH(EDATE($E96,AY$1-1),Raw_매출!$B$1:$BI$1,0))/(INDEX(요약_월별시즈널리티!$F$7:$F$18,MONTH(EDATE($E96,AY$1-1)))/100))),"")</f>
        <v/>
      </c>
      <c r="AZ96" t="str" cm="1">
        <f t="array" ref="AZ96">IFERROR(IF($E96&lt;44348,"",IF(INDEX(Raw_매출!$B$2:$BI$155,MATCH($A96,Raw_매출!$A$2:$A$155,0),MATCH(EDATE($E96,AZ$1-1),Raw_매출!$B$1:$BI$1,0))=0,"",INDEX(Raw_매출!$B$2:$BI$155,MATCH($A96,Raw_매출!$A$2:$A$155,0),MATCH(EDATE($E96,AZ$1-1),Raw_매출!$B$1:$BI$1,0))/(INDEX(요약_월별시즈널리티!$F$7:$F$18,MONTH(EDATE($E96,AZ$1-1)))/100))),"")</f>
        <v/>
      </c>
      <c r="BA96" t="str" cm="1">
        <f t="array" ref="BA96">IFERROR(IF($E96&lt;44348,"",IF(INDEX(Raw_매출!$B$2:$BI$155,MATCH($A96,Raw_매출!$A$2:$A$155,0),MATCH(EDATE($E96,BA$1-1),Raw_매출!$B$1:$BI$1,0))=0,"",INDEX(Raw_매출!$B$2:$BI$155,MATCH($A96,Raw_매출!$A$2:$A$155,0),MATCH(EDATE($E96,BA$1-1),Raw_매출!$B$1:$BI$1,0))/(INDEX(요약_월별시즈널리티!$F$7:$F$18,MONTH(EDATE($E96,BA$1-1)))/100))),"")</f>
        <v/>
      </c>
      <c r="BB96" t="str" cm="1">
        <f t="array" ref="BB96">IFERROR(IF($E96&lt;44348,"",IF(INDEX(Raw_매출!$B$2:$BI$155,MATCH($A96,Raw_매출!$A$2:$A$155,0),MATCH(EDATE($E96,BB$1-1),Raw_매출!$B$1:$BI$1,0))=0,"",INDEX(Raw_매출!$B$2:$BI$155,MATCH($A96,Raw_매출!$A$2:$A$155,0),MATCH(EDATE($E96,BB$1-1),Raw_매출!$B$1:$BI$1,0))/(INDEX(요약_월별시즈널리티!$F$7:$F$18,MONTH(EDATE($E96,BB$1-1)))/100))),"")</f>
        <v/>
      </c>
      <c r="BC96" t="str" cm="1">
        <f t="array" ref="BC96">IFERROR(IF($E96&lt;44348,"",IF(INDEX(Raw_매출!$B$2:$BI$155,MATCH($A96,Raw_매출!$A$2:$A$155,0),MATCH(EDATE($E96,BC$1-1),Raw_매출!$B$1:$BI$1,0))=0,"",INDEX(Raw_매출!$B$2:$BI$155,MATCH($A96,Raw_매출!$A$2:$A$155,0),MATCH(EDATE($E96,BC$1-1),Raw_매출!$B$1:$BI$1,0))/(INDEX(요약_월별시즈널리티!$F$7:$F$18,MONTH(EDATE($E96,BC$1-1)))/100))),"")</f>
        <v/>
      </c>
      <c r="BD96" t="str" cm="1">
        <f t="array" ref="BD96">IFERROR(IF($E96&lt;44348,"",IF(INDEX(Raw_매출!$B$2:$BI$155,MATCH($A96,Raw_매출!$A$2:$A$155,0),MATCH(EDATE($E96,BD$1-1),Raw_매출!$B$1:$BI$1,0))=0,"",INDEX(Raw_매출!$B$2:$BI$155,MATCH($A96,Raw_매출!$A$2:$A$155,0),MATCH(EDATE($E96,BD$1-1),Raw_매출!$B$1:$BI$1,0))/(INDEX(요약_월별시즈널리티!$F$7:$F$18,MONTH(EDATE($E96,BD$1-1)))/100))),"")</f>
        <v/>
      </c>
      <c r="BE96" t="str" cm="1">
        <f t="array" ref="BE96">IFERROR(IF($E96&lt;44348,"",IF(INDEX(Raw_매출!$B$2:$BI$155,MATCH($A96,Raw_매출!$A$2:$A$155,0),MATCH(EDATE($E96,BE$1-1),Raw_매출!$B$1:$BI$1,0))=0,"",INDEX(Raw_매출!$B$2:$BI$155,MATCH($A96,Raw_매출!$A$2:$A$155,0),MATCH(EDATE($E96,BE$1-1),Raw_매출!$B$1:$BI$1,0))/(INDEX(요약_월별시즈널리티!$F$7:$F$18,MONTH(EDATE($E96,BE$1-1)))/100))),"")</f>
        <v/>
      </c>
      <c r="BF96" t="str" cm="1">
        <f t="array" ref="BF96">IFERROR(IF($E96&lt;44348,"",IF(INDEX(Raw_매출!$B$2:$BI$155,MATCH($A96,Raw_매출!$A$2:$A$155,0),MATCH(EDATE($E96,BF$1-1),Raw_매출!$B$1:$BI$1,0))=0,"",INDEX(Raw_매출!$B$2:$BI$155,MATCH($A96,Raw_매출!$A$2:$A$155,0),MATCH(EDATE($E96,BF$1-1),Raw_매출!$B$1:$BI$1,0))/(INDEX(요약_월별시즈널리티!$F$7:$F$18,MONTH(EDATE($E96,BF$1-1)))/100))),"")</f>
        <v/>
      </c>
      <c r="BG96" t="str" cm="1">
        <f t="array" ref="BG96">IFERROR(IF($E96&lt;44348,"",IF(INDEX(Raw_매출!$B$2:$BI$155,MATCH($A96,Raw_매출!$A$2:$A$155,0),MATCH(EDATE($E96,BG$1-1),Raw_매출!$B$1:$BI$1,0))=0,"",INDEX(Raw_매출!$B$2:$BI$155,MATCH($A96,Raw_매출!$A$2:$A$155,0),MATCH(EDATE($E96,BG$1-1),Raw_매출!$B$1:$BI$1,0))/(INDEX(요약_월별시즈널리티!$F$7:$F$18,MONTH(EDATE($E96,BG$1-1)))/100))),"")</f>
        <v/>
      </c>
      <c r="BH96" t="str" cm="1">
        <f t="array" ref="BH96">IFERROR(IF($E96&lt;44348,"",IF(INDEX(Raw_매출!$B$2:$BI$155,MATCH($A96,Raw_매출!$A$2:$A$155,0),MATCH(EDATE($E96,BH$1-1),Raw_매출!$B$1:$BI$1,0))=0,"",INDEX(Raw_매출!$B$2:$BI$155,MATCH($A96,Raw_매출!$A$2:$A$155,0),MATCH(EDATE($E96,BH$1-1),Raw_매출!$B$1:$BI$1,0))/(INDEX(요약_월별시즈널리티!$F$7:$F$18,MONTH(EDATE($E96,BH$1-1)))/100))),"")</f>
        <v/>
      </c>
      <c r="BI96" t="str" cm="1">
        <f t="array" ref="BI96">IFERROR(IF($E96&lt;44348,"",IF(INDEX(Raw_매출!$B$2:$BI$155,MATCH($A96,Raw_매출!$A$2:$A$155,0),MATCH(EDATE($E96,BI$1-1),Raw_매출!$B$1:$BI$1,0))=0,"",INDEX(Raw_매출!$B$2:$BI$155,MATCH($A96,Raw_매출!$A$2:$A$155,0),MATCH(EDATE($E96,BI$1-1),Raw_매출!$B$1:$BI$1,0))/(INDEX(요약_월별시즈널리티!$F$7:$F$18,MONTH(EDATE($E96,BI$1-1)))/100))),"")</f>
        <v/>
      </c>
      <c r="BJ96" t="str" cm="1">
        <f t="array" ref="BJ96">IFERROR(IF($E96&lt;44348,"",IF(INDEX(Raw_매출!$B$2:$BI$155,MATCH($A96,Raw_매출!$A$2:$A$155,0),MATCH(EDATE($E96,BJ$1-1),Raw_매출!$B$1:$BI$1,0))=0,"",INDEX(Raw_매출!$B$2:$BI$155,MATCH($A96,Raw_매출!$A$2:$A$155,0),MATCH(EDATE($E96,BJ$1-1),Raw_매출!$B$1:$BI$1,0))/(INDEX(요약_월별시즈널리티!$F$7:$F$18,MONTH(EDATE($E96,BJ$1-1)))/100))),"")</f>
        <v/>
      </c>
      <c r="BK96" t="str" cm="1">
        <f t="array" ref="BK96">IFERROR(IF($E96&lt;44348,"",IF(INDEX(Raw_매출!$B$2:$BI$155,MATCH($A96,Raw_매출!$A$2:$A$155,0),MATCH(EDATE($E96,BK$1-1),Raw_매출!$B$1:$BI$1,0))=0,"",INDEX(Raw_매출!$B$2:$BI$155,MATCH($A96,Raw_매출!$A$2:$A$155,0),MATCH(EDATE($E96,BK$1-1),Raw_매출!$B$1:$BI$1,0))/(INDEX(요약_월별시즈널리티!$F$7:$F$18,MONTH(EDATE($E96,BK$1-1)))/100))),"")</f>
        <v/>
      </c>
      <c r="BL96" t="str" cm="1">
        <f t="array" ref="BL96">IFERROR(IF($E96&lt;44348,"",IF(INDEX(Raw_매출!$B$2:$BI$155,MATCH($A96,Raw_매출!$A$2:$A$155,0),MATCH(EDATE($E96,BL$1-1),Raw_매출!$B$1:$BI$1,0))=0,"",INDEX(Raw_매출!$B$2:$BI$155,MATCH($A96,Raw_매출!$A$2:$A$155,0),MATCH(EDATE($E96,BL$1-1),Raw_매출!$B$1:$BI$1,0))/(INDEX(요약_월별시즈널리티!$F$7:$F$18,MONTH(EDATE($E96,BL$1-1)))/100))),"")</f>
        <v/>
      </c>
      <c r="BM96" t="str" cm="1">
        <f t="array" ref="BM96">IFERROR(IF($E96&lt;44348,"",IF(INDEX(Raw_매출!$B$2:$BI$155,MATCH($A96,Raw_매출!$A$2:$A$155,0),MATCH(EDATE($E96,BM$1-1),Raw_매출!$B$1:$BI$1,0))=0,"",INDEX(Raw_매출!$B$2:$BI$155,MATCH($A96,Raw_매출!$A$2:$A$155,0),MATCH(EDATE($E96,BM$1-1),Raw_매출!$B$1:$BI$1,0))/(INDEX(요약_월별시즈널리티!$F$7:$F$18,MONTH(EDATE($E96,BM$1-1)))/100))),"")</f>
        <v/>
      </c>
      <c r="BN96" t="str" cm="1">
        <f t="array" ref="BN96">IFERROR(IF($E96&lt;44348,"",IF(INDEX(Raw_매출!$B$2:$BI$155,MATCH($A96,Raw_매출!$A$2:$A$155,0),MATCH(EDATE($E96,BN$1-1),Raw_매출!$B$1:$BI$1,0))=0,"",INDEX(Raw_매출!$B$2:$BI$155,MATCH($A96,Raw_매출!$A$2:$A$155,0),MATCH(EDATE($E96,BN$1-1),Raw_매출!$B$1:$BI$1,0))/(INDEX(요약_월별시즈널리티!$F$7:$F$18,MONTH(EDATE($E96,BN$1-1)))/100))),"")</f>
        <v/>
      </c>
    </row>
    <row r="97" spans="1:66" x14ac:dyDescent="0.4">
      <c r="A97" t="str">
        <f>세팅!A98</f>
        <v>(1086) #궁동로데오점</v>
      </c>
      <c r="B97" t="str">
        <f>세팅!B98</f>
        <v>150-2</v>
      </c>
      <c r="C97">
        <f t="shared" si="3"/>
        <v>2</v>
      </c>
      <c r="D97" t="str">
        <f t="shared" si="4"/>
        <v>2</v>
      </c>
      <c r="E97" s="1">
        <f>세팅!D98</f>
        <v>45200</v>
      </c>
      <c r="F97" t="str">
        <f t="shared" si="5"/>
        <v/>
      </c>
      <c r="G97" t="str" cm="1">
        <f t="array" ref="G97">IFERROR(IF($E97&lt;44348,"",IF(INDEX(Raw_매출!$B$2:$BI$155,MATCH($A97,Raw_매출!$A$2:$A$155,0),MATCH(EDATE($E97,G$1-1),Raw_매출!$B$1:$BI$1,0))=0,"",INDEX(Raw_매출!$B$2:$BI$155,MATCH($A97,Raw_매출!$A$2:$A$155,0),MATCH(EDATE($E97,G$1-1),Raw_매출!$B$1:$BI$1,0))/(INDEX(요약_월별시즈널리티!$F$7:$F$18,MONTH(EDATE($E97,G$1-1)))/100))),"")</f>
        <v/>
      </c>
      <c r="H97" t="str" cm="1">
        <f t="array" ref="H97">IFERROR(IF($E97&lt;44348,"",IF(INDEX(Raw_매출!$B$2:$BI$155,MATCH($A97,Raw_매출!$A$2:$A$155,0),MATCH(EDATE($E97,H$1-1),Raw_매출!$B$1:$BI$1,0))=0,"",INDEX(Raw_매출!$B$2:$BI$155,MATCH($A97,Raw_매출!$A$2:$A$155,0),MATCH(EDATE($E97,H$1-1),Raw_매출!$B$1:$BI$1,0))/(INDEX(요약_월별시즈널리티!$F$7:$F$18,MONTH(EDATE($E97,H$1-1)))/100))),"")</f>
        <v/>
      </c>
      <c r="I97" t="str" cm="1">
        <f t="array" ref="I97">IFERROR(IF($E97&lt;44348,"",IF(INDEX(Raw_매출!$B$2:$BI$155,MATCH($A97,Raw_매출!$A$2:$A$155,0),MATCH(EDATE($E97,I$1-1),Raw_매출!$B$1:$BI$1,0))=0,"",INDEX(Raw_매출!$B$2:$BI$155,MATCH($A97,Raw_매출!$A$2:$A$155,0),MATCH(EDATE($E97,I$1-1),Raw_매출!$B$1:$BI$1,0))/(INDEX(요약_월별시즈널리티!$F$7:$F$18,MONTH(EDATE($E97,I$1-1)))/100))),"")</f>
        <v/>
      </c>
      <c r="J97" s="30" t="str" cm="1">
        <f t="array" ref="J97">IFERROR(IF($E97&lt;44348,"",IF(INDEX(Raw_매출!$B$2:$BI$155,MATCH($A97,Raw_매출!$A$2:$A$155,0),MATCH(EDATE($E97,J$1-1),Raw_매출!$B$1:$BI$1,0))=0,"",INDEX(Raw_매출!$B$2:$BI$155,MATCH($A97,Raw_매출!$A$2:$A$155,0),MATCH(EDATE($E97,J$1-1),Raw_매출!$B$1:$BI$1,0))/(INDEX(요약_월별시즈널리티!$F$7:$F$18,MONTH(EDATE($E97,J$1-1)))/100))),"")</f>
        <v/>
      </c>
      <c r="K97" s="30" t="str" cm="1">
        <f t="array" ref="K97">IFERROR(IF($E97&lt;44348,"",IF(INDEX(Raw_매출!$B$2:$BI$155,MATCH($A97,Raw_매출!$A$2:$A$155,0),MATCH(EDATE($E97,K$1-1),Raw_매출!$B$1:$BI$1,0))=0,"",INDEX(Raw_매출!$B$2:$BI$155,MATCH($A97,Raw_매출!$A$2:$A$155,0),MATCH(EDATE($E97,K$1-1),Raw_매출!$B$1:$BI$1,0))/(INDEX(요약_월별시즈널리티!$F$7:$F$18,MONTH(EDATE($E97,K$1-1)))/100))),"")</f>
        <v/>
      </c>
      <c r="L97" s="30" t="str" cm="1">
        <f t="array" ref="L97">IFERROR(IF($E97&lt;44348,"",IF(INDEX(Raw_매출!$B$2:$BI$155,MATCH($A97,Raw_매출!$A$2:$A$155,0),MATCH(EDATE($E97,L$1-1),Raw_매출!$B$1:$BI$1,0))=0,"",INDEX(Raw_매출!$B$2:$BI$155,MATCH($A97,Raw_매출!$A$2:$A$155,0),MATCH(EDATE($E97,L$1-1),Raw_매출!$B$1:$BI$1,0))/(INDEX(요약_월별시즈널리티!$F$7:$F$18,MONTH(EDATE($E97,L$1-1)))/100))),"")</f>
        <v/>
      </c>
      <c r="M97" s="30" t="str" cm="1">
        <f t="array" ref="M97">IFERROR(IF($E97&lt;44348,"",IF(INDEX(Raw_매출!$B$2:$BI$155,MATCH($A97,Raw_매출!$A$2:$A$155,0),MATCH(EDATE($E97,M$1-1),Raw_매출!$B$1:$BI$1,0))=0,"",INDEX(Raw_매출!$B$2:$BI$155,MATCH($A97,Raw_매출!$A$2:$A$155,0),MATCH(EDATE($E97,M$1-1),Raw_매출!$B$1:$BI$1,0))/(INDEX(요약_월별시즈널리티!$F$7:$F$18,MONTH(EDATE($E97,M$1-1)))/100))),"")</f>
        <v/>
      </c>
      <c r="N97" s="30" t="str" cm="1">
        <f t="array" ref="N97">IFERROR(IF($E97&lt;44348,"",IF(INDEX(Raw_매출!$B$2:$BI$155,MATCH($A97,Raw_매출!$A$2:$A$155,0),MATCH(EDATE($E97,N$1-1),Raw_매출!$B$1:$BI$1,0))=0,"",INDEX(Raw_매출!$B$2:$BI$155,MATCH($A97,Raw_매출!$A$2:$A$155,0),MATCH(EDATE($E97,N$1-1),Raw_매출!$B$1:$BI$1,0))/(INDEX(요약_월별시즈널리티!$F$7:$F$18,MONTH(EDATE($E97,N$1-1)))/100))),"")</f>
        <v/>
      </c>
      <c r="O97" s="30" t="str" cm="1">
        <f t="array" ref="O97">IFERROR(IF($E97&lt;44348,"",IF(INDEX(Raw_매출!$B$2:$BI$155,MATCH($A97,Raw_매출!$A$2:$A$155,0),MATCH(EDATE($E97,O$1-1),Raw_매출!$B$1:$BI$1,0))=0,"",INDEX(Raw_매출!$B$2:$BI$155,MATCH($A97,Raw_매출!$A$2:$A$155,0),MATCH(EDATE($E97,O$1-1),Raw_매출!$B$1:$BI$1,0))/(INDEX(요약_월별시즈널리티!$F$7:$F$18,MONTH(EDATE($E97,O$1-1)))/100))),"")</f>
        <v/>
      </c>
      <c r="P97" t="str" cm="1">
        <f t="array" ref="P97">IFERROR(IF($E97&lt;44348,"",IF(INDEX(Raw_매출!$B$2:$BI$155,MATCH($A97,Raw_매출!$A$2:$A$155,0),MATCH(EDATE($E97,P$1-1),Raw_매출!$B$1:$BI$1,0))=0,"",INDEX(Raw_매출!$B$2:$BI$155,MATCH($A97,Raw_매출!$A$2:$A$155,0),MATCH(EDATE($E97,P$1-1),Raw_매출!$B$1:$BI$1,0))/(INDEX(요약_월별시즈널리티!$F$7:$F$18,MONTH(EDATE($E97,P$1-1)))/100))),"")</f>
        <v/>
      </c>
      <c r="Q97" t="str" cm="1">
        <f t="array" ref="Q97">IFERROR(IF($E97&lt;44348,"",IF(INDEX(Raw_매출!$B$2:$BI$155,MATCH($A97,Raw_매출!$A$2:$A$155,0),MATCH(EDATE($E97,Q$1-1),Raw_매출!$B$1:$BI$1,0))=0,"",INDEX(Raw_매출!$B$2:$BI$155,MATCH($A97,Raw_매출!$A$2:$A$155,0),MATCH(EDATE($E97,Q$1-1),Raw_매출!$B$1:$BI$1,0))/(INDEX(요약_월별시즈널리티!$F$7:$F$18,MONTH(EDATE($E97,Q$1-1)))/100))),"")</f>
        <v/>
      </c>
      <c r="R97" t="str" cm="1">
        <f t="array" ref="R97">IFERROR(IF($E97&lt;44348,"",IF(INDEX(Raw_매출!$B$2:$BI$155,MATCH($A97,Raw_매출!$A$2:$A$155,0),MATCH(EDATE($E97,R$1-1),Raw_매출!$B$1:$BI$1,0))=0,"",INDEX(Raw_매출!$B$2:$BI$155,MATCH($A97,Raw_매출!$A$2:$A$155,0),MATCH(EDATE($E97,R$1-1),Raw_매출!$B$1:$BI$1,0))/(INDEX(요약_월별시즈널리티!$F$7:$F$18,MONTH(EDATE($E97,R$1-1)))/100))),"")</f>
        <v/>
      </c>
      <c r="S97" t="str" cm="1">
        <f t="array" ref="S97">IFERROR(IF($E97&lt;44348,"",IF(INDEX(Raw_매출!$B$2:$BI$155,MATCH($A97,Raw_매출!$A$2:$A$155,0),MATCH(EDATE($E97,S$1-1),Raw_매출!$B$1:$BI$1,0))=0,"",INDEX(Raw_매출!$B$2:$BI$155,MATCH($A97,Raw_매출!$A$2:$A$155,0),MATCH(EDATE($E97,S$1-1),Raw_매출!$B$1:$BI$1,0))/(INDEX(요약_월별시즈널리티!$F$7:$F$18,MONTH(EDATE($E97,S$1-1)))/100))),"")</f>
        <v/>
      </c>
      <c r="T97" t="str" cm="1">
        <f t="array" ref="T97">IFERROR(IF($E97&lt;44348,"",IF(INDEX(Raw_매출!$B$2:$BI$155,MATCH($A97,Raw_매출!$A$2:$A$155,0),MATCH(EDATE($E97,T$1-1),Raw_매출!$B$1:$BI$1,0))=0,"",INDEX(Raw_매출!$B$2:$BI$155,MATCH($A97,Raw_매출!$A$2:$A$155,0),MATCH(EDATE($E97,T$1-1),Raw_매출!$B$1:$BI$1,0))/(INDEX(요약_월별시즈널리티!$F$7:$F$18,MONTH(EDATE($E97,T$1-1)))/100))),"")</f>
        <v/>
      </c>
      <c r="U97" t="str" cm="1">
        <f t="array" ref="U97">IFERROR(IF($E97&lt;44348,"",IF(INDEX(Raw_매출!$B$2:$BI$155,MATCH($A97,Raw_매출!$A$2:$A$155,0),MATCH(EDATE($E97,U$1-1),Raw_매출!$B$1:$BI$1,0))=0,"",INDEX(Raw_매출!$B$2:$BI$155,MATCH($A97,Raw_매출!$A$2:$A$155,0),MATCH(EDATE($E97,U$1-1),Raw_매출!$B$1:$BI$1,0))/(INDEX(요약_월별시즈널리티!$F$7:$F$18,MONTH(EDATE($E97,U$1-1)))/100))),"")</f>
        <v/>
      </c>
      <c r="V97" t="str" cm="1">
        <f t="array" ref="V97">IFERROR(IF($E97&lt;44348,"",IF(INDEX(Raw_매출!$B$2:$BI$155,MATCH($A97,Raw_매출!$A$2:$A$155,0),MATCH(EDATE($E97,V$1-1),Raw_매출!$B$1:$BI$1,0))=0,"",INDEX(Raw_매출!$B$2:$BI$155,MATCH($A97,Raw_매출!$A$2:$A$155,0),MATCH(EDATE($E97,V$1-1),Raw_매출!$B$1:$BI$1,0))/(INDEX(요약_월별시즈널리티!$F$7:$F$18,MONTH(EDATE($E97,V$1-1)))/100))),"")</f>
        <v/>
      </c>
      <c r="W97" t="str" cm="1">
        <f t="array" ref="W97">IFERROR(IF($E97&lt;44348,"",IF(INDEX(Raw_매출!$B$2:$BI$155,MATCH($A97,Raw_매출!$A$2:$A$155,0),MATCH(EDATE($E97,W$1-1),Raw_매출!$B$1:$BI$1,0))=0,"",INDEX(Raw_매출!$B$2:$BI$155,MATCH($A97,Raw_매출!$A$2:$A$155,0),MATCH(EDATE($E97,W$1-1),Raw_매출!$B$1:$BI$1,0))/(INDEX(요약_월별시즈널리티!$F$7:$F$18,MONTH(EDATE($E97,W$1-1)))/100))),"")</f>
        <v/>
      </c>
      <c r="X97" t="str" cm="1">
        <f t="array" ref="X97">IFERROR(IF($E97&lt;44348,"",IF(INDEX(Raw_매출!$B$2:$BI$155,MATCH($A97,Raw_매출!$A$2:$A$155,0),MATCH(EDATE($E97,X$1-1),Raw_매출!$B$1:$BI$1,0))=0,"",INDEX(Raw_매출!$B$2:$BI$155,MATCH($A97,Raw_매출!$A$2:$A$155,0),MATCH(EDATE($E97,X$1-1),Raw_매출!$B$1:$BI$1,0))/(INDEX(요약_월별시즈널리티!$F$7:$F$18,MONTH(EDATE($E97,X$1-1)))/100))),"")</f>
        <v/>
      </c>
      <c r="Y97" t="str" cm="1">
        <f t="array" ref="Y97">IFERROR(IF($E97&lt;44348,"",IF(INDEX(Raw_매출!$B$2:$BI$155,MATCH($A97,Raw_매출!$A$2:$A$155,0),MATCH(EDATE($E97,Y$1-1),Raw_매출!$B$1:$BI$1,0))=0,"",INDEX(Raw_매출!$B$2:$BI$155,MATCH($A97,Raw_매출!$A$2:$A$155,0),MATCH(EDATE($E97,Y$1-1),Raw_매출!$B$1:$BI$1,0))/(INDEX(요약_월별시즈널리티!$F$7:$F$18,MONTH(EDATE($E97,Y$1-1)))/100))),"")</f>
        <v/>
      </c>
      <c r="Z97" t="str" cm="1">
        <f t="array" ref="Z97">IFERROR(IF($E97&lt;44348,"",IF(INDEX(Raw_매출!$B$2:$BI$155,MATCH($A97,Raw_매출!$A$2:$A$155,0),MATCH(EDATE($E97,Z$1-1),Raw_매출!$B$1:$BI$1,0))=0,"",INDEX(Raw_매출!$B$2:$BI$155,MATCH($A97,Raw_매출!$A$2:$A$155,0),MATCH(EDATE($E97,Z$1-1),Raw_매출!$B$1:$BI$1,0))/(INDEX(요약_월별시즈널리티!$F$7:$F$18,MONTH(EDATE($E97,Z$1-1)))/100))),"")</f>
        <v/>
      </c>
      <c r="AA97" t="str" cm="1">
        <f t="array" ref="AA97">IFERROR(IF($E97&lt;44348,"",IF(INDEX(Raw_매출!$B$2:$BI$155,MATCH($A97,Raw_매출!$A$2:$A$155,0),MATCH(EDATE($E97,AA$1-1),Raw_매출!$B$1:$BI$1,0))=0,"",INDEX(Raw_매출!$B$2:$BI$155,MATCH($A97,Raw_매출!$A$2:$A$155,0),MATCH(EDATE($E97,AA$1-1),Raw_매출!$B$1:$BI$1,0))/(INDEX(요약_월별시즈널리티!$F$7:$F$18,MONTH(EDATE($E97,AA$1-1)))/100))),"")</f>
        <v/>
      </c>
      <c r="AB97" t="str" cm="1">
        <f t="array" ref="AB97">IFERROR(IF($E97&lt;44348,"",IF(INDEX(Raw_매출!$B$2:$BI$155,MATCH($A97,Raw_매출!$A$2:$A$155,0),MATCH(EDATE($E97,AB$1-1),Raw_매출!$B$1:$BI$1,0))=0,"",INDEX(Raw_매출!$B$2:$BI$155,MATCH($A97,Raw_매출!$A$2:$A$155,0),MATCH(EDATE($E97,AB$1-1),Raw_매출!$B$1:$BI$1,0))/(INDEX(요약_월별시즈널리티!$F$7:$F$18,MONTH(EDATE($E97,AB$1-1)))/100))),"")</f>
        <v/>
      </c>
      <c r="AC97" t="str" cm="1">
        <f t="array" ref="AC97">IFERROR(IF($E97&lt;44348,"",IF(INDEX(Raw_매출!$B$2:$BI$155,MATCH($A97,Raw_매출!$A$2:$A$155,0),MATCH(EDATE($E97,AC$1-1),Raw_매출!$B$1:$BI$1,0))=0,"",INDEX(Raw_매출!$B$2:$BI$155,MATCH($A97,Raw_매출!$A$2:$A$155,0),MATCH(EDATE($E97,AC$1-1),Raw_매출!$B$1:$BI$1,0))/(INDEX(요약_월별시즈널리티!$F$7:$F$18,MONTH(EDATE($E97,AC$1-1)))/100))),"")</f>
        <v/>
      </c>
      <c r="AD97" t="str" cm="1">
        <f t="array" ref="AD97">IFERROR(IF($E97&lt;44348,"",IF(INDEX(Raw_매출!$B$2:$BI$155,MATCH($A97,Raw_매출!$A$2:$A$155,0),MATCH(EDATE($E97,AD$1-1),Raw_매출!$B$1:$BI$1,0))=0,"",INDEX(Raw_매출!$B$2:$BI$155,MATCH($A97,Raw_매출!$A$2:$A$155,0),MATCH(EDATE($E97,AD$1-1),Raw_매출!$B$1:$BI$1,0))/(INDEX(요약_월별시즈널리티!$F$7:$F$18,MONTH(EDATE($E97,AD$1-1)))/100))),"")</f>
        <v/>
      </c>
      <c r="AE97" t="str" cm="1">
        <f t="array" ref="AE97">IFERROR(IF($E97&lt;44348,"",IF(INDEX(Raw_매출!$B$2:$BI$155,MATCH($A97,Raw_매출!$A$2:$A$155,0),MATCH(EDATE($E97,AE$1-1),Raw_매출!$B$1:$BI$1,0))=0,"",INDEX(Raw_매출!$B$2:$BI$155,MATCH($A97,Raw_매출!$A$2:$A$155,0),MATCH(EDATE($E97,AE$1-1),Raw_매출!$B$1:$BI$1,0))/(INDEX(요약_월별시즈널리티!$F$7:$F$18,MONTH(EDATE($E97,AE$1-1)))/100))),"")</f>
        <v/>
      </c>
      <c r="AF97" t="str" cm="1">
        <f t="array" ref="AF97">IFERROR(IF($E97&lt;44348,"",IF(INDEX(Raw_매출!$B$2:$BI$155,MATCH($A97,Raw_매출!$A$2:$A$155,0),MATCH(EDATE($E97,AF$1-1),Raw_매출!$B$1:$BI$1,0))=0,"",INDEX(Raw_매출!$B$2:$BI$155,MATCH($A97,Raw_매출!$A$2:$A$155,0),MATCH(EDATE($E97,AF$1-1),Raw_매출!$B$1:$BI$1,0))/(INDEX(요약_월별시즈널리티!$F$7:$F$18,MONTH(EDATE($E97,AF$1-1)))/100))),"")</f>
        <v/>
      </c>
      <c r="AG97" cm="1">
        <f t="array" ref="AG97">IFERROR(IF($E97&lt;44348,"",IF(INDEX(Raw_매출!$B$2:$BI$155,MATCH($A97,Raw_매출!$A$2:$A$155,0),MATCH(EDATE($E97,AG$1-1),Raw_매출!$B$1:$BI$1,0))=0,"",INDEX(Raw_매출!$B$2:$BI$155,MATCH($A97,Raw_매출!$A$2:$A$155,0),MATCH(EDATE($E97,AG$1-1),Raw_매출!$B$1:$BI$1,0))/(INDEX(요약_월별시즈널리티!$F$7:$F$18,MONTH(EDATE($E97,AG$1-1)))/100))),"")</f>
        <v>1539235.1242111332</v>
      </c>
      <c r="AH97" cm="1">
        <f t="array" ref="AH97">IFERROR(IF($E97&lt;44348,"",IF(INDEX(Raw_매출!$B$2:$BI$155,MATCH($A97,Raw_매출!$A$2:$A$155,0),MATCH(EDATE($E97,AH$1-1),Raw_매출!$B$1:$BI$1,0))=0,"",INDEX(Raw_매출!$B$2:$BI$155,MATCH($A97,Raw_매출!$A$2:$A$155,0),MATCH(EDATE($E97,AH$1-1),Raw_매출!$B$1:$BI$1,0))/(INDEX(요약_월별시즈널리티!$F$7:$F$18,MONTH(EDATE($E97,AH$1-1)))/100))),"")</f>
        <v>7643684.2729021003</v>
      </c>
      <c r="AI97" cm="1">
        <f t="array" ref="AI97">IFERROR(IF($E97&lt;44348,"",IF(INDEX(Raw_매출!$B$2:$BI$155,MATCH($A97,Raw_매출!$A$2:$A$155,0),MATCH(EDATE($E97,AI$1-1),Raw_매출!$B$1:$BI$1,0))=0,"",INDEX(Raw_매출!$B$2:$BI$155,MATCH($A97,Raw_매출!$A$2:$A$155,0),MATCH(EDATE($E97,AI$1-1),Raw_매출!$B$1:$BI$1,0))/(INDEX(요약_월별시즈널리티!$F$7:$F$18,MONTH(EDATE($E97,AI$1-1)))/100))),"")</f>
        <v>7429784.3185038939</v>
      </c>
      <c r="AJ97" cm="1">
        <f t="array" ref="AJ97">IFERROR(IF($E97&lt;44348,"",IF(INDEX(Raw_매출!$B$2:$BI$155,MATCH($A97,Raw_매출!$A$2:$A$155,0),MATCH(EDATE($E97,AJ$1-1),Raw_매출!$B$1:$BI$1,0))=0,"",INDEX(Raw_매출!$B$2:$BI$155,MATCH($A97,Raw_매출!$A$2:$A$155,0),MATCH(EDATE($E97,AJ$1-1),Raw_매출!$B$1:$BI$1,0))/(INDEX(요약_월별시즈널리티!$F$7:$F$18,MONTH(EDATE($E97,AJ$1-1)))/100))),"")</f>
        <v>7915008.0412104456</v>
      </c>
      <c r="AK97" cm="1">
        <f t="array" ref="AK97">IFERROR(IF($E97&lt;44348,"",IF(INDEX(Raw_매출!$B$2:$BI$155,MATCH($A97,Raw_매출!$A$2:$A$155,0),MATCH(EDATE($E97,AK$1-1),Raw_매출!$B$1:$BI$1,0))=0,"",INDEX(Raw_매출!$B$2:$BI$155,MATCH($A97,Raw_매출!$A$2:$A$155,0),MATCH(EDATE($E97,AK$1-1),Raw_매출!$B$1:$BI$1,0))/(INDEX(요약_월별시즈널리티!$F$7:$F$18,MONTH(EDATE($E97,AK$1-1)))/100))),"")</f>
        <v>7601799.449212255</v>
      </c>
      <c r="AL97" cm="1">
        <f t="array" ref="AL97">IFERROR(IF($E97&lt;44348,"",IF(INDEX(Raw_매출!$B$2:$BI$155,MATCH($A97,Raw_매출!$A$2:$A$155,0),MATCH(EDATE($E97,AL$1-1),Raw_매출!$B$1:$BI$1,0))=0,"",INDEX(Raw_매출!$B$2:$BI$155,MATCH($A97,Raw_매출!$A$2:$A$155,0),MATCH(EDATE($E97,AL$1-1),Raw_매출!$B$1:$BI$1,0))/(INDEX(요약_월별시즈널리티!$F$7:$F$18,MONTH(EDATE($E97,AL$1-1)))/100))),"")</f>
        <v>8377474.113134698</v>
      </c>
      <c r="AM97" t="str" cm="1">
        <f t="array" ref="AM97">IFERROR(IF($E97&lt;44348,"",IF(INDEX(Raw_매출!$B$2:$BI$155,MATCH($A97,Raw_매출!$A$2:$A$155,0),MATCH(EDATE($E97,AM$1-1),Raw_매출!$B$1:$BI$1,0))=0,"",INDEX(Raw_매출!$B$2:$BI$155,MATCH($A97,Raw_매출!$A$2:$A$155,0),MATCH(EDATE($E97,AM$1-1),Raw_매출!$B$1:$BI$1,0))/(INDEX(요약_월별시즈널리티!$F$7:$F$18,MONTH(EDATE($E97,AM$1-1)))/100))),"")</f>
        <v/>
      </c>
      <c r="AN97" t="str" cm="1">
        <f t="array" ref="AN97">IFERROR(IF($E97&lt;44348,"",IF(INDEX(Raw_매출!$B$2:$BI$155,MATCH($A97,Raw_매출!$A$2:$A$155,0),MATCH(EDATE($E97,AN$1-1),Raw_매출!$B$1:$BI$1,0))=0,"",INDEX(Raw_매출!$B$2:$BI$155,MATCH($A97,Raw_매출!$A$2:$A$155,0),MATCH(EDATE($E97,AN$1-1),Raw_매출!$B$1:$BI$1,0))/(INDEX(요약_월별시즈널리티!$F$7:$F$18,MONTH(EDATE($E97,AN$1-1)))/100))),"")</f>
        <v/>
      </c>
      <c r="AO97" t="str" cm="1">
        <f t="array" ref="AO97">IFERROR(IF($E97&lt;44348,"",IF(INDEX(Raw_매출!$B$2:$BI$155,MATCH($A97,Raw_매출!$A$2:$A$155,0),MATCH(EDATE($E97,AO$1-1),Raw_매출!$B$1:$BI$1,0))=0,"",INDEX(Raw_매출!$B$2:$BI$155,MATCH($A97,Raw_매출!$A$2:$A$155,0),MATCH(EDATE($E97,AO$1-1),Raw_매출!$B$1:$BI$1,0))/(INDEX(요약_월별시즈널리티!$F$7:$F$18,MONTH(EDATE($E97,AO$1-1)))/100))),"")</f>
        <v/>
      </c>
      <c r="AP97" t="str" cm="1">
        <f t="array" ref="AP97">IFERROR(IF($E97&lt;44348,"",IF(INDEX(Raw_매출!$B$2:$BI$155,MATCH($A97,Raw_매출!$A$2:$A$155,0),MATCH(EDATE($E97,AP$1-1),Raw_매출!$B$1:$BI$1,0))=0,"",INDEX(Raw_매출!$B$2:$BI$155,MATCH($A97,Raw_매출!$A$2:$A$155,0),MATCH(EDATE($E97,AP$1-1),Raw_매출!$B$1:$BI$1,0))/(INDEX(요약_월별시즈널리티!$F$7:$F$18,MONTH(EDATE($E97,AP$1-1)))/100))),"")</f>
        <v/>
      </c>
      <c r="AQ97" t="str" cm="1">
        <f t="array" ref="AQ97">IFERROR(IF($E97&lt;44348,"",IF(INDEX(Raw_매출!$B$2:$BI$155,MATCH($A97,Raw_매출!$A$2:$A$155,0),MATCH(EDATE($E97,AQ$1-1),Raw_매출!$B$1:$BI$1,0))=0,"",INDEX(Raw_매출!$B$2:$BI$155,MATCH($A97,Raw_매출!$A$2:$A$155,0),MATCH(EDATE($E97,AQ$1-1),Raw_매출!$B$1:$BI$1,0))/(INDEX(요약_월별시즈널리티!$F$7:$F$18,MONTH(EDATE($E97,AQ$1-1)))/100))),"")</f>
        <v/>
      </c>
      <c r="AR97" t="str" cm="1">
        <f t="array" ref="AR97">IFERROR(IF($E97&lt;44348,"",IF(INDEX(Raw_매출!$B$2:$BI$155,MATCH($A97,Raw_매출!$A$2:$A$155,0),MATCH(EDATE($E97,AR$1-1),Raw_매출!$B$1:$BI$1,0))=0,"",INDEX(Raw_매출!$B$2:$BI$155,MATCH($A97,Raw_매출!$A$2:$A$155,0),MATCH(EDATE($E97,AR$1-1),Raw_매출!$B$1:$BI$1,0))/(INDEX(요약_월별시즈널리티!$F$7:$F$18,MONTH(EDATE($E97,AR$1-1)))/100))),"")</f>
        <v/>
      </c>
      <c r="AS97" t="str" cm="1">
        <f t="array" ref="AS97">IFERROR(IF($E97&lt;44348,"",IF(INDEX(Raw_매출!$B$2:$BI$155,MATCH($A97,Raw_매출!$A$2:$A$155,0),MATCH(EDATE($E97,AS$1-1),Raw_매출!$B$1:$BI$1,0))=0,"",INDEX(Raw_매출!$B$2:$BI$155,MATCH($A97,Raw_매출!$A$2:$A$155,0),MATCH(EDATE($E97,AS$1-1),Raw_매출!$B$1:$BI$1,0))/(INDEX(요약_월별시즈널리티!$F$7:$F$18,MONTH(EDATE($E97,AS$1-1)))/100))),"")</f>
        <v/>
      </c>
      <c r="AT97" t="str" cm="1">
        <f t="array" ref="AT97">IFERROR(IF($E97&lt;44348,"",IF(INDEX(Raw_매출!$B$2:$BI$155,MATCH($A97,Raw_매출!$A$2:$A$155,0),MATCH(EDATE($E97,AT$1-1),Raw_매출!$B$1:$BI$1,0))=0,"",INDEX(Raw_매출!$B$2:$BI$155,MATCH($A97,Raw_매출!$A$2:$A$155,0),MATCH(EDATE($E97,AT$1-1),Raw_매출!$B$1:$BI$1,0))/(INDEX(요약_월별시즈널리티!$F$7:$F$18,MONTH(EDATE($E97,AT$1-1)))/100))),"")</f>
        <v/>
      </c>
      <c r="AU97" t="str" cm="1">
        <f t="array" ref="AU97">IFERROR(IF($E97&lt;44348,"",IF(INDEX(Raw_매출!$B$2:$BI$155,MATCH($A97,Raw_매출!$A$2:$A$155,0),MATCH(EDATE($E97,AU$1-1),Raw_매출!$B$1:$BI$1,0))=0,"",INDEX(Raw_매출!$B$2:$BI$155,MATCH($A97,Raw_매출!$A$2:$A$155,0),MATCH(EDATE($E97,AU$1-1),Raw_매출!$B$1:$BI$1,0))/(INDEX(요약_월별시즈널리티!$F$7:$F$18,MONTH(EDATE($E97,AU$1-1)))/100))),"")</f>
        <v/>
      </c>
      <c r="AV97" t="str" cm="1">
        <f t="array" ref="AV97">IFERROR(IF($E97&lt;44348,"",IF(INDEX(Raw_매출!$B$2:$BI$155,MATCH($A97,Raw_매출!$A$2:$A$155,0),MATCH(EDATE($E97,AV$1-1),Raw_매출!$B$1:$BI$1,0))=0,"",INDEX(Raw_매출!$B$2:$BI$155,MATCH($A97,Raw_매출!$A$2:$A$155,0),MATCH(EDATE($E97,AV$1-1),Raw_매출!$B$1:$BI$1,0))/(INDEX(요약_월별시즈널리티!$F$7:$F$18,MONTH(EDATE($E97,AV$1-1)))/100))),"")</f>
        <v/>
      </c>
      <c r="AW97" t="str" cm="1">
        <f t="array" ref="AW97">IFERROR(IF($E97&lt;44348,"",IF(INDEX(Raw_매출!$B$2:$BI$155,MATCH($A97,Raw_매출!$A$2:$A$155,0),MATCH(EDATE($E97,AW$1-1),Raw_매출!$B$1:$BI$1,0))=0,"",INDEX(Raw_매출!$B$2:$BI$155,MATCH($A97,Raw_매출!$A$2:$A$155,0),MATCH(EDATE($E97,AW$1-1),Raw_매출!$B$1:$BI$1,0))/(INDEX(요약_월별시즈널리티!$F$7:$F$18,MONTH(EDATE($E97,AW$1-1)))/100))),"")</f>
        <v/>
      </c>
      <c r="AX97" t="str" cm="1">
        <f t="array" ref="AX97">IFERROR(IF($E97&lt;44348,"",IF(INDEX(Raw_매출!$B$2:$BI$155,MATCH($A97,Raw_매출!$A$2:$A$155,0),MATCH(EDATE($E97,AX$1-1),Raw_매출!$B$1:$BI$1,0))=0,"",INDEX(Raw_매출!$B$2:$BI$155,MATCH($A97,Raw_매출!$A$2:$A$155,0),MATCH(EDATE($E97,AX$1-1),Raw_매출!$B$1:$BI$1,0))/(INDEX(요약_월별시즈널리티!$F$7:$F$18,MONTH(EDATE($E97,AX$1-1)))/100))),"")</f>
        <v/>
      </c>
      <c r="AY97" t="str" cm="1">
        <f t="array" ref="AY97">IFERROR(IF($E97&lt;44348,"",IF(INDEX(Raw_매출!$B$2:$BI$155,MATCH($A97,Raw_매출!$A$2:$A$155,0),MATCH(EDATE($E97,AY$1-1),Raw_매출!$B$1:$BI$1,0))=0,"",INDEX(Raw_매출!$B$2:$BI$155,MATCH($A97,Raw_매출!$A$2:$A$155,0),MATCH(EDATE($E97,AY$1-1),Raw_매출!$B$1:$BI$1,0))/(INDEX(요약_월별시즈널리티!$F$7:$F$18,MONTH(EDATE($E97,AY$1-1)))/100))),"")</f>
        <v/>
      </c>
      <c r="AZ97" t="str" cm="1">
        <f t="array" ref="AZ97">IFERROR(IF($E97&lt;44348,"",IF(INDEX(Raw_매출!$B$2:$BI$155,MATCH($A97,Raw_매출!$A$2:$A$155,0),MATCH(EDATE($E97,AZ$1-1),Raw_매출!$B$1:$BI$1,0))=0,"",INDEX(Raw_매출!$B$2:$BI$155,MATCH($A97,Raw_매출!$A$2:$A$155,0),MATCH(EDATE($E97,AZ$1-1),Raw_매출!$B$1:$BI$1,0))/(INDEX(요약_월별시즈널리티!$F$7:$F$18,MONTH(EDATE($E97,AZ$1-1)))/100))),"")</f>
        <v/>
      </c>
      <c r="BA97" t="str" cm="1">
        <f t="array" ref="BA97">IFERROR(IF($E97&lt;44348,"",IF(INDEX(Raw_매출!$B$2:$BI$155,MATCH($A97,Raw_매출!$A$2:$A$155,0),MATCH(EDATE($E97,BA$1-1),Raw_매출!$B$1:$BI$1,0))=0,"",INDEX(Raw_매출!$B$2:$BI$155,MATCH($A97,Raw_매출!$A$2:$A$155,0),MATCH(EDATE($E97,BA$1-1),Raw_매출!$B$1:$BI$1,0))/(INDEX(요약_월별시즈널리티!$F$7:$F$18,MONTH(EDATE($E97,BA$1-1)))/100))),"")</f>
        <v/>
      </c>
      <c r="BB97" t="str" cm="1">
        <f t="array" ref="BB97">IFERROR(IF($E97&lt;44348,"",IF(INDEX(Raw_매출!$B$2:$BI$155,MATCH($A97,Raw_매출!$A$2:$A$155,0),MATCH(EDATE($E97,BB$1-1),Raw_매출!$B$1:$BI$1,0))=0,"",INDEX(Raw_매출!$B$2:$BI$155,MATCH($A97,Raw_매출!$A$2:$A$155,0),MATCH(EDATE($E97,BB$1-1),Raw_매출!$B$1:$BI$1,0))/(INDEX(요약_월별시즈널리티!$F$7:$F$18,MONTH(EDATE($E97,BB$1-1)))/100))),"")</f>
        <v/>
      </c>
      <c r="BC97" t="str" cm="1">
        <f t="array" ref="BC97">IFERROR(IF($E97&lt;44348,"",IF(INDEX(Raw_매출!$B$2:$BI$155,MATCH($A97,Raw_매출!$A$2:$A$155,0),MATCH(EDATE($E97,BC$1-1),Raw_매출!$B$1:$BI$1,0))=0,"",INDEX(Raw_매출!$B$2:$BI$155,MATCH($A97,Raw_매출!$A$2:$A$155,0),MATCH(EDATE($E97,BC$1-1),Raw_매출!$B$1:$BI$1,0))/(INDEX(요약_월별시즈널리티!$F$7:$F$18,MONTH(EDATE($E97,BC$1-1)))/100))),"")</f>
        <v/>
      </c>
      <c r="BD97" t="str" cm="1">
        <f t="array" ref="BD97">IFERROR(IF($E97&lt;44348,"",IF(INDEX(Raw_매출!$B$2:$BI$155,MATCH($A97,Raw_매출!$A$2:$A$155,0),MATCH(EDATE($E97,BD$1-1),Raw_매출!$B$1:$BI$1,0))=0,"",INDEX(Raw_매출!$B$2:$BI$155,MATCH($A97,Raw_매출!$A$2:$A$155,0),MATCH(EDATE($E97,BD$1-1),Raw_매출!$B$1:$BI$1,0))/(INDEX(요약_월별시즈널리티!$F$7:$F$18,MONTH(EDATE($E97,BD$1-1)))/100))),"")</f>
        <v/>
      </c>
      <c r="BE97" t="str" cm="1">
        <f t="array" ref="BE97">IFERROR(IF($E97&lt;44348,"",IF(INDEX(Raw_매출!$B$2:$BI$155,MATCH($A97,Raw_매출!$A$2:$A$155,0),MATCH(EDATE($E97,BE$1-1),Raw_매출!$B$1:$BI$1,0))=0,"",INDEX(Raw_매출!$B$2:$BI$155,MATCH($A97,Raw_매출!$A$2:$A$155,0),MATCH(EDATE($E97,BE$1-1),Raw_매출!$B$1:$BI$1,0))/(INDEX(요약_월별시즈널리티!$F$7:$F$18,MONTH(EDATE($E97,BE$1-1)))/100))),"")</f>
        <v/>
      </c>
      <c r="BF97" t="str" cm="1">
        <f t="array" ref="BF97">IFERROR(IF($E97&lt;44348,"",IF(INDEX(Raw_매출!$B$2:$BI$155,MATCH($A97,Raw_매출!$A$2:$A$155,0),MATCH(EDATE($E97,BF$1-1),Raw_매출!$B$1:$BI$1,0))=0,"",INDEX(Raw_매출!$B$2:$BI$155,MATCH($A97,Raw_매출!$A$2:$A$155,0),MATCH(EDATE($E97,BF$1-1),Raw_매출!$B$1:$BI$1,0))/(INDEX(요약_월별시즈널리티!$F$7:$F$18,MONTH(EDATE($E97,BF$1-1)))/100))),"")</f>
        <v/>
      </c>
      <c r="BG97" t="str" cm="1">
        <f t="array" ref="BG97">IFERROR(IF($E97&lt;44348,"",IF(INDEX(Raw_매출!$B$2:$BI$155,MATCH($A97,Raw_매출!$A$2:$A$155,0),MATCH(EDATE($E97,BG$1-1),Raw_매출!$B$1:$BI$1,0))=0,"",INDEX(Raw_매출!$B$2:$BI$155,MATCH($A97,Raw_매출!$A$2:$A$155,0),MATCH(EDATE($E97,BG$1-1),Raw_매출!$B$1:$BI$1,0))/(INDEX(요약_월별시즈널리티!$F$7:$F$18,MONTH(EDATE($E97,BG$1-1)))/100))),"")</f>
        <v/>
      </c>
      <c r="BH97" t="str" cm="1">
        <f t="array" ref="BH97">IFERROR(IF($E97&lt;44348,"",IF(INDEX(Raw_매출!$B$2:$BI$155,MATCH($A97,Raw_매출!$A$2:$A$155,0),MATCH(EDATE($E97,BH$1-1),Raw_매출!$B$1:$BI$1,0))=0,"",INDEX(Raw_매출!$B$2:$BI$155,MATCH($A97,Raw_매출!$A$2:$A$155,0),MATCH(EDATE($E97,BH$1-1),Raw_매출!$B$1:$BI$1,0))/(INDEX(요약_월별시즈널리티!$F$7:$F$18,MONTH(EDATE($E97,BH$1-1)))/100))),"")</f>
        <v/>
      </c>
      <c r="BI97" t="str" cm="1">
        <f t="array" ref="BI97">IFERROR(IF($E97&lt;44348,"",IF(INDEX(Raw_매출!$B$2:$BI$155,MATCH($A97,Raw_매출!$A$2:$A$155,0),MATCH(EDATE($E97,BI$1-1),Raw_매출!$B$1:$BI$1,0))=0,"",INDEX(Raw_매출!$B$2:$BI$155,MATCH($A97,Raw_매출!$A$2:$A$155,0),MATCH(EDATE($E97,BI$1-1),Raw_매출!$B$1:$BI$1,0))/(INDEX(요약_월별시즈널리티!$F$7:$F$18,MONTH(EDATE($E97,BI$1-1)))/100))),"")</f>
        <v/>
      </c>
      <c r="BJ97" t="str" cm="1">
        <f t="array" ref="BJ97">IFERROR(IF($E97&lt;44348,"",IF(INDEX(Raw_매출!$B$2:$BI$155,MATCH($A97,Raw_매출!$A$2:$A$155,0),MATCH(EDATE($E97,BJ$1-1),Raw_매출!$B$1:$BI$1,0))=0,"",INDEX(Raw_매출!$B$2:$BI$155,MATCH($A97,Raw_매출!$A$2:$A$155,0),MATCH(EDATE($E97,BJ$1-1),Raw_매출!$B$1:$BI$1,0))/(INDEX(요약_월별시즈널리티!$F$7:$F$18,MONTH(EDATE($E97,BJ$1-1)))/100))),"")</f>
        <v/>
      </c>
      <c r="BK97" t="str" cm="1">
        <f t="array" ref="BK97">IFERROR(IF($E97&lt;44348,"",IF(INDEX(Raw_매출!$B$2:$BI$155,MATCH($A97,Raw_매출!$A$2:$A$155,0),MATCH(EDATE($E97,BK$1-1),Raw_매출!$B$1:$BI$1,0))=0,"",INDEX(Raw_매출!$B$2:$BI$155,MATCH($A97,Raw_매출!$A$2:$A$155,0),MATCH(EDATE($E97,BK$1-1),Raw_매출!$B$1:$BI$1,0))/(INDEX(요약_월별시즈널리티!$F$7:$F$18,MONTH(EDATE($E97,BK$1-1)))/100))),"")</f>
        <v/>
      </c>
      <c r="BL97" t="str" cm="1">
        <f t="array" ref="BL97">IFERROR(IF($E97&lt;44348,"",IF(INDEX(Raw_매출!$B$2:$BI$155,MATCH($A97,Raw_매출!$A$2:$A$155,0),MATCH(EDATE($E97,BL$1-1),Raw_매출!$B$1:$BI$1,0))=0,"",INDEX(Raw_매출!$B$2:$BI$155,MATCH($A97,Raw_매출!$A$2:$A$155,0),MATCH(EDATE($E97,BL$1-1),Raw_매출!$B$1:$BI$1,0))/(INDEX(요약_월별시즈널리티!$F$7:$F$18,MONTH(EDATE($E97,BL$1-1)))/100))),"")</f>
        <v/>
      </c>
      <c r="BM97" t="str" cm="1">
        <f t="array" ref="BM97">IFERROR(IF($E97&lt;44348,"",IF(INDEX(Raw_매출!$B$2:$BI$155,MATCH($A97,Raw_매출!$A$2:$A$155,0),MATCH(EDATE($E97,BM$1-1),Raw_매출!$B$1:$BI$1,0))=0,"",INDEX(Raw_매출!$B$2:$BI$155,MATCH($A97,Raw_매출!$A$2:$A$155,0),MATCH(EDATE($E97,BM$1-1),Raw_매출!$B$1:$BI$1,0))/(INDEX(요약_월별시즈널리티!$F$7:$F$18,MONTH(EDATE($E97,BM$1-1)))/100))),"")</f>
        <v/>
      </c>
      <c r="BN97" t="str" cm="1">
        <f t="array" ref="BN97">IFERROR(IF($E97&lt;44348,"",IF(INDEX(Raw_매출!$B$2:$BI$155,MATCH($A97,Raw_매출!$A$2:$A$155,0),MATCH(EDATE($E97,BN$1-1),Raw_매출!$B$1:$BI$1,0))=0,"",INDEX(Raw_매출!$B$2:$BI$155,MATCH($A97,Raw_매출!$A$2:$A$155,0),MATCH(EDATE($E97,BN$1-1),Raw_매출!$B$1:$BI$1,0))/(INDEX(요약_월별시즈널리티!$F$7:$F$18,MONTH(EDATE($E97,BN$1-1)))/100))),"")</f>
        <v/>
      </c>
    </row>
    <row r="98" spans="1:66" x14ac:dyDescent="0.4">
      <c r="A98" t="str">
        <f>세팅!A99</f>
        <v>(1087) #둔산스쿨점</v>
      </c>
      <c r="B98" t="str">
        <f>세팅!B99</f>
        <v>150-0</v>
      </c>
      <c r="C98">
        <f t="shared" si="3"/>
        <v>0</v>
      </c>
      <c r="D98" t="str">
        <f t="shared" si="4"/>
        <v>0</v>
      </c>
      <c r="E98" s="1">
        <f>세팅!D99</f>
        <v>45200</v>
      </c>
      <c r="F98">
        <f t="shared" si="5"/>
        <v>4746255.6335823089</v>
      </c>
      <c r="G98" cm="1">
        <f t="array" ref="G98">IFERROR(IF($E98&lt;44348,"",IF(INDEX(Raw_매출!$B$2:$BI$155,MATCH($A98,Raw_매출!$A$2:$A$155,0),MATCH(EDATE($E98,G$1-1),Raw_매출!$B$1:$BI$1,0))=0,"",INDEX(Raw_매출!$B$2:$BI$155,MATCH($A98,Raw_매출!$A$2:$A$155,0),MATCH(EDATE($E98,G$1-1),Raw_매출!$B$1:$BI$1,0))/(INDEX(요약_월별시즈널리티!$F$7:$F$18,MONTH(EDATE($E98,G$1-1)))/100))),"")</f>
        <v>3215635.657345138</v>
      </c>
      <c r="H98" cm="1">
        <f t="array" ref="H98">IFERROR(IF($E98&lt;44348,"",IF(INDEX(Raw_매출!$B$2:$BI$155,MATCH($A98,Raw_매출!$A$2:$A$155,0),MATCH(EDATE($E98,H$1-1),Raw_매출!$B$1:$BI$1,0))=0,"",INDEX(Raw_매출!$B$2:$BI$155,MATCH($A98,Raw_매출!$A$2:$A$155,0),MATCH(EDATE($E98,H$1-1),Raw_매출!$B$1:$BI$1,0))/(INDEX(요약_월별시즈널리티!$F$7:$F$18,MONTH(EDATE($E98,H$1-1)))/100))),"")</f>
        <v>3639504.8077145284</v>
      </c>
      <c r="I98" cm="1">
        <f t="array" ref="I98">IFERROR(IF($E98&lt;44348,"",IF(INDEX(Raw_매출!$B$2:$BI$155,MATCH($A98,Raw_매출!$A$2:$A$155,0),MATCH(EDATE($E98,I$1-1),Raw_매출!$B$1:$BI$1,0))=0,"",INDEX(Raw_매출!$B$2:$BI$155,MATCH($A98,Raw_매출!$A$2:$A$155,0),MATCH(EDATE($E98,I$1-1),Raw_매출!$B$1:$BI$1,0))/(INDEX(요약_월별시즈널리티!$F$7:$F$18,MONTH(EDATE($E98,I$1-1)))/100))),"")</f>
        <v>4727565.0231253449</v>
      </c>
      <c r="J98" s="30" cm="1">
        <f t="array" ref="J98">IFERROR(IF($E98&lt;44348,"",IF(INDEX(Raw_매출!$B$2:$BI$155,MATCH($A98,Raw_매출!$A$2:$A$155,0),MATCH(EDATE($E98,J$1-1),Raw_매출!$B$1:$BI$1,0))=0,"",INDEX(Raw_매출!$B$2:$BI$155,MATCH($A98,Raw_매출!$A$2:$A$155,0),MATCH(EDATE($E98,J$1-1),Raw_매출!$B$1:$BI$1,0))/(INDEX(요약_월별시즈널리티!$F$7:$F$18,MONTH(EDATE($E98,J$1-1)))/100))),"")</f>
        <v>5101421.3386576576</v>
      </c>
      <c r="K98" s="30" cm="1">
        <f t="array" ref="K98">IFERROR(IF($E98&lt;44348,"",IF(INDEX(Raw_매출!$B$2:$BI$155,MATCH($A98,Raw_매출!$A$2:$A$155,0),MATCH(EDATE($E98,K$1-1),Raw_매출!$B$1:$BI$1,0))=0,"",INDEX(Raw_매출!$B$2:$BI$155,MATCH($A98,Raw_매출!$A$2:$A$155,0),MATCH(EDATE($E98,K$1-1),Raw_매출!$B$1:$BI$1,0))/(INDEX(요약_월별시즈널리티!$F$7:$F$18,MONTH(EDATE($E98,K$1-1)))/100))),"")</f>
        <v>5249752.911175888</v>
      </c>
      <c r="L98" s="30" cm="1">
        <f t="array" ref="L98">IFERROR(IF($E98&lt;44348,"",IF(INDEX(Raw_매출!$B$2:$BI$155,MATCH($A98,Raw_매출!$A$2:$A$155,0),MATCH(EDATE($E98,L$1-1),Raw_매출!$B$1:$BI$1,0))=0,"",INDEX(Raw_매출!$B$2:$BI$155,MATCH($A98,Raw_매출!$A$2:$A$155,0),MATCH(EDATE($E98,L$1-1),Raw_매출!$B$1:$BI$1,0))/(INDEX(요약_월별시즈널리티!$F$7:$F$18,MONTH(EDATE($E98,L$1-1)))/100))),"")</f>
        <v>4464112.9444483826</v>
      </c>
      <c r="M98" s="30" cm="1">
        <f t="array" ref="M98">IFERROR(IF($E98&lt;44348,"",IF(INDEX(Raw_매출!$B$2:$BI$155,MATCH($A98,Raw_매출!$A$2:$A$155,0),MATCH(EDATE($E98,M$1-1),Raw_매출!$B$1:$BI$1,0))=0,"",INDEX(Raw_매출!$B$2:$BI$155,MATCH($A98,Raw_매출!$A$2:$A$155,0),MATCH(EDATE($E98,M$1-1),Raw_매출!$B$1:$BI$1,0))/(INDEX(요약_월별시즈널리티!$F$7:$F$18,MONTH(EDATE($E98,M$1-1)))/100))),"")</f>
        <v>5120077.0536305662</v>
      </c>
      <c r="N98" s="30" cm="1">
        <f t="array" ref="N98">IFERROR(IF($E98&lt;44348,"",IF(INDEX(Raw_매출!$B$2:$BI$155,MATCH($A98,Raw_매출!$A$2:$A$155,0),MATCH(EDATE($E98,N$1-1),Raw_매출!$B$1:$BI$1,0))=0,"",INDEX(Raw_매출!$B$2:$BI$155,MATCH($A98,Raw_매출!$A$2:$A$155,0),MATCH(EDATE($E98,N$1-1),Raw_매출!$B$1:$BI$1,0))/(INDEX(요약_월별시즈널리티!$F$7:$F$18,MONTH(EDATE($E98,N$1-1)))/100))),"")</f>
        <v>3896088.3999709338</v>
      </c>
      <c r="O98" s="30" cm="1">
        <f t="array" ref="O98">IFERROR(IF($E98&lt;44348,"",IF(INDEX(Raw_매출!$B$2:$BI$155,MATCH($A98,Raw_매출!$A$2:$A$155,0),MATCH(EDATE($E98,O$1-1),Raw_매출!$B$1:$BI$1,0))=0,"",INDEX(Raw_매출!$B$2:$BI$155,MATCH($A98,Raw_매출!$A$2:$A$155,0),MATCH(EDATE($E98,O$1-1),Raw_매출!$B$1:$BI$1,0))/(INDEX(요약_월별시즈널리티!$F$7:$F$18,MONTH(EDATE($E98,O$1-1)))/100))),"")</f>
        <v>4646081.1536104213</v>
      </c>
      <c r="P98" cm="1">
        <f t="array" ref="P98">IFERROR(IF($E98&lt;44348,"",IF(INDEX(Raw_매출!$B$2:$BI$155,MATCH($A98,Raw_매출!$A$2:$A$155,0),MATCH(EDATE($E98,P$1-1),Raw_매출!$B$1:$BI$1,0))=0,"",INDEX(Raw_매출!$B$2:$BI$155,MATCH($A98,Raw_매출!$A$2:$A$155,0),MATCH(EDATE($E98,P$1-1),Raw_매출!$B$1:$BI$1,0))/(INDEX(요약_월별시즈널리티!$F$7:$F$18,MONTH(EDATE($E98,P$1-1)))/100))),"")</f>
        <v>4804857.5636909176</v>
      </c>
      <c r="Q98" cm="1">
        <f t="array" ref="Q98">IFERROR(IF($E98&lt;44348,"",IF(INDEX(Raw_매출!$B$2:$BI$155,MATCH($A98,Raw_매출!$A$2:$A$155,0),MATCH(EDATE($E98,Q$1-1),Raw_매출!$B$1:$BI$1,0))=0,"",INDEX(Raw_매출!$B$2:$BI$155,MATCH($A98,Raw_매출!$A$2:$A$155,0),MATCH(EDATE($E98,Q$1-1),Raw_매출!$B$1:$BI$1,0))/(INDEX(요약_월별시즈널리티!$F$7:$F$18,MONTH(EDATE($E98,Q$1-1)))/100))),"")</f>
        <v>4629447.718702497</v>
      </c>
      <c r="R98" cm="1">
        <f t="array" ref="R98">IFERROR(IF($E98&lt;44348,"",IF(INDEX(Raw_매출!$B$2:$BI$155,MATCH($A98,Raw_매출!$A$2:$A$155,0),MATCH(EDATE($E98,R$1-1),Raw_매출!$B$1:$BI$1,0))=0,"",INDEX(Raw_매출!$B$2:$BI$155,MATCH($A98,Raw_매출!$A$2:$A$155,0),MATCH(EDATE($E98,R$1-1),Raw_매출!$B$1:$BI$1,0))/(INDEX(요약_월별시즈널리티!$F$7:$F$18,MONTH(EDATE($E98,R$1-1)))/100))),"")</f>
        <v>4234147.4083938887</v>
      </c>
      <c r="S98" cm="1">
        <f t="array" ref="S98">IFERROR(IF($E98&lt;44348,"",IF(INDEX(Raw_매출!$B$2:$BI$155,MATCH($A98,Raw_매출!$A$2:$A$155,0),MATCH(EDATE($E98,S$1-1),Raw_매출!$B$1:$BI$1,0))=0,"",INDEX(Raw_매출!$B$2:$BI$155,MATCH($A98,Raw_매출!$A$2:$A$155,0),MATCH(EDATE($E98,S$1-1),Raw_매출!$B$1:$BI$1,0))/(INDEX(요약_월별시즈널리티!$F$7:$F$18,MONTH(EDATE($E98,S$1-1)))/100))),"")</f>
        <v>5152257.8767103814</v>
      </c>
      <c r="T98" cm="1">
        <f t="array" ref="T98">IFERROR(IF($E98&lt;44348,"",IF(INDEX(Raw_매출!$B$2:$BI$155,MATCH($A98,Raw_매출!$A$2:$A$155,0),MATCH(EDATE($E98,T$1-1),Raw_매출!$B$1:$BI$1,0))=0,"",INDEX(Raw_매출!$B$2:$BI$155,MATCH($A98,Raw_매출!$A$2:$A$155,0),MATCH(EDATE($E98,T$1-1),Raw_매출!$B$1:$BI$1,0))/(INDEX(요약_월별시즈널리티!$F$7:$F$18,MONTH(EDATE($E98,T$1-1)))/100))),"")</f>
        <v>4667844.1930916831</v>
      </c>
      <c r="U98" cm="1">
        <f t="array" ref="U98">IFERROR(IF($E98&lt;44348,"",IF(INDEX(Raw_매출!$B$2:$BI$155,MATCH($A98,Raw_매출!$A$2:$A$155,0),MATCH(EDATE($E98,U$1-1),Raw_매출!$B$1:$BI$1,0))=0,"",INDEX(Raw_매출!$B$2:$BI$155,MATCH($A98,Raw_매출!$A$2:$A$155,0),MATCH(EDATE($E98,U$1-1),Raw_매출!$B$1:$BI$1,0))/(INDEX(요약_월별시즈널리티!$F$7:$F$18,MONTH(EDATE($E98,U$1-1)))/100))),"")</f>
        <v>4430212.3433318725</v>
      </c>
      <c r="V98" cm="1">
        <f t="array" ref="V98">IFERROR(IF($E98&lt;44348,"",IF(INDEX(Raw_매출!$B$2:$BI$155,MATCH($A98,Raw_매출!$A$2:$A$155,0),MATCH(EDATE($E98,V$1-1),Raw_매출!$B$1:$BI$1,0))=0,"",INDEX(Raw_매출!$B$2:$BI$155,MATCH($A98,Raw_매출!$A$2:$A$155,0),MATCH(EDATE($E98,V$1-1),Raw_매출!$B$1:$BI$1,0))/(INDEX(요약_월별시즈널리티!$F$7:$F$18,MONTH(EDATE($E98,V$1-1)))/100))),"")</f>
        <v>5657499.8171643475</v>
      </c>
      <c r="W98" cm="1">
        <f t="array" ref="W98">IFERROR(IF($E98&lt;44348,"",IF(INDEX(Raw_매출!$B$2:$BI$155,MATCH($A98,Raw_매출!$A$2:$A$155,0),MATCH(EDATE($E98,W$1-1),Raw_매출!$B$1:$BI$1,0))=0,"",INDEX(Raw_매출!$B$2:$BI$155,MATCH($A98,Raw_매출!$A$2:$A$155,0),MATCH(EDATE($E98,W$1-1),Raw_매출!$B$1:$BI$1,0))/(INDEX(요약_월별시즈널리티!$F$7:$F$18,MONTH(EDATE($E98,W$1-1)))/100))),"")</f>
        <v>4938046.9783066157</v>
      </c>
      <c r="X98" cm="1">
        <f t="array" ref="X98">IFERROR(IF($E98&lt;44348,"",IF(INDEX(Raw_매출!$B$2:$BI$155,MATCH($A98,Raw_매출!$A$2:$A$155,0),MATCH(EDATE($E98,X$1-1),Raw_매출!$B$1:$BI$1,0))=0,"",INDEX(Raw_매출!$B$2:$BI$155,MATCH($A98,Raw_매출!$A$2:$A$155,0),MATCH(EDATE($E98,X$1-1),Raw_매출!$B$1:$BI$1,0))/(INDEX(요약_월별시즈널리티!$F$7:$F$18,MONTH(EDATE($E98,X$1-1)))/100))),"")</f>
        <v>5714303.3217791403</v>
      </c>
      <c r="Y98" cm="1">
        <f t="array" ref="Y98">IFERROR(IF($E98&lt;44348,"",IF(INDEX(Raw_매출!$B$2:$BI$155,MATCH($A98,Raw_매출!$A$2:$A$155,0),MATCH(EDATE($E98,Y$1-1),Raw_매출!$B$1:$BI$1,0))=0,"",INDEX(Raw_매출!$B$2:$BI$155,MATCH($A98,Raw_매출!$A$2:$A$155,0),MATCH(EDATE($E98,Y$1-1),Raw_매출!$B$1:$BI$1,0))/(INDEX(요약_월별시즈널리티!$F$7:$F$18,MONTH(EDATE($E98,Y$1-1)))/100))),"")</f>
        <v>4699672.5378494626</v>
      </c>
      <c r="Z98" cm="1">
        <f t="array" ref="Z98">IFERROR(IF($E98&lt;44348,"",IF(INDEX(Raw_매출!$B$2:$BI$155,MATCH($A98,Raw_매출!$A$2:$A$155,0),MATCH(EDATE($E98,Z$1-1),Raw_매출!$B$1:$BI$1,0))=0,"",INDEX(Raw_매출!$B$2:$BI$155,MATCH($A98,Raw_매출!$A$2:$A$155,0),MATCH(EDATE($E98,Z$1-1),Raw_매출!$B$1:$BI$1,0))/(INDEX(요약_월별시즈널리티!$F$7:$F$18,MONTH(EDATE($E98,Z$1-1)))/100))),"")</f>
        <v>4936889.0217965068</v>
      </c>
      <c r="AA98" cm="1">
        <f t="array" ref="AA98">IFERROR(IF($E98&lt;44348,"",IF(INDEX(Raw_매출!$B$2:$BI$155,MATCH($A98,Raw_매출!$A$2:$A$155,0),MATCH(EDATE($E98,AA$1-1),Raw_매출!$B$1:$BI$1,0))=0,"",INDEX(Raw_매출!$B$2:$BI$155,MATCH($A98,Raw_매출!$A$2:$A$155,0),MATCH(EDATE($E98,AA$1-1),Raw_매출!$B$1:$BI$1,0))/(INDEX(요약_월별시즈널리티!$F$7:$F$18,MONTH(EDATE($E98,AA$1-1)))/100))),"")</f>
        <v>5045508.3538413439</v>
      </c>
      <c r="AB98" cm="1">
        <f t="array" ref="AB98">IFERROR(IF($E98&lt;44348,"",IF(INDEX(Raw_매출!$B$2:$BI$155,MATCH($A98,Raw_매출!$A$2:$A$155,0),MATCH(EDATE($E98,AB$1-1),Raw_매출!$B$1:$BI$1,0))=0,"",INDEX(Raw_매출!$B$2:$BI$155,MATCH($A98,Raw_매출!$A$2:$A$155,0),MATCH(EDATE($E98,AB$1-1),Raw_매출!$B$1:$BI$1,0))/(INDEX(요약_월별시즈널리티!$F$7:$F$18,MONTH(EDATE($E98,AB$1-1)))/100))),"")</f>
        <v>4547794.6366116339</v>
      </c>
      <c r="AC98" cm="1">
        <f t="array" ref="AC98">IFERROR(IF($E98&lt;44348,"",IF(INDEX(Raw_매출!$B$2:$BI$155,MATCH($A98,Raw_매출!$A$2:$A$155,0),MATCH(EDATE($E98,AC$1-1),Raw_매출!$B$1:$BI$1,0))=0,"",INDEX(Raw_매출!$B$2:$BI$155,MATCH($A98,Raw_매출!$A$2:$A$155,0),MATCH(EDATE($E98,AC$1-1),Raw_매출!$B$1:$BI$1,0))/(INDEX(요약_월별시즈널리티!$F$7:$F$18,MONTH(EDATE($E98,AC$1-1)))/100))),"")</f>
        <v>4977646.2999035586</v>
      </c>
      <c r="AD98" cm="1">
        <f t="array" ref="AD98">IFERROR(IF($E98&lt;44348,"",IF(INDEX(Raw_매출!$B$2:$BI$155,MATCH($A98,Raw_매출!$A$2:$A$155,0),MATCH(EDATE($E98,AD$1-1),Raw_매출!$B$1:$BI$1,0))=0,"",INDEX(Raw_매출!$B$2:$BI$155,MATCH($A98,Raw_매출!$A$2:$A$155,0),MATCH(EDATE($E98,AD$1-1),Raw_매출!$B$1:$BI$1,0))/(INDEX(요약_월별시즈널리티!$F$7:$F$18,MONTH(EDATE($E98,AD$1-1)))/100))),"")</f>
        <v>4376511.4737979015</v>
      </c>
      <c r="AE98" cm="1">
        <f t="array" ref="AE98">IFERROR(IF($E98&lt;44348,"",IF(INDEX(Raw_매출!$B$2:$BI$155,MATCH($A98,Raw_매출!$A$2:$A$155,0),MATCH(EDATE($E98,AE$1-1),Raw_매출!$B$1:$BI$1,0))=0,"",INDEX(Raw_매출!$B$2:$BI$155,MATCH($A98,Raw_매출!$A$2:$A$155,0),MATCH(EDATE($E98,AE$1-1),Raw_매출!$B$1:$BI$1,0))/(INDEX(요약_월별시즈널리티!$F$7:$F$18,MONTH(EDATE($E98,AE$1-1)))/100))),"")</f>
        <v>5145397.6924907621</v>
      </c>
      <c r="AF98" cm="1">
        <f t="array" ref="AF98">IFERROR(IF($E98&lt;44348,"",IF(INDEX(Raw_매출!$B$2:$BI$155,MATCH($A98,Raw_매출!$A$2:$A$155,0),MATCH(EDATE($E98,AF$1-1),Raw_매출!$B$1:$BI$1,0))=0,"",INDEX(Raw_매출!$B$2:$BI$155,MATCH($A98,Raw_매출!$A$2:$A$155,0),MATCH(EDATE($E98,AF$1-1),Raw_매출!$B$1:$BI$1,0))/(INDEX(요약_월별시즈널리티!$F$7:$F$18,MONTH(EDATE($E98,AF$1-1)))/100))),"")</f>
        <v>5158323.1700891927</v>
      </c>
      <c r="AG98" cm="1">
        <f t="array" ref="AG98">IFERROR(IF($E98&lt;44348,"",IF(INDEX(Raw_매출!$B$2:$BI$155,MATCH($A98,Raw_매출!$A$2:$A$155,0),MATCH(EDATE($E98,AG$1-1),Raw_매출!$B$1:$BI$1,0))=0,"",INDEX(Raw_매출!$B$2:$BI$155,MATCH($A98,Raw_매출!$A$2:$A$155,0),MATCH(EDATE($E98,AG$1-1),Raw_매출!$B$1:$BI$1,0))/(INDEX(요약_월별시즈널리티!$F$7:$F$18,MONTH(EDATE($E98,AG$1-1)))/100))),"")</f>
        <v>4693209.6884489525</v>
      </c>
      <c r="AH98" cm="1">
        <f t="array" ref="AH98">IFERROR(IF($E98&lt;44348,"",IF(INDEX(Raw_매출!$B$2:$BI$155,MATCH($A98,Raw_매출!$A$2:$A$155,0),MATCH(EDATE($E98,AH$1-1),Raw_매출!$B$1:$BI$1,0))=0,"",INDEX(Raw_매출!$B$2:$BI$155,MATCH($A98,Raw_매출!$A$2:$A$155,0),MATCH(EDATE($E98,AH$1-1),Raw_매출!$B$1:$BI$1,0))/(INDEX(요약_월별시즈널리티!$F$7:$F$18,MONTH(EDATE($E98,AH$1-1)))/100))),"")</f>
        <v>5400607.3790000062</v>
      </c>
      <c r="AI98" cm="1">
        <f t="array" ref="AI98">IFERROR(IF($E98&lt;44348,"",IF(INDEX(Raw_매출!$B$2:$BI$155,MATCH($A98,Raw_매출!$A$2:$A$155,0),MATCH(EDATE($E98,AI$1-1),Raw_매출!$B$1:$BI$1,0))=0,"",INDEX(Raw_매출!$B$2:$BI$155,MATCH($A98,Raw_매출!$A$2:$A$155,0),MATCH(EDATE($E98,AI$1-1),Raw_매출!$B$1:$BI$1,0))/(INDEX(요약_월별시즈널리티!$F$7:$F$18,MONTH(EDATE($E98,AI$1-1)))/100))),"")</f>
        <v>5335803.3481682688</v>
      </c>
      <c r="AJ98" cm="1">
        <f t="array" ref="AJ98">IFERROR(IF($E98&lt;44348,"",IF(INDEX(Raw_매출!$B$2:$BI$155,MATCH($A98,Raw_매출!$A$2:$A$155,0),MATCH(EDATE($E98,AJ$1-1),Raw_매출!$B$1:$BI$1,0))=0,"",INDEX(Raw_매출!$B$2:$BI$155,MATCH($A98,Raw_매출!$A$2:$A$155,0),MATCH(EDATE($E98,AJ$1-1),Raw_매출!$B$1:$BI$1,0))/(INDEX(요약_월별시즈널리티!$F$7:$F$18,MONTH(EDATE($E98,AJ$1-1)))/100))),"")</f>
        <v>5096334.7009158535</v>
      </c>
      <c r="AK98" cm="1">
        <f t="array" ref="AK98">IFERROR(IF($E98&lt;44348,"",IF(INDEX(Raw_매출!$B$2:$BI$155,MATCH($A98,Raw_매출!$A$2:$A$155,0),MATCH(EDATE($E98,AK$1-1),Raw_매출!$B$1:$BI$1,0))=0,"",INDEX(Raw_매출!$B$2:$BI$155,MATCH($A98,Raw_매출!$A$2:$A$155,0),MATCH(EDATE($E98,AK$1-1),Raw_매출!$B$1:$BI$1,0))/(INDEX(요약_월별시즈널리티!$F$7:$F$18,MONTH(EDATE($E98,AK$1-1)))/100))),"")</f>
        <v>5203486.4536039969</v>
      </c>
      <c r="AL98" cm="1">
        <f t="array" ref="AL98">IFERROR(IF($E98&lt;44348,"",IF(INDEX(Raw_매출!$B$2:$BI$155,MATCH($A98,Raw_매출!$A$2:$A$155,0),MATCH(EDATE($E98,AL$1-1),Raw_매출!$B$1:$BI$1,0))=0,"",INDEX(Raw_매출!$B$2:$BI$155,MATCH($A98,Raw_매출!$A$2:$A$155,0),MATCH(EDATE($E98,AL$1-1),Raw_매출!$B$1:$BI$1,0))/(INDEX(요약_월별시즈널리티!$F$7:$F$18,MONTH(EDATE($E98,AL$1-1)))/100))),"")</f>
        <v>5535596.6105409171</v>
      </c>
      <c r="AM98" t="str" cm="1">
        <f t="array" ref="AM98">IFERROR(IF($E98&lt;44348,"",IF(INDEX(Raw_매출!$B$2:$BI$155,MATCH($A98,Raw_매출!$A$2:$A$155,0),MATCH(EDATE($E98,AM$1-1),Raw_매출!$B$1:$BI$1,0))=0,"",INDEX(Raw_매출!$B$2:$BI$155,MATCH($A98,Raw_매출!$A$2:$A$155,0),MATCH(EDATE($E98,AM$1-1),Raw_매출!$B$1:$BI$1,0))/(INDEX(요약_월별시즈널리티!$F$7:$F$18,MONTH(EDATE($E98,AM$1-1)))/100))),"")</f>
        <v/>
      </c>
      <c r="AN98" t="str" cm="1">
        <f t="array" ref="AN98">IFERROR(IF($E98&lt;44348,"",IF(INDEX(Raw_매출!$B$2:$BI$155,MATCH($A98,Raw_매출!$A$2:$A$155,0),MATCH(EDATE($E98,AN$1-1),Raw_매출!$B$1:$BI$1,0))=0,"",INDEX(Raw_매출!$B$2:$BI$155,MATCH($A98,Raw_매출!$A$2:$A$155,0),MATCH(EDATE($E98,AN$1-1),Raw_매출!$B$1:$BI$1,0))/(INDEX(요약_월별시즈널리티!$F$7:$F$18,MONTH(EDATE($E98,AN$1-1)))/100))),"")</f>
        <v/>
      </c>
      <c r="AO98" t="str" cm="1">
        <f t="array" ref="AO98">IFERROR(IF($E98&lt;44348,"",IF(INDEX(Raw_매출!$B$2:$BI$155,MATCH($A98,Raw_매출!$A$2:$A$155,0),MATCH(EDATE($E98,AO$1-1),Raw_매출!$B$1:$BI$1,0))=0,"",INDEX(Raw_매출!$B$2:$BI$155,MATCH($A98,Raw_매출!$A$2:$A$155,0),MATCH(EDATE($E98,AO$1-1),Raw_매출!$B$1:$BI$1,0))/(INDEX(요약_월별시즈널리티!$F$7:$F$18,MONTH(EDATE($E98,AO$1-1)))/100))),"")</f>
        <v/>
      </c>
      <c r="AP98" t="str" cm="1">
        <f t="array" ref="AP98">IFERROR(IF($E98&lt;44348,"",IF(INDEX(Raw_매출!$B$2:$BI$155,MATCH($A98,Raw_매출!$A$2:$A$155,0),MATCH(EDATE($E98,AP$1-1),Raw_매출!$B$1:$BI$1,0))=0,"",INDEX(Raw_매출!$B$2:$BI$155,MATCH($A98,Raw_매출!$A$2:$A$155,0),MATCH(EDATE($E98,AP$1-1),Raw_매출!$B$1:$BI$1,0))/(INDEX(요약_월별시즈널리티!$F$7:$F$18,MONTH(EDATE($E98,AP$1-1)))/100))),"")</f>
        <v/>
      </c>
      <c r="AQ98" t="str" cm="1">
        <f t="array" ref="AQ98">IFERROR(IF($E98&lt;44348,"",IF(INDEX(Raw_매출!$B$2:$BI$155,MATCH($A98,Raw_매출!$A$2:$A$155,0),MATCH(EDATE($E98,AQ$1-1),Raw_매출!$B$1:$BI$1,0))=0,"",INDEX(Raw_매출!$B$2:$BI$155,MATCH($A98,Raw_매출!$A$2:$A$155,0),MATCH(EDATE($E98,AQ$1-1),Raw_매출!$B$1:$BI$1,0))/(INDEX(요약_월별시즈널리티!$F$7:$F$18,MONTH(EDATE($E98,AQ$1-1)))/100))),"")</f>
        <v/>
      </c>
      <c r="AR98" t="str" cm="1">
        <f t="array" ref="AR98">IFERROR(IF($E98&lt;44348,"",IF(INDEX(Raw_매출!$B$2:$BI$155,MATCH($A98,Raw_매출!$A$2:$A$155,0),MATCH(EDATE($E98,AR$1-1),Raw_매출!$B$1:$BI$1,0))=0,"",INDEX(Raw_매출!$B$2:$BI$155,MATCH($A98,Raw_매출!$A$2:$A$155,0),MATCH(EDATE($E98,AR$1-1),Raw_매출!$B$1:$BI$1,0))/(INDEX(요약_월별시즈널리티!$F$7:$F$18,MONTH(EDATE($E98,AR$1-1)))/100))),"")</f>
        <v/>
      </c>
      <c r="AS98" t="str" cm="1">
        <f t="array" ref="AS98">IFERROR(IF($E98&lt;44348,"",IF(INDEX(Raw_매출!$B$2:$BI$155,MATCH($A98,Raw_매출!$A$2:$A$155,0),MATCH(EDATE($E98,AS$1-1),Raw_매출!$B$1:$BI$1,0))=0,"",INDEX(Raw_매출!$B$2:$BI$155,MATCH($A98,Raw_매출!$A$2:$A$155,0),MATCH(EDATE($E98,AS$1-1),Raw_매출!$B$1:$BI$1,0))/(INDEX(요약_월별시즈널리티!$F$7:$F$18,MONTH(EDATE($E98,AS$1-1)))/100))),"")</f>
        <v/>
      </c>
      <c r="AT98" t="str" cm="1">
        <f t="array" ref="AT98">IFERROR(IF($E98&lt;44348,"",IF(INDEX(Raw_매출!$B$2:$BI$155,MATCH($A98,Raw_매출!$A$2:$A$155,0),MATCH(EDATE($E98,AT$1-1),Raw_매출!$B$1:$BI$1,0))=0,"",INDEX(Raw_매출!$B$2:$BI$155,MATCH($A98,Raw_매출!$A$2:$A$155,0),MATCH(EDATE($E98,AT$1-1),Raw_매출!$B$1:$BI$1,0))/(INDEX(요약_월별시즈널리티!$F$7:$F$18,MONTH(EDATE($E98,AT$1-1)))/100))),"")</f>
        <v/>
      </c>
      <c r="AU98" t="str" cm="1">
        <f t="array" ref="AU98">IFERROR(IF($E98&lt;44348,"",IF(INDEX(Raw_매출!$B$2:$BI$155,MATCH($A98,Raw_매출!$A$2:$A$155,0),MATCH(EDATE($E98,AU$1-1),Raw_매출!$B$1:$BI$1,0))=0,"",INDEX(Raw_매출!$B$2:$BI$155,MATCH($A98,Raw_매출!$A$2:$A$155,0),MATCH(EDATE($E98,AU$1-1),Raw_매출!$B$1:$BI$1,0))/(INDEX(요약_월별시즈널리티!$F$7:$F$18,MONTH(EDATE($E98,AU$1-1)))/100))),"")</f>
        <v/>
      </c>
      <c r="AV98" t="str" cm="1">
        <f t="array" ref="AV98">IFERROR(IF($E98&lt;44348,"",IF(INDEX(Raw_매출!$B$2:$BI$155,MATCH($A98,Raw_매출!$A$2:$A$155,0),MATCH(EDATE($E98,AV$1-1),Raw_매출!$B$1:$BI$1,0))=0,"",INDEX(Raw_매출!$B$2:$BI$155,MATCH($A98,Raw_매출!$A$2:$A$155,0),MATCH(EDATE($E98,AV$1-1),Raw_매출!$B$1:$BI$1,0))/(INDEX(요약_월별시즈널리티!$F$7:$F$18,MONTH(EDATE($E98,AV$1-1)))/100))),"")</f>
        <v/>
      </c>
      <c r="AW98" t="str" cm="1">
        <f t="array" ref="AW98">IFERROR(IF($E98&lt;44348,"",IF(INDEX(Raw_매출!$B$2:$BI$155,MATCH($A98,Raw_매출!$A$2:$A$155,0),MATCH(EDATE($E98,AW$1-1),Raw_매출!$B$1:$BI$1,0))=0,"",INDEX(Raw_매출!$B$2:$BI$155,MATCH($A98,Raw_매출!$A$2:$A$155,0),MATCH(EDATE($E98,AW$1-1),Raw_매출!$B$1:$BI$1,0))/(INDEX(요약_월별시즈널리티!$F$7:$F$18,MONTH(EDATE($E98,AW$1-1)))/100))),"")</f>
        <v/>
      </c>
      <c r="AX98" t="str" cm="1">
        <f t="array" ref="AX98">IFERROR(IF($E98&lt;44348,"",IF(INDEX(Raw_매출!$B$2:$BI$155,MATCH($A98,Raw_매출!$A$2:$A$155,0),MATCH(EDATE($E98,AX$1-1),Raw_매출!$B$1:$BI$1,0))=0,"",INDEX(Raw_매출!$B$2:$BI$155,MATCH($A98,Raw_매출!$A$2:$A$155,0),MATCH(EDATE($E98,AX$1-1),Raw_매출!$B$1:$BI$1,0))/(INDEX(요약_월별시즈널리티!$F$7:$F$18,MONTH(EDATE($E98,AX$1-1)))/100))),"")</f>
        <v/>
      </c>
      <c r="AY98" t="str" cm="1">
        <f t="array" ref="AY98">IFERROR(IF($E98&lt;44348,"",IF(INDEX(Raw_매출!$B$2:$BI$155,MATCH($A98,Raw_매출!$A$2:$A$155,0),MATCH(EDATE($E98,AY$1-1),Raw_매출!$B$1:$BI$1,0))=0,"",INDEX(Raw_매출!$B$2:$BI$155,MATCH($A98,Raw_매출!$A$2:$A$155,0),MATCH(EDATE($E98,AY$1-1),Raw_매출!$B$1:$BI$1,0))/(INDEX(요약_월별시즈널리티!$F$7:$F$18,MONTH(EDATE($E98,AY$1-1)))/100))),"")</f>
        <v/>
      </c>
      <c r="AZ98" t="str" cm="1">
        <f t="array" ref="AZ98">IFERROR(IF($E98&lt;44348,"",IF(INDEX(Raw_매출!$B$2:$BI$155,MATCH($A98,Raw_매출!$A$2:$A$155,0),MATCH(EDATE($E98,AZ$1-1),Raw_매출!$B$1:$BI$1,0))=0,"",INDEX(Raw_매출!$B$2:$BI$155,MATCH($A98,Raw_매출!$A$2:$A$155,0),MATCH(EDATE($E98,AZ$1-1),Raw_매출!$B$1:$BI$1,0))/(INDEX(요약_월별시즈널리티!$F$7:$F$18,MONTH(EDATE($E98,AZ$1-1)))/100))),"")</f>
        <v/>
      </c>
      <c r="BA98" t="str" cm="1">
        <f t="array" ref="BA98">IFERROR(IF($E98&lt;44348,"",IF(INDEX(Raw_매출!$B$2:$BI$155,MATCH($A98,Raw_매출!$A$2:$A$155,0),MATCH(EDATE($E98,BA$1-1),Raw_매출!$B$1:$BI$1,0))=0,"",INDEX(Raw_매출!$B$2:$BI$155,MATCH($A98,Raw_매출!$A$2:$A$155,0),MATCH(EDATE($E98,BA$1-1),Raw_매출!$B$1:$BI$1,0))/(INDEX(요약_월별시즈널리티!$F$7:$F$18,MONTH(EDATE($E98,BA$1-1)))/100))),"")</f>
        <v/>
      </c>
      <c r="BB98" t="str" cm="1">
        <f t="array" ref="BB98">IFERROR(IF($E98&lt;44348,"",IF(INDEX(Raw_매출!$B$2:$BI$155,MATCH($A98,Raw_매출!$A$2:$A$155,0),MATCH(EDATE($E98,BB$1-1),Raw_매출!$B$1:$BI$1,0))=0,"",INDEX(Raw_매출!$B$2:$BI$155,MATCH($A98,Raw_매출!$A$2:$A$155,0),MATCH(EDATE($E98,BB$1-1),Raw_매출!$B$1:$BI$1,0))/(INDEX(요약_월별시즈널리티!$F$7:$F$18,MONTH(EDATE($E98,BB$1-1)))/100))),"")</f>
        <v/>
      </c>
      <c r="BC98" t="str" cm="1">
        <f t="array" ref="BC98">IFERROR(IF($E98&lt;44348,"",IF(INDEX(Raw_매출!$B$2:$BI$155,MATCH($A98,Raw_매출!$A$2:$A$155,0),MATCH(EDATE($E98,BC$1-1),Raw_매출!$B$1:$BI$1,0))=0,"",INDEX(Raw_매출!$B$2:$BI$155,MATCH($A98,Raw_매출!$A$2:$A$155,0),MATCH(EDATE($E98,BC$1-1),Raw_매출!$B$1:$BI$1,0))/(INDEX(요약_월별시즈널리티!$F$7:$F$18,MONTH(EDATE($E98,BC$1-1)))/100))),"")</f>
        <v/>
      </c>
      <c r="BD98" t="str" cm="1">
        <f t="array" ref="BD98">IFERROR(IF($E98&lt;44348,"",IF(INDEX(Raw_매출!$B$2:$BI$155,MATCH($A98,Raw_매출!$A$2:$A$155,0),MATCH(EDATE($E98,BD$1-1),Raw_매출!$B$1:$BI$1,0))=0,"",INDEX(Raw_매출!$B$2:$BI$155,MATCH($A98,Raw_매출!$A$2:$A$155,0),MATCH(EDATE($E98,BD$1-1),Raw_매출!$B$1:$BI$1,0))/(INDEX(요약_월별시즈널리티!$F$7:$F$18,MONTH(EDATE($E98,BD$1-1)))/100))),"")</f>
        <v/>
      </c>
      <c r="BE98" t="str" cm="1">
        <f t="array" ref="BE98">IFERROR(IF($E98&lt;44348,"",IF(INDEX(Raw_매출!$B$2:$BI$155,MATCH($A98,Raw_매출!$A$2:$A$155,0),MATCH(EDATE($E98,BE$1-1),Raw_매출!$B$1:$BI$1,0))=0,"",INDEX(Raw_매출!$B$2:$BI$155,MATCH($A98,Raw_매출!$A$2:$A$155,0),MATCH(EDATE($E98,BE$1-1),Raw_매출!$B$1:$BI$1,0))/(INDEX(요약_월별시즈널리티!$F$7:$F$18,MONTH(EDATE($E98,BE$1-1)))/100))),"")</f>
        <v/>
      </c>
      <c r="BF98" t="str" cm="1">
        <f t="array" ref="BF98">IFERROR(IF($E98&lt;44348,"",IF(INDEX(Raw_매출!$B$2:$BI$155,MATCH($A98,Raw_매출!$A$2:$A$155,0),MATCH(EDATE($E98,BF$1-1),Raw_매출!$B$1:$BI$1,0))=0,"",INDEX(Raw_매출!$B$2:$BI$155,MATCH($A98,Raw_매출!$A$2:$A$155,0),MATCH(EDATE($E98,BF$1-1),Raw_매출!$B$1:$BI$1,0))/(INDEX(요약_월별시즈널리티!$F$7:$F$18,MONTH(EDATE($E98,BF$1-1)))/100))),"")</f>
        <v/>
      </c>
      <c r="BG98" t="str" cm="1">
        <f t="array" ref="BG98">IFERROR(IF($E98&lt;44348,"",IF(INDEX(Raw_매출!$B$2:$BI$155,MATCH($A98,Raw_매출!$A$2:$A$155,0),MATCH(EDATE($E98,BG$1-1),Raw_매출!$B$1:$BI$1,0))=0,"",INDEX(Raw_매출!$B$2:$BI$155,MATCH($A98,Raw_매출!$A$2:$A$155,0),MATCH(EDATE($E98,BG$1-1),Raw_매출!$B$1:$BI$1,0))/(INDEX(요약_월별시즈널리티!$F$7:$F$18,MONTH(EDATE($E98,BG$1-1)))/100))),"")</f>
        <v/>
      </c>
      <c r="BH98" t="str" cm="1">
        <f t="array" ref="BH98">IFERROR(IF($E98&lt;44348,"",IF(INDEX(Raw_매출!$B$2:$BI$155,MATCH($A98,Raw_매출!$A$2:$A$155,0),MATCH(EDATE($E98,BH$1-1),Raw_매출!$B$1:$BI$1,0))=0,"",INDEX(Raw_매출!$B$2:$BI$155,MATCH($A98,Raw_매출!$A$2:$A$155,0),MATCH(EDATE($E98,BH$1-1),Raw_매출!$B$1:$BI$1,0))/(INDEX(요약_월별시즈널리티!$F$7:$F$18,MONTH(EDATE($E98,BH$1-1)))/100))),"")</f>
        <v/>
      </c>
      <c r="BI98" t="str" cm="1">
        <f t="array" ref="BI98">IFERROR(IF($E98&lt;44348,"",IF(INDEX(Raw_매출!$B$2:$BI$155,MATCH($A98,Raw_매출!$A$2:$A$155,0),MATCH(EDATE($E98,BI$1-1),Raw_매출!$B$1:$BI$1,0))=0,"",INDEX(Raw_매출!$B$2:$BI$155,MATCH($A98,Raw_매출!$A$2:$A$155,0),MATCH(EDATE($E98,BI$1-1),Raw_매출!$B$1:$BI$1,0))/(INDEX(요약_월별시즈널리티!$F$7:$F$18,MONTH(EDATE($E98,BI$1-1)))/100))),"")</f>
        <v/>
      </c>
      <c r="BJ98" t="str" cm="1">
        <f t="array" ref="BJ98">IFERROR(IF($E98&lt;44348,"",IF(INDEX(Raw_매출!$B$2:$BI$155,MATCH($A98,Raw_매출!$A$2:$A$155,0),MATCH(EDATE($E98,BJ$1-1),Raw_매출!$B$1:$BI$1,0))=0,"",INDEX(Raw_매출!$B$2:$BI$155,MATCH($A98,Raw_매출!$A$2:$A$155,0),MATCH(EDATE($E98,BJ$1-1),Raw_매출!$B$1:$BI$1,0))/(INDEX(요약_월별시즈널리티!$F$7:$F$18,MONTH(EDATE($E98,BJ$1-1)))/100))),"")</f>
        <v/>
      </c>
      <c r="BK98" t="str" cm="1">
        <f t="array" ref="BK98">IFERROR(IF($E98&lt;44348,"",IF(INDEX(Raw_매출!$B$2:$BI$155,MATCH($A98,Raw_매출!$A$2:$A$155,0),MATCH(EDATE($E98,BK$1-1),Raw_매출!$B$1:$BI$1,0))=0,"",INDEX(Raw_매출!$B$2:$BI$155,MATCH($A98,Raw_매출!$A$2:$A$155,0),MATCH(EDATE($E98,BK$1-1),Raw_매출!$B$1:$BI$1,0))/(INDEX(요약_월별시즈널리티!$F$7:$F$18,MONTH(EDATE($E98,BK$1-1)))/100))),"")</f>
        <v/>
      </c>
      <c r="BL98" t="str" cm="1">
        <f t="array" ref="BL98">IFERROR(IF($E98&lt;44348,"",IF(INDEX(Raw_매출!$B$2:$BI$155,MATCH($A98,Raw_매출!$A$2:$A$155,0),MATCH(EDATE($E98,BL$1-1),Raw_매출!$B$1:$BI$1,0))=0,"",INDEX(Raw_매출!$B$2:$BI$155,MATCH($A98,Raw_매출!$A$2:$A$155,0),MATCH(EDATE($E98,BL$1-1),Raw_매출!$B$1:$BI$1,0))/(INDEX(요약_월별시즈널리티!$F$7:$F$18,MONTH(EDATE($E98,BL$1-1)))/100))),"")</f>
        <v/>
      </c>
      <c r="BM98" t="str" cm="1">
        <f t="array" ref="BM98">IFERROR(IF($E98&lt;44348,"",IF(INDEX(Raw_매출!$B$2:$BI$155,MATCH($A98,Raw_매출!$A$2:$A$155,0),MATCH(EDATE($E98,BM$1-1),Raw_매출!$B$1:$BI$1,0))=0,"",INDEX(Raw_매출!$B$2:$BI$155,MATCH($A98,Raw_매출!$A$2:$A$155,0),MATCH(EDATE($E98,BM$1-1),Raw_매출!$B$1:$BI$1,0))/(INDEX(요약_월별시즈널리티!$F$7:$F$18,MONTH(EDATE($E98,BM$1-1)))/100))),"")</f>
        <v/>
      </c>
      <c r="BN98" t="str" cm="1">
        <f t="array" ref="BN98">IFERROR(IF($E98&lt;44348,"",IF(INDEX(Raw_매출!$B$2:$BI$155,MATCH($A98,Raw_매출!$A$2:$A$155,0),MATCH(EDATE($E98,BN$1-1),Raw_매출!$B$1:$BI$1,0))=0,"",INDEX(Raw_매출!$B$2:$BI$155,MATCH($A98,Raw_매출!$A$2:$A$155,0),MATCH(EDATE($E98,BN$1-1),Raw_매출!$B$1:$BI$1,0))/(INDEX(요약_월별시즈널리티!$F$7:$F$18,MONTH(EDATE($E98,BN$1-1)))/100))),"")</f>
        <v/>
      </c>
    </row>
    <row r="99" spans="1:66" x14ac:dyDescent="0.4">
      <c r="A99" t="str">
        <f>세팅!A100</f>
        <v>(1088) #유성온천점</v>
      </c>
      <c r="B99" t="str">
        <f>세팅!B100</f>
        <v>150-1</v>
      </c>
      <c r="C99">
        <f t="shared" si="3"/>
        <v>1</v>
      </c>
      <c r="D99" t="str">
        <f t="shared" si="4"/>
        <v>1</v>
      </c>
      <c r="E99" s="1">
        <f>세팅!D100</f>
        <v>45200</v>
      </c>
      <c r="F99">
        <f t="shared" si="5"/>
        <v>3315583.6477071545</v>
      </c>
      <c r="G99" cm="1">
        <f t="array" ref="G99">IFERROR(IF($E99&lt;44348,"",IF(INDEX(Raw_매출!$B$2:$BI$155,MATCH($A99,Raw_매출!$A$2:$A$155,0),MATCH(EDATE($E99,G$1-1),Raw_매출!$B$1:$BI$1,0))=0,"",INDEX(Raw_매출!$B$2:$BI$155,MATCH($A99,Raw_매출!$A$2:$A$155,0),MATCH(EDATE($E99,G$1-1),Raw_매출!$B$1:$BI$1,0))/(INDEX(요약_월별시즈널리티!$F$7:$F$18,MONTH(EDATE($E99,G$1-1)))/100))),"")</f>
        <v>1979997.9617071997</v>
      </c>
      <c r="H99" cm="1">
        <f t="array" ref="H99">IFERROR(IF($E99&lt;44348,"",IF(INDEX(Raw_매출!$B$2:$BI$155,MATCH($A99,Raw_매출!$A$2:$A$155,0),MATCH(EDATE($E99,H$1-1),Raw_매출!$B$1:$BI$1,0))=0,"",INDEX(Raw_매출!$B$2:$BI$155,MATCH($A99,Raw_매출!$A$2:$A$155,0),MATCH(EDATE($E99,H$1-1),Raw_매출!$B$1:$BI$1,0))/(INDEX(요약_월별시즈널리티!$F$7:$F$18,MONTH(EDATE($E99,H$1-1)))/100))),"")</f>
        <v>2295324.4314314872</v>
      </c>
      <c r="I99" cm="1">
        <f t="array" ref="I99">IFERROR(IF($E99&lt;44348,"",IF(INDEX(Raw_매출!$B$2:$BI$155,MATCH($A99,Raw_매출!$A$2:$A$155,0),MATCH(EDATE($E99,I$1-1),Raw_매출!$B$1:$BI$1,0))=0,"",INDEX(Raw_매출!$B$2:$BI$155,MATCH($A99,Raw_매출!$A$2:$A$155,0),MATCH(EDATE($E99,I$1-1),Raw_매출!$B$1:$BI$1,0))/(INDEX(요약_월별시즈널리티!$F$7:$F$18,MONTH(EDATE($E99,I$1-1)))/100))),"")</f>
        <v>2858750.947438377</v>
      </c>
      <c r="J99" s="30" cm="1">
        <f t="array" ref="J99">IFERROR(IF($E99&lt;44348,"",IF(INDEX(Raw_매출!$B$2:$BI$155,MATCH($A99,Raw_매출!$A$2:$A$155,0),MATCH(EDATE($E99,J$1-1),Raw_매출!$B$1:$BI$1,0))=0,"",INDEX(Raw_매출!$B$2:$BI$155,MATCH($A99,Raw_매출!$A$2:$A$155,0),MATCH(EDATE($E99,J$1-1),Raw_매출!$B$1:$BI$1,0))/(INDEX(요약_월별시즈널리티!$F$7:$F$18,MONTH(EDATE($E99,J$1-1)))/100))),"")</f>
        <v>2513997.6255680751</v>
      </c>
      <c r="K99" s="30" cm="1">
        <f t="array" ref="K99">IFERROR(IF($E99&lt;44348,"",IF(INDEX(Raw_매출!$B$2:$BI$155,MATCH($A99,Raw_매출!$A$2:$A$155,0),MATCH(EDATE($E99,K$1-1),Raw_매출!$B$1:$BI$1,0))=0,"",INDEX(Raw_매출!$B$2:$BI$155,MATCH($A99,Raw_매출!$A$2:$A$155,0),MATCH(EDATE($E99,K$1-1),Raw_매출!$B$1:$BI$1,0))/(INDEX(요약_월별시즈널리티!$F$7:$F$18,MONTH(EDATE($E99,K$1-1)))/100))),"")</f>
        <v>3064560.6131693092</v>
      </c>
      <c r="L99" s="30" cm="1">
        <f t="array" ref="L99">IFERROR(IF($E99&lt;44348,"",IF(INDEX(Raw_매출!$B$2:$BI$155,MATCH($A99,Raw_매출!$A$2:$A$155,0),MATCH(EDATE($E99,L$1-1),Raw_매출!$B$1:$BI$1,0))=0,"",INDEX(Raw_매출!$B$2:$BI$155,MATCH($A99,Raw_매출!$A$2:$A$155,0),MATCH(EDATE($E99,L$1-1),Raw_매출!$B$1:$BI$1,0))/(INDEX(요약_월별시즈널리티!$F$7:$F$18,MONTH(EDATE($E99,L$1-1)))/100))),"")</f>
        <v>3432021.2695432375</v>
      </c>
      <c r="M99" s="30" cm="1">
        <f t="array" ref="M99">IFERROR(IF($E99&lt;44348,"",IF(INDEX(Raw_매출!$B$2:$BI$155,MATCH($A99,Raw_매출!$A$2:$A$155,0),MATCH(EDATE($E99,M$1-1),Raw_매출!$B$1:$BI$1,0))=0,"",INDEX(Raw_매출!$B$2:$BI$155,MATCH($A99,Raw_매출!$A$2:$A$155,0),MATCH(EDATE($E99,M$1-1),Raw_매출!$B$1:$BI$1,0))/(INDEX(요약_월별시즈널리티!$F$7:$F$18,MONTH(EDATE($E99,M$1-1)))/100))),"")</f>
        <v>3924511.2325677462</v>
      </c>
      <c r="N99" s="30" cm="1">
        <f t="array" ref="N99">IFERROR(IF($E99&lt;44348,"",IF(INDEX(Raw_매출!$B$2:$BI$155,MATCH($A99,Raw_매출!$A$2:$A$155,0),MATCH(EDATE($E99,N$1-1),Raw_매출!$B$1:$BI$1,0))=0,"",INDEX(Raw_매출!$B$2:$BI$155,MATCH($A99,Raw_매출!$A$2:$A$155,0),MATCH(EDATE($E99,N$1-1),Raw_매출!$B$1:$BI$1,0))/(INDEX(요약_월별시즈널리티!$F$7:$F$18,MONTH(EDATE($E99,N$1-1)))/100))),"")</f>
        <v>3362106.9819708788</v>
      </c>
      <c r="O99" s="30" cm="1">
        <f t="array" ref="O99">IFERROR(IF($E99&lt;44348,"",IF(INDEX(Raw_매출!$B$2:$BI$155,MATCH($A99,Raw_매출!$A$2:$A$155,0),MATCH(EDATE($E99,O$1-1),Raw_매출!$B$1:$BI$1,0))=0,"",INDEX(Raw_매출!$B$2:$BI$155,MATCH($A99,Raw_매출!$A$2:$A$155,0),MATCH(EDATE($E99,O$1-1),Raw_매출!$B$1:$BI$1,0))/(INDEX(요약_월별시즈널리티!$F$7:$F$18,MONTH(EDATE($E99,O$1-1)))/100))),"")</f>
        <v>3596304.1634236793</v>
      </c>
      <c r="P99" cm="1">
        <f t="array" ref="P99">IFERROR(IF($E99&lt;44348,"",IF(INDEX(Raw_매출!$B$2:$BI$155,MATCH($A99,Raw_매출!$A$2:$A$155,0),MATCH(EDATE($E99,P$1-1),Raw_매출!$B$1:$BI$1,0))=0,"",INDEX(Raw_매출!$B$2:$BI$155,MATCH($A99,Raw_매출!$A$2:$A$155,0),MATCH(EDATE($E99,P$1-1),Raw_매출!$B$1:$BI$1,0))/(INDEX(요약_월별시즈널리티!$F$7:$F$18,MONTH(EDATE($E99,P$1-1)))/100))),"")</f>
        <v>3854367.653524044</v>
      </c>
      <c r="Q99" cm="1">
        <f t="array" ref="Q99">IFERROR(IF($E99&lt;44348,"",IF(INDEX(Raw_매출!$B$2:$BI$155,MATCH($A99,Raw_매출!$A$2:$A$155,0),MATCH(EDATE($E99,Q$1-1),Raw_매출!$B$1:$BI$1,0))=0,"",INDEX(Raw_매출!$B$2:$BI$155,MATCH($A99,Raw_매출!$A$2:$A$155,0),MATCH(EDATE($E99,Q$1-1),Raw_매출!$B$1:$BI$1,0))/(INDEX(요약_월별시즈널리티!$F$7:$F$18,MONTH(EDATE($E99,Q$1-1)))/100))),"")</f>
        <v>3835505.5636944026</v>
      </c>
      <c r="R99" cm="1">
        <f t="array" ref="R99">IFERROR(IF($E99&lt;44348,"",IF(INDEX(Raw_매출!$B$2:$BI$155,MATCH($A99,Raw_매출!$A$2:$A$155,0),MATCH(EDATE($E99,R$1-1),Raw_매출!$B$1:$BI$1,0))=0,"",INDEX(Raw_매출!$B$2:$BI$155,MATCH($A99,Raw_매출!$A$2:$A$155,0),MATCH(EDATE($E99,R$1-1),Raw_매출!$B$1:$BI$1,0))/(INDEX(요약_월별시즈널리티!$F$7:$F$18,MONTH(EDATE($E99,R$1-1)))/100))),"")</f>
        <v>3929643.7163749784</v>
      </c>
      <c r="S99" cm="1">
        <f t="array" ref="S99">IFERROR(IF($E99&lt;44348,"",IF(INDEX(Raw_매출!$B$2:$BI$155,MATCH($A99,Raw_매출!$A$2:$A$155,0),MATCH(EDATE($E99,S$1-1),Raw_매출!$B$1:$BI$1,0))=0,"",INDEX(Raw_매출!$B$2:$BI$155,MATCH($A99,Raw_매출!$A$2:$A$155,0),MATCH(EDATE($E99,S$1-1),Raw_매출!$B$1:$BI$1,0))/(INDEX(요약_월별시즈널리티!$F$7:$F$18,MONTH(EDATE($E99,S$1-1)))/100))),"")</f>
        <v>3844557.9685258744</v>
      </c>
      <c r="T99" cm="1">
        <f t="array" ref="T99">IFERROR(IF($E99&lt;44348,"",IF(INDEX(Raw_매출!$B$2:$BI$155,MATCH($A99,Raw_매출!$A$2:$A$155,0),MATCH(EDATE($E99,T$1-1),Raw_매출!$B$1:$BI$1,0))=0,"",INDEX(Raw_매출!$B$2:$BI$155,MATCH($A99,Raw_매출!$A$2:$A$155,0),MATCH(EDATE($E99,T$1-1),Raw_매출!$B$1:$BI$1,0))/(INDEX(요약_월별시즈널리티!$F$7:$F$18,MONTH(EDATE($E99,T$1-1)))/100))),"")</f>
        <v>3971808.7569396896</v>
      </c>
      <c r="U99" cm="1">
        <f t="array" ref="U99">IFERROR(IF($E99&lt;44348,"",IF(INDEX(Raw_매출!$B$2:$BI$155,MATCH($A99,Raw_매출!$A$2:$A$155,0),MATCH(EDATE($E99,U$1-1),Raw_매출!$B$1:$BI$1,0))=0,"",INDEX(Raw_매출!$B$2:$BI$155,MATCH($A99,Raw_매출!$A$2:$A$155,0),MATCH(EDATE($E99,U$1-1),Raw_매출!$B$1:$BI$1,0))/(INDEX(요약_월별시즈널리티!$F$7:$F$18,MONTH(EDATE($E99,U$1-1)))/100))),"")</f>
        <v>3441969.0444166227</v>
      </c>
      <c r="V99" cm="1">
        <f t="array" ref="V99">IFERROR(IF($E99&lt;44348,"",IF(INDEX(Raw_매출!$B$2:$BI$155,MATCH($A99,Raw_매출!$A$2:$A$155,0),MATCH(EDATE($E99,V$1-1),Raw_매출!$B$1:$BI$1,0))=0,"",INDEX(Raw_매출!$B$2:$BI$155,MATCH($A99,Raw_매출!$A$2:$A$155,0),MATCH(EDATE($E99,V$1-1),Raw_매출!$B$1:$BI$1,0))/(INDEX(요약_월별시즈널리티!$F$7:$F$18,MONTH(EDATE($E99,V$1-1)))/100))),"")</f>
        <v>4154495.0492701004</v>
      </c>
      <c r="W99" cm="1">
        <f t="array" ref="W99">IFERROR(IF($E99&lt;44348,"",IF(INDEX(Raw_매출!$B$2:$BI$155,MATCH($A99,Raw_매출!$A$2:$A$155,0),MATCH(EDATE($E99,W$1-1),Raw_매출!$B$1:$BI$1,0))=0,"",INDEX(Raw_매출!$B$2:$BI$155,MATCH($A99,Raw_매출!$A$2:$A$155,0),MATCH(EDATE($E99,W$1-1),Raw_매출!$B$1:$BI$1,0))/(INDEX(요약_월별시즈널리티!$F$7:$F$18,MONTH(EDATE($E99,W$1-1)))/100))),"")</f>
        <v>4048629.756466297</v>
      </c>
      <c r="X99" cm="1">
        <f t="array" ref="X99">IFERROR(IF($E99&lt;44348,"",IF(INDEX(Raw_매출!$B$2:$BI$155,MATCH($A99,Raw_매출!$A$2:$A$155,0),MATCH(EDATE($E99,X$1-1),Raw_매출!$B$1:$BI$1,0))=0,"",INDEX(Raw_매출!$B$2:$BI$155,MATCH($A99,Raw_매출!$A$2:$A$155,0),MATCH(EDATE($E99,X$1-1),Raw_매출!$B$1:$BI$1,0))/(INDEX(요약_월별시즈널리티!$F$7:$F$18,MONTH(EDATE($E99,X$1-1)))/100))),"")</f>
        <v>3795965.0534002562</v>
      </c>
      <c r="Y99" cm="1">
        <f t="array" ref="Y99">IFERROR(IF($E99&lt;44348,"",IF(INDEX(Raw_매출!$B$2:$BI$155,MATCH($A99,Raw_매출!$A$2:$A$155,0),MATCH(EDATE($E99,Y$1-1),Raw_매출!$B$1:$BI$1,0))=0,"",INDEX(Raw_매출!$B$2:$BI$155,MATCH($A99,Raw_매출!$A$2:$A$155,0),MATCH(EDATE($E99,Y$1-1),Raw_매출!$B$1:$BI$1,0))/(INDEX(요약_월별시즈널리티!$F$7:$F$18,MONTH(EDATE($E99,Y$1-1)))/100))),"")</f>
        <v>3576013.5159437591</v>
      </c>
      <c r="Z99" cm="1">
        <f t="array" ref="Z99">IFERROR(IF($E99&lt;44348,"",IF(INDEX(Raw_매출!$B$2:$BI$155,MATCH($A99,Raw_매출!$A$2:$A$155,0),MATCH(EDATE($E99,Z$1-1),Raw_매출!$B$1:$BI$1,0))=0,"",INDEX(Raw_매출!$B$2:$BI$155,MATCH($A99,Raw_매출!$A$2:$A$155,0),MATCH(EDATE($E99,Z$1-1),Raw_매출!$B$1:$BI$1,0))/(INDEX(요약_월별시즈널리티!$F$7:$F$18,MONTH(EDATE($E99,Z$1-1)))/100))),"")</f>
        <v>4182572.8853212409</v>
      </c>
      <c r="AA99" cm="1">
        <f t="array" ref="AA99">IFERROR(IF($E99&lt;44348,"",IF(INDEX(Raw_매출!$B$2:$BI$155,MATCH($A99,Raw_매출!$A$2:$A$155,0),MATCH(EDATE($E99,AA$1-1),Raw_매출!$B$1:$BI$1,0))=0,"",INDEX(Raw_매출!$B$2:$BI$155,MATCH($A99,Raw_매출!$A$2:$A$155,0),MATCH(EDATE($E99,AA$1-1),Raw_매출!$B$1:$BI$1,0))/(INDEX(요약_월별시즈널리티!$F$7:$F$18,MONTH(EDATE($E99,AA$1-1)))/100))),"")</f>
        <v>4103626.8124564746</v>
      </c>
      <c r="AB99" cm="1">
        <f t="array" ref="AB99">IFERROR(IF($E99&lt;44348,"",IF(INDEX(Raw_매출!$B$2:$BI$155,MATCH($A99,Raw_매출!$A$2:$A$155,0),MATCH(EDATE($E99,AB$1-1),Raw_매출!$B$1:$BI$1,0))=0,"",INDEX(Raw_매출!$B$2:$BI$155,MATCH($A99,Raw_매출!$A$2:$A$155,0),MATCH(EDATE($E99,AB$1-1),Raw_매출!$B$1:$BI$1,0))/(INDEX(요약_월별시즈널리티!$F$7:$F$18,MONTH(EDATE($E99,AB$1-1)))/100))),"")</f>
        <v>3932654.869229374</v>
      </c>
      <c r="AC99" cm="1">
        <f t="array" ref="AC99">IFERROR(IF($E99&lt;44348,"",IF(INDEX(Raw_매출!$B$2:$BI$155,MATCH($A99,Raw_매출!$A$2:$A$155,0),MATCH(EDATE($E99,AC$1-1),Raw_매출!$B$1:$BI$1,0))=0,"",INDEX(Raw_매출!$B$2:$BI$155,MATCH($A99,Raw_매출!$A$2:$A$155,0),MATCH(EDATE($E99,AC$1-1),Raw_매출!$B$1:$BI$1,0))/(INDEX(요약_월별시즈널리티!$F$7:$F$18,MONTH(EDATE($E99,AC$1-1)))/100))),"")</f>
        <v>3849028.98039083</v>
      </c>
      <c r="AD99" cm="1">
        <f t="array" ref="AD99">IFERROR(IF($E99&lt;44348,"",IF(INDEX(Raw_매출!$B$2:$BI$155,MATCH($A99,Raw_매출!$A$2:$A$155,0),MATCH(EDATE($E99,AD$1-1),Raw_매출!$B$1:$BI$1,0))=0,"",INDEX(Raw_매출!$B$2:$BI$155,MATCH($A99,Raw_매출!$A$2:$A$155,0),MATCH(EDATE($E99,AD$1-1),Raw_매출!$B$1:$BI$1,0))/(INDEX(요약_월별시즈널리티!$F$7:$F$18,MONTH(EDATE($E99,AD$1-1)))/100))),"")</f>
        <v>3923051.8626380167</v>
      </c>
      <c r="AE99" cm="1">
        <f t="array" ref="AE99">IFERROR(IF($E99&lt;44348,"",IF(INDEX(Raw_매출!$B$2:$BI$155,MATCH($A99,Raw_매출!$A$2:$A$155,0),MATCH(EDATE($E99,AE$1-1),Raw_매출!$B$1:$BI$1,0))=0,"",INDEX(Raw_매출!$B$2:$BI$155,MATCH($A99,Raw_매출!$A$2:$A$155,0),MATCH(EDATE($E99,AE$1-1),Raw_매출!$B$1:$BI$1,0))/(INDEX(요약_월별시즈널리티!$F$7:$F$18,MONTH(EDATE($E99,AE$1-1)))/100))),"")</f>
        <v>3863936.0424879771</v>
      </c>
      <c r="AF99" cm="1">
        <f t="array" ref="AF99">IFERROR(IF($E99&lt;44348,"",IF(INDEX(Raw_매출!$B$2:$BI$155,MATCH($A99,Raw_매출!$A$2:$A$155,0),MATCH(EDATE($E99,AF$1-1),Raw_매출!$B$1:$BI$1,0))=0,"",INDEX(Raw_매출!$B$2:$BI$155,MATCH($A99,Raw_매출!$A$2:$A$155,0),MATCH(EDATE($E99,AF$1-1),Raw_매출!$B$1:$BI$1,0))/(INDEX(요약_월별시즈널리티!$F$7:$F$18,MONTH(EDATE($E99,AF$1-1)))/100))),"")</f>
        <v>3988617.4950136277</v>
      </c>
      <c r="AG99" cm="1">
        <f t="array" ref="AG99">IFERROR(IF($E99&lt;44348,"",IF(INDEX(Raw_매출!$B$2:$BI$155,MATCH($A99,Raw_매출!$A$2:$A$155,0),MATCH(EDATE($E99,AG$1-1),Raw_매출!$B$1:$BI$1,0))=0,"",INDEX(Raw_매출!$B$2:$BI$155,MATCH($A99,Raw_매출!$A$2:$A$155,0),MATCH(EDATE($E99,AG$1-1),Raw_매출!$B$1:$BI$1,0))/(INDEX(요약_월별시즈널리티!$F$7:$F$18,MONTH(EDATE($E99,AG$1-1)))/100))),"")</f>
        <v>4102268.8993378161</v>
      </c>
      <c r="AH99" cm="1">
        <f t="array" ref="AH99">IFERROR(IF($E99&lt;44348,"",IF(INDEX(Raw_매출!$B$2:$BI$155,MATCH($A99,Raw_매출!$A$2:$A$155,0),MATCH(EDATE($E99,AH$1-1),Raw_매출!$B$1:$BI$1,0))=0,"",INDEX(Raw_매출!$B$2:$BI$155,MATCH($A99,Raw_매출!$A$2:$A$155,0),MATCH(EDATE($E99,AH$1-1),Raw_매출!$B$1:$BI$1,0))/(INDEX(요약_월별시즈널리티!$F$7:$F$18,MONTH(EDATE($E99,AH$1-1)))/100))),"")</f>
        <v>4571389.127881892</v>
      </c>
      <c r="AI99" cm="1">
        <f t="array" ref="AI99">IFERROR(IF($E99&lt;44348,"",IF(INDEX(Raw_매출!$B$2:$BI$155,MATCH($A99,Raw_매출!$A$2:$A$155,0),MATCH(EDATE($E99,AI$1-1),Raw_매출!$B$1:$BI$1,0))=0,"",INDEX(Raw_매출!$B$2:$BI$155,MATCH($A99,Raw_매출!$A$2:$A$155,0),MATCH(EDATE($E99,AI$1-1),Raw_매출!$B$1:$BI$1,0))/(INDEX(요약_월별시즈널리티!$F$7:$F$18,MONTH(EDATE($E99,AI$1-1)))/100))),"")</f>
        <v>4195804.1216793796</v>
      </c>
      <c r="AJ99" cm="1">
        <f t="array" ref="AJ99">IFERROR(IF($E99&lt;44348,"",IF(INDEX(Raw_매출!$B$2:$BI$155,MATCH($A99,Raw_매출!$A$2:$A$155,0),MATCH(EDATE($E99,AJ$1-1),Raw_매출!$B$1:$BI$1,0))=0,"",INDEX(Raw_매출!$B$2:$BI$155,MATCH($A99,Raw_매출!$A$2:$A$155,0),MATCH(EDATE($E99,AJ$1-1),Raw_매출!$B$1:$BI$1,0))/(INDEX(요약_월별시즈널리티!$F$7:$F$18,MONTH(EDATE($E99,AJ$1-1)))/100))),"")</f>
        <v>4232409.4439948043</v>
      </c>
      <c r="AK99" cm="1">
        <f t="array" ref="AK99">IFERROR(IF($E99&lt;44348,"",IF(INDEX(Raw_매출!$B$2:$BI$155,MATCH($A99,Raw_매출!$A$2:$A$155,0),MATCH(EDATE($E99,AK$1-1),Raw_매출!$B$1:$BI$1,0))=0,"",INDEX(Raw_매출!$B$2:$BI$155,MATCH($A99,Raw_매출!$A$2:$A$155,0),MATCH(EDATE($E99,AK$1-1),Raw_매출!$B$1:$BI$1,0))/(INDEX(요약_월별시즈널리티!$F$7:$F$18,MONTH(EDATE($E99,AK$1-1)))/100))),"")</f>
        <v>4112542.4864524398</v>
      </c>
      <c r="AL99" cm="1">
        <f t="array" ref="AL99">IFERROR(IF($E99&lt;44348,"",IF(INDEX(Raw_매출!$B$2:$BI$155,MATCH($A99,Raw_매출!$A$2:$A$155,0),MATCH(EDATE($E99,AL$1-1),Raw_매출!$B$1:$BI$1,0))=0,"",INDEX(Raw_매출!$B$2:$BI$155,MATCH($A99,Raw_매출!$A$2:$A$155,0),MATCH(EDATE($E99,AL$1-1),Raw_매출!$B$1:$BI$1,0))/(INDEX(요약_월별시즈널리티!$F$7:$F$18,MONTH(EDATE($E99,AL$1-1)))/100))),"")</f>
        <v>4213227.655336529</v>
      </c>
      <c r="AM99" t="str" cm="1">
        <f t="array" ref="AM99">IFERROR(IF($E99&lt;44348,"",IF(INDEX(Raw_매출!$B$2:$BI$155,MATCH($A99,Raw_매출!$A$2:$A$155,0),MATCH(EDATE($E99,AM$1-1),Raw_매출!$B$1:$BI$1,0))=0,"",INDEX(Raw_매출!$B$2:$BI$155,MATCH($A99,Raw_매출!$A$2:$A$155,0),MATCH(EDATE($E99,AM$1-1),Raw_매출!$B$1:$BI$1,0))/(INDEX(요약_월별시즈널리티!$F$7:$F$18,MONTH(EDATE($E99,AM$1-1)))/100))),"")</f>
        <v/>
      </c>
      <c r="AN99" t="str" cm="1">
        <f t="array" ref="AN99">IFERROR(IF($E99&lt;44348,"",IF(INDEX(Raw_매출!$B$2:$BI$155,MATCH($A99,Raw_매출!$A$2:$A$155,0),MATCH(EDATE($E99,AN$1-1),Raw_매출!$B$1:$BI$1,0))=0,"",INDEX(Raw_매출!$B$2:$BI$155,MATCH($A99,Raw_매출!$A$2:$A$155,0),MATCH(EDATE($E99,AN$1-1),Raw_매출!$B$1:$BI$1,0))/(INDEX(요약_월별시즈널리티!$F$7:$F$18,MONTH(EDATE($E99,AN$1-1)))/100))),"")</f>
        <v/>
      </c>
      <c r="AO99" t="str" cm="1">
        <f t="array" ref="AO99">IFERROR(IF($E99&lt;44348,"",IF(INDEX(Raw_매출!$B$2:$BI$155,MATCH($A99,Raw_매출!$A$2:$A$155,0),MATCH(EDATE($E99,AO$1-1),Raw_매출!$B$1:$BI$1,0))=0,"",INDEX(Raw_매출!$B$2:$BI$155,MATCH($A99,Raw_매출!$A$2:$A$155,0),MATCH(EDATE($E99,AO$1-1),Raw_매출!$B$1:$BI$1,0))/(INDEX(요약_월별시즈널리티!$F$7:$F$18,MONTH(EDATE($E99,AO$1-1)))/100))),"")</f>
        <v/>
      </c>
      <c r="AP99" t="str" cm="1">
        <f t="array" ref="AP99">IFERROR(IF($E99&lt;44348,"",IF(INDEX(Raw_매출!$B$2:$BI$155,MATCH($A99,Raw_매출!$A$2:$A$155,0),MATCH(EDATE($E99,AP$1-1),Raw_매출!$B$1:$BI$1,0))=0,"",INDEX(Raw_매출!$B$2:$BI$155,MATCH($A99,Raw_매출!$A$2:$A$155,0),MATCH(EDATE($E99,AP$1-1),Raw_매출!$B$1:$BI$1,0))/(INDEX(요약_월별시즈널리티!$F$7:$F$18,MONTH(EDATE($E99,AP$1-1)))/100))),"")</f>
        <v/>
      </c>
      <c r="AQ99" t="str" cm="1">
        <f t="array" ref="AQ99">IFERROR(IF($E99&lt;44348,"",IF(INDEX(Raw_매출!$B$2:$BI$155,MATCH($A99,Raw_매출!$A$2:$A$155,0),MATCH(EDATE($E99,AQ$1-1),Raw_매출!$B$1:$BI$1,0))=0,"",INDEX(Raw_매출!$B$2:$BI$155,MATCH($A99,Raw_매출!$A$2:$A$155,0),MATCH(EDATE($E99,AQ$1-1),Raw_매출!$B$1:$BI$1,0))/(INDEX(요약_월별시즈널리티!$F$7:$F$18,MONTH(EDATE($E99,AQ$1-1)))/100))),"")</f>
        <v/>
      </c>
      <c r="AR99" t="str" cm="1">
        <f t="array" ref="AR99">IFERROR(IF($E99&lt;44348,"",IF(INDEX(Raw_매출!$B$2:$BI$155,MATCH($A99,Raw_매출!$A$2:$A$155,0),MATCH(EDATE($E99,AR$1-1),Raw_매출!$B$1:$BI$1,0))=0,"",INDEX(Raw_매출!$B$2:$BI$155,MATCH($A99,Raw_매출!$A$2:$A$155,0),MATCH(EDATE($E99,AR$1-1),Raw_매출!$B$1:$BI$1,0))/(INDEX(요약_월별시즈널리티!$F$7:$F$18,MONTH(EDATE($E99,AR$1-1)))/100))),"")</f>
        <v/>
      </c>
      <c r="AS99" t="str" cm="1">
        <f t="array" ref="AS99">IFERROR(IF($E99&lt;44348,"",IF(INDEX(Raw_매출!$B$2:$BI$155,MATCH($A99,Raw_매출!$A$2:$A$155,0),MATCH(EDATE($E99,AS$1-1),Raw_매출!$B$1:$BI$1,0))=0,"",INDEX(Raw_매출!$B$2:$BI$155,MATCH($A99,Raw_매출!$A$2:$A$155,0),MATCH(EDATE($E99,AS$1-1),Raw_매출!$B$1:$BI$1,0))/(INDEX(요약_월별시즈널리티!$F$7:$F$18,MONTH(EDATE($E99,AS$1-1)))/100))),"")</f>
        <v/>
      </c>
      <c r="AT99" t="str" cm="1">
        <f t="array" ref="AT99">IFERROR(IF($E99&lt;44348,"",IF(INDEX(Raw_매출!$B$2:$BI$155,MATCH($A99,Raw_매출!$A$2:$A$155,0),MATCH(EDATE($E99,AT$1-1),Raw_매출!$B$1:$BI$1,0))=0,"",INDEX(Raw_매출!$B$2:$BI$155,MATCH($A99,Raw_매출!$A$2:$A$155,0),MATCH(EDATE($E99,AT$1-1),Raw_매출!$B$1:$BI$1,0))/(INDEX(요약_월별시즈널리티!$F$7:$F$18,MONTH(EDATE($E99,AT$1-1)))/100))),"")</f>
        <v/>
      </c>
      <c r="AU99" t="str" cm="1">
        <f t="array" ref="AU99">IFERROR(IF($E99&lt;44348,"",IF(INDEX(Raw_매출!$B$2:$BI$155,MATCH($A99,Raw_매출!$A$2:$A$155,0),MATCH(EDATE($E99,AU$1-1),Raw_매출!$B$1:$BI$1,0))=0,"",INDEX(Raw_매출!$B$2:$BI$155,MATCH($A99,Raw_매출!$A$2:$A$155,0),MATCH(EDATE($E99,AU$1-1),Raw_매출!$B$1:$BI$1,0))/(INDEX(요약_월별시즈널리티!$F$7:$F$18,MONTH(EDATE($E99,AU$1-1)))/100))),"")</f>
        <v/>
      </c>
      <c r="AV99" t="str" cm="1">
        <f t="array" ref="AV99">IFERROR(IF($E99&lt;44348,"",IF(INDEX(Raw_매출!$B$2:$BI$155,MATCH($A99,Raw_매출!$A$2:$A$155,0),MATCH(EDATE($E99,AV$1-1),Raw_매출!$B$1:$BI$1,0))=0,"",INDEX(Raw_매출!$B$2:$BI$155,MATCH($A99,Raw_매출!$A$2:$A$155,0),MATCH(EDATE($E99,AV$1-1),Raw_매출!$B$1:$BI$1,0))/(INDEX(요약_월별시즈널리티!$F$7:$F$18,MONTH(EDATE($E99,AV$1-1)))/100))),"")</f>
        <v/>
      </c>
      <c r="AW99" t="str" cm="1">
        <f t="array" ref="AW99">IFERROR(IF($E99&lt;44348,"",IF(INDEX(Raw_매출!$B$2:$BI$155,MATCH($A99,Raw_매출!$A$2:$A$155,0),MATCH(EDATE($E99,AW$1-1),Raw_매출!$B$1:$BI$1,0))=0,"",INDEX(Raw_매출!$B$2:$BI$155,MATCH($A99,Raw_매출!$A$2:$A$155,0),MATCH(EDATE($E99,AW$1-1),Raw_매출!$B$1:$BI$1,0))/(INDEX(요약_월별시즈널리티!$F$7:$F$18,MONTH(EDATE($E99,AW$1-1)))/100))),"")</f>
        <v/>
      </c>
      <c r="AX99" t="str" cm="1">
        <f t="array" ref="AX99">IFERROR(IF($E99&lt;44348,"",IF(INDEX(Raw_매출!$B$2:$BI$155,MATCH($A99,Raw_매출!$A$2:$A$155,0),MATCH(EDATE($E99,AX$1-1),Raw_매출!$B$1:$BI$1,0))=0,"",INDEX(Raw_매출!$B$2:$BI$155,MATCH($A99,Raw_매출!$A$2:$A$155,0),MATCH(EDATE($E99,AX$1-1),Raw_매출!$B$1:$BI$1,0))/(INDEX(요약_월별시즈널리티!$F$7:$F$18,MONTH(EDATE($E99,AX$1-1)))/100))),"")</f>
        <v/>
      </c>
      <c r="AY99" t="str" cm="1">
        <f t="array" ref="AY99">IFERROR(IF($E99&lt;44348,"",IF(INDEX(Raw_매출!$B$2:$BI$155,MATCH($A99,Raw_매출!$A$2:$A$155,0),MATCH(EDATE($E99,AY$1-1),Raw_매출!$B$1:$BI$1,0))=0,"",INDEX(Raw_매출!$B$2:$BI$155,MATCH($A99,Raw_매출!$A$2:$A$155,0),MATCH(EDATE($E99,AY$1-1),Raw_매출!$B$1:$BI$1,0))/(INDEX(요약_월별시즈널리티!$F$7:$F$18,MONTH(EDATE($E99,AY$1-1)))/100))),"")</f>
        <v/>
      </c>
      <c r="AZ99" t="str" cm="1">
        <f t="array" ref="AZ99">IFERROR(IF($E99&lt;44348,"",IF(INDEX(Raw_매출!$B$2:$BI$155,MATCH($A99,Raw_매출!$A$2:$A$155,0),MATCH(EDATE($E99,AZ$1-1),Raw_매출!$B$1:$BI$1,0))=0,"",INDEX(Raw_매출!$B$2:$BI$155,MATCH($A99,Raw_매출!$A$2:$A$155,0),MATCH(EDATE($E99,AZ$1-1),Raw_매출!$B$1:$BI$1,0))/(INDEX(요약_월별시즈널리티!$F$7:$F$18,MONTH(EDATE($E99,AZ$1-1)))/100))),"")</f>
        <v/>
      </c>
      <c r="BA99" t="str" cm="1">
        <f t="array" ref="BA99">IFERROR(IF($E99&lt;44348,"",IF(INDEX(Raw_매출!$B$2:$BI$155,MATCH($A99,Raw_매출!$A$2:$A$155,0),MATCH(EDATE($E99,BA$1-1),Raw_매출!$B$1:$BI$1,0))=0,"",INDEX(Raw_매출!$B$2:$BI$155,MATCH($A99,Raw_매출!$A$2:$A$155,0),MATCH(EDATE($E99,BA$1-1),Raw_매출!$B$1:$BI$1,0))/(INDEX(요약_월별시즈널리티!$F$7:$F$18,MONTH(EDATE($E99,BA$1-1)))/100))),"")</f>
        <v/>
      </c>
      <c r="BB99" t="str" cm="1">
        <f t="array" ref="BB99">IFERROR(IF($E99&lt;44348,"",IF(INDEX(Raw_매출!$B$2:$BI$155,MATCH($A99,Raw_매출!$A$2:$A$155,0),MATCH(EDATE($E99,BB$1-1),Raw_매출!$B$1:$BI$1,0))=0,"",INDEX(Raw_매출!$B$2:$BI$155,MATCH($A99,Raw_매출!$A$2:$A$155,0),MATCH(EDATE($E99,BB$1-1),Raw_매출!$B$1:$BI$1,0))/(INDEX(요약_월별시즈널리티!$F$7:$F$18,MONTH(EDATE($E99,BB$1-1)))/100))),"")</f>
        <v/>
      </c>
      <c r="BC99" t="str" cm="1">
        <f t="array" ref="BC99">IFERROR(IF($E99&lt;44348,"",IF(INDEX(Raw_매출!$B$2:$BI$155,MATCH($A99,Raw_매출!$A$2:$A$155,0),MATCH(EDATE($E99,BC$1-1),Raw_매출!$B$1:$BI$1,0))=0,"",INDEX(Raw_매출!$B$2:$BI$155,MATCH($A99,Raw_매출!$A$2:$A$155,0),MATCH(EDATE($E99,BC$1-1),Raw_매출!$B$1:$BI$1,0))/(INDEX(요약_월별시즈널리티!$F$7:$F$18,MONTH(EDATE($E99,BC$1-1)))/100))),"")</f>
        <v/>
      </c>
      <c r="BD99" t="str" cm="1">
        <f t="array" ref="BD99">IFERROR(IF($E99&lt;44348,"",IF(INDEX(Raw_매출!$B$2:$BI$155,MATCH($A99,Raw_매출!$A$2:$A$155,0),MATCH(EDATE($E99,BD$1-1),Raw_매출!$B$1:$BI$1,0))=0,"",INDEX(Raw_매출!$B$2:$BI$155,MATCH($A99,Raw_매출!$A$2:$A$155,0),MATCH(EDATE($E99,BD$1-1),Raw_매출!$B$1:$BI$1,0))/(INDEX(요약_월별시즈널리티!$F$7:$F$18,MONTH(EDATE($E99,BD$1-1)))/100))),"")</f>
        <v/>
      </c>
      <c r="BE99" t="str" cm="1">
        <f t="array" ref="BE99">IFERROR(IF($E99&lt;44348,"",IF(INDEX(Raw_매출!$B$2:$BI$155,MATCH($A99,Raw_매출!$A$2:$A$155,0),MATCH(EDATE($E99,BE$1-1),Raw_매출!$B$1:$BI$1,0))=0,"",INDEX(Raw_매출!$B$2:$BI$155,MATCH($A99,Raw_매출!$A$2:$A$155,0),MATCH(EDATE($E99,BE$1-1),Raw_매출!$B$1:$BI$1,0))/(INDEX(요약_월별시즈널리티!$F$7:$F$18,MONTH(EDATE($E99,BE$1-1)))/100))),"")</f>
        <v/>
      </c>
      <c r="BF99" t="str" cm="1">
        <f t="array" ref="BF99">IFERROR(IF($E99&lt;44348,"",IF(INDEX(Raw_매출!$B$2:$BI$155,MATCH($A99,Raw_매출!$A$2:$A$155,0),MATCH(EDATE($E99,BF$1-1),Raw_매출!$B$1:$BI$1,0))=0,"",INDEX(Raw_매출!$B$2:$BI$155,MATCH($A99,Raw_매출!$A$2:$A$155,0),MATCH(EDATE($E99,BF$1-1),Raw_매출!$B$1:$BI$1,0))/(INDEX(요약_월별시즈널리티!$F$7:$F$18,MONTH(EDATE($E99,BF$1-1)))/100))),"")</f>
        <v/>
      </c>
      <c r="BG99" t="str" cm="1">
        <f t="array" ref="BG99">IFERROR(IF($E99&lt;44348,"",IF(INDEX(Raw_매출!$B$2:$BI$155,MATCH($A99,Raw_매출!$A$2:$A$155,0),MATCH(EDATE($E99,BG$1-1),Raw_매출!$B$1:$BI$1,0))=0,"",INDEX(Raw_매출!$B$2:$BI$155,MATCH($A99,Raw_매출!$A$2:$A$155,0),MATCH(EDATE($E99,BG$1-1),Raw_매출!$B$1:$BI$1,0))/(INDEX(요약_월별시즈널리티!$F$7:$F$18,MONTH(EDATE($E99,BG$1-1)))/100))),"")</f>
        <v/>
      </c>
      <c r="BH99" t="str" cm="1">
        <f t="array" ref="BH99">IFERROR(IF($E99&lt;44348,"",IF(INDEX(Raw_매출!$B$2:$BI$155,MATCH($A99,Raw_매출!$A$2:$A$155,0),MATCH(EDATE($E99,BH$1-1),Raw_매출!$B$1:$BI$1,0))=0,"",INDEX(Raw_매출!$B$2:$BI$155,MATCH($A99,Raw_매출!$A$2:$A$155,0),MATCH(EDATE($E99,BH$1-1),Raw_매출!$B$1:$BI$1,0))/(INDEX(요약_월별시즈널리티!$F$7:$F$18,MONTH(EDATE($E99,BH$1-1)))/100))),"")</f>
        <v/>
      </c>
      <c r="BI99" t="str" cm="1">
        <f t="array" ref="BI99">IFERROR(IF($E99&lt;44348,"",IF(INDEX(Raw_매출!$B$2:$BI$155,MATCH($A99,Raw_매출!$A$2:$A$155,0),MATCH(EDATE($E99,BI$1-1),Raw_매출!$B$1:$BI$1,0))=0,"",INDEX(Raw_매출!$B$2:$BI$155,MATCH($A99,Raw_매출!$A$2:$A$155,0),MATCH(EDATE($E99,BI$1-1),Raw_매출!$B$1:$BI$1,0))/(INDEX(요약_월별시즈널리티!$F$7:$F$18,MONTH(EDATE($E99,BI$1-1)))/100))),"")</f>
        <v/>
      </c>
      <c r="BJ99" t="str" cm="1">
        <f t="array" ref="BJ99">IFERROR(IF($E99&lt;44348,"",IF(INDEX(Raw_매출!$B$2:$BI$155,MATCH($A99,Raw_매출!$A$2:$A$155,0),MATCH(EDATE($E99,BJ$1-1),Raw_매출!$B$1:$BI$1,0))=0,"",INDEX(Raw_매출!$B$2:$BI$155,MATCH($A99,Raw_매출!$A$2:$A$155,0),MATCH(EDATE($E99,BJ$1-1),Raw_매출!$B$1:$BI$1,0))/(INDEX(요약_월별시즈널리티!$F$7:$F$18,MONTH(EDATE($E99,BJ$1-1)))/100))),"")</f>
        <v/>
      </c>
      <c r="BK99" t="str" cm="1">
        <f t="array" ref="BK99">IFERROR(IF($E99&lt;44348,"",IF(INDEX(Raw_매출!$B$2:$BI$155,MATCH($A99,Raw_매출!$A$2:$A$155,0),MATCH(EDATE($E99,BK$1-1),Raw_매출!$B$1:$BI$1,0))=0,"",INDEX(Raw_매출!$B$2:$BI$155,MATCH($A99,Raw_매출!$A$2:$A$155,0),MATCH(EDATE($E99,BK$1-1),Raw_매출!$B$1:$BI$1,0))/(INDEX(요약_월별시즈널리티!$F$7:$F$18,MONTH(EDATE($E99,BK$1-1)))/100))),"")</f>
        <v/>
      </c>
      <c r="BL99" t="str" cm="1">
        <f t="array" ref="BL99">IFERROR(IF($E99&lt;44348,"",IF(INDEX(Raw_매출!$B$2:$BI$155,MATCH($A99,Raw_매출!$A$2:$A$155,0),MATCH(EDATE($E99,BL$1-1),Raw_매출!$B$1:$BI$1,0))=0,"",INDEX(Raw_매출!$B$2:$BI$155,MATCH($A99,Raw_매출!$A$2:$A$155,0),MATCH(EDATE($E99,BL$1-1),Raw_매출!$B$1:$BI$1,0))/(INDEX(요약_월별시즈널리티!$F$7:$F$18,MONTH(EDATE($E99,BL$1-1)))/100))),"")</f>
        <v/>
      </c>
      <c r="BM99" t="str" cm="1">
        <f t="array" ref="BM99">IFERROR(IF($E99&lt;44348,"",IF(INDEX(Raw_매출!$B$2:$BI$155,MATCH($A99,Raw_매출!$A$2:$A$155,0),MATCH(EDATE($E99,BM$1-1),Raw_매출!$B$1:$BI$1,0))=0,"",INDEX(Raw_매출!$B$2:$BI$155,MATCH($A99,Raw_매출!$A$2:$A$155,0),MATCH(EDATE($E99,BM$1-1),Raw_매출!$B$1:$BI$1,0))/(INDEX(요약_월별시즈널리티!$F$7:$F$18,MONTH(EDATE($E99,BM$1-1)))/100))),"")</f>
        <v/>
      </c>
      <c r="BN99" t="str" cm="1">
        <f t="array" ref="BN99">IFERROR(IF($E99&lt;44348,"",IF(INDEX(Raw_매출!$B$2:$BI$155,MATCH($A99,Raw_매출!$A$2:$A$155,0),MATCH(EDATE($E99,BN$1-1),Raw_매출!$B$1:$BI$1,0))=0,"",INDEX(Raw_매출!$B$2:$BI$155,MATCH($A99,Raw_매출!$A$2:$A$155,0),MATCH(EDATE($E99,BN$1-1),Raw_매출!$B$1:$BI$1,0))/(INDEX(요약_월별시즈널리티!$F$7:$F$18,MONTH(EDATE($E99,BN$1-1)))/100))),"")</f>
        <v/>
      </c>
    </row>
    <row r="100" spans="1:66" x14ac:dyDescent="0.4">
      <c r="A100" t="str">
        <f>세팅!A101</f>
        <v>(1089) #경희대정문점</v>
      </c>
      <c r="B100" t="str">
        <f>세팅!B101</f>
        <v>150-1</v>
      </c>
      <c r="C100">
        <f t="shared" si="3"/>
        <v>1</v>
      </c>
      <c r="D100" t="str">
        <f t="shared" si="4"/>
        <v>1</v>
      </c>
      <c r="E100" s="1">
        <f>세팅!D101</f>
        <v>45200</v>
      </c>
      <c r="F100">
        <f t="shared" si="5"/>
        <v>5637211.2460196763</v>
      </c>
      <c r="G100" cm="1">
        <f t="array" ref="G100">IFERROR(IF($E100&lt;44348,"",IF(INDEX(Raw_매출!$B$2:$BI$155,MATCH($A100,Raw_매출!$A$2:$A$155,0),MATCH(EDATE($E100,G$1-1),Raw_매출!$B$1:$BI$1,0))=0,"",INDEX(Raw_매출!$B$2:$BI$155,MATCH($A100,Raw_매출!$A$2:$A$155,0),MATCH(EDATE($E100,G$1-1),Raw_매출!$B$1:$BI$1,0))/(INDEX(요약_월별시즈널리티!$F$7:$F$18,MONTH(EDATE($E100,G$1-1)))/100))),"")</f>
        <v>4012896.3351457636</v>
      </c>
      <c r="H100" cm="1">
        <f t="array" ref="H100">IFERROR(IF($E100&lt;44348,"",IF(INDEX(Raw_매출!$B$2:$BI$155,MATCH($A100,Raw_매출!$A$2:$A$155,0),MATCH(EDATE($E100,H$1-1),Raw_매출!$B$1:$BI$1,0))=0,"",INDEX(Raw_매출!$B$2:$BI$155,MATCH($A100,Raw_매출!$A$2:$A$155,0),MATCH(EDATE($E100,H$1-1),Raw_매출!$B$1:$BI$1,0))/(INDEX(요약_월별시즈널리티!$F$7:$F$18,MONTH(EDATE($E100,H$1-1)))/100))),"")</f>
        <v>4615525.7952124029</v>
      </c>
      <c r="I100" cm="1">
        <f t="array" ref="I100">IFERROR(IF($E100&lt;44348,"",IF(INDEX(Raw_매출!$B$2:$BI$155,MATCH($A100,Raw_매출!$A$2:$A$155,0),MATCH(EDATE($E100,I$1-1),Raw_매출!$B$1:$BI$1,0))=0,"",INDEX(Raw_매출!$B$2:$BI$155,MATCH($A100,Raw_매출!$A$2:$A$155,0),MATCH(EDATE($E100,I$1-1),Raw_매출!$B$1:$BI$1,0))/(INDEX(요약_월별시즈널리티!$F$7:$F$18,MONTH(EDATE($E100,I$1-1)))/100))),"")</f>
        <v>4882328.5476731928</v>
      </c>
      <c r="J100" s="30" cm="1">
        <f t="array" ref="J100">IFERROR(IF($E100&lt;44348,"",IF(INDEX(Raw_매출!$B$2:$BI$155,MATCH($A100,Raw_매출!$A$2:$A$155,0),MATCH(EDATE($E100,J$1-1),Raw_매출!$B$1:$BI$1,0))=0,"",INDEX(Raw_매출!$B$2:$BI$155,MATCH($A100,Raw_매출!$A$2:$A$155,0),MATCH(EDATE($E100,J$1-1),Raw_매출!$B$1:$BI$1,0))/(INDEX(요약_월별시즈널리티!$F$7:$F$18,MONTH(EDATE($E100,J$1-1)))/100))),"")</f>
        <v>4692942.0390766077</v>
      </c>
      <c r="K100" s="30" cm="1">
        <f t="array" ref="K100">IFERROR(IF($E100&lt;44348,"",IF(INDEX(Raw_매출!$B$2:$BI$155,MATCH($A100,Raw_매출!$A$2:$A$155,0),MATCH(EDATE($E100,K$1-1),Raw_매출!$B$1:$BI$1,0))=0,"",INDEX(Raw_매출!$B$2:$BI$155,MATCH($A100,Raw_매출!$A$2:$A$155,0),MATCH(EDATE($E100,K$1-1),Raw_매출!$B$1:$BI$1,0))/(INDEX(요약_월별시즈널리티!$F$7:$F$18,MONTH(EDATE($E100,K$1-1)))/100))),"")</f>
        <v>5000725.1057891399</v>
      </c>
      <c r="L100" s="30" cm="1">
        <f t="array" ref="L100">IFERROR(IF($E100&lt;44348,"",IF(INDEX(Raw_매출!$B$2:$BI$155,MATCH($A100,Raw_매출!$A$2:$A$155,0),MATCH(EDATE($E100,L$1-1),Raw_매출!$B$1:$BI$1,0))=0,"",INDEX(Raw_매출!$B$2:$BI$155,MATCH($A100,Raw_매출!$A$2:$A$155,0),MATCH(EDATE($E100,L$1-1),Raw_매출!$B$1:$BI$1,0))/(INDEX(요약_월별시즈널리티!$F$7:$F$18,MONTH(EDATE($E100,L$1-1)))/100))),"")</f>
        <v>5978084.0956466114</v>
      </c>
      <c r="M100" s="30" cm="1">
        <f t="array" ref="M100">IFERROR(IF($E100&lt;44348,"",IF(INDEX(Raw_매출!$B$2:$BI$155,MATCH($A100,Raw_매출!$A$2:$A$155,0),MATCH(EDATE($E100,M$1-1),Raw_매출!$B$1:$BI$1,0))=0,"",INDEX(Raw_매출!$B$2:$BI$155,MATCH($A100,Raw_매출!$A$2:$A$155,0),MATCH(EDATE($E100,M$1-1),Raw_매출!$B$1:$BI$1,0))/(INDEX(요약_월별시즈널리티!$F$7:$F$18,MONTH(EDATE($E100,M$1-1)))/100))),"")</f>
        <v>6430057.4833536735</v>
      </c>
      <c r="N100" s="30" cm="1">
        <f t="array" ref="N100">IFERROR(IF($E100&lt;44348,"",IF(INDEX(Raw_매출!$B$2:$BI$155,MATCH($A100,Raw_매출!$A$2:$A$155,0),MATCH(EDATE($E100,N$1-1),Raw_매출!$B$1:$BI$1,0))=0,"",INDEX(Raw_매출!$B$2:$BI$155,MATCH($A100,Raw_매출!$A$2:$A$155,0),MATCH(EDATE($E100,N$1-1),Raw_매출!$B$1:$BI$1,0))/(INDEX(요약_월별시즈널리티!$F$7:$F$18,MONTH(EDATE($E100,N$1-1)))/100))),"")</f>
        <v>5736617.874842409</v>
      </c>
      <c r="O100" s="30" cm="1">
        <f t="array" ref="O100">IFERROR(IF($E100&lt;44348,"",IF(INDEX(Raw_매출!$B$2:$BI$155,MATCH($A100,Raw_매출!$A$2:$A$155,0),MATCH(EDATE($E100,O$1-1),Raw_매출!$B$1:$BI$1,0))=0,"",INDEX(Raw_매출!$B$2:$BI$155,MATCH($A100,Raw_매출!$A$2:$A$155,0),MATCH(EDATE($E100,O$1-1),Raw_매출!$B$1:$BI$1,0))/(INDEX(요약_월별시즈널리티!$F$7:$F$18,MONTH(EDATE($E100,O$1-1)))/100))),"")</f>
        <v>5984840.8774096128</v>
      </c>
      <c r="P100" cm="1">
        <f t="array" ref="P100">IFERROR(IF($E100&lt;44348,"",IF(INDEX(Raw_매출!$B$2:$BI$155,MATCH($A100,Raw_매출!$A$2:$A$155,0),MATCH(EDATE($E100,P$1-1),Raw_매출!$B$1:$BI$1,0))=0,"",INDEX(Raw_매출!$B$2:$BI$155,MATCH($A100,Raw_매출!$A$2:$A$155,0),MATCH(EDATE($E100,P$1-1),Raw_매출!$B$1:$BI$1,0))/(INDEX(요약_월별시즈널리티!$F$7:$F$18,MONTH(EDATE($E100,P$1-1)))/100))),"")</f>
        <v>6667548.7738297926</v>
      </c>
      <c r="Q100" cm="1">
        <f t="array" ref="Q100">IFERROR(IF($E100&lt;44348,"",IF(INDEX(Raw_매출!$B$2:$BI$155,MATCH($A100,Raw_매출!$A$2:$A$155,0),MATCH(EDATE($E100,Q$1-1),Raw_매출!$B$1:$BI$1,0))=0,"",INDEX(Raw_매출!$B$2:$BI$155,MATCH($A100,Raw_매출!$A$2:$A$155,0),MATCH(EDATE($E100,Q$1-1),Raw_매출!$B$1:$BI$1,0))/(INDEX(요약_월별시즈널리티!$F$7:$F$18,MONTH(EDATE($E100,Q$1-1)))/100))),"")</f>
        <v>6151194.6814113017</v>
      </c>
      <c r="R100" cm="1">
        <f t="array" ref="R100">IFERROR(IF($E100&lt;44348,"",IF(INDEX(Raw_매출!$B$2:$BI$155,MATCH($A100,Raw_매출!$A$2:$A$155,0),MATCH(EDATE($E100,R$1-1),Raw_매출!$B$1:$BI$1,0))=0,"",INDEX(Raw_매출!$B$2:$BI$155,MATCH($A100,Raw_매출!$A$2:$A$155,0),MATCH(EDATE($E100,R$1-1),Raw_매출!$B$1:$BI$1,0))/(INDEX(요약_월별시즈널리티!$F$7:$F$18,MONTH(EDATE($E100,R$1-1)))/100))),"")</f>
        <v>6953406.9267766168</v>
      </c>
      <c r="S100" cm="1">
        <f t="array" ref="S100">IFERROR(IF($E100&lt;44348,"",IF(INDEX(Raw_매출!$B$2:$BI$155,MATCH($A100,Raw_매출!$A$2:$A$155,0),MATCH(EDATE($E100,S$1-1),Raw_매출!$B$1:$BI$1,0))=0,"",INDEX(Raw_매출!$B$2:$BI$155,MATCH($A100,Raw_매출!$A$2:$A$155,0),MATCH(EDATE($E100,S$1-1),Raw_매출!$B$1:$BI$1,0))/(INDEX(요약_월별시즈널리티!$F$7:$F$18,MONTH(EDATE($E100,S$1-1)))/100))),"")</f>
        <v>6324691.9078987129</v>
      </c>
      <c r="T100" cm="1">
        <f t="array" ref="T100">IFERROR(IF($E100&lt;44348,"",IF(INDEX(Raw_매출!$B$2:$BI$155,MATCH($A100,Raw_매출!$A$2:$A$155,0),MATCH(EDATE($E100,T$1-1),Raw_매출!$B$1:$BI$1,0))=0,"",INDEX(Raw_매출!$B$2:$BI$155,MATCH($A100,Raw_매출!$A$2:$A$155,0),MATCH(EDATE($E100,T$1-1),Raw_매출!$B$1:$BI$1,0))/(INDEX(요약_월별시즈널리티!$F$7:$F$18,MONTH(EDATE($E100,T$1-1)))/100))),"")</f>
        <v>6842116.8954112614</v>
      </c>
      <c r="U100" cm="1">
        <f t="array" ref="U100">IFERROR(IF($E100&lt;44348,"",IF(INDEX(Raw_매출!$B$2:$BI$155,MATCH($A100,Raw_매출!$A$2:$A$155,0),MATCH(EDATE($E100,U$1-1),Raw_매출!$B$1:$BI$1,0))=0,"",INDEX(Raw_매출!$B$2:$BI$155,MATCH($A100,Raw_매출!$A$2:$A$155,0),MATCH(EDATE($E100,U$1-1),Raw_매출!$B$1:$BI$1,0))/(INDEX(요약_월별시즈널리티!$F$7:$F$18,MONTH(EDATE($E100,U$1-1)))/100))),"")</f>
        <v>6837292.2541458625</v>
      </c>
      <c r="V100" cm="1">
        <f t="array" ref="V100">IFERROR(IF($E100&lt;44348,"",IF(INDEX(Raw_매출!$B$2:$BI$155,MATCH($A100,Raw_매출!$A$2:$A$155,0),MATCH(EDATE($E100,V$1-1),Raw_매출!$B$1:$BI$1,0))=0,"",INDEX(Raw_매출!$B$2:$BI$155,MATCH($A100,Raw_매출!$A$2:$A$155,0),MATCH(EDATE($E100,V$1-1),Raw_매출!$B$1:$BI$1,0))/(INDEX(요약_월별시즈널리티!$F$7:$F$18,MONTH(EDATE($E100,V$1-1)))/100))),"")</f>
        <v>6617685.4254684905</v>
      </c>
      <c r="W100" cm="1">
        <f t="array" ref="W100">IFERROR(IF($E100&lt;44348,"",IF(INDEX(Raw_매출!$B$2:$BI$155,MATCH($A100,Raw_매출!$A$2:$A$155,0),MATCH(EDATE($E100,W$1-1),Raw_매출!$B$1:$BI$1,0))=0,"",INDEX(Raw_매출!$B$2:$BI$155,MATCH($A100,Raw_매출!$A$2:$A$155,0),MATCH(EDATE($E100,W$1-1),Raw_매출!$B$1:$BI$1,0))/(INDEX(요약_월별시즈널리티!$F$7:$F$18,MONTH(EDATE($E100,W$1-1)))/100))),"")</f>
        <v>6845595.2219225001</v>
      </c>
      <c r="X100" cm="1">
        <f t="array" ref="X100">IFERROR(IF($E100&lt;44348,"",IF(INDEX(Raw_매출!$B$2:$BI$155,MATCH($A100,Raw_매출!$A$2:$A$155,0),MATCH(EDATE($E100,X$1-1),Raw_매출!$B$1:$BI$1,0))=0,"",INDEX(Raw_매출!$B$2:$BI$155,MATCH($A100,Raw_매출!$A$2:$A$155,0),MATCH(EDATE($E100,X$1-1),Raw_매출!$B$1:$BI$1,0))/(INDEX(요약_월별시즈널리티!$F$7:$F$18,MONTH(EDATE($E100,X$1-1)))/100))),"")</f>
        <v>6759176.5089011779</v>
      </c>
      <c r="Y100" cm="1">
        <f t="array" ref="Y100">IFERROR(IF($E100&lt;44348,"",IF(INDEX(Raw_매출!$B$2:$BI$155,MATCH($A100,Raw_매출!$A$2:$A$155,0),MATCH(EDATE($E100,Y$1-1),Raw_매출!$B$1:$BI$1,0))=0,"",INDEX(Raw_매출!$B$2:$BI$155,MATCH($A100,Raw_매출!$A$2:$A$155,0),MATCH(EDATE($E100,Y$1-1),Raw_매출!$B$1:$BI$1,0))/(INDEX(요약_월별시즈널리티!$F$7:$F$18,MONTH(EDATE($E100,Y$1-1)))/100))),"")</f>
        <v>6780109.6054933788</v>
      </c>
      <c r="Z100" cm="1">
        <f t="array" ref="Z100">IFERROR(IF($E100&lt;44348,"",IF(INDEX(Raw_매출!$B$2:$BI$155,MATCH($A100,Raw_매출!$A$2:$A$155,0),MATCH(EDATE($E100,Z$1-1),Raw_매출!$B$1:$BI$1,0))=0,"",INDEX(Raw_매출!$B$2:$BI$155,MATCH($A100,Raw_매출!$A$2:$A$155,0),MATCH(EDATE($E100,Z$1-1),Raw_매출!$B$1:$BI$1,0))/(INDEX(요약_월별시즈널리티!$F$7:$F$18,MONTH(EDATE($E100,Z$1-1)))/100))),"")</f>
        <v>7306939.3134583822</v>
      </c>
      <c r="AA100" cm="1">
        <f t="array" ref="AA100">IFERROR(IF($E100&lt;44348,"",IF(INDEX(Raw_매출!$B$2:$BI$155,MATCH($A100,Raw_매출!$A$2:$A$155,0),MATCH(EDATE($E100,AA$1-1),Raw_매출!$B$1:$BI$1,0))=0,"",INDEX(Raw_매출!$B$2:$BI$155,MATCH($A100,Raw_매출!$A$2:$A$155,0),MATCH(EDATE($E100,AA$1-1),Raw_매출!$B$1:$BI$1,0))/(INDEX(요약_월별시즈널리티!$F$7:$F$18,MONTH(EDATE($E100,AA$1-1)))/100))),"")</f>
        <v>7423965.7454685085</v>
      </c>
      <c r="AB100" cm="1">
        <f t="array" ref="AB100">IFERROR(IF($E100&lt;44348,"",IF(INDEX(Raw_매출!$B$2:$BI$155,MATCH($A100,Raw_매출!$A$2:$A$155,0),MATCH(EDATE($E100,AB$1-1),Raw_매출!$B$1:$BI$1,0))=0,"",INDEX(Raw_매출!$B$2:$BI$155,MATCH($A100,Raw_매출!$A$2:$A$155,0),MATCH(EDATE($E100,AB$1-1),Raw_매출!$B$1:$BI$1,0))/(INDEX(요약_월별시즈널리티!$F$7:$F$18,MONTH(EDATE($E100,AB$1-1)))/100))),"")</f>
        <v>6741489.3533977317</v>
      </c>
      <c r="AC100" cm="1">
        <f t="array" ref="AC100">IFERROR(IF($E100&lt;44348,"",IF(INDEX(Raw_매출!$B$2:$BI$155,MATCH($A100,Raw_매출!$A$2:$A$155,0),MATCH(EDATE($E100,AC$1-1),Raw_매출!$B$1:$BI$1,0))=0,"",INDEX(Raw_매출!$B$2:$BI$155,MATCH($A100,Raw_매출!$A$2:$A$155,0),MATCH(EDATE($E100,AC$1-1),Raw_매출!$B$1:$BI$1,0))/(INDEX(요약_월별시즈널리티!$F$7:$F$18,MONTH(EDATE($E100,AC$1-1)))/100))),"")</f>
        <v>7485603.1245653192</v>
      </c>
      <c r="AD100" cm="1">
        <f t="array" ref="AD100">IFERROR(IF($E100&lt;44348,"",IF(INDEX(Raw_매출!$B$2:$BI$155,MATCH($A100,Raw_매출!$A$2:$A$155,0),MATCH(EDATE($E100,AD$1-1),Raw_매출!$B$1:$BI$1,0))=0,"",INDEX(Raw_매출!$B$2:$BI$155,MATCH($A100,Raw_매출!$A$2:$A$155,0),MATCH(EDATE($E100,AD$1-1),Raw_매출!$B$1:$BI$1,0))/(INDEX(요약_월별시즈널리티!$F$7:$F$18,MONTH(EDATE($E100,AD$1-1)))/100))),"")</f>
        <v>7219577.990549379</v>
      </c>
      <c r="AE100" cm="1">
        <f t="array" ref="AE100">IFERROR(IF($E100&lt;44348,"",IF(INDEX(Raw_매출!$B$2:$BI$155,MATCH($A100,Raw_매출!$A$2:$A$155,0),MATCH(EDATE($E100,AE$1-1),Raw_매출!$B$1:$BI$1,0))=0,"",INDEX(Raw_매출!$B$2:$BI$155,MATCH($A100,Raw_매출!$A$2:$A$155,0),MATCH(EDATE($E100,AE$1-1),Raw_매출!$B$1:$BI$1,0))/(INDEX(요약_월별시즈널리티!$F$7:$F$18,MONTH(EDATE($E100,AE$1-1)))/100))),"")</f>
        <v>7755728.0662964759</v>
      </c>
      <c r="AF100" cm="1">
        <f t="array" ref="AF100">IFERROR(IF($E100&lt;44348,"",IF(INDEX(Raw_매출!$B$2:$BI$155,MATCH($A100,Raw_매출!$A$2:$A$155,0),MATCH(EDATE($E100,AF$1-1),Raw_매출!$B$1:$BI$1,0))=0,"",INDEX(Raw_매출!$B$2:$BI$155,MATCH($A100,Raw_매출!$A$2:$A$155,0),MATCH(EDATE($E100,AF$1-1),Raw_매출!$B$1:$BI$1,0))/(INDEX(요약_월별시즈널리티!$F$7:$F$18,MONTH(EDATE($E100,AF$1-1)))/100))),"")</f>
        <v>7006458.3288084492</v>
      </c>
      <c r="AG100" cm="1">
        <f t="array" ref="AG100">IFERROR(IF($E100&lt;44348,"",IF(INDEX(Raw_매출!$B$2:$BI$155,MATCH($A100,Raw_매출!$A$2:$A$155,0),MATCH(EDATE($E100,AG$1-1),Raw_매출!$B$1:$BI$1,0))=0,"",INDEX(Raw_매출!$B$2:$BI$155,MATCH($A100,Raw_매출!$A$2:$A$155,0),MATCH(EDATE($E100,AG$1-1),Raw_매출!$B$1:$BI$1,0))/(INDEX(요약_월별시즈널리티!$F$7:$F$18,MONTH(EDATE($E100,AG$1-1)))/100))),"")</f>
        <v>7108070.3567502154</v>
      </c>
      <c r="AH100" cm="1">
        <f t="array" ref="AH100">IFERROR(IF($E100&lt;44348,"",IF(INDEX(Raw_매출!$B$2:$BI$155,MATCH($A100,Raw_매출!$A$2:$A$155,0),MATCH(EDATE($E100,AH$1-1),Raw_매출!$B$1:$BI$1,0))=0,"",INDEX(Raw_매출!$B$2:$BI$155,MATCH($A100,Raw_매출!$A$2:$A$155,0),MATCH(EDATE($E100,AH$1-1),Raw_매출!$B$1:$BI$1,0))/(INDEX(요약_월별시즈널리티!$F$7:$F$18,MONTH(EDATE($E100,AH$1-1)))/100))),"")</f>
        <v>7190461.6378220823</v>
      </c>
      <c r="AI100" cm="1">
        <f t="array" ref="AI100">IFERROR(IF($E100&lt;44348,"",IF(INDEX(Raw_매출!$B$2:$BI$155,MATCH($A100,Raw_매출!$A$2:$A$155,0),MATCH(EDATE($E100,AI$1-1),Raw_매출!$B$1:$BI$1,0))=0,"",INDEX(Raw_매출!$B$2:$BI$155,MATCH($A100,Raw_매출!$A$2:$A$155,0),MATCH(EDATE($E100,AI$1-1),Raw_매출!$B$1:$BI$1,0))/(INDEX(요약_월별시즈널리티!$F$7:$F$18,MONTH(EDATE($E100,AI$1-1)))/100))),"")</f>
        <v>7194400.2470949814</v>
      </c>
      <c r="AJ100" cm="1">
        <f t="array" ref="AJ100">IFERROR(IF($E100&lt;44348,"",IF(INDEX(Raw_매출!$B$2:$BI$155,MATCH($A100,Raw_매출!$A$2:$A$155,0),MATCH(EDATE($E100,AJ$1-1),Raw_매출!$B$1:$BI$1,0))=0,"",INDEX(Raw_매출!$B$2:$BI$155,MATCH($A100,Raw_매출!$A$2:$A$155,0),MATCH(EDATE($E100,AJ$1-1),Raw_매출!$B$1:$BI$1,0))/(INDEX(요약_월별시즈널리티!$F$7:$F$18,MONTH(EDATE($E100,AJ$1-1)))/100))),"")</f>
        <v>8649852.374028042</v>
      </c>
      <c r="AK100" cm="1">
        <f t="array" ref="AK100">IFERROR(IF($E100&lt;44348,"",IF(INDEX(Raw_매출!$B$2:$BI$155,MATCH($A100,Raw_매출!$A$2:$A$155,0),MATCH(EDATE($E100,AK$1-1),Raw_매출!$B$1:$BI$1,0))=0,"",INDEX(Raw_매출!$B$2:$BI$155,MATCH($A100,Raw_매출!$A$2:$A$155,0),MATCH(EDATE($E100,AK$1-1),Raw_매출!$B$1:$BI$1,0))/(INDEX(요약_월별시즈널리티!$F$7:$F$18,MONTH(EDATE($E100,AK$1-1)))/100))),"")</f>
        <v>6367570.3816218078</v>
      </c>
      <c r="AL100" cm="1">
        <f t="array" ref="AL100">IFERROR(IF($E100&lt;44348,"",IF(INDEX(Raw_매출!$B$2:$BI$155,MATCH($A100,Raw_매출!$A$2:$A$155,0),MATCH(EDATE($E100,AL$1-1),Raw_매출!$B$1:$BI$1,0))=0,"",INDEX(Raw_매출!$B$2:$BI$155,MATCH($A100,Raw_매출!$A$2:$A$155,0),MATCH(EDATE($E100,AL$1-1),Raw_매출!$B$1:$BI$1,0))/(INDEX(요약_월별시즈널리티!$F$7:$F$18,MONTH(EDATE($E100,AL$1-1)))/100))),"")</f>
        <v>5774770.2511462662</v>
      </c>
      <c r="AM100" t="str" cm="1">
        <f t="array" ref="AM100">IFERROR(IF($E100&lt;44348,"",IF(INDEX(Raw_매출!$B$2:$BI$155,MATCH($A100,Raw_매출!$A$2:$A$155,0),MATCH(EDATE($E100,AM$1-1),Raw_매출!$B$1:$BI$1,0))=0,"",INDEX(Raw_매출!$B$2:$BI$155,MATCH($A100,Raw_매출!$A$2:$A$155,0),MATCH(EDATE($E100,AM$1-1),Raw_매출!$B$1:$BI$1,0))/(INDEX(요약_월별시즈널리티!$F$7:$F$18,MONTH(EDATE($E100,AM$1-1)))/100))),"")</f>
        <v/>
      </c>
      <c r="AN100" t="str" cm="1">
        <f t="array" ref="AN100">IFERROR(IF($E100&lt;44348,"",IF(INDEX(Raw_매출!$B$2:$BI$155,MATCH($A100,Raw_매출!$A$2:$A$155,0),MATCH(EDATE($E100,AN$1-1),Raw_매출!$B$1:$BI$1,0))=0,"",INDEX(Raw_매출!$B$2:$BI$155,MATCH($A100,Raw_매출!$A$2:$A$155,0),MATCH(EDATE($E100,AN$1-1),Raw_매출!$B$1:$BI$1,0))/(INDEX(요약_월별시즈널리티!$F$7:$F$18,MONTH(EDATE($E100,AN$1-1)))/100))),"")</f>
        <v/>
      </c>
      <c r="AO100" t="str" cm="1">
        <f t="array" ref="AO100">IFERROR(IF($E100&lt;44348,"",IF(INDEX(Raw_매출!$B$2:$BI$155,MATCH($A100,Raw_매출!$A$2:$A$155,0),MATCH(EDATE($E100,AO$1-1),Raw_매출!$B$1:$BI$1,0))=0,"",INDEX(Raw_매출!$B$2:$BI$155,MATCH($A100,Raw_매출!$A$2:$A$155,0),MATCH(EDATE($E100,AO$1-1),Raw_매출!$B$1:$BI$1,0))/(INDEX(요약_월별시즈널리티!$F$7:$F$18,MONTH(EDATE($E100,AO$1-1)))/100))),"")</f>
        <v/>
      </c>
      <c r="AP100" t="str" cm="1">
        <f t="array" ref="AP100">IFERROR(IF($E100&lt;44348,"",IF(INDEX(Raw_매출!$B$2:$BI$155,MATCH($A100,Raw_매출!$A$2:$A$155,0),MATCH(EDATE($E100,AP$1-1),Raw_매출!$B$1:$BI$1,0))=0,"",INDEX(Raw_매출!$B$2:$BI$155,MATCH($A100,Raw_매출!$A$2:$A$155,0),MATCH(EDATE($E100,AP$1-1),Raw_매출!$B$1:$BI$1,0))/(INDEX(요약_월별시즈널리티!$F$7:$F$18,MONTH(EDATE($E100,AP$1-1)))/100))),"")</f>
        <v/>
      </c>
      <c r="AQ100" t="str" cm="1">
        <f t="array" ref="AQ100">IFERROR(IF($E100&lt;44348,"",IF(INDEX(Raw_매출!$B$2:$BI$155,MATCH($A100,Raw_매출!$A$2:$A$155,0),MATCH(EDATE($E100,AQ$1-1),Raw_매출!$B$1:$BI$1,0))=0,"",INDEX(Raw_매출!$B$2:$BI$155,MATCH($A100,Raw_매출!$A$2:$A$155,0),MATCH(EDATE($E100,AQ$1-1),Raw_매출!$B$1:$BI$1,0))/(INDEX(요약_월별시즈널리티!$F$7:$F$18,MONTH(EDATE($E100,AQ$1-1)))/100))),"")</f>
        <v/>
      </c>
      <c r="AR100" t="str" cm="1">
        <f t="array" ref="AR100">IFERROR(IF($E100&lt;44348,"",IF(INDEX(Raw_매출!$B$2:$BI$155,MATCH($A100,Raw_매출!$A$2:$A$155,0),MATCH(EDATE($E100,AR$1-1),Raw_매출!$B$1:$BI$1,0))=0,"",INDEX(Raw_매출!$B$2:$BI$155,MATCH($A100,Raw_매출!$A$2:$A$155,0),MATCH(EDATE($E100,AR$1-1),Raw_매출!$B$1:$BI$1,0))/(INDEX(요약_월별시즈널리티!$F$7:$F$18,MONTH(EDATE($E100,AR$1-1)))/100))),"")</f>
        <v/>
      </c>
      <c r="AS100" t="str" cm="1">
        <f t="array" ref="AS100">IFERROR(IF($E100&lt;44348,"",IF(INDEX(Raw_매출!$B$2:$BI$155,MATCH($A100,Raw_매출!$A$2:$A$155,0),MATCH(EDATE($E100,AS$1-1),Raw_매출!$B$1:$BI$1,0))=0,"",INDEX(Raw_매출!$B$2:$BI$155,MATCH($A100,Raw_매출!$A$2:$A$155,0),MATCH(EDATE($E100,AS$1-1),Raw_매출!$B$1:$BI$1,0))/(INDEX(요약_월별시즈널리티!$F$7:$F$18,MONTH(EDATE($E100,AS$1-1)))/100))),"")</f>
        <v/>
      </c>
      <c r="AT100" t="str" cm="1">
        <f t="array" ref="AT100">IFERROR(IF($E100&lt;44348,"",IF(INDEX(Raw_매출!$B$2:$BI$155,MATCH($A100,Raw_매출!$A$2:$A$155,0),MATCH(EDATE($E100,AT$1-1),Raw_매출!$B$1:$BI$1,0))=0,"",INDEX(Raw_매출!$B$2:$BI$155,MATCH($A100,Raw_매출!$A$2:$A$155,0),MATCH(EDATE($E100,AT$1-1),Raw_매출!$B$1:$BI$1,0))/(INDEX(요약_월별시즈널리티!$F$7:$F$18,MONTH(EDATE($E100,AT$1-1)))/100))),"")</f>
        <v/>
      </c>
      <c r="AU100" t="str" cm="1">
        <f t="array" ref="AU100">IFERROR(IF($E100&lt;44348,"",IF(INDEX(Raw_매출!$B$2:$BI$155,MATCH($A100,Raw_매출!$A$2:$A$155,0),MATCH(EDATE($E100,AU$1-1),Raw_매출!$B$1:$BI$1,0))=0,"",INDEX(Raw_매출!$B$2:$BI$155,MATCH($A100,Raw_매출!$A$2:$A$155,0),MATCH(EDATE($E100,AU$1-1),Raw_매출!$B$1:$BI$1,0))/(INDEX(요약_월별시즈널리티!$F$7:$F$18,MONTH(EDATE($E100,AU$1-1)))/100))),"")</f>
        <v/>
      </c>
      <c r="AV100" t="str" cm="1">
        <f t="array" ref="AV100">IFERROR(IF($E100&lt;44348,"",IF(INDEX(Raw_매출!$B$2:$BI$155,MATCH($A100,Raw_매출!$A$2:$A$155,0),MATCH(EDATE($E100,AV$1-1),Raw_매출!$B$1:$BI$1,0))=0,"",INDEX(Raw_매출!$B$2:$BI$155,MATCH($A100,Raw_매출!$A$2:$A$155,0),MATCH(EDATE($E100,AV$1-1),Raw_매출!$B$1:$BI$1,0))/(INDEX(요약_월별시즈널리티!$F$7:$F$18,MONTH(EDATE($E100,AV$1-1)))/100))),"")</f>
        <v/>
      </c>
      <c r="AW100" t="str" cm="1">
        <f t="array" ref="AW100">IFERROR(IF($E100&lt;44348,"",IF(INDEX(Raw_매출!$B$2:$BI$155,MATCH($A100,Raw_매출!$A$2:$A$155,0),MATCH(EDATE($E100,AW$1-1),Raw_매출!$B$1:$BI$1,0))=0,"",INDEX(Raw_매출!$B$2:$BI$155,MATCH($A100,Raw_매출!$A$2:$A$155,0),MATCH(EDATE($E100,AW$1-1),Raw_매출!$B$1:$BI$1,0))/(INDEX(요약_월별시즈널리티!$F$7:$F$18,MONTH(EDATE($E100,AW$1-1)))/100))),"")</f>
        <v/>
      </c>
      <c r="AX100" t="str" cm="1">
        <f t="array" ref="AX100">IFERROR(IF($E100&lt;44348,"",IF(INDEX(Raw_매출!$B$2:$BI$155,MATCH($A100,Raw_매출!$A$2:$A$155,0),MATCH(EDATE($E100,AX$1-1),Raw_매출!$B$1:$BI$1,0))=0,"",INDEX(Raw_매출!$B$2:$BI$155,MATCH($A100,Raw_매출!$A$2:$A$155,0),MATCH(EDATE($E100,AX$1-1),Raw_매출!$B$1:$BI$1,0))/(INDEX(요약_월별시즈널리티!$F$7:$F$18,MONTH(EDATE($E100,AX$1-1)))/100))),"")</f>
        <v/>
      </c>
      <c r="AY100" t="str" cm="1">
        <f t="array" ref="AY100">IFERROR(IF($E100&lt;44348,"",IF(INDEX(Raw_매출!$B$2:$BI$155,MATCH($A100,Raw_매출!$A$2:$A$155,0),MATCH(EDATE($E100,AY$1-1),Raw_매출!$B$1:$BI$1,0))=0,"",INDEX(Raw_매출!$B$2:$BI$155,MATCH($A100,Raw_매출!$A$2:$A$155,0),MATCH(EDATE($E100,AY$1-1),Raw_매출!$B$1:$BI$1,0))/(INDEX(요약_월별시즈널리티!$F$7:$F$18,MONTH(EDATE($E100,AY$1-1)))/100))),"")</f>
        <v/>
      </c>
      <c r="AZ100" t="str" cm="1">
        <f t="array" ref="AZ100">IFERROR(IF($E100&lt;44348,"",IF(INDEX(Raw_매출!$B$2:$BI$155,MATCH($A100,Raw_매출!$A$2:$A$155,0),MATCH(EDATE($E100,AZ$1-1),Raw_매출!$B$1:$BI$1,0))=0,"",INDEX(Raw_매출!$B$2:$BI$155,MATCH($A100,Raw_매출!$A$2:$A$155,0),MATCH(EDATE($E100,AZ$1-1),Raw_매출!$B$1:$BI$1,0))/(INDEX(요약_월별시즈널리티!$F$7:$F$18,MONTH(EDATE($E100,AZ$1-1)))/100))),"")</f>
        <v/>
      </c>
      <c r="BA100" t="str" cm="1">
        <f t="array" ref="BA100">IFERROR(IF($E100&lt;44348,"",IF(INDEX(Raw_매출!$B$2:$BI$155,MATCH($A100,Raw_매출!$A$2:$A$155,0),MATCH(EDATE($E100,BA$1-1),Raw_매출!$B$1:$BI$1,0))=0,"",INDEX(Raw_매출!$B$2:$BI$155,MATCH($A100,Raw_매출!$A$2:$A$155,0),MATCH(EDATE($E100,BA$1-1),Raw_매출!$B$1:$BI$1,0))/(INDEX(요약_월별시즈널리티!$F$7:$F$18,MONTH(EDATE($E100,BA$1-1)))/100))),"")</f>
        <v/>
      </c>
      <c r="BB100" t="str" cm="1">
        <f t="array" ref="BB100">IFERROR(IF($E100&lt;44348,"",IF(INDEX(Raw_매출!$B$2:$BI$155,MATCH($A100,Raw_매출!$A$2:$A$155,0),MATCH(EDATE($E100,BB$1-1),Raw_매출!$B$1:$BI$1,0))=0,"",INDEX(Raw_매출!$B$2:$BI$155,MATCH($A100,Raw_매출!$A$2:$A$155,0),MATCH(EDATE($E100,BB$1-1),Raw_매출!$B$1:$BI$1,0))/(INDEX(요약_월별시즈널리티!$F$7:$F$18,MONTH(EDATE($E100,BB$1-1)))/100))),"")</f>
        <v/>
      </c>
      <c r="BC100" t="str" cm="1">
        <f t="array" ref="BC100">IFERROR(IF($E100&lt;44348,"",IF(INDEX(Raw_매출!$B$2:$BI$155,MATCH($A100,Raw_매출!$A$2:$A$155,0),MATCH(EDATE($E100,BC$1-1),Raw_매출!$B$1:$BI$1,0))=0,"",INDEX(Raw_매출!$B$2:$BI$155,MATCH($A100,Raw_매출!$A$2:$A$155,0),MATCH(EDATE($E100,BC$1-1),Raw_매출!$B$1:$BI$1,0))/(INDEX(요약_월별시즈널리티!$F$7:$F$18,MONTH(EDATE($E100,BC$1-1)))/100))),"")</f>
        <v/>
      </c>
      <c r="BD100" t="str" cm="1">
        <f t="array" ref="BD100">IFERROR(IF($E100&lt;44348,"",IF(INDEX(Raw_매출!$B$2:$BI$155,MATCH($A100,Raw_매출!$A$2:$A$155,0),MATCH(EDATE($E100,BD$1-1),Raw_매출!$B$1:$BI$1,0))=0,"",INDEX(Raw_매출!$B$2:$BI$155,MATCH($A100,Raw_매출!$A$2:$A$155,0),MATCH(EDATE($E100,BD$1-1),Raw_매출!$B$1:$BI$1,0))/(INDEX(요약_월별시즈널리티!$F$7:$F$18,MONTH(EDATE($E100,BD$1-1)))/100))),"")</f>
        <v/>
      </c>
      <c r="BE100" t="str" cm="1">
        <f t="array" ref="BE100">IFERROR(IF($E100&lt;44348,"",IF(INDEX(Raw_매출!$B$2:$BI$155,MATCH($A100,Raw_매출!$A$2:$A$155,0),MATCH(EDATE($E100,BE$1-1),Raw_매출!$B$1:$BI$1,0))=0,"",INDEX(Raw_매출!$B$2:$BI$155,MATCH($A100,Raw_매출!$A$2:$A$155,0),MATCH(EDATE($E100,BE$1-1),Raw_매출!$B$1:$BI$1,0))/(INDEX(요약_월별시즈널리티!$F$7:$F$18,MONTH(EDATE($E100,BE$1-1)))/100))),"")</f>
        <v/>
      </c>
      <c r="BF100" t="str" cm="1">
        <f t="array" ref="BF100">IFERROR(IF($E100&lt;44348,"",IF(INDEX(Raw_매출!$B$2:$BI$155,MATCH($A100,Raw_매출!$A$2:$A$155,0),MATCH(EDATE($E100,BF$1-1),Raw_매출!$B$1:$BI$1,0))=0,"",INDEX(Raw_매출!$B$2:$BI$155,MATCH($A100,Raw_매출!$A$2:$A$155,0),MATCH(EDATE($E100,BF$1-1),Raw_매출!$B$1:$BI$1,0))/(INDEX(요약_월별시즈널리티!$F$7:$F$18,MONTH(EDATE($E100,BF$1-1)))/100))),"")</f>
        <v/>
      </c>
      <c r="BG100" t="str" cm="1">
        <f t="array" ref="BG100">IFERROR(IF($E100&lt;44348,"",IF(INDEX(Raw_매출!$B$2:$BI$155,MATCH($A100,Raw_매출!$A$2:$A$155,0),MATCH(EDATE($E100,BG$1-1),Raw_매출!$B$1:$BI$1,0))=0,"",INDEX(Raw_매출!$B$2:$BI$155,MATCH($A100,Raw_매출!$A$2:$A$155,0),MATCH(EDATE($E100,BG$1-1),Raw_매출!$B$1:$BI$1,0))/(INDEX(요약_월별시즈널리티!$F$7:$F$18,MONTH(EDATE($E100,BG$1-1)))/100))),"")</f>
        <v/>
      </c>
      <c r="BH100" t="str" cm="1">
        <f t="array" ref="BH100">IFERROR(IF($E100&lt;44348,"",IF(INDEX(Raw_매출!$B$2:$BI$155,MATCH($A100,Raw_매출!$A$2:$A$155,0),MATCH(EDATE($E100,BH$1-1),Raw_매출!$B$1:$BI$1,0))=0,"",INDEX(Raw_매출!$B$2:$BI$155,MATCH($A100,Raw_매출!$A$2:$A$155,0),MATCH(EDATE($E100,BH$1-1),Raw_매출!$B$1:$BI$1,0))/(INDEX(요약_월별시즈널리티!$F$7:$F$18,MONTH(EDATE($E100,BH$1-1)))/100))),"")</f>
        <v/>
      </c>
      <c r="BI100" t="str" cm="1">
        <f t="array" ref="BI100">IFERROR(IF($E100&lt;44348,"",IF(INDEX(Raw_매출!$B$2:$BI$155,MATCH($A100,Raw_매출!$A$2:$A$155,0),MATCH(EDATE($E100,BI$1-1),Raw_매출!$B$1:$BI$1,0))=0,"",INDEX(Raw_매출!$B$2:$BI$155,MATCH($A100,Raw_매출!$A$2:$A$155,0),MATCH(EDATE($E100,BI$1-1),Raw_매출!$B$1:$BI$1,0))/(INDEX(요약_월별시즈널리티!$F$7:$F$18,MONTH(EDATE($E100,BI$1-1)))/100))),"")</f>
        <v/>
      </c>
      <c r="BJ100" t="str" cm="1">
        <f t="array" ref="BJ100">IFERROR(IF($E100&lt;44348,"",IF(INDEX(Raw_매출!$B$2:$BI$155,MATCH($A100,Raw_매출!$A$2:$A$155,0),MATCH(EDATE($E100,BJ$1-1),Raw_매출!$B$1:$BI$1,0))=0,"",INDEX(Raw_매출!$B$2:$BI$155,MATCH($A100,Raw_매출!$A$2:$A$155,0),MATCH(EDATE($E100,BJ$1-1),Raw_매출!$B$1:$BI$1,0))/(INDEX(요약_월별시즈널리티!$F$7:$F$18,MONTH(EDATE($E100,BJ$1-1)))/100))),"")</f>
        <v/>
      </c>
      <c r="BK100" t="str" cm="1">
        <f t="array" ref="BK100">IFERROR(IF($E100&lt;44348,"",IF(INDEX(Raw_매출!$B$2:$BI$155,MATCH($A100,Raw_매출!$A$2:$A$155,0),MATCH(EDATE($E100,BK$1-1),Raw_매출!$B$1:$BI$1,0))=0,"",INDEX(Raw_매출!$B$2:$BI$155,MATCH($A100,Raw_매출!$A$2:$A$155,0),MATCH(EDATE($E100,BK$1-1),Raw_매출!$B$1:$BI$1,0))/(INDEX(요약_월별시즈널리티!$F$7:$F$18,MONTH(EDATE($E100,BK$1-1)))/100))),"")</f>
        <v/>
      </c>
      <c r="BL100" t="str" cm="1">
        <f t="array" ref="BL100">IFERROR(IF($E100&lt;44348,"",IF(INDEX(Raw_매출!$B$2:$BI$155,MATCH($A100,Raw_매출!$A$2:$A$155,0),MATCH(EDATE($E100,BL$1-1),Raw_매출!$B$1:$BI$1,0))=0,"",INDEX(Raw_매출!$B$2:$BI$155,MATCH($A100,Raw_매출!$A$2:$A$155,0),MATCH(EDATE($E100,BL$1-1),Raw_매출!$B$1:$BI$1,0))/(INDEX(요약_월별시즈널리티!$F$7:$F$18,MONTH(EDATE($E100,BL$1-1)))/100))),"")</f>
        <v/>
      </c>
      <c r="BM100" t="str" cm="1">
        <f t="array" ref="BM100">IFERROR(IF($E100&lt;44348,"",IF(INDEX(Raw_매출!$B$2:$BI$155,MATCH($A100,Raw_매출!$A$2:$A$155,0),MATCH(EDATE($E100,BM$1-1),Raw_매출!$B$1:$BI$1,0))=0,"",INDEX(Raw_매출!$B$2:$BI$155,MATCH($A100,Raw_매출!$A$2:$A$155,0),MATCH(EDATE($E100,BM$1-1),Raw_매출!$B$1:$BI$1,0))/(INDEX(요약_월별시즈널리티!$F$7:$F$18,MONTH(EDATE($E100,BM$1-1)))/100))),"")</f>
        <v/>
      </c>
      <c r="BN100" t="str" cm="1">
        <f t="array" ref="BN100">IFERROR(IF($E100&lt;44348,"",IF(INDEX(Raw_매출!$B$2:$BI$155,MATCH($A100,Raw_매출!$A$2:$A$155,0),MATCH(EDATE($E100,BN$1-1),Raw_매출!$B$1:$BI$1,0))=0,"",INDEX(Raw_매출!$B$2:$BI$155,MATCH($A100,Raw_매출!$A$2:$A$155,0),MATCH(EDATE($E100,BN$1-1),Raw_매출!$B$1:$BI$1,0))/(INDEX(요약_월별시즈널리티!$F$7:$F$18,MONTH(EDATE($E100,BN$1-1)))/100))),"")</f>
        <v/>
      </c>
    </row>
    <row r="101" spans="1:66" x14ac:dyDescent="0.4">
      <c r="A101" t="str">
        <f>세팅!A102</f>
        <v>(1090) #중앙대후문점</v>
      </c>
      <c r="B101" t="str">
        <f>세팅!B102</f>
        <v>150-1</v>
      </c>
      <c r="C101">
        <f t="shared" si="3"/>
        <v>1</v>
      </c>
      <c r="D101" t="str">
        <f t="shared" si="4"/>
        <v>1</v>
      </c>
      <c r="E101" s="1">
        <f>세팅!D102</f>
        <v>45200</v>
      </c>
      <c r="F101">
        <f t="shared" si="5"/>
        <v>4920743.9503227388</v>
      </c>
      <c r="G101" cm="1">
        <f t="array" ref="G101">IFERROR(IF($E101&lt;44348,"",IF(INDEX(Raw_매출!$B$2:$BI$155,MATCH($A101,Raw_매출!$A$2:$A$155,0),MATCH(EDATE($E101,G$1-1),Raw_매출!$B$1:$BI$1,0))=0,"",INDEX(Raw_매출!$B$2:$BI$155,MATCH($A101,Raw_매출!$A$2:$A$155,0),MATCH(EDATE($E101,G$1-1),Raw_매출!$B$1:$BI$1,0))/(INDEX(요약_월별시즈널리티!$F$7:$F$18,MONTH(EDATE($E101,G$1-1)))/100))),"")</f>
        <v>3654289.5048104809</v>
      </c>
      <c r="H101" cm="1">
        <f t="array" ref="H101">IFERROR(IF($E101&lt;44348,"",IF(INDEX(Raw_매출!$B$2:$BI$155,MATCH($A101,Raw_매출!$A$2:$A$155,0),MATCH(EDATE($E101,H$1-1),Raw_매출!$B$1:$BI$1,0))=0,"",INDEX(Raw_매출!$B$2:$BI$155,MATCH($A101,Raw_매출!$A$2:$A$155,0),MATCH(EDATE($E101,H$1-1),Raw_매출!$B$1:$BI$1,0))/(INDEX(요약_월별시즈널리티!$F$7:$F$18,MONTH(EDATE($E101,H$1-1)))/100))),"")</f>
        <v>4183157.0269847931</v>
      </c>
      <c r="I101" cm="1">
        <f t="array" ref="I101">IFERROR(IF($E101&lt;44348,"",IF(INDEX(Raw_매출!$B$2:$BI$155,MATCH($A101,Raw_매출!$A$2:$A$155,0),MATCH(EDATE($E101,I$1-1),Raw_매출!$B$1:$BI$1,0))=0,"",INDEX(Raw_매출!$B$2:$BI$155,MATCH($A101,Raw_매출!$A$2:$A$155,0),MATCH(EDATE($E101,I$1-1),Raw_매출!$B$1:$BI$1,0))/(INDEX(요약_월별시즈널리티!$F$7:$F$18,MONTH(EDATE($E101,I$1-1)))/100))),"")</f>
        <v>4142963.0352009791</v>
      </c>
      <c r="J101" s="30" cm="1">
        <f t="array" ref="J101">IFERROR(IF($E101&lt;44348,"",IF(INDEX(Raw_매출!$B$2:$BI$155,MATCH($A101,Raw_매출!$A$2:$A$155,0),MATCH(EDATE($E101,J$1-1),Raw_매출!$B$1:$BI$1,0))=0,"",INDEX(Raw_매출!$B$2:$BI$155,MATCH($A101,Raw_매출!$A$2:$A$155,0),MATCH(EDATE($E101,J$1-1),Raw_매출!$B$1:$BI$1,0))/(INDEX(요약_월별시즈널리티!$F$7:$F$18,MONTH(EDATE($E101,J$1-1)))/100))),"")</f>
        <v>4630874.8047114797</v>
      </c>
      <c r="K101" s="30" cm="1">
        <f t="array" ref="K101">IFERROR(IF($E101&lt;44348,"",IF(INDEX(Raw_매출!$B$2:$BI$155,MATCH($A101,Raw_매출!$A$2:$A$155,0),MATCH(EDATE($E101,K$1-1),Raw_매출!$B$1:$BI$1,0))=0,"",INDEX(Raw_매출!$B$2:$BI$155,MATCH($A101,Raw_매출!$A$2:$A$155,0),MATCH(EDATE($E101,K$1-1),Raw_매출!$B$1:$BI$1,0))/(INDEX(요약_월별시즈널리티!$F$7:$F$18,MONTH(EDATE($E101,K$1-1)))/100))),"")</f>
        <v>4511330.300062445</v>
      </c>
      <c r="L101" s="30" cm="1">
        <f t="array" ref="L101">IFERROR(IF($E101&lt;44348,"",IF(INDEX(Raw_매출!$B$2:$BI$155,MATCH($A101,Raw_매출!$A$2:$A$155,0),MATCH(EDATE($E101,L$1-1),Raw_매출!$B$1:$BI$1,0))=0,"",INDEX(Raw_매출!$B$2:$BI$155,MATCH($A101,Raw_매출!$A$2:$A$155,0),MATCH(EDATE($E101,L$1-1),Raw_매출!$B$1:$BI$1,0))/(INDEX(요약_월별시즈널리티!$F$7:$F$18,MONTH(EDATE($E101,L$1-1)))/100))),"")</f>
        <v>5346212.2356488453</v>
      </c>
      <c r="M101" s="30" cm="1">
        <f t="array" ref="M101">IFERROR(IF($E101&lt;44348,"",IF(INDEX(Raw_매출!$B$2:$BI$155,MATCH($A101,Raw_매출!$A$2:$A$155,0),MATCH(EDATE($E101,M$1-1),Raw_매출!$B$1:$BI$1,0))=0,"",INDEX(Raw_매출!$B$2:$BI$155,MATCH($A101,Raw_매출!$A$2:$A$155,0),MATCH(EDATE($E101,M$1-1),Raw_매출!$B$1:$BI$1,0))/(INDEX(요약_월별시즈널리티!$F$7:$F$18,MONTH(EDATE($E101,M$1-1)))/100))),"")</f>
        <v>5220729.9921250297</v>
      </c>
      <c r="N101" s="30" cm="1">
        <f t="array" ref="N101">IFERROR(IF($E101&lt;44348,"",IF(INDEX(Raw_매출!$B$2:$BI$155,MATCH($A101,Raw_매출!$A$2:$A$155,0),MATCH(EDATE($E101,N$1-1),Raw_매출!$B$1:$BI$1,0))=0,"",INDEX(Raw_매출!$B$2:$BI$155,MATCH($A101,Raw_매출!$A$2:$A$155,0),MATCH(EDATE($E101,N$1-1),Raw_매출!$B$1:$BI$1,0))/(INDEX(요약_월별시즈널리티!$F$7:$F$18,MONTH(EDATE($E101,N$1-1)))/100))),"")</f>
        <v>4970723.1565037835</v>
      </c>
      <c r="O101" s="30" cm="1">
        <f t="array" ref="O101">IFERROR(IF($E101&lt;44348,"",IF(INDEX(Raw_매출!$B$2:$BI$155,MATCH($A101,Raw_매출!$A$2:$A$155,0),MATCH(EDATE($E101,O$1-1),Raw_매출!$B$1:$BI$1,0))=0,"",INDEX(Raw_매출!$B$2:$BI$155,MATCH($A101,Raw_매출!$A$2:$A$155,0),MATCH(EDATE($E101,O$1-1),Raw_매출!$B$1:$BI$1,0))/(INDEX(요약_월별시즈널리티!$F$7:$F$18,MONTH(EDATE($E101,O$1-1)))/100))),"")</f>
        <v>4844593.2128848517</v>
      </c>
      <c r="P101" cm="1">
        <f t="array" ref="P101">IFERROR(IF($E101&lt;44348,"",IF(INDEX(Raw_매출!$B$2:$BI$155,MATCH($A101,Raw_매출!$A$2:$A$155,0),MATCH(EDATE($E101,P$1-1),Raw_매출!$B$1:$BI$1,0))=0,"",INDEX(Raw_매출!$B$2:$BI$155,MATCH($A101,Raw_매출!$A$2:$A$155,0),MATCH(EDATE($E101,P$1-1),Raw_매출!$B$1:$BI$1,0))/(INDEX(요약_월별시즈널리티!$F$7:$F$18,MONTH(EDATE($E101,P$1-1)))/100))),"")</f>
        <v>5914768.7131122807</v>
      </c>
      <c r="Q101" cm="1">
        <f t="array" ref="Q101">IFERROR(IF($E101&lt;44348,"",IF(INDEX(Raw_매출!$B$2:$BI$155,MATCH($A101,Raw_매출!$A$2:$A$155,0),MATCH(EDATE($E101,Q$1-1),Raw_매출!$B$1:$BI$1,0))=0,"",INDEX(Raw_매출!$B$2:$BI$155,MATCH($A101,Raw_매출!$A$2:$A$155,0),MATCH(EDATE($E101,Q$1-1),Raw_매출!$B$1:$BI$1,0))/(INDEX(요약_월별시즈널리티!$F$7:$F$18,MONTH(EDATE($E101,Q$1-1)))/100))),"")</f>
        <v>4916447.939563565</v>
      </c>
      <c r="R101" cm="1">
        <f t="array" ref="R101">IFERROR(IF($E101&lt;44348,"",IF(INDEX(Raw_매출!$B$2:$BI$155,MATCH($A101,Raw_매출!$A$2:$A$155,0),MATCH(EDATE($E101,R$1-1),Raw_매출!$B$1:$BI$1,0))=0,"",INDEX(Raw_매출!$B$2:$BI$155,MATCH($A101,Raw_매출!$A$2:$A$155,0),MATCH(EDATE($E101,R$1-1),Raw_매출!$B$1:$BI$1,0))/(INDEX(요약_월별시즈널리티!$F$7:$F$18,MONTH(EDATE($E101,R$1-1)))/100))),"")</f>
        <v>4983840.9314299505</v>
      </c>
      <c r="S101" cm="1">
        <f t="array" ref="S101">IFERROR(IF($E101&lt;44348,"",IF(INDEX(Raw_매출!$B$2:$BI$155,MATCH($A101,Raw_매출!$A$2:$A$155,0),MATCH(EDATE($E101,S$1-1),Raw_매출!$B$1:$BI$1,0))=0,"",INDEX(Raw_매출!$B$2:$BI$155,MATCH($A101,Raw_매출!$A$2:$A$155,0),MATCH(EDATE($E101,S$1-1),Raw_매출!$B$1:$BI$1,0))/(INDEX(요약_월별시즈널리티!$F$7:$F$18,MONTH(EDATE($E101,S$1-1)))/100))),"")</f>
        <v>4956980.5269128196</v>
      </c>
      <c r="T101" cm="1">
        <f t="array" ref="T101">IFERROR(IF($E101&lt;44348,"",IF(INDEX(Raw_매출!$B$2:$BI$155,MATCH($A101,Raw_매출!$A$2:$A$155,0),MATCH(EDATE($E101,T$1-1),Raw_매출!$B$1:$BI$1,0))=0,"",INDEX(Raw_매출!$B$2:$BI$155,MATCH($A101,Raw_매출!$A$2:$A$155,0),MATCH(EDATE($E101,T$1-1),Raw_매출!$B$1:$BI$1,0))/(INDEX(요약_월별시즈널리티!$F$7:$F$18,MONTH(EDATE($E101,T$1-1)))/100))),"")</f>
        <v>5166525.834269274</v>
      </c>
      <c r="U101" cm="1">
        <f t="array" ref="U101">IFERROR(IF($E101&lt;44348,"",IF(INDEX(Raw_매출!$B$2:$BI$155,MATCH($A101,Raw_매출!$A$2:$A$155,0),MATCH(EDATE($E101,U$1-1),Raw_매출!$B$1:$BI$1,0))=0,"",INDEX(Raw_매출!$B$2:$BI$155,MATCH($A101,Raw_매출!$A$2:$A$155,0),MATCH(EDATE($E101,U$1-1),Raw_매출!$B$1:$BI$1,0))/(INDEX(요약_월별시즈널리티!$F$7:$F$18,MONTH(EDATE($E101,U$1-1)))/100))),"")</f>
        <v>5118848.0911917919</v>
      </c>
      <c r="V101" cm="1">
        <f t="array" ref="V101">IFERROR(IF($E101&lt;44348,"",IF(INDEX(Raw_매출!$B$2:$BI$155,MATCH($A101,Raw_매출!$A$2:$A$155,0),MATCH(EDATE($E101,V$1-1),Raw_매출!$B$1:$BI$1,0))=0,"",INDEX(Raw_매출!$B$2:$BI$155,MATCH($A101,Raw_매출!$A$2:$A$155,0),MATCH(EDATE($E101,V$1-1),Raw_매출!$B$1:$BI$1,0))/(INDEX(요약_월별시즈널리티!$F$7:$F$18,MONTH(EDATE($E101,V$1-1)))/100))),"")</f>
        <v>5912755.4379976438</v>
      </c>
      <c r="W101" cm="1">
        <f t="array" ref="W101">IFERROR(IF($E101&lt;44348,"",IF(INDEX(Raw_매출!$B$2:$BI$155,MATCH($A101,Raw_매출!$A$2:$A$155,0),MATCH(EDATE($E101,W$1-1),Raw_매출!$B$1:$BI$1,0))=0,"",INDEX(Raw_매출!$B$2:$BI$155,MATCH($A101,Raw_매출!$A$2:$A$155,0),MATCH(EDATE($E101,W$1-1),Raw_매출!$B$1:$BI$1,0))/(INDEX(요약_월별시즈널리티!$F$7:$F$18,MONTH(EDATE($E101,W$1-1)))/100))),"")</f>
        <v>6149171.5832277853</v>
      </c>
      <c r="X101" cm="1">
        <f t="array" ref="X101">IFERROR(IF($E101&lt;44348,"",IF(INDEX(Raw_매출!$B$2:$BI$155,MATCH($A101,Raw_매출!$A$2:$A$155,0),MATCH(EDATE($E101,X$1-1),Raw_매출!$B$1:$BI$1,0))=0,"",INDEX(Raw_매출!$B$2:$BI$155,MATCH($A101,Raw_매출!$A$2:$A$155,0),MATCH(EDATE($E101,X$1-1),Raw_매출!$B$1:$BI$1,0))/(INDEX(요약_월별시즈널리티!$F$7:$F$18,MONTH(EDATE($E101,X$1-1)))/100))),"")</f>
        <v>6700929.0377678331</v>
      </c>
      <c r="Y101" cm="1">
        <f t="array" ref="Y101">IFERROR(IF($E101&lt;44348,"",IF(INDEX(Raw_매출!$B$2:$BI$155,MATCH($A101,Raw_매출!$A$2:$A$155,0),MATCH(EDATE($E101,Y$1-1),Raw_매출!$B$1:$BI$1,0))=0,"",INDEX(Raw_매출!$B$2:$BI$155,MATCH($A101,Raw_매출!$A$2:$A$155,0),MATCH(EDATE($E101,Y$1-1),Raw_매출!$B$1:$BI$1,0))/(INDEX(요약_월별시즈널리티!$F$7:$F$18,MONTH(EDATE($E101,Y$1-1)))/100))),"")</f>
        <v>5892854.9371215152</v>
      </c>
      <c r="Z101" cm="1">
        <f t="array" ref="Z101">IFERROR(IF($E101&lt;44348,"",IF(INDEX(Raw_매출!$B$2:$BI$155,MATCH($A101,Raw_매출!$A$2:$A$155,0),MATCH(EDATE($E101,Z$1-1),Raw_매출!$B$1:$BI$1,0))=0,"",INDEX(Raw_매출!$B$2:$BI$155,MATCH($A101,Raw_매출!$A$2:$A$155,0),MATCH(EDATE($E101,Z$1-1),Raw_매출!$B$1:$BI$1,0))/(INDEX(요약_월별시즈널리티!$F$7:$F$18,MONTH(EDATE($E101,Z$1-1)))/100))),"")</f>
        <v>7094823.4899779819</v>
      </c>
      <c r="AA101" cm="1">
        <f t="array" ref="AA101">IFERROR(IF($E101&lt;44348,"",IF(INDEX(Raw_매출!$B$2:$BI$155,MATCH($A101,Raw_매출!$A$2:$A$155,0),MATCH(EDATE($E101,AA$1-1),Raw_매출!$B$1:$BI$1,0))=0,"",INDEX(Raw_매출!$B$2:$BI$155,MATCH($A101,Raw_매출!$A$2:$A$155,0),MATCH(EDATE($E101,AA$1-1),Raw_매출!$B$1:$BI$1,0))/(INDEX(요약_월별시즈널리티!$F$7:$F$18,MONTH(EDATE($E101,AA$1-1)))/100))),"")</f>
        <v>6381300.7095715925</v>
      </c>
      <c r="AB101" cm="1">
        <f t="array" ref="AB101">IFERROR(IF($E101&lt;44348,"",IF(INDEX(Raw_매출!$B$2:$BI$155,MATCH($A101,Raw_매출!$A$2:$A$155,0),MATCH(EDATE($E101,AB$1-1),Raw_매출!$B$1:$BI$1,0))=0,"",INDEX(Raw_매출!$B$2:$BI$155,MATCH($A101,Raw_매출!$A$2:$A$155,0),MATCH(EDATE($E101,AB$1-1),Raw_매출!$B$1:$BI$1,0))/(INDEX(요약_월별시즈널리티!$F$7:$F$18,MONTH(EDATE($E101,AB$1-1)))/100))),"")</f>
        <v>6048320.3025644487</v>
      </c>
      <c r="AC101" cm="1">
        <f t="array" ref="AC101">IFERROR(IF($E101&lt;44348,"",IF(INDEX(Raw_매출!$B$2:$BI$155,MATCH($A101,Raw_매출!$A$2:$A$155,0),MATCH(EDATE($E101,AC$1-1),Raw_매출!$B$1:$BI$1,0))=0,"",INDEX(Raw_매출!$B$2:$BI$155,MATCH($A101,Raw_매출!$A$2:$A$155,0),MATCH(EDATE($E101,AC$1-1),Raw_매출!$B$1:$BI$1,0))/(INDEX(요약_월별시즈널리티!$F$7:$F$18,MONTH(EDATE($E101,AC$1-1)))/100))),"")</f>
        <v>7051873.8325480111</v>
      </c>
      <c r="AD101" cm="1">
        <f t="array" ref="AD101">IFERROR(IF($E101&lt;44348,"",IF(INDEX(Raw_매출!$B$2:$BI$155,MATCH($A101,Raw_매출!$A$2:$A$155,0),MATCH(EDATE($E101,AD$1-1),Raw_매출!$B$1:$BI$1,0))=0,"",INDEX(Raw_매출!$B$2:$BI$155,MATCH($A101,Raw_매출!$A$2:$A$155,0),MATCH(EDATE($E101,AD$1-1),Raw_매출!$B$1:$BI$1,0))/(INDEX(요약_월별시즈널리티!$F$7:$F$18,MONTH(EDATE($E101,AD$1-1)))/100))),"")</f>
        <v>6357343.5464404654</v>
      </c>
      <c r="AE101" cm="1">
        <f t="array" ref="AE101">IFERROR(IF($E101&lt;44348,"",IF(INDEX(Raw_매출!$B$2:$BI$155,MATCH($A101,Raw_매출!$A$2:$A$155,0),MATCH(EDATE($E101,AE$1-1),Raw_매출!$B$1:$BI$1,0))=0,"",INDEX(Raw_매출!$B$2:$BI$155,MATCH($A101,Raw_매출!$A$2:$A$155,0),MATCH(EDATE($E101,AE$1-1),Raw_매출!$B$1:$BI$1,0))/(INDEX(요약_월별시즈널리티!$F$7:$F$18,MONTH(EDATE($E101,AE$1-1)))/100))),"")</f>
        <v>6547453.2492041318</v>
      </c>
      <c r="AF101" cm="1">
        <f t="array" ref="AF101">IFERROR(IF($E101&lt;44348,"",IF(INDEX(Raw_매출!$B$2:$BI$155,MATCH($A101,Raw_매출!$A$2:$A$155,0),MATCH(EDATE($E101,AF$1-1),Raw_매출!$B$1:$BI$1,0))=0,"",INDEX(Raw_매출!$B$2:$BI$155,MATCH($A101,Raw_매출!$A$2:$A$155,0),MATCH(EDATE($E101,AF$1-1),Raw_매출!$B$1:$BI$1,0))/(INDEX(요약_월별시즈널리티!$F$7:$F$18,MONTH(EDATE($E101,AF$1-1)))/100))),"")</f>
        <v>6287620.6388350111</v>
      </c>
      <c r="AG101" cm="1">
        <f t="array" ref="AG101">IFERROR(IF($E101&lt;44348,"",IF(INDEX(Raw_매출!$B$2:$BI$155,MATCH($A101,Raw_매출!$A$2:$A$155,0),MATCH(EDATE($E101,AG$1-1),Raw_매출!$B$1:$BI$1,0))=0,"",INDEX(Raw_매출!$B$2:$BI$155,MATCH($A101,Raw_매출!$A$2:$A$155,0),MATCH(EDATE($E101,AG$1-1),Raw_매출!$B$1:$BI$1,0))/(INDEX(요약_월별시즈널리티!$F$7:$F$18,MONTH(EDATE($E101,AG$1-1)))/100))),"")</f>
        <v>5897020.6155097326</v>
      </c>
      <c r="AH101" cm="1">
        <f t="array" ref="AH101">IFERROR(IF($E101&lt;44348,"",IF(INDEX(Raw_매출!$B$2:$BI$155,MATCH($A101,Raw_매출!$A$2:$A$155,0),MATCH(EDATE($E101,AH$1-1),Raw_매출!$B$1:$BI$1,0))=0,"",INDEX(Raw_매출!$B$2:$BI$155,MATCH($A101,Raw_매출!$A$2:$A$155,0),MATCH(EDATE($E101,AH$1-1),Raw_매출!$B$1:$BI$1,0))/(INDEX(요약_월별시즈널리티!$F$7:$F$18,MONTH(EDATE($E101,AH$1-1)))/100))),"")</f>
        <v>7032052.8733008169</v>
      </c>
      <c r="AI101" cm="1">
        <f t="array" ref="AI101">IFERROR(IF($E101&lt;44348,"",IF(INDEX(Raw_매출!$B$2:$BI$155,MATCH($A101,Raw_매출!$A$2:$A$155,0),MATCH(EDATE($E101,AI$1-1),Raw_매출!$B$1:$BI$1,0))=0,"",INDEX(Raw_매출!$B$2:$BI$155,MATCH($A101,Raw_매출!$A$2:$A$155,0),MATCH(EDATE($E101,AI$1-1),Raw_매출!$B$1:$BI$1,0))/(INDEX(요약_월별시즈널리티!$F$7:$F$18,MONTH(EDATE($E101,AI$1-1)))/100))),"")</f>
        <v>7087148.6339126946</v>
      </c>
      <c r="AJ101" cm="1">
        <f t="array" ref="AJ101">IFERROR(IF($E101&lt;44348,"",IF(INDEX(Raw_매출!$B$2:$BI$155,MATCH($A101,Raw_매출!$A$2:$A$155,0),MATCH(EDATE($E101,AJ$1-1),Raw_매출!$B$1:$BI$1,0))=0,"",INDEX(Raw_매출!$B$2:$BI$155,MATCH($A101,Raw_매출!$A$2:$A$155,0),MATCH(EDATE($E101,AJ$1-1),Raw_매출!$B$1:$BI$1,0))/(INDEX(요약_월별시즈널리티!$F$7:$F$18,MONTH(EDATE($E101,AJ$1-1)))/100))),"")</f>
        <v>7750309.7147054905</v>
      </c>
      <c r="AK101" cm="1">
        <f t="array" ref="AK101">IFERROR(IF($E101&lt;44348,"",IF(INDEX(Raw_매출!$B$2:$BI$155,MATCH($A101,Raw_매출!$A$2:$A$155,0),MATCH(EDATE($E101,AK$1-1),Raw_매출!$B$1:$BI$1,0))=0,"",INDEX(Raw_매출!$B$2:$BI$155,MATCH($A101,Raw_매출!$A$2:$A$155,0),MATCH(EDATE($E101,AK$1-1),Raw_매출!$B$1:$BI$1,0))/(INDEX(요약_월별시즈널리티!$F$7:$F$18,MONTH(EDATE($E101,AK$1-1)))/100))),"")</f>
        <v>7652752.8620174928</v>
      </c>
      <c r="AL101" cm="1">
        <f t="array" ref="AL101">IFERROR(IF($E101&lt;44348,"",IF(INDEX(Raw_매출!$B$2:$BI$155,MATCH($A101,Raw_매출!$A$2:$A$155,0),MATCH(EDATE($E101,AL$1-1),Raw_매출!$B$1:$BI$1,0))=0,"",INDEX(Raw_매출!$B$2:$BI$155,MATCH($A101,Raw_매출!$A$2:$A$155,0),MATCH(EDATE($E101,AL$1-1),Raw_매출!$B$1:$BI$1,0))/(INDEX(요약_월별시즈널리티!$F$7:$F$18,MONTH(EDATE($E101,AL$1-1)))/100))),"")</f>
        <v>7640440.4336866271</v>
      </c>
      <c r="AM101" t="str" cm="1">
        <f t="array" ref="AM101">IFERROR(IF($E101&lt;44348,"",IF(INDEX(Raw_매출!$B$2:$BI$155,MATCH($A101,Raw_매출!$A$2:$A$155,0),MATCH(EDATE($E101,AM$1-1),Raw_매출!$B$1:$BI$1,0))=0,"",INDEX(Raw_매출!$B$2:$BI$155,MATCH($A101,Raw_매출!$A$2:$A$155,0),MATCH(EDATE($E101,AM$1-1),Raw_매출!$B$1:$BI$1,0))/(INDEX(요약_월별시즈널리티!$F$7:$F$18,MONTH(EDATE($E101,AM$1-1)))/100))),"")</f>
        <v/>
      </c>
      <c r="AN101" t="str" cm="1">
        <f t="array" ref="AN101">IFERROR(IF($E101&lt;44348,"",IF(INDEX(Raw_매출!$B$2:$BI$155,MATCH($A101,Raw_매출!$A$2:$A$155,0),MATCH(EDATE($E101,AN$1-1),Raw_매출!$B$1:$BI$1,0))=0,"",INDEX(Raw_매출!$B$2:$BI$155,MATCH($A101,Raw_매출!$A$2:$A$155,0),MATCH(EDATE($E101,AN$1-1),Raw_매출!$B$1:$BI$1,0))/(INDEX(요약_월별시즈널리티!$F$7:$F$18,MONTH(EDATE($E101,AN$1-1)))/100))),"")</f>
        <v/>
      </c>
      <c r="AO101" t="str" cm="1">
        <f t="array" ref="AO101">IFERROR(IF($E101&lt;44348,"",IF(INDEX(Raw_매출!$B$2:$BI$155,MATCH($A101,Raw_매출!$A$2:$A$155,0),MATCH(EDATE($E101,AO$1-1),Raw_매출!$B$1:$BI$1,0))=0,"",INDEX(Raw_매출!$B$2:$BI$155,MATCH($A101,Raw_매출!$A$2:$A$155,0),MATCH(EDATE($E101,AO$1-1),Raw_매출!$B$1:$BI$1,0))/(INDEX(요약_월별시즈널리티!$F$7:$F$18,MONTH(EDATE($E101,AO$1-1)))/100))),"")</f>
        <v/>
      </c>
      <c r="AP101" t="str" cm="1">
        <f t="array" ref="AP101">IFERROR(IF($E101&lt;44348,"",IF(INDEX(Raw_매출!$B$2:$BI$155,MATCH($A101,Raw_매출!$A$2:$A$155,0),MATCH(EDATE($E101,AP$1-1),Raw_매출!$B$1:$BI$1,0))=0,"",INDEX(Raw_매출!$B$2:$BI$155,MATCH($A101,Raw_매출!$A$2:$A$155,0),MATCH(EDATE($E101,AP$1-1),Raw_매출!$B$1:$BI$1,0))/(INDEX(요약_월별시즈널리티!$F$7:$F$18,MONTH(EDATE($E101,AP$1-1)))/100))),"")</f>
        <v/>
      </c>
      <c r="AQ101" t="str" cm="1">
        <f t="array" ref="AQ101">IFERROR(IF($E101&lt;44348,"",IF(INDEX(Raw_매출!$B$2:$BI$155,MATCH($A101,Raw_매출!$A$2:$A$155,0),MATCH(EDATE($E101,AQ$1-1),Raw_매출!$B$1:$BI$1,0))=0,"",INDEX(Raw_매출!$B$2:$BI$155,MATCH($A101,Raw_매출!$A$2:$A$155,0),MATCH(EDATE($E101,AQ$1-1),Raw_매출!$B$1:$BI$1,0))/(INDEX(요약_월별시즈널리티!$F$7:$F$18,MONTH(EDATE($E101,AQ$1-1)))/100))),"")</f>
        <v/>
      </c>
      <c r="AR101" t="str" cm="1">
        <f t="array" ref="AR101">IFERROR(IF($E101&lt;44348,"",IF(INDEX(Raw_매출!$B$2:$BI$155,MATCH($A101,Raw_매출!$A$2:$A$155,0),MATCH(EDATE($E101,AR$1-1),Raw_매출!$B$1:$BI$1,0))=0,"",INDEX(Raw_매출!$B$2:$BI$155,MATCH($A101,Raw_매출!$A$2:$A$155,0),MATCH(EDATE($E101,AR$1-1),Raw_매출!$B$1:$BI$1,0))/(INDEX(요약_월별시즈널리티!$F$7:$F$18,MONTH(EDATE($E101,AR$1-1)))/100))),"")</f>
        <v/>
      </c>
      <c r="AS101" t="str" cm="1">
        <f t="array" ref="AS101">IFERROR(IF($E101&lt;44348,"",IF(INDEX(Raw_매출!$B$2:$BI$155,MATCH($A101,Raw_매출!$A$2:$A$155,0),MATCH(EDATE($E101,AS$1-1),Raw_매출!$B$1:$BI$1,0))=0,"",INDEX(Raw_매출!$B$2:$BI$155,MATCH($A101,Raw_매출!$A$2:$A$155,0),MATCH(EDATE($E101,AS$1-1),Raw_매출!$B$1:$BI$1,0))/(INDEX(요약_월별시즈널리티!$F$7:$F$18,MONTH(EDATE($E101,AS$1-1)))/100))),"")</f>
        <v/>
      </c>
      <c r="AT101" t="str" cm="1">
        <f t="array" ref="AT101">IFERROR(IF($E101&lt;44348,"",IF(INDEX(Raw_매출!$B$2:$BI$155,MATCH($A101,Raw_매출!$A$2:$A$155,0),MATCH(EDATE($E101,AT$1-1),Raw_매출!$B$1:$BI$1,0))=0,"",INDEX(Raw_매출!$B$2:$BI$155,MATCH($A101,Raw_매출!$A$2:$A$155,0),MATCH(EDATE($E101,AT$1-1),Raw_매출!$B$1:$BI$1,0))/(INDEX(요약_월별시즈널리티!$F$7:$F$18,MONTH(EDATE($E101,AT$1-1)))/100))),"")</f>
        <v/>
      </c>
      <c r="AU101" t="str" cm="1">
        <f t="array" ref="AU101">IFERROR(IF($E101&lt;44348,"",IF(INDEX(Raw_매출!$B$2:$BI$155,MATCH($A101,Raw_매출!$A$2:$A$155,0),MATCH(EDATE($E101,AU$1-1),Raw_매출!$B$1:$BI$1,0))=0,"",INDEX(Raw_매출!$B$2:$BI$155,MATCH($A101,Raw_매출!$A$2:$A$155,0),MATCH(EDATE($E101,AU$1-1),Raw_매출!$B$1:$BI$1,0))/(INDEX(요약_월별시즈널리티!$F$7:$F$18,MONTH(EDATE($E101,AU$1-1)))/100))),"")</f>
        <v/>
      </c>
      <c r="AV101" t="str" cm="1">
        <f t="array" ref="AV101">IFERROR(IF($E101&lt;44348,"",IF(INDEX(Raw_매출!$B$2:$BI$155,MATCH($A101,Raw_매출!$A$2:$A$155,0),MATCH(EDATE($E101,AV$1-1),Raw_매출!$B$1:$BI$1,0))=0,"",INDEX(Raw_매출!$B$2:$BI$155,MATCH($A101,Raw_매출!$A$2:$A$155,0),MATCH(EDATE($E101,AV$1-1),Raw_매출!$B$1:$BI$1,0))/(INDEX(요약_월별시즈널리티!$F$7:$F$18,MONTH(EDATE($E101,AV$1-1)))/100))),"")</f>
        <v/>
      </c>
      <c r="AW101" t="str" cm="1">
        <f t="array" ref="AW101">IFERROR(IF($E101&lt;44348,"",IF(INDEX(Raw_매출!$B$2:$BI$155,MATCH($A101,Raw_매출!$A$2:$A$155,0),MATCH(EDATE($E101,AW$1-1),Raw_매출!$B$1:$BI$1,0))=0,"",INDEX(Raw_매출!$B$2:$BI$155,MATCH($A101,Raw_매출!$A$2:$A$155,0),MATCH(EDATE($E101,AW$1-1),Raw_매출!$B$1:$BI$1,0))/(INDEX(요약_월별시즈널리티!$F$7:$F$18,MONTH(EDATE($E101,AW$1-1)))/100))),"")</f>
        <v/>
      </c>
      <c r="AX101" t="str" cm="1">
        <f t="array" ref="AX101">IFERROR(IF($E101&lt;44348,"",IF(INDEX(Raw_매출!$B$2:$BI$155,MATCH($A101,Raw_매출!$A$2:$A$155,0),MATCH(EDATE($E101,AX$1-1),Raw_매출!$B$1:$BI$1,0))=0,"",INDEX(Raw_매출!$B$2:$BI$155,MATCH($A101,Raw_매출!$A$2:$A$155,0),MATCH(EDATE($E101,AX$1-1),Raw_매출!$B$1:$BI$1,0))/(INDEX(요약_월별시즈널리티!$F$7:$F$18,MONTH(EDATE($E101,AX$1-1)))/100))),"")</f>
        <v/>
      </c>
      <c r="AY101" t="str" cm="1">
        <f t="array" ref="AY101">IFERROR(IF($E101&lt;44348,"",IF(INDEX(Raw_매출!$B$2:$BI$155,MATCH($A101,Raw_매출!$A$2:$A$155,0),MATCH(EDATE($E101,AY$1-1),Raw_매출!$B$1:$BI$1,0))=0,"",INDEX(Raw_매출!$B$2:$BI$155,MATCH($A101,Raw_매출!$A$2:$A$155,0),MATCH(EDATE($E101,AY$1-1),Raw_매출!$B$1:$BI$1,0))/(INDEX(요약_월별시즈널리티!$F$7:$F$18,MONTH(EDATE($E101,AY$1-1)))/100))),"")</f>
        <v/>
      </c>
      <c r="AZ101" t="str" cm="1">
        <f t="array" ref="AZ101">IFERROR(IF($E101&lt;44348,"",IF(INDEX(Raw_매출!$B$2:$BI$155,MATCH($A101,Raw_매출!$A$2:$A$155,0),MATCH(EDATE($E101,AZ$1-1),Raw_매출!$B$1:$BI$1,0))=0,"",INDEX(Raw_매출!$B$2:$BI$155,MATCH($A101,Raw_매출!$A$2:$A$155,0),MATCH(EDATE($E101,AZ$1-1),Raw_매출!$B$1:$BI$1,0))/(INDEX(요약_월별시즈널리티!$F$7:$F$18,MONTH(EDATE($E101,AZ$1-1)))/100))),"")</f>
        <v/>
      </c>
      <c r="BA101" t="str" cm="1">
        <f t="array" ref="BA101">IFERROR(IF($E101&lt;44348,"",IF(INDEX(Raw_매출!$B$2:$BI$155,MATCH($A101,Raw_매출!$A$2:$A$155,0),MATCH(EDATE($E101,BA$1-1),Raw_매출!$B$1:$BI$1,0))=0,"",INDEX(Raw_매출!$B$2:$BI$155,MATCH($A101,Raw_매출!$A$2:$A$155,0),MATCH(EDATE($E101,BA$1-1),Raw_매출!$B$1:$BI$1,0))/(INDEX(요약_월별시즈널리티!$F$7:$F$18,MONTH(EDATE($E101,BA$1-1)))/100))),"")</f>
        <v/>
      </c>
      <c r="BB101" t="str" cm="1">
        <f t="array" ref="BB101">IFERROR(IF($E101&lt;44348,"",IF(INDEX(Raw_매출!$B$2:$BI$155,MATCH($A101,Raw_매출!$A$2:$A$155,0),MATCH(EDATE($E101,BB$1-1),Raw_매출!$B$1:$BI$1,0))=0,"",INDEX(Raw_매출!$B$2:$BI$155,MATCH($A101,Raw_매출!$A$2:$A$155,0),MATCH(EDATE($E101,BB$1-1),Raw_매출!$B$1:$BI$1,0))/(INDEX(요약_월별시즈널리티!$F$7:$F$18,MONTH(EDATE($E101,BB$1-1)))/100))),"")</f>
        <v/>
      </c>
      <c r="BC101" t="str" cm="1">
        <f t="array" ref="BC101">IFERROR(IF($E101&lt;44348,"",IF(INDEX(Raw_매출!$B$2:$BI$155,MATCH($A101,Raw_매출!$A$2:$A$155,0),MATCH(EDATE($E101,BC$1-1),Raw_매출!$B$1:$BI$1,0))=0,"",INDEX(Raw_매출!$B$2:$BI$155,MATCH($A101,Raw_매출!$A$2:$A$155,0),MATCH(EDATE($E101,BC$1-1),Raw_매출!$B$1:$BI$1,0))/(INDEX(요약_월별시즈널리티!$F$7:$F$18,MONTH(EDATE($E101,BC$1-1)))/100))),"")</f>
        <v/>
      </c>
      <c r="BD101" t="str" cm="1">
        <f t="array" ref="BD101">IFERROR(IF($E101&lt;44348,"",IF(INDEX(Raw_매출!$B$2:$BI$155,MATCH($A101,Raw_매출!$A$2:$A$155,0),MATCH(EDATE($E101,BD$1-1),Raw_매출!$B$1:$BI$1,0))=0,"",INDEX(Raw_매출!$B$2:$BI$155,MATCH($A101,Raw_매출!$A$2:$A$155,0),MATCH(EDATE($E101,BD$1-1),Raw_매출!$B$1:$BI$1,0))/(INDEX(요약_월별시즈널리티!$F$7:$F$18,MONTH(EDATE($E101,BD$1-1)))/100))),"")</f>
        <v/>
      </c>
      <c r="BE101" t="str" cm="1">
        <f t="array" ref="BE101">IFERROR(IF($E101&lt;44348,"",IF(INDEX(Raw_매출!$B$2:$BI$155,MATCH($A101,Raw_매출!$A$2:$A$155,0),MATCH(EDATE($E101,BE$1-1),Raw_매출!$B$1:$BI$1,0))=0,"",INDEX(Raw_매출!$B$2:$BI$155,MATCH($A101,Raw_매출!$A$2:$A$155,0),MATCH(EDATE($E101,BE$1-1),Raw_매출!$B$1:$BI$1,0))/(INDEX(요약_월별시즈널리티!$F$7:$F$18,MONTH(EDATE($E101,BE$1-1)))/100))),"")</f>
        <v/>
      </c>
      <c r="BF101" t="str" cm="1">
        <f t="array" ref="BF101">IFERROR(IF($E101&lt;44348,"",IF(INDEX(Raw_매출!$B$2:$BI$155,MATCH($A101,Raw_매출!$A$2:$A$155,0),MATCH(EDATE($E101,BF$1-1),Raw_매출!$B$1:$BI$1,0))=0,"",INDEX(Raw_매출!$B$2:$BI$155,MATCH($A101,Raw_매출!$A$2:$A$155,0),MATCH(EDATE($E101,BF$1-1),Raw_매출!$B$1:$BI$1,0))/(INDEX(요약_월별시즈널리티!$F$7:$F$18,MONTH(EDATE($E101,BF$1-1)))/100))),"")</f>
        <v/>
      </c>
      <c r="BG101" t="str" cm="1">
        <f t="array" ref="BG101">IFERROR(IF($E101&lt;44348,"",IF(INDEX(Raw_매출!$B$2:$BI$155,MATCH($A101,Raw_매출!$A$2:$A$155,0),MATCH(EDATE($E101,BG$1-1),Raw_매출!$B$1:$BI$1,0))=0,"",INDEX(Raw_매출!$B$2:$BI$155,MATCH($A101,Raw_매출!$A$2:$A$155,0),MATCH(EDATE($E101,BG$1-1),Raw_매출!$B$1:$BI$1,0))/(INDEX(요약_월별시즈널리티!$F$7:$F$18,MONTH(EDATE($E101,BG$1-1)))/100))),"")</f>
        <v/>
      </c>
      <c r="BH101" t="str" cm="1">
        <f t="array" ref="BH101">IFERROR(IF($E101&lt;44348,"",IF(INDEX(Raw_매출!$B$2:$BI$155,MATCH($A101,Raw_매출!$A$2:$A$155,0),MATCH(EDATE($E101,BH$1-1),Raw_매출!$B$1:$BI$1,0))=0,"",INDEX(Raw_매출!$B$2:$BI$155,MATCH($A101,Raw_매출!$A$2:$A$155,0),MATCH(EDATE($E101,BH$1-1),Raw_매출!$B$1:$BI$1,0))/(INDEX(요약_월별시즈널리티!$F$7:$F$18,MONTH(EDATE($E101,BH$1-1)))/100))),"")</f>
        <v/>
      </c>
      <c r="BI101" t="str" cm="1">
        <f t="array" ref="BI101">IFERROR(IF($E101&lt;44348,"",IF(INDEX(Raw_매출!$B$2:$BI$155,MATCH($A101,Raw_매출!$A$2:$A$155,0),MATCH(EDATE($E101,BI$1-1),Raw_매출!$B$1:$BI$1,0))=0,"",INDEX(Raw_매출!$B$2:$BI$155,MATCH($A101,Raw_매출!$A$2:$A$155,0),MATCH(EDATE($E101,BI$1-1),Raw_매출!$B$1:$BI$1,0))/(INDEX(요약_월별시즈널리티!$F$7:$F$18,MONTH(EDATE($E101,BI$1-1)))/100))),"")</f>
        <v/>
      </c>
      <c r="BJ101" t="str" cm="1">
        <f t="array" ref="BJ101">IFERROR(IF($E101&lt;44348,"",IF(INDEX(Raw_매출!$B$2:$BI$155,MATCH($A101,Raw_매출!$A$2:$A$155,0),MATCH(EDATE($E101,BJ$1-1),Raw_매출!$B$1:$BI$1,0))=0,"",INDEX(Raw_매출!$B$2:$BI$155,MATCH($A101,Raw_매출!$A$2:$A$155,0),MATCH(EDATE($E101,BJ$1-1),Raw_매출!$B$1:$BI$1,0))/(INDEX(요약_월별시즈널리티!$F$7:$F$18,MONTH(EDATE($E101,BJ$1-1)))/100))),"")</f>
        <v/>
      </c>
      <c r="BK101" t="str" cm="1">
        <f t="array" ref="BK101">IFERROR(IF($E101&lt;44348,"",IF(INDEX(Raw_매출!$B$2:$BI$155,MATCH($A101,Raw_매출!$A$2:$A$155,0),MATCH(EDATE($E101,BK$1-1),Raw_매출!$B$1:$BI$1,0))=0,"",INDEX(Raw_매출!$B$2:$BI$155,MATCH($A101,Raw_매출!$A$2:$A$155,0),MATCH(EDATE($E101,BK$1-1),Raw_매출!$B$1:$BI$1,0))/(INDEX(요약_월별시즈널리티!$F$7:$F$18,MONTH(EDATE($E101,BK$1-1)))/100))),"")</f>
        <v/>
      </c>
      <c r="BL101" t="str" cm="1">
        <f t="array" ref="BL101">IFERROR(IF($E101&lt;44348,"",IF(INDEX(Raw_매출!$B$2:$BI$155,MATCH($A101,Raw_매출!$A$2:$A$155,0),MATCH(EDATE($E101,BL$1-1),Raw_매출!$B$1:$BI$1,0))=0,"",INDEX(Raw_매출!$B$2:$BI$155,MATCH($A101,Raw_매출!$A$2:$A$155,0),MATCH(EDATE($E101,BL$1-1),Raw_매출!$B$1:$BI$1,0))/(INDEX(요약_월별시즈널리티!$F$7:$F$18,MONTH(EDATE($E101,BL$1-1)))/100))),"")</f>
        <v/>
      </c>
      <c r="BM101" t="str" cm="1">
        <f t="array" ref="BM101">IFERROR(IF($E101&lt;44348,"",IF(INDEX(Raw_매출!$B$2:$BI$155,MATCH($A101,Raw_매출!$A$2:$A$155,0),MATCH(EDATE($E101,BM$1-1),Raw_매출!$B$1:$BI$1,0))=0,"",INDEX(Raw_매출!$B$2:$BI$155,MATCH($A101,Raw_매출!$A$2:$A$155,0),MATCH(EDATE($E101,BM$1-1),Raw_매출!$B$1:$BI$1,0))/(INDEX(요약_월별시즈널리티!$F$7:$F$18,MONTH(EDATE($E101,BM$1-1)))/100))),"")</f>
        <v/>
      </c>
      <c r="BN101" t="str" cm="1">
        <f t="array" ref="BN101">IFERROR(IF($E101&lt;44348,"",IF(INDEX(Raw_매출!$B$2:$BI$155,MATCH($A101,Raw_매출!$A$2:$A$155,0),MATCH(EDATE($E101,BN$1-1),Raw_매출!$B$1:$BI$1,0))=0,"",INDEX(Raw_매출!$B$2:$BI$155,MATCH($A101,Raw_매출!$A$2:$A$155,0),MATCH(EDATE($E101,BN$1-1),Raw_매출!$B$1:$BI$1,0))/(INDEX(요약_월별시즈널리티!$F$7:$F$18,MONTH(EDATE($E101,BN$1-1)))/100))),"")</f>
        <v/>
      </c>
    </row>
    <row r="102" spans="1:66" x14ac:dyDescent="0.4">
      <c r="A102" t="str">
        <f>세팅!A103</f>
        <v>(1091) #선릉역점</v>
      </c>
      <c r="B102" t="str">
        <f>세팅!B103</f>
        <v>150-2</v>
      </c>
      <c r="C102">
        <f t="shared" si="3"/>
        <v>2</v>
      </c>
      <c r="D102" t="str">
        <f t="shared" si="4"/>
        <v>2</v>
      </c>
      <c r="E102" s="1">
        <f>세팅!D103</f>
        <v>45200</v>
      </c>
      <c r="F102">
        <f t="shared" si="5"/>
        <v>5167974.0052194102</v>
      </c>
      <c r="G102" cm="1">
        <f t="array" ref="G102">IFERROR(IF($E102&lt;44348,"",IF(INDEX(Raw_매출!$B$2:$BI$155,MATCH($A102,Raw_매출!$A$2:$A$155,0),MATCH(EDATE($E102,G$1-1),Raw_매출!$B$1:$BI$1,0))=0,"",INDEX(Raw_매출!$B$2:$BI$155,MATCH($A102,Raw_매출!$A$2:$A$155,0),MATCH(EDATE($E102,G$1-1),Raw_매출!$B$1:$BI$1,0))/(INDEX(요약_월별시즈널리티!$F$7:$F$18,MONTH(EDATE($E102,G$1-1)))/100))),"")</f>
        <v>2576202.4712251364</v>
      </c>
      <c r="H102" cm="1">
        <f t="array" ref="H102">IFERROR(IF($E102&lt;44348,"",IF(INDEX(Raw_매출!$B$2:$BI$155,MATCH($A102,Raw_매출!$A$2:$A$155,0),MATCH(EDATE($E102,H$1-1),Raw_매출!$B$1:$BI$1,0))=0,"",INDEX(Raw_매출!$B$2:$BI$155,MATCH($A102,Raw_매출!$A$2:$A$155,0),MATCH(EDATE($E102,H$1-1),Raw_매출!$B$1:$BI$1,0))/(INDEX(요약_월별시즈널리티!$F$7:$F$18,MONTH(EDATE($E102,H$1-1)))/100))),"")</f>
        <v>3373292.8165960917</v>
      </c>
      <c r="I102" cm="1">
        <f t="array" ref="I102">IFERROR(IF($E102&lt;44348,"",IF(INDEX(Raw_매출!$B$2:$BI$155,MATCH($A102,Raw_매출!$A$2:$A$155,0),MATCH(EDATE($E102,I$1-1),Raw_매출!$B$1:$BI$1,0))=0,"",INDEX(Raw_매출!$B$2:$BI$155,MATCH($A102,Raw_매출!$A$2:$A$155,0),MATCH(EDATE($E102,I$1-1),Raw_매출!$B$1:$BI$1,0))/(INDEX(요약_월별시즈널리티!$F$7:$F$18,MONTH(EDATE($E102,I$1-1)))/100))),"")</f>
        <v>4837327.8980266517</v>
      </c>
      <c r="J102" s="30" cm="1">
        <f t="array" ref="J102">IFERROR(IF($E102&lt;44348,"",IF(INDEX(Raw_매출!$B$2:$BI$155,MATCH($A102,Raw_매출!$A$2:$A$155,0),MATCH(EDATE($E102,J$1-1),Raw_매출!$B$1:$BI$1,0))=0,"",INDEX(Raw_매출!$B$2:$BI$155,MATCH($A102,Raw_매출!$A$2:$A$155,0),MATCH(EDATE($E102,J$1-1),Raw_매출!$B$1:$BI$1,0))/(INDEX(요약_월별시즈널리티!$F$7:$F$18,MONTH(EDATE($E102,J$1-1)))/100))),"")</f>
        <v>5652325.7167420508</v>
      </c>
      <c r="K102" s="30" cm="1">
        <f t="array" ref="K102">IFERROR(IF($E102&lt;44348,"",IF(INDEX(Raw_매출!$B$2:$BI$155,MATCH($A102,Raw_매출!$A$2:$A$155,0),MATCH(EDATE($E102,K$1-1),Raw_매출!$B$1:$BI$1,0))=0,"",INDEX(Raw_매출!$B$2:$BI$155,MATCH($A102,Raw_매출!$A$2:$A$155,0),MATCH(EDATE($E102,K$1-1),Raw_매출!$B$1:$BI$1,0))/(INDEX(요약_월별시즈널리티!$F$7:$F$18,MONTH(EDATE($E102,K$1-1)))/100))),"")</f>
        <v>4633827.3029503999</v>
      </c>
      <c r="L102" s="30" cm="1">
        <f t="array" ref="L102">IFERROR(IF($E102&lt;44348,"",IF(INDEX(Raw_매출!$B$2:$BI$155,MATCH($A102,Raw_매출!$A$2:$A$155,0),MATCH(EDATE($E102,L$1-1),Raw_매출!$B$1:$BI$1,0))=0,"",INDEX(Raw_매출!$B$2:$BI$155,MATCH($A102,Raw_매출!$A$2:$A$155,0),MATCH(EDATE($E102,L$1-1),Raw_매출!$B$1:$BI$1,0))/(INDEX(요약_월별시즈널리티!$F$7:$F$18,MONTH(EDATE($E102,L$1-1)))/100))),"")</f>
        <v>4747004.2402053624</v>
      </c>
      <c r="M102" s="30" cm="1">
        <f t="array" ref="M102">IFERROR(IF($E102&lt;44348,"",IF(INDEX(Raw_매출!$B$2:$BI$155,MATCH($A102,Raw_매출!$A$2:$A$155,0),MATCH(EDATE($E102,M$1-1),Raw_매출!$B$1:$BI$1,0))=0,"",INDEX(Raw_매출!$B$2:$BI$155,MATCH($A102,Raw_매출!$A$2:$A$155,0),MATCH(EDATE($E102,M$1-1),Raw_매출!$B$1:$BI$1,0))/(INDEX(요약_월별시즈널리티!$F$7:$F$18,MONTH(EDATE($E102,M$1-1)))/100))),"")</f>
        <v>5588647.414992054</v>
      </c>
      <c r="N102" s="30" cm="1">
        <f t="array" ref="N102">IFERROR(IF($E102&lt;44348,"",IF(INDEX(Raw_매출!$B$2:$BI$155,MATCH($A102,Raw_매출!$A$2:$A$155,0),MATCH(EDATE($E102,N$1-1),Raw_매출!$B$1:$BI$1,0))=0,"",INDEX(Raw_매출!$B$2:$BI$155,MATCH($A102,Raw_매출!$A$2:$A$155,0),MATCH(EDATE($E102,N$1-1),Raw_매출!$B$1:$BI$1,0))/(INDEX(요약_월별시즈널리티!$F$7:$F$18,MONTH(EDATE($E102,N$1-1)))/100))),"")</f>
        <v>5111070.7537130965</v>
      </c>
      <c r="O102" s="30" cm="1">
        <f t="array" ref="O102">IFERROR(IF($E102&lt;44348,"",IF(INDEX(Raw_매출!$B$2:$BI$155,MATCH($A102,Raw_매출!$A$2:$A$155,0),MATCH(EDATE($E102,O$1-1),Raw_매출!$B$1:$BI$1,0))=0,"",INDEX(Raw_매출!$B$2:$BI$155,MATCH($A102,Raw_매출!$A$2:$A$155,0),MATCH(EDATE($E102,O$1-1),Raw_매출!$B$1:$BI$1,0))/(INDEX(요약_월별시즈널리티!$F$7:$F$18,MONTH(EDATE($E102,O$1-1)))/100))),"")</f>
        <v>5274968.6027134974</v>
      </c>
      <c r="P102" cm="1">
        <f t="array" ref="P102">IFERROR(IF($E102&lt;44348,"",IF(INDEX(Raw_매출!$B$2:$BI$155,MATCH($A102,Raw_매출!$A$2:$A$155,0),MATCH(EDATE($E102,P$1-1),Raw_매출!$B$1:$BI$1,0))=0,"",INDEX(Raw_매출!$B$2:$BI$155,MATCH($A102,Raw_매출!$A$2:$A$155,0),MATCH(EDATE($E102,P$1-1),Raw_매출!$B$1:$BI$1,0))/(INDEX(요약_월별시즈널리티!$F$7:$F$18,MONTH(EDATE($E102,P$1-1)))/100))),"")</f>
        <v>5435024.2731481595</v>
      </c>
      <c r="Q102" cm="1">
        <f t="array" ref="Q102">IFERROR(IF($E102&lt;44348,"",IF(INDEX(Raw_매출!$B$2:$BI$155,MATCH($A102,Raw_매출!$A$2:$A$155,0),MATCH(EDATE($E102,Q$1-1),Raw_매출!$B$1:$BI$1,0))=0,"",INDEX(Raw_매출!$B$2:$BI$155,MATCH($A102,Raw_매출!$A$2:$A$155,0),MATCH(EDATE($E102,Q$1-1),Raw_매출!$B$1:$BI$1,0))/(INDEX(요약_월별시즈널리티!$F$7:$F$18,MONTH(EDATE($E102,Q$1-1)))/100))),"")</f>
        <v>5441499.4925910244</v>
      </c>
      <c r="R102" cm="1">
        <f t="array" ref="R102">IFERROR(IF($E102&lt;44348,"",IF(INDEX(Raw_매출!$B$2:$BI$155,MATCH($A102,Raw_매출!$A$2:$A$155,0),MATCH(EDATE($E102,R$1-1),Raw_매출!$B$1:$BI$1,0))=0,"",INDEX(Raw_매출!$B$2:$BI$155,MATCH($A102,Raw_매출!$A$2:$A$155,0),MATCH(EDATE($E102,R$1-1),Raw_매출!$B$1:$BI$1,0))/(INDEX(요약_월별시즈널리티!$F$7:$F$18,MONTH(EDATE($E102,R$1-1)))/100))),"")</f>
        <v>5523973.431573702</v>
      </c>
      <c r="S102" cm="1">
        <f t="array" ref="S102">IFERROR(IF($E102&lt;44348,"",IF(INDEX(Raw_매출!$B$2:$BI$155,MATCH($A102,Raw_매출!$A$2:$A$155,0),MATCH(EDATE($E102,S$1-1),Raw_매출!$B$1:$BI$1,0))=0,"",INDEX(Raw_매출!$B$2:$BI$155,MATCH($A102,Raw_매출!$A$2:$A$155,0),MATCH(EDATE($E102,S$1-1),Raw_매출!$B$1:$BI$1,0))/(INDEX(요약_월별시즈널리티!$F$7:$F$18,MONTH(EDATE($E102,S$1-1)))/100))),"")</f>
        <v>5296261.1888412554</v>
      </c>
      <c r="T102" cm="1">
        <f t="array" ref="T102">IFERROR(IF($E102&lt;44348,"",IF(INDEX(Raw_매출!$B$2:$BI$155,MATCH($A102,Raw_매출!$A$2:$A$155,0),MATCH(EDATE($E102,T$1-1),Raw_매출!$B$1:$BI$1,0))=0,"",INDEX(Raw_매출!$B$2:$BI$155,MATCH($A102,Raw_매출!$A$2:$A$155,0),MATCH(EDATE($E102,T$1-1),Raw_매출!$B$1:$BI$1,0))/(INDEX(요약_월별시즈널리티!$F$7:$F$18,MONTH(EDATE($E102,T$1-1)))/100))),"")</f>
        <v>6221346.18585777</v>
      </c>
      <c r="U102" cm="1">
        <f t="array" ref="U102">IFERROR(IF($E102&lt;44348,"",IF(INDEX(Raw_매출!$B$2:$BI$155,MATCH($A102,Raw_매출!$A$2:$A$155,0),MATCH(EDATE($E102,U$1-1),Raw_매출!$B$1:$BI$1,0))=0,"",INDEX(Raw_매출!$B$2:$BI$155,MATCH($A102,Raw_매출!$A$2:$A$155,0),MATCH(EDATE($E102,U$1-1),Raw_매출!$B$1:$BI$1,0))/(INDEX(요약_월별시즈널리티!$F$7:$F$18,MONTH(EDATE($E102,U$1-1)))/100))),"")</f>
        <v>5588674.2286198158</v>
      </c>
      <c r="V102" cm="1">
        <f t="array" ref="V102">IFERROR(IF($E102&lt;44348,"",IF(INDEX(Raw_매출!$B$2:$BI$155,MATCH($A102,Raw_매출!$A$2:$A$155,0),MATCH(EDATE($E102,V$1-1),Raw_매출!$B$1:$BI$1,0))=0,"",INDEX(Raw_매출!$B$2:$BI$155,MATCH($A102,Raw_매출!$A$2:$A$155,0),MATCH(EDATE($E102,V$1-1),Raw_매출!$B$1:$BI$1,0))/(INDEX(요약_월별시즈널리티!$F$7:$F$18,MONTH(EDATE($E102,V$1-1)))/100))),"")</f>
        <v>6831053.9021187359</v>
      </c>
      <c r="W102" cm="1">
        <f t="array" ref="W102">IFERROR(IF($E102&lt;44348,"",IF(INDEX(Raw_매출!$B$2:$BI$155,MATCH($A102,Raw_매출!$A$2:$A$155,0),MATCH(EDATE($E102,W$1-1),Raw_매출!$B$1:$BI$1,0))=0,"",INDEX(Raw_매출!$B$2:$BI$155,MATCH($A102,Raw_매출!$A$2:$A$155,0),MATCH(EDATE($E102,W$1-1),Raw_매출!$B$1:$BI$1,0))/(INDEX(요약_월별시즈널리티!$F$7:$F$18,MONTH(EDATE($E102,W$1-1)))/100))),"")</f>
        <v>6460509.7284854809</v>
      </c>
      <c r="X102" cm="1">
        <f t="array" ref="X102">IFERROR(IF($E102&lt;44348,"",IF(INDEX(Raw_매출!$B$2:$BI$155,MATCH($A102,Raw_매출!$A$2:$A$155,0),MATCH(EDATE($E102,X$1-1),Raw_매출!$B$1:$BI$1,0))=0,"",INDEX(Raw_매출!$B$2:$BI$155,MATCH($A102,Raw_매출!$A$2:$A$155,0),MATCH(EDATE($E102,X$1-1),Raw_매출!$B$1:$BI$1,0))/(INDEX(요약_월별시즈널리티!$F$7:$F$18,MONTH(EDATE($E102,X$1-1)))/100))),"")</f>
        <v>7054622.9132770058</v>
      </c>
      <c r="Y102" cm="1">
        <f t="array" ref="Y102">IFERROR(IF($E102&lt;44348,"",IF(INDEX(Raw_매출!$B$2:$BI$155,MATCH($A102,Raw_매출!$A$2:$A$155,0),MATCH(EDATE($E102,Y$1-1),Raw_매출!$B$1:$BI$1,0))=0,"",INDEX(Raw_매출!$B$2:$BI$155,MATCH($A102,Raw_매출!$A$2:$A$155,0),MATCH(EDATE($E102,Y$1-1),Raw_매출!$B$1:$BI$1,0))/(INDEX(요약_월별시즈널리티!$F$7:$F$18,MONTH(EDATE($E102,Y$1-1)))/100))),"")</f>
        <v>5854896.3544276804</v>
      </c>
      <c r="Z102" cm="1">
        <f t="array" ref="Z102">IFERROR(IF($E102&lt;44348,"",IF(INDEX(Raw_매출!$B$2:$BI$155,MATCH($A102,Raw_매출!$A$2:$A$155,0),MATCH(EDATE($E102,Z$1-1),Raw_매출!$B$1:$BI$1,0))=0,"",INDEX(Raw_매출!$B$2:$BI$155,MATCH($A102,Raw_매출!$A$2:$A$155,0),MATCH(EDATE($E102,Z$1-1),Raw_매출!$B$1:$BI$1,0))/(INDEX(요약_월별시즈널리티!$F$7:$F$18,MONTH(EDATE($E102,Z$1-1)))/100))),"")</f>
        <v>6158562.2773531526</v>
      </c>
      <c r="AA102" cm="1">
        <f t="array" ref="AA102">IFERROR(IF($E102&lt;44348,"",IF(INDEX(Raw_매출!$B$2:$BI$155,MATCH($A102,Raw_매출!$A$2:$A$155,0),MATCH(EDATE($E102,AA$1-1),Raw_매출!$B$1:$BI$1,0))=0,"",INDEX(Raw_매출!$B$2:$BI$155,MATCH($A102,Raw_매출!$A$2:$A$155,0),MATCH(EDATE($E102,AA$1-1),Raw_매출!$B$1:$BI$1,0))/(INDEX(요약_월별시즈널리티!$F$7:$F$18,MONTH(EDATE($E102,AA$1-1)))/100))),"")</f>
        <v>7027953.4507857794</v>
      </c>
      <c r="AB102" cm="1">
        <f t="array" ref="AB102">IFERROR(IF($E102&lt;44348,"",IF(INDEX(Raw_매출!$B$2:$BI$155,MATCH($A102,Raw_매출!$A$2:$A$155,0),MATCH(EDATE($E102,AB$1-1),Raw_매출!$B$1:$BI$1,0))=0,"",INDEX(Raw_매출!$B$2:$BI$155,MATCH($A102,Raw_매출!$A$2:$A$155,0),MATCH(EDATE($E102,AB$1-1),Raw_매출!$B$1:$BI$1,0))/(INDEX(요약_월별시즈널리티!$F$7:$F$18,MONTH(EDATE($E102,AB$1-1)))/100))),"")</f>
        <v>6222376.8089892333</v>
      </c>
      <c r="AC102" cm="1">
        <f t="array" ref="AC102">IFERROR(IF($E102&lt;44348,"",IF(INDEX(Raw_매출!$B$2:$BI$155,MATCH($A102,Raw_매출!$A$2:$A$155,0),MATCH(EDATE($E102,AC$1-1),Raw_매출!$B$1:$BI$1,0))=0,"",INDEX(Raw_매출!$B$2:$BI$155,MATCH($A102,Raw_매출!$A$2:$A$155,0),MATCH(EDATE($E102,AC$1-1),Raw_매출!$B$1:$BI$1,0))/(INDEX(요약_월별시즈널리티!$F$7:$F$18,MONTH(EDATE($E102,AC$1-1)))/100))),"")</f>
        <v>6764079.8459243262</v>
      </c>
      <c r="AD102" cm="1">
        <f t="array" ref="AD102">IFERROR(IF($E102&lt;44348,"",IF(INDEX(Raw_매출!$B$2:$BI$155,MATCH($A102,Raw_매출!$A$2:$A$155,0),MATCH(EDATE($E102,AD$1-1),Raw_매출!$B$1:$BI$1,0))=0,"",INDEX(Raw_매출!$B$2:$BI$155,MATCH($A102,Raw_매출!$A$2:$A$155,0),MATCH(EDATE($E102,AD$1-1),Raw_매출!$B$1:$BI$1,0))/(INDEX(요약_월별시즈널리티!$F$7:$F$18,MONTH(EDATE($E102,AD$1-1)))/100))),"")</f>
        <v>7622200.4266772429</v>
      </c>
      <c r="AE102" cm="1">
        <f t="array" ref="AE102">IFERROR(IF($E102&lt;44348,"",IF(INDEX(Raw_매출!$B$2:$BI$155,MATCH($A102,Raw_매출!$A$2:$A$155,0),MATCH(EDATE($E102,AE$1-1),Raw_매출!$B$1:$BI$1,0))=0,"",INDEX(Raw_매출!$B$2:$BI$155,MATCH($A102,Raw_매출!$A$2:$A$155,0),MATCH(EDATE($E102,AE$1-1),Raw_매출!$B$1:$BI$1,0))/(INDEX(요약_월별시즈널리티!$F$7:$F$18,MONTH(EDATE($E102,AE$1-1)))/100))),"")</f>
        <v>7837176.5334184384</v>
      </c>
      <c r="AF102" cm="1">
        <f t="array" ref="AF102">IFERROR(IF($E102&lt;44348,"",IF(INDEX(Raw_매출!$B$2:$BI$155,MATCH($A102,Raw_매출!$A$2:$A$155,0),MATCH(EDATE($E102,AF$1-1),Raw_매출!$B$1:$BI$1,0))=0,"",INDEX(Raw_매출!$B$2:$BI$155,MATCH($A102,Raw_매출!$A$2:$A$155,0),MATCH(EDATE($E102,AF$1-1),Raw_매출!$B$1:$BI$1,0))/(INDEX(요약_월별시즈널리티!$F$7:$F$18,MONTH(EDATE($E102,AF$1-1)))/100))),"")</f>
        <v>7469582.2852147734</v>
      </c>
      <c r="AG102" cm="1">
        <f t="array" ref="AG102">IFERROR(IF($E102&lt;44348,"",IF(INDEX(Raw_매출!$B$2:$BI$155,MATCH($A102,Raw_매출!$A$2:$A$155,0),MATCH(EDATE($E102,AG$1-1),Raw_매출!$B$1:$BI$1,0))=0,"",INDEX(Raw_매출!$B$2:$BI$155,MATCH($A102,Raw_매출!$A$2:$A$155,0),MATCH(EDATE($E102,AG$1-1),Raw_매출!$B$1:$BI$1,0))/(INDEX(요약_월별시즈널리티!$F$7:$F$18,MONTH(EDATE($E102,AG$1-1)))/100))),"")</f>
        <v>7194113.5343862157</v>
      </c>
      <c r="AH102" cm="1">
        <f t="array" ref="AH102">IFERROR(IF($E102&lt;44348,"",IF(INDEX(Raw_매출!$B$2:$BI$155,MATCH($A102,Raw_매출!$A$2:$A$155,0),MATCH(EDATE($E102,AH$1-1),Raw_매출!$B$1:$BI$1,0))=0,"",INDEX(Raw_매출!$B$2:$BI$155,MATCH($A102,Raw_매출!$A$2:$A$155,0),MATCH(EDATE($E102,AH$1-1),Raw_매출!$B$1:$BI$1,0))/(INDEX(요약_월별시즈널리티!$F$7:$F$18,MONTH(EDATE($E102,AH$1-1)))/100))),"")</f>
        <v>7608849.7241991227</v>
      </c>
      <c r="AI102" cm="1">
        <f t="array" ref="AI102">IFERROR(IF($E102&lt;44348,"",IF(INDEX(Raw_매출!$B$2:$BI$155,MATCH($A102,Raw_매출!$A$2:$A$155,0),MATCH(EDATE($E102,AI$1-1),Raw_매출!$B$1:$BI$1,0))=0,"",INDEX(Raw_매출!$B$2:$BI$155,MATCH($A102,Raw_매출!$A$2:$A$155,0),MATCH(EDATE($E102,AI$1-1),Raw_매출!$B$1:$BI$1,0))/(INDEX(요약_월별시즈널리티!$F$7:$F$18,MONTH(EDATE($E102,AI$1-1)))/100))),"")</f>
        <v>8110060.8946387535</v>
      </c>
      <c r="AJ102" cm="1">
        <f t="array" ref="AJ102">IFERROR(IF($E102&lt;44348,"",IF(INDEX(Raw_매출!$B$2:$BI$155,MATCH($A102,Raw_매출!$A$2:$A$155,0),MATCH(EDATE($E102,AJ$1-1),Raw_매출!$B$1:$BI$1,0))=0,"",INDEX(Raw_매출!$B$2:$BI$155,MATCH($A102,Raw_매출!$A$2:$A$155,0),MATCH(EDATE($E102,AJ$1-1),Raw_매출!$B$1:$BI$1,0))/(INDEX(요약_월별시즈널리티!$F$7:$F$18,MONTH(EDATE($E102,AJ$1-1)))/100))),"")</f>
        <v>7592547.571158817</v>
      </c>
      <c r="AK102" cm="1">
        <f t="array" ref="AK102">IFERROR(IF($E102&lt;44348,"",IF(INDEX(Raw_매출!$B$2:$BI$155,MATCH($A102,Raw_매출!$A$2:$A$155,0),MATCH(EDATE($E102,AK$1-1),Raw_매출!$B$1:$BI$1,0))=0,"",INDEX(Raw_매출!$B$2:$BI$155,MATCH($A102,Raw_매출!$A$2:$A$155,0),MATCH(EDATE($E102,AK$1-1),Raw_매출!$B$1:$BI$1,0))/(INDEX(요약_월별시즈널리티!$F$7:$F$18,MONTH(EDATE($E102,AK$1-1)))/100))),"")</f>
        <v>8471862.3925802782</v>
      </c>
      <c r="AL102" cm="1">
        <f t="array" ref="AL102">IFERROR(IF($E102&lt;44348,"",IF(INDEX(Raw_매출!$B$2:$BI$155,MATCH($A102,Raw_매출!$A$2:$A$155,0),MATCH(EDATE($E102,AL$1-1),Raw_매출!$B$1:$BI$1,0))=0,"",INDEX(Raw_매출!$B$2:$BI$155,MATCH($A102,Raw_매출!$A$2:$A$155,0),MATCH(EDATE($E102,AL$1-1),Raw_매출!$B$1:$BI$1,0))/(INDEX(요약_월별시즈널리티!$F$7:$F$18,MONTH(EDATE($E102,AL$1-1)))/100))),"")</f>
        <v>8746859.3464984857</v>
      </c>
      <c r="AM102" t="str" cm="1">
        <f t="array" ref="AM102">IFERROR(IF($E102&lt;44348,"",IF(INDEX(Raw_매출!$B$2:$BI$155,MATCH($A102,Raw_매출!$A$2:$A$155,0),MATCH(EDATE($E102,AM$1-1),Raw_매출!$B$1:$BI$1,0))=0,"",INDEX(Raw_매출!$B$2:$BI$155,MATCH($A102,Raw_매출!$A$2:$A$155,0),MATCH(EDATE($E102,AM$1-1),Raw_매출!$B$1:$BI$1,0))/(INDEX(요약_월별시즈널리티!$F$7:$F$18,MONTH(EDATE($E102,AM$1-1)))/100))),"")</f>
        <v/>
      </c>
      <c r="AN102" t="str" cm="1">
        <f t="array" ref="AN102">IFERROR(IF($E102&lt;44348,"",IF(INDEX(Raw_매출!$B$2:$BI$155,MATCH($A102,Raw_매출!$A$2:$A$155,0),MATCH(EDATE($E102,AN$1-1),Raw_매출!$B$1:$BI$1,0))=0,"",INDEX(Raw_매출!$B$2:$BI$155,MATCH($A102,Raw_매출!$A$2:$A$155,0),MATCH(EDATE($E102,AN$1-1),Raw_매출!$B$1:$BI$1,0))/(INDEX(요약_월별시즈널리티!$F$7:$F$18,MONTH(EDATE($E102,AN$1-1)))/100))),"")</f>
        <v/>
      </c>
      <c r="AO102" t="str" cm="1">
        <f t="array" ref="AO102">IFERROR(IF($E102&lt;44348,"",IF(INDEX(Raw_매출!$B$2:$BI$155,MATCH($A102,Raw_매출!$A$2:$A$155,0),MATCH(EDATE($E102,AO$1-1),Raw_매출!$B$1:$BI$1,0))=0,"",INDEX(Raw_매출!$B$2:$BI$155,MATCH($A102,Raw_매출!$A$2:$A$155,0),MATCH(EDATE($E102,AO$1-1),Raw_매출!$B$1:$BI$1,0))/(INDEX(요약_월별시즈널리티!$F$7:$F$18,MONTH(EDATE($E102,AO$1-1)))/100))),"")</f>
        <v/>
      </c>
      <c r="AP102" t="str" cm="1">
        <f t="array" ref="AP102">IFERROR(IF($E102&lt;44348,"",IF(INDEX(Raw_매출!$B$2:$BI$155,MATCH($A102,Raw_매출!$A$2:$A$155,0),MATCH(EDATE($E102,AP$1-1),Raw_매출!$B$1:$BI$1,0))=0,"",INDEX(Raw_매출!$B$2:$BI$155,MATCH($A102,Raw_매출!$A$2:$A$155,0),MATCH(EDATE($E102,AP$1-1),Raw_매출!$B$1:$BI$1,0))/(INDEX(요약_월별시즈널리티!$F$7:$F$18,MONTH(EDATE($E102,AP$1-1)))/100))),"")</f>
        <v/>
      </c>
      <c r="AQ102" t="str" cm="1">
        <f t="array" ref="AQ102">IFERROR(IF($E102&lt;44348,"",IF(INDEX(Raw_매출!$B$2:$BI$155,MATCH($A102,Raw_매출!$A$2:$A$155,0),MATCH(EDATE($E102,AQ$1-1),Raw_매출!$B$1:$BI$1,0))=0,"",INDEX(Raw_매출!$B$2:$BI$155,MATCH($A102,Raw_매출!$A$2:$A$155,0),MATCH(EDATE($E102,AQ$1-1),Raw_매출!$B$1:$BI$1,0))/(INDEX(요약_월별시즈널리티!$F$7:$F$18,MONTH(EDATE($E102,AQ$1-1)))/100))),"")</f>
        <v/>
      </c>
      <c r="AR102" t="str" cm="1">
        <f t="array" ref="AR102">IFERROR(IF($E102&lt;44348,"",IF(INDEX(Raw_매출!$B$2:$BI$155,MATCH($A102,Raw_매출!$A$2:$A$155,0),MATCH(EDATE($E102,AR$1-1),Raw_매출!$B$1:$BI$1,0))=0,"",INDEX(Raw_매출!$B$2:$BI$155,MATCH($A102,Raw_매출!$A$2:$A$155,0),MATCH(EDATE($E102,AR$1-1),Raw_매출!$B$1:$BI$1,0))/(INDEX(요약_월별시즈널리티!$F$7:$F$18,MONTH(EDATE($E102,AR$1-1)))/100))),"")</f>
        <v/>
      </c>
      <c r="AS102" t="str" cm="1">
        <f t="array" ref="AS102">IFERROR(IF($E102&lt;44348,"",IF(INDEX(Raw_매출!$B$2:$BI$155,MATCH($A102,Raw_매출!$A$2:$A$155,0),MATCH(EDATE($E102,AS$1-1),Raw_매출!$B$1:$BI$1,0))=0,"",INDEX(Raw_매출!$B$2:$BI$155,MATCH($A102,Raw_매출!$A$2:$A$155,0),MATCH(EDATE($E102,AS$1-1),Raw_매출!$B$1:$BI$1,0))/(INDEX(요약_월별시즈널리티!$F$7:$F$18,MONTH(EDATE($E102,AS$1-1)))/100))),"")</f>
        <v/>
      </c>
      <c r="AT102" t="str" cm="1">
        <f t="array" ref="AT102">IFERROR(IF($E102&lt;44348,"",IF(INDEX(Raw_매출!$B$2:$BI$155,MATCH($A102,Raw_매출!$A$2:$A$155,0),MATCH(EDATE($E102,AT$1-1),Raw_매출!$B$1:$BI$1,0))=0,"",INDEX(Raw_매출!$B$2:$BI$155,MATCH($A102,Raw_매출!$A$2:$A$155,0),MATCH(EDATE($E102,AT$1-1),Raw_매출!$B$1:$BI$1,0))/(INDEX(요약_월별시즈널리티!$F$7:$F$18,MONTH(EDATE($E102,AT$1-1)))/100))),"")</f>
        <v/>
      </c>
      <c r="AU102" t="str" cm="1">
        <f t="array" ref="AU102">IFERROR(IF($E102&lt;44348,"",IF(INDEX(Raw_매출!$B$2:$BI$155,MATCH($A102,Raw_매출!$A$2:$A$155,0),MATCH(EDATE($E102,AU$1-1),Raw_매출!$B$1:$BI$1,0))=0,"",INDEX(Raw_매출!$B$2:$BI$155,MATCH($A102,Raw_매출!$A$2:$A$155,0),MATCH(EDATE($E102,AU$1-1),Raw_매출!$B$1:$BI$1,0))/(INDEX(요약_월별시즈널리티!$F$7:$F$18,MONTH(EDATE($E102,AU$1-1)))/100))),"")</f>
        <v/>
      </c>
      <c r="AV102" t="str" cm="1">
        <f t="array" ref="AV102">IFERROR(IF($E102&lt;44348,"",IF(INDEX(Raw_매출!$B$2:$BI$155,MATCH($A102,Raw_매출!$A$2:$A$155,0),MATCH(EDATE($E102,AV$1-1),Raw_매출!$B$1:$BI$1,0))=0,"",INDEX(Raw_매출!$B$2:$BI$155,MATCH($A102,Raw_매출!$A$2:$A$155,0),MATCH(EDATE($E102,AV$1-1),Raw_매출!$B$1:$BI$1,0))/(INDEX(요약_월별시즈널리티!$F$7:$F$18,MONTH(EDATE($E102,AV$1-1)))/100))),"")</f>
        <v/>
      </c>
      <c r="AW102" t="str" cm="1">
        <f t="array" ref="AW102">IFERROR(IF($E102&lt;44348,"",IF(INDEX(Raw_매출!$B$2:$BI$155,MATCH($A102,Raw_매출!$A$2:$A$155,0),MATCH(EDATE($E102,AW$1-1),Raw_매출!$B$1:$BI$1,0))=0,"",INDEX(Raw_매출!$B$2:$BI$155,MATCH($A102,Raw_매출!$A$2:$A$155,0),MATCH(EDATE($E102,AW$1-1),Raw_매출!$B$1:$BI$1,0))/(INDEX(요약_월별시즈널리티!$F$7:$F$18,MONTH(EDATE($E102,AW$1-1)))/100))),"")</f>
        <v/>
      </c>
      <c r="AX102" t="str" cm="1">
        <f t="array" ref="AX102">IFERROR(IF($E102&lt;44348,"",IF(INDEX(Raw_매출!$B$2:$BI$155,MATCH($A102,Raw_매출!$A$2:$A$155,0),MATCH(EDATE($E102,AX$1-1),Raw_매출!$B$1:$BI$1,0))=0,"",INDEX(Raw_매출!$B$2:$BI$155,MATCH($A102,Raw_매출!$A$2:$A$155,0),MATCH(EDATE($E102,AX$1-1),Raw_매출!$B$1:$BI$1,0))/(INDEX(요약_월별시즈널리티!$F$7:$F$18,MONTH(EDATE($E102,AX$1-1)))/100))),"")</f>
        <v/>
      </c>
      <c r="AY102" t="str" cm="1">
        <f t="array" ref="AY102">IFERROR(IF($E102&lt;44348,"",IF(INDEX(Raw_매출!$B$2:$BI$155,MATCH($A102,Raw_매출!$A$2:$A$155,0),MATCH(EDATE($E102,AY$1-1),Raw_매출!$B$1:$BI$1,0))=0,"",INDEX(Raw_매출!$B$2:$BI$155,MATCH($A102,Raw_매출!$A$2:$A$155,0),MATCH(EDATE($E102,AY$1-1),Raw_매출!$B$1:$BI$1,0))/(INDEX(요약_월별시즈널리티!$F$7:$F$18,MONTH(EDATE($E102,AY$1-1)))/100))),"")</f>
        <v/>
      </c>
      <c r="AZ102" t="str" cm="1">
        <f t="array" ref="AZ102">IFERROR(IF($E102&lt;44348,"",IF(INDEX(Raw_매출!$B$2:$BI$155,MATCH($A102,Raw_매출!$A$2:$A$155,0),MATCH(EDATE($E102,AZ$1-1),Raw_매출!$B$1:$BI$1,0))=0,"",INDEX(Raw_매출!$B$2:$BI$155,MATCH($A102,Raw_매출!$A$2:$A$155,0),MATCH(EDATE($E102,AZ$1-1),Raw_매출!$B$1:$BI$1,0))/(INDEX(요약_월별시즈널리티!$F$7:$F$18,MONTH(EDATE($E102,AZ$1-1)))/100))),"")</f>
        <v/>
      </c>
      <c r="BA102" t="str" cm="1">
        <f t="array" ref="BA102">IFERROR(IF($E102&lt;44348,"",IF(INDEX(Raw_매출!$B$2:$BI$155,MATCH($A102,Raw_매출!$A$2:$A$155,0),MATCH(EDATE($E102,BA$1-1),Raw_매출!$B$1:$BI$1,0))=0,"",INDEX(Raw_매출!$B$2:$BI$155,MATCH($A102,Raw_매출!$A$2:$A$155,0),MATCH(EDATE($E102,BA$1-1),Raw_매출!$B$1:$BI$1,0))/(INDEX(요약_월별시즈널리티!$F$7:$F$18,MONTH(EDATE($E102,BA$1-1)))/100))),"")</f>
        <v/>
      </c>
      <c r="BB102" t="str" cm="1">
        <f t="array" ref="BB102">IFERROR(IF($E102&lt;44348,"",IF(INDEX(Raw_매출!$B$2:$BI$155,MATCH($A102,Raw_매출!$A$2:$A$155,0),MATCH(EDATE($E102,BB$1-1),Raw_매출!$B$1:$BI$1,0))=0,"",INDEX(Raw_매출!$B$2:$BI$155,MATCH($A102,Raw_매출!$A$2:$A$155,0),MATCH(EDATE($E102,BB$1-1),Raw_매출!$B$1:$BI$1,0))/(INDEX(요약_월별시즈널리티!$F$7:$F$18,MONTH(EDATE($E102,BB$1-1)))/100))),"")</f>
        <v/>
      </c>
      <c r="BC102" t="str" cm="1">
        <f t="array" ref="BC102">IFERROR(IF($E102&lt;44348,"",IF(INDEX(Raw_매출!$B$2:$BI$155,MATCH($A102,Raw_매출!$A$2:$A$155,0),MATCH(EDATE($E102,BC$1-1),Raw_매출!$B$1:$BI$1,0))=0,"",INDEX(Raw_매출!$B$2:$BI$155,MATCH($A102,Raw_매출!$A$2:$A$155,0),MATCH(EDATE($E102,BC$1-1),Raw_매출!$B$1:$BI$1,0))/(INDEX(요약_월별시즈널리티!$F$7:$F$18,MONTH(EDATE($E102,BC$1-1)))/100))),"")</f>
        <v/>
      </c>
      <c r="BD102" t="str" cm="1">
        <f t="array" ref="BD102">IFERROR(IF($E102&lt;44348,"",IF(INDEX(Raw_매출!$B$2:$BI$155,MATCH($A102,Raw_매출!$A$2:$A$155,0),MATCH(EDATE($E102,BD$1-1),Raw_매출!$B$1:$BI$1,0))=0,"",INDEX(Raw_매출!$B$2:$BI$155,MATCH($A102,Raw_매출!$A$2:$A$155,0),MATCH(EDATE($E102,BD$1-1),Raw_매출!$B$1:$BI$1,0))/(INDEX(요약_월별시즈널리티!$F$7:$F$18,MONTH(EDATE($E102,BD$1-1)))/100))),"")</f>
        <v/>
      </c>
      <c r="BE102" t="str" cm="1">
        <f t="array" ref="BE102">IFERROR(IF($E102&lt;44348,"",IF(INDEX(Raw_매출!$B$2:$BI$155,MATCH($A102,Raw_매출!$A$2:$A$155,0),MATCH(EDATE($E102,BE$1-1),Raw_매출!$B$1:$BI$1,0))=0,"",INDEX(Raw_매출!$B$2:$BI$155,MATCH($A102,Raw_매출!$A$2:$A$155,0),MATCH(EDATE($E102,BE$1-1),Raw_매출!$B$1:$BI$1,0))/(INDEX(요약_월별시즈널리티!$F$7:$F$18,MONTH(EDATE($E102,BE$1-1)))/100))),"")</f>
        <v/>
      </c>
      <c r="BF102" t="str" cm="1">
        <f t="array" ref="BF102">IFERROR(IF($E102&lt;44348,"",IF(INDEX(Raw_매출!$B$2:$BI$155,MATCH($A102,Raw_매출!$A$2:$A$155,0),MATCH(EDATE($E102,BF$1-1),Raw_매출!$B$1:$BI$1,0))=0,"",INDEX(Raw_매출!$B$2:$BI$155,MATCH($A102,Raw_매출!$A$2:$A$155,0),MATCH(EDATE($E102,BF$1-1),Raw_매출!$B$1:$BI$1,0))/(INDEX(요약_월별시즈널리티!$F$7:$F$18,MONTH(EDATE($E102,BF$1-1)))/100))),"")</f>
        <v/>
      </c>
      <c r="BG102" t="str" cm="1">
        <f t="array" ref="BG102">IFERROR(IF($E102&lt;44348,"",IF(INDEX(Raw_매출!$B$2:$BI$155,MATCH($A102,Raw_매출!$A$2:$A$155,0),MATCH(EDATE($E102,BG$1-1),Raw_매출!$B$1:$BI$1,0))=0,"",INDEX(Raw_매출!$B$2:$BI$155,MATCH($A102,Raw_매출!$A$2:$A$155,0),MATCH(EDATE($E102,BG$1-1),Raw_매출!$B$1:$BI$1,0))/(INDEX(요약_월별시즈널리티!$F$7:$F$18,MONTH(EDATE($E102,BG$1-1)))/100))),"")</f>
        <v/>
      </c>
      <c r="BH102" t="str" cm="1">
        <f t="array" ref="BH102">IFERROR(IF($E102&lt;44348,"",IF(INDEX(Raw_매출!$B$2:$BI$155,MATCH($A102,Raw_매출!$A$2:$A$155,0),MATCH(EDATE($E102,BH$1-1),Raw_매출!$B$1:$BI$1,0))=0,"",INDEX(Raw_매출!$B$2:$BI$155,MATCH($A102,Raw_매출!$A$2:$A$155,0),MATCH(EDATE($E102,BH$1-1),Raw_매출!$B$1:$BI$1,0))/(INDEX(요약_월별시즈널리티!$F$7:$F$18,MONTH(EDATE($E102,BH$1-1)))/100))),"")</f>
        <v/>
      </c>
      <c r="BI102" t="str" cm="1">
        <f t="array" ref="BI102">IFERROR(IF($E102&lt;44348,"",IF(INDEX(Raw_매출!$B$2:$BI$155,MATCH($A102,Raw_매출!$A$2:$A$155,0),MATCH(EDATE($E102,BI$1-1),Raw_매출!$B$1:$BI$1,0))=0,"",INDEX(Raw_매출!$B$2:$BI$155,MATCH($A102,Raw_매출!$A$2:$A$155,0),MATCH(EDATE($E102,BI$1-1),Raw_매출!$B$1:$BI$1,0))/(INDEX(요약_월별시즈널리티!$F$7:$F$18,MONTH(EDATE($E102,BI$1-1)))/100))),"")</f>
        <v/>
      </c>
      <c r="BJ102" t="str" cm="1">
        <f t="array" ref="BJ102">IFERROR(IF($E102&lt;44348,"",IF(INDEX(Raw_매출!$B$2:$BI$155,MATCH($A102,Raw_매출!$A$2:$A$155,0),MATCH(EDATE($E102,BJ$1-1),Raw_매출!$B$1:$BI$1,0))=0,"",INDEX(Raw_매출!$B$2:$BI$155,MATCH($A102,Raw_매출!$A$2:$A$155,0),MATCH(EDATE($E102,BJ$1-1),Raw_매출!$B$1:$BI$1,0))/(INDEX(요약_월별시즈널리티!$F$7:$F$18,MONTH(EDATE($E102,BJ$1-1)))/100))),"")</f>
        <v/>
      </c>
      <c r="BK102" t="str" cm="1">
        <f t="array" ref="BK102">IFERROR(IF($E102&lt;44348,"",IF(INDEX(Raw_매출!$B$2:$BI$155,MATCH($A102,Raw_매출!$A$2:$A$155,0),MATCH(EDATE($E102,BK$1-1),Raw_매출!$B$1:$BI$1,0))=0,"",INDEX(Raw_매출!$B$2:$BI$155,MATCH($A102,Raw_매출!$A$2:$A$155,0),MATCH(EDATE($E102,BK$1-1),Raw_매출!$B$1:$BI$1,0))/(INDEX(요약_월별시즈널리티!$F$7:$F$18,MONTH(EDATE($E102,BK$1-1)))/100))),"")</f>
        <v/>
      </c>
      <c r="BL102" t="str" cm="1">
        <f t="array" ref="BL102">IFERROR(IF($E102&lt;44348,"",IF(INDEX(Raw_매출!$B$2:$BI$155,MATCH($A102,Raw_매출!$A$2:$A$155,0),MATCH(EDATE($E102,BL$1-1),Raw_매출!$B$1:$BI$1,0))=0,"",INDEX(Raw_매출!$B$2:$BI$155,MATCH($A102,Raw_매출!$A$2:$A$155,0),MATCH(EDATE($E102,BL$1-1),Raw_매출!$B$1:$BI$1,0))/(INDEX(요약_월별시즈널리티!$F$7:$F$18,MONTH(EDATE($E102,BL$1-1)))/100))),"")</f>
        <v/>
      </c>
      <c r="BM102" t="str" cm="1">
        <f t="array" ref="BM102">IFERROR(IF($E102&lt;44348,"",IF(INDEX(Raw_매출!$B$2:$BI$155,MATCH($A102,Raw_매출!$A$2:$A$155,0),MATCH(EDATE($E102,BM$1-1),Raw_매출!$B$1:$BI$1,0))=0,"",INDEX(Raw_매출!$B$2:$BI$155,MATCH($A102,Raw_매출!$A$2:$A$155,0),MATCH(EDATE($E102,BM$1-1),Raw_매출!$B$1:$BI$1,0))/(INDEX(요약_월별시즈널리티!$F$7:$F$18,MONTH(EDATE($E102,BM$1-1)))/100))),"")</f>
        <v/>
      </c>
      <c r="BN102" t="str" cm="1">
        <f t="array" ref="BN102">IFERROR(IF($E102&lt;44348,"",IF(INDEX(Raw_매출!$B$2:$BI$155,MATCH($A102,Raw_매출!$A$2:$A$155,0),MATCH(EDATE($E102,BN$1-1),Raw_매출!$B$1:$BI$1,0))=0,"",INDEX(Raw_매출!$B$2:$BI$155,MATCH($A102,Raw_매출!$A$2:$A$155,0),MATCH(EDATE($E102,BN$1-1),Raw_매출!$B$1:$BI$1,0))/(INDEX(요약_월별시즈널리티!$F$7:$F$18,MONTH(EDATE($E102,BN$1-1)))/100))),"")</f>
        <v/>
      </c>
    </row>
    <row r="103" spans="1:66" x14ac:dyDescent="0.4">
      <c r="A103" t="str">
        <f>세팅!A104</f>
        <v>(1092) #신대방역조원점</v>
      </c>
      <c r="B103" t="str">
        <f>세팅!B104</f>
        <v>150-1</v>
      </c>
      <c r="C103">
        <f t="shared" si="3"/>
        <v>1</v>
      </c>
      <c r="D103" t="str">
        <f t="shared" si="4"/>
        <v>1</v>
      </c>
      <c r="E103" s="1">
        <f>세팅!D104</f>
        <v>45231</v>
      </c>
      <c r="F103">
        <f t="shared" si="5"/>
        <v>6669354.4803625876</v>
      </c>
      <c r="G103" cm="1">
        <f t="array" ref="G103">IFERROR(IF($E103&lt;44348,"",IF(INDEX(Raw_매출!$B$2:$BI$155,MATCH($A103,Raw_매출!$A$2:$A$155,0),MATCH(EDATE($E103,G$1-1),Raw_매출!$B$1:$BI$1,0))=0,"",INDEX(Raw_매출!$B$2:$BI$155,MATCH($A103,Raw_매출!$A$2:$A$155,0),MATCH(EDATE($E103,G$1-1),Raw_매출!$B$1:$BI$1,0))/(INDEX(요약_월별시즈널리티!$F$7:$F$18,MONTH(EDATE($E103,G$1-1)))/100))),"")</f>
        <v>5007620.8270148579</v>
      </c>
      <c r="H103" cm="1">
        <f t="array" ref="H103">IFERROR(IF($E103&lt;44348,"",IF(INDEX(Raw_매출!$B$2:$BI$155,MATCH($A103,Raw_매출!$A$2:$A$155,0),MATCH(EDATE($E103,H$1-1),Raw_매출!$B$1:$BI$1,0))=0,"",INDEX(Raw_매출!$B$2:$BI$155,MATCH($A103,Raw_매출!$A$2:$A$155,0),MATCH(EDATE($E103,H$1-1),Raw_매출!$B$1:$BI$1,0))/(INDEX(요약_월별시즈널리티!$F$7:$F$18,MONTH(EDATE($E103,H$1-1)))/100))),"")</f>
        <v>4867425.1067149835</v>
      </c>
      <c r="I103" cm="1">
        <f t="array" ref="I103">IFERROR(IF($E103&lt;44348,"",IF(INDEX(Raw_매출!$B$2:$BI$155,MATCH($A103,Raw_매출!$A$2:$A$155,0),MATCH(EDATE($E103,I$1-1),Raw_매출!$B$1:$BI$1,0))=0,"",INDEX(Raw_매출!$B$2:$BI$155,MATCH($A103,Raw_매출!$A$2:$A$155,0),MATCH(EDATE($E103,I$1-1),Raw_매출!$B$1:$BI$1,0))/(INDEX(요약_월별시즈널리티!$F$7:$F$18,MONTH(EDATE($E103,I$1-1)))/100))),"")</f>
        <v>6346061.6313247448</v>
      </c>
      <c r="J103" s="30" cm="1">
        <f t="array" ref="J103">IFERROR(IF($E103&lt;44348,"",IF(INDEX(Raw_매출!$B$2:$BI$155,MATCH($A103,Raw_매출!$A$2:$A$155,0),MATCH(EDATE($E103,J$1-1),Raw_매출!$B$1:$BI$1,0))=0,"",INDEX(Raw_매출!$B$2:$BI$155,MATCH($A103,Raw_매출!$A$2:$A$155,0),MATCH(EDATE($E103,J$1-1),Raw_매출!$B$1:$BI$1,0))/(INDEX(요약_월별시즈널리티!$F$7:$F$18,MONTH(EDATE($E103,J$1-1)))/100))),"")</f>
        <v>6901665.0365131516</v>
      </c>
      <c r="K103" s="30" cm="1">
        <f t="array" ref="K103">IFERROR(IF($E103&lt;44348,"",IF(INDEX(Raw_매출!$B$2:$BI$155,MATCH($A103,Raw_매출!$A$2:$A$155,0),MATCH(EDATE($E103,K$1-1),Raw_매출!$B$1:$BI$1,0))=0,"",INDEX(Raw_매출!$B$2:$BI$155,MATCH($A103,Raw_매출!$A$2:$A$155,0),MATCH(EDATE($E103,K$1-1),Raw_매출!$B$1:$BI$1,0))/(INDEX(요약_월별시즈널리티!$F$7:$F$18,MONTH(EDATE($E103,K$1-1)))/100))),"")</f>
        <v>6734251.530970973</v>
      </c>
      <c r="L103" s="30" cm="1">
        <f t="array" ref="L103">IFERROR(IF($E103&lt;44348,"",IF(INDEX(Raw_매출!$B$2:$BI$155,MATCH($A103,Raw_매출!$A$2:$A$155,0),MATCH(EDATE($E103,L$1-1),Raw_매출!$B$1:$BI$1,0))=0,"",INDEX(Raw_매출!$B$2:$BI$155,MATCH($A103,Raw_매출!$A$2:$A$155,0),MATCH(EDATE($E103,L$1-1),Raw_매출!$B$1:$BI$1,0))/(INDEX(요약_월별시즈널리티!$F$7:$F$18,MONTH(EDATE($E103,L$1-1)))/100))),"")</f>
        <v>7197446.7610567994</v>
      </c>
      <c r="M103" s="30" cm="1">
        <f t="array" ref="M103">IFERROR(IF($E103&lt;44348,"",IF(INDEX(Raw_매출!$B$2:$BI$155,MATCH($A103,Raw_매출!$A$2:$A$155,0),MATCH(EDATE($E103,M$1-1),Raw_매출!$B$1:$BI$1,0))=0,"",INDEX(Raw_매출!$B$2:$BI$155,MATCH($A103,Raw_매출!$A$2:$A$155,0),MATCH(EDATE($E103,M$1-1),Raw_매출!$B$1:$BI$1,0))/(INDEX(요약_월별시즈널리티!$F$7:$F$18,MONTH(EDATE($E103,M$1-1)))/100))),"")</f>
        <v>5775690.8433108125</v>
      </c>
      <c r="N103" s="30" cm="1">
        <f t="array" ref="N103">IFERROR(IF($E103&lt;44348,"",IF(INDEX(Raw_매출!$B$2:$BI$155,MATCH($A103,Raw_매출!$A$2:$A$155,0),MATCH(EDATE($E103,N$1-1),Raw_매출!$B$1:$BI$1,0))=0,"",INDEX(Raw_매출!$B$2:$BI$155,MATCH($A103,Raw_매출!$A$2:$A$155,0),MATCH(EDATE($E103,N$1-1),Raw_매출!$B$1:$BI$1,0))/(INDEX(요약_월별시즈널리티!$F$7:$F$18,MONTH(EDATE($E103,N$1-1)))/100))),"")</f>
        <v>6493934.2182081379</v>
      </c>
      <c r="O103" s="30" cm="1">
        <f t="array" ref="O103">IFERROR(IF($E103&lt;44348,"",IF(INDEX(Raw_매출!$B$2:$BI$155,MATCH($A103,Raw_매출!$A$2:$A$155,0),MATCH(EDATE($E103,O$1-1),Raw_매출!$B$1:$BI$1,0))=0,"",INDEX(Raw_매출!$B$2:$BI$155,MATCH($A103,Raw_매출!$A$2:$A$155,0),MATCH(EDATE($E103,O$1-1),Raw_매출!$B$1:$BI$1,0))/(INDEX(요약_월별시즈널리티!$F$7:$F$18,MONTH(EDATE($E103,O$1-1)))/100))),"")</f>
        <v>6913138.4921156531</v>
      </c>
      <c r="P103" cm="1">
        <f t="array" ref="P103">IFERROR(IF($E103&lt;44348,"",IF(INDEX(Raw_매출!$B$2:$BI$155,MATCH($A103,Raw_매출!$A$2:$A$155,0),MATCH(EDATE($E103,P$1-1),Raw_매출!$B$1:$BI$1,0))=0,"",INDEX(Raw_매출!$B$2:$BI$155,MATCH($A103,Raw_매출!$A$2:$A$155,0),MATCH(EDATE($E103,P$1-1),Raw_매출!$B$1:$BI$1,0))/(INDEX(요약_월별시즈널리티!$F$7:$F$18,MONTH(EDATE($E103,P$1-1)))/100))),"")</f>
        <v>5938710.4464630121</v>
      </c>
      <c r="Q103" cm="1">
        <f t="array" ref="Q103">IFERROR(IF($E103&lt;44348,"",IF(INDEX(Raw_매출!$B$2:$BI$155,MATCH($A103,Raw_매출!$A$2:$A$155,0),MATCH(EDATE($E103,Q$1-1),Raw_매출!$B$1:$BI$1,0))=0,"",INDEX(Raw_매출!$B$2:$BI$155,MATCH($A103,Raw_매출!$A$2:$A$155,0),MATCH(EDATE($E103,Q$1-1),Raw_매출!$B$1:$BI$1,0))/(INDEX(요약_월별시즈널리티!$F$7:$F$18,MONTH(EDATE($E103,Q$1-1)))/100))),"")</f>
        <v>6157200.8842662675</v>
      </c>
      <c r="R103" cm="1">
        <f t="array" ref="R103">IFERROR(IF($E103&lt;44348,"",IF(INDEX(Raw_매출!$B$2:$BI$155,MATCH($A103,Raw_매출!$A$2:$A$155,0),MATCH(EDATE($E103,R$1-1),Raw_매출!$B$1:$BI$1,0))=0,"",INDEX(Raw_매출!$B$2:$BI$155,MATCH($A103,Raw_매출!$A$2:$A$155,0),MATCH(EDATE($E103,R$1-1),Raw_매출!$B$1:$BI$1,0))/(INDEX(요약_월별시즈널리티!$F$7:$F$18,MONTH(EDATE($E103,R$1-1)))/100))),"")</f>
        <v>5385564.6966585694</v>
      </c>
      <c r="S103" cm="1">
        <f t="array" ref="S103">IFERROR(IF($E103&lt;44348,"",IF(INDEX(Raw_매출!$B$2:$BI$155,MATCH($A103,Raw_매출!$A$2:$A$155,0),MATCH(EDATE($E103,S$1-1),Raw_매출!$B$1:$BI$1,0))=0,"",INDEX(Raw_매출!$B$2:$BI$155,MATCH($A103,Raw_매출!$A$2:$A$155,0),MATCH(EDATE($E103,S$1-1),Raw_매출!$B$1:$BI$1,0))/(INDEX(요약_월별시즈널리티!$F$7:$F$18,MONTH(EDATE($E103,S$1-1)))/100))),"")</f>
        <v>5945135.3968336359</v>
      </c>
      <c r="T103" cm="1">
        <f t="array" ref="T103">IFERROR(IF($E103&lt;44348,"",IF(INDEX(Raw_매출!$B$2:$BI$155,MATCH($A103,Raw_매출!$A$2:$A$155,0),MATCH(EDATE($E103,T$1-1),Raw_매출!$B$1:$BI$1,0))=0,"",INDEX(Raw_매출!$B$2:$BI$155,MATCH($A103,Raw_매출!$A$2:$A$155,0),MATCH(EDATE($E103,T$1-1),Raw_매출!$B$1:$BI$1,0))/(INDEX(요약_월별시즈널리티!$F$7:$F$18,MONTH(EDATE($E103,T$1-1)))/100))),"")</f>
        <v>6330526.8737714188</v>
      </c>
      <c r="U103" cm="1">
        <f t="array" ref="U103">IFERROR(IF($E103&lt;44348,"",IF(INDEX(Raw_매출!$B$2:$BI$155,MATCH($A103,Raw_매출!$A$2:$A$155,0),MATCH(EDATE($E103,U$1-1),Raw_매출!$B$1:$BI$1,0))=0,"",INDEX(Raw_매출!$B$2:$BI$155,MATCH($A103,Raw_매출!$A$2:$A$155,0),MATCH(EDATE($E103,U$1-1),Raw_매출!$B$1:$BI$1,0))/(INDEX(요약_월별시즈널리티!$F$7:$F$18,MONTH(EDATE($E103,U$1-1)))/100))),"")</f>
        <v>6376721.7465659967</v>
      </c>
      <c r="V103" cm="1">
        <f t="array" ref="V103">IFERROR(IF($E103&lt;44348,"",IF(INDEX(Raw_매출!$B$2:$BI$155,MATCH($A103,Raw_매출!$A$2:$A$155,0),MATCH(EDATE($E103,V$1-1),Raw_매출!$B$1:$BI$1,0))=0,"",INDEX(Raw_매출!$B$2:$BI$155,MATCH($A103,Raw_매출!$A$2:$A$155,0),MATCH(EDATE($E103,V$1-1),Raw_매출!$B$1:$BI$1,0))/(INDEX(요약_월별시즈널리티!$F$7:$F$18,MONTH(EDATE($E103,V$1-1)))/100))),"")</f>
        <v>5925236.3842437519</v>
      </c>
      <c r="W103" cm="1">
        <f t="array" ref="W103">IFERROR(IF($E103&lt;44348,"",IF(INDEX(Raw_매출!$B$2:$BI$155,MATCH($A103,Raw_매출!$A$2:$A$155,0),MATCH(EDATE($E103,W$1-1),Raw_매출!$B$1:$BI$1,0))=0,"",INDEX(Raw_매출!$B$2:$BI$155,MATCH($A103,Raw_매출!$A$2:$A$155,0),MATCH(EDATE($E103,W$1-1),Raw_매출!$B$1:$BI$1,0))/(INDEX(요약_월별시즈널리티!$F$7:$F$18,MONTH(EDATE($E103,W$1-1)))/100))),"")</f>
        <v>4786655.743081118</v>
      </c>
      <c r="X103" cm="1">
        <f t="array" ref="X103">IFERROR(IF($E103&lt;44348,"",IF(INDEX(Raw_매출!$B$2:$BI$155,MATCH($A103,Raw_매출!$A$2:$A$155,0),MATCH(EDATE($E103,X$1-1),Raw_매출!$B$1:$BI$1,0))=0,"",INDEX(Raw_매출!$B$2:$BI$155,MATCH($A103,Raw_매출!$A$2:$A$155,0),MATCH(EDATE($E103,X$1-1),Raw_매출!$B$1:$BI$1,0))/(INDEX(요약_월별시즈널리티!$F$7:$F$18,MONTH(EDATE($E103,X$1-1)))/100))),"")</f>
        <v>7160410.4589689579</v>
      </c>
      <c r="Y103" cm="1">
        <f t="array" ref="Y103">IFERROR(IF($E103&lt;44348,"",IF(INDEX(Raw_매출!$B$2:$BI$155,MATCH($A103,Raw_매출!$A$2:$A$155,0),MATCH(EDATE($E103,Y$1-1),Raw_매출!$B$1:$BI$1,0))=0,"",INDEX(Raw_매출!$B$2:$BI$155,MATCH($A103,Raw_매출!$A$2:$A$155,0),MATCH(EDATE($E103,Y$1-1),Raw_매출!$B$1:$BI$1,0))/(INDEX(요약_월별시즈널리티!$F$7:$F$18,MONTH(EDATE($E103,Y$1-1)))/100))),"")</f>
        <v>7230653.5421324112</v>
      </c>
      <c r="Z103" cm="1">
        <f t="array" ref="Z103">IFERROR(IF($E103&lt;44348,"",IF(INDEX(Raw_매출!$B$2:$BI$155,MATCH($A103,Raw_매출!$A$2:$A$155,0),MATCH(EDATE($E103,Z$1-1),Raw_매출!$B$1:$BI$1,0))=0,"",INDEX(Raw_매출!$B$2:$BI$155,MATCH($A103,Raw_매출!$A$2:$A$155,0),MATCH(EDATE($E103,Z$1-1),Raw_매출!$B$1:$BI$1,0))/(INDEX(요약_월별시즈널리티!$F$7:$F$18,MONTH(EDATE($E103,Z$1-1)))/100))),"")</f>
        <v>7210266.5991264749</v>
      </c>
      <c r="AA103" cm="1">
        <f t="array" ref="AA103">IFERROR(IF($E103&lt;44348,"",IF(INDEX(Raw_매출!$B$2:$BI$155,MATCH($A103,Raw_매출!$A$2:$A$155,0),MATCH(EDATE($E103,AA$1-1),Raw_매출!$B$1:$BI$1,0))=0,"",INDEX(Raw_매출!$B$2:$BI$155,MATCH($A103,Raw_매출!$A$2:$A$155,0),MATCH(EDATE($E103,AA$1-1),Raw_매출!$B$1:$BI$1,0))/(INDEX(요약_월별시즈널리티!$F$7:$F$18,MONTH(EDATE($E103,AA$1-1)))/100))),"")</f>
        <v>8650608.3693118244</v>
      </c>
      <c r="AB103" cm="1">
        <f t="array" ref="AB103">IFERROR(IF($E103&lt;44348,"",IF(INDEX(Raw_매출!$B$2:$BI$155,MATCH($A103,Raw_매출!$A$2:$A$155,0),MATCH(EDATE($E103,AB$1-1),Raw_매출!$B$1:$BI$1,0))=0,"",INDEX(Raw_매출!$B$2:$BI$155,MATCH($A103,Raw_매출!$A$2:$A$155,0),MATCH(EDATE($E103,AB$1-1),Raw_매출!$B$1:$BI$1,0))/(INDEX(요약_월별시즈널리티!$F$7:$F$18,MONTH(EDATE($E103,AB$1-1)))/100))),"")</f>
        <v>6737934.5736445663</v>
      </c>
      <c r="AC103" cm="1">
        <f t="array" ref="AC103">IFERROR(IF($E103&lt;44348,"",IF(INDEX(Raw_매출!$B$2:$BI$155,MATCH($A103,Raw_매출!$A$2:$A$155,0),MATCH(EDATE($E103,AC$1-1),Raw_매출!$B$1:$BI$1,0))=0,"",INDEX(Raw_매출!$B$2:$BI$155,MATCH($A103,Raw_매출!$A$2:$A$155,0),MATCH(EDATE($E103,AC$1-1),Raw_매출!$B$1:$BI$1,0))/(INDEX(요약_월별시즈널리티!$F$7:$F$18,MONTH(EDATE($E103,AC$1-1)))/100))),"")</f>
        <v>6798668.1541300351</v>
      </c>
      <c r="AD103" cm="1">
        <f t="array" ref="AD103">IFERROR(IF($E103&lt;44348,"",IF(INDEX(Raw_매출!$B$2:$BI$155,MATCH($A103,Raw_매출!$A$2:$A$155,0),MATCH(EDATE($E103,AD$1-1),Raw_매출!$B$1:$BI$1,0))=0,"",INDEX(Raw_매출!$B$2:$BI$155,MATCH($A103,Raw_매출!$A$2:$A$155,0),MATCH(EDATE($E103,AD$1-1),Raw_매출!$B$1:$BI$1,0))/(INDEX(요약_월별시즈널리티!$F$7:$F$18,MONTH(EDATE($E103,AD$1-1)))/100))),"")</f>
        <v>7450263.8736170838</v>
      </c>
      <c r="AE103" cm="1">
        <f t="array" ref="AE103">IFERROR(IF($E103&lt;44348,"",IF(INDEX(Raw_매출!$B$2:$BI$155,MATCH($A103,Raw_매출!$A$2:$A$155,0),MATCH(EDATE($E103,AE$1-1),Raw_매출!$B$1:$BI$1,0))=0,"",INDEX(Raw_매출!$B$2:$BI$155,MATCH($A103,Raw_매출!$A$2:$A$155,0),MATCH(EDATE($E103,AE$1-1),Raw_매출!$B$1:$BI$1,0))/(INDEX(요약_월별시즈널리티!$F$7:$F$18,MONTH(EDATE($E103,AE$1-1)))/100))),"")</f>
        <v>6648384.1828676453</v>
      </c>
      <c r="AF103" cm="1">
        <f t="array" ref="AF103">IFERROR(IF($E103&lt;44348,"",IF(INDEX(Raw_매출!$B$2:$BI$155,MATCH($A103,Raw_매출!$A$2:$A$155,0),MATCH(EDATE($E103,AF$1-1),Raw_매출!$B$1:$BI$1,0))=0,"",INDEX(Raw_매출!$B$2:$BI$155,MATCH($A103,Raw_매출!$A$2:$A$155,0),MATCH(EDATE($E103,AF$1-1),Raw_매출!$B$1:$BI$1,0))/(INDEX(요약_월별시즈널리티!$F$7:$F$18,MONTH(EDATE($E103,AF$1-1)))/100))),"")</f>
        <v>6468770.8049974088</v>
      </c>
      <c r="AG103" cm="1">
        <f t="array" ref="AG103">IFERROR(IF($E103&lt;44348,"",IF(INDEX(Raw_매출!$B$2:$BI$155,MATCH($A103,Raw_매출!$A$2:$A$155,0),MATCH(EDATE($E103,AG$1-1),Raw_매출!$B$1:$BI$1,0))=0,"",INDEX(Raw_매출!$B$2:$BI$155,MATCH($A103,Raw_매출!$A$2:$A$155,0),MATCH(EDATE($E103,AG$1-1),Raw_매출!$B$1:$BI$1,0))/(INDEX(요약_월별시즈널리티!$F$7:$F$18,MONTH(EDATE($E103,AG$1-1)))/100))),"")</f>
        <v>6828494.3152856259</v>
      </c>
      <c r="AH103" cm="1">
        <f t="array" ref="AH103">IFERROR(IF($E103&lt;44348,"",IF(INDEX(Raw_매출!$B$2:$BI$155,MATCH($A103,Raw_매출!$A$2:$A$155,0),MATCH(EDATE($E103,AH$1-1),Raw_매출!$B$1:$BI$1,0))=0,"",INDEX(Raw_매출!$B$2:$BI$155,MATCH($A103,Raw_매출!$A$2:$A$155,0),MATCH(EDATE($E103,AH$1-1),Raw_매출!$B$1:$BI$1,0))/(INDEX(요약_월별시즈널리티!$F$7:$F$18,MONTH(EDATE($E103,AH$1-1)))/100))),"")</f>
        <v>7155604.5861319201</v>
      </c>
      <c r="AI103" cm="1">
        <f t="array" ref="AI103">IFERROR(IF($E103&lt;44348,"",IF(INDEX(Raw_매출!$B$2:$BI$155,MATCH($A103,Raw_매출!$A$2:$A$155,0),MATCH(EDATE($E103,AI$1-1),Raw_매출!$B$1:$BI$1,0))=0,"",INDEX(Raw_매출!$B$2:$BI$155,MATCH($A103,Raw_매출!$A$2:$A$155,0),MATCH(EDATE($E103,AI$1-1),Raw_매출!$B$1:$BI$1,0))/(INDEX(요약_월별시즈널리티!$F$7:$F$18,MONTH(EDATE($E103,AI$1-1)))/100))),"")</f>
        <v>6897591.435887659</v>
      </c>
      <c r="AJ103" cm="1">
        <f t="array" ref="AJ103">IFERROR(IF($E103&lt;44348,"",IF(INDEX(Raw_매출!$B$2:$BI$155,MATCH($A103,Raw_매출!$A$2:$A$155,0),MATCH(EDATE($E103,AJ$1-1),Raw_매출!$B$1:$BI$1,0))=0,"",INDEX(Raw_매출!$B$2:$BI$155,MATCH($A103,Raw_매출!$A$2:$A$155,0),MATCH(EDATE($E103,AJ$1-1),Raw_매출!$B$1:$BI$1,0))/(INDEX(요약_월별시즈널리티!$F$7:$F$18,MONTH(EDATE($E103,AJ$1-1)))/100))),"")</f>
        <v>6838451.6258499967</v>
      </c>
      <c r="AK103" cm="1">
        <f t="array" ref="AK103">IFERROR(IF($E103&lt;44348,"",IF(INDEX(Raw_매출!$B$2:$BI$155,MATCH($A103,Raw_매출!$A$2:$A$155,0),MATCH(EDATE($E103,AK$1-1),Raw_매출!$B$1:$BI$1,0))=0,"",INDEX(Raw_매출!$B$2:$BI$155,MATCH($A103,Raw_매출!$A$2:$A$155,0),MATCH(EDATE($E103,AK$1-1),Raw_매출!$B$1:$BI$1,0))/(INDEX(요약_월별시즈널리티!$F$7:$F$18,MONTH(EDATE($E103,AK$1-1)))/100))),"")</f>
        <v>7555404.2914770348</v>
      </c>
      <c r="AL103" t="str" cm="1">
        <f t="array" ref="AL103">IFERROR(IF($E103&lt;44348,"",IF(INDEX(Raw_매출!$B$2:$BI$155,MATCH($A103,Raw_매출!$A$2:$A$155,0),MATCH(EDATE($E103,AL$1-1),Raw_매출!$B$1:$BI$1,0))=0,"",INDEX(Raw_매출!$B$2:$BI$155,MATCH($A103,Raw_매출!$A$2:$A$155,0),MATCH(EDATE($E103,AL$1-1),Raw_매출!$B$1:$BI$1,0))/(INDEX(요약_월별시즈널리티!$F$7:$F$18,MONTH(EDATE($E103,AL$1-1)))/100))),"")</f>
        <v/>
      </c>
      <c r="AM103" t="str" cm="1">
        <f t="array" ref="AM103">IFERROR(IF($E103&lt;44348,"",IF(INDEX(Raw_매출!$B$2:$BI$155,MATCH($A103,Raw_매출!$A$2:$A$155,0),MATCH(EDATE($E103,AM$1-1),Raw_매출!$B$1:$BI$1,0))=0,"",INDEX(Raw_매출!$B$2:$BI$155,MATCH($A103,Raw_매출!$A$2:$A$155,0),MATCH(EDATE($E103,AM$1-1),Raw_매출!$B$1:$BI$1,0))/(INDEX(요약_월별시즈널리티!$F$7:$F$18,MONTH(EDATE($E103,AM$1-1)))/100))),"")</f>
        <v/>
      </c>
      <c r="AN103" t="str" cm="1">
        <f t="array" ref="AN103">IFERROR(IF($E103&lt;44348,"",IF(INDEX(Raw_매출!$B$2:$BI$155,MATCH($A103,Raw_매출!$A$2:$A$155,0),MATCH(EDATE($E103,AN$1-1),Raw_매출!$B$1:$BI$1,0))=0,"",INDEX(Raw_매출!$B$2:$BI$155,MATCH($A103,Raw_매출!$A$2:$A$155,0),MATCH(EDATE($E103,AN$1-1),Raw_매출!$B$1:$BI$1,0))/(INDEX(요약_월별시즈널리티!$F$7:$F$18,MONTH(EDATE($E103,AN$1-1)))/100))),"")</f>
        <v/>
      </c>
      <c r="AO103" t="str" cm="1">
        <f t="array" ref="AO103">IFERROR(IF($E103&lt;44348,"",IF(INDEX(Raw_매출!$B$2:$BI$155,MATCH($A103,Raw_매출!$A$2:$A$155,0),MATCH(EDATE($E103,AO$1-1),Raw_매출!$B$1:$BI$1,0))=0,"",INDEX(Raw_매출!$B$2:$BI$155,MATCH($A103,Raw_매출!$A$2:$A$155,0),MATCH(EDATE($E103,AO$1-1),Raw_매출!$B$1:$BI$1,0))/(INDEX(요약_월별시즈널리티!$F$7:$F$18,MONTH(EDATE($E103,AO$1-1)))/100))),"")</f>
        <v/>
      </c>
      <c r="AP103" t="str" cm="1">
        <f t="array" ref="AP103">IFERROR(IF($E103&lt;44348,"",IF(INDEX(Raw_매출!$B$2:$BI$155,MATCH($A103,Raw_매출!$A$2:$A$155,0),MATCH(EDATE($E103,AP$1-1),Raw_매출!$B$1:$BI$1,0))=0,"",INDEX(Raw_매출!$B$2:$BI$155,MATCH($A103,Raw_매출!$A$2:$A$155,0),MATCH(EDATE($E103,AP$1-1),Raw_매출!$B$1:$BI$1,0))/(INDEX(요약_월별시즈널리티!$F$7:$F$18,MONTH(EDATE($E103,AP$1-1)))/100))),"")</f>
        <v/>
      </c>
      <c r="AQ103" t="str" cm="1">
        <f t="array" ref="AQ103">IFERROR(IF($E103&lt;44348,"",IF(INDEX(Raw_매출!$B$2:$BI$155,MATCH($A103,Raw_매출!$A$2:$A$155,0),MATCH(EDATE($E103,AQ$1-1),Raw_매출!$B$1:$BI$1,0))=0,"",INDEX(Raw_매출!$B$2:$BI$155,MATCH($A103,Raw_매출!$A$2:$A$155,0),MATCH(EDATE($E103,AQ$1-1),Raw_매출!$B$1:$BI$1,0))/(INDEX(요약_월별시즈널리티!$F$7:$F$18,MONTH(EDATE($E103,AQ$1-1)))/100))),"")</f>
        <v/>
      </c>
      <c r="AR103" t="str" cm="1">
        <f t="array" ref="AR103">IFERROR(IF($E103&lt;44348,"",IF(INDEX(Raw_매출!$B$2:$BI$155,MATCH($A103,Raw_매출!$A$2:$A$155,0),MATCH(EDATE($E103,AR$1-1),Raw_매출!$B$1:$BI$1,0))=0,"",INDEX(Raw_매출!$B$2:$BI$155,MATCH($A103,Raw_매출!$A$2:$A$155,0),MATCH(EDATE($E103,AR$1-1),Raw_매출!$B$1:$BI$1,0))/(INDEX(요약_월별시즈널리티!$F$7:$F$18,MONTH(EDATE($E103,AR$1-1)))/100))),"")</f>
        <v/>
      </c>
      <c r="AS103" t="str" cm="1">
        <f t="array" ref="AS103">IFERROR(IF($E103&lt;44348,"",IF(INDEX(Raw_매출!$B$2:$BI$155,MATCH($A103,Raw_매출!$A$2:$A$155,0),MATCH(EDATE($E103,AS$1-1),Raw_매출!$B$1:$BI$1,0))=0,"",INDEX(Raw_매출!$B$2:$BI$155,MATCH($A103,Raw_매출!$A$2:$A$155,0),MATCH(EDATE($E103,AS$1-1),Raw_매출!$B$1:$BI$1,0))/(INDEX(요약_월별시즈널리티!$F$7:$F$18,MONTH(EDATE($E103,AS$1-1)))/100))),"")</f>
        <v/>
      </c>
      <c r="AT103" t="str" cm="1">
        <f t="array" ref="AT103">IFERROR(IF($E103&lt;44348,"",IF(INDEX(Raw_매출!$B$2:$BI$155,MATCH($A103,Raw_매출!$A$2:$A$155,0),MATCH(EDATE($E103,AT$1-1),Raw_매출!$B$1:$BI$1,0))=0,"",INDEX(Raw_매출!$B$2:$BI$155,MATCH($A103,Raw_매출!$A$2:$A$155,0),MATCH(EDATE($E103,AT$1-1),Raw_매출!$B$1:$BI$1,0))/(INDEX(요약_월별시즈널리티!$F$7:$F$18,MONTH(EDATE($E103,AT$1-1)))/100))),"")</f>
        <v/>
      </c>
      <c r="AU103" t="str" cm="1">
        <f t="array" ref="AU103">IFERROR(IF($E103&lt;44348,"",IF(INDEX(Raw_매출!$B$2:$BI$155,MATCH($A103,Raw_매출!$A$2:$A$155,0),MATCH(EDATE($E103,AU$1-1),Raw_매출!$B$1:$BI$1,0))=0,"",INDEX(Raw_매출!$B$2:$BI$155,MATCH($A103,Raw_매출!$A$2:$A$155,0),MATCH(EDATE($E103,AU$1-1),Raw_매출!$B$1:$BI$1,0))/(INDEX(요약_월별시즈널리티!$F$7:$F$18,MONTH(EDATE($E103,AU$1-1)))/100))),"")</f>
        <v/>
      </c>
      <c r="AV103" t="str" cm="1">
        <f t="array" ref="AV103">IFERROR(IF($E103&lt;44348,"",IF(INDEX(Raw_매출!$B$2:$BI$155,MATCH($A103,Raw_매출!$A$2:$A$155,0),MATCH(EDATE($E103,AV$1-1),Raw_매출!$B$1:$BI$1,0))=0,"",INDEX(Raw_매출!$B$2:$BI$155,MATCH($A103,Raw_매출!$A$2:$A$155,0),MATCH(EDATE($E103,AV$1-1),Raw_매출!$B$1:$BI$1,0))/(INDEX(요약_월별시즈널리티!$F$7:$F$18,MONTH(EDATE($E103,AV$1-1)))/100))),"")</f>
        <v/>
      </c>
      <c r="AW103" t="str" cm="1">
        <f t="array" ref="AW103">IFERROR(IF($E103&lt;44348,"",IF(INDEX(Raw_매출!$B$2:$BI$155,MATCH($A103,Raw_매출!$A$2:$A$155,0),MATCH(EDATE($E103,AW$1-1),Raw_매출!$B$1:$BI$1,0))=0,"",INDEX(Raw_매출!$B$2:$BI$155,MATCH($A103,Raw_매출!$A$2:$A$155,0),MATCH(EDATE($E103,AW$1-1),Raw_매출!$B$1:$BI$1,0))/(INDEX(요약_월별시즈널리티!$F$7:$F$18,MONTH(EDATE($E103,AW$1-1)))/100))),"")</f>
        <v/>
      </c>
      <c r="AX103" t="str" cm="1">
        <f t="array" ref="AX103">IFERROR(IF($E103&lt;44348,"",IF(INDEX(Raw_매출!$B$2:$BI$155,MATCH($A103,Raw_매출!$A$2:$A$155,0),MATCH(EDATE($E103,AX$1-1),Raw_매출!$B$1:$BI$1,0))=0,"",INDEX(Raw_매출!$B$2:$BI$155,MATCH($A103,Raw_매출!$A$2:$A$155,0),MATCH(EDATE($E103,AX$1-1),Raw_매출!$B$1:$BI$1,0))/(INDEX(요약_월별시즈널리티!$F$7:$F$18,MONTH(EDATE($E103,AX$1-1)))/100))),"")</f>
        <v/>
      </c>
      <c r="AY103" t="str" cm="1">
        <f t="array" ref="AY103">IFERROR(IF($E103&lt;44348,"",IF(INDEX(Raw_매출!$B$2:$BI$155,MATCH($A103,Raw_매출!$A$2:$A$155,0),MATCH(EDATE($E103,AY$1-1),Raw_매출!$B$1:$BI$1,0))=0,"",INDEX(Raw_매출!$B$2:$BI$155,MATCH($A103,Raw_매출!$A$2:$A$155,0),MATCH(EDATE($E103,AY$1-1),Raw_매출!$B$1:$BI$1,0))/(INDEX(요약_월별시즈널리티!$F$7:$F$18,MONTH(EDATE($E103,AY$1-1)))/100))),"")</f>
        <v/>
      </c>
      <c r="AZ103" t="str" cm="1">
        <f t="array" ref="AZ103">IFERROR(IF($E103&lt;44348,"",IF(INDEX(Raw_매출!$B$2:$BI$155,MATCH($A103,Raw_매출!$A$2:$A$155,0),MATCH(EDATE($E103,AZ$1-1),Raw_매출!$B$1:$BI$1,0))=0,"",INDEX(Raw_매출!$B$2:$BI$155,MATCH($A103,Raw_매출!$A$2:$A$155,0),MATCH(EDATE($E103,AZ$1-1),Raw_매출!$B$1:$BI$1,0))/(INDEX(요약_월별시즈널리티!$F$7:$F$18,MONTH(EDATE($E103,AZ$1-1)))/100))),"")</f>
        <v/>
      </c>
      <c r="BA103" t="str" cm="1">
        <f t="array" ref="BA103">IFERROR(IF($E103&lt;44348,"",IF(INDEX(Raw_매출!$B$2:$BI$155,MATCH($A103,Raw_매출!$A$2:$A$155,0),MATCH(EDATE($E103,BA$1-1),Raw_매출!$B$1:$BI$1,0))=0,"",INDEX(Raw_매출!$B$2:$BI$155,MATCH($A103,Raw_매출!$A$2:$A$155,0),MATCH(EDATE($E103,BA$1-1),Raw_매출!$B$1:$BI$1,0))/(INDEX(요약_월별시즈널리티!$F$7:$F$18,MONTH(EDATE($E103,BA$1-1)))/100))),"")</f>
        <v/>
      </c>
      <c r="BB103" t="str" cm="1">
        <f t="array" ref="BB103">IFERROR(IF($E103&lt;44348,"",IF(INDEX(Raw_매출!$B$2:$BI$155,MATCH($A103,Raw_매출!$A$2:$A$155,0),MATCH(EDATE($E103,BB$1-1),Raw_매출!$B$1:$BI$1,0))=0,"",INDEX(Raw_매출!$B$2:$BI$155,MATCH($A103,Raw_매출!$A$2:$A$155,0),MATCH(EDATE($E103,BB$1-1),Raw_매출!$B$1:$BI$1,0))/(INDEX(요약_월별시즈널리티!$F$7:$F$18,MONTH(EDATE($E103,BB$1-1)))/100))),"")</f>
        <v/>
      </c>
      <c r="BC103" t="str" cm="1">
        <f t="array" ref="BC103">IFERROR(IF($E103&lt;44348,"",IF(INDEX(Raw_매출!$B$2:$BI$155,MATCH($A103,Raw_매출!$A$2:$A$155,0),MATCH(EDATE($E103,BC$1-1),Raw_매출!$B$1:$BI$1,0))=0,"",INDEX(Raw_매출!$B$2:$BI$155,MATCH($A103,Raw_매출!$A$2:$A$155,0),MATCH(EDATE($E103,BC$1-1),Raw_매출!$B$1:$BI$1,0))/(INDEX(요약_월별시즈널리티!$F$7:$F$18,MONTH(EDATE($E103,BC$1-1)))/100))),"")</f>
        <v/>
      </c>
      <c r="BD103" t="str" cm="1">
        <f t="array" ref="BD103">IFERROR(IF($E103&lt;44348,"",IF(INDEX(Raw_매출!$B$2:$BI$155,MATCH($A103,Raw_매출!$A$2:$A$155,0),MATCH(EDATE($E103,BD$1-1),Raw_매출!$B$1:$BI$1,0))=0,"",INDEX(Raw_매출!$B$2:$BI$155,MATCH($A103,Raw_매출!$A$2:$A$155,0),MATCH(EDATE($E103,BD$1-1),Raw_매출!$B$1:$BI$1,0))/(INDEX(요약_월별시즈널리티!$F$7:$F$18,MONTH(EDATE($E103,BD$1-1)))/100))),"")</f>
        <v/>
      </c>
      <c r="BE103" t="str" cm="1">
        <f t="array" ref="BE103">IFERROR(IF($E103&lt;44348,"",IF(INDEX(Raw_매출!$B$2:$BI$155,MATCH($A103,Raw_매출!$A$2:$A$155,0),MATCH(EDATE($E103,BE$1-1),Raw_매출!$B$1:$BI$1,0))=0,"",INDEX(Raw_매출!$B$2:$BI$155,MATCH($A103,Raw_매출!$A$2:$A$155,0),MATCH(EDATE($E103,BE$1-1),Raw_매출!$B$1:$BI$1,0))/(INDEX(요약_월별시즈널리티!$F$7:$F$18,MONTH(EDATE($E103,BE$1-1)))/100))),"")</f>
        <v/>
      </c>
      <c r="BF103" t="str" cm="1">
        <f t="array" ref="BF103">IFERROR(IF($E103&lt;44348,"",IF(INDEX(Raw_매출!$B$2:$BI$155,MATCH($A103,Raw_매출!$A$2:$A$155,0),MATCH(EDATE($E103,BF$1-1),Raw_매출!$B$1:$BI$1,0))=0,"",INDEX(Raw_매출!$B$2:$BI$155,MATCH($A103,Raw_매출!$A$2:$A$155,0),MATCH(EDATE($E103,BF$1-1),Raw_매출!$B$1:$BI$1,0))/(INDEX(요약_월별시즈널리티!$F$7:$F$18,MONTH(EDATE($E103,BF$1-1)))/100))),"")</f>
        <v/>
      </c>
      <c r="BG103" t="str" cm="1">
        <f t="array" ref="BG103">IFERROR(IF($E103&lt;44348,"",IF(INDEX(Raw_매출!$B$2:$BI$155,MATCH($A103,Raw_매출!$A$2:$A$155,0),MATCH(EDATE($E103,BG$1-1),Raw_매출!$B$1:$BI$1,0))=0,"",INDEX(Raw_매출!$B$2:$BI$155,MATCH($A103,Raw_매출!$A$2:$A$155,0),MATCH(EDATE($E103,BG$1-1),Raw_매출!$B$1:$BI$1,0))/(INDEX(요약_월별시즈널리티!$F$7:$F$18,MONTH(EDATE($E103,BG$1-1)))/100))),"")</f>
        <v/>
      </c>
      <c r="BH103" t="str" cm="1">
        <f t="array" ref="BH103">IFERROR(IF($E103&lt;44348,"",IF(INDEX(Raw_매출!$B$2:$BI$155,MATCH($A103,Raw_매출!$A$2:$A$155,0),MATCH(EDATE($E103,BH$1-1),Raw_매출!$B$1:$BI$1,0))=0,"",INDEX(Raw_매출!$B$2:$BI$155,MATCH($A103,Raw_매출!$A$2:$A$155,0),MATCH(EDATE($E103,BH$1-1),Raw_매출!$B$1:$BI$1,0))/(INDEX(요약_월별시즈널리티!$F$7:$F$18,MONTH(EDATE($E103,BH$1-1)))/100))),"")</f>
        <v/>
      </c>
      <c r="BI103" t="str" cm="1">
        <f t="array" ref="BI103">IFERROR(IF($E103&lt;44348,"",IF(INDEX(Raw_매출!$B$2:$BI$155,MATCH($A103,Raw_매출!$A$2:$A$155,0),MATCH(EDATE($E103,BI$1-1),Raw_매출!$B$1:$BI$1,0))=0,"",INDEX(Raw_매출!$B$2:$BI$155,MATCH($A103,Raw_매출!$A$2:$A$155,0),MATCH(EDATE($E103,BI$1-1),Raw_매출!$B$1:$BI$1,0))/(INDEX(요약_월별시즈널리티!$F$7:$F$18,MONTH(EDATE($E103,BI$1-1)))/100))),"")</f>
        <v/>
      </c>
      <c r="BJ103" t="str" cm="1">
        <f t="array" ref="BJ103">IFERROR(IF($E103&lt;44348,"",IF(INDEX(Raw_매출!$B$2:$BI$155,MATCH($A103,Raw_매출!$A$2:$A$155,0),MATCH(EDATE($E103,BJ$1-1),Raw_매출!$B$1:$BI$1,0))=0,"",INDEX(Raw_매출!$B$2:$BI$155,MATCH($A103,Raw_매출!$A$2:$A$155,0),MATCH(EDATE($E103,BJ$1-1),Raw_매출!$B$1:$BI$1,0))/(INDEX(요약_월별시즈널리티!$F$7:$F$18,MONTH(EDATE($E103,BJ$1-1)))/100))),"")</f>
        <v/>
      </c>
      <c r="BK103" t="str" cm="1">
        <f t="array" ref="BK103">IFERROR(IF($E103&lt;44348,"",IF(INDEX(Raw_매출!$B$2:$BI$155,MATCH($A103,Raw_매출!$A$2:$A$155,0),MATCH(EDATE($E103,BK$1-1),Raw_매출!$B$1:$BI$1,0))=0,"",INDEX(Raw_매출!$B$2:$BI$155,MATCH($A103,Raw_매출!$A$2:$A$155,0),MATCH(EDATE($E103,BK$1-1),Raw_매출!$B$1:$BI$1,0))/(INDEX(요약_월별시즈널리티!$F$7:$F$18,MONTH(EDATE($E103,BK$1-1)))/100))),"")</f>
        <v/>
      </c>
      <c r="BL103" t="str" cm="1">
        <f t="array" ref="BL103">IFERROR(IF($E103&lt;44348,"",IF(INDEX(Raw_매출!$B$2:$BI$155,MATCH($A103,Raw_매출!$A$2:$A$155,0),MATCH(EDATE($E103,BL$1-1),Raw_매출!$B$1:$BI$1,0))=0,"",INDEX(Raw_매출!$B$2:$BI$155,MATCH($A103,Raw_매출!$A$2:$A$155,0),MATCH(EDATE($E103,BL$1-1),Raw_매출!$B$1:$BI$1,0))/(INDEX(요약_월별시즈널리티!$F$7:$F$18,MONTH(EDATE($E103,BL$1-1)))/100))),"")</f>
        <v/>
      </c>
      <c r="BM103" t="str" cm="1">
        <f t="array" ref="BM103">IFERROR(IF($E103&lt;44348,"",IF(INDEX(Raw_매출!$B$2:$BI$155,MATCH($A103,Raw_매출!$A$2:$A$155,0),MATCH(EDATE($E103,BM$1-1),Raw_매출!$B$1:$BI$1,0))=0,"",INDEX(Raw_매출!$B$2:$BI$155,MATCH($A103,Raw_매출!$A$2:$A$155,0),MATCH(EDATE($E103,BM$1-1),Raw_매출!$B$1:$BI$1,0))/(INDEX(요약_월별시즈널리티!$F$7:$F$18,MONTH(EDATE($E103,BM$1-1)))/100))),"")</f>
        <v/>
      </c>
      <c r="BN103" t="str" cm="1">
        <f t="array" ref="BN103">IFERROR(IF($E103&lt;44348,"",IF(INDEX(Raw_매출!$B$2:$BI$155,MATCH($A103,Raw_매출!$A$2:$A$155,0),MATCH(EDATE($E103,BN$1-1),Raw_매출!$B$1:$BI$1,0))=0,"",INDEX(Raw_매출!$B$2:$BI$155,MATCH($A103,Raw_매출!$A$2:$A$155,0),MATCH(EDATE($E103,BN$1-1),Raw_매출!$B$1:$BI$1,0))/(INDEX(요약_월별시즈널리티!$F$7:$F$18,MONTH(EDATE($E103,BN$1-1)))/100))),"")</f>
        <v/>
      </c>
    </row>
    <row r="104" spans="1:66" x14ac:dyDescent="0.4">
      <c r="A104" t="str">
        <f>세팅!A105</f>
        <v>(1093) #영통망포뽀송점</v>
      </c>
      <c r="B104" t="str">
        <f>세팅!B105</f>
        <v>150-2</v>
      </c>
      <c r="C104">
        <f t="shared" si="3"/>
        <v>2</v>
      </c>
      <c r="D104" t="str">
        <f t="shared" si="4"/>
        <v>2</v>
      </c>
      <c r="E104" s="1">
        <f>세팅!D105</f>
        <v>45231</v>
      </c>
      <c r="F104">
        <f t="shared" si="5"/>
        <v>5930227.6075647073</v>
      </c>
      <c r="G104" cm="1">
        <f t="array" ref="G104">IFERROR(IF($E104&lt;44348,"",IF(INDEX(Raw_매출!$B$2:$BI$155,MATCH($A104,Raw_매출!$A$2:$A$155,0),MATCH(EDATE($E104,G$1-1),Raw_매출!$B$1:$BI$1,0))=0,"",INDEX(Raw_매출!$B$2:$BI$155,MATCH($A104,Raw_매출!$A$2:$A$155,0),MATCH(EDATE($E104,G$1-1),Raw_매출!$B$1:$BI$1,0))/(INDEX(요약_월별시즈널리티!$F$7:$F$18,MONTH(EDATE($E104,G$1-1)))/100))),"")</f>
        <v>2717444.6719305879</v>
      </c>
      <c r="H104" cm="1">
        <f t="array" ref="H104">IFERROR(IF($E104&lt;44348,"",IF(INDEX(Raw_매출!$B$2:$BI$155,MATCH($A104,Raw_매출!$A$2:$A$155,0),MATCH(EDATE($E104,H$1-1),Raw_매출!$B$1:$BI$1,0))=0,"",INDEX(Raw_매출!$B$2:$BI$155,MATCH($A104,Raw_매출!$A$2:$A$155,0),MATCH(EDATE($E104,H$1-1),Raw_매출!$B$1:$BI$1,0))/(INDEX(요약_월별시즈널리티!$F$7:$F$18,MONTH(EDATE($E104,H$1-1)))/100))),"")</f>
        <v>3566586.9724808205</v>
      </c>
      <c r="I104" cm="1">
        <f t="array" ref="I104">IFERROR(IF($E104&lt;44348,"",IF(INDEX(Raw_매출!$B$2:$BI$155,MATCH($A104,Raw_매출!$A$2:$A$155,0),MATCH(EDATE($E104,I$1-1),Raw_매출!$B$1:$BI$1,0))=0,"",INDEX(Raw_매출!$B$2:$BI$155,MATCH($A104,Raw_매출!$A$2:$A$155,0),MATCH(EDATE($E104,I$1-1),Raw_매출!$B$1:$BI$1,0))/(INDEX(요약_월별시즈널리티!$F$7:$F$18,MONTH(EDATE($E104,I$1-1)))/100))),"")</f>
        <v>5020569.1537147649</v>
      </c>
      <c r="J104" s="30" cm="1">
        <f t="array" ref="J104">IFERROR(IF($E104&lt;44348,"",IF(INDEX(Raw_매출!$B$2:$BI$155,MATCH($A104,Raw_매출!$A$2:$A$155,0),MATCH(EDATE($E104,J$1-1),Raw_매출!$B$1:$BI$1,0))=0,"",INDEX(Raw_매출!$B$2:$BI$155,MATCH($A104,Raw_매출!$A$2:$A$155,0),MATCH(EDATE($E104,J$1-1),Raw_매출!$B$1:$BI$1,0))/(INDEX(요약_월별시즈널리티!$F$7:$F$18,MONTH(EDATE($E104,J$1-1)))/100))),"")</f>
        <v>5316002.1377256541</v>
      </c>
      <c r="K104" s="30" cm="1">
        <f t="array" ref="K104">IFERROR(IF($E104&lt;44348,"",IF(INDEX(Raw_매출!$B$2:$BI$155,MATCH($A104,Raw_매출!$A$2:$A$155,0),MATCH(EDATE($E104,K$1-1),Raw_매출!$B$1:$BI$1,0))=0,"",INDEX(Raw_매출!$B$2:$BI$155,MATCH($A104,Raw_매출!$A$2:$A$155,0),MATCH(EDATE($E104,K$1-1),Raw_매출!$B$1:$BI$1,0))/(INDEX(요약_월별시즈널리티!$F$7:$F$18,MONTH(EDATE($E104,K$1-1)))/100))),"")</f>
        <v>5953673.6713483259</v>
      </c>
      <c r="L104" s="30" cm="1">
        <f t="array" ref="L104">IFERROR(IF($E104&lt;44348,"",IF(INDEX(Raw_매출!$B$2:$BI$155,MATCH($A104,Raw_매출!$A$2:$A$155,0),MATCH(EDATE($E104,L$1-1),Raw_매출!$B$1:$BI$1,0))=0,"",INDEX(Raw_매출!$B$2:$BI$155,MATCH($A104,Raw_매출!$A$2:$A$155,0),MATCH(EDATE($E104,L$1-1),Raw_매출!$B$1:$BI$1,0))/(INDEX(요약_월별시즈널리티!$F$7:$F$18,MONTH(EDATE($E104,L$1-1)))/100))),"")</f>
        <v>6432461.6305513177</v>
      </c>
      <c r="M104" s="30" cm="1">
        <f t="array" ref="M104">IFERROR(IF($E104&lt;44348,"",IF(INDEX(Raw_매출!$B$2:$BI$155,MATCH($A104,Raw_매출!$A$2:$A$155,0),MATCH(EDATE($E104,M$1-1),Raw_매출!$B$1:$BI$1,0))=0,"",INDEX(Raw_매출!$B$2:$BI$155,MATCH($A104,Raw_매출!$A$2:$A$155,0),MATCH(EDATE($E104,M$1-1),Raw_매출!$B$1:$BI$1,0))/(INDEX(요약_월별시즈널리티!$F$7:$F$18,MONTH(EDATE($E104,M$1-1)))/100))),"")</f>
        <v>5643808.8977589719</v>
      </c>
      <c r="N104" s="30" cm="1">
        <f t="array" ref="N104">IFERROR(IF($E104&lt;44348,"",IF(INDEX(Raw_매출!$B$2:$BI$155,MATCH($A104,Raw_매출!$A$2:$A$155,0),MATCH(EDATE($E104,N$1-1),Raw_매출!$B$1:$BI$1,0))=0,"",INDEX(Raw_매출!$B$2:$BI$155,MATCH($A104,Raw_매출!$A$2:$A$155,0),MATCH(EDATE($E104,N$1-1),Raw_매출!$B$1:$BI$1,0))/(INDEX(요약_월별시즈널리티!$F$7:$F$18,MONTH(EDATE($E104,N$1-1)))/100))),"")</f>
        <v>5989121.6706893984</v>
      </c>
      <c r="O104" s="30" cm="1">
        <f t="array" ref="O104">IFERROR(IF($E104&lt;44348,"",IF(INDEX(Raw_매출!$B$2:$BI$155,MATCH($A104,Raw_매출!$A$2:$A$155,0),MATCH(EDATE($E104,O$1-1),Raw_매출!$B$1:$BI$1,0))=0,"",INDEX(Raw_매출!$B$2:$BI$155,MATCH($A104,Raw_매출!$A$2:$A$155,0),MATCH(EDATE($E104,O$1-1),Raw_매출!$B$1:$BI$1,0))/(INDEX(요약_월별시즈널리티!$F$7:$F$18,MONTH(EDATE($E104,O$1-1)))/100))),"")</f>
        <v>6246297.637314572</v>
      </c>
      <c r="P104" cm="1">
        <f t="array" ref="P104">IFERROR(IF($E104&lt;44348,"",IF(INDEX(Raw_매출!$B$2:$BI$155,MATCH($A104,Raw_매출!$A$2:$A$155,0),MATCH(EDATE($E104,P$1-1),Raw_매출!$B$1:$BI$1,0))=0,"",INDEX(Raw_매출!$B$2:$BI$155,MATCH($A104,Raw_매출!$A$2:$A$155,0),MATCH(EDATE($E104,P$1-1),Raw_매출!$B$1:$BI$1,0))/(INDEX(요약_월별시즈널리티!$F$7:$F$18,MONTH(EDATE($E104,P$1-1)))/100))),"")</f>
        <v>6137730.0621787719</v>
      </c>
      <c r="Q104" cm="1">
        <f t="array" ref="Q104">IFERROR(IF($E104&lt;44348,"",IF(INDEX(Raw_매출!$B$2:$BI$155,MATCH($A104,Raw_매출!$A$2:$A$155,0),MATCH(EDATE($E104,Q$1-1),Raw_매출!$B$1:$BI$1,0))=0,"",INDEX(Raw_매출!$B$2:$BI$155,MATCH($A104,Raw_매출!$A$2:$A$155,0),MATCH(EDATE($E104,Q$1-1),Raw_매출!$B$1:$BI$1,0))/(INDEX(요약_월별시즈널리티!$F$7:$F$18,MONTH(EDATE($E104,Q$1-1)))/100))),"")</f>
        <v>6428375.7642848138</v>
      </c>
      <c r="R104" cm="1">
        <f t="array" ref="R104">IFERROR(IF($E104&lt;44348,"",IF(INDEX(Raw_매출!$B$2:$BI$155,MATCH($A104,Raw_매출!$A$2:$A$155,0),MATCH(EDATE($E104,R$1-1),Raw_매출!$B$1:$BI$1,0))=0,"",INDEX(Raw_매출!$B$2:$BI$155,MATCH($A104,Raw_매출!$A$2:$A$155,0),MATCH(EDATE($E104,R$1-1),Raw_매출!$B$1:$BI$1,0))/(INDEX(요약_월별시즈널리티!$F$7:$F$18,MONTH(EDATE($E104,R$1-1)))/100))),"")</f>
        <v>5704368.6170386588</v>
      </c>
      <c r="S104" cm="1">
        <f t="array" ref="S104">IFERROR(IF($E104&lt;44348,"",IF(INDEX(Raw_매출!$B$2:$BI$155,MATCH($A104,Raw_매출!$A$2:$A$155,0),MATCH(EDATE($E104,S$1-1),Raw_매출!$B$1:$BI$1,0))=0,"",INDEX(Raw_매출!$B$2:$BI$155,MATCH($A104,Raw_매출!$A$2:$A$155,0),MATCH(EDATE($E104,S$1-1),Raw_매출!$B$1:$BI$1,0))/(INDEX(요약_월별시즈널리티!$F$7:$F$18,MONTH(EDATE($E104,S$1-1)))/100))),"")</f>
        <v>6258229.3596885828</v>
      </c>
      <c r="T104" cm="1">
        <f t="array" ref="T104">IFERROR(IF($E104&lt;44348,"",IF(INDEX(Raw_매출!$B$2:$BI$155,MATCH($A104,Raw_매출!$A$2:$A$155,0),MATCH(EDATE($E104,T$1-1),Raw_매출!$B$1:$BI$1,0))=0,"",INDEX(Raw_매출!$B$2:$BI$155,MATCH($A104,Raw_매출!$A$2:$A$155,0),MATCH(EDATE($E104,T$1-1),Raw_매출!$B$1:$BI$1,0))/(INDEX(요약_월별시즈널리티!$F$7:$F$18,MONTH(EDATE($E104,T$1-1)))/100))),"")</f>
        <v>6143740.3062815471</v>
      </c>
      <c r="U104" cm="1">
        <f t="array" ref="U104">IFERROR(IF($E104&lt;44348,"",IF(INDEX(Raw_매출!$B$2:$BI$155,MATCH($A104,Raw_매출!$A$2:$A$155,0),MATCH(EDATE($E104,U$1-1),Raw_매출!$B$1:$BI$1,0))=0,"",INDEX(Raw_매출!$B$2:$BI$155,MATCH($A104,Raw_매출!$A$2:$A$155,0),MATCH(EDATE($E104,U$1-1),Raw_매출!$B$1:$BI$1,0))/(INDEX(요약_월별시즈널리티!$F$7:$F$18,MONTH(EDATE($E104,U$1-1)))/100))),"")</f>
        <v>5934638.2576180566</v>
      </c>
      <c r="V104" cm="1">
        <f t="array" ref="V104">IFERROR(IF($E104&lt;44348,"",IF(INDEX(Raw_매출!$B$2:$BI$155,MATCH($A104,Raw_매출!$A$2:$A$155,0),MATCH(EDATE($E104,V$1-1),Raw_매출!$B$1:$BI$1,0))=0,"",INDEX(Raw_매출!$B$2:$BI$155,MATCH($A104,Raw_매출!$A$2:$A$155,0),MATCH(EDATE($E104,V$1-1),Raw_매출!$B$1:$BI$1,0))/(INDEX(요약_월별시즈널리티!$F$7:$F$18,MONTH(EDATE($E104,V$1-1)))/100))),"")</f>
        <v>6168794.8319228627</v>
      </c>
      <c r="W104" cm="1">
        <f t="array" ref="W104">IFERROR(IF($E104&lt;44348,"",IF(INDEX(Raw_매출!$B$2:$BI$155,MATCH($A104,Raw_매출!$A$2:$A$155,0),MATCH(EDATE($E104,W$1-1),Raw_매출!$B$1:$BI$1,0))=0,"",INDEX(Raw_매출!$B$2:$BI$155,MATCH($A104,Raw_매출!$A$2:$A$155,0),MATCH(EDATE($E104,W$1-1),Raw_매출!$B$1:$BI$1,0))/(INDEX(요약_월별시즈널리티!$F$7:$F$18,MONTH(EDATE($E104,W$1-1)))/100))),"")</f>
        <v>6695073.4174365839</v>
      </c>
      <c r="X104" cm="1">
        <f t="array" ref="X104">IFERROR(IF($E104&lt;44348,"",IF(INDEX(Raw_매출!$B$2:$BI$155,MATCH($A104,Raw_매출!$A$2:$A$155,0),MATCH(EDATE($E104,X$1-1),Raw_매출!$B$1:$BI$1,0))=0,"",INDEX(Raw_매출!$B$2:$BI$155,MATCH($A104,Raw_매출!$A$2:$A$155,0),MATCH(EDATE($E104,X$1-1),Raw_매출!$B$1:$BI$1,0))/(INDEX(요약_월별시즈널리티!$F$7:$F$18,MONTH(EDATE($E104,X$1-1)))/100))),"")</f>
        <v>6479332.1382019361</v>
      </c>
      <c r="Y104" cm="1">
        <f t="array" ref="Y104">IFERROR(IF($E104&lt;44348,"",IF(INDEX(Raw_매출!$B$2:$BI$155,MATCH($A104,Raw_매출!$A$2:$A$155,0),MATCH(EDATE($E104,Y$1-1),Raw_매출!$B$1:$BI$1,0))=0,"",INDEX(Raw_매출!$B$2:$BI$155,MATCH($A104,Raw_매출!$A$2:$A$155,0),MATCH(EDATE($E104,Y$1-1),Raw_매출!$B$1:$BI$1,0))/(INDEX(요약_월별시즈널리티!$F$7:$F$18,MONTH(EDATE($E104,Y$1-1)))/100))),"")</f>
        <v>7061008.3365524495</v>
      </c>
      <c r="Z104" cm="1">
        <f t="array" ref="Z104">IFERROR(IF($E104&lt;44348,"",IF(INDEX(Raw_매출!$B$2:$BI$155,MATCH($A104,Raw_매출!$A$2:$A$155,0),MATCH(EDATE($E104,Z$1-1),Raw_매출!$B$1:$BI$1,0))=0,"",INDEX(Raw_매출!$B$2:$BI$155,MATCH($A104,Raw_매출!$A$2:$A$155,0),MATCH(EDATE($E104,Z$1-1),Raw_매출!$B$1:$BI$1,0))/(INDEX(요약_월별시즈널리티!$F$7:$F$18,MONTH(EDATE($E104,Z$1-1)))/100))),"")</f>
        <v>6124316.9057255425</v>
      </c>
      <c r="AA104" cm="1">
        <f t="array" ref="AA104">IFERROR(IF($E104&lt;44348,"",IF(INDEX(Raw_매출!$B$2:$BI$155,MATCH($A104,Raw_매출!$A$2:$A$155,0),MATCH(EDATE($E104,AA$1-1),Raw_매출!$B$1:$BI$1,0))=0,"",INDEX(Raw_매출!$B$2:$BI$155,MATCH($A104,Raw_매출!$A$2:$A$155,0),MATCH(EDATE($E104,AA$1-1),Raw_매출!$B$1:$BI$1,0))/(INDEX(요약_월별시즈널리티!$F$7:$F$18,MONTH(EDATE($E104,AA$1-1)))/100))),"")</f>
        <v>6338732.9148209505</v>
      </c>
      <c r="AB104" cm="1">
        <f t="array" ref="AB104">IFERROR(IF($E104&lt;44348,"",IF(INDEX(Raw_매출!$B$2:$BI$155,MATCH($A104,Raw_매출!$A$2:$A$155,0),MATCH(EDATE($E104,AB$1-1),Raw_매출!$B$1:$BI$1,0))=0,"",INDEX(Raw_매출!$B$2:$BI$155,MATCH($A104,Raw_매출!$A$2:$A$155,0),MATCH(EDATE($E104,AB$1-1),Raw_매출!$B$1:$BI$1,0))/(INDEX(요약_월별시즈널리티!$F$7:$F$18,MONTH(EDATE($E104,AB$1-1)))/100))),"")</f>
        <v>6134378.6067366134</v>
      </c>
      <c r="AC104" cm="1">
        <f t="array" ref="AC104">IFERROR(IF($E104&lt;44348,"",IF(INDEX(Raw_매출!$B$2:$BI$155,MATCH($A104,Raw_매출!$A$2:$A$155,0),MATCH(EDATE($E104,AC$1-1),Raw_매출!$B$1:$BI$1,0))=0,"",INDEX(Raw_매출!$B$2:$BI$155,MATCH($A104,Raw_매출!$A$2:$A$155,0),MATCH(EDATE($E104,AC$1-1),Raw_매출!$B$1:$BI$1,0))/(INDEX(요약_월별시즈널리티!$F$7:$F$18,MONTH(EDATE($E104,AC$1-1)))/100))),"")</f>
        <v>5952693.6159056267</v>
      </c>
      <c r="AD104" cm="1">
        <f t="array" ref="AD104">IFERROR(IF($E104&lt;44348,"",IF(INDEX(Raw_매출!$B$2:$BI$155,MATCH($A104,Raw_매출!$A$2:$A$155,0),MATCH(EDATE($E104,AD$1-1),Raw_매출!$B$1:$BI$1,0))=0,"",INDEX(Raw_매출!$B$2:$BI$155,MATCH($A104,Raw_매출!$A$2:$A$155,0),MATCH(EDATE($E104,AD$1-1),Raw_매출!$B$1:$BI$1,0))/(INDEX(요약_월별시즈널리티!$F$7:$F$18,MONTH(EDATE($E104,AD$1-1)))/100))),"")</f>
        <v>5580859.3483078834</v>
      </c>
      <c r="AE104" cm="1">
        <f t="array" ref="AE104">IFERROR(IF($E104&lt;44348,"",IF(INDEX(Raw_매출!$B$2:$BI$155,MATCH($A104,Raw_매출!$A$2:$A$155,0),MATCH(EDATE($E104,AE$1-1),Raw_매출!$B$1:$BI$1,0))=0,"",INDEX(Raw_매출!$B$2:$BI$155,MATCH($A104,Raw_매출!$A$2:$A$155,0),MATCH(EDATE($E104,AE$1-1),Raw_매출!$B$1:$BI$1,0))/(INDEX(요약_월별시즈널리티!$F$7:$F$18,MONTH(EDATE($E104,AE$1-1)))/100))),"")</f>
        <v>6466772.9717236347</v>
      </c>
      <c r="AF104" cm="1">
        <f t="array" ref="AF104">IFERROR(IF($E104&lt;44348,"",IF(INDEX(Raw_매출!$B$2:$BI$155,MATCH($A104,Raw_매출!$A$2:$A$155,0),MATCH(EDATE($E104,AF$1-1),Raw_매출!$B$1:$BI$1,0))=0,"",INDEX(Raw_매출!$B$2:$BI$155,MATCH($A104,Raw_매출!$A$2:$A$155,0),MATCH(EDATE($E104,AF$1-1),Raw_매출!$B$1:$BI$1,0))/(INDEX(요약_월별시즈널리티!$F$7:$F$18,MONTH(EDATE($E104,AF$1-1)))/100))),"")</f>
        <v>5560241.5600904524</v>
      </c>
      <c r="AG104" cm="1">
        <f t="array" ref="AG104">IFERROR(IF($E104&lt;44348,"",IF(INDEX(Raw_매출!$B$2:$BI$155,MATCH($A104,Raw_매출!$A$2:$A$155,0),MATCH(EDATE($E104,AG$1-1),Raw_매출!$B$1:$BI$1,0))=0,"",INDEX(Raw_매출!$B$2:$BI$155,MATCH($A104,Raw_매출!$A$2:$A$155,0),MATCH(EDATE($E104,AG$1-1),Raw_매출!$B$1:$BI$1,0))/(INDEX(요약_월별시즈널리티!$F$7:$F$18,MONTH(EDATE($E104,AG$1-1)))/100))),"")</f>
        <v>7765281.1255016765</v>
      </c>
      <c r="AH104" cm="1">
        <f t="array" ref="AH104">IFERROR(IF($E104&lt;44348,"",IF(INDEX(Raw_매출!$B$2:$BI$155,MATCH($A104,Raw_매출!$A$2:$A$155,0),MATCH(EDATE($E104,AH$1-1),Raw_매출!$B$1:$BI$1,0))=0,"",INDEX(Raw_매출!$B$2:$BI$155,MATCH($A104,Raw_매출!$A$2:$A$155,0),MATCH(EDATE($E104,AH$1-1),Raw_매출!$B$1:$BI$1,0))/(INDEX(요약_월별시즈널리티!$F$7:$F$18,MONTH(EDATE($E104,AH$1-1)))/100))),"")</f>
        <v>7469078.2723600585</v>
      </c>
      <c r="AI104" cm="1">
        <f t="array" ref="AI104">IFERROR(IF($E104&lt;44348,"",IF(INDEX(Raw_매출!$B$2:$BI$155,MATCH($A104,Raw_매출!$A$2:$A$155,0),MATCH(EDATE($E104,AI$1-1),Raw_매출!$B$1:$BI$1,0))=0,"",INDEX(Raw_매출!$B$2:$BI$155,MATCH($A104,Raw_매출!$A$2:$A$155,0),MATCH(EDATE($E104,AI$1-1),Raw_매출!$B$1:$BI$1,0))/(INDEX(요약_월별시즈널리티!$F$7:$F$18,MONTH(EDATE($E104,AI$1-1)))/100))),"")</f>
        <v>8011003.1667814413</v>
      </c>
      <c r="AJ104" cm="1">
        <f t="array" ref="AJ104">IFERROR(IF($E104&lt;44348,"",IF(INDEX(Raw_매출!$B$2:$BI$155,MATCH($A104,Raw_매출!$A$2:$A$155,0),MATCH(EDATE($E104,AJ$1-1),Raw_매출!$B$1:$BI$1,0))=0,"",INDEX(Raw_매출!$B$2:$BI$155,MATCH($A104,Raw_매출!$A$2:$A$155,0),MATCH(EDATE($E104,AJ$1-1),Raw_매출!$B$1:$BI$1,0))/(INDEX(요약_월별시즈널리티!$F$7:$F$18,MONTH(EDATE($E104,AJ$1-1)))/100))),"")</f>
        <v>7997530.368107195</v>
      </c>
      <c r="AK104" cm="1">
        <f t="array" ref="AK104">IFERROR(IF($E104&lt;44348,"",IF(INDEX(Raw_매출!$B$2:$BI$155,MATCH($A104,Raw_매출!$A$2:$A$155,0),MATCH(EDATE($E104,AK$1-1),Raw_매출!$B$1:$BI$1,0))=0,"",INDEX(Raw_매출!$B$2:$BI$155,MATCH($A104,Raw_매출!$A$2:$A$155,0),MATCH(EDATE($E104,AK$1-1),Raw_매출!$B$1:$BI$1,0))/(INDEX(요약_월별시즈널리티!$F$7:$F$18,MONTH(EDATE($E104,AK$1-1)))/100))),"")</f>
        <v>8511472.4716009069</v>
      </c>
      <c r="AL104" t="str" cm="1">
        <f t="array" ref="AL104">IFERROR(IF($E104&lt;44348,"",IF(INDEX(Raw_매출!$B$2:$BI$155,MATCH($A104,Raw_매출!$A$2:$A$155,0),MATCH(EDATE($E104,AL$1-1),Raw_매출!$B$1:$BI$1,0))=0,"",INDEX(Raw_매출!$B$2:$BI$155,MATCH($A104,Raw_매출!$A$2:$A$155,0),MATCH(EDATE($E104,AL$1-1),Raw_매출!$B$1:$BI$1,0))/(INDEX(요약_월별시즈널리티!$F$7:$F$18,MONTH(EDATE($E104,AL$1-1)))/100))),"")</f>
        <v/>
      </c>
      <c r="AM104" t="str" cm="1">
        <f t="array" ref="AM104">IFERROR(IF($E104&lt;44348,"",IF(INDEX(Raw_매출!$B$2:$BI$155,MATCH($A104,Raw_매출!$A$2:$A$155,0),MATCH(EDATE($E104,AM$1-1),Raw_매출!$B$1:$BI$1,0))=0,"",INDEX(Raw_매출!$B$2:$BI$155,MATCH($A104,Raw_매출!$A$2:$A$155,0),MATCH(EDATE($E104,AM$1-1),Raw_매출!$B$1:$BI$1,0))/(INDEX(요약_월별시즈널리티!$F$7:$F$18,MONTH(EDATE($E104,AM$1-1)))/100))),"")</f>
        <v/>
      </c>
      <c r="AN104" t="str" cm="1">
        <f t="array" ref="AN104">IFERROR(IF($E104&lt;44348,"",IF(INDEX(Raw_매출!$B$2:$BI$155,MATCH($A104,Raw_매출!$A$2:$A$155,0),MATCH(EDATE($E104,AN$1-1),Raw_매출!$B$1:$BI$1,0))=0,"",INDEX(Raw_매출!$B$2:$BI$155,MATCH($A104,Raw_매출!$A$2:$A$155,0),MATCH(EDATE($E104,AN$1-1),Raw_매출!$B$1:$BI$1,0))/(INDEX(요약_월별시즈널리티!$F$7:$F$18,MONTH(EDATE($E104,AN$1-1)))/100))),"")</f>
        <v/>
      </c>
      <c r="AO104" t="str" cm="1">
        <f t="array" ref="AO104">IFERROR(IF($E104&lt;44348,"",IF(INDEX(Raw_매출!$B$2:$BI$155,MATCH($A104,Raw_매출!$A$2:$A$155,0),MATCH(EDATE($E104,AO$1-1),Raw_매출!$B$1:$BI$1,0))=0,"",INDEX(Raw_매출!$B$2:$BI$155,MATCH($A104,Raw_매출!$A$2:$A$155,0),MATCH(EDATE($E104,AO$1-1),Raw_매출!$B$1:$BI$1,0))/(INDEX(요약_월별시즈널리티!$F$7:$F$18,MONTH(EDATE($E104,AO$1-1)))/100))),"")</f>
        <v/>
      </c>
      <c r="AP104" t="str" cm="1">
        <f t="array" ref="AP104">IFERROR(IF($E104&lt;44348,"",IF(INDEX(Raw_매출!$B$2:$BI$155,MATCH($A104,Raw_매출!$A$2:$A$155,0),MATCH(EDATE($E104,AP$1-1),Raw_매출!$B$1:$BI$1,0))=0,"",INDEX(Raw_매출!$B$2:$BI$155,MATCH($A104,Raw_매출!$A$2:$A$155,0),MATCH(EDATE($E104,AP$1-1),Raw_매출!$B$1:$BI$1,0))/(INDEX(요약_월별시즈널리티!$F$7:$F$18,MONTH(EDATE($E104,AP$1-1)))/100))),"")</f>
        <v/>
      </c>
      <c r="AQ104" t="str" cm="1">
        <f t="array" ref="AQ104">IFERROR(IF($E104&lt;44348,"",IF(INDEX(Raw_매출!$B$2:$BI$155,MATCH($A104,Raw_매출!$A$2:$A$155,0),MATCH(EDATE($E104,AQ$1-1),Raw_매출!$B$1:$BI$1,0))=0,"",INDEX(Raw_매출!$B$2:$BI$155,MATCH($A104,Raw_매출!$A$2:$A$155,0),MATCH(EDATE($E104,AQ$1-1),Raw_매출!$B$1:$BI$1,0))/(INDEX(요약_월별시즈널리티!$F$7:$F$18,MONTH(EDATE($E104,AQ$1-1)))/100))),"")</f>
        <v/>
      </c>
      <c r="AR104" t="str" cm="1">
        <f t="array" ref="AR104">IFERROR(IF($E104&lt;44348,"",IF(INDEX(Raw_매출!$B$2:$BI$155,MATCH($A104,Raw_매출!$A$2:$A$155,0),MATCH(EDATE($E104,AR$1-1),Raw_매출!$B$1:$BI$1,0))=0,"",INDEX(Raw_매출!$B$2:$BI$155,MATCH($A104,Raw_매출!$A$2:$A$155,0),MATCH(EDATE($E104,AR$1-1),Raw_매출!$B$1:$BI$1,0))/(INDEX(요약_월별시즈널리티!$F$7:$F$18,MONTH(EDATE($E104,AR$1-1)))/100))),"")</f>
        <v/>
      </c>
      <c r="AS104" t="str" cm="1">
        <f t="array" ref="AS104">IFERROR(IF($E104&lt;44348,"",IF(INDEX(Raw_매출!$B$2:$BI$155,MATCH($A104,Raw_매출!$A$2:$A$155,0),MATCH(EDATE($E104,AS$1-1),Raw_매출!$B$1:$BI$1,0))=0,"",INDEX(Raw_매출!$B$2:$BI$155,MATCH($A104,Raw_매출!$A$2:$A$155,0),MATCH(EDATE($E104,AS$1-1),Raw_매출!$B$1:$BI$1,0))/(INDEX(요약_월별시즈널리티!$F$7:$F$18,MONTH(EDATE($E104,AS$1-1)))/100))),"")</f>
        <v/>
      </c>
      <c r="AT104" t="str" cm="1">
        <f t="array" ref="AT104">IFERROR(IF($E104&lt;44348,"",IF(INDEX(Raw_매출!$B$2:$BI$155,MATCH($A104,Raw_매출!$A$2:$A$155,0),MATCH(EDATE($E104,AT$1-1),Raw_매출!$B$1:$BI$1,0))=0,"",INDEX(Raw_매출!$B$2:$BI$155,MATCH($A104,Raw_매출!$A$2:$A$155,0),MATCH(EDATE($E104,AT$1-1),Raw_매출!$B$1:$BI$1,0))/(INDEX(요약_월별시즈널리티!$F$7:$F$18,MONTH(EDATE($E104,AT$1-1)))/100))),"")</f>
        <v/>
      </c>
      <c r="AU104" t="str" cm="1">
        <f t="array" ref="AU104">IFERROR(IF($E104&lt;44348,"",IF(INDEX(Raw_매출!$B$2:$BI$155,MATCH($A104,Raw_매출!$A$2:$A$155,0),MATCH(EDATE($E104,AU$1-1),Raw_매출!$B$1:$BI$1,0))=0,"",INDEX(Raw_매출!$B$2:$BI$155,MATCH($A104,Raw_매출!$A$2:$A$155,0),MATCH(EDATE($E104,AU$1-1),Raw_매출!$B$1:$BI$1,0))/(INDEX(요약_월별시즈널리티!$F$7:$F$18,MONTH(EDATE($E104,AU$1-1)))/100))),"")</f>
        <v/>
      </c>
      <c r="AV104" t="str" cm="1">
        <f t="array" ref="AV104">IFERROR(IF($E104&lt;44348,"",IF(INDEX(Raw_매출!$B$2:$BI$155,MATCH($A104,Raw_매출!$A$2:$A$155,0),MATCH(EDATE($E104,AV$1-1),Raw_매출!$B$1:$BI$1,0))=0,"",INDEX(Raw_매출!$B$2:$BI$155,MATCH($A104,Raw_매출!$A$2:$A$155,0),MATCH(EDATE($E104,AV$1-1),Raw_매출!$B$1:$BI$1,0))/(INDEX(요약_월별시즈널리티!$F$7:$F$18,MONTH(EDATE($E104,AV$1-1)))/100))),"")</f>
        <v/>
      </c>
      <c r="AW104" t="str" cm="1">
        <f t="array" ref="AW104">IFERROR(IF($E104&lt;44348,"",IF(INDEX(Raw_매출!$B$2:$BI$155,MATCH($A104,Raw_매출!$A$2:$A$155,0),MATCH(EDATE($E104,AW$1-1),Raw_매출!$B$1:$BI$1,0))=0,"",INDEX(Raw_매출!$B$2:$BI$155,MATCH($A104,Raw_매출!$A$2:$A$155,0),MATCH(EDATE($E104,AW$1-1),Raw_매출!$B$1:$BI$1,0))/(INDEX(요약_월별시즈널리티!$F$7:$F$18,MONTH(EDATE($E104,AW$1-1)))/100))),"")</f>
        <v/>
      </c>
      <c r="AX104" t="str" cm="1">
        <f t="array" ref="AX104">IFERROR(IF($E104&lt;44348,"",IF(INDEX(Raw_매출!$B$2:$BI$155,MATCH($A104,Raw_매출!$A$2:$A$155,0),MATCH(EDATE($E104,AX$1-1),Raw_매출!$B$1:$BI$1,0))=0,"",INDEX(Raw_매출!$B$2:$BI$155,MATCH($A104,Raw_매출!$A$2:$A$155,0),MATCH(EDATE($E104,AX$1-1),Raw_매출!$B$1:$BI$1,0))/(INDEX(요약_월별시즈널리티!$F$7:$F$18,MONTH(EDATE($E104,AX$1-1)))/100))),"")</f>
        <v/>
      </c>
      <c r="AY104" t="str" cm="1">
        <f t="array" ref="AY104">IFERROR(IF($E104&lt;44348,"",IF(INDEX(Raw_매출!$B$2:$BI$155,MATCH($A104,Raw_매출!$A$2:$A$155,0),MATCH(EDATE($E104,AY$1-1),Raw_매출!$B$1:$BI$1,0))=0,"",INDEX(Raw_매출!$B$2:$BI$155,MATCH($A104,Raw_매출!$A$2:$A$155,0),MATCH(EDATE($E104,AY$1-1),Raw_매출!$B$1:$BI$1,0))/(INDEX(요약_월별시즈널리티!$F$7:$F$18,MONTH(EDATE($E104,AY$1-1)))/100))),"")</f>
        <v/>
      </c>
      <c r="AZ104" t="str" cm="1">
        <f t="array" ref="AZ104">IFERROR(IF($E104&lt;44348,"",IF(INDEX(Raw_매출!$B$2:$BI$155,MATCH($A104,Raw_매출!$A$2:$A$155,0),MATCH(EDATE($E104,AZ$1-1),Raw_매출!$B$1:$BI$1,0))=0,"",INDEX(Raw_매출!$B$2:$BI$155,MATCH($A104,Raw_매출!$A$2:$A$155,0),MATCH(EDATE($E104,AZ$1-1),Raw_매출!$B$1:$BI$1,0))/(INDEX(요약_월별시즈널리티!$F$7:$F$18,MONTH(EDATE($E104,AZ$1-1)))/100))),"")</f>
        <v/>
      </c>
      <c r="BA104" t="str" cm="1">
        <f t="array" ref="BA104">IFERROR(IF($E104&lt;44348,"",IF(INDEX(Raw_매출!$B$2:$BI$155,MATCH($A104,Raw_매출!$A$2:$A$155,0),MATCH(EDATE($E104,BA$1-1),Raw_매출!$B$1:$BI$1,0))=0,"",INDEX(Raw_매출!$B$2:$BI$155,MATCH($A104,Raw_매출!$A$2:$A$155,0),MATCH(EDATE($E104,BA$1-1),Raw_매출!$B$1:$BI$1,0))/(INDEX(요약_월별시즈널리티!$F$7:$F$18,MONTH(EDATE($E104,BA$1-1)))/100))),"")</f>
        <v/>
      </c>
      <c r="BB104" t="str" cm="1">
        <f t="array" ref="BB104">IFERROR(IF($E104&lt;44348,"",IF(INDEX(Raw_매출!$B$2:$BI$155,MATCH($A104,Raw_매출!$A$2:$A$155,0),MATCH(EDATE($E104,BB$1-1),Raw_매출!$B$1:$BI$1,0))=0,"",INDEX(Raw_매출!$B$2:$BI$155,MATCH($A104,Raw_매출!$A$2:$A$155,0),MATCH(EDATE($E104,BB$1-1),Raw_매출!$B$1:$BI$1,0))/(INDEX(요약_월별시즈널리티!$F$7:$F$18,MONTH(EDATE($E104,BB$1-1)))/100))),"")</f>
        <v/>
      </c>
      <c r="BC104" t="str" cm="1">
        <f t="array" ref="BC104">IFERROR(IF($E104&lt;44348,"",IF(INDEX(Raw_매출!$B$2:$BI$155,MATCH($A104,Raw_매출!$A$2:$A$155,0),MATCH(EDATE($E104,BC$1-1),Raw_매출!$B$1:$BI$1,0))=0,"",INDEX(Raw_매출!$B$2:$BI$155,MATCH($A104,Raw_매출!$A$2:$A$155,0),MATCH(EDATE($E104,BC$1-1),Raw_매출!$B$1:$BI$1,0))/(INDEX(요약_월별시즈널리티!$F$7:$F$18,MONTH(EDATE($E104,BC$1-1)))/100))),"")</f>
        <v/>
      </c>
      <c r="BD104" t="str" cm="1">
        <f t="array" ref="BD104">IFERROR(IF($E104&lt;44348,"",IF(INDEX(Raw_매출!$B$2:$BI$155,MATCH($A104,Raw_매출!$A$2:$A$155,0),MATCH(EDATE($E104,BD$1-1),Raw_매출!$B$1:$BI$1,0))=0,"",INDEX(Raw_매출!$B$2:$BI$155,MATCH($A104,Raw_매출!$A$2:$A$155,0),MATCH(EDATE($E104,BD$1-1),Raw_매출!$B$1:$BI$1,0))/(INDEX(요약_월별시즈널리티!$F$7:$F$18,MONTH(EDATE($E104,BD$1-1)))/100))),"")</f>
        <v/>
      </c>
      <c r="BE104" t="str" cm="1">
        <f t="array" ref="BE104">IFERROR(IF($E104&lt;44348,"",IF(INDEX(Raw_매출!$B$2:$BI$155,MATCH($A104,Raw_매출!$A$2:$A$155,0),MATCH(EDATE($E104,BE$1-1),Raw_매출!$B$1:$BI$1,0))=0,"",INDEX(Raw_매출!$B$2:$BI$155,MATCH($A104,Raw_매출!$A$2:$A$155,0),MATCH(EDATE($E104,BE$1-1),Raw_매출!$B$1:$BI$1,0))/(INDEX(요약_월별시즈널리티!$F$7:$F$18,MONTH(EDATE($E104,BE$1-1)))/100))),"")</f>
        <v/>
      </c>
      <c r="BF104" t="str" cm="1">
        <f t="array" ref="BF104">IFERROR(IF($E104&lt;44348,"",IF(INDEX(Raw_매출!$B$2:$BI$155,MATCH($A104,Raw_매출!$A$2:$A$155,0),MATCH(EDATE($E104,BF$1-1),Raw_매출!$B$1:$BI$1,0))=0,"",INDEX(Raw_매출!$B$2:$BI$155,MATCH($A104,Raw_매출!$A$2:$A$155,0),MATCH(EDATE($E104,BF$1-1),Raw_매출!$B$1:$BI$1,0))/(INDEX(요약_월별시즈널리티!$F$7:$F$18,MONTH(EDATE($E104,BF$1-1)))/100))),"")</f>
        <v/>
      </c>
      <c r="BG104" t="str" cm="1">
        <f t="array" ref="BG104">IFERROR(IF($E104&lt;44348,"",IF(INDEX(Raw_매출!$B$2:$BI$155,MATCH($A104,Raw_매출!$A$2:$A$155,0),MATCH(EDATE($E104,BG$1-1),Raw_매출!$B$1:$BI$1,0))=0,"",INDEX(Raw_매출!$B$2:$BI$155,MATCH($A104,Raw_매출!$A$2:$A$155,0),MATCH(EDATE($E104,BG$1-1),Raw_매출!$B$1:$BI$1,0))/(INDEX(요약_월별시즈널리티!$F$7:$F$18,MONTH(EDATE($E104,BG$1-1)))/100))),"")</f>
        <v/>
      </c>
      <c r="BH104" t="str" cm="1">
        <f t="array" ref="BH104">IFERROR(IF($E104&lt;44348,"",IF(INDEX(Raw_매출!$B$2:$BI$155,MATCH($A104,Raw_매출!$A$2:$A$155,0),MATCH(EDATE($E104,BH$1-1),Raw_매출!$B$1:$BI$1,0))=0,"",INDEX(Raw_매출!$B$2:$BI$155,MATCH($A104,Raw_매출!$A$2:$A$155,0),MATCH(EDATE($E104,BH$1-1),Raw_매출!$B$1:$BI$1,0))/(INDEX(요약_월별시즈널리티!$F$7:$F$18,MONTH(EDATE($E104,BH$1-1)))/100))),"")</f>
        <v/>
      </c>
      <c r="BI104" t="str" cm="1">
        <f t="array" ref="BI104">IFERROR(IF($E104&lt;44348,"",IF(INDEX(Raw_매출!$B$2:$BI$155,MATCH($A104,Raw_매출!$A$2:$A$155,0),MATCH(EDATE($E104,BI$1-1),Raw_매출!$B$1:$BI$1,0))=0,"",INDEX(Raw_매출!$B$2:$BI$155,MATCH($A104,Raw_매출!$A$2:$A$155,0),MATCH(EDATE($E104,BI$1-1),Raw_매출!$B$1:$BI$1,0))/(INDEX(요약_월별시즈널리티!$F$7:$F$18,MONTH(EDATE($E104,BI$1-1)))/100))),"")</f>
        <v/>
      </c>
      <c r="BJ104" t="str" cm="1">
        <f t="array" ref="BJ104">IFERROR(IF($E104&lt;44348,"",IF(INDEX(Raw_매출!$B$2:$BI$155,MATCH($A104,Raw_매출!$A$2:$A$155,0),MATCH(EDATE($E104,BJ$1-1),Raw_매출!$B$1:$BI$1,0))=0,"",INDEX(Raw_매출!$B$2:$BI$155,MATCH($A104,Raw_매출!$A$2:$A$155,0),MATCH(EDATE($E104,BJ$1-1),Raw_매출!$B$1:$BI$1,0))/(INDEX(요약_월별시즈널리티!$F$7:$F$18,MONTH(EDATE($E104,BJ$1-1)))/100))),"")</f>
        <v/>
      </c>
      <c r="BK104" t="str" cm="1">
        <f t="array" ref="BK104">IFERROR(IF($E104&lt;44348,"",IF(INDEX(Raw_매출!$B$2:$BI$155,MATCH($A104,Raw_매출!$A$2:$A$155,0),MATCH(EDATE($E104,BK$1-1),Raw_매출!$B$1:$BI$1,0))=0,"",INDEX(Raw_매출!$B$2:$BI$155,MATCH($A104,Raw_매출!$A$2:$A$155,0),MATCH(EDATE($E104,BK$1-1),Raw_매출!$B$1:$BI$1,0))/(INDEX(요약_월별시즈널리티!$F$7:$F$18,MONTH(EDATE($E104,BK$1-1)))/100))),"")</f>
        <v/>
      </c>
      <c r="BL104" t="str" cm="1">
        <f t="array" ref="BL104">IFERROR(IF($E104&lt;44348,"",IF(INDEX(Raw_매출!$B$2:$BI$155,MATCH($A104,Raw_매출!$A$2:$A$155,0),MATCH(EDATE($E104,BL$1-1),Raw_매출!$B$1:$BI$1,0))=0,"",INDEX(Raw_매출!$B$2:$BI$155,MATCH($A104,Raw_매출!$A$2:$A$155,0),MATCH(EDATE($E104,BL$1-1),Raw_매출!$B$1:$BI$1,0))/(INDEX(요약_월별시즈널리티!$F$7:$F$18,MONTH(EDATE($E104,BL$1-1)))/100))),"")</f>
        <v/>
      </c>
      <c r="BM104" t="str" cm="1">
        <f t="array" ref="BM104">IFERROR(IF($E104&lt;44348,"",IF(INDEX(Raw_매출!$B$2:$BI$155,MATCH($A104,Raw_매출!$A$2:$A$155,0),MATCH(EDATE($E104,BM$1-1),Raw_매출!$B$1:$BI$1,0))=0,"",INDEX(Raw_매출!$B$2:$BI$155,MATCH($A104,Raw_매출!$A$2:$A$155,0),MATCH(EDATE($E104,BM$1-1),Raw_매출!$B$1:$BI$1,0))/(INDEX(요약_월별시즈널리티!$F$7:$F$18,MONTH(EDATE($E104,BM$1-1)))/100))),"")</f>
        <v/>
      </c>
      <c r="BN104" t="str" cm="1">
        <f t="array" ref="BN104">IFERROR(IF($E104&lt;44348,"",IF(INDEX(Raw_매출!$B$2:$BI$155,MATCH($A104,Raw_매출!$A$2:$A$155,0),MATCH(EDATE($E104,BN$1-1),Raw_매출!$B$1:$BI$1,0))=0,"",INDEX(Raw_매출!$B$2:$BI$155,MATCH($A104,Raw_매출!$A$2:$A$155,0),MATCH(EDATE($E104,BN$1-1),Raw_매출!$B$1:$BI$1,0))/(INDEX(요약_월별시즈널리티!$F$7:$F$18,MONTH(EDATE($E104,BN$1-1)))/100))),"")</f>
        <v/>
      </c>
    </row>
    <row r="105" spans="1:66" x14ac:dyDescent="0.4">
      <c r="A105" t="str">
        <f>세팅!A106</f>
        <v>(1094) #숙명여대정문점</v>
      </c>
      <c r="B105" t="str">
        <f>세팅!B106</f>
        <v>150-1</v>
      </c>
      <c r="C105">
        <f t="shared" si="3"/>
        <v>1</v>
      </c>
      <c r="D105" t="str">
        <f t="shared" si="4"/>
        <v>1</v>
      </c>
      <c r="E105" s="1">
        <f>세팅!D106</f>
        <v>45261</v>
      </c>
      <c r="F105">
        <f t="shared" si="5"/>
        <v>4274869.6454020981</v>
      </c>
      <c r="G105" cm="1">
        <f t="array" ref="G105">IFERROR(IF($E105&lt;44348,"",IF(INDEX(Raw_매출!$B$2:$BI$155,MATCH($A105,Raw_매출!$A$2:$A$155,0),MATCH(EDATE($E105,G$1-1),Raw_매출!$B$1:$BI$1,0))=0,"",INDEX(Raw_매출!$B$2:$BI$155,MATCH($A105,Raw_매출!$A$2:$A$155,0),MATCH(EDATE($E105,G$1-1),Raw_매출!$B$1:$BI$1,0))/(INDEX(요약_월별시즈널리티!$F$7:$F$18,MONTH(EDATE($E105,G$1-1)))/100))),"")</f>
        <v>3190091.2146638175</v>
      </c>
      <c r="H105" cm="1">
        <f t="array" ref="H105">IFERROR(IF($E105&lt;44348,"",IF(INDEX(Raw_매출!$B$2:$BI$155,MATCH($A105,Raw_매출!$A$2:$A$155,0),MATCH(EDATE($E105,H$1-1),Raw_매출!$B$1:$BI$1,0))=0,"",INDEX(Raw_매출!$B$2:$BI$155,MATCH($A105,Raw_매출!$A$2:$A$155,0),MATCH(EDATE($E105,H$1-1),Raw_매출!$B$1:$BI$1,0))/(INDEX(요약_월별시즈널리티!$F$7:$F$18,MONTH(EDATE($E105,H$1-1)))/100))),"")</f>
        <v>3252378.0074888011</v>
      </c>
      <c r="I105" cm="1">
        <f t="array" ref="I105">IFERROR(IF($E105&lt;44348,"",IF(INDEX(Raw_매출!$B$2:$BI$155,MATCH($A105,Raw_매출!$A$2:$A$155,0),MATCH(EDATE($E105,I$1-1),Raw_매출!$B$1:$BI$1,0))=0,"",INDEX(Raw_매출!$B$2:$BI$155,MATCH($A105,Raw_매출!$A$2:$A$155,0),MATCH(EDATE($E105,I$1-1),Raw_매출!$B$1:$BI$1,0))/(INDEX(요약_월별시즈널리티!$F$7:$F$18,MONTH(EDATE($E105,I$1-1)))/100))),"")</f>
        <v>3415714.7334092786</v>
      </c>
      <c r="J105" s="30" cm="1">
        <f t="array" ref="J105">IFERROR(IF($E105&lt;44348,"",IF(INDEX(Raw_매출!$B$2:$BI$155,MATCH($A105,Raw_매출!$A$2:$A$155,0),MATCH(EDATE($E105,J$1-1),Raw_매출!$B$1:$BI$1,0))=0,"",INDEX(Raw_매출!$B$2:$BI$155,MATCH($A105,Raw_매출!$A$2:$A$155,0),MATCH(EDATE($E105,J$1-1),Raw_매출!$B$1:$BI$1,0))/(INDEX(요약_월별시즈널리티!$F$7:$F$18,MONTH(EDATE($E105,J$1-1)))/100))),"")</f>
        <v>4037887.5889837658</v>
      </c>
      <c r="K105" s="30" cm="1">
        <f t="array" ref="K105">IFERROR(IF($E105&lt;44348,"",IF(INDEX(Raw_매출!$B$2:$BI$155,MATCH($A105,Raw_매출!$A$2:$A$155,0),MATCH(EDATE($E105,K$1-1),Raw_매출!$B$1:$BI$1,0))=0,"",INDEX(Raw_매출!$B$2:$BI$155,MATCH($A105,Raw_매출!$A$2:$A$155,0),MATCH(EDATE($E105,K$1-1),Raw_매출!$B$1:$BI$1,0))/(INDEX(요약_월별시즈널리티!$F$7:$F$18,MONTH(EDATE($E105,K$1-1)))/100))),"")</f>
        <v>4456200.8205708247</v>
      </c>
      <c r="L105" s="30" cm="1">
        <f t="array" ref="L105">IFERROR(IF($E105&lt;44348,"",IF(INDEX(Raw_매출!$B$2:$BI$155,MATCH($A105,Raw_매출!$A$2:$A$155,0),MATCH(EDATE($E105,L$1-1),Raw_매출!$B$1:$BI$1,0))=0,"",INDEX(Raw_매출!$B$2:$BI$155,MATCH($A105,Raw_매출!$A$2:$A$155,0),MATCH(EDATE($E105,L$1-1),Raw_매출!$B$1:$BI$1,0))/(INDEX(요약_월별시즈널리티!$F$7:$F$18,MONTH(EDATE($E105,L$1-1)))/100))),"")</f>
        <v>3875446.2560751904</v>
      </c>
      <c r="M105" s="30" cm="1">
        <f t="array" ref="M105">IFERROR(IF($E105&lt;44348,"",IF(INDEX(Raw_매출!$B$2:$BI$155,MATCH($A105,Raw_매출!$A$2:$A$155,0),MATCH(EDATE($E105,M$1-1),Raw_매출!$B$1:$BI$1,0))=0,"",INDEX(Raw_매출!$B$2:$BI$155,MATCH($A105,Raw_매출!$A$2:$A$155,0),MATCH(EDATE($E105,M$1-1),Raw_매출!$B$1:$BI$1,0))/(INDEX(요약_월별시즈널리티!$F$7:$F$18,MONTH(EDATE($E105,M$1-1)))/100))),"")</f>
        <v>4437917.8513052016</v>
      </c>
      <c r="N105" s="30" cm="1">
        <f t="array" ref="N105">IFERROR(IF($E105&lt;44348,"",IF(INDEX(Raw_매출!$B$2:$BI$155,MATCH($A105,Raw_매출!$A$2:$A$155,0),MATCH(EDATE($E105,N$1-1),Raw_매출!$B$1:$BI$1,0))=0,"",INDEX(Raw_매출!$B$2:$BI$155,MATCH($A105,Raw_매출!$A$2:$A$155,0),MATCH(EDATE($E105,N$1-1),Raw_매출!$B$1:$BI$1,0))/(INDEX(요약_월별시즈널리티!$F$7:$F$18,MONTH(EDATE($E105,N$1-1)))/100))),"")</f>
        <v>4480894.6522816243</v>
      </c>
      <c r="O105" s="30" cm="1">
        <f t="array" ref="O105">IFERROR(IF($E105&lt;44348,"",IF(INDEX(Raw_매출!$B$2:$BI$155,MATCH($A105,Raw_매출!$A$2:$A$155,0),MATCH(EDATE($E105,O$1-1),Raw_매출!$B$1:$BI$1,0))=0,"",INDEX(Raw_매출!$B$2:$BI$155,MATCH($A105,Raw_매출!$A$2:$A$155,0),MATCH(EDATE($E105,O$1-1),Raw_매출!$B$1:$BI$1,0))/(INDEX(요약_월별시즈널리티!$F$7:$F$18,MONTH(EDATE($E105,O$1-1)))/100))),"")</f>
        <v>4360870.7031959817</v>
      </c>
      <c r="P105" cm="1">
        <f t="array" ref="P105">IFERROR(IF($E105&lt;44348,"",IF(INDEX(Raw_매출!$B$2:$BI$155,MATCH($A105,Raw_매출!$A$2:$A$155,0),MATCH(EDATE($E105,P$1-1),Raw_매출!$B$1:$BI$1,0))=0,"",INDEX(Raw_매출!$B$2:$BI$155,MATCH($A105,Raw_매출!$A$2:$A$155,0),MATCH(EDATE($E105,P$1-1),Raw_매출!$B$1:$BI$1,0))/(INDEX(요약_월별시즈널리티!$F$7:$F$18,MONTH(EDATE($E105,P$1-1)))/100))),"")</f>
        <v>4457341.5833330974</v>
      </c>
      <c r="Q105" cm="1">
        <f t="array" ref="Q105">IFERROR(IF($E105&lt;44348,"",IF(INDEX(Raw_매출!$B$2:$BI$155,MATCH($A105,Raw_매출!$A$2:$A$155,0),MATCH(EDATE($E105,Q$1-1),Raw_매출!$B$1:$BI$1,0))=0,"",INDEX(Raw_매출!$B$2:$BI$155,MATCH($A105,Raw_매출!$A$2:$A$155,0),MATCH(EDATE($E105,Q$1-1),Raw_매출!$B$1:$BI$1,0))/(INDEX(요약_월별시즈널리티!$F$7:$F$18,MONTH(EDATE($E105,Q$1-1)))/100))),"")</f>
        <v>4463938.308465451</v>
      </c>
      <c r="R105" cm="1">
        <f t="array" ref="R105">IFERROR(IF($E105&lt;44348,"",IF(INDEX(Raw_매출!$B$2:$BI$155,MATCH($A105,Raw_매출!$A$2:$A$155,0),MATCH(EDATE($E105,R$1-1),Raw_매출!$B$1:$BI$1,0))=0,"",INDEX(Raw_매출!$B$2:$BI$155,MATCH($A105,Raw_매출!$A$2:$A$155,0),MATCH(EDATE($E105,R$1-1),Raw_매출!$B$1:$BI$1,0))/(INDEX(요약_월별시즈널리티!$F$7:$F$18,MONTH(EDATE($E105,R$1-1)))/100))),"")</f>
        <v>4398337.6893107546</v>
      </c>
      <c r="S105" cm="1">
        <f t="array" ref="S105">IFERROR(IF($E105&lt;44348,"",IF(INDEX(Raw_매출!$B$2:$BI$155,MATCH($A105,Raw_매출!$A$2:$A$155,0),MATCH(EDATE($E105,S$1-1),Raw_매출!$B$1:$BI$1,0))=0,"",INDEX(Raw_매출!$B$2:$BI$155,MATCH($A105,Raw_매출!$A$2:$A$155,0),MATCH(EDATE($E105,S$1-1),Raw_매출!$B$1:$BI$1,0))/(INDEX(요약_월별시즈널리티!$F$7:$F$18,MONTH(EDATE($E105,S$1-1)))/100))),"")</f>
        <v>4802972.5633502593</v>
      </c>
      <c r="T105" cm="1">
        <f t="array" ref="T105">IFERROR(IF($E105&lt;44348,"",IF(INDEX(Raw_매출!$B$2:$BI$155,MATCH($A105,Raw_매출!$A$2:$A$155,0),MATCH(EDATE($E105,T$1-1),Raw_매출!$B$1:$BI$1,0))=0,"",INDEX(Raw_매출!$B$2:$BI$155,MATCH($A105,Raw_매출!$A$2:$A$155,0),MATCH(EDATE($E105,T$1-1),Raw_매출!$B$1:$BI$1,0))/(INDEX(요약_월별시즈널리티!$F$7:$F$18,MONTH(EDATE($E105,T$1-1)))/100))),"")</f>
        <v>4755866.130836511</v>
      </c>
      <c r="U105" cm="1">
        <f t="array" ref="U105">IFERROR(IF($E105&lt;44348,"",IF(INDEX(Raw_매출!$B$2:$BI$155,MATCH($A105,Raw_매출!$A$2:$A$155,0),MATCH(EDATE($E105,U$1-1),Raw_매출!$B$1:$BI$1,0))=0,"",INDEX(Raw_매출!$B$2:$BI$155,MATCH($A105,Raw_매출!$A$2:$A$155,0),MATCH(EDATE($E105,U$1-1),Raw_매출!$B$1:$BI$1,0))/(INDEX(요약_월별시즈널리티!$F$7:$F$18,MONTH(EDATE($E105,U$1-1)))/100))),"")</f>
        <v>5108142.816602461</v>
      </c>
      <c r="V105" cm="1">
        <f t="array" ref="V105">IFERROR(IF($E105&lt;44348,"",IF(INDEX(Raw_매출!$B$2:$BI$155,MATCH($A105,Raw_매출!$A$2:$A$155,0),MATCH(EDATE($E105,V$1-1),Raw_매출!$B$1:$BI$1,0))=0,"",INDEX(Raw_매출!$B$2:$BI$155,MATCH($A105,Raw_매출!$A$2:$A$155,0),MATCH(EDATE($E105,V$1-1),Raw_매출!$B$1:$BI$1,0))/(INDEX(요약_월별시즈널리티!$F$7:$F$18,MONTH(EDATE($E105,V$1-1)))/100))),"")</f>
        <v>4844131.3837665822</v>
      </c>
      <c r="W105" cm="1">
        <f t="array" ref="W105">IFERROR(IF($E105&lt;44348,"",IF(INDEX(Raw_매출!$B$2:$BI$155,MATCH($A105,Raw_매출!$A$2:$A$155,0),MATCH(EDATE($E105,W$1-1),Raw_매출!$B$1:$BI$1,0))=0,"",INDEX(Raw_매출!$B$2:$BI$155,MATCH($A105,Raw_매출!$A$2:$A$155,0),MATCH(EDATE($E105,W$1-1),Raw_매출!$B$1:$BI$1,0))/(INDEX(요약_월별시즈널리티!$F$7:$F$18,MONTH(EDATE($E105,W$1-1)))/100))),"")</f>
        <v>4985848.9559965935</v>
      </c>
      <c r="X105" cm="1">
        <f t="array" ref="X105">IFERROR(IF($E105&lt;44348,"",IF(INDEX(Raw_매출!$B$2:$BI$155,MATCH($A105,Raw_매출!$A$2:$A$155,0),MATCH(EDATE($E105,X$1-1),Raw_매출!$B$1:$BI$1,0))=0,"",INDEX(Raw_매출!$B$2:$BI$155,MATCH($A105,Raw_매출!$A$2:$A$155,0),MATCH(EDATE($E105,X$1-1),Raw_매출!$B$1:$BI$1,0))/(INDEX(요약_월별시즈널리티!$F$7:$F$18,MONTH(EDATE($E105,X$1-1)))/100))),"")</f>
        <v>5165281.294371712</v>
      </c>
      <c r="Y105" cm="1">
        <f t="array" ref="Y105">IFERROR(IF($E105&lt;44348,"",IF(INDEX(Raw_매출!$B$2:$BI$155,MATCH($A105,Raw_매출!$A$2:$A$155,0),MATCH(EDATE($E105,Y$1-1),Raw_매출!$B$1:$BI$1,0))=0,"",INDEX(Raw_매출!$B$2:$BI$155,MATCH($A105,Raw_매출!$A$2:$A$155,0),MATCH(EDATE($E105,Y$1-1),Raw_매출!$B$1:$BI$1,0))/(INDEX(요약_월별시즈널리티!$F$7:$F$18,MONTH(EDATE($E105,Y$1-1)))/100))),"")</f>
        <v>4962042.6139611565</v>
      </c>
      <c r="Z105" cm="1">
        <f t="array" ref="Z105">IFERROR(IF($E105&lt;44348,"",IF(INDEX(Raw_매출!$B$2:$BI$155,MATCH($A105,Raw_매출!$A$2:$A$155,0),MATCH(EDATE($E105,Z$1-1),Raw_매출!$B$1:$BI$1,0))=0,"",INDEX(Raw_매출!$B$2:$BI$155,MATCH($A105,Raw_매출!$A$2:$A$155,0),MATCH(EDATE($E105,Z$1-1),Raw_매출!$B$1:$BI$1,0))/(INDEX(요약_월별시즈널리티!$F$7:$F$18,MONTH(EDATE($E105,Z$1-1)))/100))),"")</f>
        <v>4766664.4839606043</v>
      </c>
      <c r="AA105" cm="1">
        <f t="array" ref="AA105">IFERROR(IF($E105&lt;44348,"",IF(INDEX(Raw_매출!$B$2:$BI$155,MATCH($A105,Raw_매출!$A$2:$A$155,0),MATCH(EDATE($E105,AA$1-1),Raw_매출!$B$1:$BI$1,0))=0,"",INDEX(Raw_매출!$B$2:$BI$155,MATCH($A105,Raw_매출!$A$2:$A$155,0),MATCH(EDATE($E105,AA$1-1),Raw_매출!$B$1:$BI$1,0))/(INDEX(요약_월별시즈널리티!$F$7:$F$18,MONTH(EDATE($E105,AA$1-1)))/100))),"")</f>
        <v>4573315.7398350062</v>
      </c>
      <c r="AB105" cm="1">
        <f t="array" ref="AB105">IFERROR(IF($E105&lt;44348,"",IF(INDEX(Raw_매출!$B$2:$BI$155,MATCH($A105,Raw_매출!$A$2:$A$155,0),MATCH(EDATE($E105,AB$1-1),Raw_매출!$B$1:$BI$1,0))=0,"",INDEX(Raw_매출!$B$2:$BI$155,MATCH($A105,Raw_매출!$A$2:$A$155,0),MATCH(EDATE($E105,AB$1-1),Raw_매출!$B$1:$BI$1,0))/(INDEX(요약_월별시즈널리티!$F$7:$F$18,MONTH(EDATE($E105,AB$1-1)))/100))),"")</f>
        <v>4812972.0924421679</v>
      </c>
      <c r="AC105" cm="1">
        <f t="array" ref="AC105">IFERROR(IF($E105&lt;44348,"",IF(INDEX(Raw_매출!$B$2:$BI$155,MATCH($A105,Raw_매출!$A$2:$A$155,0),MATCH(EDATE($E105,AC$1-1),Raw_매출!$B$1:$BI$1,0))=0,"",INDEX(Raw_매출!$B$2:$BI$155,MATCH($A105,Raw_매출!$A$2:$A$155,0),MATCH(EDATE($E105,AC$1-1),Raw_매출!$B$1:$BI$1,0))/(INDEX(요약_월별시즈널리티!$F$7:$F$18,MONTH(EDATE($E105,AC$1-1)))/100))),"")</f>
        <v>5221110.5957569769</v>
      </c>
      <c r="AD105" cm="1">
        <f t="array" ref="AD105">IFERROR(IF($E105&lt;44348,"",IF(INDEX(Raw_매출!$B$2:$BI$155,MATCH($A105,Raw_매출!$A$2:$A$155,0),MATCH(EDATE($E105,AD$1-1),Raw_매출!$B$1:$BI$1,0))=0,"",INDEX(Raw_매출!$B$2:$BI$155,MATCH($A105,Raw_매출!$A$2:$A$155,0),MATCH(EDATE($E105,AD$1-1),Raw_매출!$B$1:$BI$1,0))/(INDEX(요약_월별시즈널리티!$F$7:$F$18,MONTH(EDATE($E105,AD$1-1)))/100))),"")</f>
        <v>4671494.0905020237</v>
      </c>
      <c r="AE105" cm="1">
        <f t="array" ref="AE105">IFERROR(IF($E105&lt;44348,"",IF(INDEX(Raw_매출!$B$2:$BI$155,MATCH($A105,Raw_매출!$A$2:$A$155,0),MATCH(EDATE($E105,AE$1-1),Raw_매출!$B$1:$BI$1,0))=0,"",INDEX(Raw_매출!$B$2:$BI$155,MATCH($A105,Raw_매출!$A$2:$A$155,0),MATCH(EDATE($E105,AE$1-1),Raw_매출!$B$1:$BI$1,0))/(INDEX(요약_월별시즈널리티!$F$7:$F$18,MONTH(EDATE($E105,AE$1-1)))/100))),"")</f>
        <v>4481638.8921967596</v>
      </c>
      <c r="AF105" cm="1">
        <f t="array" ref="AF105">IFERROR(IF($E105&lt;44348,"",IF(INDEX(Raw_매출!$B$2:$BI$155,MATCH($A105,Raw_매출!$A$2:$A$155,0),MATCH(EDATE($E105,AF$1-1),Raw_매출!$B$1:$BI$1,0))=0,"",INDEX(Raw_매출!$B$2:$BI$155,MATCH($A105,Raw_매출!$A$2:$A$155,0),MATCH(EDATE($E105,AF$1-1),Raw_매출!$B$1:$BI$1,0))/(INDEX(요약_월별시즈널리티!$F$7:$F$18,MONTH(EDATE($E105,AF$1-1)))/100))),"")</f>
        <v>5071541.1833526753</v>
      </c>
      <c r="AG105" cm="1">
        <f t="array" ref="AG105">IFERROR(IF($E105&lt;44348,"",IF(INDEX(Raw_매출!$B$2:$BI$155,MATCH($A105,Raw_매출!$A$2:$A$155,0),MATCH(EDATE($E105,AG$1-1),Raw_매출!$B$1:$BI$1,0))=0,"",INDEX(Raw_매출!$B$2:$BI$155,MATCH($A105,Raw_매출!$A$2:$A$155,0),MATCH(EDATE($E105,AG$1-1),Raw_매출!$B$1:$BI$1,0))/(INDEX(요약_월별시즈널리티!$F$7:$F$18,MONTH(EDATE($E105,AG$1-1)))/100))),"")</f>
        <v>4808075.5820221081</v>
      </c>
      <c r="AH105" cm="1">
        <f t="array" ref="AH105">IFERROR(IF($E105&lt;44348,"",IF(INDEX(Raw_매출!$B$2:$BI$155,MATCH($A105,Raw_매출!$A$2:$A$155,0),MATCH(EDATE($E105,AH$1-1),Raw_매출!$B$1:$BI$1,0))=0,"",INDEX(Raw_매출!$B$2:$BI$155,MATCH($A105,Raw_매출!$A$2:$A$155,0),MATCH(EDATE($E105,AH$1-1),Raw_매출!$B$1:$BI$1,0))/(INDEX(요약_월별시즈널리티!$F$7:$F$18,MONTH(EDATE($E105,AH$1-1)))/100))),"")</f>
        <v>4558749.6484311093</v>
      </c>
      <c r="AI105" cm="1">
        <f t="array" ref="AI105">IFERROR(IF($E105&lt;44348,"",IF(INDEX(Raw_매출!$B$2:$BI$155,MATCH($A105,Raw_매출!$A$2:$A$155,0),MATCH(EDATE($E105,AI$1-1),Raw_매출!$B$1:$BI$1,0))=0,"",INDEX(Raw_매출!$B$2:$BI$155,MATCH($A105,Raw_매출!$A$2:$A$155,0),MATCH(EDATE($E105,AI$1-1),Raw_매출!$B$1:$BI$1,0))/(INDEX(요약_월별시즈널리티!$F$7:$F$18,MONTH(EDATE($E105,AI$1-1)))/100))),"")</f>
        <v>5017641.7301447466</v>
      </c>
      <c r="AJ105" cm="1">
        <f t="array" ref="AJ105">IFERROR(IF($E105&lt;44348,"",IF(INDEX(Raw_매출!$B$2:$BI$155,MATCH($A105,Raw_매출!$A$2:$A$155,0),MATCH(EDATE($E105,AJ$1-1),Raw_매출!$B$1:$BI$1,0))=0,"",INDEX(Raw_매출!$B$2:$BI$155,MATCH($A105,Raw_매출!$A$2:$A$155,0),MATCH(EDATE($E105,AJ$1-1),Raw_매출!$B$1:$BI$1,0))/(INDEX(요약_월별시즈널리티!$F$7:$F$18,MONTH(EDATE($E105,AJ$1-1)))/100))),"")</f>
        <v>4865025.8891167045</v>
      </c>
      <c r="AK105" t="str" cm="1">
        <f t="array" ref="AK105">IFERROR(IF($E105&lt;44348,"",IF(INDEX(Raw_매출!$B$2:$BI$155,MATCH($A105,Raw_매출!$A$2:$A$155,0),MATCH(EDATE($E105,AK$1-1),Raw_매출!$B$1:$BI$1,0))=0,"",INDEX(Raw_매출!$B$2:$BI$155,MATCH($A105,Raw_매출!$A$2:$A$155,0),MATCH(EDATE($E105,AK$1-1),Raw_매출!$B$1:$BI$1,0))/(INDEX(요약_월별시즈널리티!$F$7:$F$18,MONTH(EDATE($E105,AK$1-1)))/100))),"")</f>
        <v/>
      </c>
      <c r="AL105" t="str" cm="1">
        <f t="array" ref="AL105">IFERROR(IF($E105&lt;44348,"",IF(INDEX(Raw_매출!$B$2:$BI$155,MATCH($A105,Raw_매출!$A$2:$A$155,0),MATCH(EDATE($E105,AL$1-1),Raw_매출!$B$1:$BI$1,0))=0,"",INDEX(Raw_매출!$B$2:$BI$155,MATCH($A105,Raw_매출!$A$2:$A$155,0),MATCH(EDATE($E105,AL$1-1),Raw_매출!$B$1:$BI$1,0))/(INDEX(요약_월별시즈널리티!$F$7:$F$18,MONTH(EDATE($E105,AL$1-1)))/100))),"")</f>
        <v/>
      </c>
      <c r="AM105" t="str" cm="1">
        <f t="array" ref="AM105">IFERROR(IF($E105&lt;44348,"",IF(INDEX(Raw_매출!$B$2:$BI$155,MATCH($A105,Raw_매출!$A$2:$A$155,0),MATCH(EDATE($E105,AM$1-1),Raw_매출!$B$1:$BI$1,0))=0,"",INDEX(Raw_매출!$B$2:$BI$155,MATCH($A105,Raw_매출!$A$2:$A$155,0),MATCH(EDATE($E105,AM$1-1),Raw_매출!$B$1:$BI$1,0))/(INDEX(요약_월별시즈널리티!$F$7:$F$18,MONTH(EDATE($E105,AM$1-1)))/100))),"")</f>
        <v/>
      </c>
      <c r="AN105" t="str" cm="1">
        <f t="array" ref="AN105">IFERROR(IF($E105&lt;44348,"",IF(INDEX(Raw_매출!$B$2:$BI$155,MATCH($A105,Raw_매출!$A$2:$A$155,0),MATCH(EDATE($E105,AN$1-1),Raw_매출!$B$1:$BI$1,0))=0,"",INDEX(Raw_매출!$B$2:$BI$155,MATCH($A105,Raw_매출!$A$2:$A$155,0),MATCH(EDATE($E105,AN$1-1),Raw_매출!$B$1:$BI$1,0))/(INDEX(요약_월별시즈널리티!$F$7:$F$18,MONTH(EDATE($E105,AN$1-1)))/100))),"")</f>
        <v/>
      </c>
      <c r="AO105" t="str" cm="1">
        <f t="array" ref="AO105">IFERROR(IF($E105&lt;44348,"",IF(INDEX(Raw_매출!$B$2:$BI$155,MATCH($A105,Raw_매출!$A$2:$A$155,0),MATCH(EDATE($E105,AO$1-1),Raw_매출!$B$1:$BI$1,0))=0,"",INDEX(Raw_매출!$B$2:$BI$155,MATCH($A105,Raw_매출!$A$2:$A$155,0),MATCH(EDATE($E105,AO$1-1),Raw_매출!$B$1:$BI$1,0))/(INDEX(요약_월별시즈널리티!$F$7:$F$18,MONTH(EDATE($E105,AO$1-1)))/100))),"")</f>
        <v/>
      </c>
      <c r="AP105" t="str" cm="1">
        <f t="array" ref="AP105">IFERROR(IF($E105&lt;44348,"",IF(INDEX(Raw_매출!$B$2:$BI$155,MATCH($A105,Raw_매출!$A$2:$A$155,0),MATCH(EDATE($E105,AP$1-1),Raw_매출!$B$1:$BI$1,0))=0,"",INDEX(Raw_매출!$B$2:$BI$155,MATCH($A105,Raw_매출!$A$2:$A$155,0),MATCH(EDATE($E105,AP$1-1),Raw_매출!$B$1:$BI$1,0))/(INDEX(요약_월별시즈널리티!$F$7:$F$18,MONTH(EDATE($E105,AP$1-1)))/100))),"")</f>
        <v/>
      </c>
      <c r="AQ105" t="str" cm="1">
        <f t="array" ref="AQ105">IFERROR(IF($E105&lt;44348,"",IF(INDEX(Raw_매출!$B$2:$BI$155,MATCH($A105,Raw_매출!$A$2:$A$155,0),MATCH(EDATE($E105,AQ$1-1),Raw_매출!$B$1:$BI$1,0))=0,"",INDEX(Raw_매출!$B$2:$BI$155,MATCH($A105,Raw_매출!$A$2:$A$155,0),MATCH(EDATE($E105,AQ$1-1),Raw_매출!$B$1:$BI$1,0))/(INDEX(요약_월별시즈널리티!$F$7:$F$18,MONTH(EDATE($E105,AQ$1-1)))/100))),"")</f>
        <v/>
      </c>
      <c r="AR105" t="str" cm="1">
        <f t="array" ref="AR105">IFERROR(IF($E105&lt;44348,"",IF(INDEX(Raw_매출!$B$2:$BI$155,MATCH($A105,Raw_매출!$A$2:$A$155,0),MATCH(EDATE($E105,AR$1-1),Raw_매출!$B$1:$BI$1,0))=0,"",INDEX(Raw_매출!$B$2:$BI$155,MATCH($A105,Raw_매출!$A$2:$A$155,0),MATCH(EDATE($E105,AR$1-1),Raw_매출!$B$1:$BI$1,0))/(INDEX(요약_월별시즈널리티!$F$7:$F$18,MONTH(EDATE($E105,AR$1-1)))/100))),"")</f>
        <v/>
      </c>
      <c r="AS105" t="str" cm="1">
        <f t="array" ref="AS105">IFERROR(IF($E105&lt;44348,"",IF(INDEX(Raw_매출!$B$2:$BI$155,MATCH($A105,Raw_매출!$A$2:$A$155,0),MATCH(EDATE($E105,AS$1-1),Raw_매출!$B$1:$BI$1,0))=0,"",INDEX(Raw_매출!$B$2:$BI$155,MATCH($A105,Raw_매출!$A$2:$A$155,0),MATCH(EDATE($E105,AS$1-1),Raw_매출!$B$1:$BI$1,0))/(INDEX(요약_월별시즈널리티!$F$7:$F$18,MONTH(EDATE($E105,AS$1-1)))/100))),"")</f>
        <v/>
      </c>
      <c r="AT105" t="str" cm="1">
        <f t="array" ref="AT105">IFERROR(IF($E105&lt;44348,"",IF(INDEX(Raw_매출!$B$2:$BI$155,MATCH($A105,Raw_매출!$A$2:$A$155,0),MATCH(EDATE($E105,AT$1-1),Raw_매출!$B$1:$BI$1,0))=0,"",INDEX(Raw_매출!$B$2:$BI$155,MATCH($A105,Raw_매출!$A$2:$A$155,0),MATCH(EDATE($E105,AT$1-1),Raw_매출!$B$1:$BI$1,0))/(INDEX(요약_월별시즈널리티!$F$7:$F$18,MONTH(EDATE($E105,AT$1-1)))/100))),"")</f>
        <v/>
      </c>
      <c r="AU105" t="str" cm="1">
        <f t="array" ref="AU105">IFERROR(IF($E105&lt;44348,"",IF(INDEX(Raw_매출!$B$2:$BI$155,MATCH($A105,Raw_매출!$A$2:$A$155,0),MATCH(EDATE($E105,AU$1-1),Raw_매출!$B$1:$BI$1,0))=0,"",INDEX(Raw_매출!$B$2:$BI$155,MATCH($A105,Raw_매출!$A$2:$A$155,0),MATCH(EDATE($E105,AU$1-1),Raw_매출!$B$1:$BI$1,0))/(INDEX(요약_월별시즈널리티!$F$7:$F$18,MONTH(EDATE($E105,AU$1-1)))/100))),"")</f>
        <v/>
      </c>
      <c r="AV105" t="str" cm="1">
        <f t="array" ref="AV105">IFERROR(IF($E105&lt;44348,"",IF(INDEX(Raw_매출!$B$2:$BI$155,MATCH($A105,Raw_매출!$A$2:$A$155,0),MATCH(EDATE($E105,AV$1-1),Raw_매출!$B$1:$BI$1,0))=0,"",INDEX(Raw_매출!$B$2:$BI$155,MATCH($A105,Raw_매출!$A$2:$A$155,0),MATCH(EDATE($E105,AV$1-1),Raw_매출!$B$1:$BI$1,0))/(INDEX(요약_월별시즈널리티!$F$7:$F$18,MONTH(EDATE($E105,AV$1-1)))/100))),"")</f>
        <v/>
      </c>
      <c r="AW105" t="str" cm="1">
        <f t="array" ref="AW105">IFERROR(IF($E105&lt;44348,"",IF(INDEX(Raw_매출!$B$2:$BI$155,MATCH($A105,Raw_매출!$A$2:$A$155,0),MATCH(EDATE($E105,AW$1-1),Raw_매출!$B$1:$BI$1,0))=0,"",INDEX(Raw_매출!$B$2:$BI$155,MATCH($A105,Raw_매출!$A$2:$A$155,0),MATCH(EDATE($E105,AW$1-1),Raw_매출!$B$1:$BI$1,0))/(INDEX(요약_월별시즈널리티!$F$7:$F$18,MONTH(EDATE($E105,AW$1-1)))/100))),"")</f>
        <v/>
      </c>
      <c r="AX105" t="str" cm="1">
        <f t="array" ref="AX105">IFERROR(IF($E105&lt;44348,"",IF(INDEX(Raw_매출!$B$2:$BI$155,MATCH($A105,Raw_매출!$A$2:$A$155,0),MATCH(EDATE($E105,AX$1-1),Raw_매출!$B$1:$BI$1,0))=0,"",INDEX(Raw_매출!$B$2:$BI$155,MATCH($A105,Raw_매출!$A$2:$A$155,0),MATCH(EDATE($E105,AX$1-1),Raw_매출!$B$1:$BI$1,0))/(INDEX(요약_월별시즈널리티!$F$7:$F$18,MONTH(EDATE($E105,AX$1-1)))/100))),"")</f>
        <v/>
      </c>
      <c r="AY105" t="str" cm="1">
        <f t="array" ref="AY105">IFERROR(IF($E105&lt;44348,"",IF(INDEX(Raw_매출!$B$2:$BI$155,MATCH($A105,Raw_매출!$A$2:$A$155,0),MATCH(EDATE($E105,AY$1-1),Raw_매출!$B$1:$BI$1,0))=0,"",INDEX(Raw_매출!$B$2:$BI$155,MATCH($A105,Raw_매출!$A$2:$A$155,0),MATCH(EDATE($E105,AY$1-1),Raw_매출!$B$1:$BI$1,0))/(INDEX(요약_월별시즈널리티!$F$7:$F$18,MONTH(EDATE($E105,AY$1-1)))/100))),"")</f>
        <v/>
      </c>
      <c r="AZ105" t="str" cm="1">
        <f t="array" ref="AZ105">IFERROR(IF($E105&lt;44348,"",IF(INDEX(Raw_매출!$B$2:$BI$155,MATCH($A105,Raw_매출!$A$2:$A$155,0),MATCH(EDATE($E105,AZ$1-1),Raw_매출!$B$1:$BI$1,0))=0,"",INDEX(Raw_매출!$B$2:$BI$155,MATCH($A105,Raw_매출!$A$2:$A$155,0),MATCH(EDATE($E105,AZ$1-1),Raw_매출!$B$1:$BI$1,0))/(INDEX(요약_월별시즈널리티!$F$7:$F$18,MONTH(EDATE($E105,AZ$1-1)))/100))),"")</f>
        <v/>
      </c>
      <c r="BA105" t="str" cm="1">
        <f t="array" ref="BA105">IFERROR(IF($E105&lt;44348,"",IF(INDEX(Raw_매출!$B$2:$BI$155,MATCH($A105,Raw_매출!$A$2:$A$155,0),MATCH(EDATE($E105,BA$1-1),Raw_매출!$B$1:$BI$1,0))=0,"",INDEX(Raw_매출!$B$2:$BI$155,MATCH($A105,Raw_매출!$A$2:$A$155,0),MATCH(EDATE($E105,BA$1-1),Raw_매출!$B$1:$BI$1,0))/(INDEX(요약_월별시즈널리티!$F$7:$F$18,MONTH(EDATE($E105,BA$1-1)))/100))),"")</f>
        <v/>
      </c>
      <c r="BB105" t="str" cm="1">
        <f t="array" ref="BB105">IFERROR(IF($E105&lt;44348,"",IF(INDEX(Raw_매출!$B$2:$BI$155,MATCH($A105,Raw_매출!$A$2:$A$155,0),MATCH(EDATE($E105,BB$1-1),Raw_매출!$B$1:$BI$1,0))=0,"",INDEX(Raw_매출!$B$2:$BI$155,MATCH($A105,Raw_매출!$A$2:$A$155,0),MATCH(EDATE($E105,BB$1-1),Raw_매출!$B$1:$BI$1,0))/(INDEX(요약_월별시즈널리티!$F$7:$F$18,MONTH(EDATE($E105,BB$1-1)))/100))),"")</f>
        <v/>
      </c>
      <c r="BC105" t="str" cm="1">
        <f t="array" ref="BC105">IFERROR(IF($E105&lt;44348,"",IF(INDEX(Raw_매출!$B$2:$BI$155,MATCH($A105,Raw_매출!$A$2:$A$155,0),MATCH(EDATE($E105,BC$1-1),Raw_매출!$B$1:$BI$1,0))=0,"",INDEX(Raw_매출!$B$2:$BI$155,MATCH($A105,Raw_매출!$A$2:$A$155,0),MATCH(EDATE($E105,BC$1-1),Raw_매출!$B$1:$BI$1,0))/(INDEX(요약_월별시즈널리티!$F$7:$F$18,MONTH(EDATE($E105,BC$1-1)))/100))),"")</f>
        <v/>
      </c>
      <c r="BD105" t="str" cm="1">
        <f t="array" ref="BD105">IFERROR(IF($E105&lt;44348,"",IF(INDEX(Raw_매출!$B$2:$BI$155,MATCH($A105,Raw_매출!$A$2:$A$155,0),MATCH(EDATE($E105,BD$1-1),Raw_매출!$B$1:$BI$1,0))=0,"",INDEX(Raw_매출!$B$2:$BI$155,MATCH($A105,Raw_매출!$A$2:$A$155,0),MATCH(EDATE($E105,BD$1-1),Raw_매출!$B$1:$BI$1,0))/(INDEX(요약_월별시즈널리티!$F$7:$F$18,MONTH(EDATE($E105,BD$1-1)))/100))),"")</f>
        <v/>
      </c>
      <c r="BE105" t="str" cm="1">
        <f t="array" ref="BE105">IFERROR(IF($E105&lt;44348,"",IF(INDEX(Raw_매출!$B$2:$BI$155,MATCH($A105,Raw_매출!$A$2:$A$155,0),MATCH(EDATE($E105,BE$1-1),Raw_매출!$B$1:$BI$1,0))=0,"",INDEX(Raw_매출!$B$2:$BI$155,MATCH($A105,Raw_매출!$A$2:$A$155,0),MATCH(EDATE($E105,BE$1-1),Raw_매출!$B$1:$BI$1,0))/(INDEX(요약_월별시즈널리티!$F$7:$F$18,MONTH(EDATE($E105,BE$1-1)))/100))),"")</f>
        <v/>
      </c>
      <c r="BF105" t="str" cm="1">
        <f t="array" ref="BF105">IFERROR(IF($E105&lt;44348,"",IF(INDEX(Raw_매출!$B$2:$BI$155,MATCH($A105,Raw_매출!$A$2:$A$155,0),MATCH(EDATE($E105,BF$1-1),Raw_매출!$B$1:$BI$1,0))=0,"",INDEX(Raw_매출!$B$2:$BI$155,MATCH($A105,Raw_매출!$A$2:$A$155,0),MATCH(EDATE($E105,BF$1-1),Raw_매출!$B$1:$BI$1,0))/(INDEX(요약_월별시즈널리티!$F$7:$F$18,MONTH(EDATE($E105,BF$1-1)))/100))),"")</f>
        <v/>
      </c>
      <c r="BG105" t="str" cm="1">
        <f t="array" ref="BG105">IFERROR(IF($E105&lt;44348,"",IF(INDEX(Raw_매출!$B$2:$BI$155,MATCH($A105,Raw_매출!$A$2:$A$155,0),MATCH(EDATE($E105,BG$1-1),Raw_매출!$B$1:$BI$1,0))=0,"",INDEX(Raw_매출!$B$2:$BI$155,MATCH($A105,Raw_매출!$A$2:$A$155,0),MATCH(EDATE($E105,BG$1-1),Raw_매출!$B$1:$BI$1,0))/(INDEX(요약_월별시즈널리티!$F$7:$F$18,MONTH(EDATE($E105,BG$1-1)))/100))),"")</f>
        <v/>
      </c>
      <c r="BH105" t="str" cm="1">
        <f t="array" ref="BH105">IFERROR(IF($E105&lt;44348,"",IF(INDEX(Raw_매출!$B$2:$BI$155,MATCH($A105,Raw_매출!$A$2:$A$155,0),MATCH(EDATE($E105,BH$1-1),Raw_매출!$B$1:$BI$1,0))=0,"",INDEX(Raw_매출!$B$2:$BI$155,MATCH($A105,Raw_매출!$A$2:$A$155,0),MATCH(EDATE($E105,BH$1-1),Raw_매출!$B$1:$BI$1,0))/(INDEX(요약_월별시즈널리티!$F$7:$F$18,MONTH(EDATE($E105,BH$1-1)))/100))),"")</f>
        <v/>
      </c>
      <c r="BI105" t="str" cm="1">
        <f t="array" ref="BI105">IFERROR(IF($E105&lt;44348,"",IF(INDEX(Raw_매출!$B$2:$BI$155,MATCH($A105,Raw_매출!$A$2:$A$155,0),MATCH(EDATE($E105,BI$1-1),Raw_매출!$B$1:$BI$1,0))=0,"",INDEX(Raw_매출!$B$2:$BI$155,MATCH($A105,Raw_매출!$A$2:$A$155,0),MATCH(EDATE($E105,BI$1-1),Raw_매출!$B$1:$BI$1,0))/(INDEX(요약_월별시즈널리티!$F$7:$F$18,MONTH(EDATE($E105,BI$1-1)))/100))),"")</f>
        <v/>
      </c>
      <c r="BJ105" t="str" cm="1">
        <f t="array" ref="BJ105">IFERROR(IF($E105&lt;44348,"",IF(INDEX(Raw_매출!$B$2:$BI$155,MATCH($A105,Raw_매출!$A$2:$A$155,0),MATCH(EDATE($E105,BJ$1-1),Raw_매출!$B$1:$BI$1,0))=0,"",INDEX(Raw_매출!$B$2:$BI$155,MATCH($A105,Raw_매출!$A$2:$A$155,0),MATCH(EDATE($E105,BJ$1-1),Raw_매출!$B$1:$BI$1,0))/(INDEX(요약_월별시즈널리티!$F$7:$F$18,MONTH(EDATE($E105,BJ$1-1)))/100))),"")</f>
        <v/>
      </c>
      <c r="BK105" t="str" cm="1">
        <f t="array" ref="BK105">IFERROR(IF($E105&lt;44348,"",IF(INDEX(Raw_매출!$B$2:$BI$155,MATCH($A105,Raw_매출!$A$2:$A$155,0),MATCH(EDATE($E105,BK$1-1),Raw_매출!$B$1:$BI$1,0))=0,"",INDEX(Raw_매출!$B$2:$BI$155,MATCH($A105,Raw_매출!$A$2:$A$155,0),MATCH(EDATE($E105,BK$1-1),Raw_매출!$B$1:$BI$1,0))/(INDEX(요약_월별시즈널리티!$F$7:$F$18,MONTH(EDATE($E105,BK$1-1)))/100))),"")</f>
        <v/>
      </c>
      <c r="BL105" t="str" cm="1">
        <f t="array" ref="BL105">IFERROR(IF($E105&lt;44348,"",IF(INDEX(Raw_매출!$B$2:$BI$155,MATCH($A105,Raw_매출!$A$2:$A$155,0),MATCH(EDATE($E105,BL$1-1),Raw_매출!$B$1:$BI$1,0))=0,"",INDEX(Raw_매출!$B$2:$BI$155,MATCH($A105,Raw_매출!$A$2:$A$155,0),MATCH(EDATE($E105,BL$1-1),Raw_매출!$B$1:$BI$1,0))/(INDEX(요약_월별시즈널리티!$F$7:$F$18,MONTH(EDATE($E105,BL$1-1)))/100))),"")</f>
        <v/>
      </c>
      <c r="BM105" t="str" cm="1">
        <f t="array" ref="BM105">IFERROR(IF($E105&lt;44348,"",IF(INDEX(Raw_매출!$B$2:$BI$155,MATCH($A105,Raw_매출!$A$2:$A$155,0),MATCH(EDATE($E105,BM$1-1),Raw_매출!$B$1:$BI$1,0))=0,"",INDEX(Raw_매출!$B$2:$BI$155,MATCH($A105,Raw_매출!$A$2:$A$155,0),MATCH(EDATE($E105,BM$1-1),Raw_매출!$B$1:$BI$1,0))/(INDEX(요약_월별시즈널리티!$F$7:$F$18,MONTH(EDATE($E105,BM$1-1)))/100))),"")</f>
        <v/>
      </c>
      <c r="BN105" t="str" cm="1">
        <f t="array" ref="BN105">IFERROR(IF($E105&lt;44348,"",IF(INDEX(Raw_매출!$B$2:$BI$155,MATCH($A105,Raw_매출!$A$2:$A$155,0),MATCH(EDATE($E105,BN$1-1),Raw_매출!$B$1:$BI$1,0))=0,"",INDEX(Raw_매출!$B$2:$BI$155,MATCH($A105,Raw_매출!$A$2:$A$155,0),MATCH(EDATE($E105,BN$1-1),Raw_매출!$B$1:$BI$1,0))/(INDEX(요약_월별시즈널리티!$F$7:$F$18,MONTH(EDATE($E105,BN$1-1)))/100))),"")</f>
        <v/>
      </c>
    </row>
    <row r="106" spans="1:66" x14ac:dyDescent="0.4">
      <c r="A106" t="str">
        <f>세팅!A107</f>
        <v>(1095) #상도역점</v>
      </c>
      <c r="B106" t="str">
        <f>세팅!B107</f>
        <v>150-2</v>
      </c>
      <c r="C106">
        <f t="shared" si="3"/>
        <v>2</v>
      </c>
      <c r="D106" t="str">
        <f t="shared" si="4"/>
        <v>2</v>
      </c>
      <c r="E106" s="1">
        <f>세팅!D107</f>
        <v>45261</v>
      </c>
      <c r="F106">
        <f t="shared" si="5"/>
        <v>4436251.6146927839</v>
      </c>
      <c r="G106" cm="1">
        <f t="array" ref="G106">IFERROR(IF($E106&lt;44348,"",IF(INDEX(Raw_매출!$B$2:$BI$155,MATCH($A106,Raw_매출!$A$2:$A$155,0),MATCH(EDATE($E106,G$1-1),Raw_매출!$B$1:$BI$1,0))=0,"",INDEX(Raw_매출!$B$2:$BI$155,MATCH($A106,Raw_매출!$A$2:$A$155,0),MATCH(EDATE($E106,G$1-1),Raw_매출!$B$1:$BI$1,0))/(INDEX(요약_월별시즈널리티!$F$7:$F$18,MONTH(EDATE($E106,G$1-1)))/100))),"")</f>
        <v>2552920.7259050407</v>
      </c>
      <c r="H106" cm="1">
        <f t="array" ref="H106">IFERROR(IF($E106&lt;44348,"",IF(INDEX(Raw_매출!$B$2:$BI$155,MATCH($A106,Raw_매출!$A$2:$A$155,0),MATCH(EDATE($E106,H$1-1),Raw_매출!$B$1:$BI$1,0))=0,"",INDEX(Raw_매출!$B$2:$BI$155,MATCH($A106,Raw_매출!$A$2:$A$155,0),MATCH(EDATE($E106,H$1-1),Raw_매출!$B$1:$BI$1,0))/(INDEX(요약_월별시즈널리티!$F$7:$F$18,MONTH(EDATE($E106,H$1-1)))/100))),"")</f>
        <v>3002087.7654047152</v>
      </c>
      <c r="I106" cm="1">
        <f t="array" ref="I106">IFERROR(IF($E106&lt;44348,"",IF(INDEX(Raw_매출!$B$2:$BI$155,MATCH($A106,Raw_매출!$A$2:$A$155,0),MATCH(EDATE($E106,I$1-1),Raw_매출!$B$1:$BI$1,0))=0,"",INDEX(Raw_매출!$B$2:$BI$155,MATCH($A106,Raw_매출!$A$2:$A$155,0),MATCH(EDATE($E106,I$1-1),Raw_매출!$B$1:$BI$1,0))/(INDEX(요약_월별시즈널리티!$F$7:$F$18,MONTH(EDATE($E106,I$1-1)))/100))),"")</f>
        <v>3917116.0250364686</v>
      </c>
      <c r="J106" s="30" cm="1">
        <f t="array" ref="J106">IFERROR(IF($E106&lt;44348,"",IF(INDEX(Raw_매출!$B$2:$BI$155,MATCH($A106,Raw_매출!$A$2:$A$155,0),MATCH(EDATE($E106,J$1-1),Raw_매출!$B$1:$BI$1,0))=0,"",INDEX(Raw_매출!$B$2:$BI$155,MATCH($A106,Raw_매출!$A$2:$A$155,0),MATCH(EDATE($E106,J$1-1),Raw_매출!$B$1:$BI$1,0))/(INDEX(요약_월별시즈널리티!$F$7:$F$18,MONTH(EDATE($E106,J$1-1)))/100))),"")</f>
        <v>4429010.0956787998</v>
      </c>
      <c r="K106" s="30" cm="1">
        <f t="array" ref="K106">IFERROR(IF($E106&lt;44348,"",IF(INDEX(Raw_매출!$B$2:$BI$155,MATCH($A106,Raw_매출!$A$2:$A$155,0),MATCH(EDATE($E106,K$1-1),Raw_매출!$B$1:$BI$1,0))=0,"",INDEX(Raw_매출!$B$2:$BI$155,MATCH($A106,Raw_매출!$A$2:$A$155,0),MATCH(EDATE($E106,K$1-1),Raw_매출!$B$1:$BI$1,0))/(INDEX(요약_월별시즈널리티!$F$7:$F$18,MONTH(EDATE($E106,K$1-1)))/100))),"")</f>
        <v>4498345.9354536599</v>
      </c>
      <c r="L106" s="30" cm="1">
        <f t="array" ref="L106">IFERROR(IF($E106&lt;44348,"",IF(INDEX(Raw_매출!$B$2:$BI$155,MATCH($A106,Raw_매출!$A$2:$A$155,0),MATCH(EDATE($E106,L$1-1),Raw_매출!$B$1:$BI$1,0))=0,"",INDEX(Raw_매출!$B$2:$BI$155,MATCH($A106,Raw_매출!$A$2:$A$155,0),MATCH(EDATE($E106,L$1-1),Raw_매출!$B$1:$BI$1,0))/(INDEX(요약_월별시즈널리티!$F$7:$F$18,MONTH(EDATE($E106,L$1-1)))/100))),"")</f>
        <v>4211158.6956265187</v>
      </c>
      <c r="M106" s="30" cm="1">
        <f t="array" ref="M106">IFERROR(IF($E106&lt;44348,"",IF(INDEX(Raw_매출!$B$2:$BI$155,MATCH($A106,Raw_매출!$A$2:$A$155,0),MATCH(EDATE($E106,M$1-1),Raw_매출!$B$1:$BI$1,0))=0,"",INDEX(Raw_매출!$B$2:$BI$155,MATCH($A106,Raw_매출!$A$2:$A$155,0),MATCH(EDATE($E106,M$1-1),Raw_매출!$B$1:$BI$1,0))/(INDEX(요약_월별시즈널리티!$F$7:$F$18,MONTH(EDATE($E106,M$1-1)))/100))),"")</f>
        <v>4635077.5690662451</v>
      </c>
      <c r="N106" s="30" cm="1">
        <f t="array" ref="N106">IFERROR(IF($E106&lt;44348,"",IF(INDEX(Raw_매출!$B$2:$BI$155,MATCH($A106,Raw_매출!$A$2:$A$155,0),MATCH(EDATE($E106,N$1-1),Raw_매출!$B$1:$BI$1,0))=0,"",INDEX(Raw_매출!$B$2:$BI$155,MATCH($A106,Raw_매출!$A$2:$A$155,0),MATCH(EDATE($E106,N$1-1),Raw_매출!$B$1:$BI$1,0))/(INDEX(요약_월별시즈널리티!$F$7:$F$18,MONTH(EDATE($E106,N$1-1)))/100))),"")</f>
        <v>4283203.9089251747</v>
      </c>
      <c r="O106" s="30" cm="1">
        <f t="array" ref="O106">IFERROR(IF($E106&lt;44348,"",IF(INDEX(Raw_매출!$B$2:$BI$155,MATCH($A106,Raw_매출!$A$2:$A$155,0),MATCH(EDATE($E106,O$1-1),Raw_매출!$B$1:$BI$1,0))=0,"",INDEX(Raw_매출!$B$2:$BI$155,MATCH($A106,Raw_매출!$A$2:$A$155,0),MATCH(EDATE($E106,O$1-1),Raw_매출!$B$1:$BI$1,0))/(INDEX(요약_월별시즈널리티!$F$7:$F$18,MONTH(EDATE($E106,O$1-1)))/100))),"")</f>
        <v>4560713.4834063062</v>
      </c>
      <c r="P106" cm="1">
        <f t="array" ref="P106">IFERROR(IF($E106&lt;44348,"",IF(INDEX(Raw_매출!$B$2:$BI$155,MATCH($A106,Raw_매출!$A$2:$A$155,0),MATCH(EDATE($E106,P$1-1),Raw_매출!$B$1:$BI$1,0))=0,"",INDEX(Raw_매출!$B$2:$BI$155,MATCH($A106,Raw_매출!$A$2:$A$155,0),MATCH(EDATE($E106,P$1-1),Raw_매출!$B$1:$BI$1,0))/(INDEX(요약_월별시즈널리티!$F$7:$F$18,MONTH(EDATE($E106,P$1-1)))/100))),"")</f>
        <v>4978717.2632980403</v>
      </c>
      <c r="Q106" cm="1">
        <f t="array" ref="Q106">IFERROR(IF($E106&lt;44348,"",IF(INDEX(Raw_매출!$B$2:$BI$155,MATCH($A106,Raw_매출!$A$2:$A$155,0),MATCH(EDATE($E106,Q$1-1),Raw_매출!$B$1:$BI$1,0))=0,"",INDEX(Raw_매출!$B$2:$BI$155,MATCH($A106,Raw_매출!$A$2:$A$155,0),MATCH(EDATE($E106,Q$1-1),Raw_매출!$B$1:$BI$1,0))/(INDEX(요약_월별시즈널리티!$F$7:$F$18,MONTH(EDATE($E106,Q$1-1)))/100))),"")</f>
        <v>4686682.3479191177</v>
      </c>
      <c r="R106" cm="1">
        <f t="array" ref="R106">IFERROR(IF($E106&lt;44348,"",IF(INDEX(Raw_매출!$B$2:$BI$155,MATCH($A106,Raw_매출!$A$2:$A$155,0),MATCH(EDATE($E106,R$1-1),Raw_매출!$B$1:$BI$1,0))=0,"",INDEX(Raw_매출!$B$2:$BI$155,MATCH($A106,Raw_매출!$A$2:$A$155,0),MATCH(EDATE($E106,R$1-1),Raw_매출!$B$1:$BI$1,0))/(INDEX(요약_월별시즈널리티!$F$7:$F$18,MONTH(EDATE($E106,R$1-1)))/100))),"")</f>
        <v>5062013.903422121</v>
      </c>
      <c r="S106" cm="1">
        <f t="array" ref="S106">IFERROR(IF($E106&lt;44348,"",IF(INDEX(Raw_매출!$B$2:$BI$155,MATCH($A106,Raw_매출!$A$2:$A$155,0),MATCH(EDATE($E106,S$1-1),Raw_매출!$B$1:$BI$1,0))=0,"",INDEX(Raw_매출!$B$2:$BI$155,MATCH($A106,Raw_매출!$A$2:$A$155,0),MATCH(EDATE($E106,S$1-1),Raw_매출!$B$1:$BI$1,0))/(INDEX(요약_월별시즈널리티!$F$7:$F$18,MONTH(EDATE($E106,S$1-1)))/100))),"")</f>
        <v>4947245.6138729788</v>
      </c>
      <c r="T106" cm="1">
        <f t="array" ref="T106">IFERROR(IF($E106&lt;44348,"",IF(INDEX(Raw_매출!$B$2:$BI$155,MATCH($A106,Raw_매출!$A$2:$A$155,0),MATCH(EDATE($E106,T$1-1),Raw_매출!$B$1:$BI$1,0))=0,"",INDEX(Raw_매출!$B$2:$BI$155,MATCH($A106,Raw_매출!$A$2:$A$155,0),MATCH(EDATE($E106,T$1-1),Raw_매출!$B$1:$BI$1,0))/(INDEX(요약_월별시즈널리티!$F$7:$F$18,MONTH(EDATE($E106,T$1-1)))/100))),"")</f>
        <v>4794380.772196536</v>
      </c>
      <c r="U106" cm="1">
        <f t="array" ref="U106">IFERROR(IF($E106&lt;44348,"",IF(INDEX(Raw_매출!$B$2:$BI$155,MATCH($A106,Raw_매출!$A$2:$A$155,0),MATCH(EDATE($E106,U$1-1),Raw_매출!$B$1:$BI$1,0))=0,"",INDEX(Raw_매출!$B$2:$BI$155,MATCH($A106,Raw_매출!$A$2:$A$155,0),MATCH(EDATE($E106,U$1-1),Raw_매출!$B$1:$BI$1,0))/(INDEX(요약_월별시즈널리티!$F$7:$F$18,MONTH(EDATE($E106,U$1-1)))/100))),"")</f>
        <v>5021285.619687913</v>
      </c>
      <c r="V106" cm="1">
        <f t="array" ref="V106">IFERROR(IF($E106&lt;44348,"",IF(INDEX(Raw_매출!$B$2:$BI$155,MATCH($A106,Raw_매출!$A$2:$A$155,0),MATCH(EDATE($E106,V$1-1),Raw_매출!$B$1:$BI$1,0))=0,"",INDEX(Raw_매출!$B$2:$BI$155,MATCH($A106,Raw_매출!$A$2:$A$155,0),MATCH(EDATE($E106,V$1-1),Raw_매출!$B$1:$BI$1,0))/(INDEX(요약_월별시즈널리티!$F$7:$F$18,MONTH(EDATE($E106,V$1-1)))/100))),"")</f>
        <v>6120810.9820685815</v>
      </c>
      <c r="W106" cm="1">
        <f t="array" ref="W106">IFERROR(IF($E106&lt;44348,"",IF(INDEX(Raw_매출!$B$2:$BI$155,MATCH($A106,Raw_매출!$A$2:$A$155,0),MATCH(EDATE($E106,W$1-1),Raw_매출!$B$1:$BI$1,0))=0,"",INDEX(Raw_매출!$B$2:$BI$155,MATCH($A106,Raw_매출!$A$2:$A$155,0),MATCH(EDATE($E106,W$1-1),Raw_매출!$B$1:$BI$1,0))/(INDEX(요약_월별시즈널리티!$F$7:$F$18,MONTH(EDATE($E106,W$1-1)))/100))),"")</f>
        <v>5445113.6096706493</v>
      </c>
      <c r="X106" cm="1">
        <f t="array" ref="X106">IFERROR(IF($E106&lt;44348,"",IF(INDEX(Raw_매출!$B$2:$BI$155,MATCH($A106,Raw_매출!$A$2:$A$155,0),MATCH(EDATE($E106,X$1-1),Raw_매출!$B$1:$BI$1,0))=0,"",INDEX(Raw_매출!$B$2:$BI$155,MATCH($A106,Raw_매출!$A$2:$A$155,0),MATCH(EDATE($E106,X$1-1),Raw_매출!$B$1:$BI$1,0))/(INDEX(요약_월별시즈널리티!$F$7:$F$18,MONTH(EDATE($E106,X$1-1)))/100))),"")</f>
        <v>6081279.9887356628</v>
      </c>
      <c r="Y106" cm="1">
        <f t="array" ref="Y106">IFERROR(IF($E106&lt;44348,"",IF(INDEX(Raw_매출!$B$2:$BI$155,MATCH($A106,Raw_매출!$A$2:$A$155,0),MATCH(EDATE($E106,Y$1-1),Raw_매출!$B$1:$BI$1,0))=0,"",INDEX(Raw_매출!$B$2:$BI$155,MATCH($A106,Raw_매출!$A$2:$A$155,0),MATCH(EDATE($E106,Y$1-1),Raw_매출!$B$1:$BI$1,0))/(INDEX(요약_월별시즈널리티!$F$7:$F$18,MONTH(EDATE($E106,Y$1-1)))/100))),"")</f>
        <v>5271816.3822074737</v>
      </c>
      <c r="Z106" cm="1">
        <f t="array" ref="Z106">IFERROR(IF($E106&lt;44348,"",IF(INDEX(Raw_매출!$B$2:$BI$155,MATCH($A106,Raw_매출!$A$2:$A$155,0),MATCH(EDATE($E106,Z$1-1),Raw_매출!$B$1:$BI$1,0))=0,"",INDEX(Raw_매출!$B$2:$BI$155,MATCH($A106,Raw_매출!$A$2:$A$155,0),MATCH(EDATE($E106,Z$1-1),Raw_매출!$B$1:$BI$1,0))/(INDEX(요약_월별시즈널리티!$F$7:$F$18,MONTH(EDATE($E106,Z$1-1)))/100))),"")</f>
        <v>5195691.8002908519</v>
      </c>
      <c r="AA106" cm="1">
        <f t="array" ref="AA106">IFERROR(IF($E106&lt;44348,"",IF(INDEX(Raw_매출!$B$2:$BI$155,MATCH($A106,Raw_매출!$A$2:$A$155,0),MATCH(EDATE($E106,AA$1-1),Raw_매출!$B$1:$BI$1,0))=0,"",INDEX(Raw_매출!$B$2:$BI$155,MATCH($A106,Raw_매출!$A$2:$A$155,0),MATCH(EDATE($E106,AA$1-1),Raw_매출!$B$1:$BI$1,0))/(INDEX(요약_월별시즈널리티!$F$7:$F$18,MONTH(EDATE($E106,AA$1-1)))/100))),"")</f>
        <v>5654052.3245805278</v>
      </c>
      <c r="AB106" cm="1">
        <f t="array" ref="AB106">IFERROR(IF($E106&lt;44348,"",IF(INDEX(Raw_매출!$B$2:$BI$155,MATCH($A106,Raw_매출!$A$2:$A$155,0),MATCH(EDATE($E106,AB$1-1),Raw_매출!$B$1:$BI$1,0))=0,"",INDEX(Raw_매출!$B$2:$BI$155,MATCH($A106,Raw_매출!$A$2:$A$155,0),MATCH(EDATE($E106,AB$1-1),Raw_매출!$B$1:$BI$1,0))/(INDEX(요약_월별시즈널리티!$F$7:$F$18,MONTH(EDATE($E106,AB$1-1)))/100))),"")</f>
        <v>5762978.067824441</v>
      </c>
      <c r="AC106" cm="1">
        <f t="array" ref="AC106">IFERROR(IF($E106&lt;44348,"",IF(INDEX(Raw_매출!$B$2:$BI$155,MATCH($A106,Raw_매출!$A$2:$A$155,0),MATCH(EDATE($E106,AC$1-1),Raw_매출!$B$1:$BI$1,0))=0,"",INDEX(Raw_매출!$B$2:$BI$155,MATCH($A106,Raw_매출!$A$2:$A$155,0),MATCH(EDATE($E106,AC$1-1),Raw_매출!$B$1:$BI$1,0))/(INDEX(요약_월별시즈널리티!$F$7:$F$18,MONTH(EDATE($E106,AC$1-1)))/100))),"")</f>
        <v>5823794.6487559918</v>
      </c>
      <c r="AD106" cm="1">
        <f t="array" ref="AD106">IFERROR(IF($E106&lt;44348,"",IF(INDEX(Raw_매출!$B$2:$BI$155,MATCH($A106,Raw_매출!$A$2:$A$155,0),MATCH(EDATE($E106,AD$1-1),Raw_매출!$B$1:$BI$1,0))=0,"",INDEX(Raw_매출!$B$2:$BI$155,MATCH($A106,Raw_매출!$A$2:$A$155,0),MATCH(EDATE($E106,AD$1-1),Raw_매출!$B$1:$BI$1,0))/(INDEX(요약_월별시즈널리티!$F$7:$F$18,MONTH(EDATE($E106,AD$1-1)))/100))),"")</f>
        <v>5964633.5329994047</v>
      </c>
      <c r="AE106" cm="1">
        <f t="array" ref="AE106">IFERROR(IF($E106&lt;44348,"",IF(INDEX(Raw_매출!$B$2:$BI$155,MATCH($A106,Raw_매출!$A$2:$A$155,0),MATCH(EDATE($E106,AE$1-1),Raw_매출!$B$1:$BI$1,0))=0,"",INDEX(Raw_매출!$B$2:$BI$155,MATCH($A106,Raw_매출!$A$2:$A$155,0),MATCH(EDATE($E106,AE$1-1),Raw_매출!$B$1:$BI$1,0))/(INDEX(요약_월별시즈널리티!$F$7:$F$18,MONTH(EDATE($E106,AE$1-1)))/100))),"")</f>
        <v>5493601.8883773154</v>
      </c>
      <c r="AF106" cm="1">
        <f t="array" ref="AF106">IFERROR(IF($E106&lt;44348,"",IF(INDEX(Raw_매출!$B$2:$BI$155,MATCH($A106,Raw_매출!$A$2:$A$155,0),MATCH(EDATE($E106,AF$1-1),Raw_매출!$B$1:$BI$1,0))=0,"",INDEX(Raw_매출!$B$2:$BI$155,MATCH($A106,Raw_매출!$A$2:$A$155,0),MATCH(EDATE($E106,AF$1-1),Raw_매출!$B$1:$BI$1,0))/(INDEX(요약_월별시즈널리티!$F$7:$F$18,MONTH(EDATE($E106,AF$1-1)))/100))),"")</f>
        <v>6766921.4217251753</v>
      </c>
      <c r="AG106" cm="1">
        <f t="array" ref="AG106">IFERROR(IF($E106&lt;44348,"",IF(INDEX(Raw_매출!$B$2:$BI$155,MATCH($A106,Raw_매출!$A$2:$A$155,0),MATCH(EDATE($E106,AG$1-1),Raw_매출!$B$1:$BI$1,0))=0,"",INDEX(Raw_매출!$B$2:$BI$155,MATCH($A106,Raw_매출!$A$2:$A$155,0),MATCH(EDATE($E106,AG$1-1),Raw_매출!$B$1:$BI$1,0))/(INDEX(요약_월별시즈널리티!$F$7:$F$18,MONTH(EDATE($E106,AG$1-1)))/100))),"")</f>
        <v>5966891.2972839074</v>
      </c>
      <c r="AH106" cm="1">
        <f t="array" ref="AH106">IFERROR(IF($E106&lt;44348,"",IF(INDEX(Raw_매출!$B$2:$BI$155,MATCH($A106,Raw_매출!$A$2:$A$155,0),MATCH(EDATE($E106,AH$1-1),Raw_매출!$B$1:$BI$1,0))=0,"",INDEX(Raw_매출!$B$2:$BI$155,MATCH($A106,Raw_매출!$A$2:$A$155,0),MATCH(EDATE($E106,AH$1-1),Raw_매출!$B$1:$BI$1,0))/(INDEX(요약_월별시즈널리티!$F$7:$F$18,MONTH(EDATE($E106,AH$1-1)))/100))),"")</f>
        <v>6021584.4596891282</v>
      </c>
      <c r="AI106" cm="1">
        <f t="array" ref="AI106">IFERROR(IF($E106&lt;44348,"",IF(INDEX(Raw_매출!$B$2:$BI$155,MATCH($A106,Raw_매출!$A$2:$A$155,0),MATCH(EDATE($E106,AI$1-1),Raw_매출!$B$1:$BI$1,0))=0,"",INDEX(Raw_매출!$B$2:$BI$155,MATCH($A106,Raw_매출!$A$2:$A$155,0),MATCH(EDATE($E106,AI$1-1),Raw_매출!$B$1:$BI$1,0))/(INDEX(요약_월별시즈널리티!$F$7:$F$18,MONTH(EDATE($E106,AI$1-1)))/100))),"")</f>
        <v>6065425.0374765331</v>
      </c>
      <c r="AJ106" cm="1">
        <f t="array" ref="AJ106">IFERROR(IF($E106&lt;44348,"",IF(INDEX(Raw_매출!$B$2:$BI$155,MATCH($A106,Raw_매출!$A$2:$A$155,0),MATCH(EDATE($E106,AJ$1-1),Raw_매출!$B$1:$BI$1,0))=0,"",INDEX(Raw_매출!$B$2:$BI$155,MATCH($A106,Raw_매출!$A$2:$A$155,0),MATCH(EDATE($E106,AJ$1-1),Raw_매출!$B$1:$BI$1,0))/(INDEX(요약_월별시즈널리티!$F$7:$F$18,MONTH(EDATE($E106,AJ$1-1)))/100))),"")</f>
        <v>7087515.6965068458</v>
      </c>
      <c r="AK106" t="str" cm="1">
        <f t="array" ref="AK106">IFERROR(IF($E106&lt;44348,"",IF(INDEX(Raw_매출!$B$2:$BI$155,MATCH($A106,Raw_매출!$A$2:$A$155,0),MATCH(EDATE($E106,AK$1-1),Raw_매출!$B$1:$BI$1,0))=0,"",INDEX(Raw_매출!$B$2:$BI$155,MATCH($A106,Raw_매출!$A$2:$A$155,0),MATCH(EDATE($E106,AK$1-1),Raw_매출!$B$1:$BI$1,0))/(INDEX(요약_월별시즈널리티!$F$7:$F$18,MONTH(EDATE($E106,AK$1-1)))/100))),"")</f>
        <v/>
      </c>
      <c r="AL106" t="str" cm="1">
        <f t="array" ref="AL106">IFERROR(IF($E106&lt;44348,"",IF(INDEX(Raw_매출!$B$2:$BI$155,MATCH($A106,Raw_매출!$A$2:$A$155,0),MATCH(EDATE($E106,AL$1-1),Raw_매출!$B$1:$BI$1,0))=0,"",INDEX(Raw_매출!$B$2:$BI$155,MATCH($A106,Raw_매출!$A$2:$A$155,0),MATCH(EDATE($E106,AL$1-1),Raw_매출!$B$1:$BI$1,0))/(INDEX(요약_월별시즈널리티!$F$7:$F$18,MONTH(EDATE($E106,AL$1-1)))/100))),"")</f>
        <v/>
      </c>
      <c r="AM106" t="str" cm="1">
        <f t="array" ref="AM106">IFERROR(IF($E106&lt;44348,"",IF(INDEX(Raw_매출!$B$2:$BI$155,MATCH($A106,Raw_매출!$A$2:$A$155,0),MATCH(EDATE($E106,AM$1-1),Raw_매출!$B$1:$BI$1,0))=0,"",INDEX(Raw_매출!$B$2:$BI$155,MATCH($A106,Raw_매출!$A$2:$A$155,0),MATCH(EDATE($E106,AM$1-1),Raw_매출!$B$1:$BI$1,0))/(INDEX(요약_월별시즈널리티!$F$7:$F$18,MONTH(EDATE($E106,AM$1-1)))/100))),"")</f>
        <v/>
      </c>
      <c r="AN106" t="str" cm="1">
        <f t="array" ref="AN106">IFERROR(IF($E106&lt;44348,"",IF(INDEX(Raw_매출!$B$2:$BI$155,MATCH($A106,Raw_매출!$A$2:$A$155,0),MATCH(EDATE($E106,AN$1-1),Raw_매출!$B$1:$BI$1,0))=0,"",INDEX(Raw_매출!$B$2:$BI$155,MATCH($A106,Raw_매출!$A$2:$A$155,0),MATCH(EDATE($E106,AN$1-1),Raw_매출!$B$1:$BI$1,0))/(INDEX(요약_월별시즈널리티!$F$7:$F$18,MONTH(EDATE($E106,AN$1-1)))/100))),"")</f>
        <v/>
      </c>
      <c r="AO106" t="str" cm="1">
        <f t="array" ref="AO106">IFERROR(IF($E106&lt;44348,"",IF(INDEX(Raw_매출!$B$2:$BI$155,MATCH($A106,Raw_매출!$A$2:$A$155,0),MATCH(EDATE($E106,AO$1-1),Raw_매출!$B$1:$BI$1,0))=0,"",INDEX(Raw_매출!$B$2:$BI$155,MATCH($A106,Raw_매출!$A$2:$A$155,0),MATCH(EDATE($E106,AO$1-1),Raw_매출!$B$1:$BI$1,0))/(INDEX(요약_월별시즈널리티!$F$7:$F$18,MONTH(EDATE($E106,AO$1-1)))/100))),"")</f>
        <v/>
      </c>
      <c r="AP106" t="str" cm="1">
        <f t="array" ref="AP106">IFERROR(IF($E106&lt;44348,"",IF(INDEX(Raw_매출!$B$2:$BI$155,MATCH($A106,Raw_매출!$A$2:$A$155,0),MATCH(EDATE($E106,AP$1-1),Raw_매출!$B$1:$BI$1,0))=0,"",INDEX(Raw_매출!$B$2:$BI$155,MATCH($A106,Raw_매출!$A$2:$A$155,0),MATCH(EDATE($E106,AP$1-1),Raw_매출!$B$1:$BI$1,0))/(INDEX(요약_월별시즈널리티!$F$7:$F$18,MONTH(EDATE($E106,AP$1-1)))/100))),"")</f>
        <v/>
      </c>
      <c r="AQ106" t="str" cm="1">
        <f t="array" ref="AQ106">IFERROR(IF($E106&lt;44348,"",IF(INDEX(Raw_매출!$B$2:$BI$155,MATCH($A106,Raw_매출!$A$2:$A$155,0),MATCH(EDATE($E106,AQ$1-1),Raw_매출!$B$1:$BI$1,0))=0,"",INDEX(Raw_매출!$B$2:$BI$155,MATCH($A106,Raw_매출!$A$2:$A$155,0),MATCH(EDATE($E106,AQ$1-1),Raw_매출!$B$1:$BI$1,0))/(INDEX(요약_월별시즈널리티!$F$7:$F$18,MONTH(EDATE($E106,AQ$1-1)))/100))),"")</f>
        <v/>
      </c>
      <c r="AR106" t="str" cm="1">
        <f t="array" ref="AR106">IFERROR(IF($E106&lt;44348,"",IF(INDEX(Raw_매출!$B$2:$BI$155,MATCH($A106,Raw_매출!$A$2:$A$155,0),MATCH(EDATE($E106,AR$1-1),Raw_매출!$B$1:$BI$1,0))=0,"",INDEX(Raw_매출!$B$2:$BI$155,MATCH($A106,Raw_매출!$A$2:$A$155,0),MATCH(EDATE($E106,AR$1-1),Raw_매출!$B$1:$BI$1,0))/(INDEX(요약_월별시즈널리티!$F$7:$F$18,MONTH(EDATE($E106,AR$1-1)))/100))),"")</f>
        <v/>
      </c>
      <c r="AS106" t="str" cm="1">
        <f t="array" ref="AS106">IFERROR(IF($E106&lt;44348,"",IF(INDEX(Raw_매출!$B$2:$BI$155,MATCH($A106,Raw_매출!$A$2:$A$155,0),MATCH(EDATE($E106,AS$1-1),Raw_매출!$B$1:$BI$1,0))=0,"",INDEX(Raw_매출!$B$2:$BI$155,MATCH($A106,Raw_매출!$A$2:$A$155,0),MATCH(EDATE($E106,AS$1-1),Raw_매출!$B$1:$BI$1,0))/(INDEX(요약_월별시즈널리티!$F$7:$F$18,MONTH(EDATE($E106,AS$1-1)))/100))),"")</f>
        <v/>
      </c>
      <c r="AT106" t="str" cm="1">
        <f t="array" ref="AT106">IFERROR(IF($E106&lt;44348,"",IF(INDEX(Raw_매출!$B$2:$BI$155,MATCH($A106,Raw_매출!$A$2:$A$155,0),MATCH(EDATE($E106,AT$1-1),Raw_매출!$B$1:$BI$1,0))=0,"",INDEX(Raw_매출!$B$2:$BI$155,MATCH($A106,Raw_매출!$A$2:$A$155,0),MATCH(EDATE($E106,AT$1-1),Raw_매출!$B$1:$BI$1,0))/(INDEX(요약_월별시즈널리티!$F$7:$F$18,MONTH(EDATE($E106,AT$1-1)))/100))),"")</f>
        <v/>
      </c>
      <c r="AU106" t="str" cm="1">
        <f t="array" ref="AU106">IFERROR(IF($E106&lt;44348,"",IF(INDEX(Raw_매출!$B$2:$BI$155,MATCH($A106,Raw_매출!$A$2:$A$155,0),MATCH(EDATE($E106,AU$1-1),Raw_매출!$B$1:$BI$1,0))=0,"",INDEX(Raw_매출!$B$2:$BI$155,MATCH($A106,Raw_매출!$A$2:$A$155,0),MATCH(EDATE($E106,AU$1-1),Raw_매출!$B$1:$BI$1,0))/(INDEX(요약_월별시즈널리티!$F$7:$F$18,MONTH(EDATE($E106,AU$1-1)))/100))),"")</f>
        <v/>
      </c>
      <c r="AV106" t="str" cm="1">
        <f t="array" ref="AV106">IFERROR(IF($E106&lt;44348,"",IF(INDEX(Raw_매출!$B$2:$BI$155,MATCH($A106,Raw_매출!$A$2:$A$155,0),MATCH(EDATE($E106,AV$1-1),Raw_매출!$B$1:$BI$1,0))=0,"",INDEX(Raw_매출!$B$2:$BI$155,MATCH($A106,Raw_매출!$A$2:$A$155,0),MATCH(EDATE($E106,AV$1-1),Raw_매출!$B$1:$BI$1,0))/(INDEX(요약_월별시즈널리티!$F$7:$F$18,MONTH(EDATE($E106,AV$1-1)))/100))),"")</f>
        <v/>
      </c>
      <c r="AW106" t="str" cm="1">
        <f t="array" ref="AW106">IFERROR(IF($E106&lt;44348,"",IF(INDEX(Raw_매출!$B$2:$BI$155,MATCH($A106,Raw_매출!$A$2:$A$155,0),MATCH(EDATE($E106,AW$1-1),Raw_매출!$B$1:$BI$1,0))=0,"",INDEX(Raw_매출!$B$2:$BI$155,MATCH($A106,Raw_매출!$A$2:$A$155,0),MATCH(EDATE($E106,AW$1-1),Raw_매출!$B$1:$BI$1,0))/(INDEX(요약_월별시즈널리티!$F$7:$F$18,MONTH(EDATE($E106,AW$1-1)))/100))),"")</f>
        <v/>
      </c>
      <c r="AX106" t="str" cm="1">
        <f t="array" ref="AX106">IFERROR(IF($E106&lt;44348,"",IF(INDEX(Raw_매출!$B$2:$BI$155,MATCH($A106,Raw_매출!$A$2:$A$155,0),MATCH(EDATE($E106,AX$1-1),Raw_매출!$B$1:$BI$1,0))=0,"",INDEX(Raw_매출!$B$2:$BI$155,MATCH($A106,Raw_매출!$A$2:$A$155,0),MATCH(EDATE($E106,AX$1-1),Raw_매출!$B$1:$BI$1,0))/(INDEX(요약_월별시즈널리티!$F$7:$F$18,MONTH(EDATE($E106,AX$1-1)))/100))),"")</f>
        <v/>
      </c>
      <c r="AY106" t="str" cm="1">
        <f t="array" ref="AY106">IFERROR(IF($E106&lt;44348,"",IF(INDEX(Raw_매출!$B$2:$BI$155,MATCH($A106,Raw_매출!$A$2:$A$155,0),MATCH(EDATE($E106,AY$1-1),Raw_매출!$B$1:$BI$1,0))=0,"",INDEX(Raw_매출!$B$2:$BI$155,MATCH($A106,Raw_매출!$A$2:$A$155,0),MATCH(EDATE($E106,AY$1-1),Raw_매출!$B$1:$BI$1,0))/(INDEX(요약_월별시즈널리티!$F$7:$F$18,MONTH(EDATE($E106,AY$1-1)))/100))),"")</f>
        <v/>
      </c>
      <c r="AZ106" t="str" cm="1">
        <f t="array" ref="AZ106">IFERROR(IF($E106&lt;44348,"",IF(INDEX(Raw_매출!$B$2:$BI$155,MATCH($A106,Raw_매출!$A$2:$A$155,0),MATCH(EDATE($E106,AZ$1-1),Raw_매출!$B$1:$BI$1,0))=0,"",INDEX(Raw_매출!$B$2:$BI$155,MATCH($A106,Raw_매출!$A$2:$A$155,0),MATCH(EDATE($E106,AZ$1-1),Raw_매출!$B$1:$BI$1,0))/(INDEX(요약_월별시즈널리티!$F$7:$F$18,MONTH(EDATE($E106,AZ$1-1)))/100))),"")</f>
        <v/>
      </c>
      <c r="BA106" t="str" cm="1">
        <f t="array" ref="BA106">IFERROR(IF($E106&lt;44348,"",IF(INDEX(Raw_매출!$B$2:$BI$155,MATCH($A106,Raw_매출!$A$2:$A$155,0),MATCH(EDATE($E106,BA$1-1),Raw_매출!$B$1:$BI$1,0))=0,"",INDEX(Raw_매출!$B$2:$BI$155,MATCH($A106,Raw_매출!$A$2:$A$155,0),MATCH(EDATE($E106,BA$1-1),Raw_매출!$B$1:$BI$1,0))/(INDEX(요약_월별시즈널리티!$F$7:$F$18,MONTH(EDATE($E106,BA$1-1)))/100))),"")</f>
        <v/>
      </c>
      <c r="BB106" t="str" cm="1">
        <f t="array" ref="BB106">IFERROR(IF($E106&lt;44348,"",IF(INDEX(Raw_매출!$B$2:$BI$155,MATCH($A106,Raw_매출!$A$2:$A$155,0),MATCH(EDATE($E106,BB$1-1),Raw_매출!$B$1:$BI$1,0))=0,"",INDEX(Raw_매출!$B$2:$BI$155,MATCH($A106,Raw_매출!$A$2:$A$155,0),MATCH(EDATE($E106,BB$1-1),Raw_매출!$B$1:$BI$1,0))/(INDEX(요약_월별시즈널리티!$F$7:$F$18,MONTH(EDATE($E106,BB$1-1)))/100))),"")</f>
        <v/>
      </c>
      <c r="BC106" t="str" cm="1">
        <f t="array" ref="BC106">IFERROR(IF($E106&lt;44348,"",IF(INDEX(Raw_매출!$B$2:$BI$155,MATCH($A106,Raw_매출!$A$2:$A$155,0),MATCH(EDATE($E106,BC$1-1),Raw_매출!$B$1:$BI$1,0))=0,"",INDEX(Raw_매출!$B$2:$BI$155,MATCH($A106,Raw_매출!$A$2:$A$155,0),MATCH(EDATE($E106,BC$1-1),Raw_매출!$B$1:$BI$1,0))/(INDEX(요약_월별시즈널리티!$F$7:$F$18,MONTH(EDATE($E106,BC$1-1)))/100))),"")</f>
        <v/>
      </c>
      <c r="BD106" t="str" cm="1">
        <f t="array" ref="BD106">IFERROR(IF($E106&lt;44348,"",IF(INDEX(Raw_매출!$B$2:$BI$155,MATCH($A106,Raw_매출!$A$2:$A$155,0),MATCH(EDATE($E106,BD$1-1),Raw_매출!$B$1:$BI$1,0))=0,"",INDEX(Raw_매출!$B$2:$BI$155,MATCH($A106,Raw_매출!$A$2:$A$155,0),MATCH(EDATE($E106,BD$1-1),Raw_매출!$B$1:$BI$1,0))/(INDEX(요약_월별시즈널리티!$F$7:$F$18,MONTH(EDATE($E106,BD$1-1)))/100))),"")</f>
        <v/>
      </c>
      <c r="BE106" t="str" cm="1">
        <f t="array" ref="BE106">IFERROR(IF($E106&lt;44348,"",IF(INDEX(Raw_매출!$B$2:$BI$155,MATCH($A106,Raw_매출!$A$2:$A$155,0),MATCH(EDATE($E106,BE$1-1),Raw_매출!$B$1:$BI$1,0))=0,"",INDEX(Raw_매출!$B$2:$BI$155,MATCH($A106,Raw_매출!$A$2:$A$155,0),MATCH(EDATE($E106,BE$1-1),Raw_매출!$B$1:$BI$1,0))/(INDEX(요약_월별시즈널리티!$F$7:$F$18,MONTH(EDATE($E106,BE$1-1)))/100))),"")</f>
        <v/>
      </c>
      <c r="BF106" t="str" cm="1">
        <f t="array" ref="BF106">IFERROR(IF($E106&lt;44348,"",IF(INDEX(Raw_매출!$B$2:$BI$155,MATCH($A106,Raw_매출!$A$2:$A$155,0),MATCH(EDATE($E106,BF$1-1),Raw_매출!$B$1:$BI$1,0))=0,"",INDEX(Raw_매출!$B$2:$BI$155,MATCH($A106,Raw_매출!$A$2:$A$155,0),MATCH(EDATE($E106,BF$1-1),Raw_매출!$B$1:$BI$1,0))/(INDEX(요약_월별시즈널리티!$F$7:$F$18,MONTH(EDATE($E106,BF$1-1)))/100))),"")</f>
        <v/>
      </c>
      <c r="BG106" t="str" cm="1">
        <f t="array" ref="BG106">IFERROR(IF($E106&lt;44348,"",IF(INDEX(Raw_매출!$B$2:$BI$155,MATCH($A106,Raw_매출!$A$2:$A$155,0),MATCH(EDATE($E106,BG$1-1),Raw_매출!$B$1:$BI$1,0))=0,"",INDEX(Raw_매출!$B$2:$BI$155,MATCH($A106,Raw_매출!$A$2:$A$155,0),MATCH(EDATE($E106,BG$1-1),Raw_매출!$B$1:$BI$1,0))/(INDEX(요약_월별시즈널리티!$F$7:$F$18,MONTH(EDATE($E106,BG$1-1)))/100))),"")</f>
        <v/>
      </c>
      <c r="BH106" t="str" cm="1">
        <f t="array" ref="BH106">IFERROR(IF($E106&lt;44348,"",IF(INDEX(Raw_매출!$B$2:$BI$155,MATCH($A106,Raw_매출!$A$2:$A$155,0),MATCH(EDATE($E106,BH$1-1),Raw_매출!$B$1:$BI$1,0))=0,"",INDEX(Raw_매출!$B$2:$BI$155,MATCH($A106,Raw_매출!$A$2:$A$155,0),MATCH(EDATE($E106,BH$1-1),Raw_매출!$B$1:$BI$1,0))/(INDEX(요약_월별시즈널리티!$F$7:$F$18,MONTH(EDATE($E106,BH$1-1)))/100))),"")</f>
        <v/>
      </c>
      <c r="BI106" t="str" cm="1">
        <f t="array" ref="BI106">IFERROR(IF($E106&lt;44348,"",IF(INDEX(Raw_매출!$B$2:$BI$155,MATCH($A106,Raw_매출!$A$2:$A$155,0),MATCH(EDATE($E106,BI$1-1),Raw_매출!$B$1:$BI$1,0))=0,"",INDEX(Raw_매출!$B$2:$BI$155,MATCH($A106,Raw_매출!$A$2:$A$155,0),MATCH(EDATE($E106,BI$1-1),Raw_매출!$B$1:$BI$1,0))/(INDEX(요약_월별시즈널리티!$F$7:$F$18,MONTH(EDATE($E106,BI$1-1)))/100))),"")</f>
        <v/>
      </c>
      <c r="BJ106" t="str" cm="1">
        <f t="array" ref="BJ106">IFERROR(IF($E106&lt;44348,"",IF(INDEX(Raw_매출!$B$2:$BI$155,MATCH($A106,Raw_매출!$A$2:$A$155,0),MATCH(EDATE($E106,BJ$1-1),Raw_매출!$B$1:$BI$1,0))=0,"",INDEX(Raw_매출!$B$2:$BI$155,MATCH($A106,Raw_매출!$A$2:$A$155,0),MATCH(EDATE($E106,BJ$1-1),Raw_매출!$B$1:$BI$1,0))/(INDEX(요약_월별시즈널리티!$F$7:$F$18,MONTH(EDATE($E106,BJ$1-1)))/100))),"")</f>
        <v/>
      </c>
      <c r="BK106" t="str" cm="1">
        <f t="array" ref="BK106">IFERROR(IF($E106&lt;44348,"",IF(INDEX(Raw_매출!$B$2:$BI$155,MATCH($A106,Raw_매출!$A$2:$A$155,0),MATCH(EDATE($E106,BK$1-1),Raw_매출!$B$1:$BI$1,0))=0,"",INDEX(Raw_매출!$B$2:$BI$155,MATCH($A106,Raw_매출!$A$2:$A$155,0),MATCH(EDATE($E106,BK$1-1),Raw_매출!$B$1:$BI$1,0))/(INDEX(요약_월별시즈널리티!$F$7:$F$18,MONTH(EDATE($E106,BK$1-1)))/100))),"")</f>
        <v/>
      </c>
      <c r="BL106" t="str" cm="1">
        <f t="array" ref="BL106">IFERROR(IF($E106&lt;44348,"",IF(INDEX(Raw_매출!$B$2:$BI$155,MATCH($A106,Raw_매출!$A$2:$A$155,0),MATCH(EDATE($E106,BL$1-1),Raw_매출!$B$1:$BI$1,0))=0,"",INDEX(Raw_매출!$B$2:$BI$155,MATCH($A106,Raw_매출!$A$2:$A$155,0),MATCH(EDATE($E106,BL$1-1),Raw_매출!$B$1:$BI$1,0))/(INDEX(요약_월별시즈널리티!$F$7:$F$18,MONTH(EDATE($E106,BL$1-1)))/100))),"")</f>
        <v/>
      </c>
      <c r="BM106" t="str" cm="1">
        <f t="array" ref="BM106">IFERROR(IF($E106&lt;44348,"",IF(INDEX(Raw_매출!$B$2:$BI$155,MATCH($A106,Raw_매출!$A$2:$A$155,0),MATCH(EDATE($E106,BM$1-1),Raw_매출!$B$1:$BI$1,0))=0,"",INDEX(Raw_매출!$B$2:$BI$155,MATCH($A106,Raw_매출!$A$2:$A$155,0),MATCH(EDATE($E106,BM$1-1),Raw_매출!$B$1:$BI$1,0))/(INDEX(요약_월별시즈널리티!$F$7:$F$18,MONTH(EDATE($E106,BM$1-1)))/100))),"")</f>
        <v/>
      </c>
      <c r="BN106" t="str" cm="1">
        <f t="array" ref="BN106">IFERROR(IF($E106&lt;44348,"",IF(INDEX(Raw_매출!$B$2:$BI$155,MATCH($A106,Raw_매출!$A$2:$A$155,0),MATCH(EDATE($E106,BN$1-1),Raw_매출!$B$1:$BI$1,0))=0,"",INDEX(Raw_매출!$B$2:$BI$155,MATCH($A106,Raw_매출!$A$2:$A$155,0),MATCH(EDATE($E106,BN$1-1),Raw_매출!$B$1:$BI$1,0))/(INDEX(요약_월별시즈널리티!$F$7:$F$18,MONTH(EDATE($E106,BN$1-1)))/100))),"")</f>
        <v/>
      </c>
    </row>
    <row r="107" spans="1:66" x14ac:dyDescent="0.4">
      <c r="A107" t="str">
        <f>세팅!A108</f>
        <v>(1096) #논현역점</v>
      </c>
      <c r="B107" t="str">
        <f>세팅!B108</f>
        <v>150-2</v>
      </c>
      <c r="C107">
        <f t="shared" si="3"/>
        <v>2</v>
      </c>
      <c r="D107" t="str">
        <f t="shared" si="4"/>
        <v>2</v>
      </c>
      <c r="E107" s="1">
        <f>세팅!D108</f>
        <v>45292</v>
      </c>
      <c r="F107">
        <f t="shared" si="5"/>
        <v>9842940.2337399367</v>
      </c>
      <c r="G107" cm="1">
        <f t="array" ref="G107">IFERROR(IF($E107&lt;44348,"",IF(INDEX(Raw_매출!$B$2:$BI$155,MATCH($A107,Raw_매출!$A$2:$A$155,0),MATCH(EDATE($E107,G$1-1),Raw_매출!$B$1:$BI$1,0))=0,"",INDEX(Raw_매출!$B$2:$BI$155,MATCH($A107,Raw_매출!$A$2:$A$155,0),MATCH(EDATE($E107,G$1-1),Raw_매출!$B$1:$BI$1,0))/(INDEX(요약_월별시즈널리티!$F$7:$F$18,MONTH(EDATE($E107,G$1-1)))/100))),"")</f>
        <v>4968597.4571162835</v>
      </c>
      <c r="H107" cm="1">
        <f t="array" ref="H107">IFERROR(IF($E107&lt;44348,"",IF(INDEX(Raw_매출!$B$2:$BI$155,MATCH($A107,Raw_매출!$A$2:$A$155,0),MATCH(EDATE($E107,H$1-1),Raw_매출!$B$1:$BI$1,0))=0,"",INDEX(Raw_매출!$B$2:$BI$155,MATCH($A107,Raw_매출!$A$2:$A$155,0),MATCH(EDATE($E107,H$1-1),Raw_매출!$B$1:$BI$1,0))/(INDEX(요약_월별시즈널리티!$F$7:$F$18,MONTH(EDATE($E107,H$1-1)))/100))),"")</f>
        <v>9366957.2610264346</v>
      </c>
      <c r="I107" cm="1">
        <f t="array" ref="I107">IFERROR(IF($E107&lt;44348,"",IF(INDEX(Raw_매출!$B$2:$BI$155,MATCH($A107,Raw_매출!$A$2:$A$155,0),MATCH(EDATE($E107,I$1-1),Raw_매출!$B$1:$BI$1,0))=0,"",INDEX(Raw_매출!$B$2:$BI$155,MATCH($A107,Raw_매출!$A$2:$A$155,0),MATCH(EDATE($E107,I$1-1),Raw_매출!$B$1:$BI$1,0))/(INDEX(요약_월별시즈널리티!$F$7:$F$18,MONTH(EDATE($E107,I$1-1)))/100))),"")</f>
        <v>9095558.7299971506</v>
      </c>
      <c r="J107" s="30" cm="1">
        <f t="array" ref="J107">IFERROR(IF($E107&lt;44348,"",IF(INDEX(Raw_매출!$B$2:$BI$155,MATCH($A107,Raw_매출!$A$2:$A$155,0),MATCH(EDATE($E107,J$1-1),Raw_매출!$B$1:$BI$1,0))=0,"",INDEX(Raw_매출!$B$2:$BI$155,MATCH($A107,Raw_매출!$A$2:$A$155,0),MATCH(EDATE($E107,J$1-1),Raw_매출!$B$1:$BI$1,0))/(INDEX(요약_월별시즈널리티!$F$7:$F$18,MONTH(EDATE($E107,J$1-1)))/100))),"")</f>
        <v>9816609.6923382785</v>
      </c>
      <c r="K107" s="30" cm="1">
        <f t="array" ref="K107">IFERROR(IF($E107&lt;44348,"",IF(INDEX(Raw_매출!$B$2:$BI$155,MATCH($A107,Raw_매출!$A$2:$A$155,0),MATCH(EDATE($E107,K$1-1),Raw_매출!$B$1:$BI$1,0))=0,"",INDEX(Raw_매출!$B$2:$BI$155,MATCH($A107,Raw_매출!$A$2:$A$155,0),MATCH(EDATE($E107,K$1-1),Raw_매출!$B$1:$BI$1,0))/(INDEX(요약_월별시즈널리티!$F$7:$F$18,MONTH(EDATE($E107,K$1-1)))/100))),"")</f>
        <v>10073413.674327252</v>
      </c>
      <c r="L107" s="30" cm="1">
        <f t="array" ref="L107">IFERROR(IF($E107&lt;44348,"",IF(INDEX(Raw_매출!$B$2:$BI$155,MATCH($A107,Raw_매출!$A$2:$A$155,0),MATCH(EDATE($E107,L$1-1),Raw_매출!$B$1:$BI$1,0))=0,"",INDEX(Raw_매출!$B$2:$BI$155,MATCH($A107,Raw_매출!$A$2:$A$155,0),MATCH(EDATE($E107,L$1-1),Raw_매출!$B$1:$BI$1,0))/(INDEX(요약_월별시즈널리티!$F$7:$F$18,MONTH(EDATE($E107,L$1-1)))/100))),"")</f>
        <v>9243896.3629912585</v>
      </c>
      <c r="M107" s="30" cm="1">
        <f t="array" ref="M107">IFERROR(IF($E107&lt;44348,"",IF(INDEX(Raw_매출!$B$2:$BI$155,MATCH($A107,Raw_매출!$A$2:$A$155,0),MATCH(EDATE($E107,M$1-1),Raw_매출!$B$1:$BI$1,0))=0,"",INDEX(Raw_매출!$B$2:$BI$155,MATCH($A107,Raw_매출!$A$2:$A$155,0),MATCH(EDATE($E107,M$1-1),Raw_매출!$B$1:$BI$1,0))/(INDEX(요약_월별시즈널리티!$F$7:$F$18,MONTH(EDATE($E107,M$1-1)))/100))),"")</f>
        <v>10353496.218337977</v>
      </c>
      <c r="N107" s="30" cm="1">
        <f t="array" ref="N107">IFERROR(IF($E107&lt;44348,"",IF(INDEX(Raw_매출!$B$2:$BI$155,MATCH($A107,Raw_매출!$A$2:$A$155,0),MATCH(EDATE($E107,N$1-1),Raw_매출!$B$1:$BI$1,0))=0,"",INDEX(Raw_매출!$B$2:$BI$155,MATCH($A107,Raw_매출!$A$2:$A$155,0),MATCH(EDATE($E107,N$1-1),Raw_매출!$B$1:$BI$1,0))/(INDEX(요약_월별시즈널리티!$F$7:$F$18,MONTH(EDATE($E107,N$1-1)))/100))),"")</f>
        <v>10110625.699847026</v>
      </c>
      <c r="O107" s="30" cm="1">
        <f t="array" ref="O107">IFERROR(IF($E107&lt;44348,"",IF(INDEX(Raw_매출!$B$2:$BI$155,MATCH($A107,Raw_매출!$A$2:$A$155,0),MATCH(EDATE($E107,O$1-1),Raw_매출!$B$1:$BI$1,0))=0,"",INDEX(Raw_매출!$B$2:$BI$155,MATCH($A107,Raw_매출!$A$2:$A$155,0),MATCH(EDATE($E107,O$1-1),Raw_매출!$B$1:$BI$1,0))/(INDEX(요약_월별시즈널리티!$F$7:$F$18,MONTH(EDATE($E107,O$1-1)))/100))),"")</f>
        <v>9459599.7545978315</v>
      </c>
      <c r="P107" cm="1">
        <f t="array" ref="P107">IFERROR(IF($E107&lt;44348,"",IF(INDEX(Raw_매출!$B$2:$BI$155,MATCH($A107,Raw_매출!$A$2:$A$155,0),MATCH(EDATE($E107,P$1-1),Raw_매출!$B$1:$BI$1,0))=0,"",INDEX(Raw_매출!$B$2:$BI$155,MATCH($A107,Raw_매출!$A$2:$A$155,0),MATCH(EDATE($E107,P$1-1),Raw_매출!$B$1:$BI$1,0))/(INDEX(요약_월별시즈널리티!$F$7:$F$18,MONTH(EDATE($E107,P$1-1)))/100))),"")</f>
        <v>8112414.3910873011</v>
      </c>
      <c r="Q107" cm="1">
        <f t="array" ref="Q107">IFERROR(IF($E107&lt;44348,"",IF(INDEX(Raw_매출!$B$2:$BI$155,MATCH($A107,Raw_매출!$A$2:$A$155,0),MATCH(EDATE($E107,Q$1-1),Raw_매출!$B$1:$BI$1,0))=0,"",INDEX(Raw_매출!$B$2:$BI$155,MATCH($A107,Raw_매출!$A$2:$A$155,0),MATCH(EDATE($E107,Q$1-1),Raw_매출!$B$1:$BI$1,0))/(INDEX(요약_월별시즈널리티!$F$7:$F$18,MONTH(EDATE($E107,Q$1-1)))/100))),"")</f>
        <v>9198029.6238544062</v>
      </c>
      <c r="R107" cm="1">
        <f t="array" ref="R107">IFERROR(IF($E107&lt;44348,"",IF(INDEX(Raw_매출!$B$2:$BI$155,MATCH($A107,Raw_매출!$A$2:$A$155,0),MATCH(EDATE($E107,R$1-1),Raw_매출!$B$1:$BI$1,0))=0,"",INDEX(Raw_매출!$B$2:$BI$155,MATCH($A107,Raw_매출!$A$2:$A$155,0),MATCH(EDATE($E107,R$1-1),Raw_매출!$B$1:$BI$1,0))/(INDEX(요약_월별시즈널리티!$F$7:$F$18,MONTH(EDATE($E107,R$1-1)))/100))),"")</f>
        <v>5591103.295944823</v>
      </c>
      <c r="S107" cm="1">
        <f t="array" ref="S107">IFERROR(IF($E107&lt;44348,"",IF(INDEX(Raw_매출!$B$2:$BI$155,MATCH($A107,Raw_매출!$A$2:$A$155,0),MATCH(EDATE($E107,S$1-1),Raw_매출!$B$1:$BI$1,0))=0,"",INDEX(Raw_매출!$B$2:$BI$155,MATCH($A107,Raw_매출!$A$2:$A$155,0),MATCH(EDATE($E107,S$1-1),Raw_매출!$B$1:$BI$1,0))/(INDEX(요약_월별시즈널리티!$F$7:$F$18,MONTH(EDATE($E107,S$1-1)))/100))),"")</f>
        <v>6822221.6797418222</v>
      </c>
      <c r="T107" cm="1">
        <f t="array" ref="T107">IFERROR(IF($E107&lt;44348,"",IF(INDEX(Raw_매출!$B$2:$BI$155,MATCH($A107,Raw_매출!$A$2:$A$155,0),MATCH(EDATE($E107,T$1-1),Raw_매출!$B$1:$BI$1,0))=0,"",INDEX(Raw_매출!$B$2:$BI$155,MATCH($A107,Raw_매출!$A$2:$A$155,0),MATCH(EDATE($E107,T$1-1),Raw_매출!$B$1:$BI$1,0))/(INDEX(요약_월별시즈널리티!$F$7:$F$18,MONTH(EDATE($E107,T$1-1)))/100))),"")</f>
        <v>5594785.1473005842</v>
      </c>
      <c r="U107" cm="1">
        <f t="array" ref="U107">IFERROR(IF($E107&lt;44348,"",IF(INDEX(Raw_매출!$B$2:$BI$155,MATCH($A107,Raw_매출!$A$2:$A$155,0),MATCH(EDATE($E107,U$1-1),Raw_매출!$B$1:$BI$1,0))=0,"",INDEX(Raw_매출!$B$2:$BI$155,MATCH($A107,Raw_매출!$A$2:$A$155,0),MATCH(EDATE($E107,U$1-1),Raw_매출!$B$1:$BI$1,0))/(INDEX(요약_월별시즈널리티!$F$7:$F$18,MONTH(EDATE($E107,U$1-1)))/100))),"")</f>
        <v>6513096.3799717547</v>
      </c>
      <c r="V107" cm="1">
        <f t="array" ref="V107">IFERROR(IF($E107&lt;44348,"",IF(INDEX(Raw_매출!$B$2:$BI$155,MATCH($A107,Raw_매출!$A$2:$A$155,0),MATCH(EDATE($E107,V$1-1),Raw_매출!$B$1:$BI$1,0))=0,"",INDEX(Raw_매출!$B$2:$BI$155,MATCH($A107,Raw_매출!$A$2:$A$155,0),MATCH(EDATE($E107,V$1-1),Raw_매출!$B$1:$BI$1,0))/(INDEX(요약_월별시즈널리티!$F$7:$F$18,MONTH(EDATE($E107,V$1-1)))/100))),"")</f>
        <v>7192047.7925655385</v>
      </c>
      <c r="W107" cm="1">
        <f t="array" ref="W107">IFERROR(IF($E107&lt;44348,"",IF(INDEX(Raw_매출!$B$2:$BI$155,MATCH($A107,Raw_매출!$A$2:$A$155,0),MATCH(EDATE($E107,W$1-1),Raw_매출!$B$1:$BI$1,0))=0,"",INDEX(Raw_매출!$B$2:$BI$155,MATCH($A107,Raw_매출!$A$2:$A$155,0),MATCH(EDATE($E107,W$1-1),Raw_매출!$B$1:$BI$1,0))/(INDEX(요약_월별시즈널리티!$F$7:$F$18,MONTH(EDATE($E107,W$1-1)))/100))),"")</f>
        <v>7774571.6611250378</v>
      </c>
      <c r="X107" cm="1">
        <f t="array" ref="X107">IFERROR(IF($E107&lt;44348,"",IF(INDEX(Raw_매출!$B$2:$BI$155,MATCH($A107,Raw_매출!$A$2:$A$155,0),MATCH(EDATE($E107,X$1-1),Raw_매출!$B$1:$BI$1,0))=0,"",INDEX(Raw_매출!$B$2:$BI$155,MATCH($A107,Raw_매출!$A$2:$A$155,0),MATCH(EDATE($E107,X$1-1),Raw_매출!$B$1:$BI$1,0))/(INDEX(요약_월별시즈널리티!$F$7:$F$18,MONTH(EDATE($E107,X$1-1)))/100))),"")</f>
        <v>5897357.0292918086</v>
      </c>
      <c r="Y107" cm="1">
        <f t="array" ref="Y107">IFERROR(IF($E107&lt;44348,"",IF(INDEX(Raw_매출!$B$2:$BI$155,MATCH($A107,Raw_매출!$A$2:$A$155,0),MATCH(EDATE($E107,Y$1-1),Raw_매출!$B$1:$BI$1,0))=0,"",INDEX(Raw_매출!$B$2:$BI$155,MATCH($A107,Raw_매출!$A$2:$A$155,0),MATCH(EDATE($E107,Y$1-1),Raw_매출!$B$1:$BI$1,0))/(INDEX(요약_월별시즈널리티!$F$7:$F$18,MONTH(EDATE($E107,Y$1-1)))/100))),"")</f>
        <v>6085749.1385782966</v>
      </c>
      <c r="Z107" cm="1">
        <f t="array" ref="Z107">IFERROR(IF($E107&lt;44348,"",IF(INDEX(Raw_매출!$B$2:$BI$155,MATCH($A107,Raw_매출!$A$2:$A$155,0),MATCH(EDATE($E107,Z$1-1),Raw_매출!$B$1:$BI$1,0))=0,"",INDEX(Raw_매출!$B$2:$BI$155,MATCH($A107,Raw_매출!$A$2:$A$155,0),MATCH(EDATE($E107,Z$1-1),Raw_매출!$B$1:$BI$1,0))/(INDEX(요약_월별시즈널리티!$F$7:$F$18,MONTH(EDATE($E107,Z$1-1)))/100))),"")</f>
        <v>5513879.1706488607</v>
      </c>
      <c r="AA107" cm="1">
        <f t="array" ref="AA107">IFERROR(IF($E107&lt;44348,"",IF(INDEX(Raw_매출!$B$2:$BI$155,MATCH($A107,Raw_매출!$A$2:$A$155,0),MATCH(EDATE($E107,AA$1-1),Raw_매출!$B$1:$BI$1,0))=0,"",INDEX(Raw_매출!$B$2:$BI$155,MATCH($A107,Raw_매출!$A$2:$A$155,0),MATCH(EDATE($E107,AA$1-1),Raw_매출!$B$1:$BI$1,0))/(INDEX(요약_월별시즈널리티!$F$7:$F$18,MONTH(EDATE($E107,AA$1-1)))/100))),"")</f>
        <v>4836453.0744657991</v>
      </c>
      <c r="AB107" cm="1">
        <f t="array" ref="AB107">IFERROR(IF($E107&lt;44348,"",IF(INDEX(Raw_매출!$B$2:$BI$155,MATCH($A107,Raw_매출!$A$2:$A$155,0),MATCH(EDATE($E107,AB$1-1),Raw_매출!$B$1:$BI$1,0))=0,"",INDEX(Raw_매출!$B$2:$BI$155,MATCH($A107,Raw_매출!$A$2:$A$155,0),MATCH(EDATE($E107,AB$1-1),Raw_매출!$B$1:$BI$1,0))/(INDEX(요약_월별시즈널리티!$F$7:$F$18,MONTH(EDATE($E107,AB$1-1)))/100))),"")</f>
        <v>5299306.3147495855</v>
      </c>
      <c r="AC107" cm="1">
        <f t="array" ref="AC107">IFERROR(IF($E107&lt;44348,"",IF(INDEX(Raw_매출!$B$2:$BI$155,MATCH($A107,Raw_매출!$A$2:$A$155,0),MATCH(EDATE($E107,AC$1-1),Raw_매출!$B$1:$BI$1,0))=0,"",INDEX(Raw_매출!$B$2:$BI$155,MATCH($A107,Raw_매출!$A$2:$A$155,0),MATCH(EDATE($E107,AC$1-1),Raw_매출!$B$1:$BI$1,0))/(INDEX(요약_월별시즈널리티!$F$7:$F$18,MONTH(EDATE($E107,AC$1-1)))/100))),"")</f>
        <v>6769685.6418023668</v>
      </c>
      <c r="AD107" cm="1">
        <f t="array" ref="AD107">IFERROR(IF($E107&lt;44348,"",IF(INDEX(Raw_매출!$B$2:$BI$155,MATCH($A107,Raw_매출!$A$2:$A$155,0),MATCH(EDATE($E107,AD$1-1),Raw_매출!$B$1:$BI$1,0))=0,"",INDEX(Raw_매출!$B$2:$BI$155,MATCH($A107,Raw_매출!$A$2:$A$155,0),MATCH(EDATE($E107,AD$1-1),Raw_매출!$B$1:$BI$1,0))/(INDEX(요약_월별시즈널리티!$F$7:$F$18,MONTH(EDATE($E107,AD$1-1)))/100))),"")</f>
        <v>6111978.5574342459</v>
      </c>
      <c r="AE107" cm="1">
        <f t="array" ref="AE107">IFERROR(IF($E107&lt;44348,"",IF(INDEX(Raw_매출!$B$2:$BI$155,MATCH($A107,Raw_매출!$A$2:$A$155,0),MATCH(EDATE($E107,AE$1-1),Raw_매출!$B$1:$BI$1,0))=0,"",INDEX(Raw_매출!$B$2:$BI$155,MATCH($A107,Raw_매출!$A$2:$A$155,0),MATCH(EDATE($E107,AE$1-1),Raw_매출!$B$1:$BI$1,0))/(INDEX(요약_월별시즈널리티!$F$7:$F$18,MONTH(EDATE($E107,AE$1-1)))/100))),"")</f>
        <v>7476673.9783794368</v>
      </c>
      <c r="AF107" cm="1">
        <f t="array" ref="AF107">IFERROR(IF($E107&lt;44348,"",IF(INDEX(Raw_매출!$B$2:$BI$155,MATCH($A107,Raw_매출!$A$2:$A$155,0),MATCH(EDATE($E107,AF$1-1),Raw_매출!$B$1:$BI$1,0))=0,"",INDEX(Raw_매출!$B$2:$BI$155,MATCH($A107,Raw_매출!$A$2:$A$155,0),MATCH(EDATE($E107,AF$1-1),Raw_매출!$B$1:$BI$1,0))/(INDEX(요약_월별시즈널리티!$F$7:$F$18,MONTH(EDATE($E107,AF$1-1)))/100))),"")</f>
        <v>7443202.6342681823</v>
      </c>
      <c r="AG107" cm="1">
        <f t="array" ref="AG107">IFERROR(IF($E107&lt;44348,"",IF(INDEX(Raw_매출!$B$2:$BI$155,MATCH($A107,Raw_매출!$A$2:$A$155,0),MATCH(EDATE($E107,AG$1-1),Raw_매출!$B$1:$BI$1,0))=0,"",INDEX(Raw_매출!$B$2:$BI$155,MATCH($A107,Raw_매출!$A$2:$A$155,0),MATCH(EDATE($E107,AG$1-1),Raw_매출!$B$1:$BI$1,0))/(INDEX(요약_월별시즈널리티!$F$7:$F$18,MONTH(EDATE($E107,AG$1-1)))/100))),"")</f>
        <v>7239162.4278287962</v>
      </c>
      <c r="AH107" cm="1">
        <f t="array" ref="AH107">IFERROR(IF($E107&lt;44348,"",IF(INDEX(Raw_매출!$B$2:$BI$155,MATCH($A107,Raw_매출!$A$2:$A$155,0),MATCH(EDATE($E107,AH$1-1),Raw_매출!$B$1:$BI$1,0))=0,"",INDEX(Raw_매출!$B$2:$BI$155,MATCH($A107,Raw_매출!$A$2:$A$155,0),MATCH(EDATE($E107,AH$1-1),Raw_매출!$B$1:$BI$1,0))/(INDEX(요약_월별시즈널리티!$F$7:$F$18,MONTH(EDATE($E107,AH$1-1)))/100))),"")</f>
        <v>7165560.7225777032</v>
      </c>
      <c r="AI107" cm="1">
        <f t="array" ref="AI107">IFERROR(IF($E107&lt;44348,"",IF(INDEX(Raw_매출!$B$2:$BI$155,MATCH($A107,Raw_매출!$A$2:$A$155,0),MATCH(EDATE($E107,AI$1-1),Raw_매출!$B$1:$BI$1,0))=0,"",INDEX(Raw_매출!$B$2:$BI$155,MATCH($A107,Raw_매출!$A$2:$A$155,0),MATCH(EDATE($E107,AI$1-1),Raw_매출!$B$1:$BI$1,0))/(INDEX(요약_월별시즈널리티!$F$7:$F$18,MONTH(EDATE($E107,AI$1-1)))/100))),"")</f>
        <v>7208236.6483936775</v>
      </c>
      <c r="AJ107" t="str" cm="1">
        <f t="array" ref="AJ107">IFERROR(IF($E107&lt;44348,"",IF(INDEX(Raw_매출!$B$2:$BI$155,MATCH($A107,Raw_매출!$A$2:$A$155,0),MATCH(EDATE($E107,AJ$1-1),Raw_매출!$B$1:$BI$1,0))=0,"",INDEX(Raw_매출!$B$2:$BI$155,MATCH($A107,Raw_매출!$A$2:$A$155,0),MATCH(EDATE($E107,AJ$1-1),Raw_매출!$B$1:$BI$1,0))/(INDEX(요약_월별시즈널리티!$F$7:$F$18,MONTH(EDATE($E107,AJ$1-1)))/100))),"")</f>
        <v/>
      </c>
      <c r="AK107" t="str" cm="1">
        <f t="array" ref="AK107">IFERROR(IF($E107&lt;44348,"",IF(INDEX(Raw_매출!$B$2:$BI$155,MATCH($A107,Raw_매출!$A$2:$A$155,0),MATCH(EDATE($E107,AK$1-1),Raw_매출!$B$1:$BI$1,0))=0,"",INDEX(Raw_매출!$B$2:$BI$155,MATCH($A107,Raw_매출!$A$2:$A$155,0),MATCH(EDATE($E107,AK$1-1),Raw_매출!$B$1:$BI$1,0))/(INDEX(요약_월별시즈널리티!$F$7:$F$18,MONTH(EDATE($E107,AK$1-1)))/100))),"")</f>
        <v/>
      </c>
      <c r="AL107" t="str" cm="1">
        <f t="array" ref="AL107">IFERROR(IF($E107&lt;44348,"",IF(INDEX(Raw_매출!$B$2:$BI$155,MATCH($A107,Raw_매출!$A$2:$A$155,0),MATCH(EDATE($E107,AL$1-1),Raw_매출!$B$1:$BI$1,0))=0,"",INDEX(Raw_매출!$B$2:$BI$155,MATCH($A107,Raw_매출!$A$2:$A$155,0),MATCH(EDATE($E107,AL$1-1),Raw_매출!$B$1:$BI$1,0))/(INDEX(요약_월별시즈널리티!$F$7:$F$18,MONTH(EDATE($E107,AL$1-1)))/100))),"")</f>
        <v/>
      </c>
      <c r="AM107" t="str" cm="1">
        <f t="array" ref="AM107">IFERROR(IF($E107&lt;44348,"",IF(INDEX(Raw_매출!$B$2:$BI$155,MATCH($A107,Raw_매출!$A$2:$A$155,0),MATCH(EDATE($E107,AM$1-1),Raw_매출!$B$1:$BI$1,0))=0,"",INDEX(Raw_매출!$B$2:$BI$155,MATCH($A107,Raw_매출!$A$2:$A$155,0),MATCH(EDATE($E107,AM$1-1),Raw_매출!$B$1:$BI$1,0))/(INDEX(요약_월별시즈널리티!$F$7:$F$18,MONTH(EDATE($E107,AM$1-1)))/100))),"")</f>
        <v/>
      </c>
      <c r="AN107" t="str" cm="1">
        <f t="array" ref="AN107">IFERROR(IF($E107&lt;44348,"",IF(INDEX(Raw_매출!$B$2:$BI$155,MATCH($A107,Raw_매출!$A$2:$A$155,0),MATCH(EDATE($E107,AN$1-1),Raw_매출!$B$1:$BI$1,0))=0,"",INDEX(Raw_매출!$B$2:$BI$155,MATCH($A107,Raw_매출!$A$2:$A$155,0),MATCH(EDATE($E107,AN$1-1),Raw_매출!$B$1:$BI$1,0))/(INDEX(요약_월별시즈널리티!$F$7:$F$18,MONTH(EDATE($E107,AN$1-1)))/100))),"")</f>
        <v/>
      </c>
      <c r="AO107" t="str" cm="1">
        <f t="array" ref="AO107">IFERROR(IF($E107&lt;44348,"",IF(INDEX(Raw_매출!$B$2:$BI$155,MATCH($A107,Raw_매출!$A$2:$A$155,0),MATCH(EDATE($E107,AO$1-1),Raw_매출!$B$1:$BI$1,0))=0,"",INDEX(Raw_매출!$B$2:$BI$155,MATCH($A107,Raw_매출!$A$2:$A$155,0),MATCH(EDATE($E107,AO$1-1),Raw_매출!$B$1:$BI$1,0))/(INDEX(요약_월별시즈널리티!$F$7:$F$18,MONTH(EDATE($E107,AO$1-1)))/100))),"")</f>
        <v/>
      </c>
      <c r="AP107" t="str" cm="1">
        <f t="array" ref="AP107">IFERROR(IF($E107&lt;44348,"",IF(INDEX(Raw_매출!$B$2:$BI$155,MATCH($A107,Raw_매출!$A$2:$A$155,0),MATCH(EDATE($E107,AP$1-1),Raw_매출!$B$1:$BI$1,0))=0,"",INDEX(Raw_매출!$B$2:$BI$155,MATCH($A107,Raw_매출!$A$2:$A$155,0),MATCH(EDATE($E107,AP$1-1),Raw_매출!$B$1:$BI$1,0))/(INDEX(요약_월별시즈널리티!$F$7:$F$18,MONTH(EDATE($E107,AP$1-1)))/100))),"")</f>
        <v/>
      </c>
      <c r="AQ107" t="str" cm="1">
        <f t="array" ref="AQ107">IFERROR(IF($E107&lt;44348,"",IF(INDEX(Raw_매출!$B$2:$BI$155,MATCH($A107,Raw_매출!$A$2:$A$155,0),MATCH(EDATE($E107,AQ$1-1),Raw_매출!$B$1:$BI$1,0))=0,"",INDEX(Raw_매출!$B$2:$BI$155,MATCH($A107,Raw_매출!$A$2:$A$155,0),MATCH(EDATE($E107,AQ$1-1),Raw_매출!$B$1:$BI$1,0))/(INDEX(요약_월별시즈널리티!$F$7:$F$18,MONTH(EDATE($E107,AQ$1-1)))/100))),"")</f>
        <v/>
      </c>
      <c r="AR107" t="str" cm="1">
        <f t="array" ref="AR107">IFERROR(IF($E107&lt;44348,"",IF(INDEX(Raw_매출!$B$2:$BI$155,MATCH($A107,Raw_매출!$A$2:$A$155,0),MATCH(EDATE($E107,AR$1-1),Raw_매출!$B$1:$BI$1,0))=0,"",INDEX(Raw_매출!$B$2:$BI$155,MATCH($A107,Raw_매출!$A$2:$A$155,0),MATCH(EDATE($E107,AR$1-1),Raw_매출!$B$1:$BI$1,0))/(INDEX(요약_월별시즈널리티!$F$7:$F$18,MONTH(EDATE($E107,AR$1-1)))/100))),"")</f>
        <v/>
      </c>
      <c r="AS107" t="str" cm="1">
        <f t="array" ref="AS107">IFERROR(IF($E107&lt;44348,"",IF(INDEX(Raw_매출!$B$2:$BI$155,MATCH($A107,Raw_매출!$A$2:$A$155,0),MATCH(EDATE($E107,AS$1-1),Raw_매출!$B$1:$BI$1,0))=0,"",INDEX(Raw_매출!$B$2:$BI$155,MATCH($A107,Raw_매출!$A$2:$A$155,0),MATCH(EDATE($E107,AS$1-1),Raw_매출!$B$1:$BI$1,0))/(INDEX(요약_월별시즈널리티!$F$7:$F$18,MONTH(EDATE($E107,AS$1-1)))/100))),"")</f>
        <v/>
      </c>
      <c r="AT107" t="str" cm="1">
        <f t="array" ref="AT107">IFERROR(IF($E107&lt;44348,"",IF(INDEX(Raw_매출!$B$2:$BI$155,MATCH($A107,Raw_매출!$A$2:$A$155,0),MATCH(EDATE($E107,AT$1-1),Raw_매출!$B$1:$BI$1,0))=0,"",INDEX(Raw_매출!$B$2:$BI$155,MATCH($A107,Raw_매출!$A$2:$A$155,0),MATCH(EDATE($E107,AT$1-1),Raw_매출!$B$1:$BI$1,0))/(INDEX(요약_월별시즈널리티!$F$7:$F$18,MONTH(EDATE($E107,AT$1-1)))/100))),"")</f>
        <v/>
      </c>
      <c r="AU107" t="str" cm="1">
        <f t="array" ref="AU107">IFERROR(IF($E107&lt;44348,"",IF(INDEX(Raw_매출!$B$2:$BI$155,MATCH($A107,Raw_매출!$A$2:$A$155,0),MATCH(EDATE($E107,AU$1-1),Raw_매출!$B$1:$BI$1,0))=0,"",INDEX(Raw_매출!$B$2:$BI$155,MATCH($A107,Raw_매출!$A$2:$A$155,0),MATCH(EDATE($E107,AU$1-1),Raw_매출!$B$1:$BI$1,0))/(INDEX(요약_월별시즈널리티!$F$7:$F$18,MONTH(EDATE($E107,AU$1-1)))/100))),"")</f>
        <v/>
      </c>
      <c r="AV107" t="str" cm="1">
        <f t="array" ref="AV107">IFERROR(IF($E107&lt;44348,"",IF(INDEX(Raw_매출!$B$2:$BI$155,MATCH($A107,Raw_매출!$A$2:$A$155,0),MATCH(EDATE($E107,AV$1-1),Raw_매출!$B$1:$BI$1,0))=0,"",INDEX(Raw_매출!$B$2:$BI$155,MATCH($A107,Raw_매출!$A$2:$A$155,0),MATCH(EDATE($E107,AV$1-1),Raw_매출!$B$1:$BI$1,0))/(INDEX(요약_월별시즈널리티!$F$7:$F$18,MONTH(EDATE($E107,AV$1-1)))/100))),"")</f>
        <v/>
      </c>
      <c r="AW107" t="str" cm="1">
        <f t="array" ref="AW107">IFERROR(IF($E107&lt;44348,"",IF(INDEX(Raw_매출!$B$2:$BI$155,MATCH($A107,Raw_매출!$A$2:$A$155,0),MATCH(EDATE($E107,AW$1-1),Raw_매출!$B$1:$BI$1,0))=0,"",INDEX(Raw_매출!$B$2:$BI$155,MATCH($A107,Raw_매출!$A$2:$A$155,0),MATCH(EDATE($E107,AW$1-1),Raw_매출!$B$1:$BI$1,0))/(INDEX(요약_월별시즈널리티!$F$7:$F$18,MONTH(EDATE($E107,AW$1-1)))/100))),"")</f>
        <v/>
      </c>
      <c r="AX107" t="str" cm="1">
        <f t="array" ref="AX107">IFERROR(IF($E107&lt;44348,"",IF(INDEX(Raw_매출!$B$2:$BI$155,MATCH($A107,Raw_매출!$A$2:$A$155,0),MATCH(EDATE($E107,AX$1-1),Raw_매출!$B$1:$BI$1,0))=0,"",INDEX(Raw_매출!$B$2:$BI$155,MATCH($A107,Raw_매출!$A$2:$A$155,0),MATCH(EDATE($E107,AX$1-1),Raw_매출!$B$1:$BI$1,0))/(INDEX(요약_월별시즈널리티!$F$7:$F$18,MONTH(EDATE($E107,AX$1-1)))/100))),"")</f>
        <v/>
      </c>
      <c r="AY107" t="str" cm="1">
        <f t="array" ref="AY107">IFERROR(IF($E107&lt;44348,"",IF(INDEX(Raw_매출!$B$2:$BI$155,MATCH($A107,Raw_매출!$A$2:$A$155,0),MATCH(EDATE($E107,AY$1-1),Raw_매출!$B$1:$BI$1,0))=0,"",INDEX(Raw_매출!$B$2:$BI$155,MATCH($A107,Raw_매출!$A$2:$A$155,0),MATCH(EDATE($E107,AY$1-1),Raw_매출!$B$1:$BI$1,0))/(INDEX(요약_월별시즈널리티!$F$7:$F$18,MONTH(EDATE($E107,AY$1-1)))/100))),"")</f>
        <v/>
      </c>
      <c r="AZ107" t="str" cm="1">
        <f t="array" ref="AZ107">IFERROR(IF($E107&lt;44348,"",IF(INDEX(Raw_매출!$B$2:$BI$155,MATCH($A107,Raw_매출!$A$2:$A$155,0),MATCH(EDATE($E107,AZ$1-1),Raw_매출!$B$1:$BI$1,0))=0,"",INDEX(Raw_매출!$B$2:$BI$155,MATCH($A107,Raw_매출!$A$2:$A$155,0),MATCH(EDATE($E107,AZ$1-1),Raw_매출!$B$1:$BI$1,0))/(INDEX(요약_월별시즈널리티!$F$7:$F$18,MONTH(EDATE($E107,AZ$1-1)))/100))),"")</f>
        <v/>
      </c>
      <c r="BA107" t="str" cm="1">
        <f t="array" ref="BA107">IFERROR(IF($E107&lt;44348,"",IF(INDEX(Raw_매출!$B$2:$BI$155,MATCH($A107,Raw_매출!$A$2:$A$155,0),MATCH(EDATE($E107,BA$1-1),Raw_매출!$B$1:$BI$1,0))=0,"",INDEX(Raw_매출!$B$2:$BI$155,MATCH($A107,Raw_매출!$A$2:$A$155,0),MATCH(EDATE($E107,BA$1-1),Raw_매출!$B$1:$BI$1,0))/(INDEX(요약_월별시즈널리티!$F$7:$F$18,MONTH(EDATE($E107,BA$1-1)))/100))),"")</f>
        <v/>
      </c>
      <c r="BB107" t="str" cm="1">
        <f t="array" ref="BB107">IFERROR(IF($E107&lt;44348,"",IF(INDEX(Raw_매출!$B$2:$BI$155,MATCH($A107,Raw_매출!$A$2:$A$155,0),MATCH(EDATE($E107,BB$1-1),Raw_매출!$B$1:$BI$1,0))=0,"",INDEX(Raw_매출!$B$2:$BI$155,MATCH($A107,Raw_매출!$A$2:$A$155,0),MATCH(EDATE($E107,BB$1-1),Raw_매출!$B$1:$BI$1,0))/(INDEX(요약_월별시즈널리티!$F$7:$F$18,MONTH(EDATE($E107,BB$1-1)))/100))),"")</f>
        <v/>
      </c>
      <c r="BC107" t="str" cm="1">
        <f t="array" ref="BC107">IFERROR(IF($E107&lt;44348,"",IF(INDEX(Raw_매출!$B$2:$BI$155,MATCH($A107,Raw_매출!$A$2:$A$155,0),MATCH(EDATE($E107,BC$1-1),Raw_매출!$B$1:$BI$1,0))=0,"",INDEX(Raw_매출!$B$2:$BI$155,MATCH($A107,Raw_매출!$A$2:$A$155,0),MATCH(EDATE($E107,BC$1-1),Raw_매출!$B$1:$BI$1,0))/(INDEX(요약_월별시즈널리티!$F$7:$F$18,MONTH(EDATE($E107,BC$1-1)))/100))),"")</f>
        <v/>
      </c>
      <c r="BD107" t="str" cm="1">
        <f t="array" ref="BD107">IFERROR(IF($E107&lt;44348,"",IF(INDEX(Raw_매출!$B$2:$BI$155,MATCH($A107,Raw_매출!$A$2:$A$155,0),MATCH(EDATE($E107,BD$1-1),Raw_매출!$B$1:$BI$1,0))=0,"",INDEX(Raw_매출!$B$2:$BI$155,MATCH($A107,Raw_매출!$A$2:$A$155,0),MATCH(EDATE($E107,BD$1-1),Raw_매출!$B$1:$BI$1,0))/(INDEX(요약_월별시즈널리티!$F$7:$F$18,MONTH(EDATE($E107,BD$1-1)))/100))),"")</f>
        <v/>
      </c>
      <c r="BE107" t="str" cm="1">
        <f t="array" ref="BE107">IFERROR(IF($E107&lt;44348,"",IF(INDEX(Raw_매출!$B$2:$BI$155,MATCH($A107,Raw_매출!$A$2:$A$155,0),MATCH(EDATE($E107,BE$1-1),Raw_매출!$B$1:$BI$1,0))=0,"",INDEX(Raw_매출!$B$2:$BI$155,MATCH($A107,Raw_매출!$A$2:$A$155,0),MATCH(EDATE($E107,BE$1-1),Raw_매출!$B$1:$BI$1,0))/(INDEX(요약_월별시즈널리티!$F$7:$F$18,MONTH(EDATE($E107,BE$1-1)))/100))),"")</f>
        <v/>
      </c>
      <c r="BF107" t="str" cm="1">
        <f t="array" ref="BF107">IFERROR(IF($E107&lt;44348,"",IF(INDEX(Raw_매출!$B$2:$BI$155,MATCH($A107,Raw_매출!$A$2:$A$155,0),MATCH(EDATE($E107,BF$1-1),Raw_매출!$B$1:$BI$1,0))=0,"",INDEX(Raw_매출!$B$2:$BI$155,MATCH($A107,Raw_매출!$A$2:$A$155,0),MATCH(EDATE($E107,BF$1-1),Raw_매출!$B$1:$BI$1,0))/(INDEX(요약_월별시즈널리티!$F$7:$F$18,MONTH(EDATE($E107,BF$1-1)))/100))),"")</f>
        <v/>
      </c>
      <c r="BG107" t="str" cm="1">
        <f t="array" ref="BG107">IFERROR(IF($E107&lt;44348,"",IF(INDEX(Raw_매출!$B$2:$BI$155,MATCH($A107,Raw_매출!$A$2:$A$155,0),MATCH(EDATE($E107,BG$1-1),Raw_매출!$B$1:$BI$1,0))=0,"",INDEX(Raw_매출!$B$2:$BI$155,MATCH($A107,Raw_매출!$A$2:$A$155,0),MATCH(EDATE($E107,BG$1-1),Raw_매출!$B$1:$BI$1,0))/(INDEX(요약_월별시즈널리티!$F$7:$F$18,MONTH(EDATE($E107,BG$1-1)))/100))),"")</f>
        <v/>
      </c>
      <c r="BH107" t="str" cm="1">
        <f t="array" ref="BH107">IFERROR(IF($E107&lt;44348,"",IF(INDEX(Raw_매출!$B$2:$BI$155,MATCH($A107,Raw_매출!$A$2:$A$155,0),MATCH(EDATE($E107,BH$1-1),Raw_매출!$B$1:$BI$1,0))=0,"",INDEX(Raw_매출!$B$2:$BI$155,MATCH($A107,Raw_매출!$A$2:$A$155,0),MATCH(EDATE($E107,BH$1-1),Raw_매출!$B$1:$BI$1,0))/(INDEX(요약_월별시즈널리티!$F$7:$F$18,MONTH(EDATE($E107,BH$1-1)))/100))),"")</f>
        <v/>
      </c>
      <c r="BI107" t="str" cm="1">
        <f t="array" ref="BI107">IFERROR(IF($E107&lt;44348,"",IF(INDEX(Raw_매출!$B$2:$BI$155,MATCH($A107,Raw_매출!$A$2:$A$155,0),MATCH(EDATE($E107,BI$1-1),Raw_매출!$B$1:$BI$1,0))=0,"",INDEX(Raw_매출!$B$2:$BI$155,MATCH($A107,Raw_매출!$A$2:$A$155,0),MATCH(EDATE($E107,BI$1-1),Raw_매출!$B$1:$BI$1,0))/(INDEX(요약_월별시즈널리티!$F$7:$F$18,MONTH(EDATE($E107,BI$1-1)))/100))),"")</f>
        <v/>
      </c>
      <c r="BJ107" t="str" cm="1">
        <f t="array" ref="BJ107">IFERROR(IF($E107&lt;44348,"",IF(INDEX(Raw_매출!$B$2:$BI$155,MATCH($A107,Raw_매출!$A$2:$A$155,0),MATCH(EDATE($E107,BJ$1-1),Raw_매출!$B$1:$BI$1,0))=0,"",INDEX(Raw_매출!$B$2:$BI$155,MATCH($A107,Raw_매출!$A$2:$A$155,0),MATCH(EDATE($E107,BJ$1-1),Raw_매출!$B$1:$BI$1,0))/(INDEX(요약_월별시즈널리티!$F$7:$F$18,MONTH(EDATE($E107,BJ$1-1)))/100))),"")</f>
        <v/>
      </c>
      <c r="BK107" t="str" cm="1">
        <f t="array" ref="BK107">IFERROR(IF($E107&lt;44348,"",IF(INDEX(Raw_매출!$B$2:$BI$155,MATCH($A107,Raw_매출!$A$2:$A$155,0),MATCH(EDATE($E107,BK$1-1),Raw_매출!$B$1:$BI$1,0))=0,"",INDEX(Raw_매출!$B$2:$BI$155,MATCH($A107,Raw_매출!$A$2:$A$155,0),MATCH(EDATE($E107,BK$1-1),Raw_매출!$B$1:$BI$1,0))/(INDEX(요약_월별시즈널리티!$F$7:$F$18,MONTH(EDATE($E107,BK$1-1)))/100))),"")</f>
        <v/>
      </c>
      <c r="BL107" t="str" cm="1">
        <f t="array" ref="BL107">IFERROR(IF($E107&lt;44348,"",IF(INDEX(Raw_매출!$B$2:$BI$155,MATCH($A107,Raw_매출!$A$2:$A$155,0),MATCH(EDATE($E107,BL$1-1),Raw_매출!$B$1:$BI$1,0))=0,"",INDEX(Raw_매출!$B$2:$BI$155,MATCH($A107,Raw_매출!$A$2:$A$155,0),MATCH(EDATE($E107,BL$1-1),Raw_매출!$B$1:$BI$1,0))/(INDEX(요약_월별시즈널리티!$F$7:$F$18,MONTH(EDATE($E107,BL$1-1)))/100))),"")</f>
        <v/>
      </c>
      <c r="BM107" t="str" cm="1">
        <f t="array" ref="BM107">IFERROR(IF($E107&lt;44348,"",IF(INDEX(Raw_매출!$B$2:$BI$155,MATCH($A107,Raw_매출!$A$2:$A$155,0),MATCH(EDATE($E107,BM$1-1),Raw_매출!$B$1:$BI$1,0))=0,"",INDEX(Raw_매출!$B$2:$BI$155,MATCH($A107,Raw_매출!$A$2:$A$155,0),MATCH(EDATE($E107,BM$1-1),Raw_매출!$B$1:$BI$1,0))/(INDEX(요약_월별시즈널리티!$F$7:$F$18,MONTH(EDATE($E107,BM$1-1)))/100))),"")</f>
        <v/>
      </c>
      <c r="BN107" t="str" cm="1">
        <f t="array" ref="BN107">IFERROR(IF($E107&lt;44348,"",IF(INDEX(Raw_매출!$B$2:$BI$155,MATCH($A107,Raw_매출!$A$2:$A$155,0),MATCH(EDATE($E107,BN$1-1),Raw_매출!$B$1:$BI$1,0))=0,"",INDEX(Raw_매출!$B$2:$BI$155,MATCH($A107,Raw_매출!$A$2:$A$155,0),MATCH(EDATE($E107,BN$1-1),Raw_매출!$B$1:$BI$1,0))/(INDEX(요약_월별시즈널리티!$F$7:$F$18,MONTH(EDATE($E107,BN$1-1)))/100))),"")</f>
        <v/>
      </c>
    </row>
    <row r="108" spans="1:66" x14ac:dyDescent="0.4">
      <c r="A108" t="str">
        <f>세팅!A109</f>
        <v>(1097) #궁동한빛점</v>
      </c>
      <c r="B108" t="str">
        <f>세팅!B109</f>
        <v>150-1</v>
      </c>
      <c r="C108">
        <f t="shared" si="3"/>
        <v>1</v>
      </c>
      <c r="D108" t="str">
        <f t="shared" si="4"/>
        <v>1</v>
      </c>
      <c r="E108" s="1">
        <f>세팅!D109</f>
        <v>45292</v>
      </c>
      <c r="F108" t="str">
        <f t="shared" si="5"/>
        <v/>
      </c>
      <c r="G108" t="str" cm="1">
        <f t="array" ref="G108">IFERROR(IF($E108&lt;44348,"",IF(INDEX(Raw_매출!$B$2:$BI$155,MATCH($A108,Raw_매출!$A$2:$A$155,0),MATCH(EDATE($E108,G$1-1),Raw_매출!$B$1:$BI$1,0))=0,"",INDEX(Raw_매출!$B$2:$BI$155,MATCH($A108,Raw_매출!$A$2:$A$155,0),MATCH(EDATE($E108,G$1-1),Raw_매출!$B$1:$BI$1,0))/(INDEX(요약_월별시즈널리티!$F$7:$F$18,MONTH(EDATE($E108,G$1-1)))/100))),"")</f>
        <v/>
      </c>
      <c r="H108" t="str" cm="1">
        <f t="array" ref="H108">IFERROR(IF($E108&lt;44348,"",IF(INDEX(Raw_매출!$B$2:$BI$155,MATCH($A108,Raw_매출!$A$2:$A$155,0),MATCH(EDATE($E108,H$1-1),Raw_매출!$B$1:$BI$1,0))=0,"",INDEX(Raw_매출!$B$2:$BI$155,MATCH($A108,Raw_매출!$A$2:$A$155,0),MATCH(EDATE($E108,H$1-1),Raw_매출!$B$1:$BI$1,0))/(INDEX(요약_월별시즈널리티!$F$7:$F$18,MONTH(EDATE($E108,H$1-1)))/100))),"")</f>
        <v/>
      </c>
      <c r="I108" t="str" cm="1">
        <f t="array" ref="I108">IFERROR(IF($E108&lt;44348,"",IF(INDEX(Raw_매출!$B$2:$BI$155,MATCH($A108,Raw_매출!$A$2:$A$155,0),MATCH(EDATE($E108,I$1-1),Raw_매출!$B$1:$BI$1,0))=0,"",INDEX(Raw_매출!$B$2:$BI$155,MATCH($A108,Raw_매출!$A$2:$A$155,0),MATCH(EDATE($E108,I$1-1),Raw_매출!$B$1:$BI$1,0))/(INDEX(요약_월별시즈널리티!$F$7:$F$18,MONTH(EDATE($E108,I$1-1)))/100))),"")</f>
        <v/>
      </c>
      <c r="J108" s="30" t="str" cm="1">
        <f t="array" ref="J108">IFERROR(IF($E108&lt;44348,"",IF(INDEX(Raw_매출!$B$2:$BI$155,MATCH($A108,Raw_매출!$A$2:$A$155,0),MATCH(EDATE($E108,J$1-1),Raw_매출!$B$1:$BI$1,0))=0,"",INDEX(Raw_매출!$B$2:$BI$155,MATCH($A108,Raw_매출!$A$2:$A$155,0),MATCH(EDATE($E108,J$1-1),Raw_매출!$B$1:$BI$1,0))/(INDEX(요약_월별시즈널리티!$F$7:$F$18,MONTH(EDATE($E108,J$1-1)))/100))),"")</f>
        <v/>
      </c>
      <c r="K108" s="30" t="str" cm="1">
        <f t="array" ref="K108">IFERROR(IF($E108&lt;44348,"",IF(INDEX(Raw_매출!$B$2:$BI$155,MATCH($A108,Raw_매출!$A$2:$A$155,0),MATCH(EDATE($E108,K$1-1),Raw_매출!$B$1:$BI$1,0))=0,"",INDEX(Raw_매출!$B$2:$BI$155,MATCH($A108,Raw_매출!$A$2:$A$155,0),MATCH(EDATE($E108,K$1-1),Raw_매출!$B$1:$BI$1,0))/(INDEX(요약_월별시즈널리티!$F$7:$F$18,MONTH(EDATE($E108,K$1-1)))/100))),"")</f>
        <v/>
      </c>
      <c r="L108" s="30" t="str" cm="1">
        <f t="array" ref="L108">IFERROR(IF($E108&lt;44348,"",IF(INDEX(Raw_매출!$B$2:$BI$155,MATCH($A108,Raw_매출!$A$2:$A$155,0),MATCH(EDATE($E108,L$1-1),Raw_매출!$B$1:$BI$1,0))=0,"",INDEX(Raw_매출!$B$2:$BI$155,MATCH($A108,Raw_매출!$A$2:$A$155,0),MATCH(EDATE($E108,L$1-1),Raw_매출!$B$1:$BI$1,0))/(INDEX(요약_월별시즈널리티!$F$7:$F$18,MONTH(EDATE($E108,L$1-1)))/100))),"")</f>
        <v/>
      </c>
      <c r="M108" s="30" t="str" cm="1">
        <f t="array" ref="M108">IFERROR(IF($E108&lt;44348,"",IF(INDEX(Raw_매출!$B$2:$BI$155,MATCH($A108,Raw_매출!$A$2:$A$155,0),MATCH(EDATE($E108,M$1-1),Raw_매출!$B$1:$BI$1,0))=0,"",INDEX(Raw_매출!$B$2:$BI$155,MATCH($A108,Raw_매출!$A$2:$A$155,0),MATCH(EDATE($E108,M$1-1),Raw_매출!$B$1:$BI$1,0))/(INDEX(요약_월별시즈널리티!$F$7:$F$18,MONTH(EDATE($E108,M$1-1)))/100))),"")</f>
        <v/>
      </c>
      <c r="N108" s="30" t="str" cm="1">
        <f t="array" ref="N108">IFERROR(IF($E108&lt;44348,"",IF(INDEX(Raw_매출!$B$2:$BI$155,MATCH($A108,Raw_매출!$A$2:$A$155,0),MATCH(EDATE($E108,N$1-1),Raw_매출!$B$1:$BI$1,0))=0,"",INDEX(Raw_매출!$B$2:$BI$155,MATCH($A108,Raw_매출!$A$2:$A$155,0),MATCH(EDATE($E108,N$1-1),Raw_매출!$B$1:$BI$1,0))/(INDEX(요약_월별시즈널리티!$F$7:$F$18,MONTH(EDATE($E108,N$1-1)))/100))),"")</f>
        <v/>
      </c>
      <c r="O108" s="30" t="str" cm="1">
        <f t="array" ref="O108">IFERROR(IF($E108&lt;44348,"",IF(INDEX(Raw_매출!$B$2:$BI$155,MATCH($A108,Raw_매출!$A$2:$A$155,0),MATCH(EDATE($E108,O$1-1),Raw_매출!$B$1:$BI$1,0))=0,"",INDEX(Raw_매출!$B$2:$BI$155,MATCH($A108,Raw_매출!$A$2:$A$155,0),MATCH(EDATE($E108,O$1-1),Raw_매출!$B$1:$BI$1,0))/(INDEX(요약_월별시즈널리티!$F$7:$F$18,MONTH(EDATE($E108,O$1-1)))/100))),"")</f>
        <v/>
      </c>
      <c r="P108" t="str" cm="1">
        <f t="array" ref="P108">IFERROR(IF($E108&lt;44348,"",IF(INDEX(Raw_매출!$B$2:$BI$155,MATCH($A108,Raw_매출!$A$2:$A$155,0),MATCH(EDATE($E108,P$1-1),Raw_매출!$B$1:$BI$1,0))=0,"",INDEX(Raw_매출!$B$2:$BI$155,MATCH($A108,Raw_매출!$A$2:$A$155,0),MATCH(EDATE($E108,P$1-1),Raw_매출!$B$1:$BI$1,0))/(INDEX(요약_월별시즈널리티!$F$7:$F$18,MONTH(EDATE($E108,P$1-1)))/100))),"")</f>
        <v/>
      </c>
      <c r="Q108" t="str" cm="1">
        <f t="array" ref="Q108">IFERROR(IF($E108&lt;44348,"",IF(INDEX(Raw_매출!$B$2:$BI$155,MATCH($A108,Raw_매출!$A$2:$A$155,0),MATCH(EDATE($E108,Q$1-1),Raw_매출!$B$1:$BI$1,0))=0,"",INDEX(Raw_매출!$B$2:$BI$155,MATCH($A108,Raw_매출!$A$2:$A$155,0),MATCH(EDATE($E108,Q$1-1),Raw_매출!$B$1:$BI$1,0))/(INDEX(요약_월별시즈널리티!$F$7:$F$18,MONTH(EDATE($E108,Q$1-1)))/100))),"")</f>
        <v/>
      </c>
      <c r="R108" t="str" cm="1">
        <f t="array" ref="R108">IFERROR(IF($E108&lt;44348,"",IF(INDEX(Raw_매출!$B$2:$BI$155,MATCH($A108,Raw_매출!$A$2:$A$155,0),MATCH(EDATE($E108,R$1-1),Raw_매출!$B$1:$BI$1,0))=0,"",INDEX(Raw_매출!$B$2:$BI$155,MATCH($A108,Raw_매출!$A$2:$A$155,0),MATCH(EDATE($E108,R$1-1),Raw_매출!$B$1:$BI$1,0))/(INDEX(요약_월별시즈널리티!$F$7:$F$18,MONTH(EDATE($E108,R$1-1)))/100))),"")</f>
        <v/>
      </c>
      <c r="S108" t="str" cm="1">
        <f t="array" ref="S108">IFERROR(IF($E108&lt;44348,"",IF(INDEX(Raw_매출!$B$2:$BI$155,MATCH($A108,Raw_매출!$A$2:$A$155,0),MATCH(EDATE($E108,S$1-1),Raw_매출!$B$1:$BI$1,0))=0,"",INDEX(Raw_매출!$B$2:$BI$155,MATCH($A108,Raw_매출!$A$2:$A$155,0),MATCH(EDATE($E108,S$1-1),Raw_매출!$B$1:$BI$1,0))/(INDEX(요약_월별시즈널리티!$F$7:$F$18,MONTH(EDATE($E108,S$1-1)))/100))),"")</f>
        <v/>
      </c>
      <c r="T108" t="str" cm="1">
        <f t="array" ref="T108">IFERROR(IF($E108&lt;44348,"",IF(INDEX(Raw_매출!$B$2:$BI$155,MATCH($A108,Raw_매출!$A$2:$A$155,0),MATCH(EDATE($E108,T$1-1),Raw_매출!$B$1:$BI$1,0))=0,"",INDEX(Raw_매출!$B$2:$BI$155,MATCH($A108,Raw_매출!$A$2:$A$155,0),MATCH(EDATE($E108,T$1-1),Raw_매출!$B$1:$BI$1,0))/(INDEX(요약_월별시즈널리티!$F$7:$F$18,MONTH(EDATE($E108,T$1-1)))/100))),"")</f>
        <v/>
      </c>
      <c r="U108" t="str" cm="1">
        <f t="array" ref="U108">IFERROR(IF($E108&lt;44348,"",IF(INDEX(Raw_매출!$B$2:$BI$155,MATCH($A108,Raw_매출!$A$2:$A$155,0),MATCH(EDATE($E108,U$1-1),Raw_매출!$B$1:$BI$1,0))=0,"",INDEX(Raw_매출!$B$2:$BI$155,MATCH($A108,Raw_매출!$A$2:$A$155,0),MATCH(EDATE($E108,U$1-1),Raw_매출!$B$1:$BI$1,0))/(INDEX(요약_월별시즈널리티!$F$7:$F$18,MONTH(EDATE($E108,U$1-1)))/100))),"")</f>
        <v/>
      </c>
      <c r="V108" t="str" cm="1">
        <f t="array" ref="V108">IFERROR(IF($E108&lt;44348,"",IF(INDEX(Raw_매출!$B$2:$BI$155,MATCH($A108,Raw_매출!$A$2:$A$155,0),MATCH(EDATE($E108,V$1-1),Raw_매출!$B$1:$BI$1,0))=0,"",INDEX(Raw_매출!$B$2:$BI$155,MATCH($A108,Raw_매출!$A$2:$A$155,0),MATCH(EDATE($E108,V$1-1),Raw_매출!$B$1:$BI$1,0))/(INDEX(요약_월별시즈널리티!$F$7:$F$18,MONTH(EDATE($E108,V$1-1)))/100))),"")</f>
        <v/>
      </c>
      <c r="W108" t="str" cm="1">
        <f t="array" ref="W108">IFERROR(IF($E108&lt;44348,"",IF(INDEX(Raw_매출!$B$2:$BI$155,MATCH($A108,Raw_매출!$A$2:$A$155,0),MATCH(EDATE($E108,W$1-1),Raw_매출!$B$1:$BI$1,0))=0,"",INDEX(Raw_매출!$B$2:$BI$155,MATCH($A108,Raw_매출!$A$2:$A$155,0),MATCH(EDATE($E108,W$1-1),Raw_매출!$B$1:$BI$1,0))/(INDEX(요약_월별시즈널리티!$F$7:$F$18,MONTH(EDATE($E108,W$1-1)))/100))),"")</f>
        <v/>
      </c>
      <c r="X108" t="str" cm="1">
        <f t="array" ref="X108">IFERROR(IF($E108&lt;44348,"",IF(INDEX(Raw_매출!$B$2:$BI$155,MATCH($A108,Raw_매출!$A$2:$A$155,0),MATCH(EDATE($E108,X$1-1),Raw_매출!$B$1:$BI$1,0))=0,"",INDEX(Raw_매출!$B$2:$BI$155,MATCH($A108,Raw_매출!$A$2:$A$155,0),MATCH(EDATE($E108,X$1-1),Raw_매출!$B$1:$BI$1,0))/(INDEX(요약_월별시즈널리티!$F$7:$F$18,MONTH(EDATE($E108,X$1-1)))/100))),"")</f>
        <v/>
      </c>
      <c r="Y108" t="str" cm="1">
        <f t="array" ref="Y108">IFERROR(IF($E108&lt;44348,"",IF(INDEX(Raw_매출!$B$2:$BI$155,MATCH($A108,Raw_매출!$A$2:$A$155,0),MATCH(EDATE($E108,Y$1-1),Raw_매출!$B$1:$BI$1,0))=0,"",INDEX(Raw_매출!$B$2:$BI$155,MATCH($A108,Raw_매출!$A$2:$A$155,0),MATCH(EDATE($E108,Y$1-1),Raw_매출!$B$1:$BI$1,0))/(INDEX(요약_월별시즈널리티!$F$7:$F$18,MONTH(EDATE($E108,Y$1-1)))/100))),"")</f>
        <v/>
      </c>
      <c r="Z108" t="str" cm="1">
        <f t="array" ref="Z108">IFERROR(IF($E108&lt;44348,"",IF(INDEX(Raw_매출!$B$2:$BI$155,MATCH($A108,Raw_매출!$A$2:$A$155,0),MATCH(EDATE($E108,Z$1-1),Raw_매출!$B$1:$BI$1,0))=0,"",INDEX(Raw_매출!$B$2:$BI$155,MATCH($A108,Raw_매출!$A$2:$A$155,0),MATCH(EDATE($E108,Z$1-1),Raw_매출!$B$1:$BI$1,0))/(INDEX(요약_월별시즈널리티!$F$7:$F$18,MONTH(EDATE($E108,Z$1-1)))/100))),"")</f>
        <v/>
      </c>
      <c r="AA108" t="str" cm="1">
        <f t="array" ref="AA108">IFERROR(IF($E108&lt;44348,"",IF(INDEX(Raw_매출!$B$2:$BI$155,MATCH($A108,Raw_매출!$A$2:$A$155,0),MATCH(EDATE($E108,AA$1-1),Raw_매출!$B$1:$BI$1,0))=0,"",INDEX(Raw_매출!$B$2:$BI$155,MATCH($A108,Raw_매출!$A$2:$A$155,0),MATCH(EDATE($E108,AA$1-1),Raw_매출!$B$1:$BI$1,0))/(INDEX(요약_월별시즈널리티!$F$7:$F$18,MONTH(EDATE($E108,AA$1-1)))/100))),"")</f>
        <v/>
      </c>
      <c r="AB108" t="str" cm="1">
        <f t="array" ref="AB108">IFERROR(IF($E108&lt;44348,"",IF(INDEX(Raw_매출!$B$2:$BI$155,MATCH($A108,Raw_매출!$A$2:$A$155,0),MATCH(EDATE($E108,AB$1-1),Raw_매출!$B$1:$BI$1,0))=0,"",INDEX(Raw_매출!$B$2:$BI$155,MATCH($A108,Raw_매출!$A$2:$A$155,0),MATCH(EDATE($E108,AB$1-1),Raw_매출!$B$1:$BI$1,0))/(INDEX(요약_월별시즈널리티!$F$7:$F$18,MONTH(EDATE($E108,AB$1-1)))/100))),"")</f>
        <v/>
      </c>
      <c r="AC108" t="str" cm="1">
        <f t="array" ref="AC108">IFERROR(IF($E108&lt;44348,"",IF(INDEX(Raw_매출!$B$2:$BI$155,MATCH($A108,Raw_매출!$A$2:$A$155,0),MATCH(EDATE($E108,AC$1-1),Raw_매출!$B$1:$BI$1,0))=0,"",INDEX(Raw_매출!$B$2:$BI$155,MATCH($A108,Raw_매출!$A$2:$A$155,0),MATCH(EDATE($E108,AC$1-1),Raw_매출!$B$1:$BI$1,0))/(INDEX(요약_월별시즈널리티!$F$7:$F$18,MONTH(EDATE($E108,AC$1-1)))/100))),"")</f>
        <v/>
      </c>
      <c r="AD108" cm="1">
        <f t="array" ref="AD108">IFERROR(IF($E108&lt;44348,"",IF(INDEX(Raw_매출!$B$2:$BI$155,MATCH($A108,Raw_매출!$A$2:$A$155,0),MATCH(EDATE($E108,AD$1-1),Raw_매출!$B$1:$BI$1,0))=0,"",INDEX(Raw_매출!$B$2:$BI$155,MATCH($A108,Raw_매출!$A$2:$A$155,0),MATCH(EDATE($E108,AD$1-1),Raw_매출!$B$1:$BI$1,0))/(INDEX(요약_월별시즈널리티!$F$7:$F$18,MONTH(EDATE($E108,AD$1-1)))/100))),"")</f>
        <v>1015804.9871288736</v>
      </c>
      <c r="AE108" cm="1">
        <f t="array" ref="AE108">IFERROR(IF($E108&lt;44348,"",IF(INDEX(Raw_매출!$B$2:$BI$155,MATCH($A108,Raw_매출!$A$2:$A$155,0),MATCH(EDATE($E108,AE$1-1),Raw_매출!$B$1:$BI$1,0))=0,"",INDEX(Raw_매출!$B$2:$BI$155,MATCH($A108,Raw_매출!$A$2:$A$155,0),MATCH(EDATE($E108,AE$1-1),Raw_매출!$B$1:$BI$1,0))/(INDEX(요약_월별시즈널리티!$F$7:$F$18,MONTH(EDATE($E108,AE$1-1)))/100))),"")</f>
        <v>6573029.9727792433</v>
      </c>
      <c r="AF108" cm="1">
        <f t="array" ref="AF108">IFERROR(IF($E108&lt;44348,"",IF(INDEX(Raw_매출!$B$2:$BI$155,MATCH($A108,Raw_매출!$A$2:$A$155,0),MATCH(EDATE($E108,AF$1-1),Raw_매출!$B$1:$BI$1,0))=0,"",INDEX(Raw_매출!$B$2:$BI$155,MATCH($A108,Raw_매출!$A$2:$A$155,0),MATCH(EDATE($E108,AF$1-1),Raw_매출!$B$1:$BI$1,0))/(INDEX(요약_월별시즈널리티!$F$7:$F$18,MONTH(EDATE($E108,AF$1-1)))/100))),"")</f>
        <v>7419759.14005931</v>
      </c>
      <c r="AG108" cm="1">
        <f t="array" ref="AG108">IFERROR(IF($E108&lt;44348,"",IF(INDEX(Raw_매출!$B$2:$BI$155,MATCH($A108,Raw_매출!$A$2:$A$155,0),MATCH(EDATE($E108,AG$1-1),Raw_매출!$B$1:$BI$1,0))=0,"",INDEX(Raw_매출!$B$2:$BI$155,MATCH($A108,Raw_매출!$A$2:$A$155,0),MATCH(EDATE($E108,AG$1-1),Raw_매출!$B$1:$BI$1,0))/(INDEX(요약_월별시즈널리티!$F$7:$F$18,MONTH(EDATE($E108,AG$1-1)))/100))),"")</f>
        <v>6788351.6998310424</v>
      </c>
      <c r="AH108" cm="1">
        <f t="array" ref="AH108">IFERROR(IF($E108&lt;44348,"",IF(INDEX(Raw_매출!$B$2:$BI$155,MATCH($A108,Raw_매출!$A$2:$A$155,0),MATCH(EDATE($E108,AH$1-1),Raw_매출!$B$1:$BI$1,0))=0,"",INDEX(Raw_매출!$B$2:$BI$155,MATCH($A108,Raw_매출!$A$2:$A$155,0),MATCH(EDATE($E108,AH$1-1),Raw_매출!$B$1:$BI$1,0))/(INDEX(요약_월별시즈널리티!$F$7:$F$18,MONTH(EDATE($E108,AH$1-1)))/100))),"")</f>
        <v>6486689.6576430015</v>
      </c>
      <c r="AI108" cm="1">
        <f t="array" ref="AI108">IFERROR(IF($E108&lt;44348,"",IF(INDEX(Raw_매출!$B$2:$BI$155,MATCH($A108,Raw_매출!$A$2:$A$155,0),MATCH(EDATE($E108,AI$1-1),Raw_매출!$B$1:$BI$1,0))=0,"",INDEX(Raw_매출!$B$2:$BI$155,MATCH($A108,Raw_매출!$A$2:$A$155,0),MATCH(EDATE($E108,AI$1-1),Raw_매출!$B$1:$BI$1,0))/(INDEX(요약_월별시즈널리티!$F$7:$F$18,MONTH(EDATE($E108,AI$1-1)))/100))),"")</f>
        <v>7140473.4725704081</v>
      </c>
      <c r="AJ108" t="str" cm="1">
        <f t="array" ref="AJ108">IFERROR(IF($E108&lt;44348,"",IF(INDEX(Raw_매출!$B$2:$BI$155,MATCH($A108,Raw_매출!$A$2:$A$155,0),MATCH(EDATE($E108,AJ$1-1),Raw_매출!$B$1:$BI$1,0))=0,"",INDEX(Raw_매출!$B$2:$BI$155,MATCH($A108,Raw_매출!$A$2:$A$155,0),MATCH(EDATE($E108,AJ$1-1),Raw_매출!$B$1:$BI$1,0))/(INDEX(요약_월별시즈널리티!$F$7:$F$18,MONTH(EDATE($E108,AJ$1-1)))/100))),"")</f>
        <v/>
      </c>
      <c r="AK108" t="str" cm="1">
        <f t="array" ref="AK108">IFERROR(IF($E108&lt;44348,"",IF(INDEX(Raw_매출!$B$2:$BI$155,MATCH($A108,Raw_매출!$A$2:$A$155,0),MATCH(EDATE($E108,AK$1-1),Raw_매출!$B$1:$BI$1,0))=0,"",INDEX(Raw_매출!$B$2:$BI$155,MATCH($A108,Raw_매출!$A$2:$A$155,0),MATCH(EDATE($E108,AK$1-1),Raw_매출!$B$1:$BI$1,0))/(INDEX(요약_월별시즈널리티!$F$7:$F$18,MONTH(EDATE($E108,AK$1-1)))/100))),"")</f>
        <v/>
      </c>
      <c r="AL108" t="str" cm="1">
        <f t="array" ref="AL108">IFERROR(IF($E108&lt;44348,"",IF(INDEX(Raw_매출!$B$2:$BI$155,MATCH($A108,Raw_매출!$A$2:$A$155,0),MATCH(EDATE($E108,AL$1-1),Raw_매출!$B$1:$BI$1,0))=0,"",INDEX(Raw_매출!$B$2:$BI$155,MATCH($A108,Raw_매출!$A$2:$A$155,0),MATCH(EDATE($E108,AL$1-1),Raw_매출!$B$1:$BI$1,0))/(INDEX(요약_월별시즈널리티!$F$7:$F$18,MONTH(EDATE($E108,AL$1-1)))/100))),"")</f>
        <v/>
      </c>
      <c r="AM108" t="str" cm="1">
        <f t="array" ref="AM108">IFERROR(IF($E108&lt;44348,"",IF(INDEX(Raw_매출!$B$2:$BI$155,MATCH($A108,Raw_매출!$A$2:$A$155,0),MATCH(EDATE($E108,AM$1-1),Raw_매출!$B$1:$BI$1,0))=0,"",INDEX(Raw_매출!$B$2:$BI$155,MATCH($A108,Raw_매출!$A$2:$A$155,0),MATCH(EDATE($E108,AM$1-1),Raw_매출!$B$1:$BI$1,0))/(INDEX(요약_월별시즈널리티!$F$7:$F$18,MONTH(EDATE($E108,AM$1-1)))/100))),"")</f>
        <v/>
      </c>
      <c r="AN108" t="str" cm="1">
        <f t="array" ref="AN108">IFERROR(IF($E108&lt;44348,"",IF(INDEX(Raw_매출!$B$2:$BI$155,MATCH($A108,Raw_매출!$A$2:$A$155,0),MATCH(EDATE($E108,AN$1-1),Raw_매출!$B$1:$BI$1,0))=0,"",INDEX(Raw_매출!$B$2:$BI$155,MATCH($A108,Raw_매출!$A$2:$A$155,0),MATCH(EDATE($E108,AN$1-1),Raw_매출!$B$1:$BI$1,0))/(INDEX(요약_월별시즈널리티!$F$7:$F$18,MONTH(EDATE($E108,AN$1-1)))/100))),"")</f>
        <v/>
      </c>
      <c r="AO108" t="str" cm="1">
        <f t="array" ref="AO108">IFERROR(IF($E108&lt;44348,"",IF(INDEX(Raw_매출!$B$2:$BI$155,MATCH($A108,Raw_매출!$A$2:$A$155,0),MATCH(EDATE($E108,AO$1-1),Raw_매출!$B$1:$BI$1,0))=0,"",INDEX(Raw_매출!$B$2:$BI$155,MATCH($A108,Raw_매출!$A$2:$A$155,0),MATCH(EDATE($E108,AO$1-1),Raw_매출!$B$1:$BI$1,0))/(INDEX(요약_월별시즈널리티!$F$7:$F$18,MONTH(EDATE($E108,AO$1-1)))/100))),"")</f>
        <v/>
      </c>
      <c r="AP108" t="str" cm="1">
        <f t="array" ref="AP108">IFERROR(IF($E108&lt;44348,"",IF(INDEX(Raw_매출!$B$2:$BI$155,MATCH($A108,Raw_매출!$A$2:$A$155,0),MATCH(EDATE($E108,AP$1-1),Raw_매출!$B$1:$BI$1,0))=0,"",INDEX(Raw_매출!$B$2:$BI$155,MATCH($A108,Raw_매출!$A$2:$A$155,0),MATCH(EDATE($E108,AP$1-1),Raw_매출!$B$1:$BI$1,0))/(INDEX(요약_월별시즈널리티!$F$7:$F$18,MONTH(EDATE($E108,AP$1-1)))/100))),"")</f>
        <v/>
      </c>
      <c r="AQ108" t="str" cm="1">
        <f t="array" ref="AQ108">IFERROR(IF($E108&lt;44348,"",IF(INDEX(Raw_매출!$B$2:$BI$155,MATCH($A108,Raw_매출!$A$2:$A$155,0),MATCH(EDATE($E108,AQ$1-1),Raw_매출!$B$1:$BI$1,0))=0,"",INDEX(Raw_매출!$B$2:$BI$155,MATCH($A108,Raw_매출!$A$2:$A$155,0),MATCH(EDATE($E108,AQ$1-1),Raw_매출!$B$1:$BI$1,0))/(INDEX(요약_월별시즈널리티!$F$7:$F$18,MONTH(EDATE($E108,AQ$1-1)))/100))),"")</f>
        <v/>
      </c>
      <c r="AR108" t="str" cm="1">
        <f t="array" ref="AR108">IFERROR(IF($E108&lt;44348,"",IF(INDEX(Raw_매출!$B$2:$BI$155,MATCH($A108,Raw_매출!$A$2:$A$155,0),MATCH(EDATE($E108,AR$1-1),Raw_매출!$B$1:$BI$1,0))=0,"",INDEX(Raw_매출!$B$2:$BI$155,MATCH($A108,Raw_매출!$A$2:$A$155,0),MATCH(EDATE($E108,AR$1-1),Raw_매출!$B$1:$BI$1,0))/(INDEX(요약_월별시즈널리티!$F$7:$F$18,MONTH(EDATE($E108,AR$1-1)))/100))),"")</f>
        <v/>
      </c>
      <c r="AS108" t="str" cm="1">
        <f t="array" ref="AS108">IFERROR(IF($E108&lt;44348,"",IF(INDEX(Raw_매출!$B$2:$BI$155,MATCH($A108,Raw_매출!$A$2:$A$155,0),MATCH(EDATE($E108,AS$1-1),Raw_매출!$B$1:$BI$1,0))=0,"",INDEX(Raw_매출!$B$2:$BI$155,MATCH($A108,Raw_매출!$A$2:$A$155,0),MATCH(EDATE($E108,AS$1-1),Raw_매출!$B$1:$BI$1,0))/(INDEX(요약_월별시즈널리티!$F$7:$F$18,MONTH(EDATE($E108,AS$1-1)))/100))),"")</f>
        <v/>
      </c>
      <c r="AT108" t="str" cm="1">
        <f t="array" ref="AT108">IFERROR(IF($E108&lt;44348,"",IF(INDEX(Raw_매출!$B$2:$BI$155,MATCH($A108,Raw_매출!$A$2:$A$155,0),MATCH(EDATE($E108,AT$1-1),Raw_매출!$B$1:$BI$1,0))=0,"",INDEX(Raw_매출!$B$2:$BI$155,MATCH($A108,Raw_매출!$A$2:$A$155,0),MATCH(EDATE($E108,AT$1-1),Raw_매출!$B$1:$BI$1,0))/(INDEX(요약_월별시즈널리티!$F$7:$F$18,MONTH(EDATE($E108,AT$1-1)))/100))),"")</f>
        <v/>
      </c>
      <c r="AU108" t="str" cm="1">
        <f t="array" ref="AU108">IFERROR(IF($E108&lt;44348,"",IF(INDEX(Raw_매출!$B$2:$BI$155,MATCH($A108,Raw_매출!$A$2:$A$155,0),MATCH(EDATE($E108,AU$1-1),Raw_매출!$B$1:$BI$1,0))=0,"",INDEX(Raw_매출!$B$2:$BI$155,MATCH($A108,Raw_매출!$A$2:$A$155,0),MATCH(EDATE($E108,AU$1-1),Raw_매출!$B$1:$BI$1,0))/(INDEX(요약_월별시즈널리티!$F$7:$F$18,MONTH(EDATE($E108,AU$1-1)))/100))),"")</f>
        <v/>
      </c>
      <c r="AV108" t="str" cm="1">
        <f t="array" ref="AV108">IFERROR(IF($E108&lt;44348,"",IF(INDEX(Raw_매출!$B$2:$BI$155,MATCH($A108,Raw_매출!$A$2:$A$155,0),MATCH(EDATE($E108,AV$1-1),Raw_매출!$B$1:$BI$1,0))=0,"",INDEX(Raw_매출!$B$2:$BI$155,MATCH($A108,Raw_매출!$A$2:$A$155,0),MATCH(EDATE($E108,AV$1-1),Raw_매출!$B$1:$BI$1,0))/(INDEX(요약_월별시즈널리티!$F$7:$F$18,MONTH(EDATE($E108,AV$1-1)))/100))),"")</f>
        <v/>
      </c>
      <c r="AW108" t="str" cm="1">
        <f t="array" ref="AW108">IFERROR(IF($E108&lt;44348,"",IF(INDEX(Raw_매출!$B$2:$BI$155,MATCH($A108,Raw_매출!$A$2:$A$155,0),MATCH(EDATE($E108,AW$1-1),Raw_매출!$B$1:$BI$1,0))=0,"",INDEX(Raw_매출!$B$2:$BI$155,MATCH($A108,Raw_매출!$A$2:$A$155,0),MATCH(EDATE($E108,AW$1-1),Raw_매출!$B$1:$BI$1,0))/(INDEX(요약_월별시즈널리티!$F$7:$F$18,MONTH(EDATE($E108,AW$1-1)))/100))),"")</f>
        <v/>
      </c>
      <c r="AX108" t="str" cm="1">
        <f t="array" ref="AX108">IFERROR(IF($E108&lt;44348,"",IF(INDEX(Raw_매출!$B$2:$BI$155,MATCH($A108,Raw_매출!$A$2:$A$155,0),MATCH(EDATE($E108,AX$1-1),Raw_매출!$B$1:$BI$1,0))=0,"",INDEX(Raw_매출!$B$2:$BI$155,MATCH($A108,Raw_매출!$A$2:$A$155,0),MATCH(EDATE($E108,AX$1-1),Raw_매출!$B$1:$BI$1,0))/(INDEX(요약_월별시즈널리티!$F$7:$F$18,MONTH(EDATE($E108,AX$1-1)))/100))),"")</f>
        <v/>
      </c>
      <c r="AY108" t="str" cm="1">
        <f t="array" ref="AY108">IFERROR(IF($E108&lt;44348,"",IF(INDEX(Raw_매출!$B$2:$BI$155,MATCH($A108,Raw_매출!$A$2:$A$155,0),MATCH(EDATE($E108,AY$1-1),Raw_매출!$B$1:$BI$1,0))=0,"",INDEX(Raw_매출!$B$2:$BI$155,MATCH($A108,Raw_매출!$A$2:$A$155,0),MATCH(EDATE($E108,AY$1-1),Raw_매출!$B$1:$BI$1,0))/(INDEX(요약_월별시즈널리티!$F$7:$F$18,MONTH(EDATE($E108,AY$1-1)))/100))),"")</f>
        <v/>
      </c>
      <c r="AZ108" t="str" cm="1">
        <f t="array" ref="AZ108">IFERROR(IF($E108&lt;44348,"",IF(INDEX(Raw_매출!$B$2:$BI$155,MATCH($A108,Raw_매출!$A$2:$A$155,0),MATCH(EDATE($E108,AZ$1-1),Raw_매출!$B$1:$BI$1,0))=0,"",INDEX(Raw_매출!$B$2:$BI$155,MATCH($A108,Raw_매출!$A$2:$A$155,0),MATCH(EDATE($E108,AZ$1-1),Raw_매출!$B$1:$BI$1,0))/(INDEX(요약_월별시즈널리티!$F$7:$F$18,MONTH(EDATE($E108,AZ$1-1)))/100))),"")</f>
        <v/>
      </c>
      <c r="BA108" t="str" cm="1">
        <f t="array" ref="BA108">IFERROR(IF($E108&lt;44348,"",IF(INDEX(Raw_매출!$B$2:$BI$155,MATCH($A108,Raw_매출!$A$2:$A$155,0),MATCH(EDATE($E108,BA$1-1),Raw_매출!$B$1:$BI$1,0))=0,"",INDEX(Raw_매출!$B$2:$BI$155,MATCH($A108,Raw_매출!$A$2:$A$155,0),MATCH(EDATE($E108,BA$1-1),Raw_매출!$B$1:$BI$1,0))/(INDEX(요약_월별시즈널리티!$F$7:$F$18,MONTH(EDATE($E108,BA$1-1)))/100))),"")</f>
        <v/>
      </c>
      <c r="BB108" t="str" cm="1">
        <f t="array" ref="BB108">IFERROR(IF($E108&lt;44348,"",IF(INDEX(Raw_매출!$B$2:$BI$155,MATCH($A108,Raw_매출!$A$2:$A$155,0),MATCH(EDATE($E108,BB$1-1),Raw_매출!$B$1:$BI$1,0))=0,"",INDEX(Raw_매출!$B$2:$BI$155,MATCH($A108,Raw_매출!$A$2:$A$155,0),MATCH(EDATE($E108,BB$1-1),Raw_매출!$B$1:$BI$1,0))/(INDEX(요약_월별시즈널리티!$F$7:$F$18,MONTH(EDATE($E108,BB$1-1)))/100))),"")</f>
        <v/>
      </c>
      <c r="BC108" t="str" cm="1">
        <f t="array" ref="BC108">IFERROR(IF($E108&lt;44348,"",IF(INDEX(Raw_매출!$B$2:$BI$155,MATCH($A108,Raw_매출!$A$2:$A$155,0),MATCH(EDATE($E108,BC$1-1),Raw_매출!$B$1:$BI$1,0))=0,"",INDEX(Raw_매출!$B$2:$BI$155,MATCH($A108,Raw_매출!$A$2:$A$155,0),MATCH(EDATE($E108,BC$1-1),Raw_매출!$B$1:$BI$1,0))/(INDEX(요약_월별시즈널리티!$F$7:$F$18,MONTH(EDATE($E108,BC$1-1)))/100))),"")</f>
        <v/>
      </c>
      <c r="BD108" t="str" cm="1">
        <f t="array" ref="BD108">IFERROR(IF($E108&lt;44348,"",IF(INDEX(Raw_매출!$B$2:$BI$155,MATCH($A108,Raw_매출!$A$2:$A$155,0),MATCH(EDATE($E108,BD$1-1),Raw_매출!$B$1:$BI$1,0))=0,"",INDEX(Raw_매출!$B$2:$BI$155,MATCH($A108,Raw_매출!$A$2:$A$155,0),MATCH(EDATE($E108,BD$1-1),Raw_매출!$B$1:$BI$1,0))/(INDEX(요약_월별시즈널리티!$F$7:$F$18,MONTH(EDATE($E108,BD$1-1)))/100))),"")</f>
        <v/>
      </c>
      <c r="BE108" t="str" cm="1">
        <f t="array" ref="BE108">IFERROR(IF($E108&lt;44348,"",IF(INDEX(Raw_매출!$B$2:$BI$155,MATCH($A108,Raw_매출!$A$2:$A$155,0),MATCH(EDATE($E108,BE$1-1),Raw_매출!$B$1:$BI$1,0))=0,"",INDEX(Raw_매출!$B$2:$BI$155,MATCH($A108,Raw_매출!$A$2:$A$155,0),MATCH(EDATE($E108,BE$1-1),Raw_매출!$B$1:$BI$1,0))/(INDEX(요약_월별시즈널리티!$F$7:$F$18,MONTH(EDATE($E108,BE$1-1)))/100))),"")</f>
        <v/>
      </c>
      <c r="BF108" t="str" cm="1">
        <f t="array" ref="BF108">IFERROR(IF($E108&lt;44348,"",IF(INDEX(Raw_매출!$B$2:$BI$155,MATCH($A108,Raw_매출!$A$2:$A$155,0),MATCH(EDATE($E108,BF$1-1),Raw_매출!$B$1:$BI$1,0))=0,"",INDEX(Raw_매출!$B$2:$BI$155,MATCH($A108,Raw_매출!$A$2:$A$155,0),MATCH(EDATE($E108,BF$1-1),Raw_매출!$B$1:$BI$1,0))/(INDEX(요약_월별시즈널리티!$F$7:$F$18,MONTH(EDATE($E108,BF$1-1)))/100))),"")</f>
        <v/>
      </c>
      <c r="BG108" t="str" cm="1">
        <f t="array" ref="BG108">IFERROR(IF($E108&lt;44348,"",IF(INDEX(Raw_매출!$B$2:$BI$155,MATCH($A108,Raw_매출!$A$2:$A$155,0),MATCH(EDATE($E108,BG$1-1),Raw_매출!$B$1:$BI$1,0))=0,"",INDEX(Raw_매출!$B$2:$BI$155,MATCH($A108,Raw_매출!$A$2:$A$155,0),MATCH(EDATE($E108,BG$1-1),Raw_매출!$B$1:$BI$1,0))/(INDEX(요약_월별시즈널리티!$F$7:$F$18,MONTH(EDATE($E108,BG$1-1)))/100))),"")</f>
        <v/>
      </c>
      <c r="BH108" t="str" cm="1">
        <f t="array" ref="BH108">IFERROR(IF($E108&lt;44348,"",IF(INDEX(Raw_매출!$B$2:$BI$155,MATCH($A108,Raw_매출!$A$2:$A$155,0),MATCH(EDATE($E108,BH$1-1),Raw_매출!$B$1:$BI$1,0))=0,"",INDEX(Raw_매출!$B$2:$BI$155,MATCH($A108,Raw_매출!$A$2:$A$155,0),MATCH(EDATE($E108,BH$1-1),Raw_매출!$B$1:$BI$1,0))/(INDEX(요약_월별시즈널리티!$F$7:$F$18,MONTH(EDATE($E108,BH$1-1)))/100))),"")</f>
        <v/>
      </c>
      <c r="BI108" t="str" cm="1">
        <f t="array" ref="BI108">IFERROR(IF($E108&lt;44348,"",IF(INDEX(Raw_매출!$B$2:$BI$155,MATCH($A108,Raw_매출!$A$2:$A$155,0),MATCH(EDATE($E108,BI$1-1),Raw_매출!$B$1:$BI$1,0))=0,"",INDEX(Raw_매출!$B$2:$BI$155,MATCH($A108,Raw_매출!$A$2:$A$155,0),MATCH(EDATE($E108,BI$1-1),Raw_매출!$B$1:$BI$1,0))/(INDEX(요약_월별시즈널리티!$F$7:$F$18,MONTH(EDATE($E108,BI$1-1)))/100))),"")</f>
        <v/>
      </c>
      <c r="BJ108" t="str" cm="1">
        <f t="array" ref="BJ108">IFERROR(IF($E108&lt;44348,"",IF(INDEX(Raw_매출!$B$2:$BI$155,MATCH($A108,Raw_매출!$A$2:$A$155,0),MATCH(EDATE($E108,BJ$1-1),Raw_매출!$B$1:$BI$1,0))=0,"",INDEX(Raw_매출!$B$2:$BI$155,MATCH($A108,Raw_매출!$A$2:$A$155,0),MATCH(EDATE($E108,BJ$1-1),Raw_매출!$B$1:$BI$1,0))/(INDEX(요약_월별시즈널리티!$F$7:$F$18,MONTH(EDATE($E108,BJ$1-1)))/100))),"")</f>
        <v/>
      </c>
      <c r="BK108" t="str" cm="1">
        <f t="array" ref="BK108">IFERROR(IF($E108&lt;44348,"",IF(INDEX(Raw_매출!$B$2:$BI$155,MATCH($A108,Raw_매출!$A$2:$A$155,0),MATCH(EDATE($E108,BK$1-1),Raw_매출!$B$1:$BI$1,0))=0,"",INDEX(Raw_매출!$B$2:$BI$155,MATCH($A108,Raw_매출!$A$2:$A$155,0),MATCH(EDATE($E108,BK$1-1),Raw_매출!$B$1:$BI$1,0))/(INDEX(요약_월별시즈널리티!$F$7:$F$18,MONTH(EDATE($E108,BK$1-1)))/100))),"")</f>
        <v/>
      </c>
      <c r="BL108" t="str" cm="1">
        <f t="array" ref="BL108">IFERROR(IF($E108&lt;44348,"",IF(INDEX(Raw_매출!$B$2:$BI$155,MATCH($A108,Raw_매출!$A$2:$A$155,0),MATCH(EDATE($E108,BL$1-1),Raw_매출!$B$1:$BI$1,0))=0,"",INDEX(Raw_매출!$B$2:$BI$155,MATCH($A108,Raw_매출!$A$2:$A$155,0),MATCH(EDATE($E108,BL$1-1),Raw_매출!$B$1:$BI$1,0))/(INDEX(요약_월별시즈널리티!$F$7:$F$18,MONTH(EDATE($E108,BL$1-1)))/100))),"")</f>
        <v/>
      </c>
      <c r="BM108" t="str" cm="1">
        <f t="array" ref="BM108">IFERROR(IF($E108&lt;44348,"",IF(INDEX(Raw_매출!$B$2:$BI$155,MATCH($A108,Raw_매출!$A$2:$A$155,0),MATCH(EDATE($E108,BM$1-1),Raw_매출!$B$1:$BI$1,0))=0,"",INDEX(Raw_매출!$B$2:$BI$155,MATCH($A108,Raw_매출!$A$2:$A$155,0),MATCH(EDATE($E108,BM$1-1),Raw_매출!$B$1:$BI$1,0))/(INDEX(요약_월별시즈널리티!$F$7:$F$18,MONTH(EDATE($E108,BM$1-1)))/100))),"")</f>
        <v/>
      </c>
      <c r="BN108" t="str" cm="1">
        <f t="array" ref="BN108">IFERROR(IF($E108&lt;44348,"",IF(INDEX(Raw_매출!$B$2:$BI$155,MATCH($A108,Raw_매출!$A$2:$A$155,0),MATCH(EDATE($E108,BN$1-1),Raw_매출!$B$1:$BI$1,0))=0,"",INDEX(Raw_매출!$B$2:$BI$155,MATCH($A108,Raw_매출!$A$2:$A$155,0),MATCH(EDATE($E108,BN$1-1),Raw_매출!$B$1:$BI$1,0))/(INDEX(요약_월별시즈널리티!$F$7:$F$18,MONTH(EDATE($E108,BN$1-1)))/100))),"")</f>
        <v/>
      </c>
    </row>
    <row r="109" spans="1:66" x14ac:dyDescent="0.4">
      <c r="A109" t="str">
        <f>세팅!A110</f>
        <v>(1098) #공릉역점</v>
      </c>
      <c r="B109" t="str">
        <f>세팅!B110</f>
        <v>150-0</v>
      </c>
      <c r="C109">
        <f t="shared" si="3"/>
        <v>0</v>
      </c>
      <c r="D109" t="str">
        <f t="shared" si="4"/>
        <v>0</v>
      </c>
      <c r="E109" s="1">
        <f>세팅!D110</f>
        <v>45323</v>
      </c>
      <c r="F109">
        <f t="shared" si="5"/>
        <v>5951090.0711587481</v>
      </c>
      <c r="G109" cm="1">
        <f t="array" ref="G109">IFERROR(IF($E109&lt;44348,"",IF(INDEX(Raw_매출!$B$2:$BI$155,MATCH($A109,Raw_매출!$A$2:$A$155,0),MATCH(EDATE($E109,G$1-1),Raw_매출!$B$1:$BI$1,0))=0,"",INDEX(Raw_매출!$B$2:$BI$155,MATCH($A109,Raw_매출!$A$2:$A$155,0),MATCH(EDATE($E109,G$1-1),Raw_매출!$B$1:$BI$1,0))/(INDEX(요약_월별시즈널리티!$F$7:$F$18,MONTH(EDATE($E109,G$1-1)))/100))),"")</f>
        <v>4949045.0143044014</v>
      </c>
      <c r="H109" cm="1">
        <f t="array" ref="H109">IFERROR(IF($E109&lt;44348,"",IF(INDEX(Raw_매출!$B$2:$BI$155,MATCH($A109,Raw_매출!$A$2:$A$155,0),MATCH(EDATE($E109,H$1-1),Raw_매출!$B$1:$BI$1,0))=0,"",INDEX(Raw_매출!$B$2:$BI$155,MATCH($A109,Raw_매출!$A$2:$A$155,0),MATCH(EDATE($E109,H$1-1),Raw_매출!$B$1:$BI$1,0))/(INDEX(요약_월별시즈널리티!$F$7:$F$18,MONTH(EDATE($E109,H$1-1)))/100))),"")</f>
        <v>5657908.2437207075</v>
      </c>
      <c r="I109" cm="1">
        <f t="array" ref="I109">IFERROR(IF($E109&lt;44348,"",IF(INDEX(Raw_매출!$B$2:$BI$155,MATCH($A109,Raw_매출!$A$2:$A$155,0),MATCH(EDATE($E109,I$1-1),Raw_매출!$B$1:$BI$1,0))=0,"",INDEX(Raw_매출!$B$2:$BI$155,MATCH($A109,Raw_매출!$A$2:$A$155,0),MATCH(EDATE($E109,I$1-1),Raw_매출!$B$1:$BI$1,0))/(INDEX(요약_월별시즈널리티!$F$7:$F$18,MONTH(EDATE($E109,I$1-1)))/100))),"")</f>
        <v>5997818.7602462359</v>
      </c>
      <c r="J109" s="30" cm="1">
        <f t="array" ref="J109">IFERROR(IF($E109&lt;44348,"",IF(INDEX(Raw_매출!$B$2:$BI$155,MATCH($A109,Raw_매출!$A$2:$A$155,0),MATCH(EDATE($E109,J$1-1),Raw_매출!$B$1:$BI$1,0))=0,"",INDEX(Raw_매출!$B$2:$BI$155,MATCH($A109,Raw_매출!$A$2:$A$155,0),MATCH(EDATE($E109,J$1-1),Raw_매출!$B$1:$BI$1,0))/(INDEX(요약_월별시즈널리티!$F$7:$F$18,MONTH(EDATE($E109,J$1-1)))/100))),"")</f>
        <v>5192509.9430323504</v>
      </c>
      <c r="K109" s="30" cm="1">
        <f t="array" ref="K109">IFERROR(IF($E109&lt;44348,"",IF(INDEX(Raw_매출!$B$2:$BI$155,MATCH($A109,Raw_매출!$A$2:$A$155,0),MATCH(EDATE($E109,K$1-1),Raw_매출!$B$1:$BI$1,0))=0,"",INDEX(Raw_매출!$B$2:$BI$155,MATCH($A109,Raw_매출!$A$2:$A$155,0),MATCH(EDATE($E109,K$1-1),Raw_매출!$B$1:$BI$1,0))/(INDEX(요약_월별시즈널리티!$F$7:$F$18,MONTH(EDATE($E109,K$1-1)))/100))),"")</f>
        <v>6226063.5787255419</v>
      </c>
      <c r="L109" s="30" cm="1">
        <f t="array" ref="L109">IFERROR(IF($E109&lt;44348,"",IF(INDEX(Raw_매출!$B$2:$BI$155,MATCH($A109,Raw_매출!$A$2:$A$155,0),MATCH(EDATE($E109,L$1-1),Raw_매출!$B$1:$BI$1,0))=0,"",INDEX(Raw_매출!$B$2:$BI$155,MATCH($A109,Raw_매출!$A$2:$A$155,0),MATCH(EDATE($E109,L$1-1),Raw_매출!$B$1:$BI$1,0))/(INDEX(요약_월별시즈널리티!$F$7:$F$18,MONTH(EDATE($E109,L$1-1)))/100))),"")</f>
        <v>6649111.3941700868</v>
      </c>
      <c r="M109" s="30" cm="1">
        <f t="array" ref="M109">IFERROR(IF($E109&lt;44348,"",IF(INDEX(Raw_매출!$B$2:$BI$155,MATCH($A109,Raw_매출!$A$2:$A$155,0),MATCH(EDATE($E109,M$1-1),Raw_매출!$B$1:$BI$1,0))=0,"",INDEX(Raw_매출!$B$2:$BI$155,MATCH($A109,Raw_매출!$A$2:$A$155,0),MATCH(EDATE($E109,M$1-1),Raw_매출!$B$1:$BI$1,0))/(INDEX(요약_월별시즈널리티!$F$7:$F$18,MONTH(EDATE($E109,M$1-1)))/100))),"")</f>
        <v>5742297.5183133762</v>
      </c>
      <c r="N109" s="30" cm="1">
        <f t="array" ref="N109">IFERROR(IF($E109&lt;44348,"",IF(INDEX(Raw_매출!$B$2:$BI$155,MATCH($A109,Raw_매출!$A$2:$A$155,0),MATCH(EDATE($E109,N$1-1),Raw_매출!$B$1:$BI$1,0))=0,"",INDEX(Raw_매출!$B$2:$BI$155,MATCH($A109,Raw_매출!$A$2:$A$155,0),MATCH(EDATE($E109,N$1-1),Raw_매출!$B$1:$BI$1,0))/(INDEX(요약_월별시즈널리티!$F$7:$F$18,MONTH(EDATE($E109,N$1-1)))/100))),"")</f>
        <v>6366462.2774432618</v>
      </c>
      <c r="O109" s="30" cm="1">
        <f t="array" ref="O109">IFERROR(IF($E109&lt;44348,"",IF(INDEX(Raw_매출!$B$2:$BI$155,MATCH($A109,Raw_매출!$A$2:$A$155,0),MATCH(EDATE($E109,O$1-1),Raw_매출!$B$1:$BI$1,0))=0,"",INDEX(Raw_매출!$B$2:$BI$155,MATCH($A109,Raw_매출!$A$2:$A$155,0),MATCH(EDATE($E109,O$1-1),Raw_매출!$B$1:$BI$1,0))/(INDEX(요약_월별시즈널리티!$F$7:$F$18,MONTH(EDATE($E109,O$1-1)))/100))),"")</f>
        <v>5530095.7152678762</v>
      </c>
      <c r="P109" cm="1">
        <f t="array" ref="P109">IFERROR(IF($E109&lt;44348,"",IF(INDEX(Raw_매출!$B$2:$BI$155,MATCH($A109,Raw_매출!$A$2:$A$155,0),MATCH(EDATE($E109,P$1-1),Raw_매출!$B$1:$BI$1,0))=0,"",INDEX(Raw_매출!$B$2:$BI$155,MATCH($A109,Raw_매출!$A$2:$A$155,0),MATCH(EDATE($E109,P$1-1),Raw_매출!$B$1:$BI$1,0))/(INDEX(요약_월별시즈널리티!$F$7:$F$18,MONTH(EDATE($E109,P$1-1)))/100))),"")</f>
        <v>6134084.8227710696</v>
      </c>
      <c r="Q109" cm="1">
        <f t="array" ref="Q109">IFERROR(IF($E109&lt;44348,"",IF(INDEX(Raw_매출!$B$2:$BI$155,MATCH($A109,Raw_매출!$A$2:$A$155,0),MATCH(EDATE($E109,Q$1-1),Raw_매출!$B$1:$BI$1,0))=0,"",INDEX(Raw_매출!$B$2:$BI$155,MATCH($A109,Raw_매출!$A$2:$A$155,0),MATCH(EDATE($E109,Q$1-1),Raw_매출!$B$1:$BI$1,0))/(INDEX(요약_월별시즈널리티!$F$7:$F$18,MONTH(EDATE($E109,Q$1-1)))/100))),"")</f>
        <v>6258012.9237065725</v>
      </c>
      <c r="R109" cm="1">
        <f t="array" ref="R109">IFERROR(IF($E109&lt;44348,"",IF(INDEX(Raw_매출!$B$2:$BI$155,MATCH($A109,Raw_매출!$A$2:$A$155,0),MATCH(EDATE($E109,R$1-1),Raw_매출!$B$1:$BI$1,0))=0,"",INDEX(Raw_매출!$B$2:$BI$155,MATCH($A109,Raw_매출!$A$2:$A$155,0),MATCH(EDATE($E109,R$1-1),Raw_매출!$B$1:$BI$1,0))/(INDEX(요약_월별시즈널리티!$F$7:$F$18,MONTH(EDATE($E109,R$1-1)))/100))),"")</f>
        <v>6414467.4133409671</v>
      </c>
      <c r="S109" cm="1">
        <f t="array" ref="S109">IFERROR(IF($E109&lt;44348,"",IF(INDEX(Raw_매출!$B$2:$BI$155,MATCH($A109,Raw_매출!$A$2:$A$155,0),MATCH(EDATE($E109,S$1-1),Raw_매출!$B$1:$BI$1,0))=0,"",INDEX(Raw_매출!$B$2:$BI$155,MATCH($A109,Raw_매출!$A$2:$A$155,0),MATCH(EDATE($E109,S$1-1),Raw_매출!$B$1:$BI$1,0))/(INDEX(요약_월별시즈널리티!$F$7:$F$18,MONTH(EDATE($E109,S$1-1)))/100))),"")</f>
        <v>7306516.1480432786</v>
      </c>
      <c r="T109" cm="1">
        <f t="array" ref="T109">IFERROR(IF($E109&lt;44348,"",IF(INDEX(Raw_매출!$B$2:$BI$155,MATCH($A109,Raw_매출!$A$2:$A$155,0),MATCH(EDATE($E109,T$1-1),Raw_매출!$B$1:$BI$1,0))=0,"",INDEX(Raw_매출!$B$2:$BI$155,MATCH($A109,Raw_매출!$A$2:$A$155,0),MATCH(EDATE($E109,T$1-1),Raw_매출!$B$1:$BI$1,0))/(INDEX(요약_월별시즈널리티!$F$7:$F$18,MONTH(EDATE($E109,T$1-1)))/100))),"")</f>
        <v>6898322.1020449856</v>
      </c>
      <c r="U109" cm="1">
        <f t="array" ref="U109">IFERROR(IF($E109&lt;44348,"",IF(INDEX(Raw_매출!$B$2:$BI$155,MATCH($A109,Raw_매출!$A$2:$A$155,0),MATCH(EDATE($E109,U$1-1),Raw_매출!$B$1:$BI$1,0))=0,"",INDEX(Raw_매출!$B$2:$BI$155,MATCH($A109,Raw_매출!$A$2:$A$155,0),MATCH(EDATE($E109,U$1-1),Raw_매출!$B$1:$BI$1,0))/(INDEX(요약_월별시즈널리티!$F$7:$F$18,MONTH(EDATE($E109,U$1-1)))/100))),"")</f>
        <v>6711218.3530367548</v>
      </c>
      <c r="V109" cm="1">
        <f t="array" ref="V109">IFERROR(IF($E109&lt;44348,"",IF(INDEX(Raw_매출!$B$2:$BI$155,MATCH($A109,Raw_매출!$A$2:$A$155,0),MATCH(EDATE($E109,V$1-1),Raw_매출!$B$1:$BI$1,0))=0,"",INDEX(Raw_매출!$B$2:$BI$155,MATCH($A109,Raw_매출!$A$2:$A$155,0),MATCH(EDATE($E109,V$1-1),Raw_매출!$B$1:$BI$1,0))/(INDEX(요약_월별시즈널리티!$F$7:$F$18,MONTH(EDATE($E109,V$1-1)))/100))),"")</f>
        <v>7714163.7319772644</v>
      </c>
      <c r="W109" cm="1">
        <f t="array" ref="W109">IFERROR(IF($E109&lt;44348,"",IF(INDEX(Raw_매출!$B$2:$BI$155,MATCH($A109,Raw_매출!$A$2:$A$155,0),MATCH(EDATE($E109,W$1-1),Raw_매출!$B$1:$BI$1,0))=0,"",INDEX(Raw_매출!$B$2:$BI$155,MATCH($A109,Raw_매출!$A$2:$A$155,0),MATCH(EDATE($E109,W$1-1),Raw_매출!$B$1:$BI$1,0))/(INDEX(요약_월별시즈널리티!$F$7:$F$18,MONTH(EDATE($E109,W$1-1)))/100))),"")</f>
        <v>7729896.528838654</v>
      </c>
      <c r="X109" cm="1">
        <f t="array" ref="X109">IFERROR(IF($E109&lt;44348,"",IF(INDEX(Raw_매출!$B$2:$BI$155,MATCH($A109,Raw_매출!$A$2:$A$155,0),MATCH(EDATE($E109,X$1-1),Raw_매출!$B$1:$BI$1,0))=0,"",INDEX(Raw_매출!$B$2:$BI$155,MATCH($A109,Raw_매출!$A$2:$A$155,0),MATCH(EDATE($E109,X$1-1),Raw_매출!$B$1:$BI$1,0))/(INDEX(요약_월별시즈널리티!$F$7:$F$18,MONTH(EDATE($E109,X$1-1)))/100))),"")</f>
        <v>7253360.6885927282</v>
      </c>
      <c r="Y109" cm="1">
        <f t="array" ref="Y109">IFERROR(IF($E109&lt;44348,"",IF(INDEX(Raw_매출!$B$2:$BI$155,MATCH($A109,Raw_매출!$A$2:$A$155,0),MATCH(EDATE($E109,Y$1-1),Raw_매출!$B$1:$BI$1,0))=0,"",INDEX(Raw_매출!$B$2:$BI$155,MATCH($A109,Raw_매출!$A$2:$A$155,0),MATCH(EDATE($E109,Y$1-1),Raw_매출!$B$1:$BI$1,0))/(INDEX(요약_월별시즈널리티!$F$7:$F$18,MONTH(EDATE($E109,Y$1-1)))/100))),"")</f>
        <v>8093627.6987294834</v>
      </c>
      <c r="Z109" cm="1">
        <f t="array" ref="Z109">IFERROR(IF($E109&lt;44348,"",IF(INDEX(Raw_매출!$B$2:$BI$155,MATCH($A109,Raw_매출!$A$2:$A$155,0),MATCH(EDATE($E109,Z$1-1),Raw_매출!$B$1:$BI$1,0))=0,"",INDEX(Raw_매출!$B$2:$BI$155,MATCH($A109,Raw_매출!$A$2:$A$155,0),MATCH(EDATE($E109,Z$1-1),Raw_매출!$B$1:$BI$1,0))/(INDEX(요약_월별시즈널리티!$F$7:$F$18,MONTH(EDATE($E109,Z$1-1)))/100))),"")</f>
        <v>7393063.5957175912</v>
      </c>
      <c r="AA109" cm="1">
        <f t="array" ref="AA109">IFERROR(IF($E109&lt;44348,"",IF(INDEX(Raw_매출!$B$2:$BI$155,MATCH($A109,Raw_매출!$A$2:$A$155,0),MATCH(EDATE($E109,AA$1-1),Raw_매출!$B$1:$BI$1,0))=0,"",INDEX(Raw_매출!$B$2:$BI$155,MATCH($A109,Raw_매출!$A$2:$A$155,0),MATCH(EDATE($E109,AA$1-1),Raw_매출!$B$1:$BI$1,0))/(INDEX(요약_월별시즈널리티!$F$7:$F$18,MONTH(EDATE($E109,AA$1-1)))/100))),"")</f>
        <v>7410694.5386605412</v>
      </c>
      <c r="AB109" cm="1">
        <f t="array" ref="AB109">IFERROR(IF($E109&lt;44348,"",IF(INDEX(Raw_매출!$B$2:$BI$155,MATCH($A109,Raw_매출!$A$2:$A$155,0),MATCH(EDATE($E109,AB$1-1),Raw_매출!$B$1:$BI$1,0))=0,"",INDEX(Raw_매출!$B$2:$BI$155,MATCH($A109,Raw_매출!$A$2:$A$155,0),MATCH(EDATE($E109,AB$1-1),Raw_매출!$B$1:$BI$1,0))/(INDEX(요약_월별시즈널리티!$F$7:$F$18,MONTH(EDATE($E109,AB$1-1)))/100))),"")</f>
        <v>7013796.5436018715</v>
      </c>
      <c r="AC109" cm="1">
        <f t="array" ref="AC109">IFERROR(IF($E109&lt;44348,"",IF(INDEX(Raw_매출!$B$2:$BI$155,MATCH($A109,Raw_매출!$A$2:$A$155,0),MATCH(EDATE($E109,AC$1-1),Raw_매출!$B$1:$BI$1,0))=0,"",INDEX(Raw_매출!$B$2:$BI$155,MATCH($A109,Raw_매출!$A$2:$A$155,0),MATCH(EDATE($E109,AC$1-1),Raw_매출!$B$1:$BI$1,0))/(INDEX(요약_월별시즈널리티!$F$7:$F$18,MONTH(EDATE($E109,AC$1-1)))/100))),"")</f>
        <v>6607982.4921297748</v>
      </c>
      <c r="AD109" cm="1">
        <f t="array" ref="AD109">IFERROR(IF($E109&lt;44348,"",IF(INDEX(Raw_매출!$B$2:$BI$155,MATCH($A109,Raw_매출!$A$2:$A$155,0),MATCH(EDATE($E109,AD$1-1),Raw_매출!$B$1:$BI$1,0))=0,"",INDEX(Raw_매출!$B$2:$BI$155,MATCH($A109,Raw_매출!$A$2:$A$155,0),MATCH(EDATE($E109,AD$1-1),Raw_매출!$B$1:$BI$1,0))/(INDEX(요약_월별시즈널리티!$F$7:$F$18,MONTH(EDATE($E109,AD$1-1)))/100))),"")</f>
        <v>7970597.3397112777</v>
      </c>
      <c r="AE109" cm="1">
        <f t="array" ref="AE109">IFERROR(IF($E109&lt;44348,"",IF(INDEX(Raw_매출!$B$2:$BI$155,MATCH($A109,Raw_매출!$A$2:$A$155,0),MATCH(EDATE($E109,AE$1-1),Raw_매출!$B$1:$BI$1,0))=0,"",INDEX(Raw_매출!$B$2:$BI$155,MATCH($A109,Raw_매출!$A$2:$A$155,0),MATCH(EDATE($E109,AE$1-1),Raw_매출!$B$1:$BI$1,0))/(INDEX(요약_월별시즈널리티!$F$7:$F$18,MONTH(EDATE($E109,AE$1-1)))/100))),"")</f>
        <v>8118389.5044234842</v>
      </c>
      <c r="AF109" cm="1">
        <f t="array" ref="AF109">IFERROR(IF($E109&lt;44348,"",IF(INDEX(Raw_매출!$B$2:$BI$155,MATCH($A109,Raw_매출!$A$2:$A$155,0),MATCH(EDATE($E109,AF$1-1),Raw_매출!$B$1:$BI$1,0))=0,"",INDEX(Raw_매출!$B$2:$BI$155,MATCH($A109,Raw_매출!$A$2:$A$155,0),MATCH(EDATE($E109,AF$1-1),Raw_매출!$B$1:$BI$1,0))/(INDEX(요약_월별시즈널리티!$F$7:$F$18,MONTH(EDATE($E109,AF$1-1)))/100))),"")</f>
        <v>7603116.5027584536</v>
      </c>
      <c r="AG109" cm="1">
        <f t="array" ref="AG109">IFERROR(IF($E109&lt;44348,"",IF(INDEX(Raw_매출!$B$2:$BI$155,MATCH($A109,Raw_매출!$A$2:$A$155,0),MATCH(EDATE($E109,AG$1-1),Raw_매출!$B$1:$BI$1,0))=0,"",INDEX(Raw_매출!$B$2:$BI$155,MATCH($A109,Raw_매출!$A$2:$A$155,0),MATCH(EDATE($E109,AG$1-1),Raw_매출!$B$1:$BI$1,0))/(INDEX(요약_월별시즈널리티!$F$7:$F$18,MONTH(EDATE($E109,AG$1-1)))/100))),"")</f>
        <v>7893778.9812847339</v>
      </c>
      <c r="AH109" cm="1">
        <f t="array" ref="AH109">IFERROR(IF($E109&lt;44348,"",IF(INDEX(Raw_매출!$B$2:$BI$155,MATCH($A109,Raw_매출!$A$2:$A$155,0),MATCH(EDATE($E109,AH$1-1),Raw_매출!$B$1:$BI$1,0))=0,"",INDEX(Raw_매출!$B$2:$BI$155,MATCH($A109,Raw_매출!$A$2:$A$155,0),MATCH(EDATE($E109,AH$1-1),Raw_매출!$B$1:$BI$1,0))/(INDEX(요약_월별시즈널리티!$F$7:$F$18,MONTH(EDATE($E109,AH$1-1)))/100))),"")</f>
        <v>7963966.8903588131</v>
      </c>
      <c r="AI109" t="str" cm="1">
        <f t="array" ref="AI109">IFERROR(IF($E109&lt;44348,"",IF(INDEX(Raw_매출!$B$2:$BI$155,MATCH($A109,Raw_매출!$A$2:$A$155,0),MATCH(EDATE($E109,AI$1-1),Raw_매출!$B$1:$BI$1,0))=0,"",INDEX(Raw_매출!$B$2:$BI$155,MATCH($A109,Raw_매출!$A$2:$A$155,0),MATCH(EDATE($E109,AI$1-1),Raw_매출!$B$1:$BI$1,0))/(INDEX(요약_월별시즈널리티!$F$7:$F$18,MONTH(EDATE($E109,AI$1-1)))/100))),"")</f>
        <v/>
      </c>
      <c r="AJ109" t="str" cm="1">
        <f t="array" ref="AJ109">IFERROR(IF($E109&lt;44348,"",IF(INDEX(Raw_매출!$B$2:$BI$155,MATCH($A109,Raw_매출!$A$2:$A$155,0),MATCH(EDATE($E109,AJ$1-1),Raw_매출!$B$1:$BI$1,0))=0,"",INDEX(Raw_매출!$B$2:$BI$155,MATCH($A109,Raw_매출!$A$2:$A$155,0),MATCH(EDATE($E109,AJ$1-1),Raw_매출!$B$1:$BI$1,0))/(INDEX(요약_월별시즈널리티!$F$7:$F$18,MONTH(EDATE($E109,AJ$1-1)))/100))),"")</f>
        <v/>
      </c>
      <c r="AK109" t="str" cm="1">
        <f t="array" ref="AK109">IFERROR(IF($E109&lt;44348,"",IF(INDEX(Raw_매출!$B$2:$BI$155,MATCH($A109,Raw_매출!$A$2:$A$155,0),MATCH(EDATE($E109,AK$1-1),Raw_매출!$B$1:$BI$1,0))=0,"",INDEX(Raw_매출!$B$2:$BI$155,MATCH($A109,Raw_매출!$A$2:$A$155,0),MATCH(EDATE($E109,AK$1-1),Raw_매출!$B$1:$BI$1,0))/(INDEX(요약_월별시즈널리티!$F$7:$F$18,MONTH(EDATE($E109,AK$1-1)))/100))),"")</f>
        <v/>
      </c>
      <c r="AL109" t="str" cm="1">
        <f t="array" ref="AL109">IFERROR(IF($E109&lt;44348,"",IF(INDEX(Raw_매출!$B$2:$BI$155,MATCH($A109,Raw_매출!$A$2:$A$155,0),MATCH(EDATE($E109,AL$1-1),Raw_매출!$B$1:$BI$1,0))=0,"",INDEX(Raw_매출!$B$2:$BI$155,MATCH($A109,Raw_매출!$A$2:$A$155,0),MATCH(EDATE($E109,AL$1-1),Raw_매출!$B$1:$BI$1,0))/(INDEX(요약_월별시즈널리티!$F$7:$F$18,MONTH(EDATE($E109,AL$1-1)))/100))),"")</f>
        <v/>
      </c>
      <c r="AM109" t="str" cm="1">
        <f t="array" ref="AM109">IFERROR(IF($E109&lt;44348,"",IF(INDEX(Raw_매출!$B$2:$BI$155,MATCH($A109,Raw_매출!$A$2:$A$155,0),MATCH(EDATE($E109,AM$1-1),Raw_매출!$B$1:$BI$1,0))=0,"",INDEX(Raw_매출!$B$2:$BI$155,MATCH($A109,Raw_매출!$A$2:$A$155,0),MATCH(EDATE($E109,AM$1-1),Raw_매출!$B$1:$BI$1,0))/(INDEX(요약_월별시즈널리티!$F$7:$F$18,MONTH(EDATE($E109,AM$1-1)))/100))),"")</f>
        <v/>
      </c>
      <c r="AN109" t="str" cm="1">
        <f t="array" ref="AN109">IFERROR(IF($E109&lt;44348,"",IF(INDEX(Raw_매출!$B$2:$BI$155,MATCH($A109,Raw_매출!$A$2:$A$155,0),MATCH(EDATE($E109,AN$1-1),Raw_매출!$B$1:$BI$1,0))=0,"",INDEX(Raw_매출!$B$2:$BI$155,MATCH($A109,Raw_매출!$A$2:$A$155,0),MATCH(EDATE($E109,AN$1-1),Raw_매출!$B$1:$BI$1,0))/(INDEX(요약_월별시즈널리티!$F$7:$F$18,MONTH(EDATE($E109,AN$1-1)))/100))),"")</f>
        <v/>
      </c>
      <c r="AO109" t="str" cm="1">
        <f t="array" ref="AO109">IFERROR(IF($E109&lt;44348,"",IF(INDEX(Raw_매출!$B$2:$BI$155,MATCH($A109,Raw_매출!$A$2:$A$155,0),MATCH(EDATE($E109,AO$1-1),Raw_매출!$B$1:$BI$1,0))=0,"",INDEX(Raw_매출!$B$2:$BI$155,MATCH($A109,Raw_매출!$A$2:$A$155,0),MATCH(EDATE($E109,AO$1-1),Raw_매출!$B$1:$BI$1,0))/(INDEX(요약_월별시즈널리티!$F$7:$F$18,MONTH(EDATE($E109,AO$1-1)))/100))),"")</f>
        <v/>
      </c>
      <c r="AP109" t="str" cm="1">
        <f t="array" ref="AP109">IFERROR(IF($E109&lt;44348,"",IF(INDEX(Raw_매출!$B$2:$BI$155,MATCH($A109,Raw_매출!$A$2:$A$155,0),MATCH(EDATE($E109,AP$1-1),Raw_매출!$B$1:$BI$1,0))=0,"",INDEX(Raw_매출!$B$2:$BI$155,MATCH($A109,Raw_매출!$A$2:$A$155,0),MATCH(EDATE($E109,AP$1-1),Raw_매출!$B$1:$BI$1,0))/(INDEX(요약_월별시즈널리티!$F$7:$F$18,MONTH(EDATE($E109,AP$1-1)))/100))),"")</f>
        <v/>
      </c>
      <c r="AQ109" t="str" cm="1">
        <f t="array" ref="AQ109">IFERROR(IF($E109&lt;44348,"",IF(INDEX(Raw_매출!$B$2:$BI$155,MATCH($A109,Raw_매출!$A$2:$A$155,0),MATCH(EDATE($E109,AQ$1-1),Raw_매출!$B$1:$BI$1,0))=0,"",INDEX(Raw_매출!$B$2:$BI$155,MATCH($A109,Raw_매출!$A$2:$A$155,0),MATCH(EDATE($E109,AQ$1-1),Raw_매출!$B$1:$BI$1,0))/(INDEX(요약_월별시즈널리티!$F$7:$F$18,MONTH(EDATE($E109,AQ$1-1)))/100))),"")</f>
        <v/>
      </c>
      <c r="AR109" t="str" cm="1">
        <f t="array" ref="AR109">IFERROR(IF($E109&lt;44348,"",IF(INDEX(Raw_매출!$B$2:$BI$155,MATCH($A109,Raw_매출!$A$2:$A$155,0),MATCH(EDATE($E109,AR$1-1),Raw_매출!$B$1:$BI$1,0))=0,"",INDEX(Raw_매출!$B$2:$BI$155,MATCH($A109,Raw_매출!$A$2:$A$155,0),MATCH(EDATE($E109,AR$1-1),Raw_매출!$B$1:$BI$1,0))/(INDEX(요약_월별시즈널리티!$F$7:$F$18,MONTH(EDATE($E109,AR$1-1)))/100))),"")</f>
        <v/>
      </c>
      <c r="AS109" t="str" cm="1">
        <f t="array" ref="AS109">IFERROR(IF($E109&lt;44348,"",IF(INDEX(Raw_매출!$B$2:$BI$155,MATCH($A109,Raw_매출!$A$2:$A$155,0),MATCH(EDATE($E109,AS$1-1),Raw_매출!$B$1:$BI$1,0))=0,"",INDEX(Raw_매출!$B$2:$BI$155,MATCH($A109,Raw_매출!$A$2:$A$155,0),MATCH(EDATE($E109,AS$1-1),Raw_매출!$B$1:$BI$1,0))/(INDEX(요약_월별시즈널리티!$F$7:$F$18,MONTH(EDATE($E109,AS$1-1)))/100))),"")</f>
        <v/>
      </c>
      <c r="AT109" t="str" cm="1">
        <f t="array" ref="AT109">IFERROR(IF($E109&lt;44348,"",IF(INDEX(Raw_매출!$B$2:$BI$155,MATCH($A109,Raw_매출!$A$2:$A$155,0),MATCH(EDATE($E109,AT$1-1),Raw_매출!$B$1:$BI$1,0))=0,"",INDEX(Raw_매출!$B$2:$BI$155,MATCH($A109,Raw_매출!$A$2:$A$155,0),MATCH(EDATE($E109,AT$1-1),Raw_매출!$B$1:$BI$1,0))/(INDEX(요약_월별시즈널리티!$F$7:$F$18,MONTH(EDATE($E109,AT$1-1)))/100))),"")</f>
        <v/>
      </c>
      <c r="AU109" t="str" cm="1">
        <f t="array" ref="AU109">IFERROR(IF($E109&lt;44348,"",IF(INDEX(Raw_매출!$B$2:$BI$155,MATCH($A109,Raw_매출!$A$2:$A$155,0),MATCH(EDATE($E109,AU$1-1),Raw_매출!$B$1:$BI$1,0))=0,"",INDEX(Raw_매출!$B$2:$BI$155,MATCH($A109,Raw_매출!$A$2:$A$155,0),MATCH(EDATE($E109,AU$1-1),Raw_매출!$B$1:$BI$1,0))/(INDEX(요약_월별시즈널리티!$F$7:$F$18,MONTH(EDATE($E109,AU$1-1)))/100))),"")</f>
        <v/>
      </c>
      <c r="AV109" t="str" cm="1">
        <f t="array" ref="AV109">IFERROR(IF($E109&lt;44348,"",IF(INDEX(Raw_매출!$B$2:$BI$155,MATCH($A109,Raw_매출!$A$2:$A$155,0),MATCH(EDATE($E109,AV$1-1),Raw_매출!$B$1:$BI$1,0))=0,"",INDEX(Raw_매출!$B$2:$BI$155,MATCH($A109,Raw_매출!$A$2:$A$155,0),MATCH(EDATE($E109,AV$1-1),Raw_매출!$B$1:$BI$1,0))/(INDEX(요약_월별시즈널리티!$F$7:$F$18,MONTH(EDATE($E109,AV$1-1)))/100))),"")</f>
        <v/>
      </c>
      <c r="AW109" t="str" cm="1">
        <f t="array" ref="AW109">IFERROR(IF($E109&lt;44348,"",IF(INDEX(Raw_매출!$B$2:$BI$155,MATCH($A109,Raw_매출!$A$2:$A$155,0),MATCH(EDATE($E109,AW$1-1),Raw_매출!$B$1:$BI$1,0))=0,"",INDEX(Raw_매출!$B$2:$BI$155,MATCH($A109,Raw_매출!$A$2:$A$155,0),MATCH(EDATE($E109,AW$1-1),Raw_매출!$B$1:$BI$1,0))/(INDEX(요약_월별시즈널리티!$F$7:$F$18,MONTH(EDATE($E109,AW$1-1)))/100))),"")</f>
        <v/>
      </c>
      <c r="AX109" t="str" cm="1">
        <f t="array" ref="AX109">IFERROR(IF($E109&lt;44348,"",IF(INDEX(Raw_매출!$B$2:$BI$155,MATCH($A109,Raw_매출!$A$2:$A$155,0),MATCH(EDATE($E109,AX$1-1),Raw_매출!$B$1:$BI$1,0))=0,"",INDEX(Raw_매출!$B$2:$BI$155,MATCH($A109,Raw_매출!$A$2:$A$155,0),MATCH(EDATE($E109,AX$1-1),Raw_매출!$B$1:$BI$1,0))/(INDEX(요약_월별시즈널리티!$F$7:$F$18,MONTH(EDATE($E109,AX$1-1)))/100))),"")</f>
        <v/>
      </c>
      <c r="AY109" t="str" cm="1">
        <f t="array" ref="AY109">IFERROR(IF($E109&lt;44348,"",IF(INDEX(Raw_매출!$B$2:$BI$155,MATCH($A109,Raw_매출!$A$2:$A$155,0),MATCH(EDATE($E109,AY$1-1),Raw_매출!$B$1:$BI$1,0))=0,"",INDEX(Raw_매출!$B$2:$BI$155,MATCH($A109,Raw_매출!$A$2:$A$155,0),MATCH(EDATE($E109,AY$1-1),Raw_매출!$B$1:$BI$1,0))/(INDEX(요약_월별시즈널리티!$F$7:$F$18,MONTH(EDATE($E109,AY$1-1)))/100))),"")</f>
        <v/>
      </c>
      <c r="AZ109" t="str" cm="1">
        <f t="array" ref="AZ109">IFERROR(IF($E109&lt;44348,"",IF(INDEX(Raw_매출!$B$2:$BI$155,MATCH($A109,Raw_매출!$A$2:$A$155,0),MATCH(EDATE($E109,AZ$1-1),Raw_매출!$B$1:$BI$1,0))=0,"",INDEX(Raw_매출!$B$2:$BI$155,MATCH($A109,Raw_매출!$A$2:$A$155,0),MATCH(EDATE($E109,AZ$1-1),Raw_매출!$B$1:$BI$1,0))/(INDEX(요약_월별시즈널리티!$F$7:$F$18,MONTH(EDATE($E109,AZ$1-1)))/100))),"")</f>
        <v/>
      </c>
      <c r="BA109" t="str" cm="1">
        <f t="array" ref="BA109">IFERROR(IF($E109&lt;44348,"",IF(INDEX(Raw_매출!$B$2:$BI$155,MATCH($A109,Raw_매출!$A$2:$A$155,0),MATCH(EDATE($E109,BA$1-1),Raw_매출!$B$1:$BI$1,0))=0,"",INDEX(Raw_매출!$B$2:$BI$155,MATCH($A109,Raw_매출!$A$2:$A$155,0),MATCH(EDATE($E109,BA$1-1),Raw_매출!$B$1:$BI$1,0))/(INDEX(요약_월별시즈널리티!$F$7:$F$18,MONTH(EDATE($E109,BA$1-1)))/100))),"")</f>
        <v/>
      </c>
      <c r="BB109" t="str" cm="1">
        <f t="array" ref="BB109">IFERROR(IF($E109&lt;44348,"",IF(INDEX(Raw_매출!$B$2:$BI$155,MATCH($A109,Raw_매출!$A$2:$A$155,0),MATCH(EDATE($E109,BB$1-1),Raw_매출!$B$1:$BI$1,0))=0,"",INDEX(Raw_매출!$B$2:$BI$155,MATCH($A109,Raw_매출!$A$2:$A$155,0),MATCH(EDATE($E109,BB$1-1),Raw_매출!$B$1:$BI$1,0))/(INDEX(요약_월별시즈널리티!$F$7:$F$18,MONTH(EDATE($E109,BB$1-1)))/100))),"")</f>
        <v/>
      </c>
      <c r="BC109" t="str" cm="1">
        <f t="array" ref="BC109">IFERROR(IF($E109&lt;44348,"",IF(INDEX(Raw_매출!$B$2:$BI$155,MATCH($A109,Raw_매출!$A$2:$A$155,0),MATCH(EDATE($E109,BC$1-1),Raw_매출!$B$1:$BI$1,0))=0,"",INDEX(Raw_매출!$B$2:$BI$155,MATCH($A109,Raw_매출!$A$2:$A$155,0),MATCH(EDATE($E109,BC$1-1),Raw_매출!$B$1:$BI$1,0))/(INDEX(요약_월별시즈널리티!$F$7:$F$18,MONTH(EDATE($E109,BC$1-1)))/100))),"")</f>
        <v/>
      </c>
      <c r="BD109" t="str" cm="1">
        <f t="array" ref="BD109">IFERROR(IF($E109&lt;44348,"",IF(INDEX(Raw_매출!$B$2:$BI$155,MATCH($A109,Raw_매출!$A$2:$A$155,0),MATCH(EDATE($E109,BD$1-1),Raw_매출!$B$1:$BI$1,0))=0,"",INDEX(Raw_매출!$B$2:$BI$155,MATCH($A109,Raw_매출!$A$2:$A$155,0),MATCH(EDATE($E109,BD$1-1),Raw_매출!$B$1:$BI$1,0))/(INDEX(요약_월별시즈널리티!$F$7:$F$18,MONTH(EDATE($E109,BD$1-1)))/100))),"")</f>
        <v/>
      </c>
      <c r="BE109" t="str" cm="1">
        <f t="array" ref="BE109">IFERROR(IF($E109&lt;44348,"",IF(INDEX(Raw_매출!$B$2:$BI$155,MATCH($A109,Raw_매출!$A$2:$A$155,0),MATCH(EDATE($E109,BE$1-1),Raw_매출!$B$1:$BI$1,0))=0,"",INDEX(Raw_매출!$B$2:$BI$155,MATCH($A109,Raw_매출!$A$2:$A$155,0),MATCH(EDATE($E109,BE$1-1),Raw_매출!$B$1:$BI$1,0))/(INDEX(요약_월별시즈널리티!$F$7:$F$18,MONTH(EDATE($E109,BE$1-1)))/100))),"")</f>
        <v/>
      </c>
      <c r="BF109" t="str" cm="1">
        <f t="array" ref="BF109">IFERROR(IF($E109&lt;44348,"",IF(INDEX(Raw_매출!$B$2:$BI$155,MATCH($A109,Raw_매출!$A$2:$A$155,0),MATCH(EDATE($E109,BF$1-1),Raw_매출!$B$1:$BI$1,0))=0,"",INDEX(Raw_매출!$B$2:$BI$155,MATCH($A109,Raw_매출!$A$2:$A$155,0),MATCH(EDATE($E109,BF$1-1),Raw_매출!$B$1:$BI$1,0))/(INDEX(요약_월별시즈널리티!$F$7:$F$18,MONTH(EDATE($E109,BF$1-1)))/100))),"")</f>
        <v/>
      </c>
      <c r="BG109" t="str" cm="1">
        <f t="array" ref="BG109">IFERROR(IF($E109&lt;44348,"",IF(INDEX(Raw_매출!$B$2:$BI$155,MATCH($A109,Raw_매출!$A$2:$A$155,0),MATCH(EDATE($E109,BG$1-1),Raw_매출!$B$1:$BI$1,0))=0,"",INDEX(Raw_매출!$B$2:$BI$155,MATCH($A109,Raw_매출!$A$2:$A$155,0),MATCH(EDATE($E109,BG$1-1),Raw_매출!$B$1:$BI$1,0))/(INDEX(요약_월별시즈널리티!$F$7:$F$18,MONTH(EDATE($E109,BG$1-1)))/100))),"")</f>
        <v/>
      </c>
      <c r="BH109" t="str" cm="1">
        <f t="array" ref="BH109">IFERROR(IF($E109&lt;44348,"",IF(INDEX(Raw_매출!$B$2:$BI$155,MATCH($A109,Raw_매출!$A$2:$A$155,0),MATCH(EDATE($E109,BH$1-1),Raw_매출!$B$1:$BI$1,0))=0,"",INDEX(Raw_매출!$B$2:$BI$155,MATCH($A109,Raw_매출!$A$2:$A$155,0),MATCH(EDATE($E109,BH$1-1),Raw_매출!$B$1:$BI$1,0))/(INDEX(요약_월별시즈널리티!$F$7:$F$18,MONTH(EDATE($E109,BH$1-1)))/100))),"")</f>
        <v/>
      </c>
      <c r="BI109" t="str" cm="1">
        <f t="array" ref="BI109">IFERROR(IF($E109&lt;44348,"",IF(INDEX(Raw_매출!$B$2:$BI$155,MATCH($A109,Raw_매출!$A$2:$A$155,0),MATCH(EDATE($E109,BI$1-1),Raw_매출!$B$1:$BI$1,0))=0,"",INDEX(Raw_매출!$B$2:$BI$155,MATCH($A109,Raw_매출!$A$2:$A$155,0),MATCH(EDATE($E109,BI$1-1),Raw_매출!$B$1:$BI$1,0))/(INDEX(요약_월별시즈널리티!$F$7:$F$18,MONTH(EDATE($E109,BI$1-1)))/100))),"")</f>
        <v/>
      </c>
      <c r="BJ109" t="str" cm="1">
        <f t="array" ref="BJ109">IFERROR(IF($E109&lt;44348,"",IF(INDEX(Raw_매출!$B$2:$BI$155,MATCH($A109,Raw_매출!$A$2:$A$155,0),MATCH(EDATE($E109,BJ$1-1),Raw_매출!$B$1:$BI$1,0))=0,"",INDEX(Raw_매출!$B$2:$BI$155,MATCH($A109,Raw_매출!$A$2:$A$155,0),MATCH(EDATE($E109,BJ$1-1),Raw_매출!$B$1:$BI$1,0))/(INDEX(요약_월별시즈널리티!$F$7:$F$18,MONTH(EDATE($E109,BJ$1-1)))/100))),"")</f>
        <v/>
      </c>
      <c r="BK109" t="str" cm="1">
        <f t="array" ref="BK109">IFERROR(IF($E109&lt;44348,"",IF(INDEX(Raw_매출!$B$2:$BI$155,MATCH($A109,Raw_매출!$A$2:$A$155,0),MATCH(EDATE($E109,BK$1-1),Raw_매출!$B$1:$BI$1,0))=0,"",INDEX(Raw_매출!$B$2:$BI$155,MATCH($A109,Raw_매출!$A$2:$A$155,0),MATCH(EDATE($E109,BK$1-1),Raw_매출!$B$1:$BI$1,0))/(INDEX(요약_월별시즈널리티!$F$7:$F$18,MONTH(EDATE($E109,BK$1-1)))/100))),"")</f>
        <v/>
      </c>
      <c r="BL109" t="str" cm="1">
        <f t="array" ref="BL109">IFERROR(IF($E109&lt;44348,"",IF(INDEX(Raw_매출!$B$2:$BI$155,MATCH($A109,Raw_매출!$A$2:$A$155,0),MATCH(EDATE($E109,BL$1-1),Raw_매출!$B$1:$BI$1,0))=0,"",INDEX(Raw_매출!$B$2:$BI$155,MATCH($A109,Raw_매출!$A$2:$A$155,0),MATCH(EDATE($E109,BL$1-1),Raw_매출!$B$1:$BI$1,0))/(INDEX(요약_월별시즈널리티!$F$7:$F$18,MONTH(EDATE($E109,BL$1-1)))/100))),"")</f>
        <v/>
      </c>
      <c r="BM109" t="str" cm="1">
        <f t="array" ref="BM109">IFERROR(IF($E109&lt;44348,"",IF(INDEX(Raw_매출!$B$2:$BI$155,MATCH($A109,Raw_매출!$A$2:$A$155,0),MATCH(EDATE($E109,BM$1-1),Raw_매출!$B$1:$BI$1,0))=0,"",INDEX(Raw_매출!$B$2:$BI$155,MATCH($A109,Raw_매출!$A$2:$A$155,0),MATCH(EDATE($E109,BM$1-1),Raw_매출!$B$1:$BI$1,0))/(INDEX(요약_월별시즈널리티!$F$7:$F$18,MONTH(EDATE($E109,BM$1-1)))/100))),"")</f>
        <v/>
      </c>
      <c r="BN109" t="str" cm="1">
        <f t="array" ref="BN109">IFERROR(IF($E109&lt;44348,"",IF(INDEX(Raw_매출!$B$2:$BI$155,MATCH($A109,Raw_매출!$A$2:$A$155,0),MATCH(EDATE($E109,BN$1-1),Raw_매출!$B$1:$BI$1,0))=0,"",INDEX(Raw_매출!$B$2:$BI$155,MATCH($A109,Raw_매출!$A$2:$A$155,0),MATCH(EDATE($E109,BN$1-1),Raw_매출!$B$1:$BI$1,0))/(INDEX(요약_월별시즈널리티!$F$7:$F$18,MONTH(EDATE($E109,BN$1-1)))/100))),"")</f>
        <v/>
      </c>
    </row>
    <row r="110" spans="1:66" x14ac:dyDescent="0.4">
      <c r="A110" t="str">
        <f>세팅!A111</f>
        <v>(1100) #신림남부초교점</v>
      </c>
      <c r="B110" t="str">
        <f>세팅!B111</f>
        <v>150-2</v>
      </c>
      <c r="C110">
        <f t="shared" si="3"/>
        <v>2</v>
      </c>
      <c r="D110" t="str">
        <f t="shared" si="4"/>
        <v>2</v>
      </c>
      <c r="E110" s="1">
        <f>세팅!D111</f>
        <v>45323</v>
      </c>
      <c r="F110">
        <f t="shared" si="5"/>
        <v>3482495.1801265837</v>
      </c>
      <c r="G110" cm="1">
        <f t="array" ref="G110">IFERROR(IF($E110&lt;44348,"",IF(INDEX(Raw_매출!$B$2:$BI$155,MATCH($A110,Raw_매출!$A$2:$A$155,0),MATCH(EDATE($E110,G$1-1),Raw_매출!$B$1:$BI$1,0))=0,"",INDEX(Raw_매출!$B$2:$BI$155,MATCH($A110,Raw_매출!$A$2:$A$155,0),MATCH(EDATE($E110,G$1-1),Raw_매출!$B$1:$BI$1,0))/(INDEX(요약_월별시즈널리티!$F$7:$F$18,MONTH(EDATE($E110,G$1-1)))/100))),"")</f>
        <v>2365337.042980012</v>
      </c>
      <c r="H110" cm="1">
        <f t="array" ref="H110">IFERROR(IF($E110&lt;44348,"",IF(INDEX(Raw_매출!$B$2:$BI$155,MATCH($A110,Raw_매출!$A$2:$A$155,0),MATCH(EDATE($E110,H$1-1),Raw_매출!$B$1:$BI$1,0))=0,"",INDEX(Raw_매출!$B$2:$BI$155,MATCH($A110,Raw_매출!$A$2:$A$155,0),MATCH(EDATE($E110,H$1-1),Raw_매출!$B$1:$BI$1,0))/(INDEX(요약_월별시즈널리티!$F$7:$F$18,MONTH(EDATE($E110,H$1-1)))/100))),"")</f>
        <v>2596952.1803002623</v>
      </c>
      <c r="I110" cm="1">
        <f t="array" ref="I110">IFERROR(IF($E110&lt;44348,"",IF(INDEX(Raw_매출!$B$2:$BI$155,MATCH($A110,Raw_매출!$A$2:$A$155,0),MATCH(EDATE($E110,I$1-1),Raw_매출!$B$1:$BI$1,0))=0,"",INDEX(Raw_매출!$B$2:$BI$155,MATCH($A110,Raw_매출!$A$2:$A$155,0),MATCH(EDATE($E110,I$1-1),Raw_매출!$B$1:$BI$1,0))/(INDEX(요약_월별시즈널리티!$F$7:$F$18,MONTH(EDATE($E110,I$1-1)))/100))),"")</f>
        <v>3045132.218808854</v>
      </c>
      <c r="J110" s="30" cm="1">
        <f t="array" ref="J110">IFERROR(IF($E110&lt;44348,"",IF(INDEX(Raw_매출!$B$2:$BI$155,MATCH($A110,Raw_매출!$A$2:$A$155,0),MATCH(EDATE($E110,J$1-1),Raw_매출!$B$1:$BI$1,0))=0,"",INDEX(Raw_매출!$B$2:$BI$155,MATCH($A110,Raw_매출!$A$2:$A$155,0),MATCH(EDATE($E110,J$1-1),Raw_매출!$B$1:$BI$1,0))/(INDEX(요약_월별시즈널리티!$F$7:$F$18,MONTH(EDATE($E110,J$1-1)))/100))),"")</f>
        <v>2921703.2829648615</v>
      </c>
      <c r="K110" s="30" cm="1">
        <f t="array" ref="K110">IFERROR(IF($E110&lt;44348,"",IF(INDEX(Raw_매출!$B$2:$BI$155,MATCH($A110,Raw_매출!$A$2:$A$155,0),MATCH(EDATE($E110,K$1-1),Raw_매출!$B$1:$BI$1,0))=0,"",INDEX(Raw_매출!$B$2:$BI$155,MATCH($A110,Raw_매출!$A$2:$A$155,0),MATCH(EDATE($E110,K$1-1),Raw_매출!$B$1:$BI$1,0))/(INDEX(요약_월별시즈널리티!$F$7:$F$18,MONTH(EDATE($E110,K$1-1)))/100))),"")</f>
        <v>3289244.8072797717</v>
      </c>
      <c r="L110" s="30" cm="1">
        <f t="array" ref="L110">IFERROR(IF($E110&lt;44348,"",IF(INDEX(Raw_매출!$B$2:$BI$155,MATCH($A110,Raw_매출!$A$2:$A$155,0),MATCH(EDATE($E110,L$1-1),Raw_매출!$B$1:$BI$1,0))=0,"",INDEX(Raw_매출!$B$2:$BI$155,MATCH($A110,Raw_매출!$A$2:$A$155,0),MATCH(EDATE($E110,L$1-1),Raw_매출!$B$1:$BI$1,0))/(INDEX(요약_월별시즈널리티!$F$7:$F$18,MONTH(EDATE($E110,L$1-1)))/100))),"")</f>
        <v>3436058.8553172112</v>
      </c>
      <c r="M110" s="30" cm="1">
        <f t="array" ref="M110">IFERROR(IF($E110&lt;44348,"",IF(INDEX(Raw_매출!$B$2:$BI$155,MATCH($A110,Raw_매출!$A$2:$A$155,0),MATCH(EDATE($E110,M$1-1),Raw_매출!$B$1:$BI$1,0))=0,"",INDEX(Raw_매출!$B$2:$BI$155,MATCH($A110,Raw_매출!$A$2:$A$155,0),MATCH(EDATE($E110,M$1-1),Raw_매출!$B$1:$BI$1,0))/(INDEX(요약_월별시즈널리티!$F$7:$F$18,MONTH(EDATE($E110,M$1-1)))/100))),"")</f>
        <v>3769299.6193458047</v>
      </c>
      <c r="N110" s="30" cm="1">
        <f t="array" ref="N110">IFERROR(IF($E110&lt;44348,"",IF(INDEX(Raw_매출!$B$2:$BI$155,MATCH($A110,Raw_매출!$A$2:$A$155,0),MATCH(EDATE($E110,N$1-1),Raw_매출!$B$1:$BI$1,0))=0,"",INDEX(Raw_매출!$B$2:$BI$155,MATCH($A110,Raw_매출!$A$2:$A$155,0),MATCH(EDATE($E110,N$1-1),Raw_매출!$B$1:$BI$1,0))/(INDEX(요약_월별시즈널리티!$F$7:$F$18,MONTH(EDATE($E110,N$1-1)))/100))),"")</f>
        <v>3960056.132479596</v>
      </c>
      <c r="O110" s="30" cm="1">
        <f t="array" ref="O110">IFERROR(IF($E110&lt;44348,"",IF(INDEX(Raw_매출!$B$2:$BI$155,MATCH($A110,Raw_매출!$A$2:$A$155,0),MATCH(EDATE($E110,O$1-1),Raw_매출!$B$1:$BI$1,0))=0,"",INDEX(Raw_매출!$B$2:$BI$155,MATCH($A110,Raw_매출!$A$2:$A$155,0),MATCH(EDATE($E110,O$1-1),Raw_매출!$B$1:$BI$1,0))/(INDEX(요약_월별시즈널리티!$F$7:$F$18,MONTH(EDATE($E110,O$1-1)))/100))),"")</f>
        <v>3518608.3833722598</v>
      </c>
      <c r="P110" cm="1">
        <f t="array" ref="P110">IFERROR(IF($E110&lt;44348,"",IF(INDEX(Raw_매출!$B$2:$BI$155,MATCH($A110,Raw_매출!$A$2:$A$155,0),MATCH(EDATE($E110,P$1-1),Raw_매출!$B$1:$BI$1,0))=0,"",INDEX(Raw_매출!$B$2:$BI$155,MATCH($A110,Raw_매출!$A$2:$A$155,0),MATCH(EDATE($E110,P$1-1),Raw_매출!$B$1:$BI$1,0))/(INDEX(요약_월별시즈널리티!$F$7:$F$18,MONTH(EDATE($E110,P$1-1)))/100))),"")</f>
        <v>4034356.4725611089</v>
      </c>
      <c r="Q110" cm="1">
        <f t="array" ref="Q110">IFERROR(IF($E110&lt;44348,"",IF(INDEX(Raw_매출!$B$2:$BI$155,MATCH($A110,Raw_매출!$A$2:$A$155,0),MATCH(EDATE($E110,Q$1-1),Raw_매출!$B$1:$BI$1,0))=0,"",INDEX(Raw_매출!$B$2:$BI$155,MATCH($A110,Raw_매출!$A$2:$A$155,0),MATCH(EDATE($E110,Q$1-1),Raw_매출!$B$1:$BI$1,0))/(INDEX(요약_월별시즈널리티!$F$7:$F$18,MONTH(EDATE($E110,Q$1-1)))/100))),"")</f>
        <v>4002386.8122406206</v>
      </c>
      <c r="R110" cm="1">
        <f t="array" ref="R110">IFERROR(IF($E110&lt;44348,"",IF(INDEX(Raw_매출!$B$2:$BI$155,MATCH($A110,Raw_매출!$A$2:$A$155,0),MATCH(EDATE($E110,R$1-1),Raw_매출!$B$1:$BI$1,0))=0,"",INDEX(Raw_매출!$B$2:$BI$155,MATCH($A110,Raw_매출!$A$2:$A$155,0),MATCH(EDATE($E110,R$1-1),Raw_매출!$B$1:$BI$1,0))/(INDEX(요약_월별시즈널리티!$F$7:$F$18,MONTH(EDATE($E110,R$1-1)))/100))),"")</f>
        <v>4003116.9095264776</v>
      </c>
      <c r="S110" cm="1">
        <f t="array" ref="S110">IFERROR(IF($E110&lt;44348,"",IF(INDEX(Raw_매출!$B$2:$BI$155,MATCH($A110,Raw_매출!$A$2:$A$155,0),MATCH(EDATE($E110,S$1-1),Raw_매출!$B$1:$BI$1,0))=0,"",INDEX(Raw_매출!$B$2:$BI$155,MATCH($A110,Raw_매출!$A$2:$A$155,0),MATCH(EDATE($E110,S$1-1),Raw_매출!$B$1:$BI$1,0))/(INDEX(요약_월별시즈널리티!$F$7:$F$18,MONTH(EDATE($E110,S$1-1)))/100))),"")</f>
        <v>4503547.4396368274</v>
      </c>
      <c r="T110" cm="1">
        <f t="array" ref="T110">IFERROR(IF($E110&lt;44348,"",IF(INDEX(Raw_매출!$B$2:$BI$155,MATCH($A110,Raw_매출!$A$2:$A$155,0),MATCH(EDATE($E110,T$1-1),Raw_매출!$B$1:$BI$1,0))=0,"",INDEX(Raw_매출!$B$2:$BI$155,MATCH($A110,Raw_매출!$A$2:$A$155,0),MATCH(EDATE($E110,T$1-1),Raw_매출!$B$1:$BI$1,0))/(INDEX(요약_월별시즈널리티!$F$7:$F$18,MONTH(EDATE($E110,T$1-1)))/100))),"")</f>
        <v>4473292.5812418349</v>
      </c>
      <c r="U110" cm="1">
        <f t="array" ref="U110">IFERROR(IF($E110&lt;44348,"",IF(INDEX(Raw_매출!$B$2:$BI$155,MATCH($A110,Raw_매출!$A$2:$A$155,0),MATCH(EDATE($E110,U$1-1),Raw_매출!$B$1:$BI$1,0))=0,"",INDEX(Raw_매출!$B$2:$BI$155,MATCH($A110,Raw_매출!$A$2:$A$155,0),MATCH(EDATE($E110,U$1-1),Raw_매출!$B$1:$BI$1,0))/(INDEX(요약_월별시즈널리티!$F$7:$F$18,MONTH(EDATE($E110,U$1-1)))/100))),"")</f>
        <v>4022221.163285783</v>
      </c>
      <c r="V110" cm="1">
        <f t="array" ref="V110">IFERROR(IF($E110&lt;44348,"",IF(INDEX(Raw_매출!$B$2:$BI$155,MATCH($A110,Raw_매출!$A$2:$A$155,0),MATCH(EDATE($E110,V$1-1),Raw_매출!$B$1:$BI$1,0))=0,"",INDEX(Raw_매출!$B$2:$BI$155,MATCH($A110,Raw_매출!$A$2:$A$155,0),MATCH(EDATE($E110,V$1-1),Raw_매출!$B$1:$BI$1,0))/(INDEX(요약_월별시즈널리티!$F$7:$F$18,MONTH(EDATE($E110,V$1-1)))/100))),"")</f>
        <v>3866135.9373801444</v>
      </c>
      <c r="W110" cm="1">
        <f t="array" ref="W110">IFERROR(IF($E110&lt;44348,"",IF(INDEX(Raw_매출!$B$2:$BI$155,MATCH($A110,Raw_매출!$A$2:$A$155,0),MATCH(EDATE($E110,W$1-1),Raw_매출!$B$1:$BI$1,0))=0,"",INDEX(Raw_매출!$B$2:$BI$155,MATCH($A110,Raw_매출!$A$2:$A$155,0),MATCH(EDATE($E110,W$1-1),Raw_매출!$B$1:$BI$1,0))/(INDEX(요약_월별시즈널리티!$F$7:$F$18,MONTH(EDATE($E110,W$1-1)))/100))),"")</f>
        <v>4356981.6710903421</v>
      </c>
      <c r="X110" cm="1">
        <f t="array" ref="X110">IFERROR(IF($E110&lt;44348,"",IF(INDEX(Raw_매출!$B$2:$BI$155,MATCH($A110,Raw_매출!$A$2:$A$155,0),MATCH(EDATE($E110,X$1-1),Raw_매출!$B$1:$BI$1,0))=0,"",INDEX(Raw_매출!$B$2:$BI$155,MATCH($A110,Raw_매출!$A$2:$A$155,0),MATCH(EDATE($E110,X$1-1),Raw_매출!$B$1:$BI$1,0))/(INDEX(요약_월별시즈널리티!$F$7:$F$18,MONTH(EDATE($E110,X$1-1)))/100))),"")</f>
        <v>4089095.5579896532</v>
      </c>
      <c r="Y110" cm="1">
        <f t="array" ref="Y110">IFERROR(IF($E110&lt;44348,"",IF(INDEX(Raw_매출!$B$2:$BI$155,MATCH($A110,Raw_매출!$A$2:$A$155,0),MATCH(EDATE($E110,Y$1-1),Raw_매출!$B$1:$BI$1,0))=0,"",INDEX(Raw_매출!$B$2:$BI$155,MATCH($A110,Raw_매출!$A$2:$A$155,0),MATCH(EDATE($E110,Y$1-1),Raw_매출!$B$1:$BI$1,0))/(INDEX(요약_월별시즈널리티!$F$7:$F$18,MONTH(EDATE($E110,Y$1-1)))/100))),"")</f>
        <v>4524905.8278927216</v>
      </c>
      <c r="Z110" cm="1">
        <f t="array" ref="Z110">IFERROR(IF($E110&lt;44348,"",IF(INDEX(Raw_매출!$B$2:$BI$155,MATCH($A110,Raw_매출!$A$2:$A$155,0),MATCH(EDATE($E110,Z$1-1),Raw_매출!$B$1:$BI$1,0))=0,"",INDEX(Raw_매출!$B$2:$BI$155,MATCH($A110,Raw_매출!$A$2:$A$155,0),MATCH(EDATE($E110,Z$1-1),Raw_매출!$B$1:$BI$1,0))/(INDEX(요약_월별시즈널리티!$F$7:$F$18,MONTH(EDATE($E110,Z$1-1)))/100))),"")</f>
        <v>4038409.3030348425</v>
      </c>
      <c r="AA110" cm="1">
        <f t="array" ref="AA110">IFERROR(IF($E110&lt;44348,"",IF(INDEX(Raw_매출!$B$2:$BI$155,MATCH($A110,Raw_매출!$A$2:$A$155,0),MATCH(EDATE($E110,AA$1-1),Raw_매출!$B$1:$BI$1,0))=0,"",INDEX(Raw_매출!$B$2:$BI$155,MATCH($A110,Raw_매출!$A$2:$A$155,0),MATCH(EDATE($E110,AA$1-1),Raw_매출!$B$1:$BI$1,0))/(INDEX(요약_월별시즈널리티!$F$7:$F$18,MONTH(EDATE($E110,AA$1-1)))/100))),"")</f>
        <v>4246428.0791667262</v>
      </c>
      <c r="AB110" cm="1">
        <f t="array" ref="AB110">IFERROR(IF($E110&lt;44348,"",IF(INDEX(Raw_매출!$B$2:$BI$155,MATCH($A110,Raw_매출!$A$2:$A$155,0),MATCH(EDATE($E110,AB$1-1),Raw_매출!$B$1:$BI$1,0))=0,"",INDEX(Raw_매출!$B$2:$BI$155,MATCH($A110,Raw_매출!$A$2:$A$155,0),MATCH(EDATE($E110,AB$1-1),Raw_매출!$B$1:$BI$1,0))/(INDEX(요약_월별시즈널리티!$F$7:$F$18,MONTH(EDATE($E110,AB$1-1)))/100))),"")</f>
        <v>4156820.1356712286</v>
      </c>
      <c r="AC110" cm="1">
        <f t="array" ref="AC110">IFERROR(IF($E110&lt;44348,"",IF(INDEX(Raw_매출!$B$2:$BI$155,MATCH($A110,Raw_매출!$A$2:$A$155,0),MATCH(EDATE($E110,AC$1-1),Raw_매출!$B$1:$BI$1,0))=0,"",INDEX(Raw_매출!$B$2:$BI$155,MATCH($A110,Raw_매출!$A$2:$A$155,0),MATCH(EDATE($E110,AC$1-1),Raw_매출!$B$1:$BI$1,0))/(INDEX(요약_월별시즈널리티!$F$7:$F$18,MONTH(EDATE($E110,AC$1-1)))/100))),"")</f>
        <v>3417629.9833712354</v>
      </c>
      <c r="AD110" cm="1">
        <f t="array" ref="AD110">IFERROR(IF($E110&lt;44348,"",IF(INDEX(Raw_매출!$B$2:$BI$155,MATCH($A110,Raw_매출!$A$2:$A$155,0),MATCH(EDATE($E110,AD$1-1),Raw_매출!$B$1:$BI$1,0))=0,"",INDEX(Raw_매출!$B$2:$BI$155,MATCH($A110,Raw_매출!$A$2:$A$155,0),MATCH(EDATE($E110,AD$1-1),Raw_매출!$B$1:$BI$1,0))/(INDEX(요약_월별시즈널리티!$F$7:$F$18,MONTH(EDATE($E110,AD$1-1)))/100))),"")</f>
        <v>4188198.1067979257</v>
      </c>
      <c r="AE110" cm="1">
        <f t="array" ref="AE110">IFERROR(IF($E110&lt;44348,"",IF(INDEX(Raw_매출!$B$2:$BI$155,MATCH($A110,Raw_매출!$A$2:$A$155,0),MATCH(EDATE($E110,AE$1-1),Raw_매출!$B$1:$BI$1,0))=0,"",INDEX(Raw_매출!$B$2:$BI$155,MATCH($A110,Raw_매출!$A$2:$A$155,0),MATCH(EDATE($E110,AE$1-1),Raw_매출!$B$1:$BI$1,0))/(INDEX(요약_월별시즈널리티!$F$7:$F$18,MONTH(EDATE($E110,AE$1-1)))/100))),"")</f>
        <v>4288071.3557190523</v>
      </c>
      <c r="AF110" cm="1">
        <f t="array" ref="AF110">IFERROR(IF($E110&lt;44348,"",IF(INDEX(Raw_매출!$B$2:$BI$155,MATCH($A110,Raw_매출!$A$2:$A$155,0),MATCH(EDATE($E110,AF$1-1),Raw_매출!$B$1:$BI$1,0))=0,"",INDEX(Raw_매출!$B$2:$BI$155,MATCH($A110,Raw_매출!$A$2:$A$155,0),MATCH(EDATE($E110,AF$1-1),Raw_매출!$B$1:$BI$1,0))/(INDEX(요약_월별시즈널리티!$F$7:$F$18,MONTH(EDATE($E110,AF$1-1)))/100))),"")</f>
        <v>4782456.9854446501</v>
      </c>
      <c r="AG110" cm="1">
        <f t="array" ref="AG110">IFERROR(IF($E110&lt;44348,"",IF(INDEX(Raw_매출!$B$2:$BI$155,MATCH($A110,Raw_매출!$A$2:$A$155,0),MATCH(EDATE($E110,AG$1-1),Raw_매출!$B$1:$BI$1,0))=0,"",INDEX(Raw_매출!$B$2:$BI$155,MATCH($A110,Raw_매출!$A$2:$A$155,0),MATCH(EDATE($E110,AG$1-1),Raw_매출!$B$1:$BI$1,0))/(INDEX(요약_월별시즈널리티!$F$7:$F$18,MONTH(EDATE($E110,AG$1-1)))/100))),"")</f>
        <v>5534222.496535046</v>
      </c>
      <c r="AH110" cm="1">
        <f t="array" ref="AH110">IFERROR(IF($E110&lt;44348,"",IF(INDEX(Raw_매출!$B$2:$BI$155,MATCH($A110,Raw_매출!$A$2:$A$155,0),MATCH(EDATE($E110,AH$1-1),Raw_매출!$B$1:$BI$1,0))=0,"",INDEX(Raw_매출!$B$2:$BI$155,MATCH($A110,Raw_매출!$A$2:$A$155,0),MATCH(EDATE($E110,AH$1-1),Raw_매출!$B$1:$BI$1,0))/(INDEX(요약_월별시즈널리티!$F$7:$F$18,MONTH(EDATE($E110,AH$1-1)))/100))),"")</f>
        <v>5005838.5277287262</v>
      </c>
      <c r="AI110" t="str" cm="1">
        <f t="array" ref="AI110">IFERROR(IF($E110&lt;44348,"",IF(INDEX(Raw_매출!$B$2:$BI$155,MATCH($A110,Raw_매출!$A$2:$A$155,0),MATCH(EDATE($E110,AI$1-1),Raw_매출!$B$1:$BI$1,0))=0,"",INDEX(Raw_매출!$B$2:$BI$155,MATCH($A110,Raw_매출!$A$2:$A$155,0),MATCH(EDATE($E110,AI$1-1),Raw_매출!$B$1:$BI$1,0))/(INDEX(요약_월별시즈널리티!$F$7:$F$18,MONTH(EDATE($E110,AI$1-1)))/100))),"")</f>
        <v/>
      </c>
      <c r="AJ110" t="str" cm="1">
        <f t="array" ref="AJ110">IFERROR(IF($E110&lt;44348,"",IF(INDEX(Raw_매출!$B$2:$BI$155,MATCH($A110,Raw_매출!$A$2:$A$155,0),MATCH(EDATE($E110,AJ$1-1),Raw_매출!$B$1:$BI$1,0))=0,"",INDEX(Raw_매출!$B$2:$BI$155,MATCH($A110,Raw_매출!$A$2:$A$155,0),MATCH(EDATE($E110,AJ$1-1),Raw_매출!$B$1:$BI$1,0))/(INDEX(요약_월별시즈널리티!$F$7:$F$18,MONTH(EDATE($E110,AJ$1-1)))/100))),"")</f>
        <v/>
      </c>
      <c r="AK110" t="str" cm="1">
        <f t="array" ref="AK110">IFERROR(IF($E110&lt;44348,"",IF(INDEX(Raw_매출!$B$2:$BI$155,MATCH($A110,Raw_매출!$A$2:$A$155,0),MATCH(EDATE($E110,AK$1-1),Raw_매출!$B$1:$BI$1,0))=0,"",INDEX(Raw_매출!$B$2:$BI$155,MATCH($A110,Raw_매출!$A$2:$A$155,0),MATCH(EDATE($E110,AK$1-1),Raw_매출!$B$1:$BI$1,0))/(INDEX(요약_월별시즈널리티!$F$7:$F$18,MONTH(EDATE($E110,AK$1-1)))/100))),"")</f>
        <v/>
      </c>
      <c r="AL110" t="str" cm="1">
        <f t="array" ref="AL110">IFERROR(IF($E110&lt;44348,"",IF(INDEX(Raw_매출!$B$2:$BI$155,MATCH($A110,Raw_매출!$A$2:$A$155,0),MATCH(EDATE($E110,AL$1-1),Raw_매출!$B$1:$BI$1,0))=0,"",INDEX(Raw_매출!$B$2:$BI$155,MATCH($A110,Raw_매출!$A$2:$A$155,0),MATCH(EDATE($E110,AL$1-1),Raw_매출!$B$1:$BI$1,0))/(INDEX(요약_월별시즈널리티!$F$7:$F$18,MONTH(EDATE($E110,AL$1-1)))/100))),"")</f>
        <v/>
      </c>
      <c r="AM110" t="str" cm="1">
        <f t="array" ref="AM110">IFERROR(IF($E110&lt;44348,"",IF(INDEX(Raw_매출!$B$2:$BI$155,MATCH($A110,Raw_매출!$A$2:$A$155,0),MATCH(EDATE($E110,AM$1-1),Raw_매출!$B$1:$BI$1,0))=0,"",INDEX(Raw_매출!$B$2:$BI$155,MATCH($A110,Raw_매출!$A$2:$A$155,0),MATCH(EDATE($E110,AM$1-1),Raw_매출!$B$1:$BI$1,0))/(INDEX(요약_월별시즈널리티!$F$7:$F$18,MONTH(EDATE($E110,AM$1-1)))/100))),"")</f>
        <v/>
      </c>
      <c r="AN110" t="str" cm="1">
        <f t="array" ref="AN110">IFERROR(IF($E110&lt;44348,"",IF(INDEX(Raw_매출!$B$2:$BI$155,MATCH($A110,Raw_매출!$A$2:$A$155,0),MATCH(EDATE($E110,AN$1-1),Raw_매출!$B$1:$BI$1,0))=0,"",INDEX(Raw_매출!$B$2:$BI$155,MATCH($A110,Raw_매출!$A$2:$A$155,0),MATCH(EDATE($E110,AN$1-1),Raw_매출!$B$1:$BI$1,0))/(INDEX(요약_월별시즈널리티!$F$7:$F$18,MONTH(EDATE($E110,AN$1-1)))/100))),"")</f>
        <v/>
      </c>
      <c r="AO110" t="str" cm="1">
        <f t="array" ref="AO110">IFERROR(IF($E110&lt;44348,"",IF(INDEX(Raw_매출!$B$2:$BI$155,MATCH($A110,Raw_매출!$A$2:$A$155,0),MATCH(EDATE($E110,AO$1-1),Raw_매출!$B$1:$BI$1,0))=0,"",INDEX(Raw_매출!$B$2:$BI$155,MATCH($A110,Raw_매출!$A$2:$A$155,0),MATCH(EDATE($E110,AO$1-1),Raw_매출!$B$1:$BI$1,0))/(INDEX(요약_월별시즈널리티!$F$7:$F$18,MONTH(EDATE($E110,AO$1-1)))/100))),"")</f>
        <v/>
      </c>
      <c r="AP110" t="str" cm="1">
        <f t="array" ref="AP110">IFERROR(IF($E110&lt;44348,"",IF(INDEX(Raw_매출!$B$2:$BI$155,MATCH($A110,Raw_매출!$A$2:$A$155,0),MATCH(EDATE($E110,AP$1-1),Raw_매출!$B$1:$BI$1,0))=0,"",INDEX(Raw_매출!$B$2:$BI$155,MATCH($A110,Raw_매출!$A$2:$A$155,0),MATCH(EDATE($E110,AP$1-1),Raw_매출!$B$1:$BI$1,0))/(INDEX(요약_월별시즈널리티!$F$7:$F$18,MONTH(EDATE($E110,AP$1-1)))/100))),"")</f>
        <v/>
      </c>
      <c r="AQ110" t="str" cm="1">
        <f t="array" ref="AQ110">IFERROR(IF($E110&lt;44348,"",IF(INDEX(Raw_매출!$B$2:$BI$155,MATCH($A110,Raw_매출!$A$2:$A$155,0),MATCH(EDATE($E110,AQ$1-1),Raw_매출!$B$1:$BI$1,0))=0,"",INDEX(Raw_매출!$B$2:$BI$155,MATCH($A110,Raw_매출!$A$2:$A$155,0),MATCH(EDATE($E110,AQ$1-1),Raw_매출!$B$1:$BI$1,0))/(INDEX(요약_월별시즈널리티!$F$7:$F$18,MONTH(EDATE($E110,AQ$1-1)))/100))),"")</f>
        <v/>
      </c>
      <c r="AR110" t="str" cm="1">
        <f t="array" ref="AR110">IFERROR(IF($E110&lt;44348,"",IF(INDEX(Raw_매출!$B$2:$BI$155,MATCH($A110,Raw_매출!$A$2:$A$155,0),MATCH(EDATE($E110,AR$1-1),Raw_매출!$B$1:$BI$1,0))=0,"",INDEX(Raw_매출!$B$2:$BI$155,MATCH($A110,Raw_매출!$A$2:$A$155,0),MATCH(EDATE($E110,AR$1-1),Raw_매출!$B$1:$BI$1,0))/(INDEX(요약_월별시즈널리티!$F$7:$F$18,MONTH(EDATE($E110,AR$1-1)))/100))),"")</f>
        <v/>
      </c>
      <c r="AS110" t="str" cm="1">
        <f t="array" ref="AS110">IFERROR(IF($E110&lt;44348,"",IF(INDEX(Raw_매출!$B$2:$BI$155,MATCH($A110,Raw_매출!$A$2:$A$155,0),MATCH(EDATE($E110,AS$1-1),Raw_매출!$B$1:$BI$1,0))=0,"",INDEX(Raw_매출!$B$2:$BI$155,MATCH($A110,Raw_매출!$A$2:$A$155,0),MATCH(EDATE($E110,AS$1-1),Raw_매출!$B$1:$BI$1,0))/(INDEX(요약_월별시즈널리티!$F$7:$F$18,MONTH(EDATE($E110,AS$1-1)))/100))),"")</f>
        <v/>
      </c>
      <c r="AT110" t="str" cm="1">
        <f t="array" ref="AT110">IFERROR(IF($E110&lt;44348,"",IF(INDEX(Raw_매출!$B$2:$BI$155,MATCH($A110,Raw_매출!$A$2:$A$155,0),MATCH(EDATE($E110,AT$1-1),Raw_매출!$B$1:$BI$1,0))=0,"",INDEX(Raw_매출!$B$2:$BI$155,MATCH($A110,Raw_매출!$A$2:$A$155,0),MATCH(EDATE($E110,AT$1-1),Raw_매출!$B$1:$BI$1,0))/(INDEX(요약_월별시즈널리티!$F$7:$F$18,MONTH(EDATE($E110,AT$1-1)))/100))),"")</f>
        <v/>
      </c>
      <c r="AU110" t="str" cm="1">
        <f t="array" ref="AU110">IFERROR(IF($E110&lt;44348,"",IF(INDEX(Raw_매출!$B$2:$BI$155,MATCH($A110,Raw_매출!$A$2:$A$155,0),MATCH(EDATE($E110,AU$1-1),Raw_매출!$B$1:$BI$1,0))=0,"",INDEX(Raw_매출!$B$2:$BI$155,MATCH($A110,Raw_매출!$A$2:$A$155,0),MATCH(EDATE($E110,AU$1-1),Raw_매출!$B$1:$BI$1,0))/(INDEX(요약_월별시즈널리티!$F$7:$F$18,MONTH(EDATE($E110,AU$1-1)))/100))),"")</f>
        <v/>
      </c>
      <c r="AV110" t="str" cm="1">
        <f t="array" ref="AV110">IFERROR(IF($E110&lt;44348,"",IF(INDEX(Raw_매출!$B$2:$BI$155,MATCH($A110,Raw_매출!$A$2:$A$155,0),MATCH(EDATE($E110,AV$1-1),Raw_매출!$B$1:$BI$1,0))=0,"",INDEX(Raw_매출!$B$2:$BI$155,MATCH($A110,Raw_매출!$A$2:$A$155,0),MATCH(EDATE($E110,AV$1-1),Raw_매출!$B$1:$BI$1,0))/(INDEX(요약_월별시즈널리티!$F$7:$F$18,MONTH(EDATE($E110,AV$1-1)))/100))),"")</f>
        <v/>
      </c>
      <c r="AW110" t="str" cm="1">
        <f t="array" ref="AW110">IFERROR(IF($E110&lt;44348,"",IF(INDEX(Raw_매출!$B$2:$BI$155,MATCH($A110,Raw_매출!$A$2:$A$155,0),MATCH(EDATE($E110,AW$1-1),Raw_매출!$B$1:$BI$1,0))=0,"",INDEX(Raw_매출!$B$2:$BI$155,MATCH($A110,Raw_매출!$A$2:$A$155,0),MATCH(EDATE($E110,AW$1-1),Raw_매출!$B$1:$BI$1,0))/(INDEX(요약_월별시즈널리티!$F$7:$F$18,MONTH(EDATE($E110,AW$1-1)))/100))),"")</f>
        <v/>
      </c>
      <c r="AX110" t="str" cm="1">
        <f t="array" ref="AX110">IFERROR(IF($E110&lt;44348,"",IF(INDEX(Raw_매출!$B$2:$BI$155,MATCH($A110,Raw_매출!$A$2:$A$155,0),MATCH(EDATE($E110,AX$1-1),Raw_매출!$B$1:$BI$1,0))=0,"",INDEX(Raw_매출!$B$2:$BI$155,MATCH($A110,Raw_매출!$A$2:$A$155,0),MATCH(EDATE($E110,AX$1-1),Raw_매출!$B$1:$BI$1,0))/(INDEX(요약_월별시즈널리티!$F$7:$F$18,MONTH(EDATE($E110,AX$1-1)))/100))),"")</f>
        <v/>
      </c>
      <c r="AY110" t="str" cm="1">
        <f t="array" ref="AY110">IFERROR(IF($E110&lt;44348,"",IF(INDEX(Raw_매출!$B$2:$BI$155,MATCH($A110,Raw_매출!$A$2:$A$155,0),MATCH(EDATE($E110,AY$1-1),Raw_매출!$B$1:$BI$1,0))=0,"",INDEX(Raw_매출!$B$2:$BI$155,MATCH($A110,Raw_매출!$A$2:$A$155,0),MATCH(EDATE($E110,AY$1-1),Raw_매출!$B$1:$BI$1,0))/(INDEX(요약_월별시즈널리티!$F$7:$F$18,MONTH(EDATE($E110,AY$1-1)))/100))),"")</f>
        <v/>
      </c>
      <c r="AZ110" t="str" cm="1">
        <f t="array" ref="AZ110">IFERROR(IF($E110&lt;44348,"",IF(INDEX(Raw_매출!$B$2:$BI$155,MATCH($A110,Raw_매출!$A$2:$A$155,0),MATCH(EDATE($E110,AZ$1-1),Raw_매출!$B$1:$BI$1,0))=0,"",INDEX(Raw_매출!$B$2:$BI$155,MATCH($A110,Raw_매출!$A$2:$A$155,0),MATCH(EDATE($E110,AZ$1-1),Raw_매출!$B$1:$BI$1,0))/(INDEX(요약_월별시즈널리티!$F$7:$F$18,MONTH(EDATE($E110,AZ$1-1)))/100))),"")</f>
        <v/>
      </c>
      <c r="BA110" t="str" cm="1">
        <f t="array" ref="BA110">IFERROR(IF($E110&lt;44348,"",IF(INDEX(Raw_매출!$B$2:$BI$155,MATCH($A110,Raw_매출!$A$2:$A$155,0),MATCH(EDATE($E110,BA$1-1),Raw_매출!$B$1:$BI$1,0))=0,"",INDEX(Raw_매출!$B$2:$BI$155,MATCH($A110,Raw_매출!$A$2:$A$155,0),MATCH(EDATE($E110,BA$1-1),Raw_매출!$B$1:$BI$1,0))/(INDEX(요약_월별시즈널리티!$F$7:$F$18,MONTH(EDATE($E110,BA$1-1)))/100))),"")</f>
        <v/>
      </c>
      <c r="BB110" t="str" cm="1">
        <f t="array" ref="BB110">IFERROR(IF($E110&lt;44348,"",IF(INDEX(Raw_매출!$B$2:$BI$155,MATCH($A110,Raw_매출!$A$2:$A$155,0),MATCH(EDATE($E110,BB$1-1),Raw_매출!$B$1:$BI$1,0))=0,"",INDEX(Raw_매출!$B$2:$BI$155,MATCH($A110,Raw_매출!$A$2:$A$155,0),MATCH(EDATE($E110,BB$1-1),Raw_매출!$B$1:$BI$1,0))/(INDEX(요약_월별시즈널리티!$F$7:$F$18,MONTH(EDATE($E110,BB$1-1)))/100))),"")</f>
        <v/>
      </c>
      <c r="BC110" t="str" cm="1">
        <f t="array" ref="BC110">IFERROR(IF($E110&lt;44348,"",IF(INDEX(Raw_매출!$B$2:$BI$155,MATCH($A110,Raw_매출!$A$2:$A$155,0),MATCH(EDATE($E110,BC$1-1),Raw_매출!$B$1:$BI$1,0))=0,"",INDEX(Raw_매출!$B$2:$BI$155,MATCH($A110,Raw_매출!$A$2:$A$155,0),MATCH(EDATE($E110,BC$1-1),Raw_매출!$B$1:$BI$1,0))/(INDEX(요약_월별시즈널리티!$F$7:$F$18,MONTH(EDATE($E110,BC$1-1)))/100))),"")</f>
        <v/>
      </c>
      <c r="BD110" t="str" cm="1">
        <f t="array" ref="BD110">IFERROR(IF($E110&lt;44348,"",IF(INDEX(Raw_매출!$B$2:$BI$155,MATCH($A110,Raw_매출!$A$2:$A$155,0),MATCH(EDATE($E110,BD$1-1),Raw_매출!$B$1:$BI$1,0))=0,"",INDEX(Raw_매출!$B$2:$BI$155,MATCH($A110,Raw_매출!$A$2:$A$155,0),MATCH(EDATE($E110,BD$1-1),Raw_매출!$B$1:$BI$1,0))/(INDEX(요약_월별시즈널리티!$F$7:$F$18,MONTH(EDATE($E110,BD$1-1)))/100))),"")</f>
        <v/>
      </c>
      <c r="BE110" t="str" cm="1">
        <f t="array" ref="BE110">IFERROR(IF($E110&lt;44348,"",IF(INDEX(Raw_매출!$B$2:$BI$155,MATCH($A110,Raw_매출!$A$2:$A$155,0),MATCH(EDATE($E110,BE$1-1),Raw_매출!$B$1:$BI$1,0))=0,"",INDEX(Raw_매출!$B$2:$BI$155,MATCH($A110,Raw_매출!$A$2:$A$155,0),MATCH(EDATE($E110,BE$1-1),Raw_매출!$B$1:$BI$1,0))/(INDEX(요약_월별시즈널리티!$F$7:$F$18,MONTH(EDATE($E110,BE$1-1)))/100))),"")</f>
        <v/>
      </c>
      <c r="BF110" t="str" cm="1">
        <f t="array" ref="BF110">IFERROR(IF($E110&lt;44348,"",IF(INDEX(Raw_매출!$B$2:$BI$155,MATCH($A110,Raw_매출!$A$2:$A$155,0),MATCH(EDATE($E110,BF$1-1),Raw_매출!$B$1:$BI$1,0))=0,"",INDEX(Raw_매출!$B$2:$BI$155,MATCH($A110,Raw_매출!$A$2:$A$155,0),MATCH(EDATE($E110,BF$1-1),Raw_매출!$B$1:$BI$1,0))/(INDEX(요약_월별시즈널리티!$F$7:$F$18,MONTH(EDATE($E110,BF$1-1)))/100))),"")</f>
        <v/>
      </c>
      <c r="BG110" t="str" cm="1">
        <f t="array" ref="BG110">IFERROR(IF($E110&lt;44348,"",IF(INDEX(Raw_매출!$B$2:$BI$155,MATCH($A110,Raw_매출!$A$2:$A$155,0),MATCH(EDATE($E110,BG$1-1),Raw_매출!$B$1:$BI$1,0))=0,"",INDEX(Raw_매출!$B$2:$BI$155,MATCH($A110,Raw_매출!$A$2:$A$155,0),MATCH(EDATE($E110,BG$1-1),Raw_매출!$B$1:$BI$1,0))/(INDEX(요약_월별시즈널리티!$F$7:$F$18,MONTH(EDATE($E110,BG$1-1)))/100))),"")</f>
        <v/>
      </c>
      <c r="BH110" t="str" cm="1">
        <f t="array" ref="BH110">IFERROR(IF($E110&lt;44348,"",IF(INDEX(Raw_매출!$B$2:$BI$155,MATCH($A110,Raw_매출!$A$2:$A$155,0),MATCH(EDATE($E110,BH$1-1),Raw_매출!$B$1:$BI$1,0))=0,"",INDEX(Raw_매출!$B$2:$BI$155,MATCH($A110,Raw_매출!$A$2:$A$155,0),MATCH(EDATE($E110,BH$1-1),Raw_매출!$B$1:$BI$1,0))/(INDEX(요약_월별시즈널리티!$F$7:$F$18,MONTH(EDATE($E110,BH$1-1)))/100))),"")</f>
        <v/>
      </c>
      <c r="BI110" t="str" cm="1">
        <f t="array" ref="BI110">IFERROR(IF($E110&lt;44348,"",IF(INDEX(Raw_매출!$B$2:$BI$155,MATCH($A110,Raw_매출!$A$2:$A$155,0),MATCH(EDATE($E110,BI$1-1),Raw_매출!$B$1:$BI$1,0))=0,"",INDEX(Raw_매출!$B$2:$BI$155,MATCH($A110,Raw_매출!$A$2:$A$155,0),MATCH(EDATE($E110,BI$1-1),Raw_매출!$B$1:$BI$1,0))/(INDEX(요약_월별시즈널리티!$F$7:$F$18,MONTH(EDATE($E110,BI$1-1)))/100))),"")</f>
        <v/>
      </c>
      <c r="BJ110" t="str" cm="1">
        <f t="array" ref="BJ110">IFERROR(IF($E110&lt;44348,"",IF(INDEX(Raw_매출!$B$2:$BI$155,MATCH($A110,Raw_매출!$A$2:$A$155,0),MATCH(EDATE($E110,BJ$1-1),Raw_매출!$B$1:$BI$1,0))=0,"",INDEX(Raw_매출!$B$2:$BI$155,MATCH($A110,Raw_매출!$A$2:$A$155,0),MATCH(EDATE($E110,BJ$1-1),Raw_매출!$B$1:$BI$1,0))/(INDEX(요약_월별시즈널리티!$F$7:$F$18,MONTH(EDATE($E110,BJ$1-1)))/100))),"")</f>
        <v/>
      </c>
      <c r="BK110" t="str" cm="1">
        <f t="array" ref="BK110">IFERROR(IF($E110&lt;44348,"",IF(INDEX(Raw_매출!$B$2:$BI$155,MATCH($A110,Raw_매출!$A$2:$A$155,0),MATCH(EDATE($E110,BK$1-1),Raw_매출!$B$1:$BI$1,0))=0,"",INDEX(Raw_매출!$B$2:$BI$155,MATCH($A110,Raw_매출!$A$2:$A$155,0),MATCH(EDATE($E110,BK$1-1),Raw_매출!$B$1:$BI$1,0))/(INDEX(요약_월별시즈널리티!$F$7:$F$18,MONTH(EDATE($E110,BK$1-1)))/100))),"")</f>
        <v/>
      </c>
      <c r="BL110" t="str" cm="1">
        <f t="array" ref="BL110">IFERROR(IF($E110&lt;44348,"",IF(INDEX(Raw_매출!$B$2:$BI$155,MATCH($A110,Raw_매출!$A$2:$A$155,0),MATCH(EDATE($E110,BL$1-1),Raw_매출!$B$1:$BI$1,0))=0,"",INDEX(Raw_매출!$B$2:$BI$155,MATCH($A110,Raw_매출!$A$2:$A$155,0),MATCH(EDATE($E110,BL$1-1),Raw_매출!$B$1:$BI$1,0))/(INDEX(요약_월별시즈널리티!$F$7:$F$18,MONTH(EDATE($E110,BL$1-1)))/100))),"")</f>
        <v/>
      </c>
      <c r="BM110" t="str" cm="1">
        <f t="array" ref="BM110">IFERROR(IF($E110&lt;44348,"",IF(INDEX(Raw_매출!$B$2:$BI$155,MATCH($A110,Raw_매출!$A$2:$A$155,0),MATCH(EDATE($E110,BM$1-1),Raw_매출!$B$1:$BI$1,0))=0,"",INDEX(Raw_매출!$B$2:$BI$155,MATCH($A110,Raw_매출!$A$2:$A$155,0),MATCH(EDATE($E110,BM$1-1),Raw_매출!$B$1:$BI$1,0))/(INDEX(요약_월별시즈널리티!$F$7:$F$18,MONTH(EDATE($E110,BM$1-1)))/100))),"")</f>
        <v/>
      </c>
      <c r="BN110" t="str" cm="1">
        <f t="array" ref="BN110">IFERROR(IF($E110&lt;44348,"",IF(INDEX(Raw_매출!$B$2:$BI$155,MATCH($A110,Raw_매출!$A$2:$A$155,0),MATCH(EDATE($E110,BN$1-1),Raw_매출!$B$1:$BI$1,0))=0,"",INDEX(Raw_매출!$B$2:$BI$155,MATCH($A110,Raw_매출!$A$2:$A$155,0),MATCH(EDATE($E110,BN$1-1),Raw_매출!$B$1:$BI$1,0))/(INDEX(요약_월별시즈널리티!$F$7:$F$18,MONTH(EDATE($E110,BN$1-1)))/100))),"")</f>
        <v/>
      </c>
    </row>
    <row r="111" spans="1:66" x14ac:dyDescent="0.4">
      <c r="A111" t="str">
        <f>세팅!A112</f>
        <v>(1101) #강서교차로점</v>
      </c>
      <c r="B111" t="str">
        <f>세팅!B112</f>
        <v>150-0</v>
      </c>
      <c r="C111">
        <f t="shared" si="3"/>
        <v>0</v>
      </c>
      <c r="D111" t="str">
        <f t="shared" si="4"/>
        <v>0</v>
      </c>
      <c r="E111" s="1">
        <f>세팅!D112</f>
        <v>45323</v>
      </c>
      <c r="F111">
        <f t="shared" si="5"/>
        <v>4384743.7525874712</v>
      </c>
      <c r="G111" cm="1">
        <f t="array" ref="G111">IFERROR(IF($E111&lt;44348,"",IF(INDEX(Raw_매출!$B$2:$BI$155,MATCH($A111,Raw_매출!$A$2:$A$155,0),MATCH(EDATE($E111,G$1-1),Raw_매출!$B$1:$BI$1,0))=0,"",INDEX(Raw_매출!$B$2:$BI$155,MATCH($A111,Raw_매출!$A$2:$A$155,0),MATCH(EDATE($E111,G$1-1),Raw_매출!$B$1:$BI$1,0))/(INDEX(요약_월별시즈널리티!$F$7:$F$18,MONTH(EDATE($E111,G$1-1)))/100))),"")</f>
        <v>3343830.0515208407</v>
      </c>
      <c r="H111" cm="1">
        <f t="array" ref="H111">IFERROR(IF($E111&lt;44348,"",IF(INDEX(Raw_매출!$B$2:$BI$155,MATCH($A111,Raw_매출!$A$2:$A$155,0),MATCH(EDATE($E111,H$1-1),Raw_매출!$B$1:$BI$1,0))=0,"",INDEX(Raw_매출!$B$2:$BI$155,MATCH($A111,Raw_매출!$A$2:$A$155,0),MATCH(EDATE($E111,H$1-1),Raw_매출!$B$1:$BI$1,0))/(INDEX(요약_월별시즈널리티!$F$7:$F$18,MONTH(EDATE($E111,H$1-1)))/100))),"")</f>
        <v>4418502.9105149927</v>
      </c>
      <c r="I111" cm="1">
        <f t="array" ref="I111">IFERROR(IF($E111&lt;44348,"",IF(INDEX(Raw_매출!$B$2:$BI$155,MATCH($A111,Raw_매출!$A$2:$A$155,0),MATCH(EDATE($E111,I$1-1),Raw_매출!$B$1:$BI$1,0))=0,"",INDEX(Raw_매출!$B$2:$BI$155,MATCH($A111,Raw_매출!$A$2:$A$155,0),MATCH(EDATE($E111,I$1-1),Raw_매출!$B$1:$BI$1,0))/(INDEX(요약_월별시즈널리티!$F$7:$F$18,MONTH(EDATE($E111,I$1-1)))/100))),"")</f>
        <v>4586304.5622364255</v>
      </c>
      <c r="J111" s="30" cm="1">
        <f t="array" ref="J111">IFERROR(IF($E111&lt;44348,"",IF(INDEX(Raw_매출!$B$2:$BI$155,MATCH($A111,Raw_매출!$A$2:$A$155,0),MATCH(EDATE($E111,J$1-1),Raw_매출!$B$1:$BI$1,0))=0,"",INDEX(Raw_매출!$B$2:$BI$155,MATCH($A111,Raw_매출!$A$2:$A$155,0),MATCH(EDATE($E111,J$1-1),Raw_매출!$B$1:$BI$1,0))/(INDEX(요약_월별시즈널리티!$F$7:$F$18,MONTH(EDATE($E111,J$1-1)))/100))),"")</f>
        <v>4153645.4119445849</v>
      </c>
      <c r="K111" s="30" cm="1">
        <f t="array" ref="K111">IFERROR(IF($E111&lt;44348,"",IF(INDEX(Raw_매출!$B$2:$BI$155,MATCH($A111,Raw_매출!$A$2:$A$155,0),MATCH(EDATE($E111,K$1-1),Raw_매출!$B$1:$BI$1,0))=0,"",INDEX(Raw_매출!$B$2:$BI$155,MATCH($A111,Raw_매출!$A$2:$A$155,0),MATCH(EDATE($E111,K$1-1),Raw_매출!$B$1:$BI$1,0))/(INDEX(요약_월별시즈널리티!$F$7:$F$18,MONTH(EDATE($E111,K$1-1)))/100))),"")</f>
        <v>4623519.4272108236</v>
      </c>
      <c r="L111" s="30" cm="1">
        <f t="array" ref="L111">IFERROR(IF($E111&lt;44348,"",IF(INDEX(Raw_매출!$B$2:$BI$155,MATCH($A111,Raw_매출!$A$2:$A$155,0),MATCH(EDATE($E111,L$1-1),Raw_매출!$B$1:$BI$1,0))=0,"",INDEX(Raw_매출!$B$2:$BI$155,MATCH($A111,Raw_매출!$A$2:$A$155,0),MATCH(EDATE($E111,L$1-1),Raw_매출!$B$1:$BI$1,0))/(INDEX(요약_월별시즈널리티!$F$7:$F$18,MONTH(EDATE($E111,L$1-1)))/100))),"")</f>
        <v>4603508.0035418943</v>
      </c>
      <c r="M111" s="30" cm="1">
        <f t="array" ref="M111">IFERROR(IF($E111&lt;44348,"",IF(INDEX(Raw_매출!$B$2:$BI$155,MATCH($A111,Raw_매출!$A$2:$A$155,0),MATCH(EDATE($E111,M$1-1),Raw_매출!$B$1:$BI$1,0))=0,"",INDEX(Raw_매출!$B$2:$BI$155,MATCH($A111,Raw_매출!$A$2:$A$155,0),MATCH(EDATE($E111,M$1-1),Raw_매출!$B$1:$BI$1,0))/(INDEX(요약_월별시즈널리티!$F$7:$F$18,MONTH(EDATE($E111,M$1-1)))/100))),"")</f>
        <v>4656141.767311967</v>
      </c>
      <c r="N111" s="30" cm="1">
        <f t="array" ref="N111">IFERROR(IF($E111&lt;44348,"",IF(INDEX(Raw_매출!$B$2:$BI$155,MATCH($A111,Raw_매출!$A$2:$A$155,0),MATCH(EDATE($E111,N$1-1),Raw_매출!$B$1:$BI$1,0))=0,"",INDEX(Raw_매출!$B$2:$BI$155,MATCH($A111,Raw_매출!$A$2:$A$155,0),MATCH(EDATE($E111,N$1-1),Raw_매출!$B$1:$BI$1,0))/(INDEX(요약_월별시즈널리티!$F$7:$F$18,MONTH(EDATE($E111,N$1-1)))/100))),"")</f>
        <v>3930812.2722647125</v>
      </c>
      <c r="O111" s="30" cm="1">
        <f t="array" ref="O111">IFERROR(IF($E111&lt;44348,"",IF(INDEX(Raw_매출!$B$2:$BI$155,MATCH($A111,Raw_매출!$A$2:$A$155,0),MATCH(EDATE($E111,O$1-1),Raw_매출!$B$1:$BI$1,0))=0,"",INDEX(Raw_매출!$B$2:$BI$155,MATCH($A111,Raw_매출!$A$2:$A$155,0),MATCH(EDATE($E111,O$1-1),Raw_매출!$B$1:$BI$1,0))/(INDEX(요약_월별시즈널리티!$F$7:$F$18,MONTH(EDATE($E111,O$1-1)))/100))),"")</f>
        <v>4340835.6332508447</v>
      </c>
      <c r="P111" cm="1">
        <f t="array" ref="P111">IFERROR(IF($E111&lt;44348,"",IF(INDEX(Raw_매출!$B$2:$BI$155,MATCH($A111,Raw_매출!$A$2:$A$155,0),MATCH(EDATE($E111,P$1-1),Raw_매출!$B$1:$BI$1,0))=0,"",INDEX(Raw_매출!$B$2:$BI$155,MATCH($A111,Raw_매출!$A$2:$A$155,0),MATCH(EDATE($E111,P$1-1),Raw_매출!$B$1:$BI$1,0))/(INDEX(요약_월별시즈널리티!$F$7:$F$18,MONTH(EDATE($E111,P$1-1)))/100))),"")</f>
        <v>4899833.5934915822</v>
      </c>
      <c r="Q111" cm="1">
        <f t="array" ref="Q111">IFERROR(IF($E111&lt;44348,"",IF(INDEX(Raw_매출!$B$2:$BI$155,MATCH($A111,Raw_매출!$A$2:$A$155,0),MATCH(EDATE($E111,Q$1-1),Raw_매출!$B$1:$BI$1,0))=0,"",INDEX(Raw_매출!$B$2:$BI$155,MATCH($A111,Raw_매출!$A$2:$A$155,0),MATCH(EDATE($E111,Q$1-1),Raw_매출!$B$1:$BI$1,0))/(INDEX(요약_월별시즈널리티!$F$7:$F$18,MONTH(EDATE($E111,Q$1-1)))/100))),"")</f>
        <v>5110825.3947279239</v>
      </c>
      <c r="R111" cm="1">
        <f t="array" ref="R111">IFERROR(IF($E111&lt;44348,"",IF(INDEX(Raw_매출!$B$2:$BI$155,MATCH($A111,Raw_매출!$A$2:$A$155,0),MATCH(EDATE($E111,R$1-1),Raw_매출!$B$1:$BI$1,0))=0,"",INDEX(Raw_매출!$B$2:$BI$155,MATCH($A111,Raw_매출!$A$2:$A$155,0),MATCH(EDATE($E111,R$1-1),Raw_매출!$B$1:$BI$1,0))/(INDEX(요약_월별시즈널리티!$F$7:$F$18,MONTH(EDATE($E111,R$1-1)))/100))),"")</f>
        <v>6514225.38772499</v>
      </c>
      <c r="S111" cm="1">
        <f t="array" ref="S111">IFERROR(IF($E111&lt;44348,"",IF(INDEX(Raw_매출!$B$2:$BI$155,MATCH($A111,Raw_매출!$A$2:$A$155,0),MATCH(EDATE($E111,S$1-1),Raw_매출!$B$1:$BI$1,0))=0,"",INDEX(Raw_매출!$B$2:$BI$155,MATCH($A111,Raw_매출!$A$2:$A$155,0),MATCH(EDATE($E111,S$1-1),Raw_매출!$B$1:$BI$1,0))/(INDEX(요약_월별시즈널리티!$F$7:$F$18,MONTH(EDATE($E111,S$1-1)))/100))),"")</f>
        <v>5420738.5582094183</v>
      </c>
      <c r="T111" cm="1">
        <f t="array" ref="T111">IFERROR(IF($E111&lt;44348,"",IF(INDEX(Raw_매출!$B$2:$BI$155,MATCH($A111,Raw_매출!$A$2:$A$155,0),MATCH(EDATE($E111,T$1-1),Raw_매출!$B$1:$BI$1,0))=0,"",INDEX(Raw_매출!$B$2:$BI$155,MATCH($A111,Raw_매출!$A$2:$A$155,0),MATCH(EDATE($E111,T$1-1),Raw_매출!$B$1:$BI$1,0))/(INDEX(요약_월별시즈널리티!$F$7:$F$18,MONTH(EDATE($E111,T$1-1)))/100))),"")</f>
        <v>6460076.7737387177</v>
      </c>
      <c r="U111" cm="1">
        <f t="array" ref="U111">IFERROR(IF($E111&lt;44348,"",IF(INDEX(Raw_매출!$B$2:$BI$155,MATCH($A111,Raw_매출!$A$2:$A$155,0),MATCH(EDATE($E111,U$1-1),Raw_매출!$B$1:$BI$1,0))=0,"",INDEX(Raw_매출!$B$2:$BI$155,MATCH($A111,Raw_매출!$A$2:$A$155,0),MATCH(EDATE($E111,U$1-1),Raw_매출!$B$1:$BI$1,0))/(INDEX(요약_월별시즈널리티!$F$7:$F$18,MONTH(EDATE($E111,U$1-1)))/100))),"")</f>
        <v>6287601.3991898336</v>
      </c>
      <c r="V111" cm="1">
        <f t="array" ref="V111">IFERROR(IF($E111&lt;44348,"",IF(INDEX(Raw_매출!$B$2:$BI$155,MATCH($A111,Raw_매출!$A$2:$A$155,0),MATCH(EDATE($E111,V$1-1),Raw_매출!$B$1:$BI$1,0))=0,"",INDEX(Raw_매출!$B$2:$BI$155,MATCH($A111,Raw_매출!$A$2:$A$155,0),MATCH(EDATE($E111,V$1-1),Raw_매출!$B$1:$BI$1,0))/(INDEX(요약_월별시즈널리티!$F$7:$F$18,MONTH(EDATE($E111,V$1-1)))/100))),"")</f>
        <v>6506005.1490217857</v>
      </c>
      <c r="W111" cm="1">
        <f t="array" ref="W111">IFERROR(IF($E111&lt;44348,"",IF(INDEX(Raw_매출!$B$2:$BI$155,MATCH($A111,Raw_매출!$A$2:$A$155,0),MATCH(EDATE($E111,W$1-1),Raw_매출!$B$1:$BI$1,0))=0,"",INDEX(Raw_매출!$B$2:$BI$155,MATCH($A111,Raw_매출!$A$2:$A$155,0),MATCH(EDATE($E111,W$1-1),Raw_매출!$B$1:$BI$1,0))/(INDEX(요약_월별시즈널리티!$F$7:$F$18,MONTH(EDATE($E111,W$1-1)))/100))),"")</f>
        <v>6550246.1079885922</v>
      </c>
      <c r="X111" cm="1">
        <f t="array" ref="X111">IFERROR(IF($E111&lt;44348,"",IF(INDEX(Raw_매출!$B$2:$BI$155,MATCH($A111,Raw_매출!$A$2:$A$155,0),MATCH(EDATE($E111,X$1-1),Raw_매출!$B$1:$BI$1,0))=0,"",INDEX(Raw_매출!$B$2:$BI$155,MATCH($A111,Raw_매출!$A$2:$A$155,0),MATCH(EDATE($E111,X$1-1),Raw_매출!$B$1:$BI$1,0))/(INDEX(요약_월별시즈널리티!$F$7:$F$18,MONTH(EDATE($E111,X$1-1)))/100))),"")</f>
        <v>5471918.1385604823</v>
      </c>
      <c r="Y111" cm="1">
        <f t="array" ref="Y111">IFERROR(IF($E111&lt;44348,"",IF(INDEX(Raw_매출!$B$2:$BI$155,MATCH($A111,Raw_매출!$A$2:$A$155,0),MATCH(EDATE($E111,Y$1-1),Raw_매출!$B$1:$BI$1,0))=0,"",INDEX(Raw_매출!$B$2:$BI$155,MATCH($A111,Raw_매출!$A$2:$A$155,0),MATCH(EDATE($E111,Y$1-1),Raw_매출!$B$1:$BI$1,0))/(INDEX(요약_월별시즈널리티!$F$7:$F$18,MONTH(EDATE($E111,Y$1-1)))/100))),"")</f>
        <v>5968403.165731255</v>
      </c>
      <c r="Z111" cm="1">
        <f t="array" ref="Z111">IFERROR(IF($E111&lt;44348,"",IF(INDEX(Raw_매출!$B$2:$BI$155,MATCH($A111,Raw_매출!$A$2:$A$155,0),MATCH(EDATE($E111,Z$1-1),Raw_매출!$B$1:$BI$1,0))=0,"",INDEX(Raw_매출!$B$2:$BI$155,MATCH($A111,Raw_매출!$A$2:$A$155,0),MATCH(EDATE($E111,Z$1-1),Raw_매출!$B$1:$BI$1,0))/(INDEX(요약_월별시즈널리티!$F$7:$F$18,MONTH(EDATE($E111,Z$1-1)))/100))),"")</f>
        <v>5388920.3312234096</v>
      </c>
      <c r="AA111" cm="1">
        <f t="array" ref="AA111">IFERROR(IF($E111&lt;44348,"",IF(INDEX(Raw_매출!$B$2:$BI$155,MATCH($A111,Raw_매출!$A$2:$A$155,0),MATCH(EDATE($E111,AA$1-1),Raw_매출!$B$1:$BI$1,0))=0,"",INDEX(Raw_매출!$B$2:$BI$155,MATCH($A111,Raw_매출!$A$2:$A$155,0),MATCH(EDATE($E111,AA$1-1),Raw_매출!$B$1:$BI$1,0))/(INDEX(요약_월별시즈널리티!$F$7:$F$18,MONTH(EDATE($E111,AA$1-1)))/100))),"")</f>
        <v>6293712.9423369765</v>
      </c>
      <c r="AB111" cm="1">
        <f t="array" ref="AB111">IFERROR(IF($E111&lt;44348,"",IF(INDEX(Raw_매출!$B$2:$BI$155,MATCH($A111,Raw_매출!$A$2:$A$155,0),MATCH(EDATE($E111,AB$1-1),Raw_매출!$B$1:$BI$1,0))=0,"",INDEX(Raw_매출!$B$2:$BI$155,MATCH($A111,Raw_매출!$A$2:$A$155,0),MATCH(EDATE($E111,AB$1-1),Raw_매출!$B$1:$BI$1,0))/(INDEX(요약_월별시즈널리티!$F$7:$F$18,MONTH(EDATE($E111,AB$1-1)))/100))),"")</f>
        <v>6040657.0540595297</v>
      </c>
      <c r="AC111" cm="1">
        <f t="array" ref="AC111">IFERROR(IF($E111&lt;44348,"",IF(INDEX(Raw_매출!$B$2:$BI$155,MATCH($A111,Raw_매출!$A$2:$A$155,0),MATCH(EDATE($E111,AC$1-1),Raw_매출!$B$1:$BI$1,0))=0,"",INDEX(Raw_매출!$B$2:$BI$155,MATCH($A111,Raw_매출!$A$2:$A$155,0),MATCH(EDATE($E111,AC$1-1),Raw_매출!$B$1:$BI$1,0))/(INDEX(요약_월별시즈널리티!$F$7:$F$18,MONTH(EDATE($E111,AC$1-1)))/100))),"")</f>
        <v>5540605.7927500578</v>
      </c>
      <c r="AD111" cm="1">
        <f t="array" ref="AD111">IFERROR(IF($E111&lt;44348,"",IF(INDEX(Raw_매출!$B$2:$BI$155,MATCH($A111,Raw_매출!$A$2:$A$155,0),MATCH(EDATE($E111,AD$1-1),Raw_매출!$B$1:$BI$1,0))=0,"",INDEX(Raw_매출!$B$2:$BI$155,MATCH($A111,Raw_매출!$A$2:$A$155,0),MATCH(EDATE($E111,AD$1-1),Raw_매출!$B$1:$BI$1,0))/(INDEX(요약_월별시즈널리티!$F$7:$F$18,MONTH(EDATE($E111,AD$1-1)))/100))),"")</f>
        <v>6284631.5473300908</v>
      </c>
      <c r="AE111" cm="1">
        <f t="array" ref="AE111">IFERROR(IF($E111&lt;44348,"",IF(INDEX(Raw_매출!$B$2:$BI$155,MATCH($A111,Raw_매출!$A$2:$A$155,0),MATCH(EDATE($E111,AE$1-1),Raw_매출!$B$1:$BI$1,0))=0,"",INDEX(Raw_매출!$B$2:$BI$155,MATCH($A111,Raw_매출!$A$2:$A$155,0),MATCH(EDATE($E111,AE$1-1),Raw_매출!$B$1:$BI$1,0))/(INDEX(요약_월별시즈널리티!$F$7:$F$18,MONTH(EDATE($E111,AE$1-1)))/100))),"")</f>
        <v>6985378.2425545473</v>
      </c>
      <c r="AF111" cm="1">
        <f t="array" ref="AF111">IFERROR(IF($E111&lt;44348,"",IF(INDEX(Raw_매출!$B$2:$BI$155,MATCH($A111,Raw_매출!$A$2:$A$155,0),MATCH(EDATE($E111,AF$1-1),Raw_매출!$B$1:$BI$1,0))=0,"",INDEX(Raw_매출!$B$2:$BI$155,MATCH($A111,Raw_매출!$A$2:$A$155,0),MATCH(EDATE($E111,AF$1-1),Raw_매출!$B$1:$BI$1,0))/(INDEX(요약_월별시즈널리티!$F$7:$F$18,MONTH(EDATE($E111,AF$1-1)))/100))),"")</f>
        <v>6866131.6268320698</v>
      </c>
      <c r="AG111" cm="1">
        <f t="array" ref="AG111">IFERROR(IF($E111&lt;44348,"",IF(INDEX(Raw_매출!$B$2:$BI$155,MATCH($A111,Raw_매출!$A$2:$A$155,0),MATCH(EDATE($E111,AG$1-1),Raw_매출!$B$1:$BI$1,0))=0,"",INDEX(Raw_매출!$B$2:$BI$155,MATCH($A111,Raw_매출!$A$2:$A$155,0),MATCH(EDATE($E111,AG$1-1),Raw_매출!$B$1:$BI$1,0))/(INDEX(요약_월별시즈널리티!$F$7:$F$18,MONTH(EDATE($E111,AG$1-1)))/100))),"")</f>
        <v>6749415.2779096663</v>
      </c>
      <c r="AH111" cm="1">
        <f t="array" ref="AH111">IFERROR(IF($E111&lt;44348,"",IF(INDEX(Raw_매출!$B$2:$BI$155,MATCH($A111,Raw_매출!$A$2:$A$155,0),MATCH(EDATE($E111,AH$1-1),Raw_매출!$B$1:$BI$1,0))=0,"",INDEX(Raw_매출!$B$2:$BI$155,MATCH($A111,Raw_매출!$A$2:$A$155,0),MATCH(EDATE($E111,AH$1-1),Raw_매출!$B$1:$BI$1,0))/(INDEX(요약_월별시즈널리티!$F$7:$F$18,MONTH(EDATE($E111,AH$1-1)))/100))),"")</f>
        <v>7282462.9506505094</v>
      </c>
      <c r="AI111" t="str" cm="1">
        <f t="array" ref="AI111">IFERROR(IF($E111&lt;44348,"",IF(INDEX(Raw_매출!$B$2:$BI$155,MATCH($A111,Raw_매출!$A$2:$A$155,0),MATCH(EDATE($E111,AI$1-1),Raw_매출!$B$1:$BI$1,0))=0,"",INDEX(Raw_매출!$B$2:$BI$155,MATCH($A111,Raw_매출!$A$2:$A$155,0),MATCH(EDATE($E111,AI$1-1),Raw_매출!$B$1:$BI$1,0))/(INDEX(요약_월별시즈널리티!$F$7:$F$18,MONTH(EDATE($E111,AI$1-1)))/100))),"")</f>
        <v/>
      </c>
      <c r="AJ111" t="str" cm="1">
        <f t="array" ref="AJ111">IFERROR(IF($E111&lt;44348,"",IF(INDEX(Raw_매출!$B$2:$BI$155,MATCH($A111,Raw_매출!$A$2:$A$155,0),MATCH(EDATE($E111,AJ$1-1),Raw_매출!$B$1:$BI$1,0))=0,"",INDEX(Raw_매출!$B$2:$BI$155,MATCH($A111,Raw_매출!$A$2:$A$155,0),MATCH(EDATE($E111,AJ$1-1),Raw_매출!$B$1:$BI$1,0))/(INDEX(요약_월별시즈널리티!$F$7:$F$18,MONTH(EDATE($E111,AJ$1-1)))/100))),"")</f>
        <v/>
      </c>
      <c r="AK111" t="str" cm="1">
        <f t="array" ref="AK111">IFERROR(IF($E111&lt;44348,"",IF(INDEX(Raw_매출!$B$2:$BI$155,MATCH($A111,Raw_매출!$A$2:$A$155,0),MATCH(EDATE($E111,AK$1-1),Raw_매출!$B$1:$BI$1,0))=0,"",INDEX(Raw_매출!$B$2:$BI$155,MATCH($A111,Raw_매출!$A$2:$A$155,0),MATCH(EDATE($E111,AK$1-1),Raw_매출!$B$1:$BI$1,0))/(INDEX(요약_월별시즈널리티!$F$7:$F$18,MONTH(EDATE($E111,AK$1-1)))/100))),"")</f>
        <v/>
      </c>
      <c r="AL111" t="str" cm="1">
        <f t="array" ref="AL111">IFERROR(IF($E111&lt;44348,"",IF(INDEX(Raw_매출!$B$2:$BI$155,MATCH($A111,Raw_매출!$A$2:$A$155,0),MATCH(EDATE($E111,AL$1-1),Raw_매출!$B$1:$BI$1,0))=0,"",INDEX(Raw_매출!$B$2:$BI$155,MATCH($A111,Raw_매출!$A$2:$A$155,0),MATCH(EDATE($E111,AL$1-1),Raw_매출!$B$1:$BI$1,0))/(INDEX(요약_월별시즈널리티!$F$7:$F$18,MONTH(EDATE($E111,AL$1-1)))/100))),"")</f>
        <v/>
      </c>
      <c r="AM111" t="str" cm="1">
        <f t="array" ref="AM111">IFERROR(IF($E111&lt;44348,"",IF(INDEX(Raw_매출!$B$2:$BI$155,MATCH($A111,Raw_매출!$A$2:$A$155,0),MATCH(EDATE($E111,AM$1-1),Raw_매출!$B$1:$BI$1,0))=0,"",INDEX(Raw_매출!$B$2:$BI$155,MATCH($A111,Raw_매출!$A$2:$A$155,0),MATCH(EDATE($E111,AM$1-1),Raw_매출!$B$1:$BI$1,0))/(INDEX(요약_월별시즈널리티!$F$7:$F$18,MONTH(EDATE($E111,AM$1-1)))/100))),"")</f>
        <v/>
      </c>
      <c r="AN111" t="str" cm="1">
        <f t="array" ref="AN111">IFERROR(IF($E111&lt;44348,"",IF(INDEX(Raw_매출!$B$2:$BI$155,MATCH($A111,Raw_매출!$A$2:$A$155,0),MATCH(EDATE($E111,AN$1-1),Raw_매출!$B$1:$BI$1,0))=0,"",INDEX(Raw_매출!$B$2:$BI$155,MATCH($A111,Raw_매출!$A$2:$A$155,0),MATCH(EDATE($E111,AN$1-1),Raw_매출!$B$1:$BI$1,0))/(INDEX(요약_월별시즈널리티!$F$7:$F$18,MONTH(EDATE($E111,AN$1-1)))/100))),"")</f>
        <v/>
      </c>
      <c r="AO111" t="str" cm="1">
        <f t="array" ref="AO111">IFERROR(IF($E111&lt;44348,"",IF(INDEX(Raw_매출!$B$2:$BI$155,MATCH($A111,Raw_매출!$A$2:$A$155,0),MATCH(EDATE($E111,AO$1-1),Raw_매출!$B$1:$BI$1,0))=0,"",INDEX(Raw_매출!$B$2:$BI$155,MATCH($A111,Raw_매출!$A$2:$A$155,0),MATCH(EDATE($E111,AO$1-1),Raw_매출!$B$1:$BI$1,0))/(INDEX(요약_월별시즈널리티!$F$7:$F$18,MONTH(EDATE($E111,AO$1-1)))/100))),"")</f>
        <v/>
      </c>
      <c r="AP111" t="str" cm="1">
        <f t="array" ref="AP111">IFERROR(IF($E111&lt;44348,"",IF(INDEX(Raw_매출!$B$2:$BI$155,MATCH($A111,Raw_매출!$A$2:$A$155,0),MATCH(EDATE($E111,AP$1-1),Raw_매출!$B$1:$BI$1,0))=0,"",INDEX(Raw_매출!$B$2:$BI$155,MATCH($A111,Raw_매출!$A$2:$A$155,0),MATCH(EDATE($E111,AP$1-1),Raw_매출!$B$1:$BI$1,0))/(INDEX(요약_월별시즈널리티!$F$7:$F$18,MONTH(EDATE($E111,AP$1-1)))/100))),"")</f>
        <v/>
      </c>
      <c r="AQ111" t="str" cm="1">
        <f t="array" ref="AQ111">IFERROR(IF($E111&lt;44348,"",IF(INDEX(Raw_매출!$B$2:$BI$155,MATCH($A111,Raw_매출!$A$2:$A$155,0),MATCH(EDATE($E111,AQ$1-1),Raw_매출!$B$1:$BI$1,0))=0,"",INDEX(Raw_매출!$B$2:$BI$155,MATCH($A111,Raw_매출!$A$2:$A$155,0),MATCH(EDATE($E111,AQ$1-1),Raw_매출!$B$1:$BI$1,0))/(INDEX(요약_월별시즈널리티!$F$7:$F$18,MONTH(EDATE($E111,AQ$1-1)))/100))),"")</f>
        <v/>
      </c>
      <c r="AR111" t="str" cm="1">
        <f t="array" ref="AR111">IFERROR(IF($E111&lt;44348,"",IF(INDEX(Raw_매출!$B$2:$BI$155,MATCH($A111,Raw_매출!$A$2:$A$155,0),MATCH(EDATE($E111,AR$1-1),Raw_매출!$B$1:$BI$1,0))=0,"",INDEX(Raw_매출!$B$2:$BI$155,MATCH($A111,Raw_매출!$A$2:$A$155,0),MATCH(EDATE($E111,AR$1-1),Raw_매출!$B$1:$BI$1,0))/(INDEX(요약_월별시즈널리티!$F$7:$F$18,MONTH(EDATE($E111,AR$1-1)))/100))),"")</f>
        <v/>
      </c>
      <c r="AS111" t="str" cm="1">
        <f t="array" ref="AS111">IFERROR(IF($E111&lt;44348,"",IF(INDEX(Raw_매출!$B$2:$BI$155,MATCH($A111,Raw_매출!$A$2:$A$155,0),MATCH(EDATE($E111,AS$1-1),Raw_매출!$B$1:$BI$1,0))=0,"",INDEX(Raw_매출!$B$2:$BI$155,MATCH($A111,Raw_매출!$A$2:$A$155,0),MATCH(EDATE($E111,AS$1-1),Raw_매출!$B$1:$BI$1,0))/(INDEX(요약_월별시즈널리티!$F$7:$F$18,MONTH(EDATE($E111,AS$1-1)))/100))),"")</f>
        <v/>
      </c>
      <c r="AT111" t="str" cm="1">
        <f t="array" ref="AT111">IFERROR(IF($E111&lt;44348,"",IF(INDEX(Raw_매출!$B$2:$BI$155,MATCH($A111,Raw_매출!$A$2:$A$155,0),MATCH(EDATE($E111,AT$1-1),Raw_매출!$B$1:$BI$1,0))=0,"",INDEX(Raw_매출!$B$2:$BI$155,MATCH($A111,Raw_매출!$A$2:$A$155,0),MATCH(EDATE($E111,AT$1-1),Raw_매출!$B$1:$BI$1,0))/(INDEX(요약_월별시즈널리티!$F$7:$F$18,MONTH(EDATE($E111,AT$1-1)))/100))),"")</f>
        <v/>
      </c>
      <c r="AU111" t="str" cm="1">
        <f t="array" ref="AU111">IFERROR(IF($E111&lt;44348,"",IF(INDEX(Raw_매출!$B$2:$BI$155,MATCH($A111,Raw_매출!$A$2:$A$155,0),MATCH(EDATE($E111,AU$1-1),Raw_매출!$B$1:$BI$1,0))=0,"",INDEX(Raw_매출!$B$2:$BI$155,MATCH($A111,Raw_매출!$A$2:$A$155,0),MATCH(EDATE($E111,AU$1-1),Raw_매출!$B$1:$BI$1,0))/(INDEX(요약_월별시즈널리티!$F$7:$F$18,MONTH(EDATE($E111,AU$1-1)))/100))),"")</f>
        <v/>
      </c>
      <c r="AV111" t="str" cm="1">
        <f t="array" ref="AV111">IFERROR(IF($E111&lt;44348,"",IF(INDEX(Raw_매출!$B$2:$BI$155,MATCH($A111,Raw_매출!$A$2:$A$155,0),MATCH(EDATE($E111,AV$1-1),Raw_매출!$B$1:$BI$1,0))=0,"",INDEX(Raw_매출!$B$2:$BI$155,MATCH($A111,Raw_매출!$A$2:$A$155,0),MATCH(EDATE($E111,AV$1-1),Raw_매출!$B$1:$BI$1,0))/(INDEX(요약_월별시즈널리티!$F$7:$F$18,MONTH(EDATE($E111,AV$1-1)))/100))),"")</f>
        <v/>
      </c>
      <c r="AW111" t="str" cm="1">
        <f t="array" ref="AW111">IFERROR(IF($E111&lt;44348,"",IF(INDEX(Raw_매출!$B$2:$BI$155,MATCH($A111,Raw_매출!$A$2:$A$155,0),MATCH(EDATE($E111,AW$1-1),Raw_매출!$B$1:$BI$1,0))=0,"",INDEX(Raw_매출!$B$2:$BI$155,MATCH($A111,Raw_매출!$A$2:$A$155,0),MATCH(EDATE($E111,AW$1-1),Raw_매출!$B$1:$BI$1,0))/(INDEX(요약_월별시즈널리티!$F$7:$F$18,MONTH(EDATE($E111,AW$1-1)))/100))),"")</f>
        <v/>
      </c>
      <c r="AX111" t="str" cm="1">
        <f t="array" ref="AX111">IFERROR(IF($E111&lt;44348,"",IF(INDEX(Raw_매출!$B$2:$BI$155,MATCH($A111,Raw_매출!$A$2:$A$155,0),MATCH(EDATE($E111,AX$1-1),Raw_매출!$B$1:$BI$1,0))=0,"",INDEX(Raw_매출!$B$2:$BI$155,MATCH($A111,Raw_매출!$A$2:$A$155,0),MATCH(EDATE($E111,AX$1-1),Raw_매출!$B$1:$BI$1,0))/(INDEX(요약_월별시즈널리티!$F$7:$F$18,MONTH(EDATE($E111,AX$1-1)))/100))),"")</f>
        <v/>
      </c>
      <c r="AY111" t="str" cm="1">
        <f t="array" ref="AY111">IFERROR(IF($E111&lt;44348,"",IF(INDEX(Raw_매출!$B$2:$BI$155,MATCH($A111,Raw_매출!$A$2:$A$155,0),MATCH(EDATE($E111,AY$1-1),Raw_매출!$B$1:$BI$1,0))=0,"",INDEX(Raw_매출!$B$2:$BI$155,MATCH($A111,Raw_매출!$A$2:$A$155,0),MATCH(EDATE($E111,AY$1-1),Raw_매출!$B$1:$BI$1,0))/(INDEX(요약_월별시즈널리티!$F$7:$F$18,MONTH(EDATE($E111,AY$1-1)))/100))),"")</f>
        <v/>
      </c>
      <c r="AZ111" t="str" cm="1">
        <f t="array" ref="AZ111">IFERROR(IF($E111&lt;44348,"",IF(INDEX(Raw_매출!$B$2:$BI$155,MATCH($A111,Raw_매출!$A$2:$A$155,0),MATCH(EDATE($E111,AZ$1-1),Raw_매출!$B$1:$BI$1,0))=0,"",INDEX(Raw_매출!$B$2:$BI$155,MATCH($A111,Raw_매출!$A$2:$A$155,0),MATCH(EDATE($E111,AZ$1-1),Raw_매출!$B$1:$BI$1,0))/(INDEX(요약_월별시즈널리티!$F$7:$F$18,MONTH(EDATE($E111,AZ$1-1)))/100))),"")</f>
        <v/>
      </c>
      <c r="BA111" t="str" cm="1">
        <f t="array" ref="BA111">IFERROR(IF($E111&lt;44348,"",IF(INDEX(Raw_매출!$B$2:$BI$155,MATCH($A111,Raw_매출!$A$2:$A$155,0),MATCH(EDATE($E111,BA$1-1),Raw_매출!$B$1:$BI$1,0))=0,"",INDEX(Raw_매출!$B$2:$BI$155,MATCH($A111,Raw_매출!$A$2:$A$155,0),MATCH(EDATE($E111,BA$1-1),Raw_매출!$B$1:$BI$1,0))/(INDEX(요약_월별시즈널리티!$F$7:$F$18,MONTH(EDATE($E111,BA$1-1)))/100))),"")</f>
        <v/>
      </c>
      <c r="BB111" t="str" cm="1">
        <f t="array" ref="BB111">IFERROR(IF($E111&lt;44348,"",IF(INDEX(Raw_매출!$B$2:$BI$155,MATCH($A111,Raw_매출!$A$2:$A$155,0),MATCH(EDATE($E111,BB$1-1),Raw_매출!$B$1:$BI$1,0))=0,"",INDEX(Raw_매출!$B$2:$BI$155,MATCH($A111,Raw_매출!$A$2:$A$155,0),MATCH(EDATE($E111,BB$1-1),Raw_매출!$B$1:$BI$1,0))/(INDEX(요약_월별시즈널리티!$F$7:$F$18,MONTH(EDATE($E111,BB$1-1)))/100))),"")</f>
        <v/>
      </c>
      <c r="BC111" t="str" cm="1">
        <f t="array" ref="BC111">IFERROR(IF($E111&lt;44348,"",IF(INDEX(Raw_매출!$B$2:$BI$155,MATCH($A111,Raw_매출!$A$2:$A$155,0),MATCH(EDATE($E111,BC$1-1),Raw_매출!$B$1:$BI$1,0))=0,"",INDEX(Raw_매출!$B$2:$BI$155,MATCH($A111,Raw_매출!$A$2:$A$155,0),MATCH(EDATE($E111,BC$1-1),Raw_매출!$B$1:$BI$1,0))/(INDEX(요약_월별시즈널리티!$F$7:$F$18,MONTH(EDATE($E111,BC$1-1)))/100))),"")</f>
        <v/>
      </c>
      <c r="BD111" t="str" cm="1">
        <f t="array" ref="BD111">IFERROR(IF($E111&lt;44348,"",IF(INDEX(Raw_매출!$B$2:$BI$155,MATCH($A111,Raw_매출!$A$2:$A$155,0),MATCH(EDATE($E111,BD$1-1),Raw_매출!$B$1:$BI$1,0))=0,"",INDEX(Raw_매출!$B$2:$BI$155,MATCH($A111,Raw_매출!$A$2:$A$155,0),MATCH(EDATE($E111,BD$1-1),Raw_매출!$B$1:$BI$1,0))/(INDEX(요약_월별시즈널리티!$F$7:$F$18,MONTH(EDATE($E111,BD$1-1)))/100))),"")</f>
        <v/>
      </c>
      <c r="BE111" t="str" cm="1">
        <f t="array" ref="BE111">IFERROR(IF($E111&lt;44348,"",IF(INDEX(Raw_매출!$B$2:$BI$155,MATCH($A111,Raw_매출!$A$2:$A$155,0),MATCH(EDATE($E111,BE$1-1),Raw_매출!$B$1:$BI$1,0))=0,"",INDEX(Raw_매출!$B$2:$BI$155,MATCH($A111,Raw_매출!$A$2:$A$155,0),MATCH(EDATE($E111,BE$1-1),Raw_매출!$B$1:$BI$1,0))/(INDEX(요약_월별시즈널리티!$F$7:$F$18,MONTH(EDATE($E111,BE$1-1)))/100))),"")</f>
        <v/>
      </c>
      <c r="BF111" t="str" cm="1">
        <f t="array" ref="BF111">IFERROR(IF($E111&lt;44348,"",IF(INDEX(Raw_매출!$B$2:$BI$155,MATCH($A111,Raw_매출!$A$2:$A$155,0),MATCH(EDATE($E111,BF$1-1),Raw_매출!$B$1:$BI$1,0))=0,"",INDEX(Raw_매출!$B$2:$BI$155,MATCH($A111,Raw_매출!$A$2:$A$155,0),MATCH(EDATE($E111,BF$1-1),Raw_매출!$B$1:$BI$1,0))/(INDEX(요약_월별시즈널리티!$F$7:$F$18,MONTH(EDATE($E111,BF$1-1)))/100))),"")</f>
        <v/>
      </c>
      <c r="BG111" t="str" cm="1">
        <f t="array" ref="BG111">IFERROR(IF($E111&lt;44348,"",IF(INDEX(Raw_매출!$B$2:$BI$155,MATCH($A111,Raw_매출!$A$2:$A$155,0),MATCH(EDATE($E111,BG$1-1),Raw_매출!$B$1:$BI$1,0))=0,"",INDEX(Raw_매출!$B$2:$BI$155,MATCH($A111,Raw_매출!$A$2:$A$155,0),MATCH(EDATE($E111,BG$1-1),Raw_매출!$B$1:$BI$1,0))/(INDEX(요약_월별시즈널리티!$F$7:$F$18,MONTH(EDATE($E111,BG$1-1)))/100))),"")</f>
        <v/>
      </c>
      <c r="BH111" t="str" cm="1">
        <f t="array" ref="BH111">IFERROR(IF($E111&lt;44348,"",IF(INDEX(Raw_매출!$B$2:$BI$155,MATCH($A111,Raw_매출!$A$2:$A$155,0),MATCH(EDATE($E111,BH$1-1),Raw_매출!$B$1:$BI$1,0))=0,"",INDEX(Raw_매출!$B$2:$BI$155,MATCH($A111,Raw_매출!$A$2:$A$155,0),MATCH(EDATE($E111,BH$1-1),Raw_매출!$B$1:$BI$1,0))/(INDEX(요약_월별시즈널리티!$F$7:$F$18,MONTH(EDATE($E111,BH$1-1)))/100))),"")</f>
        <v/>
      </c>
      <c r="BI111" t="str" cm="1">
        <f t="array" ref="BI111">IFERROR(IF($E111&lt;44348,"",IF(INDEX(Raw_매출!$B$2:$BI$155,MATCH($A111,Raw_매출!$A$2:$A$155,0),MATCH(EDATE($E111,BI$1-1),Raw_매출!$B$1:$BI$1,0))=0,"",INDEX(Raw_매출!$B$2:$BI$155,MATCH($A111,Raw_매출!$A$2:$A$155,0),MATCH(EDATE($E111,BI$1-1),Raw_매출!$B$1:$BI$1,0))/(INDEX(요약_월별시즈널리티!$F$7:$F$18,MONTH(EDATE($E111,BI$1-1)))/100))),"")</f>
        <v/>
      </c>
      <c r="BJ111" t="str" cm="1">
        <f t="array" ref="BJ111">IFERROR(IF($E111&lt;44348,"",IF(INDEX(Raw_매출!$B$2:$BI$155,MATCH($A111,Raw_매출!$A$2:$A$155,0),MATCH(EDATE($E111,BJ$1-1),Raw_매출!$B$1:$BI$1,0))=0,"",INDEX(Raw_매출!$B$2:$BI$155,MATCH($A111,Raw_매출!$A$2:$A$155,0),MATCH(EDATE($E111,BJ$1-1),Raw_매출!$B$1:$BI$1,0))/(INDEX(요약_월별시즈널리티!$F$7:$F$18,MONTH(EDATE($E111,BJ$1-1)))/100))),"")</f>
        <v/>
      </c>
      <c r="BK111" t="str" cm="1">
        <f t="array" ref="BK111">IFERROR(IF($E111&lt;44348,"",IF(INDEX(Raw_매출!$B$2:$BI$155,MATCH($A111,Raw_매출!$A$2:$A$155,0),MATCH(EDATE($E111,BK$1-1),Raw_매출!$B$1:$BI$1,0))=0,"",INDEX(Raw_매출!$B$2:$BI$155,MATCH($A111,Raw_매출!$A$2:$A$155,0),MATCH(EDATE($E111,BK$1-1),Raw_매출!$B$1:$BI$1,0))/(INDEX(요약_월별시즈널리티!$F$7:$F$18,MONTH(EDATE($E111,BK$1-1)))/100))),"")</f>
        <v/>
      </c>
      <c r="BL111" t="str" cm="1">
        <f t="array" ref="BL111">IFERROR(IF($E111&lt;44348,"",IF(INDEX(Raw_매출!$B$2:$BI$155,MATCH($A111,Raw_매출!$A$2:$A$155,0),MATCH(EDATE($E111,BL$1-1),Raw_매출!$B$1:$BI$1,0))=0,"",INDEX(Raw_매출!$B$2:$BI$155,MATCH($A111,Raw_매출!$A$2:$A$155,0),MATCH(EDATE($E111,BL$1-1),Raw_매출!$B$1:$BI$1,0))/(INDEX(요약_월별시즈널리티!$F$7:$F$18,MONTH(EDATE($E111,BL$1-1)))/100))),"")</f>
        <v/>
      </c>
      <c r="BM111" t="str" cm="1">
        <f t="array" ref="BM111">IFERROR(IF($E111&lt;44348,"",IF(INDEX(Raw_매출!$B$2:$BI$155,MATCH($A111,Raw_매출!$A$2:$A$155,0),MATCH(EDATE($E111,BM$1-1),Raw_매출!$B$1:$BI$1,0))=0,"",INDEX(Raw_매출!$B$2:$BI$155,MATCH($A111,Raw_매출!$A$2:$A$155,0),MATCH(EDATE($E111,BM$1-1),Raw_매출!$B$1:$BI$1,0))/(INDEX(요약_월별시즈널리티!$F$7:$F$18,MONTH(EDATE($E111,BM$1-1)))/100))),"")</f>
        <v/>
      </c>
      <c r="BN111" t="str" cm="1">
        <f t="array" ref="BN111">IFERROR(IF($E111&lt;44348,"",IF(INDEX(Raw_매출!$B$2:$BI$155,MATCH($A111,Raw_매출!$A$2:$A$155,0),MATCH(EDATE($E111,BN$1-1),Raw_매출!$B$1:$BI$1,0))=0,"",INDEX(Raw_매출!$B$2:$BI$155,MATCH($A111,Raw_매출!$A$2:$A$155,0),MATCH(EDATE($E111,BN$1-1),Raw_매출!$B$1:$BI$1,0))/(INDEX(요약_월별시즈널리티!$F$7:$F$18,MONTH(EDATE($E111,BN$1-1)))/100))),"")</f>
        <v/>
      </c>
    </row>
    <row r="112" spans="1:66" x14ac:dyDescent="0.4">
      <c r="A112" t="str">
        <f>세팅!A113</f>
        <v>(1102) #당산영동초등점</v>
      </c>
      <c r="B112" t="str">
        <f>세팅!B113</f>
        <v>150-3</v>
      </c>
      <c r="C112">
        <f t="shared" si="3"/>
        <v>3</v>
      </c>
      <c r="D112" t="str">
        <f t="shared" si="4"/>
        <v>3+</v>
      </c>
      <c r="E112" s="1">
        <f>세팅!D113</f>
        <v>45323</v>
      </c>
      <c r="F112">
        <f t="shared" si="5"/>
        <v>5536122.4610815076</v>
      </c>
      <c r="G112" cm="1">
        <f t="array" ref="G112">IFERROR(IF($E112&lt;44348,"",IF(INDEX(Raw_매출!$B$2:$BI$155,MATCH($A112,Raw_매출!$A$2:$A$155,0),MATCH(EDATE($E112,G$1-1),Raw_매출!$B$1:$BI$1,0))=0,"",INDEX(Raw_매출!$B$2:$BI$155,MATCH($A112,Raw_매출!$A$2:$A$155,0),MATCH(EDATE($E112,G$1-1),Raw_매출!$B$1:$BI$1,0))/(INDEX(요약_월별시즈널리티!$F$7:$F$18,MONTH(EDATE($E112,G$1-1)))/100))),"")</f>
        <v>4472427.8620508611</v>
      </c>
      <c r="H112" cm="1">
        <f t="array" ref="H112">IFERROR(IF($E112&lt;44348,"",IF(INDEX(Raw_매출!$B$2:$BI$155,MATCH($A112,Raw_매출!$A$2:$A$155,0),MATCH(EDATE($E112,H$1-1),Raw_매출!$B$1:$BI$1,0))=0,"",INDEX(Raw_매출!$B$2:$BI$155,MATCH($A112,Raw_매출!$A$2:$A$155,0),MATCH(EDATE($E112,H$1-1),Raw_매출!$B$1:$BI$1,0))/(INDEX(요약_월별시즈널리티!$F$7:$F$18,MONTH(EDATE($E112,H$1-1)))/100))),"")</f>
        <v>4524387.7568914918</v>
      </c>
      <c r="I112" cm="1">
        <f t="array" ref="I112">IFERROR(IF($E112&lt;44348,"",IF(INDEX(Raw_매출!$B$2:$BI$155,MATCH($A112,Raw_매출!$A$2:$A$155,0),MATCH(EDATE($E112,I$1-1),Raw_매출!$B$1:$BI$1,0))=0,"",INDEX(Raw_매출!$B$2:$BI$155,MATCH($A112,Raw_매출!$A$2:$A$155,0),MATCH(EDATE($E112,I$1-1),Raw_매출!$B$1:$BI$1,0))/(INDEX(요약_월별시즈널리티!$F$7:$F$18,MONTH(EDATE($E112,I$1-1)))/100))),"")</f>
        <v>4790159.6642711293</v>
      </c>
      <c r="J112" s="30" cm="1">
        <f t="array" ref="J112">IFERROR(IF($E112&lt;44348,"",IF(INDEX(Raw_매출!$B$2:$BI$155,MATCH($A112,Raw_매출!$A$2:$A$155,0),MATCH(EDATE($E112,J$1-1),Raw_매출!$B$1:$BI$1,0))=0,"",INDEX(Raw_매출!$B$2:$BI$155,MATCH($A112,Raw_매출!$A$2:$A$155,0),MATCH(EDATE($E112,J$1-1),Raw_매출!$B$1:$BI$1,0))/(INDEX(요약_월별시즈널리티!$F$7:$F$18,MONTH(EDATE($E112,J$1-1)))/100))),"")</f>
        <v>4656630.3968579741</v>
      </c>
      <c r="K112" s="30" cm="1">
        <f t="array" ref="K112">IFERROR(IF($E112&lt;44348,"",IF(INDEX(Raw_매출!$B$2:$BI$155,MATCH($A112,Raw_매출!$A$2:$A$155,0),MATCH(EDATE($E112,K$1-1),Raw_매출!$B$1:$BI$1,0))=0,"",INDEX(Raw_매출!$B$2:$BI$155,MATCH($A112,Raw_매출!$A$2:$A$155,0),MATCH(EDATE($E112,K$1-1),Raw_매출!$B$1:$BI$1,0))/(INDEX(요약_월별시즈널리티!$F$7:$F$18,MONTH(EDATE($E112,K$1-1)))/100))),"")</f>
        <v>5294660.2518005129</v>
      </c>
      <c r="L112" s="30" cm="1">
        <f t="array" ref="L112">IFERROR(IF($E112&lt;44348,"",IF(INDEX(Raw_매출!$B$2:$BI$155,MATCH($A112,Raw_매출!$A$2:$A$155,0),MATCH(EDATE($E112,L$1-1),Raw_매출!$B$1:$BI$1,0))=0,"",INDEX(Raw_매출!$B$2:$BI$155,MATCH($A112,Raw_매출!$A$2:$A$155,0),MATCH(EDATE($E112,L$1-1),Raw_매출!$B$1:$BI$1,0))/(INDEX(요약_월별시즈널리티!$F$7:$F$18,MONTH(EDATE($E112,L$1-1)))/100))),"")</f>
        <v>5276434.1489353245</v>
      </c>
      <c r="M112" s="30" cm="1">
        <f t="array" ref="M112">IFERROR(IF($E112&lt;44348,"",IF(INDEX(Raw_매출!$B$2:$BI$155,MATCH($A112,Raw_매출!$A$2:$A$155,0),MATCH(EDATE($E112,M$1-1),Raw_매출!$B$1:$BI$1,0))=0,"",INDEX(Raw_매출!$B$2:$BI$155,MATCH($A112,Raw_매출!$A$2:$A$155,0),MATCH(EDATE($E112,M$1-1),Raw_매출!$B$1:$BI$1,0))/(INDEX(요약_월별시즈널리티!$F$7:$F$18,MONTH(EDATE($E112,M$1-1)))/100))),"")</f>
        <v>6197644.6778903352</v>
      </c>
      <c r="N112" s="30" cm="1">
        <f t="array" ref="N112">IFERROR(IF($E112&lt;44348,"",IF(INDEX(Raw_매출!$B$2:$BI$155,MATCH($A112,Raw_매출!$A$2:$A$155,0),MATCH(EDATE($E112,N$1-1),Raw_매출!$B$1:$BI$1,0))=0,"",INDEX(Raw_매출!$B$2:$BI$155,MATCH($A112,Raw_매출!$A$2:$A$155,0),MATCH(EDATE($E112,N$1-1),Raw_매출!$B$1:$BI$1,0))/(INDEX(요약_월별시즈널리티!$F$7:$F$18,MONTH(EDATE($E112,N$1-1)))/100))),"")</f>
        <v>5859209.1447269004</v>
      </c>
      <c r="O112" s="30" cm="1">
        <f t="array" ref="O112">IFERROR(IF($E112&lt;44348,"",IF(INDEX(Raw_매출!$B$2:$BI$155,MATCH($A112,Raw_매출!$A$2:$A$155,0),MATCH(EDATE($E112,O$1-1),Raw_매출!$B$1:$BI$1,0))=0,"",INDEX(Raw_매출!$B$2:$BI$155,MATCH($A112,Raw_매출!$A$2:$A$155,0),MATCH(EDATE($E112,O$1-1),Raw_매출!$B$1:$BI$1,0))/(INDEX(요약_월별시즈널리티!$F$7:$F$18,MONTH(EDATE($E112,O$1-1)))/100))),"")</f>
        <v>5932156.1462779986</v>
      </c>
      <c r="P112" cm="1">
        <f t="array" ref="P112">IFERROR(IF($E112&lt;44348,"",IF(INDEX(Raw_매출!$B$2:$BI$155,MATCH($A112,Raw_매출!$A$2:$A$155,0),MATCH(EDATE($E112,P$1-1),Raw_매출!$B$1:$BI$1,0))=0,"",INDEX(Raw_매출!$B$2:$BI$155,MATCH($A112,Raw_매출!$A$2:$A$155,0),MATCH(EDATE($E112,P$1-1),Raw_매출!$B$1:$BI$1,0))/(INDEX(요약_월별시즈널리티!$F$7:$F$18,MONTH(EDATE($E112,P$1-1)))/100))),"")</f>
        <v>5745466.7985016238</v>
      </c>
      <c r="Q112" cm="1">
        <f t="array" ref="Q112">IFERROR(IF($E112&lt;44348,"",IF(INDEX(Raw_매출!$B$2:$BI$155,MATCH($A112,Raw_매출!$A$2:$A$155,0),MATCH(EDATE($E112,Q$1-1),Raw_매출!$B$1:$BI$1,0))=0,"",INDEX(Raw_매출!$B$2:$BI$155,MATCH($A112,Raw_매출!$A$2:$A$155,0),MATCH(EDATE($E112,Q$1-1),Raw_매출!$B$1:$BI$1,0))/(INDEX(요약_월별시즈널리티!$F$7:$F$18,MONTH(EDATE($E112,Q$1-1)))/100))),"")</f>
        <v>6040490.4286301592</v>
      </c>
      <c r="R112" cm="1">
        <f t="array" ref="R112">IFERROR(IF($E112&lt;44348,"",IF(INDEX(Raw_매출!$B$2:$BI$155,MATCH($A112,Raw_매출!$A$2:$A$155,0),MATCH(EDATE($E112,R$1-1),Raw_매출!$B$1:$BI$1,0))=0,"",INDEX(Raw_매출!$B$2:$BI$155,MATCH($A112,Raw_매출!$A$2:$A$155,0),MATCH(EDATE($E112,R$1-1),Raw_매출!$B$1:$BI$1,0))/(INDEX(요약_월별시즈널리티!$F$7:$F$18,MONTH(EDATE($E112,R$1-1)))/100))),"")</f>
        <v>6490694.7654223163</v>
      </c>
      <c r="S112" cm="1">
        <f t="array" ref="S112">IFERROR(IF($E112&lt;44348,"",IF(INDEX(Raw_매출!$B$2:$BI$155,MATCH($A112,Raw_매출!$A$2:$A$155,0),MATCH(EDATE($E112,S$1-1),Raw_매출!$B$1:$BI$1,0))=0,"",INDEX(Raw_매출!$B$2:$BI$155,MATCH($A112,Raw_매출!$A$2:$A$155,0),MATCH(EDATE($E112,S$1-1),Raw_매출!$B$1:$BI$1,0))/(INDEX(요약_월별시즈널리티!$F$7:$F$18,MONTH(EDATE($E112,S$1-1)))/100))),"")</f>
        <v>6411131.2756022196</v>
      </c>
      <c r="T112" cm="1">
        <f t="array" ref="T112">IFERROR(IF($E112&lt;44348,"",IF(INDEX(Raw_매출!$B$2:$BI$155,MATCH($A112,Raw_매출!$A$2:$A$155,0),MATCH(EDATE($E112,T$1-1),Raw_매출!$B$1:$BI$1,0))=0,"",INDEX(Raw_매출!$B$2:$BI$155,MATCH($A112,Raw_매출!$A$2:$A$155,0),MATCH(EDATE($E112,T$1-1),Raw_매출!$B$1:$BI$1,0))/(INDEX(요약_월별시즈널리티!$F$7:$F$18,MONTH(EDATE($E112,T$1-1)))/100))),"")</f>
        <v>6466858.5906074233</v>
      </c>
      <c r="U112" cm="1">
        <f t="array" ref="U112">IFERROR(IF($E112&lt;44348,"",IF(INDEX(Raw_매출!$B$2:$BI$155,MATCH($A112,Raw_매출!$A$2:$A$155,0),MATCH(EDATE($E112,U$1-1),Raw_매출!$B$1:$BI$1,0))=0,"",INDEX(Raw_매출!$B$2:$BI$155,MATCH($A112,Raw_매출!$A$2:$A$155,0),MATCH(EDATE($E112,U$1-1),Raw_매출!$B$1:$BI$1,0))/(INDEX(요약_월별시즈널리티!$F$7:$F$18,MONTH(EDATE($E112,U$1-1)))/100))),"")</f>
        <v>6623580.9700605711</v>
      </c>
      <c r="V112" cm="1">
        <f t="array" ref="V112">IFERROR(IF($E112&lt;44348,"",IF(INDEX(Raw_매출!$B$2:$BI$155,MATCH($A112,Raw_매출!$A$2:$A$155,0),MATCH(EDATE($E112,V$1-1),Raw_매출!$B$1:$BI$1,0))=0,"",INDEX(Raw_매출!$B$2:$BI$155,MATCH($A112,Raw_매출!$A$2:$A$155,0),MATCH(EDATE($E112,V$1-1),Raw_매출!$B$1:$BI$1,0))/(INDEX(요약_월별시즈널리티!$F$7:$F$18,MONTH(EDATE($E112,V$1-1)))/100))),"")</f>
        <v>7041913.1671187775</v>
      </c>
      <c r="W112" cm="1">
        <f t="array" ref="W112">IFERROR(IF($E112&lt;44348,"",IF(INDEX(Raw_매출!$B$2:$BI$155,MATCH($A112,Raw_매출!$A$2:$A$155,0),MATCH(EDATE($E112,W$1-1),Raw_매출!$B$1:$BI$1,0))=0,"",INDEX(Raw_매출!$B$2:$BI$155,MATCH($A112,Raw_매출!$A$2:$A$155,0),MATCH(EDATE($E112,W$1-1),Raw_매출!$B$1:$BI$1,0))/(INDEX(요약_월별시즈널리티!$F$7:$F$18,MONTH(EDATE($E112,W$1-1)))/100))),"")</f>
        <v>6940965.7855254048</v>
      </c>
      <c r="X112" cm="1">
        <f t="array" ref="X112">IFERROR(IF($E112&lt;44348,"",IF(INDEX(Raw_매출!$B$2:$BI$155,MATCH($A112,Raw_매출!$A$2:$A$155,0),MATCH(EDATE($E112,X$1-1),Raw_매출!$B$1:$BI$1,0))=0,"",INDEX(Raw_매출!$B$2:$BI$155,MATCH($A112,Raw_매출!$A$2:$A$155,0),MATCH(EDATE($E112,X$1-1),Raw_매출!$B$1:$BI$1,0))/(INDEX(요약_월별시즈널리티!$F$7:$F$18,MONTH(EDATE($E112,X$1-1)))/100))),"")</f>
        <v>6654747.6915790131</v>
      </c>
      <c r="Y112" cm="1">
        <f t="array" ref="Y112">IFERROR(IF($E112&lt;44348,"",IF(INDEX(Raw_매출!$B$2:$BI$155,MATCH($A112,Raw_매출!$A$2:$A$155,0),MATCH(EDATE($E112,Y$1-1),Raw_매출!$B$1:$BI$1,0))=0,"",INDEX(Raw_매출!$B$2:$BI$155,MATCH($A112,Raw_매출!$A$2:$A$155,0),MATCH(EDATE($E112,Y$1-1),Raw_매출!$B$1:$BI$1,0))/(INDEX(요약_월별시즈널리티!$F$7:$F$18,MONTH(EDATE($E112,Y$1-1)))/100))),"")</f>
        <v>6871806.5993618835</v>
      </c>
      <c r="Z112" cm="1">
        <f t="array" ref="Z112">IFERROR(IF($E112&lt;44348,"",IF(INDEX(Raw_매출!$B$2:$BI$155,MATCH($A112,Raw_매출!$A$2:$A$155,0),MATCH(EDATE($E112,Z$1-1),Raw_매출!$B$1:$BI$1,0))=0,"",INDEX(Raw_매출!$B$2:$BI$155,MATCH($A112,Raw_매출!$A$2:$A$155,0),MATCH(EDATE($E112,Z$1-1),Raw_매출!$B$1:$BI$1,0))/(INDEX(요약_월별시즈널리티!$F$7:$F$18,MONTH(EDATE($E112,Z$1-1)))/100))),"")</f>
        <v>6896577.157438267</v>
      </c>
      <c r="AA112" cm="1">
        <f t="array" ref="AA112">IFERROR(IF($E112&lt;44348,"",IF(INDEX(Raw_매출!$B$2:$BI$155,MATCH($A112,Raw_매출!$A$2:$A$155,0),MATCH(EDATE($E112,AA$1-1),Raw_매출!$B$1:$BI$1,0))=0,"",INDEX(Raw_매출!$B$2:$BI$155,MATCH($A112,Raw_매출!$A$2:$A$155,0),MATCH(EDATE($E112,AA$1-1),Raw_매출!$B$1:$BI$1,0))/(INDEX(요약_월별시즈널리티!$F$7:$F$18,MONTH(EDATE($E112,AA$1-1)))/100))),"")</f>
        <v>6668003.9012853364</v>
      </c>
      <c r="AB112" cm="1">
        <f t="array" ref="AB112">IFERROR(IF($E112&lt;44348,"",IF(INDEX(Raw_매출!$B$2:$BI$155,MATCH($A112,Raw_매출!$A$2:$A$155,0),MATCH(EDATE($E112,AB$1-1),Raw_매출!$B$1:$BI$1,0))=0,"",INDEX(Raw_매출!$B$2:$BI$155,MATCH($A112,Raw_매출!$A$2:$A$155,0),MATCH(EDATE($E112,AB$1-1),Raw_매출!$B$1:$BI$1,0))/(INDEX(요약_월별시즈널리티!$F$7:$F$18,MONTH(EDATE($E112,AB$1-1)))/100))),"")</f>
        <v>7210468.3840601305</v>
      </c>
      <c r="AC112" cm="1">
        <f t="array" ref="AC112">IFERROR(IF($E112&lt;44348,"",IF(INDEX(Raw_매출!$B$2:$BI$155,MATCH($A112,Raw_매출!$A$2:$A$155,0),MATCH(EDATE($E112,AC$1-1),Raw_매출!$B$1:$BI$1,0))=0,"",INDEX(Raw_매출!$B$2:$BI$155,MATCH($A112,Raw_매출!$A$2:$A$155,0),MATCH(EDATE($E112,AC$1-1),Raw_매출!$B$1:$BI$1,0))/(INDEX(요약_월별시즈널리티!$F$7:$F$18,MONTH(EDATE($E112,AC$1-1)))/100))),"")</f>
        <v>6530416.8562336387</v>
      </c>
      <c r="AD112" cm="1">
        <f t="array" ref="AD112">IFERROR(IF($E112&lt;44348,"",IF(INDEX(Raw_매출!$B$2:$BI$155,MATCH($A112,Raw_매출!$A$2:$A$155,0),MATCH(EDATE($E112,AD$1-1),Raw_매출!$B$1:$BI$1,0))=0,"",INDEX(Raw_매출!$B$2:$BI$155,MATCH($A112,Raw_매출!$A$2:$A$155,0),MATCH(EDATE($E112,AD$1-1),Raw_매출!$B$1:$BI$1,0))/(INDEX(요약_월별시즈널리티!$F$7:$F$18,MONTH(EDATE($E112,AD$1-1)))/100))),"")</f>
        <v>7288011.5566118769</v>
      </c>
      <c r="AE112" cm="1">
        <f t="array" ref="AE112">IFERROR(IF($E112&lt;44348,"",IF(INDEX(Raw_매출!$B$2:$BI$155,MATCH($A112,Raw_매출!$A$2:$A$155,0),MATCH(EDATE($E112,AE$1-1),Raw_매출!$B$1:$BI$1,0))=0,"",INDEX(Raw_매출!$B$2:$BI$155,MATCH($A112,Raw_매출!$A$2:$A$155,0),MATCH(EDATE($E112,AE$1-1),Raw_매출!$B$1:$BI$1,0))/(INDEX(요약_월별시즈널리티!$F$7:$F$18,MONTH(EDATE($E112,AE$1-1)))/100))),"")</f>
        <v>7426106.4423881294</v>
      </c>
      <c r="AF112" cm="1">
        <f t="array" ref="AF112">IFERROR(IF($E112&lt;44348,"",IF(INDEX(Raw_매출!$B$2:$BI$155,MATCH($A112,Raw_매출!$A$2:$A$155,0),MATCH(EDATE($E112,AF$1-1),Raw_매출!$B$1:$BI$1,0))=0,"",INDEX(Raw_매출!$B$2:$BI$155,MATCH($A112,Raw_매출!$A$2:$A$155,0),MATCH(EDATE($E112,AF$1-1),Raw_매출!$B$1:$BI$1,0))/(INDEX(요약_월별시즈널리티!$F$7:$F$18,MONTH(EDATE($E112,AF$1-1)))/100))),"")</f>
        <v>7252118.8882805416</v>
      </c>
      <c r="AG112" cm="1">
        <f t="array" ref="AG112">IFERROR(IF($E112&lt;44348,"",IF(INDEX(Raw_매출!$B$2:$BI$155,MATCH($A112,Raw_매출!$A$2:$A$155,0),MATCH(EDATE($E112,AG$1-1),Raw_매출!$B$1:$BI$1,0))=0,"",INDEX(Raw_매출!$B$2:$BI$155,MATCH($A112,Raw_매출!$A$2:$A$155,0),MATCH(EDATE($E112,AG$1-1),Raw_매출!$B$1:$BI$1,0))/(INDEX(요약_월별시즈널리티!$F$7:$F$18,MONTH(EDATE($E112,AG$1-1)))/100))),"")</f>
        <v>7098969.9902843423</v>
      </c>
      <c r="AH112" cm="1">
        <f t="array" ref="AH112">IFERROR(IF($E112&lt;44348,"",IF(INDEX(Raw_매출!$B$2:$BI$155,MATCH($A112,Raw_매출!$A$2:$A$155,0),MATCH(EDATE($E112,AH$1-1),Raw_매출!$B$1:$BI$1,0))=0,"",INDEX(Raw_매출!$B$2:$BI$155,MATCH($A112,Raw_매출!$A$2:$A$155,0),MATCH(EDATE($E112,AH$1-1),Raw_매출!$B$1:$BI$1,0))/(INDEX(요약_월별시즈널리티!$F$7:$F$18,MONTH(EDATE($E112,AH$1-1)))/100))),"")</f>
        <v>7216540.9591563325</v>
      </c>
      <c r="AI112" t="str" cm="1">
        <f t="array" ref="AI112">IFERROR(IF($E112&lt;44348,"",IF(INDEX(Raw_매출!$B$2:$BI$155,MATCH($A112,Raw_매출!$A$2:$A$155,0),MATCH(EDATE($E112,AI$1-1),Raw_매출!$B$1:$BI$1,0))=0,"",INDEX(Raw_매출!$B$2:$BI$155,MATCH($A112,Raw_매출!$A$2:$A$155,0),MATCH(EDATE($E112,AI$1-1),Raw_매출!$B$1:$BI$1,0))/(INDEX(요약_월별시즈널리티!$F$7:$F$18,MONTH(EDATE($E112,AI$1-1)))/100))),"")</f>
        <v/>
      </c>
      <c r="AJ112" t="str" cm="1">
        <f t="array" ref="AJ112">IFERROR(IF($E112&lt;44348,"",IF(INDEX(Raw_매출!$B$2:$BI$155,MATCH($A112,Raw_매출!$A$2:$A$155,0),MATCH(EDATE($E112,AJ$1-1),Raw_매출!$B$1:$BI$1,0))=0,"",INDEX(Raw_매출!$B$2:$BI$155,MATCH($A112,Raw_매출!$A$2:$A$155,0),MATCH(EDATE($E112,AJ$1-1),Raw_매출!$B$1:$BI$1,0))/(INDEX(요약_월별시즈널리티!$F$7:$F$18,MONTH(EDATE($E112,AJ$1-1)))/100))),"")</f>
        <v/>
      </c>
      <c r="AK112" t="str" cm="1">
        <f t="array" ref="AK112">IFERROR(IF($E112&lt;44348,"",IF(INDEX(Raw_매출!$B$2:$BI$155,MATCH($A112,Raw_매출!$A$2:$A$155,0),MATCH(EDATE($E112,AK$1-1),Raw_매출!$B$1:$BI$1,0))=0,"",INDEX(Raw_매출!$B$2:$BI$155,MATCH($A112,Raw_매출!$A$2:$A$155,0),MATCH(EDATE($E112,AK$1-1),Raw_매출!$B$1:$BI$1,0))/(INDEX(요약_월별시즈널리티!$F$7:$F$18,MONTH(EDATE($E112,AK$1-1)))/100))),"")</f>
        <v/>
      </c>
      <c r="AL112" t="str" cm="1">
        <f t="array" ref="AL112">IFERROR(IF($E112&lt;44348,"",IF(INDEX(Raw_매출!$B$2:$BI$155,MATCH($A112,Raw_매출!$A$2:$A$155,0),MATCH(EDATE($E112,AL$1-1),Raw_매출!$B$1:$BI$1,0))=0,"",INDEX(Raw_매출!$B$2:$BI$155,MATCH($A112,Raw_매출!$A$2:$A$155,0),MATCH(EDATE($E112,AL$1-1),Raw_매출!$B$1:$BI$1,0))/(INDEX(요약_월별시즈널리티!$F$7:$F$18,MONTH(EDATE($E112,AL$1-1)))/100))),"")</f>
        <v/>
      </c>
      <c r="AM112" t="str" cm="1">
        <f t="array" ref="AM112">IFERROR(IF($E112&lt;44348,"",IF(INDEX(Raw_매출!$B$2:$BI$155,MATCH($A112,Raw_매출!$A$2:$A$155,0),MATCH(EDATE($E112,AM$1-1),Raw_매출!$B$1:$BI$1,0))=0,"",INDEX(Raw_매출!$B$2:$BI$155,MATCH($A112,Raw_매출!$A$2:$A$155,0),MATCH(EDATE($E112,AM$1-1),Raw_매출!$B$1:$BI$1,0))/(INDEX(요약_월별시즈널리티!$F$7:$F$18,MONTH(EDATE($E112,AM$1-1)))/100))),"")</f>
        <v/>
      </c>
      <c r="AN112" t="str" cm="1">
        <f t="array" ref="AN112">IFERROR(IF($E112&lt;44348,"",IF(INDEX(Raw_매출!$B$2:$BI$155,MATCH($A112,Raw_매출!$A$2:$A$155,0),MATCH(EDATE($E112,AN$1-1),Raw_매출!$B$1:$BI$1,0))=0,"",INDEX(Raw_매출!$B$2:$BI$155,MATCH($A112,Raw_매출!$A$2:$A$155,0),MATCH(EDATE($E112,AN$1-1),Raw_매출!$B$1:$BI$1,0))/(INDEX(요약_월별시즈널리티!$F$7:$F$18,MONTH(EDATE($E112,AN$1-1)))/100))),"")</f>
        <v/>
      </c>
      <c r="AO112" t="str" cm="1">
        <f t="array" ref="AO112">IFERROR(IF($E112&lt;44348,"",IF(INDEX(Raw_매출!$B$2:$BI$155,MATCH($A112,Raw_매출!$A$2:$A$155,0),MATCH(EDATE($E112,AO$1-1),Raw_매출!$B$1:$BI$1,0))=0,"",INDEX(Raw_매출!$B$2:$BI$155,MATCH($A112,Raw_매출!$A$2:$A$155,0),MATCH(EDATE($E112,AO$1-1),Raw_매출!$B$1:$BI$1,0))/(INDEX(요약_월별시즈널리티!$F$7:$F$18,MONTH(EDATE($E112,AO$1-1)))/100))),"")</f>
        <v/>
      </c>
      <c r="AP112" t="str" cm="1">
        <f t="array" ref="AP112">IFERROR(IF($E112&lt;44348,"",IF(INDEX(Raw_매출!$B$2:$BI$155,MATCH($A112,Raw_매출!$A$2:$A$155,0),MATCH(EDATE($E112,AP$1-1),Raw_매출!$B$1:$BI$1,0))=0,"",INDEX(Raw_매출!$B$2:$BI$155,MATCH($A112,Raw_매출!$A$2:$A$155,0),MATCH(EDATE($E112,AP$1-1),Raw_매출!$B$1:$BI$1,0))/(INDEX(요약_월별시즈널리티!$F$7:$F$18,MONTH(EDATE($E112,AP$1-1)))/100))),"")</f>
        <v/>
      </c>
      <c r="AQ112" t="str" cm="1">
        <f t="array" ref="AQ112">IFERROR(IF($E112&lt;44348,"",IF(INDEX(Raw_매출!$B$2:$BI$155,MATCH($A112,Raw_매출!$A$2:$A$155,0),MATCH(EDATE($E112,AQ$1-1),Raw_매출!$B$1:$BI$1,0))=0,"",INDEX(Raw_매출!$B$2:$BI$155,MATCH($A112,Raw_매출!$A$2:$A$155,0),MATCH(EDATE($E112,AQ$1-1),Raw_매출!$B$1:$BI$1,0))/(INDEX(요약_월별시즈널리티!$F$7:$F$18,MONTH(EDATE($E112,AQ$1-1)))/100))),"")</f>
        <v/>
      </c>
      <c r="AR112" t="str" cm="1">
        <f t="array" ref="AR112">IFERROR(IF($E112&lt;44348,"",IF(INDEX(Raw_매출!$B$2:$BI$155,MATCH($A112,Raw_매출!$A$2:$A$155,0),MATCH(EDATE($E112,AR$1-1),Raw_매출!$B$1:$BI$1,0))=0,"",INDEX(Raw_매출!$B$2:$BI$155,MATCH($A112,Raw_매출!$A$2:$A$155,0),MATCH(EDATE($E112,AR$1-1),Raw_매출!$B$1:$BI$1,0))/(INDEX(요약_월별시즈널리티!$F$7:$F$18,MONTH(EDATE($E112,AR$1-1)))/100))),"")</f>
        <v/>
      </c>
      <c r="AS112" t="str" cm="1">
        <f t="array" ref="AS112">IFERROR(IF($E112&lt;44348,"",IF(INDEX(Raw_매출!$B$2:$BI$155,MATCH($A112,Raw_매출!$A$2:$A$155,0),MATCH(EDATE($E112,AS$1-1),Raw_매출!$B$1:$BI$1,0))=0,"",INDEX(Raw_매출!$B$2:$BI$155,MATCH($A112,Raw_매출!$A$2:$A$155,0),MATCH(EDATE($E112,AS$1-1),Raw_매출!$B$1:$BI$1,0))/(INDEX(요약_월별시즈널리티!$F$7:$F$18,MONTH(EDATE($E112,AS$1-1)))/100))),"")</f>
        <v/>
      </c>
      <c r="AT112" t="str" cm="1">
        <f t="array" ref="AT112">IFERROR(IF($E112&lt;44348,"",IF(INDEX(Raw_매출!$B$2:$BI$155,MATCH($A112,Raw_매출!$A$2:$A$155,0),MATCH(EDATE($E112,AT$1-1),Raw_매출!$B$1:$BI$1,0))=0,"",INDEX(Raw_매출!$B$2:$BI$155,MATCH($A112,Raw_매출!$A$2:$A$155,0),MATCH(EDATE($E112,AT$1-1),Raw_매출!$B$1:$BI$1,0))/(INDEX(요약_월별시즈널리티!$F$7:$F$18,MONTH(EDATE($E112,AT$1-1)))/100))),"")</f>
        <v/>
      </c>
      <c r="AU112" t="str" cm="1">
        <f t="array" ref="AU112">IFERROR(IF($E112&lt;44348,"",IF(INDEX(Raw_매출!$B$2:$BI$155,MATCH($A112,Raw_매출!$A$2:$A$155,0),MATCH(EDATE($E112,AU$1-1),Raw_매출!$B$1:$BI$1,0))=0,"",INDEX(Raw_매출!$B$2:$BI$155,MATCH($A112,Raw_매출!$A$2:$A$155,0),MATCH(EDATE($E112,AU$1-1),Raw_매출!$B$1:$BI$1,0))/(INDEX(요약_월별시즈널리티!$F$7:$F$18,MONTH(EDATE($E112,AU$1-1)))/100))),"")</f>
        <v/>
      </c>
      <c r="AV112" t="str" cm="1">
        <f t="array" ref="AV112">IFERROR(IF($E112&lt;44348,"",IF(INDEX(Raw_매출!$B$2:$BI$155,MATCH($A112,Raw_매출!$A$2:$A$155,0),MATCH(EDATE($E112,AV$1-1),Raw_매출!$B$1:$BI$1,0))=0,"",INDEX(Raw_매출!$B$2:$BI$155,MATCH($A112,Raw_매출!$A$2:$A$155,0),MATCH(EDATE($E112,AV$1-1),Raw_매출!$B$1:$BI$1,0))/(INDEX(요약_월별시즈널리티!$F$7:$F$18,MONTH(EDATE($E112,AV$1-1)))/100))),"")</f>
        <v/>
      </c>
      <c r="AW112" t="str" cm="1">
        <f t="array" ref="AW112">IFERROR(IF($E112&lt;44348,"",IF(INDEX(Raw_매출!$B$2:$BI$155,MATCH($A112,Raw_매출!$A$2:$A$155,0),MATCH(EDATE($E112,AW$1-1),Raw_매출!$B$1:$BI$1,0))=0,"",INDEX(Raw_매출!$B$2:$BI$155,MATCH($A112,Raw_매출!$A$2:$A$155,0),MATCH(EDATE($E112,AW$1-1),Raw_매출!$B$1:$BI$1,0))/(INDEX(요약_월별시즈널리티!$F$7:$F$18,MONTH(EDATE($E112,AW$1-1)))/100))),"")</f>
        <v/>
      </c>
      <c r="AX112" t="str" cm="1">
        <f t="array" ref="AX112">IFERROR(IF($E112&lt;44348,"",IF(INDEX(Raw_매출!$B$2:$BI$155,MATCH($A112,Raw_매출!$A$2:$A$155,0),MATCH(EDATE($E112,AX$1-1),Raw_매출!$B$1:$BI$1,0))=0,"",INDEX(Raw_매출!$B$2:$BI$155,MATCH($A112,Raw_매출!$A$2:$A$155,0),MATCH(EDATE($E112,AX$1-1),Raw_매출!$B$1:$BI$1,0))/(INDEX(요약_월별시즈널리티!$F$7:$F$18,MONTH(EDATE($E112,AX$1-1)))/100))),"")</f>
        <v/>
      </c>
      <c r="AY112" t="str" cm="1">
        <f t="array" ref="AY112">IFERROR(IF($E112&lt;44348,"",IF(INDEX(Raw_매출!$B$2:$BI$155,MATCH($A112,Raw_매출!$A$2:$A$155,0),MATCH(EDATE($E112,AY$1-1),Raw_매출!$B$1:$BI$1,0))=0,"",INDEX(Raw_매출!$B$2:$BI$155,MATCH($A112,Raw_매출!$A$2:$A$155,0),MATCH(EDATE($E112,AY$1-1),Raw_매출!$B$1:$BI$1,0))/(INDEX(요약_월별시즈널리티!$F$7:$F$18,MONTH(EDATE($E112,AY$1-1)))/100))),"")</f>
        <v/>
      </c>
      <c r="AZ112" t="str" cm="1">
        <f t="array" ref="AZ112">IFERROR(IF($E112&lt;44348,"",IF(INDEX(Raw_매출!$B$2:$BI$155,MATCH($A112,Raw_매출!$A$2:$A$155,0),MATCH(EDATE($E112,AZ$1-1),Raw_매출!$B$1:$BI$1,0))=0,"",INDEX(Raw_매출!$B$2:$BI$155,MATCH($A112,Raw_매출!$A$2:$A$155,0),MATCH(EDATE($E112,AZ$1-1),Raw_매출!$B$1:$BI$1,0))/(INDEX(요약_월별시즈널리티!$F$7:$F$18,MONTH(EDATE($E112,AZ$1-1)))/100))),"")</f>
        <v/>
      </c>
      <c r="BA112" t="str" cm="1">
        <f t="array" ref="BA112">IFERROR(IF($E112&lt;44348,"",IF(INDEX(Raw_매출!$B$2:$BI$155,MATCH($A112,Raw_매출!$A$2:$A$155,0),MATCH(EDATE($E112,BA$1-1),Raw_매출!$B$1:$BI$1,0))=0,"",INDEX(Raw_매출!$B$2:$BI$155,MATCH($A112,Raw_매출!$A$2:$A$155,0),MATCH(EDATE($E112,BA$1-1),Raw_매출!$B$1:$BI$1,0))/(INDEX(요약_월별시즈널리티!$F$7:$F$18,MONTH(EDATE($E112,BA$1-1)))/100))),"")</f>
        <v/>
      </c>
      <c r="BB112" t="str" cm="1">
        <f t="array" ref="BB112">IFERROR(IF($E112&lt;44348,"",IF(INDEX(Raw_매출!$B$2:$BI$155,MATCH($A112,Raw_매출!$A$2:$A$155,0),MATCH(EDATE($E112,BB$1-1),Raw_매출!$B$1:$BI$1,0))=0,"",INDEX(Raw_매출!$B$2:$BI$155,MATCH($A112,Raw_매출!$A$2:$A$155,0),MATCH(EDATE($E112,BB$1-1),Raw_매출!$B$1:$BI$1,0))/(INDEX(요약_월별시즈널리티!$F$7:$F$18,MONTH(EDATE($E112,BB$1-1)))/100))),"")</f>
        <v/>
      </c>
      <c r="BC112" t="str" cm="1">
        <f t="array" ref="BC112">IFERROR(IF($E112&lt;44348,"",IF(INDEX(Raw_매출!$B$2:$BI$155,MATCH($A112,Raw_매출!$A$2:$A$155,0),MATCH(EDATE($E112,BC$1-1),Raw_매출!$B$1:$BI$1,0))=0,"",INDEX(Raw_매출!$B$2:$BI$155,MATCH($A112,Raw_매출!$A$2:$A$155,0),MATCH(EDATE($E112,BC$1-1),Raw_매출!$B$1:$BI$1,0))/(INDEX(요약_월별시즈널리티!$F$7:$F$18,MONTH(EDATE($E112,BC$1-1)))/100))),"")</f>
        <v/>
      </c>
      <c r="BD112" t="str" cm="1">
        <f t="array" ref="BD112">IFERROR(IF($E112&lt;44348,"",IF(INDEX(Raw_매출!$B$2:$BI$155,MATCH($A112,Raw_매출!$A$2:$A$155,0),MATCH(EDATE($E112,BD$1-1),Raw_매출!$B$1:$BI$1,0))=0,"",INDEX(Raw_매출!$B$2:$BI$155,MATCH($A112,Raw_매출!$A$2:$A$155,0),MATCH(EDATE($E112,BD$1-1),Raw_매출!$B$1:$BI$1,0))/(INDEX(요약_월별시즈널리티!$F$7:$F$18,MONTH(EDATE($E112,BD$1-1)))/100))),"")</f>
        <v/>
      </c>
      <c r="BE112" t="str" cm="1">
        <f t="array" ref="BE112">IFERROR(IF($E112&lt;44348,"",IF(INDEX(Raw_매출!$B$2:$BI$155,MATCH($A112,Raw_매출!$A$2:$A$155,0),MATCH(EDATE($E112,BE$1-1),Raw_매출!$B$1:$BI$1,0))=0,"",INDEX(Raw_매출!$B$2:$BI$155,MATCH($A112,Raw_매출!$A$2:$A$155,0),MATCH(EDATE($E112,BE$1-1),Raw_매출!$B$1:$BI$1,0))/(INDEX(요약_월별시즈널리티!$F$7:$F$18,MONTH(EDATE($E112,BE$1-1)))/100))),"")</f>
        <v/>
      </c>
      <c r="BF112" t="str" cm="1">
        <f t="array" ref="BF112">IFERROR(IF($E112&lt;44348,"",IF(INDEX(Raw_매출!$B$2:$BI$155,MATCH($A112,Raw_매출!$A$2:$A$155,0),MATCH(EDATE($E112,BF$1-1),Raw_매출!$B$1:$BI$1,0))=0,"",INDEX(Raw_매출!$B$2:$BI$155,MATCH($A112,Raw_매출!$A$2:$A$155,0),MATCH(EDATE($E112,BF$1-1),Raw_매출!$B$1:$BI$1,0))/(INDEX(요약_월별시즈널리티!$F$7:$F$18,MONTH(EDATE($E112,BF$1-1)))/100))),"")</f>
        <v/>
      </c>
      <c r="BG112" t="str" cm="1">
        <f t="array" ref="BG112">IFERROR(IF($E112&lt;44348,"",IF(INDEX(Raw_매출!$B$2:$BI$155,MATCH($A112,Raw_매출!$A$2:$A$155,0),MATCH(EDATE($E112,BG$1-1),Raw_매출!$B$1:$BI$1,0))=0,"",INDEX(Raw_매출!$B$2:$BI$155,MATCH($A112,Raw_매출!$A$2:$A$155,0),MATCH(EDATE($E112,BG$1-1),Raw_매출!$B$1:$BI$1,0))/(INDEX(요약_월별시즈널리티!$F$7:$F$18,MONTH(EDATE($E112,BG$1-1)))/100))),"")</f>
        <v/>
      </c>
      <c r="BH112" t="str" cm="1">
        <f t="array" ref="BH112">IFERROR(IF($E112&lt;44348,"",IF(INDEX(Raw_매출!$B$2:$BI$155,MATCH($A112,Raw_매출!$A$2:$A$155,0),MATCH(EDATE($E112,BH$1-1),Raw_매출!$B$1:$BI$1,0))=0,"",INDEX(Raw_매출!$B$2:$BI$155,MATCH($A112,Raw_매출!$A$2:$A$155,0),MATCH(EDATE($E112,BH$1-1),Raw_매출!$B$1:$BI$1,0))/(INDEX(요약_월별시즈널리티!$F$7:$F$18,MONTH(EDATE($E112,BH$1-1)))/100))),"")</f>
        <v/>
      </c>
      <c r="BI112" t="str" cm="1">
        <f t="array" ref="BI112">IFERROR(IF($E112&lt;44348,"",IF(INDEX(Raw_매출!$B$2:$BI$155,MATCH($A112,Raw_매출!$A$2:$A$155,0),MATCH(EDATE($E112,BI$1-1),Raw_매출!$B$1:$BI$1,0))=0,"",INDEX(Raw_매출!$B$2:$BI$155,MATCH($A112,Raw_매출!$A$2:$A$155,0),MATCH(EDATE($E112,BI$1-1),Raw_매출!$B$1:$BI$1,0))/(INDEX(요약_월별시즈널리티!$F$7:$F$18,MONTH(EDATE($E112,BI$1-1)))/100))),"")</f>
        <v/>
      </c>
      <c r="BJ112" t="str" cm="1">
        <f t="array" ref="BJ112">IFERROR(IF($E112&lt;44348,"",IF(INDEX(Raw_매출!$B$2:$BI$155,MATCH($A112,Raw_매출!$A$2:$A$155,0),MATCH(EDATE($E112,BJ$1-1),Raw_매출!$B$1:$BI$1,0))=0,"",INDEX(Raw_매출!$B$2:$BI$155,MATCH($A112,Raw_매출!$A$2:$A$155,0),MATCH(EDATE($E112,BJ$1-1),Raw_매출!$B$1:$BI$1,0))/(INDEX(요약_월별시즈널리티!$F$7:$F$18,MONTH(EDATE($E112,BJ$1-1)))/100))),"")</f>
        <v/>
      </c>
      <c r="BK112" t="str" cm="1">
        <f t="array" ref="BK112">IFERROR(IF($E112&lt;44348,"",IF(INDEX(Raw_매출!$B$2:$BI$155,MATCH($A112,Raw_매출!$A$2:$A$155,0),MATCH(EDATE($E112,BK$1-1),Raw_매출!$B$1:$BI$1,0))=0,"",INDEX(Raw_매출!$B$2:$BI$155,MATCH($A112,Raw_매출!$A$2:$A$155,0),MATCH(EDATE($E112,BK$1-1),Raw_매출!$B$1:$BI$1,0))/(INDEX(요약_월별시즈널리티!$F$7:$F$18,MONTH(EDATE($E112,BK$1-1)))/100))),"")</f>
        <v/>
      </c>
      <c r="BL112" t="str" cm="1">
        <f t="array" ref="BL112">IFERROR(IF($E112&lt;44348,"",IF(INDEX(Raw_매출!$B$2:$BI$155,MATCH($A112,Raw_매출!$A$2:$A$155,0),MATCH(EDATE($E112,BL$1-1),Raw_매출!$B$1:$BI$1,0))=0,"",INDEX(Raw_매출!$B$2:$BI$155,MATCH($A112,Raw_매출!$A$2:$A$155,0),MATCH(EDATE($E112,BL$1-1),Raw_매출!$B$1:$BI$1,0))/(INDEX(요약_월별시즈널리티!$F$7:$F$18,MONTH(EDATE($E112,BL$1-1)))/100))),"")</f>
        <v/>
      </c>
      <c r="BM112" t="str" cm="1">
        <f t="array" ref="BM112">IFERROR(IF($E112&lt;44348,"",IF(INDEX(Raw_매출!$B$2:$BI$155,MATCH($A112,Raw_매출!$A$2:$A$155,0),MATCH(EDATE($E112,BM$1-1),Raw_매출!$B$1:$BI$1,0))=0,"",INDEX(Raw_매출!$B$2:$BI$155,MATCH($A112,Raw_매출!$A$2:$A$155,0),MATCH(EDATE($E112,BM$1-1),Raw_매출!$B$1:$BI$1,0))/(INDEX(요약_월별시즈널리티!$F$7:$F$18,MONTH(EDATE($E112,BM$1-1)))/100))),"")</f>
        <v/>
      </c>
      <c r="BN112" t="str" cm="1">
        <f t="array" ref="BN112">IFERROR(IF($E112&lt;44348,"",IF(INDEX(Raw_매출!$B$2:$BI$155,MATCH($A112,Raw_매출!$A$2:$A$155,0),MATCH(EDATE($E112,BN$1-1),Raw_매출!$B$1:$BI$1,0))=0,"",INDEX(Raw_매출!$B$2:$BI$155,MATCH($A112,Raw_매출!$A$2:$A$155,0),MATCH(EDATE($E112,BN$1-1),Raw_매출!$B$1:$BI$1,0))/(INDEX(요약_월별시즈널리티!$F$7:$F$18,MONTH(EDATE($E112,BN$1-1)))/100))),"")</f>
        <v/>
      </c>
    </row>
    <row r="113" spans="1:66" x14ac:dyDescent="0.4">
      <c r="A113" t="str">
        <f>세팅!A114</f>
        <v>(1103) #한양대학로점</v>
      </c>
      <c r="B113" t="str">
        <f>세팅!B114</f>
        <v>150-1</v>
      </c>
      <c r="C113">
        <f t="shared" si="3"/>
        <v>1</v>
      </c>
      <c r="D113" t="str">
        <f t="shared" si="4"/>
        <v>1</v>
      </c>
      <c r="E113" s="1">
        <f>세팅!D114</f>
        <v>45352</v>
      </c>
      <c r="F113">
        <f t="shared" si="5"/>
        <v>3556700.0089761787</v>
      </c>
      <c r="G113" cm="1">
        <f t="array" ref="G113">IFERROR(IF($E113&lt;44348,"",IF(INDEX(Raw_매출!$B$2:$BI$155,MATCH($A113,Raw_매출!$A$2:$A$155,0),MATCH(EDATE($E113,G$1-1),Raw_매출!$B$1:$BI$1,0))=0,"",INDEX(Raw_매출!$B$2:$BI$155,MATCH($A113,Raw_매출!$A$2:$A$155,0),MATCH(EDATE($E113,G$1-1),Raw_매출!$B$1:$BI$1,0))/(INDEX(요약_월별시즈널리티!$F$7:$F$18,MONTH(EDATE($E113,G$1-1)))/100))),"")</f>
        <v>3047526.2136273333</v>
      </c>
      <c r="H113" cm="1">
        <f t="array" ref="H113">IFERROR(IF($E113&lt;44348,"",IF(INDEX(Raw_매출!$B$2:$BI$155,MATCH($A113,Raw_매출!$A$2:$A$155,0),MATCH(EDATE($E113,H$1-1),Raw_매출!$B$1:$BI$1,0))=0,"",INDEX(Raw_매출!$B$2:$BI$155,MATCH($A113,Raw_매출!$A$2:$A$155,0),MATCH(EDATE($E113,H$1-1),Raw_매출!$B$1:$BI$1,0))/(INDEX(요약_월별시즈널리티!$F$7:$F$18,MONTH(EDATE($E113,H$1-1)))/100))),"")</f>
        <v>3258676.4485581997</v>
      </c>
      <c r="I113" cm="1">
        <f t="array" ref="I113">IFERROR(IF($E113&lt;44348,"",IF(INDEX(Raw_매출!$B$2:$BI$155,MATCH($A113,Raw_매출!$A$2:$A$155,0),MATCH(EDATE($E113,I$1-1),Raw_매출!$B$1:$BI$1,0))=0,"",INDEX(Raw_매출!$B$2:$BI$155,MATCH($A113,Raw_매출!$A$2:$A$155,0),MATCH(EDATE($E113,I$1-1),Raw_매출!$B$1:$BI$1,0))/(INDEX(요약_월별시즈널리티!$F$7:$F$18,MONTH(EDATE($E113,I$1-1)))/100))),"")</f>
        <v>3105574.9592113611</v>
      </c>
      <c r="J113" s="30" cm="1">
        <f t="array" ref="J113">IFERROR(IF($E113&lt;44348,"",IF(INDEX(Raw_매출!$B$2:$BI$155,MATCH($A113,Raw_매출!$A$2:$A$155,0),MATCH(EDATE($E113,J$1-1),Raw_매출!$B$1:$BI$1,0))=0,"",INDEX(Raw_매출!$B$2:$BI$155,MATCH($A113,Raw_매출!$A$2:$A$155,0),MATCH(EDATE($E113,J$1-1),Raw_매출!$B$1:$BI$1,0))/(INDEX(요약_월별시즈널리티!$F$7:$F$18,MONTH(EDATE($E113,J$1-1)))/100))),"")</f>
        <v>3755102.1359524601</v>
      </c>
      <c r="K113" s="30" cm="1">
        <f t="array" ref="K113">IFERROR(IF($E113&lt;44348,"",IF(INDEX(Raw_매출!$B$2:$BI$155,MATCH($A113,Raw_매출!$A$2:$A$155,0),MATCH(EDATE($E113,K$1-1),Raw_매출!$B$1:$BI$1,0))=0,"",INDEX(Raw_매출!$B$2:$BI$155,MATCH($A113,Raw_매출!$A$2:$A$155,0),MATCH(EDATE($E113,K$1-1),Raw_매출!$B$1:$BI$1,0))/(INDEX(요약_월별시즈널리티!$F$7:$F$18,MONTH(EDATE($E113,K$1-1)))/100))),"")</f>
        <v>3147423.1097014891</v>
      </c>
      <c r="L113" s="30" cm="1">
        <f t="array" ref="L113">IFERROR(IF($E113&lt;44348,"",IF(INDEX(Raw_매출!$B$2:$BI$155,MATCH($A113,Raw_매출!$A$2:$A$155,0),MATCH(EDATE($E113,L$1-1),Raw_매출!$B$1:$BI$1,0))=0,"",INDEX(Raw_매출!$B$2:$BI$155,MATCH($A113,Raw_매출!$A$2:$A$155,0),MATCH(EDATE($E113,L$1-1),Raw_매출!$B$1:$BI$1,0))/(INDEX(요약_월별시즈널리티!$F$7:$F$18,MONTH(EDATE($E113,L$1-1)))/100))),"")</f>
        <v>3739763.6933146217</v>
      </c>
      <c r="M113" s="30" cm="1">
        <f t="array" ref="M113">IFERROR(IF($E113&lt;44348,"",IF(INDEX(Raw_매출!$B$2:$BI$155,MATCH($A113,Raw_매출!$A$2:$A$155,0),MATCH(EDATE($E113,M$1-1),Raw_매출!$B$1:$BI$1,0))=0,"",INDEX(Raw_매출!$B$2:$BI$155,MATCH($A113,Raw_매출!$A$2:$A$155,0),MATCH(EDATE($E113,M$1-1),Raw_매출!$B$1:$BI$1,0))/(INDEX(요약_월별시즈널리티!$F$7:$F$18,MONTH(EDATE($E113,M$1-1)))/100))),"")</f>
        <v>3819939.2899404559</v>
      </c>
      <c r="N113" s="30" cm="1">
        <f t="array" ref="N113">IFERROR(IF($E113&lt;44348,"",IF(INDEX(Raw_매출!$B$2:$BI$155,MATCH($A113,Raw_매출!$A$2:$A$155,0),MATCH(EDATE($E113,N$1-1),Raw_매출!$B$1:$BI$1,0))=0,"",INDEX(Raw_매출!$B$2:$BI$155,MATCH($A113,Raw_매출!$A$2:$A$155,0),MATCH(EDATE($E113,N$1-1),Raw_매출!$B$1:$BI$1,0))/(INDEX(요약_월별시즈널리티!$F$7:$F$18,MONTH(EDATE($E113,N$1-1)))/100))),"")</f>
        <v>3367173.9259139546</v>
      </c>
      <c r="O113" s="30" cm="1">
        <f t="array" ref="O113">IFERROR(IF($E113&lt;44348,"",IF(INDEX(Raw_매출!$B$2:$BI$155,MATCH($A113,Raw_매출!$A$2:$A$155,0),MATCH(EDATE($E113,O$1-1),Raw_매출!$B$1:$BI$1,0))=0,"",INDEX(Raw_매출!$B$2:$BI$155,MATCH($A113,Raw_매출!$A$2:$A$155,0),MATCH(EDATE($E113,O$1-1),Raw_매출!$B$1:$BI$1,0))/(INDEX(요약_월별시즈널리티!$F$7:$F$18,MONTH(EDATE($E113,O$1-1)))/100))),"")</f>
        <v>3510797.8990340894</v>
      </c>
      <c r="P113" cm="1">
        <f t="array" ref="P113">IFERROR(IF($E113&lt;44348,"",IF(INDEX(Raw_매출!$B$2:$BI$155,MATCH($A113,Raw_매출!$A$2:$A$155,0),MATCH(EDATE($E113,P$1-1),Raw_매출!$B$1:$BI$1,0))=0,"",INDEX(Raw_매출!$B$2:$BI$155,MATCH($A113,Raw_매출!$A$2:$A$155,0),MATCH(EDATE($E113,P$1-1),Raw_매출!$B$1:$BI$1,0))/(INDEX(요약_월별시즈널리티!$F$7:$F$18,MONTH(EDATE($E113,P$1-1)))/100))),"")</f>
        <v>3883943.1668591099</v>
      </c>
      <c r="Q113" cm="1">
        <f t="array" ref="Q113">IFERROR(IF($E113&lt;44348,"",IF(INDEX(Raw_매출!$B$2:$BI$155,MATCH($A113,Raw_매출!$A$2:$A$155,0),MATCH(EDATE($E113,Q$1-1),Raw_매출!$B$1:$BI$1,0))=0,"",INDEX(Raw_매출!$B$2:$BI$155,MATCH($A113,Raw_매출!$A$2:$A$155,0),MATCH(EDATE($E113,Q$1-1),Raw_매출!$B$1:$BI$1,0))/(INDEX(요약_월별시즈널리티!$F$7:$F$18,MONTH(EDATE($E113,Q$1-1)))/100))),"")</f>
        <v>3628791.0668730708</v>
      </c>
      <c r="R113" cm="1">
        <f t="array" ref="R113">IFERROR(IF($E113&lt;44348,"",IF(INDEX(Raw_매출!$B$2:$BI$155,MATCH($A113,Raw_매출!$A$2:$A$155,0),MATCH(EDATE($E113,R$1-1),Raw_매출!$B$1:$BI$1,0))=0,"",INDEX(Raw_매출!$B$2:$BI$155,MATCH($A113,Raw_매출!$A$2:$A$155,0),MATCH(EDATE($E113,R$1-1),Raw_매출!$B$1:$BI$1,0))/(INDEX(요약_월별시즈널리티!$F$7:$F$18,MONTH(EDATE($E113,R$1-1)))/100))),"")</f>
        <v>4063341.260929354</v>
      </c>
      <c r="S113" cm="1">
        <f t="array" ref="S113">IFERROR(IF($E113&lt;44348,"",IF(INDEX(Raw_매출!$B$2:$BI$155,MATCH($A113,Raw_매출!$A$2:$A$155,0),MATCH(EDATE($E113,S$1-1),Raw_매출!$B$1:$BI$1,0))=0,"",INDEX(Raw_매출!$B$2:$BI$155,MATCH($A113,Raw_매출!$A$2:$A$155,0),MATCH(EDATE($E113,S$1-1),Raw_매출!$B$1:$BI$1,0))/(INDEX(요약_월별시즈널리티!$F$7:$F$18,MONTH(EDATE($E113,S$1-1)))/100))),"")</f>
        <v>4394658.4952118201</v>
      </c>
      <c r="T113" cm="1">
        <f t="array" ref="T113">IFERROR(IF($E113&lt;44348,"",IF(INDEX(Raw_매출!$B$2:$BI$155,MATCH($A113,Raw_매출!$A$2:$A$155,0),MATCH(EDATE($E113,T$1-1),Raw_매출!$B$1:$BI$1,0))=0,"",INDEX(Raw_매출!$B$2:$BI$155,MATCH($A113,Raw_매출!$A$2:$A$155,0),MATCH(EDATE($E113,T$1-1),Raw_매출!$B$1:$BI$1,0))/(INDEX(요약_월별시즈널리티!$F$7:$F$18,MONTH(EDATE($E113,T$1-1)))/100))),"")</f>
        <v>4293713.6306610983</v>
      </c>
      <c r="U113" cm="1">
        <f t="array" ref="U113">IFERROR(IF($E113&lt;44348,"",IF(INDEX(Raw_매출!$B$2:$BI$155,MATCH($A113,Raw_매출!$A$2:$A$155,0),MATCH(EDATE($E113,U$1-1),Raw_매출!$B$1:$BI$1,0))=0,"",INDEX(Raw_매출!$B$2:$BI$155,MATCH($A113,Raw_매출!$A$2:$A$155,0),MATCH(EDATE($E113,U$1-1),Raw_매출!$B$1:$BI$1,0))/(INDEX(요약_월별시즈널리티!$F$7:$F$18,MONTH(EDATE($E113,U$1-1)))/100))),"")</f>
        <v>4318573.7690113587</v>
      </c>
      <c r="V113" cm="1">
        <f t="array" ref="V113">IFERROR(IF($E113&lt;44348,"",IF(INDEX(Raw_매출!$B$2:$BI$155,MATCH($A113,Raw_매출!$A$2:$A$155,0),MATCH(EDATE($E113,V$1-1),Raw_매출!$B$1:$BI$1,0))=0,"",INDEX(Raw_매출!$B$2:$BI$155,MATCH($A113,Raw_매출!$A$2:$A$155,0),MATCH(EDATE($E113,V$1-1),Raw_매출!$B$1:$BI$1,0))/(INDEX(요약_월별시즈널리티!$F$7:$F$18,MONTH(EDATE($E113,V$1-1)))/100))),"")</f>
        <v>4970273.4119491084</v>
      </c>
      <c r="W113" cm="1">
        <f t="array" ref="W113">IFERROR(IF($E113&lt;44348,"",IF(INDEX(Raw_매출!$B$2:$BI$155,MATCH($A113,Raw_매출!$A$2:$A$155,0),MATCH(EDATE($E113,W$1-1),Raw_매출!$B$1:$BI$1,0))=0,"",INDEX(Raw_매출!$B$2:$BI$155,MATCH($A113,Raw_매출!$A$2:$A$155,0),MATCH(EDATE($E113,W$1-1),Raw_매출!$B$1:$BI$1,0))/(INDEX(요약_월별시즈널리티!$F$7:$F$18,MONTH(EDATE($E113,W$1-1)))/100))),"")</f>
        <v>3995055.3686786988</v>
      </c>
      <c r="X113" cm="1">
        <f t="array" ref="X113">IFERROR(IF($E113&lt;44348,"",IF(INDEX(Raw_매출!$B$2:$BI$155,MATCH($A113,Raw_매출!$A$2:$A$155,0),MATCH(EDATE($E113,X$1-1),Raw_매출!$B$1:$BI$1,0))=0,"",INDEX(Raw_매출!$B$2:$BI$155,MATCH($A113,Raw_매출!$A$2:$A$155,0),MATCH(EDATE($E113,X$1-1),Raw_매출!$B$1:$BI$1,0))/(INDEX(요약_월별시즈널리티!$F$7:$F$18,MONTH(EDATE($E113,X$1-1)))/100))),"")</f>
        <v>3733991.7422753493</v>
      </c>
      <c r="Y113" cm="1">
        <f t="array" ref="Y113">IFERROR(IF($E113&lt;44348,"",IF(INDEX(Raw_매출!$B$2:$BI$155,MATCH($A113,Raw_매출!$A$2:$A$155,0),MATCH(EDATE($E113,Y$1-1),Raw_매출!$B$1:$BI$1,0))=0,"",INDEX(Raw_매출!$B$2:$BI$155,MATCH($A113,Raw_매출!$A$2:$A$155,0),MATCH(EDATE($E113,Y$1-1),Raw_매출!$B$1:$BI$1,0))/(INDEX(요약_월별시즈널리티!$F$7:$F$18,MONTH(EDATE($E113,Y$1-1)))/100))),"")</f>
        <v>3270568.2069077818</v>
      </c>
      <c r="Z113" cm="1">
        <f t="array" ref="Z113">IFERROR(IF($E113&lt;44348,"",IF(INDEX(Raw_매출!$B$2:$BI$155,MATCH($A113,Raw_매출!$A$2:$A$155,0),MATCH(EDATE($E113,Z$1-1),Raw_매출!$B$1:$BI$1,0))=0,"",INDEX(Raw_매출!$B$2:$BI$155,MATCH($A113,Raw_매출!$A$2:$A$155,0),MATCH(EDATE($E113,Z$1-1),Raw_매출!$B$1:$BI$1,0))/(INDEX(요약_월별시즈널리티!$F$7:$F$18,MONTH(EDATE($E113,Z$1-1)))/100))),"")</f>
        <v>2775554.4071102655</v>
      </c>
      <c r="AA113" cm="1">
        <f t="array" ref="AA113">IFERROR(IF($E113&lt;44348,"",IF(INDEX(Raw_매출!$B$2:$BI$155,MATCH($A113,Raw_매출!$A$2:$A$155,0),MATCH(EDATE($E113,AA$1-1),Raw_매출!$B$1:$BI$1,0))=0,"",INDEX(Raw_매출!$B$2:$BI$155,MATCH($A113,Raw_매출!$A$2:$A$155,0),MATCH(EDATE($E113,AA$1-1),Raw_매출!$B$1:$BI$1,0))/(INDEX(요약_월별시즈널리티!$F$7:$F$18,MONTH(EDATE($E113,AA$1-1)))/100))),"")</f>
        <v>2860078.8207294326</v>
      </c>
      <c r="AB113" cm="1">
        <f t="array" ref="AB113">IFERROR(IF($E113&lt;44348,"",IF(INDEX(Raw_매출!$B$2:$BI$155,MATCH($A113,Raw_매출!$A$2:$A$155,0),MATCH(EDATE($E113,AB$1-1),Raw_매출!$B$1:$BI$1,0))=0,"",INDEX(Raw_매출!$B$2:$BI$155,MATCH($A113,Raw_매출!$A$2:$A$155,0),MATCH(EDATE($E113,AB$1-1),Raw_매출!$B$1:$BI$1,0))/(INDEX(요약_월별시즈널리티!$F$7:$F$18,MONTH(EDATE($E113,AB$1-1)))/100))),"")</f>
        <v>2469093.7092946437</v>
      </c>
      <c r="AC113" cm="1">
        <f t="array" ref="AC113">IFERROR(IF($E113&lt;44348,"",IF(INDEX(Raw_매출!$B$2:$BI$155,MATCH($A113,Raw_매출!$A$2:$A$155,0),MATCH(EDATE($E113,AC$1-1),Raw_매출!$B$1:$BI$1,0))=0,"",INDEX(Raw_매출!$B$2:$BI$155,MATCH($A113,Raw_매출!$A$2:$A$155,0),MATCH(EDATE($E113,AC$1-1),Raw_매출!$B$1:$BI$1,0))/(INDEX(요약_월별시즈널리티!$F$7:$F$18,MONTH(EDATE($E113,AC$1-1)))/100))),"")</f>
        <v>2491312.8753089616</v>
      </c>
      <c r="AD113" cm="1">
        <f t="array" ref="AD113">IFERROR(IF($E113&lt;44348,"",IF(INDEX(Raw_매출!$B$2:$BI$155,MATCH($A113,Raw_매출!$A$2:$A$155,0),MATCH(EDATE($E113,AD$1-1),Raw_매출!$B$1:$BI$1,0))=0,"",INDEX(Raw_매출!$B$2:$BI$155,MATCH($A113,Raw_매출!$A$2:$A$155,0),MATCH(EDATE($E113,AD$1-1),Raw_매출!$B$1:$BI$1,0))/(INDEX(요약_월별시즈널리티!$F$7:$F$18,MONTH(EDATE($E113,AD$1-1)))/100))),"")</f>
        <v>2188312.5606467267</v>
      </c>
      <c r="AE113" cm="1">
        <f t="array" ref="AE113">IFERROR(IF($E113&lt;44348,"",IF(INDEX(Raw_매출!$B$2:$BI$155,MATCH($A113,Raw_매출!$A$2:$A$155,0),MATCH(EDATE($E113,AE$1-1),Raw_매출!$B$1:$BI$1,0))=0,"",INDEX(Raw_매출!$B$2:$BI$155,MATCH($A113,Raw_매출!$A$2:$A$155,0),MATCH(EDATE($E113,AE$1-1),Raw_매출!$B$1:$BI$1,0))/(INDEX(요약_월별시즈널리티!$F$7:$F$18,MONTH(EDATE($E113,AE$1-1)))/100))),"")</f>
        <v>2432963.9378073569</v>
      </c>
      <c r="AF113" cm="1">
        <f t="array" ref="AF113">IFERROR(IF($E113&lt;44348,"",IF(INDEX(Raw_매출!$B$2:$BI$155,MATCH($A113,Raw_매출!$A$2:$A$155,0),MATCH(EDATE($E113,AF$1-1),Raw_매출!$B$1:$BI$1,0))=0,"",INDEX(Raw_매출!$B$2:$BI$155,MATCH($A113,Raw_매출!$A$2:$A$155,0),MATCH(EDATE($E113,AF$1-1),Raw_매출!$B$1:$BI$1,0))/(INDEX(요약_월별시즈널리티!$F$7:$F$18,MONTH(EDATE($E113,AF$1-1)))/100))),"")</f>
        <v>2649815.808051439</v>
      </c>
      <c r="AG113" cm="1">
        <f t="array" ref="AG113">IFERROR(IF($E113&lt;44348,"",IF(INDEX(Raw_매출!$B$2:$BI$155,MATCH($A113,Raw_매출!$A$2:$A$155,0),MATCH(EDATE($E113,AG$1-1),Raw_매출!$B$1:$BI$1,0))=0,"",INDEX(Raw_매출!$B$2:$BI$155,MATCH($A113,Raw_매출!$A$2:$A$155,0),MATCH(EDATE($E113,AG$1-1),Raw_매출!$B$1:$BI$1,0))/(INDEX(요약_월별시즈널리티!$F$7:$F$18,MONTH(EDATE($E113,AG$1-1)))/100))),"")</f>
        <v>2921522.9607883007</v>
      </c>
      <c r="AH113" t="str" cm="1">
        <f t="array" ref="AH113">IFERROR(IF($E113&lt;44348,"",IF(INDEX(Raw_매출!$B$2:$BI$155,MATCH($A113,Raw_매출!$A$2:$A$155,0),MATCH(EDATE($E113,AH$1-1),Raw_매출!$B$1:$BI$1,0))=0,"",INDEX(Raw_매출!$B$2:$BI$155,MATCH($A113,Raw_매출!$A$2:$A$155,0),MATCH(EDATE($E113,AH$1-1),Raw_매출!$B$1:$BI$1,0))/(INDEX(요약_월별시즈널리티!$F$7:$F$18,MONTH(EDATE($E113,AH$1-1)))/100))),"")</f>
        <v/>
      </c>
      <c r="AI113" t="str" cm="1">
        <f t="array" ref="AI113">IFERROR(IF($E113&lt;44348,"",IF(INDEX(Raw_매출!$B$2:$BI$155,MATCH($A113,Raw_매출!$A$2:$A$155,0),MATCH(EDATE($E113,AI$1-1),Raw_매출!$B$1:$BI$1,0))=0,"",INDEX(Raw_매출!$B$2:$BI$155,MATCH($A113,Raw_매출!$A$2:$A$155,0),MATCH(EDATE($E113,AI$1-1),Raw_매출!$B$1:$BI$1,0))/(INDEX(요약_월별시즈널리티!$F$7:$F$18,MONTH(EDATE($E113,AI$1-1)))/100))),"")</f>
        <v/>
      </c>
      <c r="AJ113" t="str" cm="1">
        <f t="array" ref="AJ113">IFERROR(IF($E113&lt;44348,"",IF(INDEX(Raw_매출!$B$2:$BI$155,MATCH($A113,Raw_매출!$A$2:$A$155,0),MATCH(EDATE($E113,AJ$1-1),Raw_매출!$B$1:$BI$1,0))=0,"",INDEX(Raw_매출!$B$2:$BI$155,MATCH($A113,Raw_매출!$A$2:$A$155,0),MATCH(EDATE($E113,AJ$1-1),Raw_매출!$B$1:$BI$1,0))/(INDEX(요약_월별시즈널리티!$F$7:$F$18,MONTH(EDATE($E113,AJ$1-1)))/100))),"")</f>
        <v/>
      </c>
      <c r="AK113" t="str" cm="1">
        <f t="array" ref="AK113">IFERROR(IF($E113&lt;44348,"",IF(INDEX(Raw_매출!$B$2:$BI$155,MATCH($A113,Raw_매출!$A$2:$A$155,0),MATCH(EDATE($E113,AK$1-1),Raw_매출!$B$1:$BI$1,0))=0,"",INDEX(Raw_매출!$B$2:$BI$155,MATCH($A113,Raw_매출!$A$2:$A$155,0),MATCH(EDATE($E113,AK$1-1),Raw_매출!$B$1:$BI$1,0))/(INDEX(요약_월별시즈널리티!$F$7:$F$18,MONTH(EDATE($E113,AK$1-1)))/100))),"")</f>
        <v/>
      </c>
      <c r="AL113" t="str" cm="1">
        <f t="array" ref="AL113">IFERROR(IF($E113&lt;44348,"",IF(INDEX(Raw_매출!$B$2:$BI$155,MATCH($A113,Raw_매출!$A$2:$A$155,0),MATCH(EDATE($E113,AL$1-1),Raw_매출!$B$1:$BI$1,0))=0,"",INDEX(Raw_매출!$B$2:$BI$155,MATCH($A113,Raw_매출!$A$2:$A$155,0),MATCH(EDATE($E113,AL$1-1),Raw_매출!$B$1:$BI$1,0))/(INDEX(요약_월별시즈널리티!$F$7:$F$18,MONTH(EDATE($E113,AL$1-1)))/100))),"")</f>
        <v/>
      </c>
      <c r="AM113" t="str" cm="1">
        <f t="array" ref="AM113">IFERROR(IF($E113&lt;44348,"",IF(INDEX(Raw_매출!$B$2:$BI$155,MATCH($A113,Raw_매출!$A$2:$A$155,0),MATCH(EDATE($E113,AM$1-1),Raw_매출!$B$1:$BI$1,0))=0,"",INDEX(Raw_매출!$B$2:$BI$155,MATCH($A113,Raw_매출!$A$2:$A$155,0),MATCH(EDATE($E113,AM$1-1),Raw_매출!$B$1:$BI$1,0))/(INDEX(요약_월별시즈널리티!$F$7:$F$18,MONTH(EDATE($E113,AM$1-1)))/100))),"")</f>
        <v/>
      </c>
      <c r="AN113" t="str" cm="1">
        <f t="array" ref="AN113">IFERROR(IF($E113&lt;44348,"",IF(INDEX(Raw_매출!$B$2:$BI$155,MATCH($A113,Raw_매출!$A$2:$A$155,0),MATCH(EDATE($E113,AN$1-1),Raw_매출!$B$1:$BI$1,0))=0,"",INDEX(Raw_매출!$B$2:$BI$155,MATCH($A113,Raw_매출!$A$2:$A$155,0),MATCH(EDATE($E113,AN$1-1),Raw_매출!$B$1:$BI$1,0))/(INDEX(요약_월별시즈널리티!$F$7:$F$18,MONTH(EDATE($E113,AN$1-1)))/100))),"")</f>
        <v/>
      </c>
      <c r="AO113" t="str" cm="1">
        <f t="array" ref="AO113">IFERROR(IF($E113&lt;44348,"",IF(INDEX(Raw_매출!$B$2:$BI$155,MATCH($A113,Raw_매출!$A$2:$A$155,0),MATCH(EDATE($E113,AO$1-1),Raw_매출!$B$1:$BI$1,0))=0,"",INDEX(Raw_매출!$B$2:$BI$155,MATCH($A113,Raw_매출!$A$2:$A$155,0),MATCH(EDATE($E113,AO$1-1),Raw_매출!$B$1:$BI$1,0))/(INDEX(요약_월별시즈널리티!$F$7:$F$18,MONTH(EDATE($E113,AO$1-1)))/100))),"")</f>
        <v/>
      </c>
      <c r="AP113" t="str" cm="1">
        <f t="array" ref="AP113">IFERROR(IF($E113&lt;44348,"",IF(INDEX(Raw_매출!$B$2:$BI$155,MATCH($A113,Raw_매출!$A$2:$A$155,0),MATCH(EDATE($E113,AP$1-1),Raw_매출!$B$1:$BI$1,0))=0,"",INDEX(Raw_매출!$B$2:$BI$155,MATCH($A113,Raw_매출!$A$2:$A$155,0),MATCH(EDATE($E113,AP$1-1),Raw_매출!$B$1:$BI$1,0))/(INDEX(요약_월별시즈널리티!$F$7:$F$18,MONTH(EDATE($E113,AP$1-1)))/100))),"")</f>
        <v/>
      </c>
      <c r="AQ113" t="str" cm="1">
        <f t="array" ref="AQ113">IFERROR(IF($E113&lt;44348,"",IF(INDEX(Raw_매출!$B$2:$BI$155,MATCH($A113,Raw_매출!$A$2:$A$155,0),MATCH(EDATE($E113,AQ$1-1),Raw_매출!$B$1:$BI$1,0))=0,"",INDEX(Raw_매출!$B$2:$BI$155,MATCH($A113,Raw_매출!$A$2:$A$155,0),MATCH(EDATE($E113,AQ$1-1),Raw_매출!$B$1:$BI$1,0))/(INDEX(요약_월별시즈널리티!$F$7:$F$18,MONTH(EDATE($E113,AQ$1-1)))/100))),"")</f>
        <v/>
      </c>
      <c r="AR113" t="str" cm="1">
        <f t="array" ref="AR113">IFERROR(IF($E113&lt;44348,"",IF(INDEX(Raw_매출!$B$2:$BI$155,MATCH($A113,Raw_매출!$A$2:$A$155,0),MATCH(EDATE($E113,AR$1-1),Raw_매출!$B$1:$BI$1,0))=0,"",INDEX(Raw_매출!$B$2:$BI$155,MATCH($A113,Raw_매출!$A$2:$A$155,0),MATCH(EDATE($E113,AR$1-1),Raw_매출!$B$1:$BI$1,0))/(INDEX(요약_월별시즈널리티!$F$7:$F$18,MONTH(EDATE($E113,AR$1-1)))/100))),"")</f>
        <v/>
      </c>
      <c r="AS113" t="str" cm="1">
        <f t="array" ref="AS113">IFERROR(IF($E113&lt;44348,"",IF(INDEX(Raw_매출!$B$2:$BI$155,MATCH($A113,Raw_매출!$A$2:$A$155,0),MATCH(EDATE($E113,AS$1-1),Raw_매출!$B$1:$BI$1,0))=0,"",INDEX(Raw_매출!$B$2:$BI$155,MATCH($A113,Raw_매출!$A$2:$A$155,0),MATCH(EDATE($E113,AS$1-1),Raw_매출!$B$1:$BI$1,0))/(INDEX(요약_월별시즈널리티!$F$7:$F$18,MONTH(EDATE($E113,AS$1-1)))/100))),"")</f>
        <v/>
      </c>
      <c r="AT113" t="str" cm="1">
        <f t="array" ref="AT113">IFERROR(IF($E113&lt;44348,"",IF(INDEX(Raw_매출!$B$2:$BI$155,MATCH($A113,Raw_매출!$A$2:$A$155,0),MATCH(EDATE($E113,AT$1-1),Raw_매출!$B$1:$BI$1,0))=0,"",INDEX(Raw_매출!$B$2:$BI$155,MATCH($A113,Raw_매출!$A$2:$A$155,0),MATCH(EDATE($E113,AT$1-1),Raw_매출!$B$1:$BI$1,0))/(INDEX(요약_월별시즈널리티!$F$7:$F$18,MONTH(EDATE($E113,AT$1-1)))/100))),"")</f>
        <v/>
      </c>
      <c r="AU113" t="str" cm="1">
        <f t="array" ref="AU113">IFERROR(IF($E113&lt;44348,"",IF(INDEX(Raw_매출!$B$2:$BI$155,MATCH($A113,Raw_매출!$A$2:$A$155,0),MATCH(EDATE($E113,AU$1-1),Raw_매출!$B$1:$BI$1,0))=0,"",INDEX(Raw_매출!$B$2:$BI$155,MATCH($A113,Raw_매출!$A$2:$A$155,0),MATCH(EDATE($E113,AU$1-1),Raw_매출!$B$1:$BI$1,0))/(INDEX(요약_월별시즈널리티!$F$7:$F$18,MONTH(EDATE($E113,AU$1-1)))/100))),"")</f>
        <v/>
      </c>
      <c r="AV113" t="str" cm="1">
        <f t="array" ref="AV113">IFERROR(IF($E113&lt;44348,"",IF(INDEX(Raw_매출!$B$2:$BI$155,MATCH($A113,Raw_매출!$A$2:$A$155,0),MATCH(EDATE($E113,AV$1-1),Raw_매출!$B$1:$BI$1,0))=0,"",INDEX(Raw_매출!$B$2:$BI$155,MATCH($A113,Raw_매출!$A$2:$A$155,0),MATCH(EDATE($E113,AV$1-1),Raw_매출!$B$1:$BI$1,0))/(INDEX(요약_월별시즈널리티!$F$7:$F$18,MONTH(EDATE($E113,AV$1-1)))/100))),"")</f>
        <v/>
      </c>
      <c r="AW113" t="str" cm="1">
        <f t="array" ref="AW113">IFERROR(IF($E113&lt;44348,"",IF(INDEX(Raw_매출!$B$2:$BI$155,MATCH($A113,Raw_매출!$A$2:$A$155,0),MATCH(EDATE($E113,AW$1-1),Raw_매출!$B$1:$BI$1,0))=0,"",INDEX(Raw_매출!$B$2:$BI$155,MATCH($A113,Raw_매출!$A$2:$A$155,0),MATCH(EDATE($E113,AW$1-1),Raw_매출!$B$1:$BI$1,0))/(INDEX(요약_월별시즈널리티!$F$7:$F$18,MONTH(EDATE($E113,AW$1-1)))/100))),"")</f>
        <v/>
      </c>
      <c r="AX113" t="str" cm="1">
        <f t="array" ref="AX113">IFERROR(IF($E113&lt;44348,"",IF(INDEX(Raw_매출!$B$2:$BI$155,MATCH($A113,Raw_매출!$A$2:$A$155,0),MATCH(EDATE($E113,AX$1-1),Raw_매출!$B$1:$BI$1,0))=0,"",INDEX(Raw_매출!$B$2:$BI$155,MATCH($A113,Raw_매출!$A$2:$A$155,0),MATCH(EDATE($E113,AX$1-1),Raw_매출!$B$1:$BI$1,0))/(INDEX(요약_월별시즈널리티!$F$7:$F$18,MONTH(EDATE($E113,AX$1-1)))/100))),"")</f>
        <v/>
      </c>
      <c r="AY113" t="str" cm="1">
        <f t="array" ref="AY113">IFERROR(IF($E113&lt;44348,"",IF(INDEX(Raw_매출!$B$2:$BI$155,MATCH($A113,Raw_매출!$A$2:$A$155,0),MATCH(EDATE($E113,AY$1-1),Raw_매출!$B$1:$BI$1,0))=0,"",INDEX(Raw_매출!$B$2:$BI$155,MATCH($A113,Raw_매출!$A$2:$A$155,0),MATCH(EDATE($E113,AY$1-1),Raw_매출!$B$1:$BI$1,0))/(INDEX(요약_월별시즈널리티!$F$7:$F$18,MONTH(EDATE($E113,AY$1-1)))/100))),"")</f>
        <v/>
      </c>
      <c r="AZ113" t="str" cm="1">
        <f t="array" ref="AZ113">IFERROR(IF($E113&lt;44348,"",IF(INDEX(Raw_매출!$B$2:$BI$155,MATCH($A113,Raw_매출!$A$2:$A$155,0),MATCH(EDATE($E113,AZ$1-1),Raw_매출!$B$1:$BI$1,0))=0,"",INDEX(Raw_매출!$B$2:$BI$155,MATCH($A113,Raw_매출!$A$2:$A$155,0),MATCH(EDATE($E113,AZ$1-1),Raw_매출!$B$1:$BI$1,0))/(INDEX(요약_월별시즈널리티!$F$7:$F$18,MONTH(EDATE($E113,AZ$1-1)))/100))),"")</f>
        <v/>
      </c>
      <c r="BA113" t="str" cm="1">
        <f t="array" ref="BA113">IFERROR(IF($E113&lt;44348,"",IF(INDEX(Raw_매출!$B$2:$BI$155,MATCH($A113,Raw_매출!$A$2:$A$155,0),MATCH(EDATE($E113,BA$1-1),Raw_매출!$B$1:$BI$1,0))=0,"",INDEX(Raw_매출!$B$2:$BI$155,MATCH($A113,Raw_매출!$A$2:$A$155,0),MATCH(EDATE($E113,BA$1-1),Raw_매출!$B$1:$BI$1,0))/(INDEX(요약_월별시즈널리티!$F$7:$F$18,MONTH(EDATE($E113,BA$1-1)))/100))),"")</f>
        <v/>
      </c>
      <c r="BB113" t="str" cm="1">
        <f t="array" ref="BB113">IFERROR(IF($E113&lt;44348,"",IF(INDEX(Raw_매출!$B$2:$BI$155,MATCH($A113,Raw_매출!$A$2:$A$155,0),MATCH(EDATE($E113,BB$1-1),Raw_매출!$B$1:$BI$1,0))=0,"",INDEX(Raw_매출!$B$2:$BI$155,MATCH($A113,Raw_매출!$A$2:$A$155,0),MATCH(EDATE($E113,BB$1-1),Raw_매출!$B$1:$BI$1,0))/(INDEX(요약_월별시즈널리티!$F$7:$F$18,MONTH(EDATE($E113,BB$1-1)))/100))),"")</f>
        <v/>
      </c>
      <c r="BC113" t="str" cm="1">
        <f t="array" ref="BC113">IFERROR(IF($E113&lt;44348,"",IF(INDEX(Raw_매출!$B$2:$BI$155,MATCH($A113,Raw_매출!$A$2:$A$155,0),MATCH(EDATE($E113,BC$1-1),Raw_매출!$B$1:$BI$1,0))=0,"",INDEX(Raw_매출!$B$2:$BI$155,MATCH($A113,Raw_매출!$A$2:$A$155,0),MATCH(EDATE($E113,BC$1-1),Raw_매출!$B$1:$BI$1,0))/(INDEX(요약_월별시즈널리티!$F$7:$F$18,MONTH(EDATE($E113,BC$1-1)))/100))),"")</f>
        <v/>
      </c>
      <c r="BD113" t="str" cm="1">
        <f t="array" ref="BD113">IFERROR(IF($E113&lt;44348,"",IF(INDEX(Raw_매출!$B$2:$BI$155,MATCH($A113,Raw_매출!$A$2:$A$155,0),MATCH(EDATE($E113,BD$1-1),Raw_매출!$B$1:$BI$1,0))=0,"",INDEX(Raw_매출!$B$2:$BI$155,MATCH($A113,Raw_매출!$A$2:$A$155,0),MATCH(EDATE($E113,BD$1-1),Raw_매출!$B$1:$BI$1,0))/(INDEX(요약_월별시즈널리티!$F$7:$F$18,MONTH(EDATE($E113,BD$1-1)))/100))),"")</f>
        <v/>
      </c>
      <c r="BE113" t="str" cm="1">
        <f t="array" ref="BE113">IFERROR(IF($E113&lt;44348,"",IF(INDEX(Raw_매출!$B$2:$BI$155,MATCH($A113,Raw_매출!$A$2:$A$155,0),MATCH(EDATE($E113,BE$1-1),Raw_매출!$B$1:$BI$1,0))=0,"",INDEX(Raw_매출!$B$2:$BI$155,MATCH($A113,Raw_매출!$A$2:$A$155,0),MATCH(EDATE($E113,BE$1-1),Raw_매출!$B$1:$BI$1,0))/(INDEX(요약_월별시즈널리티!$F$7:$F$18,MONTH(EDATE($E113,BE$1-1)))/100))),"")</f>
        <v/>
      </c>
      <c r="BF113" t="str" cm="1">
        <f t="array" ref="BF113">IFERROR(IF($E113&lt;44348,"",IF(INDEX(Raw_매출!$B$2:$BI$155,MATCH($A113,Raw_매출!$A$2:$A$155,0),MATCH(EDATE($E113,BF$1-1),Raw_매출!$B$1:$BI$1,0))=0,"",INDEX(Raw_매출!$B$2:$BI$155,MATCH($A113,Raw_매출!$A$2:$A$155,0),MATCH(EDATE($E113,BF$1-1),Raw_매출!$B$1:$BI$1,0))/(INDEX(요약_월별시즈널리티!$F$7:$F$18,MONTH(EDATE($E113,BF$1-1)))/100))),"")</f>
        <v/>
      </c>
      <c r="BG113" t="str" cm="1">
        <f t="array" ref="BG113">IFERROR(IF($E113&lt;44348,"",IF(INDEX(Raw_매출!$B$2:$BI$155,MATCH($A113,Raw_매출!$A$2:$A$155,0),MATCH(EDATE($E113,BG$1-1),Raw_매출!$B$1:$BI$1,0))=0,"",INDEX(Raw_매출!$B$2:$BI$155,MATCH($A113,Raw_매출!$A$2:$A$155,0),MATCH(EDATE($E113,BG$1-1),Raw_매출!$B$1:$BI$1,0))/(INDEX(요약_월별시즈널리티!$F$7:$F$18,MONTH(EDATE($E113,BG$1-1)))/100))),"")</f>
        <v/>
      </c>
      <c r="BH113" t="str" cm="1">
        <f t="array" ref="BH113">IFERROR(IF($E113&lt;44348,"",IF(INDEX(Raw_매출!$B$2:$BI$155,MATCH($A113,Raw_매출!$A$2:$A$155,0),MATCH(EDATE($E113,BH$1-1),Raw_매출!$B$1:$BI$1,0))=0,"",INDEX(Raw_매출!$B$2:$BI$155,MATCH($A113,Raw_매출!$A$2:$A$155,0),MATCH(EDATE($E113,BH$1-1),Raw_매출!$B$1:$BI$1,0))/(INDEX(요약_월별시즈널리티!$F$7:$F$18,MONTH(EDATE($E113,BH$1-1)))/100))),"")</f>
        <v/>
      </c>
      <c r="BI113" t="str" cm="1">
        <f t="array" ref="BI113">IFERROR(IF($E113&lt;44348,"",IF(INDEX(Raw_매출!$B$2:$BI$155,MATCH($A113,Raw_매출!$A$2:$A$155,0),MATCH(EDATE($E113,BI$1-1),Raw_매출!$B$1:$BI$1,0))=0,"",INDEX(Raw_매출!$B$2:$BI$155,MATCH($A113,Raw_매출!$A$2:$A$155,0),MATCH(EDATE($E113,BI$1-1),Raw_매출!$B$1:$BI$1,0))/(INDEX(요약_월별시즈널리티!$F$7:$F$18,MONTH(EDATE($E113,BI$1-1)))/100))),"")</f>
        <v/>
      </c>
      <c r="BJ113" t="str" cm="1">
        <f t="array" ref="BJ113">IFERROR(IF($E113&lt;44348,"",IF(INDEX(Raw_매출!$B$2:$BI$155,MATCH($A113,Raw_매출!$A$2:$A$155,0),MATCH(EDATE($E113,BJ$1-1),Raw_매출!$B$1:$BI$1,0))=0,"",INDEX(Raw_매출!$B$2:$BI$155,MATCH($A113,Raw_매출!$A$2:$A$155,0),MATCH(EDATE($E113,BJ$1-1),Raw_매출!$B$1:$BI$1,0))/(INDEX(요약_월별시즈널리티!$F$7:$F$18,MONTH(EDATE($E113,BJ$1-1)))/100))),"")</f>
        <v/>
      </c>
      <c r="BK113" t="str" cm="1">
        <f t="array" ref="BK113">IFERROR(IF($E113&lt;44348,"",IF(INDEX(Raw_매출!$B$2:$BI$155,MATCH($A113,Raw_매출!$A$2:$A$155,0),MATCH(EDATE($E113,BK$1-1),Raw_매출!$B$1:$BI$1,0))=0,"",INDEX(Raw_매출!$B$2:$BI$155,MATCH($A113,Raw_매출!$A$2:$A$155,0),MATCH(EDATE($E113,BK$1-1),Raw_매출!$B$1:$BI$1,0))/(INDEX(요약_월별시즈널리티!$F$7:$F$18,MONTH(EDATE($E113,BK$1-1)))/100))),"")</f>
        <v/>
      </c>
      <c r="BL113" t="str" cm="1">
        <f t="array" ref="BL113">IFERROR(IF($E113&lt;44348,"",IF(INDEX(Raw_매출!$B$2:$BI$155,MATCH($A113,Raw_매출!$A$2:$A$155,0),MATCH(EDATE($E113,BL$1-1),Raw_매출!$B$1:$BI$1,0))=0,"",INDEX(Raw_매출!$B$2:$BI$155,MATCH($A113,Raw_매출!$A$2:$A$155,0),MATCH(EDATE($E113,BL$1-1),Raw_매출!$B$1:$BI$1,0))/(INDEX(요약_월별시즈널리티!$F$7:$F$18,MONTH(EDATE($E113,BL$1-1)))/100))),"")</f>
        <v/>
      </c>
      <c r="BM113" t="str" cm="1">
        <f t="array" ref="BM113">IFERROR(IF($E113&lt;44348,"",IF(INDEX(Raw_매출!$B$2:$BI$155,MATCH($A113,Raw_매출!$A$2:$A$155,0),MATCH(EDATE($E113,BM$1-1),Raw_매출!$B$1:$BI$1,0))=0,"",INDEX(Raw_매출!$B$2:$BI$155,MATCH($A113,Raw_매출!$A$2:$A$155,0),MATCH(EDATE($E113,BM$1-1),Raw_매출!$B$1:$BI$1,0))/(INDEX(요약_월별시즈널리티!$F$7:$F$18,MONTH(EDATE($E113,BM$1-1)))/100))),"")</f>
        <v/>
      </c>
      <c r="BN113" t="str" cm="1">
        <f t="array" ref="BN113">IFERROR(IF($E113&lt;44348,"",IF(INDEX(Raw_매출!$B$2:$BI$155,MATCH($A113,Raw_매출!$A$2:$A$155,0),MATCH(EDATE($E113,BN$1-1),Raw_매출!$B$1:$BI$1,0))=0,"",INDEX(Raw_매출!$B$2:$BI$155,MATCH($A113,Raw_매출!$A$2:$A$155,0),MATCH(EDATE($E113,BN$1-1),Raw_매출!$B$1:$BI$1,0))/(INDEX(요약_월별시즈널리티!$F$7:$F$18,MONTH(EDATE($E113,BN$1-1)))/100))),"")</f>
        <v/>
      </c>
    </row>
    <row r="114" spans="1:66" x14ac:dyDescent="0.4">
      <c r="A114" t="str">
        <f>세팅!A115</f>
        <v>(1104) #신림신원시장점</v>
      </c>
      <c r="B114" t="str">
        <f>세팅!B115</f>
        <v>150-1</v>
      </c>
      <c r="C114">
        <f t="shared" si="3"/>
        <v>1</v>
      </c>
      <c r="D114" t="str">
        <f t="shared" si="4"/>
        <v>1</v>
      </c>
      <c r="E114" s="1">
        <f>세팅!D115</f>
        <v>45352</v>
      </c>
      <c r="F114">
        <f t="shared" si="5"/>
        <v>4347668.2309036208</v>
      </c>
      <c r="G114" cm="1">
        <f t="array" ref="G114">IFERROR(IF($E114&lt;44348,"",IF(INDEX(Raw_매출!$B$2:$BI$155,MATCH($A114,Raw_매출!$A$2:$A$155,0),MATCH(EDATE($E114,G$1-1),Raw_매출!$B$1:$BI$1,0))=0,"",INDEX(Raw_매출!$B$2:$BI$155,MATCH($A114,Raw_매출!$A$2:$A$155,0),MATCH(EDATE($E114,G$1-1),Raw_매출!$B$1:$BI$1,0))/(INDEX(요약_월별시즈널리티!$F$7:$F$18,MONTH(EDATE($E114,G$1-1)))/100))),"")</f>
        <v>3351699.4476005244</v>
      </c>
      <c r="H114" cm="1">
        <f t="array" ref="H114">IFERROR(IF($E114&lt;44348,"",IF(INDEX(Raw_매출!$B$2:$BI$155,MATCH($A114,Raw_매출!$A$2:$A$155,0),MATCH(EDATE($E114,H$1-1),Raw_매출!$B$1:$BI$1,0))=0,"",INDEX(Raw_매출!$B$2:$BI$155,MATCH($A114,Raw_매출!$A$2:$A$155,0),MATCH(EDATE($E114,H$1-1),Raw_매출!$B$1:$BI$1,0))/(INDEX(요약_월별시즈널리티!$F$7:$F$18,MONTH(EDATE($E114,H$1-1)))/100))),"")</f>
        <v>4394107.5015696073</v>
      </c>
      <c r="I114" cm="1">
        <f t="array" ref="I114">IFERROR(IF($E114&lt;44348,"",IF(INDEX(Raw_매출!$B$2:$BI$155,MATCH($A114,Raw_매출!$A$2:$A$155,0),MATCH(EDATE($E114,I$1-1),Raw_매출!$B$1:$BI$1,0))=0,"",INDEX(Raw_매출!$B$2:$BI$155,MATCH($A114,Raw_매출!$A$2:$A$155,0),MATCH(EDATE($E114,I$1-1),Raw_매출!$B$1:$BI$1,0))/(INDEX(요약_월별시즈널리티!$F$7:$F$18,MONTH(EDATE($E114,I$1-1)))/100))),"")</f>
        <v>3690245.8901066654</v>
      </c>
      <c r="J114" s="30" cm="1">
        <f t="array" ref="J114">IFERROR(IF($E114&lt;44348,"",IF(INDEX(Raw_매출!$B$2:$BI$155,MATCH($A114,Raw_매출!$A$2:$A$155,0),MATCH(EDATE($E114,J$1-1),Raw_매출!$B$1:$BI$1,0))=0,"",INDEX(Raw_매출!$B$2:$BI$155,MATCH($A114,Raw_매출!$A$2:$A$155,0),MATCH(EDATE($E114,J$1-1),Raw_매출!$B$1:$BI$1,0))/(INDEX(요약_월별시즈널리티!$F$7:$F$18,MONTH(EDATE($E114,J$1-1)))/100))),"")</f>
        <v>4212592.4595782952</v>
      </c>
      <c r="K114" s="30" cm="1">
        <f t="array" ref="K114">IFERROR(IF($E114&lt;44348,"",IF(INDEX(Raw_매출!$B$2:$BI$155,MATCH($A114,Raw_매출!$A$2:$A$155,0),MATCH(EDATE($E114,K$1-1),Raw_매출!$B$1:$BI$1,0))=0,"",INDEX(Raw_매출!$B$2:$BI$155,MATCH($A114,Raw_매출!$A$2:$A$155,0),MATCH(EDATE($E114,K$1-1),Raw_매출!$B$1:$BI$1,0))/(INDEX(요약_월별시즈널리티!$F$7:$F$18,MONTH(EDATE($E114,K$1-1)))/100))),"")</f>
        <v>4853473.0171045139</v>
      </c>
      <c r="L114" s="30" cm="1">
        <f t="array" ref="L114">IFERROR(IF($E114&lt;44348,"",IF(INDEX(Raw_매출!$B$2:$BI$155,MATCH($A114,Raw_매출!$A$2:$A$155,0),MATCH(EDATE($E114,L$1-1),Raw_매출!$B$1:$BI$1,0))=0,"",INDEX(Raw_매출!$B$2:$BI$155,MATCH($A114,Raw_매출!$A$2:$A$155,0),MATCH(EDATE($E114,L$1-1),Raw_매출!$B$1:$BI$1,0))/(INDEX(요약_월별시즈널리티!$F$7:$F$18,MONTH(EDATE($E114,L$1-1)))/100))),"")</f>
        <v>4337096.9286267543</v>
      </c>
      <c r="M114" s="30" cm="1">
        <f t="array" ref="M114">IFERROR(IF($E114&lt;44348,"",IF(INDEX(Raw_매출!$B$2:$BI$155,MATCH($A114,Raw_매출!$A$2:$A$155,0),MATCH(EDATE($E114,M$1-1),Raw_매출!$B$1:$BI$1,0))=0,"",INDEX(Raw_매출!$B$2:$BI$155,MATCH($A114,Raw_매출!$A$2:$A$155,0),MATCH(EDATE($E114,M$1-1),Raw_매출!$B$1:$BI$1,0))/(INDEX(요약_월별시즈널리티!$F$7:$F$18,MONTH(EDATE($E114,M$1-1)))/100))),"")</f>
        <v>4250197.5734776724</v>
      </c>
      <c r="N114" s="30" cm="1">
        <f t="array" ref="N114">IFERROR(IF($E114&lt;44348,"",IF(INDEX(Raw_매출!$B$2:$BI$155,MATCH($A114,Raw_매출!$A$2:$A$155,0),MATCH(EDATE($E114,N$1-1),Raw_매출!$B$1:$BI$1,0))=0,"",INDEX(Raw_매출!$B$2:$BI$155,MATCH($A114,Raw_매출!$A$2:$A$155,0),MATCH(EDATE($E114,N$1-1),Raw_매출!$B$1:$BI$1,0))/(INDEX(요약_월별시즈널리티!$F$7:$F$18,MONTH(EDATE($E114,N$1-1)))/100))),"")</f>
        <v>3951007.6114292992</v>
      </c>
      <c r="O114" s="30" cm="1">
        <f t="array" ref="O114">IFERROR(IF($E114&lt;44348,"",IF(INDEX(Raw_매출!$B$2:$BI$155,MATCH($A114,Raw_매출!$A$2:$A$155,0),MATCH(EDATE($E114,O$1-1),Raw_매출!$B$1:$BI$1,0))=0,"",INDEX(Raw_매출!$B$2:$BI$155,MATCH($A114,Raw_매출!$A$2:$A$155,0),MATCH(EDATE($E114,O$1-1),Raw_매출!$B$1:$BI$1,0))/(INDEX(요약_월별시즈널리티!$F$7:$F$18,MONTH(EDATE($E114,O$1-1)))/100))),"")</f>
        <v>4481641.7952051908</v>
      </c>
      <c r="P114" cm="1">
        <f t="array" ref="P114">IFERROR(IF($E114&lt;44348,"",IF(INDEX(Raw_매출!$B$2:$BI$155,MATCH($A114,Raw_매출!$A$2:$A$155,0),MATCH(EDATE($E114,P$1-1),Raw_매출!$B$1:$BI$1,0))=0,"",INDEX(Raw_매출!$B$2:$BI$155,MATCH($A114,Raw_매출!$A$2:$A$155,0),MATCH(EDATE($E114,P$1-1),Raw_매출!$B$1:$BI$1,0))/(INDEX(요약_월별시즈널리티!$F$7:$F$18,MONTH(EDATE($E114,P$1-1)))/100))),"")</f>
        <v>4383789.0925029563</v>
      </c>
      <c r="Q114" cm="1">
        <f t="array" ref="Q114">IFERROR(IF($E114&lt;44348,"",IF(INDEX(Raw_매출!$B$2:$BI$155,MATCH($A114,Raw_매출!$A$2:$A$155,0),MATCH(EDATE($E114,Q$1-1),Raw_매출!$B$1:$BI$1,0))=0,"",INDEX(Raw_매출!$B$2:$BI$155,MATCH($A114,Raw_매출!$A$2:$A$155,0),MATCH(EDATE($E114,Q$1-1),Raw_매출!$B$1:$BI$1,0))/(INDEX(요약_월별시즈널리티!$F$7:$F$18,MONTH(EDATE($E114,Q$1-1)))/100))),"")</f>
        <v>5212384.3712810492</v>
      </c>
      <c r="R114" cm="1">
        <f t="array" ref="R114">IFERROR(IF($E114&lt;44348,"",IF(INDEX(Raw_매출!$B$2:$BI$155,MATCH($A114,Raw_매출!$A$2:$A$155,0),MATCH(EDATE($E114,R$1-1),Raw_매출!$B$1:$BI$1,0))=0,"",INDEX(Raw_매출!$B$2:$BI$155,MATCH($A114,Raw_매출!$A$2:$A$155,0),MATCH(EDATE($E114,R$1-1),Raw_매출!$B$1:$BI$1,0))/(INDEX(요약_월별시즈널리티!$F$7:$F$18,MONTH(EDATE($E114,R$1-1)))/100))),"")</f>
        <v>5110824.1069320189</v>
      </c>
      <c r="S114" cm="1">
        <f t="array" ref="S114">IFERROR(IF($E114&lt;44348,"",IF(INDEX(Raw_매출!$B$2:$BI$155,MATCH($A114,Raw_매출!$A$2:$A$155,0),MATCH(EDATE($E114,S$1-1),Raw_매출!$B$1:$BI$1,0))=0,"",INDEX(Raw_매출!$B$2:$BI$155,MATCH($A114,Raw_매출!$A$2:$A$155,0),MATCH(EDATE($E114,S$1-1),Raw_매출!$B$1:$BI$1,0))/(INDEX(요약_월별시즈널리티!$F$7:$F$18,MONTH(EDATE($E114,S$1-1)))/100))),"")</f>
        <v>5189942.2976347404</v>
      </c>
      <c r="T114" cm="1">
        <f t="array" ref="T114">IFERROR(IF($E114&lt;44348,"",IF(INDEX(Raw_매출!$B$2:$BI$155,MATCH($A114,Raw_매출!$A$2:$A$155,0),MATCH(EDATE($E114,T$1-1),Raw_매출!$B$1:$BI$1,0))=0,"",INDEX(Raw_매출!$B$2:$BI$155,MATCH($A114,Raw_매출!$A$2:$A$155,0),MATCH(EDATE($E114,T$1-1),Raw_매출!$B$1:$BI$1,0))/(INDEX(요약_월별시즈널리티!$F$7:$F$18,MONTH(EDATE($E114,T$1-1)))/100))),"")</f>
        <v>5576377.9741213201</v>
      </c>
      <c r="U114" cm="1">
        <f t="array" ref="U114">IFERROR(IF($E114&lt;44348,"",IF(INDEX(Raw_매출!$B$2:$BI$155,MATCH($A114,Raw_매출!$A$2:$A$155,0),MATCH(EDATE($E114,U$1-1),Raw_매출!$B$1:$BI$1,0))=0,"",INDEX(Raw_매출!$B$2:$BI$155,MATCH($A114,Raw_매출!$A$2:$A$155,0),MATCH(EDATE($E114,U$1-1),Raw_매출!$B$1:$BI$1,0))/(INDEX(요약_월별시즈널리티!$F$7:$F$18,MONTH(EDATE($E114,U$1-1)))/100))),"")</f>
        <v>5034073.1843217555</v>
      </c>
      <c r="V114" cm="1">
        <f t="array" ref="V114">IFERROR(IF($E114&lt;44348,"",IF(INDEX(Raw_매출!$B$2:$BI$155,MATCH($A114,Raw_매출!$A$2:$A$155,0),MATCH(EDATE($E114,V$1-1),Raw_매출!$B$1:$BI$1,0))=0,"",INDEX(Raw_매출!$B$2:$BI$155,MATCH($A114,Raw_매출!$A$2:$A$155,0),MATCH(EDATE($E114,V$1-1),Raw_매출!$B$1:$BI$1,0))/(INDEX(요약_월별시즈널리티!$F$7:$F$18,MONTH(EDATE($E114,V$1-1)))/100))),"")</f>
        <v>5768709.4621586092</v>
      </c>
      <c r="W114" cm="1">
        <f t="array" ref="W114">IFERROR(IF($E114&lt;44348,"",IF(INDEX(Raw_매출!$B$2:$BI$155,MATCH($A114,Raw_매출!$A$2:$A$155,0),MATCH(EDATE($E114,W$1-1),Raw_매출!$B$1:$BI$1,0))=0,"",INDEX(Raw_매출!$B$2:$BI$155,MATCH($A114,Raw_매출!$A$2:$A$155,0),MATCH(EDATE($E114,W$1-1),Raw_매출!$B$1:$BI$1,0))/(INDEX(요약_월별시즈널리티!$F$7:$F$18,MONTH(EDATE($E114,W$1-1)))/100))),"")</f>
        <v>5118808.8824145254</v>
      </c>
      <c r="X114" cm="1">
        <f t="array" ref="X114">IFERROR(IF($E114&lt;44348,"",IF(INDEX(Raw_매출!$B$2:$BI$155,MATCH($A114,Raw_매출!$A$2:$A$155,0),MATCH(EDATE($E114,X$1-1),Raw_매출!$B$1:$BI$1,0))=0,"",INDEX(Raw_매출!$B$2:$BI$155,MATCH($A114,Raw_매출!$A$2:$A$155,0),MATCH(EDATE($E114,X$1-1),Raw_매출!$B$1:$BI$1,0))/(INDEX(요약_월별시즈널리티!$F$7:$F$18,MONTH(EDATE($E114,X$1-1)))/100))),"")</f>
        <v>5792383.1579767391</v>
      </c>
      <c r="Y114" cm="1">
        <f t="array" ref="Y114">IFERROR(IF($E114&lt;44348,"",IF(INDEX(Raw_매출!$B$2:$BI$155,MATCH($A114,Raw_매출!$A$2:$A$155,0),MATCH(EDATE($E114,Y$1-1),Raw_매출!$B$1:$BI$1,0))=0,"",INDEX(Raw_매출!$B$2:$BI$155,MATCH($A114,Raw_매출!$A$2:$A$155,0),MATCH(EDATE($E114,Y$1-1),Raw_매출!$B$1:$BI$1,0))/(INDEX(요약_월별시즈널리티!$F$7:$F$18,MONTH(EDATE($E114,Y$1-1)))/100))),"")</f>
        <v>5504897.0063652229</v>
      </c>
      <c r="Z114" cm="1">
        <f t="array" ref="Z114">IFERROR(IF($E114&lt;44348,"",IF(INDEX(Raw_매출!$B$2:$BI$155,MATCH($A114,Raw_매출!$A$2:$A$155,0),MATCH(EDATE($E114,Z$1-1),Raw_매출!$B$1:$BI$1,0))=0,"",INDEX(Raw_매출!$B$2:$BI$155,MATCH($A114,Raw_매출!$A$2:$A$155,0),MATCH(EDATE($E114,Z$1-1),Raw_매출!$B$1:$BI$1,0))/(INDEX(요약_월별시즈널리티!$F$7:$F$18,MONTH(EDATE($E114,Z$1-1)))/100))),"")</f>
        <v>5828474.799654874</v>
      </c>
      <c r="AA114" cm="1">
        <f t="array" ref="AA114">IFERROR(IF($E114&lt;44348,"",IF(INDEX(Raw_매출!$B$2:$BI$155,MATCH($A114,Raw_매출!$A$2:$A$155,0),MATCH(EDATE($E114,AA$1-1),Raw_매출!$B$1:$BI$1,0))=0,"",INDEX(Raw_매출!$B$2:$BI$155,MATCH($A114,Raw_매출!$A$2:$A$155,0),MATCH(EDATE($E114,AA$1-1),Raw_매출!$B$1:$BI$1,0))/(INDEX(요약_월별시즈널리티!$F$7:$F$18,MONTH(EDATE($E114,AA$1-1)))/100))),"")</f>
        <v>5657533.0858919648</v>
      </c>
      <c r="AB114" cm="1">
        <f t="array" ref="AB114">IFERROR(IF($E114&lt;44348,"",IF(INDEX(Raw_매출!$B$2:$BI$155,MATCH($A114,Raw_매출!$A$2:$A$155,0),MATCH(EDATE($E114,AB$1-1),Raw_매출!$B$1:$BI$1,0))=0,"",INDEX(Raw_매출!$B$2:$BI$155,MATCH($A114,Raw_매출!$A$2:$A$155,0),MATCH(EDATE($E114,AB$1-1),Raw_매출!$B$1:$BI$1,0))/(INDEX(요약_월별시즈널리티!$F$7:$F$18,MONTH(EDATE($E114,AB$1-1)))/100))),"")</f>
        <v>5088992.8214800535</v>
      </c>
      <c r="AC114" cm="1">
        <f t="array" ref="AC114">IFERROR(IF($E114&lt;44348,"",IF(INDEX(Raw_매출!$B$2:$BI$155,MATCH($A114,Raw_매출!$A$2:$A$155,0),MATCH(EDATE($E114,AC$1-1),Raw_매출!$B$1:$BI$1,0))=0,"",INDEX(Raw_매출!$B$2:$BI$155,MATCH($A114,Raw_매출!$A$2:$A$155,0),MATCH(EDATE($E114,AC$1-1),Raw_매출!$B$1:$BI$1,0))/(INDEX(요약_월별시즈널리티!$F$7:$F$18,MONTH(EDATE($E114,AC$1-1)))/100))),"")</f>
        <v>6180578.3006209759</v>
      </c>
      <c r="AD114" cm="1">
        <f t="array" ref="AD114">IFERROR(IF($E114&lt;44348,"",IF(INDEX(Raw_매출!$B$2:$BI$155,MATCH($A114,Raw_매출!$A$2:$A$155,0),MATCH(EDATE($E114,AD$1-1),Raw_매출!$B$1:$BI$1,0))=0,"",INDEX(Raw_매출!$B$2:$BI$155,MATCH($A114,Raw_매출!$A$2:$A$155,0),MATCH(EDATE($E114,AD$1-1),Raw_매출!$B$1:$BI$1,0))/(INDEX(요약_월별시즈널리티!$F$7:$F$18,MONTH(EDATE($E114,AD$1-1)))/100))),"")</f>
        <v>5614099.9289665986</v>
      </c>
      <c r="AE114" cm="1">
        <f t="array" ref="AE114">IFERROR(IF($E114&lt;44348,"",IF(INDEX(Raw_매출!$B$2:$BI$155,MATCH($A114,Raw_매출!$A$2:$A$155,0),MATCH(EDATE($E114,AE$1-1),Raw_매출!$B$1:$BI$1,0))=0,"",INDEX(Raw_매출!$B$2:$BI$155,MATCH($A114,Raw_매출!$A$2:$A$155,0),MATCH(EDATE($E114,AE$1-1),Raw_매출!$B$1:$BI$1,0))/(INDEX(요약_월별시즈널리티!$F$7:$F$18,MONTH(EDATE($E114,AE$1-1)))/100))),"")</f>
        <v>6186066.673668677</v>
      </c>
      <c r="AF114" cm="1">
        <f t="array" ref="AF114">IFERROR(IF($E114&lt;44348,"",IF(INDEX(Raw_매출!$B$2:$BI$155,MATCH($A114,Raw_매출!$A$2:$A$155,0),MATCH(EDATE($E114,AF$1-1),Raw_매출!$B$1:$BI$1,0))=0,"",INDEX(Raw_매출!$B$2:$BI$155,MATCH($A114,Raw_매출!$A$2:$A$155,0),MATCH(EDATE($E114,AF$1-1),Raw_매출!$B$1:$BI$1,0))/(INDEX(요약_월별시즈널리티!$F$7:$F$18,MONTH(EDATE($E114,AF$1-1)))/100))),"")</f>
        <v>5745082.7860939186</v>
      </c>
      <c r="AG114" cm="1">
        <f t="array" ref="AG114">IFERROR(IF($E114&lt;44348,"",IF(INDEX(Raw_매출!$B$2:$BI$155,MATCH($A114,Raw_매출!$A$2:$A$155,0),MATCH(EDATE($E114,AG$1-1),Raw_매출!$B$1:$BI$1,0))=0,"",INDEX(Raw_매출!$B$2:$BI$155,MATCH($A114,Raw_매출!$A$2:$A$155,0),MATCH(EDATE($E114,AG$1-1),Raw_매출!$B$1:$BI$1,0))/(INDEX(요약_월별시즈널리티!$F$7:$F$18,MONTH(EDATE($E114,AG$1-1)))/100))),"")</f>
        <v>6131618.3479186622</v>
      </c>
      <c r="AH114" t="str" cm="1">
        <f t="array" ref="AH114">IFERROR(IF($E114&lt;44348,"",IF(INDEX(Raw_매출!$B$2:$BI$155,MATCH($A114,Raw_매출!$A$2:$A$155,0),MATCH(EDATE($E114,AH$1-1),Raw_매출!$B$1:$BI$1,0))=0,"",INDEX(Raw_매출!$B$2:$BI$155,MATCH($A114,Raw_매출!$A$2:$A$155,0),MATCH(EDATE($E114,AH$1-1),Raw_매출!$B$1:$BI$1,0))/(INDEX(요약_월별시즈널리티!$F$7:$F$18,MONTH(EDATE($E114,AH$1-1)))/100))),"")</f>
        <v/>
      </c>
      <c r="AI114" t="str" cm="1">
        <f t="array" ref="AI114">IFERROR(IF($E114&lt;44348,"",IF(INDEX(Raw_매출!$B$2:$BI$155,MATCH($A114,Raw_매출!$A$2:$A$155,0),MATCH(EDATE($E114,AI$1-1),Raw_매출!$B$1:$BI$1,0))=0,"",INDEX(Raw_매출!$B$2:$BI$155,MATCH($A114,Raw_매출!$A$2:$A$155,0),MATCH(EDATE($E114,AI$1-1),Raw_매출!$B$1:$BI$1,0))/(INDEX(요약_월별시즈널리티!$F$7:$F$18,MONTH(EDATE($E114,AI$1-1)))/100))),"")</f>
        <v/>
      </c>
      <c r="AJ114" t="str" cm="1">
        <f t="array" ref="AJ114">IFERROR(IF($E114&lt;44348,"",IF(INDEX(Raw_매출!$B$2:$BI$155,MATCH($A114,Raw_매출!$A$2:$A$155,0),MATCH(EDATE($E114,AJ$1-1),Raw_매출!$B$1:$BI$1,0))=0,"",INDEX(Raw_매출!$B$2:$BI$155,MATCH($A114,Raw_매출!$A$2:$A$155,0),MATCH(EDATE($E114,AJ$1-1),Raw_매출!$B$1:$BI$1,0))/(INDEX(요약_월별시즈널리티!$F$7:$F$18,MONTH(EDATE($E114,AJ$1-1)))/100))),"")</f>
        <v/>
      </c>
      <c r="AK114" t="str" cm="1">
        <f t="array" ref="AK114">IFERROR(IF($E114&lt;44348,"",IF(INDEX(Raw_매출!$B$2:$BI$155,MATCH($A114,Raw_매출!$A$2:$A$155,0),MATCH(EDATE($E114,AK$1-1),Raw_매출!$B$1:$BI$1,0))=0,"",INDEX(Raw_매출!$B$2:$BI$155,MATCH($A114,Raw_매출!$A$2:$A$155,0),MATCH(EDATE($E114,AK$1-1),Raw_매출!$B$1:$BI$1,0))/(INDEX(요약_월별시즈널리티!$F$7:$F$18,MONTH(EDATE($E114,AK$1-1)))/100))),"")</f>
        <v/>
      </c>
      <c r="AL114" t="str" cm="1">
        <f t="array" ref="AL114">IFERROR(IF($E114&lt;44348,"",IF(INDEX(Raw_매출!$B$2:$BI$155,MATCH($A114,Raw_매출!$A$2:$A$155,0),MATCH(EDATE($E114,AL$1-1),Raw_매출!$B$1:$BI$1,0))=0,"",INDEX(Raw_매출!$B$2:$BI$155,MATCH($A114,Raw_매출!$A$2:$A$155,0),MATCH(EDATE($E114,AL$1-1),Raw_매출!$B$1:$BI$1,0))/(INDEX(요약_월별시즈널리티!$F$7:$F$18,MONTH(EDATE($E114,AL$1-1)))/100))),"")</f>
        <v/>
      </c>
      <c r="AM114" t="str" cm="1">
        <f t="array" ref="AM114">IFERROR(IF($E114&lt;44348,"",IF(INDEX(Raw_매출!$B$2:$BI$155,MATCH($A114,Raw_매출!$A$2:$A$155,0),MATCH(EDATE($E114,AM$1-1),Raw_매출!$B$1:$BI$1,0))=0,"",INDEX(Raw_매출!$B$2:$BI$155,MATCH($A114,Raw_매출!$A$2:$A$155,0),MATCH(EDATE($E114,AM$1-1),Raw_매출!$B$1:$BI$1,0))/(INDEX(요약_월별시즈널리티!$F$7:$F$18,MONTH(EDATE($E114,AM$1-1)))/100))),"")</f>
        <v/>
      </c>
      <c r="AN114" t="str" cm="1">
        <f t="array" ref="AN114">IFERROR(IF($E114&lt;44348,"",IF(INDEX(Raw_매출!$B$2:$BI$155,MATCH($A114,Raw_매출!$A$2:$A$155,0),MATCH(EDATE($E114,AN$1-1),Raw_매출!$B$1:$BI$1,0))=0,"",INDEX(Raw_매출!$B$2:$BI$155,MATCH($A114,Raw_매출!$A$2:$A$155,0),MATCH(EDATE($E114,AN$1-1),Raw_매출!$B$1:$BI$1,0))/(INDEX(요약_월별시즈널리티!$F$7:$F$18,MONTH(EDATE($E114,AN$1-1)))/100))),"")</f>
        <v/>
      </c>
      <c r="AO114" t="str" cm="1">
        <f t="array" ref="AO114">IFERROR(IF($E114&lt;44348,"",IF(INDEX(Raw_매출!$B$2:$BI$155,MATCH($A114,Raw_매출!$A$2:$A$155,0),MATCH(EDATE($E114,AO$1-1),Raw_매출!$B$1:$BI$1,0))=0,"",INDEX(Raw_매출!$B$2:$BI$155,MATCH($A114,Raw_매출!$A$2:$A$155,0),MATCH(EDATE($E114,AO$1-1),Raw_매출!$B$1:$BI$1,0))/(INDEX(요약_월별시즈널리티!$F$7:$F$18,MONTH(EDATE($E114,AO$1-1)))/100))),"")</f>
        <v/>
      </c>
      <c r="AP114" t="str" cm="1">
        <f t="array" ref="AP114">IFERROR(IF($E114&lt;44348,"",IF(INDEX(Raw_매출!$B$2:$BI$155,MATCH($A114,Raw_매출!$A$2:$A$155,0),MATCH(EDATE($E114,AP$1-1),Raw_매출!$B$1:$BI$1,0))=0,"",INDEX(Raw_매출!$B$2:$BI$155,MATCH($A114,Raw_매출!$A$2:$A$155,0),MATCH(EDATE($E114,AP$1-1),Raw_매출!$B$1:$BI$1,0))/(INDEX(요약_월별시즈널리티!$F$7:$F$18,MONTH(EDATE($E114,AP$1-1)))/100))),"")</f>
        <v/>
      </c>
      <c r="AQ114" t="str" cm="1">
        <f t="array" ref="AQ114">IFERROR(IF($E114&lt;44348,"",IF(INDEX(Raw_매출!$B$2:$BI$155,MATCH($A114,Raw_매출!$A$2:$A$155,0),MATCH(EDATE($E114,AQ$1-1),Raw_매출!$B$1:$BI$1,0))=0,"",INDEX(Raw_매출!$B$2:$BI$155,MATCH($A114,Raw_매출!$A$2:$A$155,0),MATCH(EDATE($E114,AQ$1-1),Raw_매출!$B$1:$BI$1,0))/(INDEX(요약_월별시즈널리티!$F$7:$F$18,MONTH(EDATE($E114,AQ$1-1)))/100))),"")</f>
        <v/>
      </c>
      <c r="AR114" t="str" cm="1">
        <f t="array" ref="AR114">IFERROR(IF($E114&lt;44348,"",IF(INDEX(Raw_매출!$B$2:$BI$155,MATCH($A114,Raw_매출!$A$2:$A$155,0),MATCH(EDATE($E114,AR$1-1),Raw_매출!$B$1:$BI$1,0))=0,"",INDEX(Raw_매출!$B$2:$BI$155,MATCH($A114,Raw_매출!$A$2:$A$155,0),MATCH(EDATE($E114,AR$1-1),Raw_매출!$B$1:$BI$1,0))/(INDEX(요약_월별시즈널리티!$F$7:$F$18,MONTH(EDATE($E114,AR$1-1)))/100))),"")</f>
        <v/>
      </c>
      <c r="AS114" t="str" cm="1">
        <f t="array" ref="AS114">IFERROR(IF($E114&lt;44348,"",IF(INDEX(Raw_매출!$B$2:$BI$155,MATCH($A114,Raw_매출!$A$2:$A$155,0),MATCH(EDATE($E114,AS$1-1),Raw_매출!$B$1:$BI$1,0))=0,"",INDEX(Raw_매출!$B$2:$BI$155,MATCH($A114,Raw_매출!$A$2:$A$155,0),MATCH(EDATE($E114,AS$1-1),Raw_매출!$B$1:$BI$1,0))/(INDEX(요약_월별시즈널리티!$F$7:$F$18,MONTH(EDATE($E114,AS$1-1)))/100))),"")</f>
        <v/>
      </c>
      <c r="AT114" t="str" cm="1">
        <f t="array" ref="AT114">IFERROR(IF($E114&lt;44348,"",IF(INDEX(Raw_매출!$B$2:$BI$155,MATCH($A114,Raw_매출!$A$2:$A$155,0),MATCH(EDATE($E114,AT$1-1),Raw_매출!$B$1:$BI$1,0))=0,"",INDEX(Raw_매출!$B$2:$BI$155,MATCH($A114,Raw_매출!$A$2:$A$155,0),MATCH(EDATE($E114,AT$1-1),Raw_매출!$B$1:$BI$1,0))/(INDEX(요약_월별시즈널리티!$F$7:$F$18,MONTH(EDATE($E114,AT$1-1)))/100))),"")</f>
        <v/>
      </c>
      <c r="AU114" t="str" cm="1">
        <f t="array" ref="AU114">IFERROR(IF($E114&lt;44348,"",IF(INDEX(Raw_매출!$B$2:$BI$155,MATCH($A114,Raw_매출!$A$2:$A$155,0),MATCH(EDATE($E114,AU$1-1),Raw_매출!$B$1:$BI$1,0))=0,"",INDEX(Raw_매출!$B$2:$BI$155,MATCH($A114,Raw_매출!$A$2:$A$155,0),MATCH(EDATE($E114,AU$1-1),Raw_매출!$B$1:$BI$1,0))/(INDEX(요약_월별시즈널리티!$F$7:$F$18,MONTH(EDATE($E114,AU$1-1)))/100))),"")</f>
        <v/>
      </c>
      <c r="AV114" t="str" cm="1">
        <f t="array" ref="AV114">IFERROR(IF($E114&lt;44348,"",IF(INDEX(Raw_매출!$B$2:$BI$155,MATCH($A114,Raw_매출!$A$2:$A$155,0),MATCH(EDATE($E114,AV$1-1),Raw_매출!$B$1:$BI$1,0))=0,"",INDEX(Raw_매출!$B$2:$BI$155,MATCH($A114,Raw_매출!$A$2:$A$155,0),MATCH(EDATE($E114,AV$1-1),Raw_매출!$B$1:$BI$1,0))/(INDEX(요약_월별시즈널리티!$F$7:$F$18,MONTH(EDATE($E114,AV$1-1)))/100))),"")</f>
        <v/>
      </c>
      <c r="AW114" t="str" cm="1">
        <f t="array" ref="AW114">IFERROR(IF($E114&lt;44348,"",IF(INDEX(Raw_매출!$B$2:$BI$155,MATCH($A114,Raw_매출!$A$2:$A$155,0),MATCH(EDATE($E114,AW$1-1),Raw_매출!$B$1:$BI$1,0))=0,"",INDEX(Raw_매출!$B$2:$BI$155,MATCH($A114,Raw_매출!$A$2:$A$155,0),MATCH(EDATE($E114,AW$1-1),Raw_매출!$B$1:$BI$1,0))/(INDEX(요약_월별시즈널리티!$F$7:$F$18,MONTH(EDATE($E114,AW$1-1)))/100))),"")</f>
        <v/>
      </c>
      <c r="AX114" t="str" cm="1">
        <f t="array" ref="AX114">IFERROR(IF($E114&lt;44348,"",IF(INDEX(Raw_매출!$B$2:$BI$155,MATCH($A114,Raw_매출!$A$2:$A$155,0),MATCH(EDATE($E114,AX$1-1),Raw_매출!$B$1:$BI$1,0))=0,"",INDEX(Raw_매출!$B$2:$BI$155,MATCH($A114,Raw_매출!$A$2:$A$155,0),MATCH(EDATE($E114,AX$1-1),Raw_매출!$B$1:$BI$1,0))/(INDEX(요약_월별시즈널리티!$F$7:$F$18,MONTH(EDATE($E114,AX$1-1)))/100))),"")</f>
        <v/>
      </c>
      <c r="AY114" t="str" cm="1">
        <f t="array" ref="AY114">IFERROR(IF($E114&lt;44348,"",IF(INDEX(Raw_매출!$B$2:$BI$155,MATCH($A114,Raw_매출!$A$2:$A$155,0),MATCH(EDATE($E114,AY$1-1),Raw_매출!$B$1:$BI$1,0))=0,"",INDEX(Raw_매출!$B$2:$BI$155,MATCH($A114,Raw_매출!$A$2:$A$155,0),MATCH(EDATE($E114,AY$1-1),Raw_매출!$B$1:$BI$1,0))/(INDEX(요약_월별시즈널리티!$F$7:$F$18,MONTH(EDATE($E114,AY$1-1)))/100))),"")</f>
        <v/>
      </c>
      <c r="AZ114" t="str" cm="1">
        <f t="array" ref="AZ114">IFERROR(IF($E114&lt;44348,"",IF(INDEX(Raw_매출!$B$2:$BI$155,MATCH($A114,Raw_매출!$A$2:$A$155,0),MATCH(EDATE($E114,AZ$1-1),Raw_매출!$B$1:$BI$1,0))=0,"",INDEX(Raw_매출!$B$2:$BI$155,MATCH($A114,Raw_매출!$A$2:$A$155,0),MATCH(EDATE($E114,AZ$1-1),Raw_매출!$B$1:$BI$1,0))/(INDEX(요약_월별시즈널리티!$F$7:$F$18,MONTH(EDATE($E114,AZ$1-1)))/100))),"")</f>
        <v/>
      </c>
      <c r="BA114" t="str" cm="1">
        <f t="array" ref="BA114">IFERROR(IF($E114&lt;44348,"",IF(INDEX(Raw_매출!$B$2:$BI$155,MATCH($A114,Raw_매출!$A$2:$A$155,0),MATCH(EDATE($E114,BA$1-1),Raw_매출!$B$1:$BI$1,0))=0,"",INDEX(Raw_매출!$B$2:$BI$155,MATCH($A114,Raw_매출!$A$2:$A$155,0),MATCH(EDATE($E114,BA$1-1),Raw_매출!$B$1:$BI$1,0))/(INDEX(요약_월별시즈널리티!$F$7:$F$18,MONTH(EDATE($E114,BA$1-1)))/100))),"")</f>
        <v/>
      </c>
      <c r="BB114" t="str" cm="1">
        <f t="array" ref="BB114">IFERROR(IF($E114&lt;44348,"",IF(INDEX(Raw_매출!$B$2:$BI$155,MATCH($A114,Raw_매출!$A$2:$A$155,0),MATCH(EDATE($E114,BB$1-1),Raw_매출!$B$1:$BI$1,0))=0,"",INDEX(Raw_매출!$B$2:$BI$155,MATCH($A114,Raw_매출!$A$2:$A$155,0),MATCH(EDATE($E114,BB$1-1),Raw_매출!$B$1:$BI$1,0))/(INDEX(요약_월별시즈널리티!$F$7:$F$18,MONTH(EDATE($E114,BB$1-1)))/100))),"")</f>
        <v/>
      </c>
      <c r="BC114" t="str" cm="1">
        <f t="array" ref="BC114">IFERROR(IF($E114&lt;44348,"",IF(INDEX(Raw_매출!$B$2:$BI$155,MATCH($A114,Raw_매출!$A$2:$A$155,0),MATCH(EDATE($E114,BC$1-1),Raw_매출!$B$1:$BI$1,0))=0,"",INDEX(Raw_매출!$B$2:$BI$155,MATCH($A114,Raw_매출!$A$2:$A$155,0),MATCH(EDATE($E114,BC$1-1),Raw_매출!$B$1:$BI$1,0))/(INDEX(요약_월별시즈널리티!$F$7:$F$18,MONTH(EDATE($E114,BC$1-1)))/100))),"")</f>
        <v/>
      </c>
      <c r="BD114" t="str" cm="1">
        <f t="array" ref="BD114">IFERROR(IF($E114&lt;44348,"",IF(INDEX(Raw_매출!$B$2:$BI$155,MATCH($A114,Raw_매출!$A$2:$A$155,0),MATCH(EDATE($E114,BD$1-1),Raw_매출!$B$1:$BI$1,0))=0,"",INDEX(Raw_매출!$B$2:$BI$155,MATCH($A114,Raw_매출!$A$2:$A$155,0),MATCH(EDATE($E114,BD$1-1),Raw_매출!$B$1:$BI$1,0))/(INDEX(요약_월별시즈널리티!$F$7:$F$18,MONTH(EDATE($E114,BD$1-1)))/100))),"")</f>
        <v/>
      </c>
      <c r="BE114" t="str" cm="1">
        <f t="array" ref="BE114">IFERROR(IF($E114&lt;44348,"",IF(INDEX(Raw_매출!$B$2:$BI$155,MATCH($A114,Raw_매출!$A$2:$A$155,0),MATCH(EDATE($E114,BE$1-1),Raw_매출!$B$1:$BI$1,0))=0,"",INDEX(Raw_매출!$B$2:$BI$155,MATCH($A114,Raw_매출!$A$2:$A$155,0),MATCH(EDATE($E114,BE$1-1),Raw_매출!$B$1:$BI$1,0))/(INDEX(요약_월별시즈널리티!$F$7:$F$18,MONTH(EDATE($E114,BE$1-1)))/100))),"")</f>
        <v/>
      </c>
      <c r="BF114" t="str" cm="1">
        <f t="array" ref="BF114">IFERROR(IF($E114&lt;44348,"",IF(INDEX(Raw_매출!$B$2:$BI$155,MATCH($A114,Raw_매출!$A$2:$A$155,0),MATCH(EDATE($E114,BF$1-1),Raw_매출!$B$1:$BI$1,0))=0,"",INDEX(Raw_매출!$B$2:$BI$155,MATCH($A114,Raw_매출!$A$2:$A$155,0),MATCH(EDATE($E114,BF$1-1),Raw_매출!$B$1:$BI$1,0))/(INDEX(요약_월별시즈널리티!$F$7:$F$18,MONTH(EDATE($E114,BF$1-1)))/100))),"")</f>
        <v/>
      </c>
      <c r="BG114" t="str" cm="1">
        <f t="array" ref="BG114">IFERROR(IF($E114&lt;44348,"",IF(INDEX(Raw_매출!$B$2:$BI$155,MATCH($A114,Raw_매출!$A$2:$A$155,0),MATCH(EDATE($E114,BG$1-1),Raw_매출!$B$1:$BI$1,0))=0,"",INDEX(Raw_매출!$B$2:$BI$155,MATCH($A114,Raw_매출!$A$2:$A$155,0),MATCH(EDATE($E114,BG$1-1),Raw_매출!$B$1:$BI$1,0))/(INDEX(요약_월별시즈널리티!$F$7:$F$18,MONTH(EDATE($E114,BG$1-1)))/100))),"")</f>
        <v/>
      </c>
      <c r="BH114" t="str" cm="1">
        <f t="array" ref="BH114">IFERROR(IF($E114&lt;44348,"",IF(INDEX(Raw_매출!$B$2:$BI$155,MATCH($A114,Raw_매출!$A$2:$A$155,0),MATCH(EDATE($E114,BH$1-1),Raw_매출!$B$1:$BI$1,0))=0,"",INDEX(Raw_매출!$B$2:$BI$155,MATCH($A114,Raw_매출!$A$2:$A$155,0),MATCH(EDATE($E114,BH$1-1),Raw_매출!$B$1:$BI$1,0))/(INDEX(요약_월별시즈널리티!$F$7:$F$18,MONTH(EDATE($E114,BH$1-1)))/100))),"")</f>
        <v/>
      </c>
      <c r="BI114" t="str" cm="1">
        <f t="array" ref="BI114">IFERROR(IF($E114&lt;44348,"",IF(INDEX(Raw_매출!$B$2:$BI$155,MATCH($A114,Raw_매출!$A$2:$A$155,0),MATCH(EDATE($E114,BI$1-1),Raw_매출!$B$1:$BI$1,0))=0,"",INDEX(Raw_매출!$B$2:$BI$155,MATCH($A114,Raw_매출!$A$2:$A$155,0),MATCH(EDATE($E114,BI$1-1),Raw_매출!$B$1:$BI$1,0))/(INDEX(요약_월별시즈널리티!$F$7:$F$18,MONTH(EDATE($E114,BI$1-1)))/100))),"")</f>
        <v/>
      </c>
      <c r="BJ114" t="str" cm="1">
        <f t="array" ref="BJ114">IFERROR(IF($E114&lt;44348,"",IF(INDEX(Raw_매출!$B$2:$BI$155,MATCH($A114,Raw_매출!$A$2:$A$155,0),MATCH(EDATE($E114,BJ$1-1),Raw_매출!$B$1:$BI$1,0))=0,"",INDEX(Raw_매출!$B$2:$BI$155,MATCH($A114,Raw_매출!$A$2:$A$155,0),MATCH(EDATE($E114,BJ$1-1),Raw_매출!$B$1:$BI$1,0))/(INDEX(요약_월별시즈널리티!$F$7:$F$18,MONTH(EDATE($E114,BJ$1-1)))/100))),"")</f>
        <v/>
      </c>
      <c r="BK114" t="str" cm="1">
        <f t="array" ref="BK114">IFERROR(IF($E114&lt;44348,"",IF(INDEX(Raw_매출!$B$2:$BI$155,MATCH($A114,Raw_매출!$A$2:$A$155,0),MATCH(EDATE($E114,BK$1-1),Raw_매출!$B$1:$BI$1,0))=0,"",INDEX(Raw_매출!$B$2:$BI$155,MATCH($A114,Raw_매출!$A$2:$A$155,0),MATCH(EDATE($E114,BK$1-1),Raw_매출!$B$1:$BI$1,0))/(INDEX(요약_월별시즈널리티!$F$7:$F$18,MONTH(EDATE($E114,BK$1-1)))/100))),"")</f>
        <v/>
      </c>
      <c r="BL114" t="str" cm="1">
        <f t="array" ref="BL114">IFERROR(IF($E114&lt;44348,"",IF(INDEX(Raw_매출!$B$2:$BI$155,MATCH($A114,Raw_매출!$A$2:$A$155,0),MATCH(EDATE($E114,BL$1-1),Raw_매출!$B$1:$BI$1,0))=0,"",INDEX(Raw_매출!$B$2:$BI$155,MATCH($A114,Raw_매출!$A$2:$A$155,0),MATCH(EDATE($E114,BL$1-1),Raw_매출!$B$1:$BI$1,0))/(INDEX(요약_월별시즈널리티!$F$7:$F$18,MONTH(EDATE($E114,BL$1-1)))/100))),"")</f>
        <v/>
      </c>
      <c r="BM114" t="str" cm="1">
        <f t="array" ref="BM114">IFERROR(IF($E114&lt;44348,"",IF(INDEX(Raw_매출!$B$2:$BI$155,MATCH($A114,Raw_매출!$A$2:$A$155,0),MATCH(EDATE($E114,BM$1-1),Raw_매출!$B$1:$BI$1,0))=0,"",INDEX(Raw_매출!$B$2:$BI$155,MATCH($A114,Raw_매출!$A$2:$A$155,0),MATCH(EDATE($E114,BM$1-1),Raw_매출!$B$1:$BI$1,0))/(INDEX(요약_월별시즈널리티!$F$7:$F$18,MONTH(EDATE($E114,BM$1-1)))/100))),"")</f>
        <v/>
      </c>
      <c r="BN114" t="str" cm="1">
        <f t="array" ref="BN114">IFERROR(IF($E114&lt;44348,"",IF(INDEX(Raw_매출!$B$2:$BI$155,MATCH($A114,Raw_매출!$A$2:$A$155,0),MATCH(EDATE($E114,BN$1-1),Raw_매출!$B$1:$BI$1,0))=0,"",INDEX(Raw_매출!$B$2:$BI$155,MATCH($A114,Raw_매출!$A$2:$A$155,0),MATCH(EDATE($E114,BN$1-1),Raw_매출!$B$1:$BI$1,0))/(INDEX(요약_월별시즈널리티!$F$7:$F$18,MONTH(EDATE($E114,BN$1-1)))/100))),"")</f>
        <v/>
      </c>
    </row>
    <row r="115" spans="1:66" x14ac:dyDescent="0.4">
      <c r="A115" t="str">
        <f>세팅!A116</f>
        <v>(1105) #공항시장역점</v>
      </c>
      <c r="B115" t="str">
        <f>세팅!B116</f>
        <v>150-1</v>
      </c>
      <c r="C115">
        <f t="shared" si="3"/>
        <v>1</v>
      </c>
      <c r="D115" t="str">
        <f t="shared" si="4"/>
        <v>1</v>
      </c>
      <c r="E115" s="1">
        <f>세팅!D116</f>
        <v>45352</v>
      </c>
      <c r="F115">
        <f t="shared" si="5"/>
        <v>2585167.7406687173</v>
      </c>
      <c r="G115" cm="1">
        <f t="array" ref="G115">IFERROR(IF($E115&lt;44348,"",IF(INDEX(Raw_매출!$B$2:$BI$155,MATCH($A115,Raw_매출!$A$2:$A$155,0),MATCH(EDATE($E115,G$1-1),Raw_매출!$B$1:$BI$1,0))=0,"",INDEX(Raw_매출!$B$2:$BI$155,MATCH($A115,Raw_매출!$A$2:$A$155,0),MATCH(EDATE($E115,G$1-1),Raw_매출!$B$1:$BI$1,0))/(INDEX(요약_월별시즈널리티!$F$7:$F$18,MONTH(EDATE($E115,G$1-1)))/100))),"")</f>
        <v>2619530.7936689118</v>
      </c>
      <c r="H115" cm="1">
        <f t="array" ref="H115">IFERROR(IF($E115&lt;44348,"",IF(INDEX(Raw_매출!$B$2:$BI$155,MATCH($A115,Raw_매출!$A$2:$A$155,0),MATCH(EDATE($E115,H$1-1),Raw_매출!$B$1:$BI$1,0))=0,"",INDEX(Raw_매출!$B$2:$BI$155,MATCH($A115,Raw_매출!$A$2:$A$155,0),MATCH(EDATE($E115,H$1-1),Raw_매출!$B$1:$BI$1,0))/(INDEX(요약_월별시즈널리티!$F$7:$F$18,MONTH(EDATE($E115,H$1-1)))/100))),"")</f>
        <v>2821567.2548348457</v>
      </c>
      <c r="I115" cm="1">
        <f t="array" ref="I115">IFERROR(IF($E115&lt;44348,"",IF(INDEX(Raw_매출!$B$2:$BI$155,MATCH($A115,Raw_매출!$A$2:$A$155,0),MATCH(EDATE($E115,I$1-1),Raw_매출!$B$1:$BI$1,0))=0,"",INDEX(Raw_매출!$B$2:$BI$155,MATCH($A115,Raw_매출!$A$2:$A$155,0),MATCH(EDATE($E115,I$1-1),Raw_매출!$B$1:$BI$1,0))/(INDEX(요약_월별시즈널리티!$F$7:$F$18,MONTH(EDATE($E115,I$1-1)))/100))),"")</f>
        <v>2446544.8570870222</v>
      </c>
      <c r="J115" s="30" cm="1">
        <f t="array" ref="J115">IFERROR(IF($E115&lt;44348,"",IF(INDEX(Raw_매출!$B$2:$BI$155,MATCH($A115,Raw_매출!$A$2:$A$155,0),MATCH(EDATE($E115,J$1-1),Raw_매출!$B$1:$BI$1,0))=0,"",INDEX(Raw_매출!$B$2:$BI$155,MATCH($A115,Raw_매출!$A$2:$A$155,0),MATCH(EDATE($E115,J$1-1),Raw_매출!$B$1:$BI$1,0))/(INDEX(요약_월별시즈널리티!$F$7:$F$18,MONTH(EDATE($E115,J$1-1)))/100))),"")</f>
        <v>2795844.4654819155</v>
      </c>
      <c r="K115" s="30" cm="1">
        <f t="array" ref="K115">IFERROR(IF($E115&lt;44348,"",IF(INDEX(Raw_매출!$B$2:$BI$155,MATCH($A115,Raw_매출!$A$2:$A$155,0),MATCH(EDATE($E115,K$1-1),Raw_매출!$B$1:$BI$1,0))=0,"",INDEX(Raw_매출!$B$2:$BI$155,MATCH($A115,Raw_매출!$A$2:$A$155,0),MATCH(EDATE($E115,K$1-1),Raw_매출!$B$1:$BI$1,0))/(INDEX(요약_월별시즈널리티!$F$7:$F$18,MONTH(EDATE($E115,K$1-1)))/100))),"")</f>
        <v>2682065.5576998116</v>
      </c>
      <c r="L115" s="30" cm="1">
        <f t="array" ref="L115">IFERROR(IF($E115&lt;44348,"",IF(INDEX(Raw_매출!$B$2:$BI$155,MATCH($A115,Raw_매출!$A$2:$A$155,0),MATCH(EDATE($E115,L$1-1),Raw_매출!$B$1:$BI$1,0))=0,"",INDEX(Raw_매출!$B$2:$BI$155,MATCH($A115,Raw_매출!$A$2:$A$155,0),MATCH(EDATE($E115,L$1-1),Raw_매출!$B$1:$BI$1,0))/(INDEX(요약_월별시즈널리티!$F$7:$F$18,MONTH(EDATE($E115,L$1-1)))/100))),"")</f>
        <v>2707427.2209340679</v>
      </c>
      <c r="M115" s="30" cm="1">
        <f t="array" ref="M115">IFERROR(IF($E115&lt;44348,"",IF(INDEX(Raw_매출!$B$2:$BI$155,MATCH($A115,Raw_매출!$A$2:$A$155,0),MATCH(EDATE($E115,M$1-1),Raw_매출!$B$1:$BI$1,0))=0,"",INDEX(Raw_매출!$B$2:$BI$155,MATCH($A115,Raw_매출!$A$2:$A$155,0),MATCH(EDATE($E115,M$1-1),Raw_매출!$B$1:$BI$1,0))/(INDEX(요약_월별시즈널리티!$F$7:$F$18,MONTH(EDATE($E115,M$1-1)))/100))),"")</f>
        <v>2321231.4045563824</v>
      </c>
      <c r="N115" s="30" cm="1">
        <f t="array" ref="N115">IFERROR(IF($E115&lt;44348,"",IF(INDEX(Raw_매출!$B$2:$BI$155,MATCH($A115,Raw_매출!$A$2:$A$155,0),MATCH(EDATE($E115,N$1-1),Raw_매출!$B$1:$BI$1,0))=0,"",INDEX(Raw_매출!$B$2:$BI$155,MATCH($A115,Raw_매출!$A$2:$A$155,0),MATCH(EDATE($E115,N$1-1),Raw_매출!$B$1:$BI$1,0))/(INDEX(요약_월별시즈널리티!$F$7:$F$18,MONTH(EDATE($E115,N$1-1)))/100))),"")</f>
        <v>2442978.2127356818</v>
      </c>
      <c r="O115" s="30" cm="1">
        <f t="array" ref="O115">IFERROR(IF($E115&lt;44348,"",IF(INDEX(Raw_매출!$B$2:$BI$155,MATCH($A115,Raw_매출!$A$2:$A$155,0),MATCH(EDATE($E115,O$1-1),Raw_매출!$B$1:$BI$1,0))=0,"",INDEX(Raw_매출!$B$2:$BI$155,MATCH($A115,Raw_매출!$A$2:$A$155,0),MATCH(EDATE($E115,O$1-1),Raw_매출!$B$1:$BI$1,0))/(INDEX(요약_월별시즈널리티!$F$7:$F$18,MONTH(EDATE($E115,O$1-1)))/100))),"")</f>
        <v>2561459.5826044437</v>
      </c>
      <c r="P115" cm="1">
        <f t="array" ref="P115">IFERROR(IF($E115&lt;44348,"",IF(INDEX(Raw_매출!$B$2:$BI$155,MATCH($A115,Raw_매출!$A$2:$A$155,0),MATCH(EDATE($E115,P$1-1),Raw_매출!$B$1:$BI$1,0))=0,"",INDEX(Raw_매출!$B$2:$BI$155,MATCH($A115,Raw_매출!$A$2:$A$155,0),MATCH(EDATE($E115,P$1-1),Raw_매출!$B$1:$BI$1,0))/(INDEX(요약_월별시즈널리티!$F$7:$F$18,MONTH(EDATE($E115,P$1-1)))/100))),"")</f>
        <v>2263174.6075356938</v>
      </c>
      <c r="Q115" cm="1">
        <f t="array" ref="Q115">IFERROR(IF($E115&lt;44348,"",IF(INDEX(Raw_매출!$B$2:$BI$155,MATCH($A115,Raw_매출!$A$2:$A$155,0),MATCH(EDATE($E115,Q$1-1),Raw_매출!$B$1:$BI$1,0))=0,"",INDEX(Raw_매출!$B$2:$BI$155,MATCH($A115,Raw_매출!$A$2:$A$155,0),MATCH(EDATE($E115,Q$1-1),Raw_매출!$B$1:$BI$1,0))/(INDEX(요약_월별시즈널리티!$F$7:$F$18,MONTH(EDATE($E115,Q$1-1)))/100))),"")</f>
        <v>2705615.1068124883</v>
      </c>
      <c r="R115" cm="1">
        <f t="array" ref="R115">IFERROR(IF($E115&lt;44348,"",IF(INDEX(Raw_매출!$B$2:$BI$155,MATCH($A115,Raw_매출!$A$2:$A$155,0),MATCH(EDATE($E115,R$1-1),Raw_매출!$B$1:$BI$1,0))=0,"",INDEX(Raw_매출!$B$2:$BI$155,MATCH($A115,Raw_매출!$A$2:$A$155,0),MATCH(EDATE($E115,R$1-1),Raw_매출!$B$1:$BI$1,0))/(INDEX(요약_월별시즈널리티!$F$7:$F$18,MONTH(EDATE($E115,R$1-1)))/100))),"")</f>
        <v>2570538.8020066526</v>
      </c>
      <c r="S115" cm="1">
        <f t="array" ref="S115">IFERROR(IF($E115&lt;44348,"",IF(INDEX(Raw_매출!$B$2:$BI$155,MATCH($A115,Raw_매출!$A$2:$A$155,0),MATCH(EDATE($E115,S$1-1),Raw_매출!$B$1:$BI$1,0))=0,"",INDEX(Raw_매출!$B$2:$BI$155,MATCH($A115,Raw_매출!$A$2:$A$155,0),MATCH(EDATE($E115,S$1-1),Raw_매출!$B$1:$BI$1,0))/(INDEX(요약_월별시즈널리티!$F$7:$F$18,MONTH(EDATE($E115,S$1-1)))/100))),"")</f>
        <v>2535720.2981017819</v>
      </c>
      <c r="T115" cm="1">
        <f t="array" ref="T115">IFERROR(IF($E115&lt;44348,"",IF(INDEX(Raw_매출!$B$2:$BI$155,MATCH($A115,Raw_매출!$A$2:$A$155,0),MATCH(EDATE($E115,T$1-1),Raw_매출!$B$1:$BI$1,0))=0,"",INDEX(Raw_매출!$B$2:$BI$155,MATCH($A115,Raw_매출!$A$2:$A$155,0),MATCH(EDATE($E115,T$1-1),Raw_매출!$B$1:$BI$1,0))/(INDEX(요약_월별시즈널리티!$F$7:$F$18,MONTH(EDATE($E115,T$1-1)))/100))),"")</f>
        <v>2415287.1038398994</v>
      </c>
      <c r="U115" cm="1">
        <f t="array" ref="U115">IFERROR(IF($E115&lt;44348,"",IF(INDEX(Raw_매출!$B$2:$BI$155,MATCH($A115,Raw_매출!$A$2:$A$155,0),MATCH(EDATE($E115,U$1-1),Raw_매출!$B$1:$BI$1,0))=0,"",INDEX(Raw_매출!$B$2:$BI$155,MATCH($A115,Raw_매출!$A$2:$A$155,0),MATCH(EDATE($E115,U$1-1),Raw_매출!$B$1:$BI$1,0))/(INDEX(요약_월별시즈널리티!$F$7:$F$18,MONTH(EDATE($E115,U$1-1)))/100))),"")</f>
        <v>2601432.1161116362</v>
      </c>
      <c r="V115" cm="1">
        <f t="array" ref="V115">IFERROR(IF($E115&lt;44348,"",IF(INDEX(Raw_매출!$B$2:$BI$155,MATCH($A115,Raw_매출!$A$2:$A$155,0),MATCH(EDATE($E115,V$1-1),Raw_매출!$B$1:$BI$1,0))=0,"",INDEX(Raw_매출!$B$2:$BI$155,MATCH($A115,Raw_매출!$A$2:$A$155,0),MATCH(EDATE($E115,V$1-1),Raw_매출!$B$1:$BI$1,0))/(INDEX(요약_월별시즈널리티!$F$7:$F$18,MONTH(EDATE($E115,V$1-1)))/100))),"")</f>
        <v>2684981.6486110995</v>
      </c>
      <c r="W115" cm="1">
        <f t="array" ref="W115">IFERROR(IF($E115&lt;44348,"",IF(INDEX(Raw_매출!$B$2:$BI$155,MATCH($A115,Raw_매출!$A$2:$A$155,0),MATCH(EDATE($E115,W$1-1),Raw_매출!$B$1:$BI$1,0))=0,"",INDEX(Raw_매출!$B$2:$BI$155,MATCH($A115,Raw_매출!$A$2:$A$155,0),MATCH(EDATE($E115,W$1-1),Raw_매출!$B$1:$BI$1,0))/(INDEX(요약_월별시즈널리티!$F$7:$F$18,MONTH(EDATE($E115,W$1-1)))/100))),"")</f>
        <v>2309783.3373170518</v>
      </c>
      <c r="X115" cm="1">
        <f t="array" ref="X115">IFERROR(IF($E115&lt;44348,"",IF(INDEX(Raw_매출!$B$2:$BI$155,MATCH($A115,Raw_매출!$A$2:$A$155,0),MATCH(EDATE($E115,X$1-1),Raw_매출!$B$1:$BI$1,0))=0,"",INDEX(Raw_매출!$B$2:$BI$155,MATCH($A115,Raw_매출!$A$2:$A$155,0),MATCH(EDATE($E115,X$1-1),Raw_매출!$B$1:$BI$1,0))/(INDEX(요약_월별시즈널리티!$F$7:$F$18,MONTH(EDATE($E115,X$1-1)))/100))),"")</f>
        <v>2302263.696793634</v>
      </c>
      <c r="Y115" cm="1">
        <f t="array" ref="Y115">IFERROR(IF($E115&lt;44348,"",IF(INDEX(Raw_매출!$B$2:$BI$155,MATCH($A115,Raw_매출!$A$2:$A$155,0),MATCH(EDATE($E115,Y$1-1),Raw_매출!$B$1:$BI$1,0))=0,"",INDEX(Raw_매출!$B$2:$BI$155,MATCH($A115,Raw_매출!$A$2:$A$155,0),MATCH(EDATE($E115,Y$1-1),Raw_매출!$B$1:$BI$1,0))/(INDEX(요약_월별시즈널리티!$F$7:$F$18,MONTH(EDATE($E115,Y$1-1)))/100))),"")</f>
        <v>2325276.4057131545</v>
      </c>
      <c r="Z115" cm="1">
        <f t="array" ref="Z115">IFERROR(IF($E115&lt;44348,"",IF(INDEX(Raw_매출!$B$2:$BI$155,MATCH($A115,Raw_매출!$A$2:$A$155,0),MATCH(EDATE($E115,Z$1-1),Raw_매출!$B$1:$BI$1,0))=0,"",INDEX(Raw_매출!$B$2:$BI$155,MATCH($A115,Raw_매출!$A$2:$A$155,0),MATCH(EDATE($E115,Z$1-1),Raw_매출!$B$1:$BI$1,0))/(INDEX(요약_월별시즈널리티!$F$7:$F$18,MONTH(EDATE($E115,Z$1-1)))/100))),"")</f>
        <v>2222898.6584518035</v>
      </c>
      <c r="AA115" cm="1">
        <f t="array" ref="AA115">IFERROR(IF($E115&lt;44348,"",IF(INDEX(Raw_매출!$B$2:$BI$155,MATCH($A115,Raw_매출!$A$2:$A$155,0),MATCH(EDATE($E115,AA$1-1),Raw_매출!$B$1:$BI$1,0))=0,"",INDEX(Raw_매출!$B$2:$BI$155,MATCH($A115,Raw_매출!$A$2:$A$155,0),MATCH(EDATE($E115,AA$1-1),Raw_매출!$B$1:$BI$1,0))/(INDEX(요약_월별시즈널리티!$F$7:$F$18,MONTH(EDATE($E115,AA$1-1)))/100))),"")</f>
        <v>2658277.9139103261</v>
      </c>
      <c r="AB115" cm="1">
        <f t="array" ref="AB115">IFERROR(IF($E115&lt;44348,"",IF(INDEX(Raw_매출!$B$2:$BI$155,MATCH($A115,Raw_매출!$A$2:$A$155,0),MATCH(EDATE($E115,AB$1-1),Raw_매출!$B$1:$BI$1,0))=0,"",INDEX(Raw_매출!$B$2:$BI$155,MATCH($A115,Raw_매출!$A$2:$A$155,0),MATCH(EDATE($E115,AB$1-1),Raw_매출!$B$1:$BI$1,0))/(INDEX(요약_월별시즈널리티!$F$7:$F$18,MONTH(EDATE($E115,AB$1-1)))/100))),"")</f>
        <v>2240645.2500352319</v>
      </c>
      <c r="AC115" cm="1">
        <f t="array" ref="AC115">IFERROR(IF($E115&lt;44348,"",IF(INDEX(Raw_매출!$B$2:$BI$155,MATCH($A115,Raw_매출!$A$2:$A$155,0),MATCH(EDATE($E115,AC$1-1),Raw_매출!$B$1:$BI$1,0))=0,"",INDEX(Raw_매출!$B$2:$BI$155,MATCH($A115,Raw_매출!$A$2:$A$155,0),MATCH(EDATE($E115,AC$1-1),Raw_매출!$B$1:$BI$1,0))/(INDEX(요약_월별시즈널리티!$F$7:$F$18,MONTH(EDATE($E115,AC$1-1)))/100))),"")</f>
        <v>2437594.5078672841</v>
      </c>
      <c r="AD115" cm="1">
        <f t="array" ref="AD115">IFERROR(IF($E115&lt;44348,"",IF(INDEX(Raw_매출!$B$2:$BI$155,MATCH($A115,Raw_매출!$A$2:$A$155,0),MATCH(EDATE($E115,AD$1-1),Raw_매출!$B$1:$BI$1,0))=0,"",INDEX(Raw_매출!$B$2:$BI$155,MATCH($A115,Raw_매출!$A$2:$A$155,0),MATCH(EDATE($E115,AD$1-1),Raw_매출!$B$1:$BI$1,0))/(INDEX(요약_월별시즈널리티!$F$7:$F$18,MONTH(EDATE($E115,AD$1-1)))/100))),"")</f>
        <v>2785338.6312837875</v>
      </c>
      <c r="AE115" cm="1">
        <f t="array" ref="AE115">IFERROR(IF($E115&lt;44348,"",IF(INDEX(Raw_매출!$B$2:$BI$155,MATCH($A115,Raw_매출!$A$2:$A$155,0),MATCH(EDATE($E115,AE$1-1),Raw_매출!$B$1:$BI$1,0))=0,"",INDEX(Raw_매출!$B$2:$BI$155,MATCH($A115,Raw_매출!$A$2:$A$155,0),MATCH(EDATE($E115,AE$1-1),Raw_매출!$B$1:$BI$1,0))/(INDEX(요약_월별시즈널리티!$F$7:$F$18,MONTH(EDATE($E115,AE$1-1)))/100))),"")</f>
        <v>3048627.3583996422</v>
      </c>
      <c r="AF115" cm="1">
        <f t="array" ref="AF115">IFERROR(IF($E115&lt;44348,"",IF(INDEX(Raw_매출!$B$2:$BI$155,MATCH($A115,Raw_매출!$A$2:$A$155,0),MATCH(EDATE($E115,AF$1-1),Raw_매출!$B$1:$BI$1,0))=0,"",INDEX(Raw_매출!$B$2:$BI$155,MATCH($A115,Raw_매출!$A$2:$A$155,0),MATCH(EDATE($E115,AF$1-1),Raw_매출!$B$1:$BI$1,0))/(INDEX(요약_월별시즈널리티!$F$7:$F$18,MONTH(EDATE($E115,AF$1-1)))/100))),"")</f>
        <v>3563267.3907148712</v>
      </c>
      <c r="AG115" cm="1">
        <f t="array" ref="AG115">IFERROR(IF($E115&lt;44348,"",IF(INDEX(Raw_매출!$B$2:$BI$155,MATCH($A115,Raw_매출!$A$2:$A$155,0),MATCH(EDATE($E115,AG$1-1),Raw_매출!$B$1:$BI$1,0))=0,"",INDEX(Raw_매출!$B$2:$BI$155,MATCH($A115,Raw_매출!$A$2:$A$155,0),MATCH(EDATE($E115,AG$1-1),Raw_매출!$B$1:$BI$1,0))/(INDEX(요약_월별시즈널리티!$F$7:$F$18,MONTH(EDATE($E115,AG$1-1)))/100))),"")</f>
        <v>4874298.2452482637</v>
      </c>
      <c r="AH115" t="str" cm="1">
        <f t="array" ref="AH115">IFERROR(IF($E115&lt;44348,"",IF(INDEX(Raw_매출!$B$2:$BI$155,MATCH($A115,Raw_매출!$A$2:$A$155,0),MATCH(EDATE($E115,AH$1-1),Raw_매출!$B$1:$BI$1,0))=0,"",INDEX(Raw_매출!$B$2:$BI$155,MATCH($A115,Raw_매출!$A$2:$A$155,0),MATCH(EDATE($E115,AH$1-1),Raw_매출!$B$1:$BI$1,0))/(INDEX(요약_월별시즈널리티!$F$7:$F$18,MONTH(EDATE($E115,AH$1-1)))/100))),"")</f>
        <v/>
      </c>
      <c r="AI115" t="str" cm="1">
        <f t="array" ref="AI115">IFERROR(IF($E115&lt;44348,"",IF(INDEX(Raw_매출!$B$2:$BI$155,MATCH($A115,Raw_매출!$A$2:$A$155,0),MATCH(EDATE($E115,AI$1-1),Raw_매출!$B$1:$BI$1,0))=0,"",INDEX(Raw_매출!$B$2:$BI$155,MATCH($A115,Raw_매출!$A$2:$A$155,0),MATCH(EDATE($E115,AI$1-1),Raw_매출!$B$1:$BI$1,0))/(INDEX(요약_월별시즈널리티!$F$7:$F$18,MONTH(EDATE($E115,AI$1-1)))/100))),"")</f>
        <v/>
      </c>
      <c r="AJ115" t="str" cm="1">
        <f t="array" ref="AJ115">IFERROR(IF($E115&lt;44348,"",IF(INDEX(Raw_매출!$B$2:$BI$155,MATCH($A115,Raw_매출!$A$2:$A$155,0),MATCH(EDATE($E115,AJ$1-1),Raw_매출!$B$1:$BI$1,0))=0,"",INDEX(Raw_매출!$B$2:$BI$155,MATCH($A115,Raw_매출!$A$2:$A$155,0),MATCH(EDATE($E115,AJ$1-1),Raw_매출!$B$1:$BI$1,0))/(INDEX(요약_월별시즈널리티!$F$7:$F$18,MONTH(EDATE($E115,AJ$1-1)))/100))),"")</f>
        <v/>
      </c>
      <c r="AK115" t="str" cm="1">
        <f t="array" ref="AK115">IFERROR(IF($E115&lt;44348,"",IF(INDEX(Raw_매출!$B$2:$BI$155,MATCH($A115,Raw_매출!$A$2:$A$155,0),MATCH(EDATE($E115,AK$1-1),Raw_매출!$B$1:$BI$1,0))=0,"",INDEX(Raw_매출!$B$2:$BI$155,MATCH($A115,Raw_매출!$A$2:$A$155,0),MATCH(EDATE($E115,AK$1-1),Raw_매출!$B$1:$BI$1,0))/(INDEX(요약_월별시즈널리티!$F$7:$F$18,MONTH(EDATE($E115,AK$1-1)))/100))),"")</f>
        <v/>
      </c>
      <c r="AL115" t="str" cm="1">
        <f t="array" ref="AL115">IFERROR(IF($E115&lt;44348,"",IF(INDEX(Raw_매출!$B$2:$BI$155,MATCH($A115,Raw_매출!$A$2:$A$155,0),MATCH(EDATE($E115,AL$1-1),Raw_매출!$B$1:$BI$1,0))=0,"",INDEX(Raw_매출!$B$2:$BI$155,MATCH($A115,Raw_매출!$A$2:$A$155,0),MATCH(EDATE($E115,AL$1-1),Raw_매출!$B$1:$BI$1,0))/(INDEX(요약_월별시즈널리티!$F$7:$F$18,MONTH(EDATE($E115,AL$1-1)))/100))),"")</f>
        <v/>
      </c>
      <c r="AM115" t="str" cm="1">
        <f t="array" ref="AM115">IFERROR(IF($E115&lt;44348,"",IF(INDEX(Raw_매출!$B$2:$BI$155,MATCH($A115,Raw_매출!$A$2:$A$155,0),MATCH(EDATE($E115,AM$1-1),Raw_매출!$B$1:$BI$1,0))=0,"",INDEX(Raw_매출!$B$2:$BI$155,MATCH($A115,Raw_매출!$A$2:$A$155,0),MATCH(EDATE($E115,AM$1-1),Raw_매출!$B$1:$BI$1,0))/(INDEX(요약_월별시즈널리티!$F$7:$F$18,MONTH(EDATE($E115,AM$1-1)))/100))),"")</f>
        <v/>
      </c>
      <c r="AN115" t="str" cm="1">
        <f t="array" ref="AN115">IFERROR(IF($E115&lt;44348,"",IF(INDEX(Raw_매출!$B$2:$BI$155,MATCH($A115,Raw_매출!$A$2:$A$155,0),MATCH(EDATE($E115,AN$1-1),Raw_매출!$B$1:$BI$1,0))=0,"",INDEX(Raw_매출!$B$2:$BI$155,MATCH($A115,Raw_매출!$A$2:$A$155,0),MATCH(EDATE($E115,AN$1-1),Raw_매출!$B$1:$BI$1,0))/(INDEX(요약_월별시즈널리티!$F$7:$F$18,MONTH(EDATE($E115,AN$1-1)))/100))),"")</f>
        <v/>
      </c>
      <c r="AO115" t="str" cm="1">
        <f t="array" ref="AO115">IFERROR(IF($E115&lt;44348,"",IF(INDEX(Raw_매출!$B$2:$BI$155,MATCH($A115,Raw_매출!$A$2:$A$155,0),MATCH(EDATE($E115,AO$1-1),Raw_매출!$B$1:$BI$1,0))=0,"",INDEX(Raw_매출!$B$2:$BI$155,MATCH($A115,Raw_매출!$A$2:$A$155,0),MATCH(EDATE($E115,AO$1-1),Raw_매출!$B$1:$BI$1,0))/(INDEX(요약_월별시즈널리티!$F$7:$F$18,MONTH(EDATE($E115,AO$1-1)))/100))),"")</f>
        <v/>
      </c>
      <c r="AP115" t="str" cm="1">
        <f t="array" ref="AP115">IFERROR(IF($E115&lt;44348,"",IF(INDEX(Raw_매출!$B$2:$BI$155,MATCH($A115,Raw_매출!$A$2:$A$155,0),MATCH(EDATE($E115,AP$1-1),Raw_매출!$B$1:$BI$1,0))=0,"",INDEX(Raw_매출!$B$2:$BI$155,MATCH($A115,Raw_매출!$A$2:$A$155,0),MATCH(EDATE($E115,AP$1-1),Raw_매출!$B$1:$BI$1,0))/(INDEX(요약_월별시즈널리티!$F$7:$F$18,MONTH(EDATE($E115,AP$1-1)))/100))),"")</f>
        <v/>
      </c>
      <c r="AQ115" t="str" cm="1">
        <f t="array" ref="AQ115">IFERROR(IF($E115&lt;44348,"",IF(INDEX(Raw_매출!$B$2:$BI$155,MATCH($A115,Raw_매출!$A$2:$A$155,0),MATCH(EDATE($E115,AQ$1-1),Raw_매출!$B$1:$BI$1,0))=0,"",INDEX(Raw_매출!$B$2:$BI$155,MATCH($A115,Raw_매출!$A$2:$A$155,0),MATCH(EDATE($E115,AQ$1-1),Raw_매출!$B$1:$BI$1,0))/(INDEX(요약_월별시즈널리티!$F$7:$F$18,MONTH(EDATE($E115,AQ$1-1)))/100))),"")</f>
        <v/>
      </c>
      <c r="AR115" t="str" cm="1">
        <f t="array" ref="AR115">IFERROR(IF($E115&lt;44348,"",IF(INDEX(Raw_매출!$B$2:$BI$155,MATCH($A115,Raw_매출!$A$2:$A$155,0),MATCH(EDATE($E115,AR$1-1),Raw_매출!$B$1:$BI$1,0))=0,"",INDEX(Raw_매출!$B$2:$BI$155,MATCH($A115,Raw_매출!$A$2:$A$155,0),MATCH(EDATE($E115,AR$1-1),Raw_매출!$B$1:$BI$1,0))/(INDEX(요약_월별시즈널리티!$F$7:$F$18,MONTH(EDATE($E115,AR$1-1)))/100))),"")</f>
        <v/>
      </c>
      <c r="AS115" t="str" cm="1">
        <f t="array" ref="AS115">IFERROR(IF($E115&lt;44348,"",IF(INDEX(Raw_매출!$B$2:$BI$155,MATCH($A115,Raw_매출!$A$2:$A$155,0),MATCH(EDATE($E115,AS$1-1),Raw_매출!$B$1:$BI$1,0))=0,"",INDEX(Raw_매출!$B$2:$BI$155,MATCH($A115,Raw_매출!$A$2:$A$155,0),MATCH(EDATE($E115,AS$1-1),Raw_매출!$B$1:$BI$1,0))/(INDEX(요약_월별시즈널리티!$F$7:$F$18,MONTH(EDATE($E115,AS$1-1)))/100))),"")</f>
        <v/>
      </c>
      <c r="AT115" t="str" cm="1">
        <f t="array" ref="AT115">IFERROR(IF($E115&lt;44348,"",IF(INDEX(Raw_매출!$B$2:$BI$155,MATCH($A115,Raw_매출!$A$2:$A$155,0),MATCH(EDATE($E115,AT$1-1),Raw_매출!$B$1:$BI$1,0))=0,"",INDEX(Raw_매출!$B$2:$BI$155,MATCH($A115,Raw_매출!$A$2:$A$155,0),MATCH(EDATE($E115,AT$1-1),Raw_매출!$B$1:$BI$1,0))/(INDEX(요약_월별시즈널리티!$F$7:$F$18,MONTH(EDATE($E115,AT$1-1)))/100))),"")</f>
        <v/>
      </c>
      <c r="AU115" t="str" cm="1">
        <f t="array" ref="AU115">IFERROR(IF($E115&lt;44348,"",IF(INDEX(Raw_매출!$B$2:$BI$155,MATCH($A115,Raw_매출!$A$2:$A$155,0),MATCH(EDATE($E115,AU$1-1),Raw_매출!$B$1:$BI$1,0))=0,"",INDEX(Raw_매출!$B$2:$BI$155,MATCH($A115,Raw_매출!$A$2:$A$155,0),MATCH(EDATE($E115,AU$1-1),Raw_매출!$B$1:$BI$1,0))/(INDEX(요약_월별시즈널리티!$F$7:$F$18,MONTH(EDATE($E115,AU$1-1)))/100))),"")</f>
        <v/>
      </c>
      <c r="AV115" t="str" cm="1">
        <f t="array" ref="AV115">IFERROR(IF($E115&lt;44348,"",IF(INDEX(Raw_매출!$B$2:$BI$155,MATCH($A115,Raw_매출!$A$2:$A$155,0),MATCH(EDATE($E115,AV$1-1),Raw_매출!$B$1:$BI$1,0))=0,"",INDEX(Raw_매출!$B$2:$BI$155,MATCH($A115,Raw_매출!$A$2:$A$155,0),MATCH(EDATE($E115,AV$1-1),Raw_매출!$B$1:$BI$1,0))/(INDEX(요약_월별시즈널리티!$F$7:$F$18,MONTH(EDATE($E115,AV$1-1)))/100))),"")</f>
        <v/>
      </c>
      <c r="AW115" t="str" cm="1">
        <f t="array" ref="AW115">IFERROR(IF($E115&lt;44348,"",IF(INDEX(Raw_매출!$B$2:$BI$155,MATCH($A115,Raw_매출!$A$2:$A$155,0),MATCH(EDATE($E115,AW$1-1),Raw_매출!$B$1:$BI$1,0))=0,"",INDEX(Raw_매출!$B$2:$BI$155,MATCH($A115,Raw_매출!$A$2:$A$155,0),MATCH(EDATE($E115,AW$1-1),Raw_매출!$B$1:$BI$1,0))/(INDEX(요약_월별시즈널리티!$F$7:$F$18,MONTH(EDATE($E115,AW$1-1)))/100))),"")</f>
        <v/>
      </c>
      <c r="AX115" t="str" cm="1">
        <f t="array" ref="AX115">IFERROR(IF($E115&lt;44348,"",IF(INDEX(Raw_매출!$B$2:$BI$155,MATCH($A115,Raw_매출!$A$2:$A$155,0),MATCH(EDATE($E115,AX$1-1),Raw_매출!$B$1:$BI$1,0))=0,"",INDEX(Raw_매출!$B$2:$BI$155,MATCH($A115,Raw_매출!$A$2:$A$155,0),MATCH(EDATE($E115,AX$1-1),Raw_매출!$B$1:$BI$1,0))/(INDEX(요약_월별시즈널리티!$F$7:$F$18,MONTH(EDATE($E115,AX$1-1)))/100))),"")</f>
        <v/>
      </c>
      <c r="AY115" t="str" cm="1">
        <f t="array" ref="AY115">IFERROR(IF($E115&lt;44348,"",IF(INDEX(Raw_매출!$B$2:$BI$155,MATCH($A115,Raw_매출!$A$2:$A$155,0),MATCH(EDATE($E115,AY$1-1),Raw_매출!$B$1:$BI$1,0))=0,"",INDEX(Raw_매출!$B$2:$BI$155,MATCH($A115,Raw_매출!$A$2:$A$155,0),MATCH(EDATE($E115,AY$1-1),Raw_매출!$B$1:$BI$1,0))/(INDEX(요약_월별시즈널리티!$F$7:$F$18,MONTH(EDATE($E115,AY$1-1)))/100))),"")</f>
        <v/>
      </c>
      <c r="AZ115" t="str" cm="1">
        <f t="array" ref="AZ115">IFERROR(IF($E115&lt;44348,"",IF(INDEX(Raw_매출!$B$2:$BI$155,MATCH($A115,Raw_매출!$A$2:$A$155,0),MATCH(EDATE($E115,AZ$1-1),Raw_매출!$B$1:$BI$1,0))=0,"",INDEX(Raw_매출!$B$2:$BI$155,MATCH($A115,Raw_매출!$A$2:$A$155,0),MATCH(EDATE($E115,AZ$1-1),Raw_매출!$B$1:$BI$1,0))/(INDEX(요약_월별시즈널리티!$F$7:$F$18,MONTH(EDATE($E115,AZ$1-1)))/100))),"")</f>
        <v/>
      </c>
      <c r="BA115" t="str" cm="1">
        <f t="array" ref="BA115">IFERROR(IF($E115&lt;44348,"",IF(INDEX(Raw_매출!$B$2:$BI$155,MATCH($A115,Raw_매출!$A$2:$A$155,0),MATCH(EDATE($E115,BA$1-1),Raw_매출!$B$1:$BI$1,0))=0,"",INDEX(Raw_매출!$B$2:$BI$155,MATCH($A115,Raw_매출!$A$2:$A$155,0),MATCH(EDATE($E115,BA$1-1),Raw_매출!$B$1:$BI$1,0))/(INDEX(요약_월별시즈널리티!$F$7:$F$18,MONTH(EDATE($E115,BA$1-1)))/100))),"")</f>
        <v/>
      </c>
      <c r="BB115" t="str" cm="1">
        <f t="array" ref="BB115">IFERROR(IF($E115&lt;44348,"",IF(INDEX(Raw_매출!$B$2:$BI$155,MATCH($A115,Raw_매출!$A$2:$A$155,0),MATCH(EDATE($E115,BB$1-1),Raw_매출!$B$1:$BI$1,0))=0,"",INDEX(Raw_매출!$B$2:$BI$155,MATCH($A115,Raw_매출!$A$2:$A$155,0),MATCH(EDATE($E115,BB$1-1),Raw_매출!$B$1:$BI$1,0))/(INDEX(요약_월별시즈널리티!$F$7:$F$18,MONTH(EDATE($E115,BB$1-1)))/100))),"")</f>
        <v/>
      </c>
      <c r="BC115" t="str" cm="1">
        <f t="array" ref="BC115">IFERROR(IF($E115&lt;44348,"",IF(INDEX(Raw_매출!$B$2:$BI$155,MATCH($A115,Raw_매출!$A$2:$A$155,0),MATCH(EDATE($E115,BC$1-1),Raw_매출!$B$1:$BI$1,0))=0,"",INDEX(Raw_매출!$B$2:$BI$155,MATCH($A115,Raw_매출!$A$2:$A$155,0),MATCH(EDATE($E115,BC$1-1),Raw_매출!$B$1:$BI$1,0))/(INDEX(요약_월별시즈널리티!$F$7:$F$18,MONTH(EDATE($E115,BC$1-1)))/100))),"")</f>
        <v/>
      </c>
      <c r="BD115" t="str" cm="1">
        <f t="array" ref="BD115">IFERROR(IF($E115&lt;44348,"",IF(INDEX(Raw_매출!$B$2:$BI$155,MATCH($A115,Raw_매출!$A$2:$A$155,0),MATCH(EDATE($E115,BD$1-1),Raw_매출!$B$1:$BI$1,0))=0,"",INDEX(Raw_매출!$B$2:$BI$155,MATCH($A115,Raw_매출!$A$2:$A$155,0),MATCH(EDATE($E115,BD$1-1),Raw_매출!$B$1:$BI$1,0))/(INDEX(요약_월별시즈널리티!$F$7:$F$18,MONTH(EDATE($E115,BD$1-1)))/100))),"")</f>
        <v/>
      </c>
      <c r="BE115" t="str" cm="1">
        <f t="array" ref="BE115">IFERROR(IF($E115&lt;44348,"",IF(INDEX(Raw_매출!$B$2:$BI$155,MATCH($A115,Raw_매출!$A$2:$A$155,0),MATCH(EDATE($E115,BE$1-1),Raw_매출!$B$1:$BI$1,0))=0,"",INDEX(Raw_매출!$B$2:$BI$155,MATCH($A115,Raw_매출!$A$2:$A$155,0),MATCH(EDATE($E115,BE$1-1),Raw_매출!$B$1:$BI$1,0))/(INDEX(요약_월별시즈널리티!$F$7:$F$18,MONTH(EDATE($E115,BE$1-1)))/100))),"")</f>
        <v/>
      </c>
      <c r="BF115" t="str" cm="1">
        <f t="array" ref="BF115">IFERROR(IF($E115&lt;44348,"",IF(INDEX(Raw_매출!$B$2:$BI$155,MATCH($A115,Raw_매출!$A$2:$A$155,0),MATCH(EDATE($E115,BF$1-1),Raw_매출!$B$1:$BI$1,0))=0,"",INDEX(Raw_매출!$B$2:$BI$155,MATCH($A115,Raw_매출!$A$2:$A$155,0),MATCH(EDATE($E115,BF$1-1),Raw_매출!$B$1:$BI$1,0))/(INDEX(요약_월별시즈널리티!$F$7:$F$18,MONTH(EDATE($E115,BF$1-1)))/100))),"")</f>
        <v/>
      </c>
      <c r="BG115" t="str" cm="1">
        <f t="array" ref="BG115">IFERROR(IF($E115&lt;44348,"",IF(INDEX(Raw_매출!$B$2:$BI$155,MATCH($A115,Raw_매출!$A$2:$A$155,0),MATCH(EDATE($E115,BG$1-1),Raw_매출!$B$1:$BI$1,0))=0,"",INDEX(Raw_매출!$B$2:$BI$155,MATCH($A115,Raw_매출!$A$2:$A$155,0),MATCH(EDATE($E115,BG$1-1),Raw_매출!$B$1:$BI$1,0))/(INDEX(요약_월별시즈널리티!$F$7:$F$18,MONTH(EDATE($E115,BG$1-1)))/100))),"")</f>
        <v/>
      </c>
      <c r="BH115" t="str" cm="1">
        <f t="array" ref="BH115">IFERROR(IF($E115&lt;44348,"",IF(INDEX(Raw_매출!$B$2:$BI$155,MATCH($A115,Raw_매출!$A$2:$A$155,0),MATCH(EDATE($E115,BH$1-1),Raw_매출!$B$1:$BI$1,0))=0,"",INDEX(Raw_매출!$B$2:$BI$155,MATCH($A115,Raw_매출!$A$2:$A$155,0),MATCH(EDATE($E115,BH$1-1),Raw_매출!$B$1:$BI$1,0))/(INDEX(요약_월별시즈널리티!$F$7:$F$18,MONTH(EDATE($E115,BH$1-1)))/100))),"")</f>
        <v/>
      </c>
      <c r="BI115" t="str" cm="1">
        <f t="array" ref="BI115">IFERROR(IF($E115&lt;44348,"",IF(INDEX(Raw_매출!$B$2:$BI$155,MATCH($A115,Raw_매출!$A$2:$A$155,0),MATCH(EDATE($E115,BI$1-1),Raw_매출!$B$1:$BI$1,0))=0,"",INDEX(Raw_매출!$B$2:$BI$155,MATCH($A115,Raw_매출!$A$2:$A$155,0),MATCH(EDATE($E115,BI$1-1),Raw_매출!$B$1:$BI$1,0))/(INDEX(요약_월별시즈널리티!$F$7:$F$18,MONTH(EDATE($E115,BI$1-1)))/100))),"")</f>
        <v/>
      </c>
      <c r="BJ115" t="str" cm="1">
        <f t="array" ref="BJ115">IFERROR(IF($E115&lt;44348,"",IF(INDEX(Raw_매출!$B$2:$BI$155,MATCH($A115,Raw_매출!$A$2:$A$155,0),MATCH(EDATE($E115,BJ$1-1),Raw_매출!$B$1:$BI$1,0))=0,"",INDEX(Raw_매출!$B$2:$BI$155,MATCH($A115,Raw_매출!$A$2:$A$155,0),MATCH(EDATE($E115,BJ$1-1),Raw_매출!$B$1:$BI$1,0))/(INDEX(요약_월별시즈널리티!$F$7:$F$18,MONTH(EDATE($E115,BJ$1-1)))/100))),"")</f>
        <v/>
      </c>
      <c r="BK115" t="str" cm="1">
        <f t="array" ref="BK115">IFERROR(IF($E115&lt;44348,"",IF(INDEX(Raw_매출!$B$2:$BI$155,MATCH($A115,Raw_매출!$A$2:$A$155,0),MATCH(EDATE($E115,BK$1-1),Raw_매출!$B$1:$BI$1,0))=0,"",INDEX(Raw_매출!$B$2:$BI$155,MATCH($A115,Raw_매출!$A$2:$A$155,0),MATCH(EDATE($E115,BK$1-1),Raw_매출!$B$1:$BI$1,0))/(INDEX(요약_월별시즈널리티!$F$7:$F$18,MONTH(EDATE($E115,BK$1-1)))/100))),"")</f>
        <v/>
      </c>
      <c r="BL115" t="str" cm="1">
        <f t="array" ref="BL115">IFERROR(IF($E115&lt;44348,"",IF(INDEX(Raw_매출!$B$2:$BI$155,MATCH($A115,Raw_매출!$A$2:$A$155,0),MATCH(EDATE($E115,BL$1-1),Raw_매출!$B$1:$BI$1,0))=0,"",INDEX(Raw_매출!$B$2:$BI$155,MATCH($A115,Raw_매출!$A$2:$A$155,0),MATCH(EDATE($E115,BL$1-1),Raw_매출!$B$1:$BI$1,0))/(INDEX(요약_월별시즈널리티!$F$7:$F$18,MONTH(EDATE($E115,BL$1-1)))/100))),"")</f>
        <v/>
      </c>
      <c r="BM115" t="str" cm="1">
        <f t="array" ref="BM115">IFERROR(IF($E115&lt;44348,"",IF(INDEX(Raw_매출!$B$2:$BI$155,MATCH($A115,Raw_매출!$A$2:$A$155,0),MATCH(EDATE($E115,BM$1-1),Raw_매출!$B$1:$BI$1,0))=0,"",INDEX(Raw_매출!$B$2:$BI$155,MATCH($A115,Raw_매출!$A$2:$A$155,0),MATCH(EDATE($E115,BM$1-1),Raw_매출!$B$1:$BI$1,0))/(INDEX(요약_월별시즈널리티!$F$7:$F$18,MONTH(EDATE($E115,BM$1-1)))/100))),"")</f>
        <v/>
      </c>
      <c r="BN115" t="str" cm="1">
        <f t="array" ref="BN115">IFERROR(IF($E115&lt;44348,"",IF(INDEX(Raw_매출!$B$2:$BI$155,MATCH($A115,Raw_매출!$A$2:$A$155,0),MATCH(EDATE($E115,BN$1-1),Raw_매출!$B$1:$BI$1,0))=0,"",INDEX(Raw_매출!$B$2:$BI$155,MATCH($A115,Raw_매출!$A$2:$A$155,0),MATCH(EDATE($E115,BN$1-1),Raw_매출!$B$1:$BI$1,0))/(INDEX(요약_월별시즈널리티!$F$7:$F$18,MONTH(EDATE($E115,BN$1-1)))/100))),"")</f>
        <v/>
      </c>
    </row>
    <row r="116" spans="1:66" x14ac:dyDescent="0.4">
      <c r="A116" t="str">
        <f>세팅!A117</f>
        <v>(1106) #아주대씨씨점</v>
      </c>
      <c r="B116" t="str">
        <f>세팅!B117</f>
        <v>150-0</v>
      </c>
      <c r="C116">
        <f t="shared" si="3"/>
        <v>0</v>
      </c>
      <c r="D116" t="str">
        <f t="shared" si="4"/>
        <v>0</v>
      </c>
      <c r="E116" s="1">
        <f>세팅!D117</f>
        <v>45383</v>
      </c>
      <c r="F116">
        <f t="shared" si="5"/>
        <v>4628819.9064672366</v>
      </c>
      <c r="G116" cm="1">
        <f t="array" ref="G116">IFERROR(IF($E116&lt;44348,"",IF(INDEX(Raw_매출!$B$2:$BI$155,MATCH($A116,Raw_매출!$A$2:$A$155,0),MATCH(EDATE($E116,G$1-1),Raw_매출!$B$1:$BI$1,0))=0,"",INDEX(Raw_매출!$B$2:$BI$155,MATCH($A116,Raw_매출!$A$2:$A$155,0),MATCH(EDATE($E116,G$1-1),Raw_매출!$B$1:$BI$1,0))/(INDEX(요약_월별시즈널리티!$F$7:$F$18,MONTH(EDATE($E116,G$1-1)))/100))),"")</f>
        <v>4553817.4869579189</v>
      </c>
      <c r="H116" cm="1">
        <f t="array" ref="H116">IFERROR(IF($E116&lt;44348,"",IF(INDEX(Raw_매출!$B$2:$BI$155,MATCH($A116,Raw_매출!$A$2:$A$155,0),MATCH(EDATE($E116,H$1-1),Raw_매출!$B$1:$BI$1,0))=0,"",INDEX(Raw_매출!$B$2:$BI$155,MATCH($A116,Raw_매출!$A$2:$A$155,0),MATCH(EDATE($E116,H$1-1),Raw_매출!$B$1:$BI$1,0))/(INDEX(요약_월별시즈널리티!$F$7:$F$18,MONTH(EDATE($E116,H$1-1)))/100))),"")</f>
        <v>3965427.0221788893</v>
      </c>
      <c r="I116" cm="1">
        <f t="array" ref="I116">IFERROR(IF($E116&lt;44348,"",IF(INDEX(Raw_매출!$B$2:$BI$155,MATCH($A116,Raw_매출!$A$2:$A$155,0),MATCH(EDATE($E116,I$1-1),Raw_매출!$B$1:$BI$1,0))=0,"",INDEX(Raw_매출!$B$2:$BI$155,MATCH($A116,Raw_매출!$A$2:$A$155,0),MATCH(EDATE($E116,I$1-1),Raw_매출!$B$1:$BI$1,0))/(INDEX(요약_월별시즈널리티!$F$7:$F$18,MONTH(EDATE($E116,I$1-1)))/100))),"")</f>
        <v>4262016.1638085488</v>
      </c>
      <c r="J116" s="30" cm="1">
        <f t="array" ref="J116">IFERROR(IF($E116&lt;44348,"",IF(INDEX(Raw_매출!$B$2:$BI$155,MATCH($A116,Raw_매출!$A$2:$A$155,0),MATCH(EDATE($E116,J$1-1),Raw_매출!$B$1:$BI$1,0))=0,"",INDEX(Raw_매출!$B$2:$BI$155,MATCH($A116,Raw_매출!$A$2:$A$155,0),MATCH(EDATE($E116,J$1-1),Raw_매출!$B$1:$BI$1,0))/(INDEX(요약_월별시즈널리티!$F$7:$F$18,MONTH(EDATE($E116,J$1-1)))/100))),"")</f>
        <v>4193309.7417760408</v>
      </c>
      <c r="K116" s="30" cm="1">
        <f t="array" ref="K116">IFERROR(IF($E116&lt;44348,"",IF(INDEX(Raw_매출!$B$2:$BI$155,MATCH($A116,Raw_매출!$A$2:$A$155,0),MATCH(EDATE($E116,K$1-1),Raw_매출!$B$1:$BI$1,0))=0,"",INDEX(Raw_매출!$B$2:$BI$155,MATCH($A116,Raw_매출!$A$2:$A$155,0),MATCH(EDATE($E116,K$1-1),Raw_매출!$B$1:$BI$1,0))/(INDEX(요약_월별시즈널리티!$F$7:$F$18,MONTH(EDATE($E116,K$1-1)))/100))),"")</f>
        <v>4498936.9480046546</v>
      </c>
      <c r="L116" s="30" cm="1">
        <f t="array" ref="L116">IFERROR(IF($E116&lt;44348,"",IF(INDEX(Raw_매출!$B$2:$BI$155,MATCH($A116,Raw_매출!$A$2:$A$155,0),MATCH(EDATE($E116,L$1-1),Raw_매출!$B$1:$BI$1,0))=0,"",INDEX(Raw_매출!$B$2:$BI$155,MATCH($A116,Raw_매출!$A$2:$A$155,0),MATCH(EDATE($E116,L$1-1),Raw_매출!$B$1:$BI$1,0))/(INDEX(요약_월별시즈널리티!$F$7:$F$18,MONTH(EDATE($E116,L$1-1)))/100))),"")</f>
        <v>4688555.8469856093</v>
      </c>
      <c r="M116" s="30" cm="1">
        <f t="array" ref="M116">IFERROR(IF($E116&lt;44348,"",IF(INDEX(Raw_매출!$B$2:$BI$155,MATCH($A116,Raw_매출!$A$2:$A$155,0),MATCH(EDATE($E116,M$1-1),Raw_매출!$B$1:$BI$1,0))=0,"",INDEX(Raw_매출!$B$2:$BI$155,MATCH($A116,Raw_매출!$A$2:$A$155,0),MATCH(EDATE($E116,M$1-1),Raw_매출!$B$1:$BI$1,0))/(INDEX(요약_월별시즈널리티!$F$7:$F$18,MONTH(EDATE($E116,M$1-1)))/100))),"")</f>
        <v>4541000.7561683115</v>
      </c>
      <c r="N116" s="30" cm="1">
        <f t="array" ref="N116">IFERROR(IF($E116&lt;44348,"",IF(INDEX(Raw_매출!$B$2:$BI$155,MATCH($A116,Raw_매출!$A$2:$A$155,0),MATCH(EDATE($E116,N$1-1),Raw_매출!$B$1:$BI$1,0))=0,"",INDEX(Raw_매출!$B$2:$BI$155,MATCH($A116,Raw_매출!$A$2:$A$155,0),MATCH(EDATE($E116,N$1-1),Raw_매출!$B$1:$BI$1,0))/(INDEX(요약_월별시즈널리티!$F$7:$F$18,MONTH(EDATE($E116,N$1-1)))/100))),"")</f>
        <v>4836882.468156388</v>
      </c>
      <c r="O116" s="30" cm="1">
        <f t="array" ref="O116">IFERROR(IF($E116&lt;44348,"",IF(INDEX(Raw_매출!$B$2:$BI$155,MATCH($A116,Raw_매출!$A$2:$A$155,0),MATCH(EDATE($E116,O$1-1),Raw_매출!$B$1:$BI$1,0))=0,"",INDEX(Raw_매출!$B$2:$BI$155,MATCH($A116,Raw_매출!$A$2:$A$155,0),MATCH(EDATE($E116,O$1-1),Raw_매출!$B$1:$BI$1,0))/(INDEX(요약_월별시즈널리티!$F$7:$F$18,MONTH(EDATE($E116,O$1-1)))/100))),"")</f>
        <v>5014233.6777124116</v>
      </c>
      <c r="P116" cm="1">
        <f t="array" ref="P116">IFERROR(IF($E116&lt;44348,"",IF(INDEX(Raw_매출!$B$2:$BI$155,MATCH($A116,Raw_매출!$A$2:$A$155,0),MATCH(EDATE($E116,P$1-1),Raw_매출!$B$1:$BI$1,0))=0,"",INDEX(Raw_매출!$B$2:$BI$155,MATCH($A116,Raw_매출!$A$2:$A$155,0),MATCH(EDATE($E116,P$1-1),Raw_매출!$B$1:$BI$1,0))/(INDEX(요약_월별시즈널리티!$F$7:$F$18,MONTH(EDATE($E116,P$1-1)))/100))),"")</f>
        <v>5130653.3582409509</v>
      </c>
      <c r="Q116" cm="1">
        <f t="array" ref="Q116">IFERROR(IF($E116&lt;44348,"",IF(INDEX(Raw_매출!$B$2:$BI$155,MATCH($A116,Raw_매출!$A$2:$A$155,0),MATCH(EDATE($E116,Q$1-1),Raw_매출!$B$1:$BI$1,0))=0,"",INDEX(Raw_매출!$B$2:$BI$155,MATCH($A116,Raw_매출!$A$2:$A$155,0),MATCH(EDATE($E116,Q$1-1),Raw_매출!$B$1:$BI$1,0))/(INDEX(요약_월별시즈널리티!$F$7:$F$18,MONTH(EDATE($E116,Q$1-1)))/100))),"")</f>
        <v>5326751.0272768876</v>
      </c>
      <c r="R116" cm="1">
        <f t="array" ref="R116">IFERROR(IF($E116&lt;44348,"",IF(INDEX(Raw_매출!$B$2:$BI$155,MATCH($A116,Raw_매출!$A$2:$A$155,0),MATCH(EDATE($E116,R$1-1),Raw_매출!$B$1:$BI$1,0))=0,"",INDEX(Raw_매출!$B$2:$BI$155,MATCH($A116,Raw_매출!$A$2:$A$155,0),MATCH(EDATE($E116,R$1-1),Raw_매출!$B$1:$BI$1,0))/(INDEX(요약_월별시즈널리티!$F$7:$F$18,MONTH(EDATE($E116,R$1-1)))/100))),"")</f>
        <v>5245771.3666980611</v>
      </c>
      <c r="S116" cm="1">
        <f t="array" ref="S116">IFERROR(IF($E116&lt;44348,"",IF(INDEX(Raw_매출!$B$2:$BI$155,MATCH($A116,Raw_매출!$A$2:$A$155,0),MATCH(EDATE($E116,S$1-1),Raw_매출!$B$1:$BI$1,0))=0,"",INDEX(Raw_매출!$B$2:$BI$155,MATCH($A116,Raw_매출!$A$2:$A$155,0),MATCH(EDATE($E116,S$1-1),Raw_매출!$B$1:$BI$1,0))/(INDEX(요약_월별시즈널리티!$F$7:$F$18,MONTH(EDATE($E116,S$1-1)))/100))),"")</f>
        <v>4724719.1920593996</v>
      </c>
      <c r="T116" cm="1">
        <f t="array" ref="T116">IFERROR(IF($E116&lt;44348,"",IF(INDEX(Raw_매출!$B$2:$BI$155,MATCH($A116,Raw_매출!$A$2:$A$155,0),MATCH(EDATE($E116,T$1-1),Raw_매출!$B$1:$BI$1,0))=0,"",INDEX(Raw_매출!$B$2:$BI$155,MATCH($A116,Raw_매출!$A$2:$A$155,0),MATCH(EDATE($E116,T$1-1),Raw_매출!$B$1:$BI$1,0))/(INDEX(요약_월별시즈널리티!$F$7:$F$18,MONTH(EDATE($E116,T$1-1)))/100))),"")</f>
        <v>5691774.5967240697</v>
      </c>
      <c r="U116" cm="1">
        <f t="array" ref="U116">IFERROR(IF($E116&lt;44348,"",IF(INDEX(Raw_매출!$B$2:$BI$155,MATCH($A116,Raw_매출!$A$2:$A$155,0),MATCH(EDATE($E116,U$1-1),Raw_매출!$B$1:$BI$1,0))=0,"",INDEX(Raw_매출!$B$2:$BI$155,MATCH($A116,Raw_매출!$A$2:$A$155,0),MATCH(EDATE($E116,U$1-1),Raw_매출!$B$1:$BI$1,0))/(INDEX(요약_월별시즈널리티!$F$7:$F$18,MONTH(EDATE($E116,U$1-1)))/100))),"")</f>
        <v>5802080.1915896665</v>
      </c>
      <c r="V116" cm="1">
        <f t="array" ref="V116">IFERROR(IF($E116&lt;44348,"",IF(INDEX(Raw_매출!$B$2:$BI$155,MATCH($A116,Raw_매출!$A$2:$A$155,0),MATCH(EDATE($E116,V$1-1),Raw_매출!$B$1:$BI$1,0))=0,"",INDEX(Raw_매출!$B$2:$BI$155,MATCH($A116,Raw_매출!$A$2:$A$155,0),MATCH(EDATE($E116,V$1-1),Raw_매출!$B$1:$BI$1,0))/(INDEX(요약_월별시즈널리티!$F$7:$F$18,MONTH(EDATE($E116,V$1-1)))/100))),"")</f>
        <v>5314407.5085971532</v>
      </c>
      <c r="W116" cm="1">
        <f t="array" ref="W116">IFERROR(IF($E116&lt;44348,"",IF(INDEX(Raw_매출!$B$2:$BI$155,MATCH($A116,Raw_매출!$A$2:$A$155,0),MATCH(EDATE($E116,W$1-1),Raw_매출!$B$1:$BI$1,0))=0,"",INDEX(Raw_매출!$B$2:$BI$155,MATCH($A116,Raw_매출!$A$2:$A$155,0),MATCH(EDATE($E116,W$1-1),Raw_매출!$B$1:$BI$1,0))/(INDEX(요약_월별시즈널리티!$F$7:$F$18,MONTH(EDATE($E116,W$1-1)))/100))),"")</f>
        <v>5203771.5464760708</v>
      </c>
      <c r="X116" cm="1">
        <f t="array" ref="X116">IFERROR(IF($E116&lt;44348,"",IF(INDEX(Raw_매출!$B$2:$BI$155,MATCH($A116,Raw_매출!$A$2:$A$155,0),MATCH(EDATE($E116,X$1-1),Raw_매출!$B$1:$BI$1,0))=0,"",INDEX(Raw_매출!$B$2:$BI$155,MATCH($A116,Raw_매출!$A$2:$A$155,0),MATCH(EDATE($E116,X$1-1),Raw_매출!$B$1:$BI$1,0))/(INDEX(요약_월별시즈널리티!$F$7:$F$18,MONTH(EDATE($E116,X$1-1)))/100))),"")</f>
        <v>5022593.0412775427</v>
      </c>
      <c r="Y116" cm="1">
        <f t="array" ref="Y116">IFERROR(IF($E116&lt;44348,"",IF(INDEX(Raw_매출!$B$2:$BI$155,MATCH($A116,Raw_매출!$A$2:$A$155,0),MATCH(EDATE($E116,Y$1-1),Raw_매출!$B$1:$BI$1,0))=0,"",INDEX(Raw_매출!$B$2:$BI$155,MATCH($A116,Raw_매출!$A$2:$A$155,0),MATCH(EDATE($E116,Y$1-1),Raw_매출!$B$1:$BI$1,0))/(INDEX(요약_월별시즈널리티!$F$7:$F$18,MONTH(EDATE($E116,Y$1-1)))/100))),"")</f>
        <v>5732319.7585438164</v>
      </c>
      <c r="Z116" cm="1">
        <f t="array" ref="Z116">IFERROR(IF($E116&lt;44348,"",IF(INDEX(Raw_매출!$B$2:$BI$155,MATCH($A116,Raw_매출!$A$2:$A$155,0),MATCH(EDATE($E116,Z$1-1),Raw_매출!$B$1:$BI$1,0))=0,"",INDEX(Raw_매출!$B$2:$BI$155,MATCH($A116,Raw_매출!$A$2:$A$155,0),MATCH(EDATE($E116,Z$1-1),Raw_매출!$B$1:$BI$1,0))/(INDEX(요약_월별시즈널리티!$F$7:$F$18,MONTH(EDATE($E116,Z$1-1)))/100))),"")</f>
        <v>5275148.7021996537</v>
      </c>
      <c r="AA116" cm="1">
        <f t="array" ref="AA116">IFERROR(IF($E116&lt;44348,"",IF(INDEX(Raw_매출!$B$2:$BI$155,MATCH($A116,Raw_매출!$A$2:$A$155,0),MATCH(EDATE($E116,AA$1-1),Raw_매출!$B$1:$BI$1,0))=0,"",INDEX(Raw_매출!$B$2:$BI$155,MATCH($A116,Raw_매출!$A$2:$A$155,0),MATCH(EDATE($E116,AA$1-1),Raw_매출!$B$1:$BI$1,0))/(INDEX(요약_월별시즈널리티!$F$7:$F$18,MONTH(EDATE($E116,AA$1-1)))/100))),"")</f>
        <v>5467578.9320548316</v>
      </c>
      <c r="AB116" cm="1">
        <f t="array" ref="AB116">IFERROR(IF($E116&lt;44348,"",IF(INDEX(Raw_매출!$B$2:$BI$155,MATCH($A116,Raw_매출!$A$2:$A$155,0),MATCH(EDATE($E116,AB$1-1),Raw_매출!$B$1:$BI$1,0))=0,"",INDEX(Raw_매출!$B$2:$BI$155,MATCH($A116,Raw_매출!$A$2:$A$155,0),MATCH(EDATE($E116,AB$1-1),Raw_매출!$B$1:$BI$1,0))/(INDEX(요약_월별시즈널리티!$F$7:$F$18,MONTH(EDATE($E116,AB$1-1)))/100))),"")</f>
        <v>5972350.9683393817</v>
      </c>
      <c r="AC116" cm="1">
        <f t="array" ref="AC116">IFERROR(IF($E116&lt;44348,"",IF(INDEX(Raw_매출!$B$2:$BI$155,MATCH($A116,Raw_매출!$A$2:$A$155,0),MATCH(EDATE($E116,AC$1-1),Raw_매출!$B$1:$BI$1,0))=0,"",INDEX(Raw_매출!$B$2:$BI$155,MATCH($A116,Raw_매출!$A$2:$A$155,0),MATCH(EDATE($E116,AC$1-1),Raw_매출!$B$1:$BI$1,0))/(INDEX(요약_월별시즈널리티!$F$7:$F$18,MONTH(EDATE($E116,AC$1-1)))/100))),"")</f>
        <v>5617777.8050823621</v>
      </c>
      <c r="AD116" cm="1">
        <f t="array" ref="AD116">IFERROR(IF($E116&lt;44348,"",IF(INDEX(Raw_매출!$B$2:$BI$155,MATCH($A116,Raw_매출!$A$2:$A$155,0),MATCH(EDATE($E116,AD$1-1),Raw_매출!$B$1:$BI$1,0))=0,"",INDEX(Raw_매출!$B$2:$BI$155,MATCH($A116,Raw_매출!$A$2:$A$155,0),MATCH(EDATE($E116,AD$1-1),Raw_매출!$B$1:$BI$1,0))/(INDEX(요약_월별시즈널리티!$F$7:$F$18,MONTH(EDATE($E116,AD$1-1)))/100))),"")</f>
        <v>6623231.4393479126</v>
      </c>
      <c r="AE116" cm="1">
        <f t="array" ref="AE116">IFERROR(IF($E116&lt;44348,"",IF(INDEX(Raw_매출!$B$2:$BI$155,MATCH($A116,Raw_매출!$A$2:$A$155,0),MATCH(EDATE($E116,AE$1-1),Raw_매출!$B$1:$BI$1,0))=0,"",INDEX(Raw_매출!$B$2:$BI$155,MATCH($A116,Raw_매출!$A$2:$A$155,0),MATCH(EDATE($E116,AE$1-1),Raw_매출!$B$1:$BI$1,0))/(INDEX(요약_월별시즈널리티!$F$7:$F$18,MONTH(EDATE($E116,AE$1-1)))/100))),"")</f>
        <v>5757414.4031852819</v>
      </c>
      <c r="AF116" cm="1">
        <f t="array" ref="AF116">IFERROR(IF($E116&lt;44348,"",IF(INDEX(Raw_매출!$B$2:$BI$155,MATCH($A116,Raw_매출!$A$2:$A$155,0),MATCH(EDATE($E116,AF$1-1),Raw_매출!$B$1:$BI$1,0))=0,"",INDEX(Raw_매출!$B$2:$BI$155,MATCH($A116,Raw_매출!$A$2:$A$155,0),MATCH(EDATE($E116,AF$1-1),Raw_매출!$B$1:$BI$1,0))/(INDEX(요약_월별시즈널리티!$F$7:$F$18,MONTH(EDATE($E116,AF$1-1)))/100))),"")</f>
        <v>7112523.5352035277</v>
      </c>
      <c r="AG116" t="str" cm="1">
        <f t="array" ref="AG116">IFERROR(IF($E116&lt;44348,"",IF(INDEX(Raw_매출!$B$2:$BI$155,MATCH($A116,Raw_매출!$A$2:$A$155,0),MATCH(EDATE($E116,AG$1-1),Raw_매출!$B$1:$BI$1,0))=0,"",INDEX(Raw_매출!$B$2:$BI$155,MATCH($A116,Raw_매출!$A$2:$A$155,0),MATCH(EDATE($E116,AG$1-1),Raw_매출!$B$1:$BI$1,0))/(INDEX(요약_월별시즈널리티!$F$7:$F$18,MONTH(EDATE($E116,AG$1-1)))/100))),"")</f>
        <v/>
      </c>
      <c r="AH116" t="str" cm="1">
        <f t="array" ref="AH116">IFERROR(IF($E116&lt;44348,"",IF(INDEX(Raw_매출!$B$2:$BI$155,MATCH($A116,Raw_매출!$A$2:$A$155,0),MATCH(EDATE($E116,AH$1-1),Raw_매출!$B$1:$BI$1,0))=0,"",INDEX(Raw_매출!$B$2:$BI$155,MATCH($A116,Raw_매출!$A$2:$A$155,0),MATCH(EDATE($E116,AH$1-1),Raw_매출!$B$1:$BI$1,0))/(INDEX(요약_월별시즈널리티!$F$7:$F$18,MONTH(EDATE($E116,AH$1-1)))/100))),"")</f>
        <v/>
      </c>
      <c r="AI116" t="str" cm="1">
        <f t="array" ref="AI116">IFERROR(IF($E116&lt;44348,"",IF(INDEX(Raw_매출!$B$2:$BI$155,MATCH($A116,Raw_매출!$A$2:$A$155,0),MATCH(EDATE($E116,AI$1-1),Raw_매출!$B$1:$BI$1,0))=0,"",INDEX(Raw_매출!$B$2:$BI$155,MATCH($A116,Raw_매출!$A$2:$A$155,0),MATCH(EDATE($E116,AI$1-1),Raw_매출!$B$1:$BI$1,0))/(INDEX(요약_월별시즈널리티!$F$7:$F$18,MONTH(EDATE($E116,AI$1-1)))/100))),"")</f>
        <v/>
      </c>
      <c r="AJ116" t="str" cm="1">
        <f t="array" ref="AJ116">IFERROR(IF($E116&lt;44348,"",IF(INDEX(Raw_매출!$B$2:$BI$155,MATCH($A116,Raw_매출!$A$2:$A$155,0),MATCH(EDATE($E116,AJ$1-1),Raw_매출!$B$1:$BI$1,0))=0,"",INDEX(Raw_매출!$B$2:$BI$155,MATCH($A116,Raw_매출!$A$2:$A$155,0),MATCH(EDATE($E116,AJ$1-1),Raw_매출!$B$1:$BI$1,0))/(INDEX(요약_월별시즈널리티!$F$7:$F$18,MONTH(EDATE($E116,AJ$1-1)))/100))),"")</f>
        <v/>
      </c>
      <c r="AK116" t="str" cm="1">
        <f t="array" ref="AK116">IFERROR(IF($E116&lt;44348,"",IF(INDEX(Raw_매출!$B$2:$BI$155,MATCH($A116,Raw_매출!$A$2:$A$155,0),MATCH(EDATE($E116,AK$1-1),Raw_매출!$B$1:$BI$1,0))=0,"",INDEX(Raw_매출!$B$2:$BI$155,MATCH($A116,Raw_매출!$A$2:$A$155,0),MATCH(EDATE($E116,AK$1-1),Raw_매출!$B$1:$BI$1,0))/(INDEX(요약_월별시즈널리티!$F$7:$F$18,MONTH(EDATE($E116,AK$1-1)))/100))),"")</f>
        <v/>
      </c>
      <c r="AL116" t="str" cm="1">
        <f t="array" ref="AL116">IFERROR(IF($E116&lt;44348,"",IF(INDEX(Raw_매출!$B$2:$BI$155,MATCH($A116,Raw_매출!$A$2:$A$155,0),MATCH(EDATE($E116,AL$1-1),Raw_매출!$B$1:$BI$1,0))=0,"",INDEX(Raw_매출!$B$2:$BI$155,MATCH($A116,Raw_매출!$A$2:$A$155,0),MATCH(EDATE($E116,AL$1-1),Raw_매출!$B$1:$BI$1,0))/(INDEX(요약_월별시즈널리티!$F$7:$F$18,MONTH(EDATE($E116,AL$1-1)))/100))),"")</f>
        <v/>
      </c>
      <c r="AM116" t="str" cm="1">
        <f t="array" ref="AM116">IFERROR(IF($E116&lt;44348,"",IF(INDEX(Raw_매출!$B$2:$BI$155,MATCH($A116,Raw_매출!$A$2:$A$155,0),MATCH(EDATE($E116,AM$1-1),Raw_매출!$B$1:$BI$1,0))=0,"",INDEX(Raw_매출!$B$2:$BI$155,MATCH($A116,Raw_매출!$A$2:$A$155,0),MATCH(EDATE($E116,AM$1-1),Raw_매출!$B$1:$BI$1,0))/(INDEX(요약_월별시즈널리티!$F$7:$F$18,MONTH(EDATE($E116,AM$1-1)))/100))),"")</f>
        <v/>
      </c>
      <c r="AN116" t="str" cm="1">
        <f t="array" ref="AN116">IFERROR(IF($E116&lt;44348,"",IF(INDEX(Raw_매출!$B$2:$BI$155,MATCH($A116,Raw_매출!$A$2:$A$155,0),MATCH(EDATE($E116,AN$1-1),Raw_매출!$B$1:$BI$1,0))=0,"",INDEX(Raw_매출!$B$2:$BI$155,MATCH($A116,Raw_매출!$A$2:$A$155,0),MATCH(EDATE($E116,AN$1-1),Raw_매출!$B$1:$BI$1,0))/(INDEX(요약_월별시즈널리티!$F$7:$F$18,MONTH(EDATE($E116,AN$1-1)))/100))),"")</f>
        <v/>
      </c>
      <c r="AO116" t="str" cm="1">
        <f t="array" ref="AO116">IFERROR(IF($E116&lt;44348,"",IF(INDEX(Raw_매출!$B$2:$BI$155,MATCH($A116,Raw_매출!$A$2:$A$155,0),MATCH(EDATE($E116,AO$1-1),Raw_매출!$B$1:$BI$1,0))=0,"",INDEX(Raw_매출!$B$2:$BI$155,MATCH($A116,Raw_매출!$A$2:$A$155,0),MATCH(EDATE($E116,AO$1-1),Raw_매출!$B$1:$BI$1,0))/(INDEX(요약_월별시즈널리티!$F$7:$F$18,MONTH(EDATE($E116,AO$1-1)))/100))),"")</f>
        <v/>
      </c>
      <c r="AP116" t="str" cm="1">
        <f t="array" ref="AP116">IFERROR(IF($E116&lt;44348,"",IF(INDEX(Raw_매출!$B$2:$BI$155,MATCH($A116,Raw_매출!$A$2:$A$155,0),MATCH(EDATE($E116,AP$1-1),Raw_매출!$B$1:$BI$1,0))=0,"",INDEX(Raw_매출!$B$2:$BI$155,MATCH($A116,Raw_매출!$A$2:$A$155,0),MATCH(EDATE($E116,AP$1-1),Raw_매출!$B$1:$BI$1,0))/(INDEX(요약_월별시즈널리티!$F$7:$F$18,MONTH(EDATE($E116,AP$1-1)))/100))),"")</f>
        <v/>
      </c>
      <c r="AQ116" t="str" cm="1">
        <f t="array" ref="AQ116">IFERROR(IF($E116&lt;44348,"",IF(INDEX(Raw_매출!$B$2:$BI$155,MATCH($A116,Raw_매출!$A$2:$A$155,0),MATCH(EDATE($E116,AQ$1-1),Raw_매출!$B$1:$BI$1,0))=0,"",INDEX(Raw_매출!$B$2:$BI$155,MATCH($A116,Raw_매출!$A$2:$A$155,0),MATCH(EDATE($E116,AQ$1-1),Raw_매출!$B$1:$BI$1,0))/(INDEX(요약_월별시즈널리티!$F$7:$F$18,MONTH(EDATE($E116,AQ$1-1)))/100))),"")</f>
        <v/>
      </c>
      <c r="AR116" t="str" cm="1">
        <f t="array" ref="AR116">IFERROR(IF($E116&lt;44348,"",IF(INDEX(Raw_매출!$B$2:$BI$155,MATCH($A116,Raw_매출!$A$2:$A$155,0),MATCH(EDATE($E116,AR$1-1),Raw_매출!$B$1:$BI$1,0))=0,"",INDEX(Raw_매출!$B$2:$BI$155,MATCH($A116,Raw_매출!$A$2:$A$155,0),MATCH(EDATE($E116,AR$1-1),Raw_매출!$B$1:$BI$1,0))/(INDEX(요약_월별시즈널리티!$F$7:$F$18,MONTH(EDATE($E116,AR$1-1)))/100))),"")</f>
        <v/>
      </c>
      <c r="AS116" t="str" cm="1">
        <f t="array" ref="AS116">IFERROR(IF($E116&lt;44348,"",IF(INDEX(Raw_매출!$B$2:$BI$155,MATCH($A116,Raw_매출!$A$2:$A$155,0),MATCH(EDATE($E116,AS$1-1),Raw_매출!$B$1:$BI$1,0))=0,"",INDEX(Raw_매출!$B$2:$BI$155,MATCH($A116,Raw_매출!$A$2:$A$155,0),MATCH(EDATE($E116,AS$1-1),Raw_매출!$B$1:$BI$1,0))/(INDEX(요약_월별시즈널리티!$F$7:$F$18,MONTH(EDATE($E116,AS$1-1)))/100))),"")</f>
        <v/>
      </c>
      <c r="AT116" t="str" cm="1">
        <f t="array" ref="AT116">IFERROR(IF($E116&lt;44348,"",IF(INDEX(Raw_매출!$B$2:$BI$155,MATCH($A116,Raw_매출!$A$2:$A$155,0),MATCH(EDATE($E116,AT$1-1),Raw_매출!$B$1:$BI$1,0))=0,"",INDEX(Raw_매출!$B$2:$BI$155,MATCH($A116,Raw_매출!$A$2:$A$155,0),MATCH(EDATE($E116,AT$1-1),Raw_매출!$B$1:$BI$1,0))/(INDEX(요약_월별시즈널리티!$F$7:$F$18,MONTH(EDATE($E116,AT$1-1)))/100))),"")</f>
        <v/>
      </c>
      <c r="AU116" t="str" cm="1">
        <f t="array" ref="AU116">IFERROR(IF($E116&lt;44348,"",IF(INDEX(Raw_매출!$B$2:$BI$155,MATCH($A116,Raw_매출!$A$2:$A$155,0),MATCH(EDATE($E116,AU$1-1),Raw_매출!$B$1:$BI$1,0))=0,"",INDEX(Raw_매출!$B$2:$BI$155,MATCH($A116,Raw_매출!$A$2:$A$155,0),MATCH(EDATE($E116,AU$1-1),Raw_매출!$B$1:$BI$1,0))/(INDEX(요약_월별시즈널리티!$F$7:$F$18,MONTH(EDATE($E116,AU$1-1)))/100))),"")</f>
        <v/>
      </c>
      <c r="AV116" t="str" cm="1">
        <f t="array" ref="AV116">IFERROR(IF($E116&lt;44348,"",IF(INDEX(Raw_매출!$B$2:$BI$155,MATCH($A116,Raw_매출!$A$2:$A$155,0),MATCH(EDATE($E116,AV$1-1),Raw_매출!$B$1:$BI$1,0))=0,"",INDEX(Raw_매출!$B$2:$BI$155,MATCH($A116,Raw_매출!$A$2:$A$155,0),MATCH(EDATE($E116,AV$1-1),Raw_매출!$B$1:$BI$1,0))/(INDEX(요약_월별시즈널리티!$F$7:$F$18,MONTH(EDATE($E116,AV$1-1)))/100))),"")</f>
        <v/>
      </c>
      <c r="AW116" t="str" cm="1">
        <f t="array" ref="AW116">IFERROR(IF($E116&lt;44348,"",IF(INDEX(Raw_매출!$B$2:$BI$155,MATCH($A116,Raw_매출!$A$2:$A$155,0),MATCH(EDATE($E116,AW$1-1),Raw_매출!$B$1:$BI$1,0))=0,"",INDEX(Raw_매출!$B$2:$BI$155,MATCH($A116,Raw_매출!$A$2:$A$155,0),MATCH(EDATE($E116,AW$1-1),Raw_매출!$B$1:$BI$1,0))/(INDEX(요약_월별시즈널리티!$F$7:$F$18,MONTH(EDATE($E116,AW$1-1)))/100))),"")</f>
        <v/>
      </c>
      <c r="AX116" t="str" cm="1">
        <f t="array" ref="AX116">IFERROR(IF($E116&lt;44348,"",IF(INDEX(Raw_매출!$B$2:$BI$155,MATCH($A116,Raw_매출!$A$2:$A$155,0),MATCH(EDATE($E116,AX$1-1),Raw_매출!$B$1:$BI$1,0))=0,"",INDEX(Raw_매출!$B$2:$BI$155,MATCH($A116,Raw_매출!$A$2:$A$155,0),MATCH(EDATE($E116,AX$1-1),Raw_매출!$B$1:$BI$1,0))/(INDEX(요약_월별시즈널리티!$F$7:$F$18,MONTH(EDATE($E116,AX$1-1)))/100))),"")</f>
        <v/>
      </c>
      <c r="AY116" t="str" cm="1">
        <f t="array" ref="AY116">IFERROR(IF($E116&lt;44348,"",IF(INDEX(Raw_매출!$B$2:$BI$155,MATCH($A116,Raw_매출!$A$2:$A$155,0),MATCH(EDATE($E116,AY$1-1),Raw_매출!$B$1:$BI$1,0))=0,"",INDEX(Raw_매출!$B$2:$BI$155,MATCH($A116,Raw_매출!$A$2:$A$155,0),MATCH(EDATE($E116,AY$1-1),Raw_매출!$B$1:$BI$1,0))/(INDEX(요약_월별시즈널리티!$F$7:$F$18,MONTH(EDATE($E116,AY$1-1)))/100))),"")</f>
        <v/>
      </c>
      <c r="AZ116" t="str" cm="1">
        <f t="array" ref="AZ116">IFERROR(IF($E116&lt;44348,"",IF(INDEX(Raw_매출!$B$2:$BI$155,MATCH($A116,Raw_매출!$A$2:$A$155,0),MATCH(EDATE($E116,AZ$1-1),Raw_매출!$B$1:$BI$1,0))=0,"",INDEX(Raw_매출!$B$2:$BI$155,MATCH($A116,Raw_매출!$A$2:$A$155,0),MATCH(EDATE($E116,AZ$1-1),Raw_매출!$B$1:$BI$1,0))/(INDEX(요약_월별시즈널리티!$F$7:$F$18,MONTH(EDATE($E116,AZ$1-1)))/100))),"")</f>
        <v/>
      </c>
      <c r="BA116" t="str" cm="1">
        <f t="array" ref="BA116">IFERROR(IF($E116&lt;44348,"",IF(INDEX(Raw_매출!$B$2:$BI$155,MATCH($A116,Raw_매출!$A$2:$A$155,0),MATCH(EDATE($E116,BA$1-1),Raw_매출!$B$1:$BI$1,0))=0,"",INDEX(Raw_매출!$B$2:$BI$155,MATCH($A116,Raw_매출!$A$2:$A$155,0),MATCH(EDATE($E116,BA$1-1),Raw_매출!$B$1:$BI$1,0))/(INDEX(요약_월별시즈널리티!$F$7:$F$18,MONTH(EDATE($E116,BA$1-1)))/100))),"")</f>
        <v/>
      </c>
      <c r="BB116" t="str" cm="1">
        <f t="array" ref="BB116">IFERROR(IF($E116&lt;44348,"",IF(INDEX(Raw_매출!$B$2:$BI$155,MATCH($A116,Raw_매출!$A$2:$A$155,0),MATCH(EDATE($E116,BB$1-1),Raw_매출!$B$1:$BI$1,0))=0,"",INDEX(Raw_매출!$B$2:$BI$155,MATCH($A116,Raw_매출!$A$2:$A$155,0),MATCH(EDATE($E116,BB$1-1),Raw_매출!$B$1:$BI$1,0))/(INDEX(요약_월별시즈널리티!$F$7:$F$18,MONTH(EDATE($E116,BB$1-1)))/100))),"")</f>
        <v/>
      </c>
      <c r="BC116" t="str" cm="1">
        <f t="array" ref="BC116">IFERROR(IF($E116&lt;44348,"",IF(INDEX(Raw_매출!$B$2:$BI$155,MATCH($A116,Raw_매출!$A$2:$A$155,0),MATCH(EDATE($E116,BC$1-1),Raw_매출!$B$1:$BI$1,0))=0,"",INDEX(Raw_매출!$B$2:$BI$155,MATCH($A116,Raw_매출!$A$2:$A$155,0),MATCH(EDATE($E116,BC$1-1),Raw_매출!$B$1:$BI$1,0))/(INDEX(요약_월별시즈널리티!$F$7:$F$18,MONTH(EDATE($E116,BC$1-1)))/100))),"")</f>
        <v/>
      </c>
      <c r="BD116" t="str" cm="1">
        <f t="array" ref="BD116">IFERROR(IF($E116&lt;44348,"",IF(INDEX(Raw_매출!$B$2:$BI$155,MATCH($A116,Raw_매출!$A$2:$A$155,0),MATCH(EDATE($E116,BD$1-1),Raw_매출!$B$1:$BI$1,0))=0,"",INDEX(Raw_매출!$B$2:$BI$155,MATCH($A116,Raw_매출!$A$2:$A$155,0),MATCH(EDATE($E116,BD$1-1),Raw_매출!$B$1:$BI$1,0))/(INDEX(요약_월별시즈널리티!$F$7:$F$18,MONTH(EDATE($E116,BD$1-1)))/100))),"")</f>
        <v/>
      </c>
      <c r="BE116" t="str" cm="1">
        <f t="array" ref="BE116">IFERROR(IF($E116&lt;44348,"",IF(INDEX(Raw_매출!$B$2:$BI$155,MATCH($A116,Raw_매출!$A$2:$A$155,0),MATCH(EDATE($E116,BE$1-1),Raw_매출!$B$1:$BI$1,0))=0,"",INDEX(Raw_매출!$B$2:$BI$155,MATCH($A116,Raw_매출!$A$2:$A$155,0),MATCH(EDATE($E116,BE$1-1),Raw_매출!$B$1:$BI$1,0))/(INDEX(요약_월별시즈널리티!$F$7:$F$18,MONTH(EDATE($E116,BE$1-1)))/100))),"")</f>
        <v/>
      </c>
      <c r="BF116" t="str" cm="1">
        <f t="array" ref="BF116">IFERROR(IF($E116&lt;44348,"",IF(INDEX(Raw_매출!$B$2:$BI$155,MATCH($A116,Raw_매출!$A$2:$A$155,0),MATCH(EDATE($E116,BF$1-1),Raw_매출!$B$1:$BI$1,0))=0,"",INDEX(Raw_매출!$B$2:$BI$155,MATCH($A116,Raw_매출!$A$2:$A$155,0),MATCH(EDATE($E116,BF$1-1),Raw_매출!$B$1:$BI$1,0))/(INDEX(요약_월별시즈널리티!$F$7:$F$18,MONTH(EDATE($E116,BF$1-1)))/100))),"")</f>
        <v/>
      </c>
      <c r="BG116" t="str" cm="1">
        <f t="array" ref="BG116">IFERROR(IF($E116&lt;44348,"",IF(INDEX(Raw_매출!$B$2:$BI$155,MATCH($A116,Raw_매출!$A$2:$A$155,0),MATCH(EDATE($E116,BG$1-1),Raw_매출!$B$1:$BI$1,0))=0,"",INDEX(Raw_매출!$B$2:$BI$155,MATCH($A116,Raw_매출!$A$2:$A$155,0),MATCH(EDATE($E116,BG$1-1),Raw_매출!$B$1:$BI$1,0))/(INDEX(요약_월별시즈널리티!$F$7:$F$18,MONTH(EDATE($E116,BG$1-1)))/100))),"")</f>
        <v/>
      </c>
      <c r="BH116" t="str" cm="1">
        <f t="array" ref="BH116">IFERROR(IF($E116&lt;44348,"",IF(INDEX(Raw_매출!$B$2:$BI$155,MATCH($A116,Raw_매출!$A$2:$A$155,0),MATCH(EDATE($E116,BH$1-1),Raw_매출!$B$1:$BI$1,0))=0,"",INDEX(Raw_매출!$B$2:$BI$155,MATCH($A116,Raw_매출!$A$2:$A$155,0),MATCH(EDATE($E116,BH$1-1),Raw_매출!$B$1:$BI$1,0))/(INDEX(요약_월별시즈널리티!$F$7:$F$18,MONTH(EDATE($E116,BH$1-1)))/100))),"")</f>
        <v/>
      </c>
      <c r="BI116" t="str" cm="1">
        <f t="array" ref="BI116">IFERROR(IF($E116&lt;44348,"",IF(INDEX(Raw_매출!$B$2:$BI$155,MATCH($A116,Raw_매출!$A$2:$A$155,0),MATCH(EDATE($E116,BI$1-1),Raw_매출!$B$1:$BI$1,0))=0,"",INDEX(Raw_매출!$B$2:$BI$155,MATCH($A116,Raw_매출!$A$2:$A$155,0),MATCH(EDATE($E116,BI$1-1),Raw_매출!$B$1:$BI$1,0))/(INDEX(요약_월별시즈널리티!$F$7:$F$18,MONTH(EDATE($E116,BI$1-1)))/100))),"")</f>
        <v/>
      </c>
      <c r="BJ116" t="str" cm="1">
        <f t="array" ref="BJ116">IFERROR(IF($E116&lt;44348,"",IF(INDEX(Raw_매출!$B$2:$BI$155,MATCH($A116,Raw_매출!$A$2:$A$155,0),MATCH(EDATE($E116,BJ$1-1),Raw_매출!$B$1:$BI$1,0))=0,"",INDEX(Raw_매출!$B$2:$BI$155,MATCH($A116,Raw_매출!$A$2:$A$155,0),MATCH(EDATE($E116,BJ$1-1),Raw_매출!$B$1:$BI$1,0))/(INDEX(요약_월별시즈널리티!$F$7:$F$18,MONTH(EDATE($E116,BJ$1-1)))/100))),"")</f>
        <v/>
      </c>
      <c r="BK116" t="str" cm="1">
        <f t="array" ref="BK116">IFERROR(IF($E116&lt;44348,"",IF(INDEX(Raw_매출!$B$2:$BI$155,MATCH($A116,Raw_매출!$A$2:$A$155,0),MATCH(EDATE($E116,BK$1-1),Raw_매출!$B$1:$BI$1,0))=0,"",INDEX(Raw_매출!$B$2:$BI$155,MATCH($A116,Raw_매출!$A$2:$A$155,0),MATCH(EDATE($E116,BK$1-1),Raw_매출!$B$1:$BI$1,0))/(INDEX(요약_월별시즈널리티!$F$7:$F$18,MONTH(EDATE($E116,BK$1-1)))/100))),"")</f>
        <v/>
      </c>
      <c r="BL116" t="str" cm="1">
        <f t="array" ref="BL116">IFERROR(IF($E116&lt;44348,"",IF(INDEX(Raw_매출!$B$2:$BI$155,MATCH($A116,Raw_매출!$A$2:$A$155,0),MATCH(EDATE($E116,BL$1-1),Raw_매출!$B$1:$BI$1,0))=0,"",INDEX(Raw_매출!$B$2:$BI$155,MATCH($A116,Raw_매출!$A$2:$A$155,0),MATCH(EDATE($E116,BL$1-1),Raw_매출!$B$1:$BI$1,0))/(INDEX(요약_월별시즈널리티!$F$7:$F$18,MONTH(EDATE($E116,BL$1-1)))/100))),"")</f>
        <v/>
      </c>
      <c r="BM116" t="str" cm="1">
        <f t="array" ref="BM116">IFERROR(IF($E116&lt;44348,"",IF(INDEX(Raw_매출!$B$2:$BI$155,MATCH($A116,Raw_매출!$A$2:$A$155,0),MATCH(EDATE($E116,BM$1-1),Raw_매출!$B$1:$BI$1,0))=0,"",INDEX(Raw_매출!$B$2:$BI$155,MATCH($A116,Raw_매출!$A$2:$A$155,0),MATCH(EDATE($E116,BM$1-1),Raw_매출!$B$1:$BI$1,0))/(INDEX(요약_월별시즈널리티!$F$7:$F$18,MONTH(EDATE($E116,BM$1-1)))/100))),"")</f>
        <v/>
      </c>
      <c r="BN116" t="str" cm="1">
        <f t="array" ref="BN116">IFERROR(IF($E116&lt;44348,"",IF(INDEX(Raw_매출!$B$2:$BI$155,MATCH($A116,Raw_매출!$A$2:$A$155,0),MATCH(EDATE($E116,BN$1-1),Raw_매출!$B$1:$BI$1,0))=0,"",INDEX(Raw_매출!$B$2:$BI$155,MATCH($A116,Raw_매출!$A$2:$A$155,0),MATCH(EDATE($E116,BN$1-1),Raw_매출!$B$1:$BI$1,0))/(INDEX(요약_월별시즈널리티!$F$7:$F$18,MONTH(EDATE($E116,BN$1-1)))/100))),"")</f>
        <v/>
      </c>
    </row>
    <row r="117" spans="1:66" x14ac:dyDescent="0.4">
      <c r="A117" t="str">
        <f>세팅!A118</f>
        <v>(1107) #송파거여공원점</v>
      </c>
      <c r="B117" t="str">
        <f>세팅!B118</f>
        <v>150-1</v>
      </c>
      <c r="C117">
        <f t="shared" si="3"/>
        <v>1</v>
      </c>
      <c r="D117" t="str">
        <f t="shared" si="4"/>
        <v>1</v>
      </c>
      <c r="E117" s="1">
        <f>세팅!D118</f>
        <v>45383</v>
      </c>
      <c r="F117">
        <f t="shared" si="5"/>
        <v>1348033.4214764556</v>
      </c>
      <c r="G117" cm="1">
        <f t="array" ref="G117">IFERROR(IF($E117&lt;44348,"",IF(INDEX(Raw_매출!$B$2:$BI$155,MATCH($A117,Raw_매출!$A$2:$A$155,0),MATCH(EDATE($E117,G$1-1),Raw_매출!$B$1:$BI$1,0))=0,"",INDEX(Raw_매출!$B$2:$BI$155,MATCH($A117,Raw_매출!$A$2:$A$155,0),MATCH(EDATE($E117,G$1-1),Raw_매출!$B$1:$BI$1,0))/(INDEX(요약_월별시즈널리티!$F$7:$F$18,MONTH(EDATE($E117,G$1-1)))/100))),"")</f>
        <v>959969.75839715439</v>
      </c>
      <c r="H117" cm="1">
        <f t="array" ref="H117">IFERROR(IF($E117&lt;44348,"",IF(INDEX(Raw_매출!$B$2:$BI$155,MATCH($A117,Raw_매출!$A$2:$A$155,0),MATCH(EDATE($E117,H$1-1),Raw_매출!$B$1:$BI$1,0))=0,"",INDEX(Raw_매출!$B$2:$BI$155,MATCH($A117,Raw_매출!$A$2:$A$155,0),MATCH(EDATE($E117,H$1-1),Raw_매출!$B$1:$BI$1,0))/(INDEX(요약_월별시즈널리티!$F$7:$F$18,MONTH(EDATE($E117,H$1-1)))/100))),"")</f>
        <v>986125.03976424935</v>
      </c>
      <c r="I117" cm="1">
        <f t="array" ref="I117">IFERROR(IF($E117&lt;44348,"",IF(INDEX(Raw_매출!$B$2:$BI$155,MATCH($A117,Raw_매출!$A$2:$A$155,0),MATCH(EDATE($E117,I$1-1),Raw_매출!$B$1:$BI$1,0))=0,"",INDEX(Raw_매출!$B$2:$BI$155,MATCH($A117,Raw_매출!$A$2:$A$155,0),MATCH(EDATE($E117,I$1-1),Raw_매출!$B$1:$BI$1,0))/(INDEX(요약_월별시즈널리티!$F$7:$F$18,MONTH(EDATE($E117,I$1-1)))/100))),"")</f>
        <v>1114806.131736943</v>
      </c>
      <c r="J117" s="30" cm="1">
        <f t="array" ref="J117">IFERROR(IF($E117&lt;44348,"",IF(INDEX(Raw_매출!$B$2:$BI$155,MATCH($A117,Raw_매출!$A$2:$A$155,0),MATCH(EDATE($E117,J$1-1),Raw_매출!$B$1:$BI$1,0))=0,"",INDEX(Raw_매출!$B$2:$BI$155,MATCH($A117,Raw_매출!$A$2:$A$155,0),MATCH(EDATE($E117,J$1-1),Raw_매출!$B$1:$BI$1,0))/(INDEX(요약_월별시즈널리티!$F$7:$F$18,MONTH(EDATE($E117,J$1-1)))/100))),"")</f>
        <v>1203206.2011087649</v>
      </c>
      <c r="K117" s="30" cm="1">
        <f t="array" ref="K117">IFERROR(IF($E117&lt;44348,"",IF(INDEX(Raw_매출!$B$2:$BI$155,MATCH($A117,Raw_매출!$A$2:$A$155,0),MATCH(EDATE($E117,K$1-1),Raw_매출!$B$1:$BI$1,0))=0,"",INDEX(Raw_매출!$B$2:$BI$155,MATCH($A117,Raw_매출!$A$2:$A$155,0),MATCH(EDATE($E117,K$1-1),Raw_매출!$B$1:$BI$1,0))/(INDEX(요약_월별시즈널리티!$F$7:$F$18,MONTH(EDATE($E117,K$1-1)))/100))),"")</f>
        <v>1108479.1881278309</v>
      </c>
      <c r="L117" s="30" cm="1">
        <f t="array" ref="L117">IFERROR(IF($E117&lt;44348,"",IF(INDEX(Raw_매출!$B$2:$BI$155,MATCH($A117,Raw_매출!$A$2:$A$155,0),MATCH(EDATE($E117,L$1-1),Raw_매출!$B$1:$BI$1,0))=0,"",INDEX(Raw_매출!$B$2:$BI$155,MATCH($A117,Raw_매출!$A$2:$A$155,0),MATCH(EDATE($E117,L$1-1),Raw_매출!$B$1:$BI$1,0))/(INDEX(요약_월별시즈널리티!$F$7:$F$18,MONTH(EDATE($E117,L$1-1)))/100))),"")</f>
        <v>1175846.8794734431</v>
      </c>
      <c r="M117" s="30" cm="1">
        <f t="array" ref="M117">IFERROR(IF($E117&lt;44348,"",IF(INDEX(Raw_매출!$B$2:$BI$155,MATCH($A117,Raw_매출!$A$2:$A$155,0),MATCH(EDATE($E117,M$1-1),Raw_매출!$B$1:$BI$1,0))=0,"",INDEX(Raw_매출!$B$2:$BI$155,MATCH($A117,Raw_매출!$A$2:$A$155,0),MATCH(EDATE($E117,M$1-1),Raw_매출!$B$1:$BI$1,0))/(INDEX(요약_월별시즈널리티!$F$7:$F$18,MONTH(EDATE($E117,M$1-1)))/100))),"")</f>
        <v>1370566.1865249528</v>
      </c>
      <c r="N117" s="30" cm="1">
        <f t="array" ref="N117">IFERROR(IF($E117&lt;44348,"",IF(INDEX(Raw_매출!$B$2:$BI$155,MATCH($A117,Raw_매출!$A$2:$A$155,0),MATCH(EDATE($E117,N$1-1),Raw_매출!$B$1:$BI$1,0))=0,"",INDEX(Raw_매출!$B$2:$BI$155,MATCH($A117,Raw_매출!$A$2:$A$155,0),MATCH(EDATE($E117,N$1-1),Raw_매출!$B$1:$BI$1,0))/(INDEX(요약_월별시즈널리티!$F$7:$F$18,MONTH(EDATE($E117,N$1-1)))/100))),"")</f>
        <v>1444398.8751764519</v>
      </c>
      <c r="O117" s="30" cm="1">
        <f t="array" ref="O117">IFERROR(IF($E117&lt;44348,"",IF(INDEX(Raw_매출!$B$2:$BI$155,MATCH($A117,Raw_매출!$A$2:$A$155,0),MATCH(EDATE($E117,O$1-1),Raw_매출!$B$1:$BI$1,0))=0,"",INDEX(Raw_매출!$B$2:$BI$155,MATCH($A117,Raw_매출!$A$2:$A$155,0),MATCH(EDATE($E117,O$1-1),Raw_매출!$B$1:$BI$1,0))/(INDEX(요약_월별시즈널리티!$F$7:$F$18,MONTH(EDATE($E117,O$1-1)))/100))),"")</f>
        <v>1785703.1984472896</v>
      </c>
      <c r="P117" cm="1">
        <f t="array" ref="P117">IFERROR(IF($E117&lt;44348,"",IF(INDEX(Raw_매출!$B$2:$BI$155,MATCH($A117,Raw_매출!$A$2:$A$155,0),MATCH(EDATE($E117,P$1-1),Raw_매출!$B$1:$BI$1,0))=0,"",INDEX(Raw_매출!$B$2:$BI$155,MATCH($A117,Raw_매출!$A$2:$A$155,0),MATCH(EDATE($E117,P$1-1),Raw_매출!$B$1:$BI$1,0))/(INDEX(요약_월별시즈널리티!$F$7:$F$18,MONTH(EDATE($E117,P$1-1)))/100))),"")</f>
        <v>1708606.6012354405</v>
      </c>
      <c r="Q117" cm="1">
        <f t="array" ref="Q117">IFERROR(IF($E117&lt;44348,"",IF(INDEX(Raw_매출!$B$2:$BI$155,MATCH($A117,Raw_매출!$A$2:$A$155,0),MATCH(EDATE($E117,Q$1-1),Raw_매출!$B$1:$BI$1,0))=0,"",INDEX(Raw_매출!$B$2:$BI$155,MATCH($A117,Raw_매출!$A$2:$A$155,0),MATCH(EDATE($E117,Q$1-1),Raw_매출!$B$1:$BI$1,0))/(INDEX(요약_월별시즈널리티!$F$7:$F$18,MONTH(EDATE($E117,Q$1-1)))/100))),"")</f>
        <v>1653323.9552010573</v>
      </c>
      <c r="R117" cm="1">
        <f t="array" ref="R117">IFERROR(IF($E117&lt;44348,"",IF(INDEX(Raw_매출!$B$2:$BI$155,MATCH($A117,Raw_매출!$A$2:$A$155,0),MATCH(EDATE($E117,R$1-1),Raw_매출!$B$1:$BI$1,0))=0,"",INDEX(Raw_매출!$B$2:$BI$155,MATCH($A117,Raw_매출!$A$2:$A$155,0),MATCH(EDATE($E117,R$1-1),Raw_매출!$B$1:$BI$1,0))/(INDEX(요약_월별시즈널리티!$F$7:$F$18,MONTH(EDATE($E117,R$1-1)))/100))),"")</f>
        <v>1713772.3264727667</v>
      </c>
      <c r="S117" cm="1">
        <f t="array" ref="S117">IFERROR(IF($E117&lt;44348,"",IF(INDEX(Raw_매출!$B$2:$BI$155,MATCH($A117,Raw_매출!$A$2:$A$155,0),MATCH(EDATE($E117,S$1-1),Raw_매출!$B$1:$BI$1,0))=0,"",INDEX(Raw_매출!$B$2:$BI$155,MATCH($A117,Raw_매출!$A$2:$A$155,0),MATCH(EDATE($E117,S$1-1),Raw_매출!$B$1:$BI$1,0))/(INDEX(요약_월별시즈널리티!$F$7:$F$18,MONTH(EDATE($E117,S$1-1)))/100))),"")</f>
        <v>1689017.0333792348</v>
      </c>
      <c r="T117" cm="1">
        <f t="array" ref="T117">IFERROR(IF($E117&lt;44348,"",IF(INDEX(Raw_매출!$B$2:$BI$155,MATCH($A117,Raw_매출!$A$2:$A$155,0),MATCH(EDATE($E117,T$1-1),Raw_매출!$B$1:$BI$1,0))=0,"",INDEX(Raw_매출!$B$2:$BI$155,MATCH($A117,Raw_매출!$A$2:$A$155,0),MATCH(EDATE($E117,T$1-1),Raw_매출!$B$1:$BI$1,0))/(INDEX(요약_월별시즈널리티!$F$7:$F$18,MONTH(EDATE($E117,T$1-1)))/100))),"")</f>
        <v>1710308.3914721657</v>
      </c>
      <c r="U117" cm="1">
        <f t="array" ref="U117">IFERROR(IF($E117&lt;44348,"",IF(INDEX(Raw_매출!$B$2:$BI$155,MATCH($A117,Raw_매출!$A$2:$A$155,0),MATCH(EDATE($E117,U$1-1),Raw_매출!$B$1:$BI$1,0))=0,"",INDEX(Raw_매출!$B$2:$BI$155,MATCH($A117,Raw_매출!$A$2:$A$155,0),MATCH(EDATE($E117,U$1-1),Raw_매출!$B$1:$BI$1,0))/(INDEX(요약_월별시즈널리티!$F$7:$F$18,MONTH(EDATE($E117,U$1-1)))/100))),"")</f>
        <v>1633949.6076673288</v>
      </c>
      <c r="V117" cm="1">
        <f t="array" ref="V117">IFERROR(IF($E117&lt;44348,"",IF(INDEX(Raw_매출!$B$2:$BI$155,MATCH($A117,Raw_매출!$A$2:$A$155,0),MATCH(EDATE($E117,V$1-1),Raw_매출!$B$1:$BI$1,0))=0,"",INDEX(Raw_매출!$B$2:$BI$155,MATCH($A117,Raw_매출!$A$2:$A$155,0),MATCH(EDATE($E117,V$1-1),Raw_매출!$B$1:$BI$1,0))/(INDEX(요약_월별시즈널리티!$F$7:$F$18,MONTH(EDATE($E117,V$1-1)))/100))),"")</f>
        <v>1497487.7971798684</v>
      </c>
      <c r="W117" cm="1">
        <f t="array" ref="W117">IFERROR(IF($E117&lt;44348,"",IF(INDEX(Raw_매출!$B$2:$BI$155,MATCH($A117,Raw_매출!$A$2:$A$155,0),MATCH(EDATE($E117,W$1-1),Raw_매출!$B$1:$BI$1,0))=0,"",INDEX(Raw_매출!$B$2:$BI$155,MATCH($A117,Raw_매출!$A$2:$A$155,0),MATCH(EDATE($E117,W$1-1),Raw_매출!$B$1:$BI$1,0))/(INDEX(요약_월별시즈널리티!$F$7:$F$18,MONTH(EDATE($E117,W$1-1)))/100))),"")</f>
        <v>1388355.1162799844</v>
      </c>
      <c r="X117" cm="1">
        <f t="array" ref="X117">IFERROR(IF($E117&lt;44348,"",IF(INDEX(Raw_매출!$B$2:$BI$155,MATCH($A117,Raw_매출!$A$2:$A$155,0),MATCH(EDATE($E117,X$1-1),Raw_매출!$B$1:$BI$1,0))=0,"",INDEX(Raw_매출!$B$2:$BI$155,MATCH($A117,Raw_매출!$A$2:$A$155,0),MATCH(EDATE($E117,X$1-1),Raw_매출!$B$1:$BI$1,0))/(INDEX(요약_월별시즈널리티!$F$7:$F$18,MONTH(EDATE($E117,X$1-1)))/100))),"")</f>
        <v>1131501.6816066115</v>
      </c>
      <c r="Y117" cm="1">
        <f t="array" ref="Y117">IFERROR(IF($E117&lt;44348,"",IF(INDEX(Raw_매출!$B$2:$BI$155,MATCH($A117,Raw_매출!$A$2:$A$155,0),MATCH(EDATE($E117,Y$1-1),Raw_매출!$B$1:$BI$1,0))=0,"",INDEX(Raw_매출!$B$2:$BI$155,MATCH($A117,Raw_매출!$A$2:$A$155,0),MATCH(EDATE($E117,Y$1-1),Raw_매출!$B$1:$BI$1,0))/(INDEX(요약_월별시즈널리티!$F$7:$F$18,MONTH(EDATE($E117,Y$1-1)))/100))),"")</f>
        <v>1700945.0457270481</v>
      </c>
      <c r="Z117" cm="1">
        <f t="array" ref="Z117">IFERROR(IF($E117&lt;44348,"",IF(INDEX(Raw_매출!$B$2:$BI$155,MATCH($A117,Raw_매출!$A$2:$A$155,0),MATCH(EDATE($E117,Z$1-1),Raw_매출!$B$1:$BI$1,0))=0,"",INDEX(Raw_매출!$B$2:$BI$155,MATCH($A117,Raw_매출!$A$2:$A$155,0),MATCH(EDATE($E117,Z$1-1),Raw_매출!$B$1:$BI$1,0))/(INDEX(요약_월별시즈널리티!$F$7:$F$18,MONTH(EDATE($E117,Z$1-1)))/100))),"")</f>
        <v>1675350.9363123595</v>
      </c>
      <c r="AA117" cm="1">
        <f t="array" ref="AA117">IFERROR(IF($E117&lt;44348,"",IF(INDEX(Raw_매출!$B$2:$BI$155,MATCH($A117,Raw_매출!$A$2:$A$155,0),MATCH(EDATE($E117,AA$1-1),Raw_매출!$B$1:$BI$1,0))=0,"",INDEX(Raw_매출!$B$2:$BI$155,MATCH($A117,Raw_매출!$A$2:$A$155,0),MATCH(EDATE($E117,AA$1-1),Raw_매출!$B$1:$BI$1,0))/(INDEX(요약_월별시즈널리티!$F$7:$F$18,MONTH(EDATE($E117,AA$1-1)))/100))),"")</f>
        <v>1615087.8321529815</v>
      </c>
      <c r="AB117" cm="1">
        <f t="array" ref="AB117">IFERROR(IF($E117&lt;44348,"",IF(INDEX(Raw_매출!$B$2:$BI$155,MATCH($A117,Raw_매출!$A$2:$A$155,0),MATCH(EDATE($E117,AB$1-1),Raw_매출!$B$1:$BI$1,0))=0,"",INDEX(Raw_매출!$B$2:$BI$155,MATCH($A117,Raw_매출!$A$2:$A$155,0),MATCH(EDATE($E117,AB$1-1),Raw_매출!$B$1:$BI$1,0))/(INDEX(요약_월별시즈널리티!$F$7:$F$18,MONTH(EDATE($E117,AB$1-1)))/100))),"")</f>
        <v>2076615.8669401838</v>
      </c>
      <c r="AC117" cm="1">
        <f t="array" ref="AC117">IFERROR(IF($E117&lt;44348,"",IF(INDEX(Raw_매출!$B$2:$BI$155,MATCH($A117,Raw_매출!$A$2:$A$155,0),MATCH(EDATE($E117,AC$1-1),Raw_매출!$B$1:$BI$1,0))=0,"",INDEX(Raw_매출!$B$2:$BI$155,MATCH($A117,Raw_매출!$A$2:$A$155,0),MATCH(EDATE($E117,AC$1-1),Raw_매출!$B$1:$BI$1,0))/(INDEX(요약_월별시즈널리티!$F$7:$F$18,MONTH(EDATE($E117,AC$1-1)))/100))),"")</f>
        <v>1951765.8058205729</v>
      </c>
      <c r="AD117" cm="1">
        <f t="array" ref="AD117">IFERROR(IF($E117&lt;44348,"",IF(INDEX(Raw_매출!$B$2:$BI$155,MATCH($A117,Raw_매출!$A$2:$A$155,0),MATCH(EDATE($E117,AD$1-1),Raw_매출!$B$1:$BI$1,0))=0,"",INDEX(Raw_매출!$B$2:$BI$155,MATCH($A117,Raw_매출!$A$2:$A$155,0),MATCH(EDATE($E117,AD$1-1),Raw_매출!$B$1:$BI$1,0))/(INDEX(요약_월별시즈널리티!$F$7:$F$18,MONTH(EDATE($E117,AD$1-1)))/100))),"")</f>
        <v>1568308.0147289813</v>
      </c>
      <c r="AE117" cm="1">
        <f t="array" ref="AE117">IFERROR(IF($E117&lt;44348,"",IF(INDEX(Raw_매출!$B$2:$BI$155,MATCH($A117,Raw_매출!$A$2:$A$155,0),MATCH(EDATE($E117,AE$1-1),Raw_매출!$B$1:$BI$1,0))=0,"",INDEX(Raw_매출!$B$2:$BI$155,MATCH($A117,Raw_매출!$A$2:$A$155,0),MATCH(EDATE($E117,AE$1-1),Raw_매출!$B$1:$BI$1,0))/(INDEX(요약_월별시즈널리티!$F$7:$F$18,MONTH(EDATE($E117,AE$1-1)))/100))),"")</f>
        <v>1815079.3207039689</v>
      </c>
      <c r="AF117" cm="1">
        <f t="array" ref="AF117">IFERROR(IF($E117&lt;44348,"",IF(INDEX(Raw_매출!$B$2:$BI$155,MATCH($A117,Raw_매출!$A$2:$A$155,0),MATCH(EDATE($E117,AF$1-1),Raw_매출!$B$1:$BI$1,0))=0,"",INDEX(Raw_매출!$B$2:$BI$155,MATCH($A117,Raw_매출!$A$2:$A$155,0),MATCH(EDATE($E117,AF$1-1),Raw_매출!$B$1:$BI$1,0))/(INDEX(요약_월별시즈널리티!$F$7:$F$18,MONTH(EDATE($E117,AF$1-1)))/100))),"")</f>
        <v>2104407.2536656158</v>
      </c>
      <c r="AG117" t="str" cm="1">
        <f t="array" ref="AG117">IFERROR(IF($E117&lt;44348,"",IF(INDEX(Raw_매출!$B$2:$BI$155,MATCH($A117,Raw_매출!$A$2:$A$155,0),MATCH(EDATE($E117,AG$1-1),Raw_매출!$B$1:$BI$1,0))=0,"",INDEX(Raw_매출!$B$2:$BI$155,MATCH($A117,Raw_매출!$A$2:$A$155,0),MATCH(EDATE($E117,AG$1-1),Raw_매출!$B$1:$BI$1,0))/(INDEX(요약_월별시즈널리티!$F$7:$F$18,MONTH(EDATE($E117,AG$1-1)))/100))),"")</f>
        <v/>
      </c>
      <c r="AH117" t="str" cm="1">
        <f t="array" ref="AH117">IFERROR(IF($E117&lt;44348,"",IF(INDEX(Raw_매출!$B$2:$BI$155,MATCH($A117,Raw_매출!$A$2:$A$155,0),MATCH(EDATE($E117,AH$1-1),Raw_매출!$B$1:$BI$1,0))=0,"",INDEX(Raw_매출!$B$2:$BI$155,MATCH($A117,Raw_매출!$A$2:$A$155,0),MATCH(EDATE($E117,AH$1-1),Raw_매출!$B$1:$BI$1,0))/(INDEX(요약_월별시즈널리티!$F$7:$F$18,MONTH(EDATE($E117,AH$1-1)))/100))),"")</f>
        <v/>
      </c>
      <c r="AI117" t="str" cm="1">
        <f t="array" ref="AI117">IFERROR(IF($E117&lt;44348,"",IF(INDEX(Raw_매출!$B$2:$BI$155,MATCH($A117,Raw_매출!$A$2:$A$155,0),MATCH(EDATE($E117,AI$1-1),Raw_매출!$B$1:$BI$1,0))=0,"",INDEX(Raw_매출!$B$2:$BI$155,MATCH($A117,Raw_매출!$A$2:$A$155,0),MATCH(EDATE($E117,AI$1-1),Raw_매출!$B$1:$BI$1,0))/(INDEX(요약_월별시즈널리티!$F$7:$F$18,MONTH(EDATE($E117,AI$1-1)))/100))),"")</f>
        <v/>
      </c>
      <c r="AJ117" t="str" cm="1">
        <f t="array" ref="AJ117">IFERROR(IF($E117&lt;44348,"",IF(INDEX(Raw_매출!$B$2:$BI$155,MATCH($A117,Raw_매출!$A$2:$A$155,0),MATCH(EDATE($E117,AJ$1-1),Raw_매출!$B$1:$BI$1,0))=0,"",INDEX(Raw_매출!$B$2:$BI$155,MATCH($A117,Raw_매출!$A$2:$A$155,0),MATCH(EDATE($E117,AJ$1-1),Raw_매출!$B$1:$BI$1,0))/(INDEX(요약_월별시즈널리티!$F$7:$F$18,MONTH(EDATE($E117,AJ$1-1)))/100))),"")</f>
        <v/>
      </c>
      <c r="AK117" t="str" cm="1">
        <f t="array" ref="AK117">IFERROR(IF($E117&lt;44348,"",IF(INDEX(Raw_매출!$B$2:$BI$155,MATCH($A117,Raw_매출!$A$2:$A$155,0),MATCH(EDATE($E117,AK$1-1),Raw_매출!$B$1:$BI$1,0))=0,"",INDEX(Raw_매출!$B$2:$BI$155,MATCH($A117,Raw_매출!$A$2:$A$155,0),MATCH(EDATE($E117,AK$1-1),Raw_매출!$B$1:$BI$1,0))/(INDEX(요약_월별시즈널리티!$F$7:$F$18,MONTH(EDATE($E117,AK$1-1)))/100))),"")</f>
        <v/>
      </c>
      <c r="AL117" t="str" cm="1">
        <f t="array" ref="AL117">IFERROR(IF($E117&lt;44348,"",IF(INDEX(Raw_매출!$B$2:$BI$155,MATCH($A117,Raw_매출!$A$2:$A$155,0),MATCH(EDATE($E117,AL$1-1),Raw_매출!$B$1:$BI$1,0))=0,"",INDEX(Raw_매출!$B$2:$BI$155,MATCH($A117,Raw_매출!$A$2:$A$155,0),MATCH(EDATE($E117,AL$1-1),Raw_매출!$B$1:$BI$1,0))/(INDEX(요약_월별시즈널리티!$F$7:$F$18,MONTH(EDATE($E117,AL$1-1)))/100))),"")</f>
        <v/>
      </c>
      <c r="AM117" t="str" cm="1">
        <f t="array" ref="AM117">IFERROR(IF($E117&lt;44348,"",IF(INDEX(Raw_매출!$B$2:$BI$155,MATCH($A117,Raw_매출!$A$2:$A$155,0),MATCH(EDATE($E117,AM$1-1),Raw_매출!$B$1:$BI$1,0))=0,"",INDEX(Raw_매출!$B$2:$BI$155,MATCH($A117,Raw_매출!$A$2:$A$155,0),MATCH(EDATE($E117,AM$1-1),Raw_매출!$B$1:$BI$1,0))/(INDEX(요약_월별시즈널리티!$F$7:$F$18,MONTH(EDATE($E117,AM$1-1)))/100))),"")</f>
        <v/>
      </c>
      <c r="AN117" t="str" cm="1">
        <f t="array" ref="AN117">IFERROR(IF($E117&lt;44348,"",IF(INDEX(Raw_매출!$B$2:$BI$155,MATCH($A117,Raw_매출!$A$2:$A$155,0),MATCH(EDATE($E117,AN$1-1),Raw_매출!$B$1:$BI$1,0))=0,"",INDEX(Raw_매출!$B$2:$BI$155,MATCH($A117,Raw_매출!$A$2:$A$155,0),MATCH(EDATE($E117,AN$1-1),Raw_매출!$B$1:$BI$1,0))/(INDEX(요약_월별시즈널리티!$F$7:$F$18,MONTH(EDATE($E117,AN$1-1)))/100))),"")</f>
        <v/>
      </c>
      <c r="AO117" t="str" cm="1">
        <f t="array" ref="AO117">IFERROR(IF($E117&lt;44348,"",IF(INDEX(Raw_매출!$B$2:$BI$155,MATCH($A117,Raw_매출!$A$2:$A$155,0),MATCH(EDATE($E117,AO$1-1),Raw_매출!$B$1:$BI$1,0))=0,"",INDEX(Raw_매출!$B$2:$BI$155,MATCH($A117,Raw_매출!$A$2:$A$155,0),MATCH(EDATE($E117,AO$1-1),Raw_매출!$B$1:$BI$1,0))/(INDEX(요약_월별시즈널리티!$F$7:$F$18,MONTH(EDATE($E117,AO$1-1)))/100))),"")</f>
        <v/>
      </c>
      <c r="AP117" t="str" cm="1">
        <f t="array" ref="AP117">IFERROR(IF($E117&lt;44348,"",IF(INDEX(Raw_매출!$B$2:$BI$155,MATCH($A117,Raw_매출!$A$2:$A$155,0),MATCH(EDATE($E117,AP$1-1),Raw_매출!$B$1:$BI$1,0))=0,"",INDEX(Raw_매출!$B$2:$BI$155,MATCH($A117,Raw_매출!$A$2:$A$155,0),MATCH(EDATE($E117,AP$1-1),Raw_매출!$B$1:$BI$1,0))/(INDEX(요약_월별시즈널리티!$F$7:$F$18,MONTH(EDATE($E117,AP$1-1)))/100))),"")</f>
        <v/>
      </c>
      <c r="AQ117" t="str" cm="1">
        <f t="array" ref="AQ117">IFERROR(IF($E117&lt;44348,"",IF(INDEX(Raw_매출!$B$2:$BI$155,MATCH($A117,Raw_매출!$A$2:$A$155,0),MATCH(EDATE($E117,AQ$1-1),Raw_매출!$B$1:$BI$1,0))=0,"",INDEX(Raw_매출!$B$2:$BI$155,MATCH($A117,Raw_매출!$A$2:$A$155,0),MATCH(EDATE($E117,AQ$1-1),Raw_매출!$B$1:$BI$1,0))/(INDEX(요약_월별시즈널리티!$F$7:$F$18,MONTH(EDATE($E117,AQ$1-1)))/100))),"")</f>
        <v/>
      </c>
      <c r="AR117" t="str" cm="1">
        <f t="array" ref="AR117">IFERROR(IF($E117&lt;44348,"",IF(INDEX(Raw_매출!$B$2:$BI$155,MATCH($A117,Raw_매출!$A$2:$A$155,0),MATCH(EDATE($E117,AR$1-1),Raw_매출!$B$1:$BI$1,0))=0,"",INDEX(Raw_매출!$B$2:$BI$155,MATCH($A117,Raw_매출!$A$2:$A$155,0),MATCH(EDATE($E117,AR$1-1),Raw_매출!$B$1:$BI$1,0))/(INDEX(요약_월별시즈널리티!$F$7:$F$18,MONTH(EDATE($E117,AR$1-1)))/100))),"")</f>
        <v/>
      </c>
      <c r="AS117" t="str" cm="1">
        <f t="array" ref="AS117">IFERROR(IF($E117&lt;44348,"",IF(INDEX(Raw_매출!$B$2:$BI$155,MATCH($A117,Raw_매출!$A$2:$A$155,0),MATCH(EDATE($E117,AS$1-1),Raw_매출!$B$1:$BI$1,0))=0,"",INDEX(Raw_매출!$B$2:$BI$155,MATCH($A117,Raw_매출!$A$2:$A$155,0),MATCH(EDATE($E117,AS$1-1),Raw_매출!$B$1:$BI$1,0))/(INDEX(요약_월별시즈널리티!$F$7:$F$18,MONTH(EDATE($E117,AS$1-1)))/100))),"")</f>
        <v/>
      </c>
      <c r="AT117" t="str" cm="1">
        <f t="array" ref="AT117">IFERROR(IF($E117&lt;44348,"",IF(INDEX(Raw_매출!$B$2:$BI$155,MATCH($A117,Raw_매출!$A$2:$A$155,0),MATCH(EDATE($E117,AT$1-1),Raw_매출!$B$1:$BI$1,0))=0,"",INDEX(Raw_매출!$B$2:$BI$155,MATCH($A117,Raw_매출!$A$2:$A$155,0),MATCH(EDATE($E117,AT$1-1),Raw_매출!$B$1:$BI$1,0))/(INDEX(요약_월별시즈널리티!$F$7:$F$18,MONTH(EDATE($E117,AT$1-1)))/100))),"")</f>
        <v/>
      </c>
      <c r="AU117" t="str" cm="1">
        <f t="array" ref="AU117">IFERROR(IF($E117&lt;44348,"",IF(INDEX(Raw_매출!$B$2:$BI$155,MATCH($A117,Raw_매출!$A$2:$A$155,0),MATCH(EDATE($E117,AU$1-1),Raw_매출!$B$1:$BI$1,0))=0,"",INDEX(Raw_매출!$B$2:$BI$155,MATCH($A117,Raw_매출!$A$2:$A$155,0),MATCH(EDATE($E117,AU$1-1),Raw_매출!$B$1:$BI$1,0))/(INDEX(요약_월별시즈널리티!$F$7:$F$18,MONTH(EDATE($E117,AU$1-1)))/100))),"")</f>
        <v/>
      </c>
      <c r="AV117" t="str" cm="1">
        <f t="array" ref="AV117">IFERROR(IF($E117&lt;44348,"",IF(INDEX(Raw_매출!$B$2:$BI$155,MATCH($A117,Raw_매출!$A$2:$A$155,0),MATCH(EDATE($E117,AV$1-1),Raw_매출!$B$1:$BI$1,0))=0,"",INDEX(Raw_매출!$B$2:$BI$155,MATCH($A117,Raw_매출!$A$2:$A$155,0),MATCH(EDATE($E117,AV$1-1),Raw_매출!$B$1:$BI$1,0))/(INDEX(요약_월별시즈널리티!$F$7:$F$18,MONTH(EDATE($E117,AV$1-1)))/100))),"")</f>
        <v/>
      </c>
      <c r="AW117" t="str" cm="1">
        <f t="array" ref="AW117">IFERROR(IF($E117&lt;44348,"",IF(INDEX(Raw_매출!$B$2:$BI$155,MATCH($A117,Raw_매출!$A$2:$A$155,0),MATCH(EDATE($E117,AW$1-1),Raw_매출!$B$1:$BI$1,0))=0,"",INDEX(Raw_매출!$B$2:$BI$155,MATCH($A117,Raw_매출!$A$2:$A$155,0),MATCH(EDATE($E117,AW$1-1),Raw_매출!$B$1:$BI$1,0))/(INDEX(요약_월별시즈널리티!$F$7:$F$18,MONTH(EDATE($E117,AW$1-1)))/100))),"")</f>
        <v/>
      </c>
      <c r="AX117" t="str" cm="1">
        <f t="array" ref="AX117">IFERROR(IF($E117&lt;44348,"",IF(INDEX(Raw_매출!$B$2:$BI$155,MATCH($A117,Raw_매출!$A$2:$A$155,0),MATCH(EDATE($E117,AX$1-1),Raw_매출!$B$1:$BI$1,0))=0,"",INDEX(Raw_매출!$B$2:$BI$155,MATCH($A117,Raw_매출!$A$2:$A$155,0),MATCH(EDATE($E117,AX$1-1),Raw_매출!$B$1:$BI$1,0))/(INDEX(요약_월별시즈널리티!$F$7:$F$18,MONTH(EDATE($E117,AX$1-1)))/100))),"")</f>
        <v/>
      </c>
      <c r="AY117" t="str" cm="1">
        <f t="array" ref="AY117">IFERROR(IF($E117&lt;44348,"",IF(INDEX(Raw_매출!$B$2:$BI$155,MATCH($A117,Raw_매출!$A$2:$A$155,0),MATCH(EDATE($E117,AY$1-1),Raw_매출!$B$1:$BI$1,0))=0,"",INDEX(Raw_매출!$B$2:$BI$155,MATCH($A117,Raw_매출!$A$2:$A$155,0),MATCH(EDATE($E117,AY$1-1),Raw_매출!$B$1:$BI$1,0))/(INDEX(요약_월별시즈널리티!$F$7:$F$18,MONTH(EDATE($E117,AY$1-1)))/100))),"")</f>
        <v/>
      </c>
      <c r="AZ117" t="str" cm="1">
        <f t="array" ref="AZ117">IFERROR(IF($E117&lt;44348,"",IF(INDEX(Raw_매출!$B$2:$BI$155,MATCH($A117,Raw_매출!$A$2:$A$155,0),MATCH(EDATE($E117,AZ$1-1),Raw_매출!$B$1:$BI$1,0))=0,"",INDEX(Raw_매출!$B$2:$BI$155,MATCH($A117,Raw_매출!$A$2:$A$155,0),MATCH(EDATE($E117,AZ$1-1),Raw_매출!$B$1:$BI$1,0))/(INDEX(요약_월별시즈널리티!$F$7:$F$18,MONTH(EDATE($E117,AZ$1-1)))/100))),"")</f>
        <v/>
      </c>
      <c r="BA117" t="str" cm="1">
        <f t="array" ref="BA117">IFERROR(IF($E117&lt;44348,"",IF(INDEX(Raw_매출!$B$2:$BI$155,MATCH($A117,Raw_매출!$A$2:$A$155,0),MATCH(EDATE($E117,BA$1-1),Raw_매출!$B$1:$BI$1,0))=0,"",INDEX(Raw_매출!$B$2:$BI$155,MATCH($A117,Raw_매출!$A$2:$A$155,0),MATCH(EDATE($E117,BA$1-1),Raw_매출!$B$1:$BI$1,0))/(INDEX(요약_월별시즈널리티!$F$7:$F$18,MONTH(EDATE($E117,BA$1-1)))/100))),"")</f>
        <v/>
      </c>
      <c r="BB117" t="str" cm="1">
        <f t="array" ref="BB117">IFERROR(IF($E117&lt;44348,"",IF(INDEX(Raw_매출!$B$2:$BI$155,MATCH($A117,Raw_매출!$A$2:$A$155,0),MATCH(EDATE($E117,BB$1-1),Raw_매출!$B$1:$BI$1,0))=0,"",INDEX(Raw_매출!$B$2:$BI$155,MATCH($A117,Raw_매출!$A$2:$A$155,0),MATCH(EDATE($E117,BB$1-1),Raw_매출!$B$1:$BI$1,0))/(INDEX(요약_월별시즈널리티!$F$7:$F$18,MONTH(EDATE($E117,BB$1-1)))/100))),"")</f>
        <v/>
      </c>
      <c r="BC117" t="str" cm="1">
        <f t="array" ref="BC117">IFERROR(IF($E117&lt;44348,"",IF(INDEX(Raw_매출!$B$2:$BI$155,MATCH($A117,Raw_매출!$A$2:$A$155,0),MATCH(EDATE($E117,BC$1-1),Raw_매출!$B$1:$BI$1,0))=0,"",INDEX(Raw_매출!$B$2:$BI$155,MATCH($A117,Raw_매출!$A$2:$A$155,0),MATCH(EDATE($E117,BC$1-1),Raw_매출!$B$1:$BI$1,0))/(INDEX(요약_월별시즈널리티!$F$7:$F$18,MONTH(EDATE($E117,BC$1-1)))/100))),"")</f>
        <v/>
      </c>
      <c r="BD117" t="str" cm="1">
        <f t="array" ref="BD117">IFERROR(IF($E117&lt;44348,"",IF(INDEX(Raw_매출!$B$2:$BI$155,MATCH($A117,Raw_매출!$A$2:$A$155,0),MATCH(EDATE($E117,BD$1-1),Raw_매출!$B$1:$BI$1,0))=0,"",INDEX(Raw_매출!$B$2:$BI$155,MATCH($A117,Raw_매출!$A$2:$A$155,0),MATCH(EDATE($E117,BD$1-1),Raw_매출!$B$1:$BI$1,0))/(INDEX(요약_월별시즈널리티!$F$7:$F$18,MONTH(EDATE($E117,BD$1-1)))/100))),"")</f>
        <v/>
      </c>
      <c r="BE117" t="str" cm="1">
        <f t="array" ref="BE117">IFERROR(IF($E117&lt;44348,"",IF(INDEX(Raw_매출!$B$2:$BI$155,MATCH($A117,Raw_매출!$A$2:$A$155,0),MATCH(EDATE($E117,BE$1-1),Raw_매출!$B$1:$BI$1,0))=0,"",INDEX(Raw_매출!$B$2:$BI$155,MATCH($A117,Raw_매출!$A$2:$A$155,0),MATCH(EDATE($E117,BE$1-1),Raw_매출!$B$1:$BI$1,0))/(INDEX(요약_월별시즈널리티!$F$7:$F$18,MONTH(EDATE($E117,BE$1-1)))/100))),"")</f>
        <v/>
      </c>
      <c r="BF117" t="str" cm="1">
        <f t="array" ref="BF117">IFERROR(IF($E117&lt;44348,"",IF(INDEX(Raw_매출!$B$2:$BI$155,MATCH($A117,Raw_매출!$A$2:$A$155,0),MATCH(EDATE($E117,BF$1-1),Raw_매출!$B$1:$BI$1,0))=0,"",INDEX(Raw_매출!$B$2:$BI$155,MATCH($A117,Raw_매출!$A$2:$A$155,0),MATCH(EDATE($E117,BF$1-1),Raw_매출!$B$1:$BI$1,0))/(INDEX(요약_월별시즈널리티!$F$7:$F$18,MONTH(EDATE($E117,BF$1-1)))/100))),"")</f>
        <v/>
      </c>
      <c r="BG117" t="str" cm="1">
        <f t="array" ref="BG117">IFERROR(IF($E117&lt;44348,"",IF(INDEX(Raw_매출!$B$2:$BI$155,MATCH($A117,Raw_매출!$A$2:$A$155,0),MATCH(EDATE($E117,BG$1-1),Raw_매출!$B$1:$BI$1,0))=0,"",INDEX(Raw_매출!$B$2:$BI$155,MATCH($A117,Raw_매출!$A$2:$A$155,0),MATCH(EDATE($E117,BG$1-1),Raw_매출!$B$1:$BI$1,0))/(INDEX(요약_월별시즈널리티!$F$7:$F$18,MONTH(EDATE($E117,BG$1-1)))/100))),"")</f>
        <v/>
      </c>
      <c r="BH117" t="str" cm="1">
        <f t="array" ref="BH117">IFERROR(IF($E117&lt;44348,"",IF(INDEX(Raw_매출!$B$2:$BI$155,MATCH($A117,Raw_매출!$A$2:$A$155,0),MATCH(EDATE($E117,BH$1-1),Raw_매출!$B$1:$BI$1,0))=0,"",INDEX(Raw_매출!$B$2:$BI$155,MATCH($A117,Raw_매출!$A$2:$A$155,0),MATCH(EDATE($E117,BH$1-1),Raw_매출!$B$1:$BI$1,0))/(INDEX(요약_월별시즈널리티!$F$7:$F$18,MONTH(EDATE($E117,BH$1-1)))/100))),"")</f>
        <v/>
      </c>
      <c r="BI117" t="str" cm="1">
        <f t="array" ref="BI117">IFERROR(IF($E117&lt;44348,"",IF(INDEX(Raw_매출!$B$2:$BI$155,MATCH($A117,Raw_매출!$A$2:$A$155,0),MATCH(EDATE($E117,BI$1-1),Raw_매출!$B$1:$BI$1,0))=0,"",INDEX(Raw_매출!$B$2:$BI$155,MATCH($A117,Raw_매출!$A$2:$A$155,0),MATCH(EDATE($E117,BI$1-1),Raw_매출!$B$1:$BI$1,0))/(INDEX(요약_월별시즈널리티!$F$7:$F$18,MONTH(EDATE($E117,BI$1-1)))/100))),"")</f>
        <v/>
      </c>
      <c r="BJ117" t="str" cm="1">
        <f t="array" ref="BJ117">IFERROR(IF($E117&lt;44348,"",IF(INDEX(Raw_매출!$B$2:$BI$155,MATCH($A117,Raw_매출!$A$2:$A$155,0),MATCH(EDATE($E117,BJ$1-1),Raw_매출!$B$1:$BI$1,0))=0,"",INDEX(Raw_매출!$B$2:$BI$155,MATCH($A117,Raw_매출!$A$2:$A$155,0),MATCH(EDATE($E117,BJ$1-1),Raw_매출!$B$1:$BI$1,0))/(INDEX(요약_월별시즈널리티!$F$7:$F$18,MONTH(EDATE($E117,BJ$1-1)))/100))),"")</f>
        <v/>
      </c>
      <c r="BK117" t="str" cm="1">
        <f t="array" ref="BK117">IFERROR(IF($E117&lt;44348,"",IF(INDEX(Raw_매출!$B$2:$BI$155,MATCH($A117,Raw_매출!$A$2:$A$155,0),MATCH(EDATE($E117,BK$1-1),Raw_매출!$B$1:$BI$1,0))=0,"",INDEX(Raw_매출!$B$2:$BI$155,MATCH($A117,Raw_매출!$A$2:$A$155,0),MATCH(EDATE($E117,BK$1-1),Raw_매출!$B$1:$BI$1,0))/(INDEX(요약_월별시즈널리티!$F$7:$F$18,MONTH(EDATE($E117,BK$1-1)))/100))),"")</f>
        <v/>
      </c>
      <c r="BL117" t="str" cm="1">
        <f t="array" ref="BL117">IFERROR(IF($E117&lt;44348,"",IF(INDEX(Raw_매출!$B$2:$BI$155,MATCH($A117,Raw_매출!$A$2:$A$155,0),MATCH(EDATE($E117,BL$1-1),Raw_매출!$B$1:$BI$1,0))=0,"",INDEX(Raw_매출!$B$2:$BI$155,MATCH($A117,Raw_매출!$A$2:$A$155,0),MATCH(EDATE($E117,BL$1-1),Raw_매출!$B$1:$BI$1,0))/(INDEX(요약_월별시즈널리티!$F$7:$F$18,MONTH(EDATE($E117,BL$1-1)))/100))),"")</f>
        <v/>
      </c>
      <c r="BM117" t="str" cm="1">
        <f t="array" ref="BM117">IFERROR(IF($E117&lt;44348,"",IF(INDEX(Raw_매출!$B$2:$BI$155,MATCH($A117,Raw_매출!$A$2:$A$155,0),MATCH(EDATE($E117,BM$1-1),Raw_매출!$B$1:$BI$1,0))=0,"",INDEX(Raw_매출!$B$2:$BI$155,MATCH($A117,Raw_매출!$A$2:$A$155,0),MATCH(EDATE($E117,BM$1-1),Raw_매출!$B$1:$BI$1,0))/(INDEX(요약_월별시즈널리티!$F$7:$F$18,MONTH(EDATE($E117,BM$1-1)))/100))),"")</f>
        <v/>
      </c>
      <c r="BN117" t="str" cm="1">
        <f t="array" ref="BN117">IFERROR(IF($E117&lt;44348,"",IF(INDEX(Raw_매출!$B$2:$BI$155,MATCH($A117,Raw_매출!$A$2:$A$155,0),MATCH(EDATE($E117,BN$1-1),Raw_매출!$B$1:$BI$1,0))=0,"",INDEX(Raw_매출!$B$2:$BI$155,MATCH($A117,Raw_매출!$A$2:$A$155,0),MATCH(EDATE($E117,BN$1-1),Raw_매출!$B$1:$BI$1,0))/(INDEX(요약_월별시즈널리티!$F$7:$F$18,MONTH(EDATE($E117,BN$1-1)))/100))),"")</f>
        <v/>
      </c>
    </row>
    <row r="118" spans="1:66" x14ac:dyDescent="0.4">
      <c r="A118" t="str">
        <f>세팅!A119</f>
        <v>(1108) #봉천해피점</v>
      </c>
      <c r="B118" t="str">
        <f>세팅!B119</f>
        <v>150-2</v>
      </c>
      <c r="C118">
        <f t="shared" si="3"/>
        <v>2</v>
      </c>
      <c r="D118" t="str">
        <f t="shared" si="4"/>
        <v>2</v>
      </c>
      <c r="E118" s="1">
        <f>세팅!D119</f>
        <v>45383</v>
      </c>
      <c r="F118">
        <f t="shared" si="5"/>
        <v>4388646.6545306677</v>
      </c>
      <c r="G118" cm="1">
        <f t="array" ref="G118">IFERROR(IF($E118&lt;44348,"",IF(INDEX(Raw_매출!$B$2:$BI$155,MATCH($A118,Raw_매출!$A$2:$A$155,0),MATCH(EDATE($E118,G$1-1),Raw_매출!$B$1:$BI$1,0))=0,"",INDEX(Raw_매출!$B$2:$BI$155,MATCH($A118,Raw_매출!$A$2:$A$155,0),MATCH(EDATE($E118,G$1-1),Raw_매출!$B$1:$BI$1,0))/(INDEX(요약_월별시즈널리티!$F$7:$F$18,MONTH(EDATE($E118,G$1-1)))/100))),"")</f>
        <v>3245132.3951645764</v>
      </c>
      <c r="H118" cm="1">
        <f t="array" ref="H118">IFERROR(IF($E118&lt;44348,"",IF(INDEX(Raw_매출!$B$2:$BI$155,MATCH($A118,Raw_매출!$A$2:$A$155,0),MATCH(EDATE($E118,H$1-1),Raw_매출!$B$1:$BI$1,0))=0,"",INDEX(Raw_매출!$B$2:$BI$155,MATCH($A118,Raw_매출!$A$2:$A$155,0),MATCH(EDATE($E118,H$1-1),Raw_매출!$B$1:$BI$1,0))/(INDEX(요약_월별시즈널리티!$F$7:$F$18,MONTH(EDATE($E118,H$1-1)))/100))),"")</f>
        <v>3086555.7149046622</v>
      </c>
      <c r="I118" cm="1">
        <f t="array" ref="I118">IFERROR(IF($E118&lt;44348,"",IF(INDEX(Raw_매출!$B$2:$BI$155,MATCH($A118,Raw_매출!$A$2:$A$155,0),MATCH(EDATE($E118,I$1-1),Raw_매출!$B$1:$BI$1,0))=0,"",INDEX(Raw_매출!$B$2:$BI$155,MATCH($A118,Raw_매출!$A$2:$A$155,0),MATCH(EDATE($E118,I$1-1),Raw_매출!$B$1:$BI$1,0))/(INDEX(요약_월별시즈널리티!$F$7:$F$18,MONTH(EDATE($E118,I$1-1)))/100))),"")</f>
        <v>3724163.6754303719</v>
      </c>
      <c r="J118" s="30" cm="1">
        <f t="array" ref="J118">IFERROR(IF($E118&lt;44348,"",IF(INDEX(Raw_매출!$B$2:$BI$155,MATCH($A118,Raw_매출!$A$2:$A$155,0),MATCH(EDATE($E118,J$1-1),Raw_매출!$B$1:$BI$1,0))=0,"",INDEX(Raw_매출!$B$2:$BI$155,MATCH($A118,Raw_매출!$A$2:$A$155,0),MATCH(EDATE($E118,J$1-1),Raw_매출!$B$1:$BI$1,0))/(INDEX(요약_월별시즈널리티!$F$7:$F$18,MONTH(EDATE($E118,J$1-1)))/100))),"")</f>
        <v>4233499.4082156168</v>
      </c>
      <c r="K118" s="30" cm="1">
        <f t="array" ref="K118">IFERROR(IF($E118&lt;44348,"",IF(INDEX(Raw_매출!$B$2:$BI$155,MATCH($A118,Raw_매출!$A$2:$A$155,0),MATCH(EDATE($E118,K$1-1),Raw_매출!$B$1:$BI$1,0))=0,"",INDEX(Raw_매출!$B$2:$BI$155,MATCH($A118,Raw_매출!$A$2:$A$155,0),MATCH(EDATE($E118,K$1-1),Raw_매출!$B$1:$BI$1,0))/(INDEX(요약_월별시즈널리티!$F$7:$F$18,MONTH(EDATE($E118,K$1-1)))/100))),"")</f>
        <v>4147279.116010956</v>
      </c>
      <c r="L118" s="30" cm="1">
        <f t="array" ref="L118">IFERROR(IF($E118&lt;44348,"",IF(INDEX(Raw_매출!$B$2:$BI$155,MATCH($A118,Raw_매출!$A$2:$A$155,0),MATCH(EDATE($E118,L$1-1),Raw_매출!$B$1:$BI$1,0))=0,"",INDEX(Raw_매출!$B$2:$BI$155,MATCH($A118,Raw_매출!$A$2:$A$155,0),MATCH(EDATE($E118,L$1-1),Raw_매출!$B$1:$BI$1,0))/(INDEX(요약_월별시즈널리티!$F$7:$F$18,MONTH(EDATE($E118,L$1-1)))/100))),"")</f>
        <v>4296110.8335213261</v>
      </c>
      <c r="M118" s="30" cm="1">
        <f t="array" ref="M118">IFERROR(IF($E118&lt;44348,"",IF(INDEX(Raw_매출!$B$2:$BI$155,MATCH($A118,Raw_매출!$A$2:$A$155,0),MATCH(EDATE($E118,M$1-1),Raw_매출!$B$1:$BI$1,0))=0,"",INDEX(Raw_매출!$B$2:$BI$155,MATCH($A118,Raw_매출!$A$2:$A$155,0),MATCH(EDATE($E118,M$1-1),Raw_매출!$B$1:$BI$1,0))/(INDEX(요약_월별시즈널리티!$F$7:$F$18,MONTH(EDATE($E118,M$1-1)))/100))),"")</f>
        <v>4242042.0597476251</v>
      </c>
      <c r="N118" s="30" cm="1">
        <f t="array" ref="N118">IFERROR(IF($E118&lt;44348,"",IF(INDEX(Raw_매출!$B$2:$BI$155,MATCH($A118,Raw_매출!$A$2:$A$155,0),MATCH(EDATE($E118,N$1-1),Raw_매출!$B$1:$BI$1,0))=0,"",INDEX(Raw_매출!$B$2:$BI$155,MATCH($A118,Raw_매출!$A$2:$A$155,0),MATCH(EDATE($E118,N$1-1),Raw_매출!$B$1:$BI$1,0))/(INDEX(요약_월별시즈널리티!$F$7:$F$18,MONTH(EDATE($E118,N$1-1)))/100))),"")</f>
        <v>4844143.8430043291</v>
      </c>
      <c r="O118" s="30" cm="1">
        <f t="array" ref="O118">IFERROR(IF($E118&lt;44348,"",IF(INDEX(Raw_매출!$B$2:$BI$155,MATCH($A118,Raw_매출!$A$2:$A$155,0),MATCH(EDATE($E118,O$1-1),Raw_매출!$B$1:$BI$1,0))=0,"",INDEX(Raw_매출!$B$2:$BI$155,MATCH($A118,Raw_매출!$A$2:$A$155,0),MATCH(EDATE($E118,O$1-1),Raw_매출!$B$1:$BI$1,0))/(INDEX(요약_월별시즈널리티!$F$7:$F$18,MONTH(EDATE($E118,O$1-1)))/100))),"")</f>
        <v>4568804.6666841572</v>
      </c>
      <c r="P118" cm="1">
        <f t="array" ref="P118">IFERROR(IF($E118&lt;44348,"",IF(INDEX(Raw_매출!$B$2:$BI$155,MATCH($A118,Raw_매출!$A$2:$A$155,0),MATCH(EDATE($E118,P$1-1),Raw_매출!$B$1:$BI$1,0))=0,"",INDEX(Raw_매출!$B$2:$BI$155,MATCH($A118,Raw_매출!$A$2:$A$155,0),MATCH(EDATE($E118,P$1-1),Raw_매출!$B$1:$BI$1,0))/(INDEX(요약_월별시즈널리티!$F$7:$F$18,MONTH(EDATE($E118,P$1-1)))/100))),"")</f>
        <v>4314123.1877762387</v>
      </c>
      <c r="Q118" cm="1">
        <f t="array" ref="Q118">IFERROR(IF($E118&lt;44348,"",IF(INDEX(Raw_매출!$B$2:$BI$155,MATCH($A118,Raw_매출!$A$2:$A$155,0),MATCH(EDATE($E118,Q$1-1),Raw_매출!$B$1:$BI$1,0))=0,"",INDEX(Raw_매출!$B$2:$BI$155,MATCH($A118,Raw_매출!$A$2:$A$155,0),MATCH(EDATE($E118,Q$1-1),Raw_매출!$B$1:$BI$1,0))/(INDEX(요약_월별시즈널리티!$F$7:$F$18,MONTH(EDATE($E118,Q$1-1)))/100))),"")</f>
        <v>4600346.7661804426</v>
      </c>
      <c r="R118" cm="1">
        <f t="array" ref="R118">IFERROR(IF($E118&lt;44348,"",IF(INDEX(Raw_매출!$B$2:$BI$155,MATCH($A118,Raw_매출!$A$2:$A$155,0),MATCH(EDATE($E118,R$1-1),Raw_매출!$B$1:$BI$1,0))=0,"",INDEX(Raw_매출!$B$2:$BI$155,MATCH($A118,Raw_매출!$A$2:$A$155,0),MATCH(EDATE($E118,R$1-1),Raw_매출!$B$1:$BI$1,0))/(INDEX(요약_월별시즈널리티!$F$7:$F$18,MONTH(EDATE($E118,R$1-1)))/100))),"")</f>
        <v>4352784.1206461703</v>
      </c>
      <c r="S118" cm="1">
        <f t="array" ref="S118">IFERROR(IF($E118&lt;44348,"",IF(INDEX(Raw_매출!$B$2:$BI$155,MATCH($A118,Raw_매출!$A$2:$A$155,0),MATCH(EDATE($E118,S$1-1),Raw_매출!$B$1:$BI$1,0))=0,"",INDEX(Raw_매출!$B$2:$BI$155,MATCH($A118,Raw_매출!$A$2:$A$155,0),MATCH(EDATE($E118,S$1-1),Raw_매출!$B$1:$BI$1,0))/(INDEX(요약_월별시즈널리티!$F$7:$F$18,MONTH(EDATE($E118,S$1-1)))/100))),"")</f>
        <v>4330262.8856873484</v>
      </c>
      <c r="T118" cm="1">
        <f t="array" ref="T118">IFERROR(IF($E118&lt;44348,"",IF(INDEX(Raw_매출!$B$2:$BI$155,MATCH($A118,Raw_매출!$A$2:$A$155,0),MATCH(EDATE($E118,T$1-1),Raw_매출!$B$1:$BI$1,0))=0,"",INDEX(Raw_매출!$B$2:$BI$155,MATCH($A118,Raw_매출!$A$2:$A$155,0),MATCH(EDATE($E118,T$1-1),Raw_매출!$B$1:$BI$1,0))/(INDEX(요약_월별시즈널리티!$F$7:$F$18,MONTH(EDATE($E118,T$1-1)))/100))),"")</f>
        <v>4661261.8296033172</v>
      </c>
      <c r="U118" cm="1">
        <f t="array" ref="U118">IFERROR(IF($E118&lt;44348,"",IF(INDEX(Raw_매출!$B$2:$BI$155,MATCH($A118,Raw_매출!$A$2:$A$155,0),MATCH(EDATE($E118,U$1-1),Raw_매출!$B$1:$BI$1,0))=0,"",INDEX(Raw_매출!$B$2:$BI$155,MATCH($A118,Raw_매출!$A$2:$A$155,0),MATCH(EDATE($E118,U$1-1),Raw_매출!$B$1:$BI$1,0))/(INDEX(요약_월별시즈널리티!$F$7:$F$18,MONTH(EDATE($E118,U$1-1)))/100))),"")</f>
        <v>5006582.3222222002</v>
      </c>
      <c r="V118" cm="1">
        <f t="array" ref="V118">IFERROR(IF($E118&lt;44348,"",IF(INDEX(Raw_매출!$B$2:$BI$155,MATCH($A118,Raw_매출!$A$2:$A$155,0),MATCH(EDATE($E118,V$1-1),Raw_매출!$B$1:$BI$1,0))=0,"",INDEX(Raw_매출!$B$2:$BI$155,MATCH($A118,Raw_매출!$A$2:$A$155,0),MATCH(EDATE($E118,V$1-1),Raw_매출!$B$1:$BI$1,0))/(INDEX(요약_월별시즈널리티!$F$7:$F$18,MONTH(EDATE($E118,V$1-1)))/100))),"")</f>
        <v>4119187.6543254419</v>
      </c>
      <c r="W118" cm="1">
        <f t="array" ref="W118">IFERROR(IF($E118&lt;44348,"",IF(INDEX(Raw_매출!$B$2:$BI$155,MATCH($A118,Raw_매출!$A$2:$A$155,0),MATCH(EDATE($E118,W$1-1),Raw_매출!$B$1:$BI$1,0))=0,"",INDEX(Raw_매출!$B$2:$BI$155,MATCH($A118,Raw_매출!$A$2:$A$155,0),MATCH(EDATE($E118,W$1-1),Raw_매출!$B$1:$BI$1,0))/(INDEX(요약_월별시즈널리티!$F$7:$F$18,MONTH(EDATE($E118,W$1-1)))/100))),"")</f>
        <v>3965986.9356602961</v>
      </c>
      <c r="X118" cm="1">
        <f t="array" ref="X118">IFERROR(IF($E118&lt;44348,"",IF(INDEX(Raw_매출!$B$2:$BI$155,MATCH($A118,Raw_매출!$A$2:$A$155,0),MATCH(EDATE($E118,X$1-1),Raw_매출!$B$1:$BI$1,0))=0,"",INDEX(Raw_매출!$B$2:$BI$155,MATCH($A118,Raw_매출!$A$2:$A$155,0),MATCH(EDATE($E118,X$1-1),Raw_매출!$B$1:$BI$1,0))/(INDEX(요약_월별시즈널리티!$F$7:$F$18,MONTH(EDATE($E118,X$1-1)))/100))),"")</f>
        <v>4077580.8944838769</v>
      </c>
      <c r="Y118" cm="1">
        <f t="array" ref="Y118">IFERROR(IF($E118&lt;44348,"",IF(INDEX(Raw_매출!$B$2:$BI$155,MATCH($A118,Raw_매출!$A$2:$A$155,0),MATCH(EDATE($E118,Y$1-1),Raw_매출!$B$1:$BI$1,0))=0,"",INDEX(Raw_매출!$B$2:$BI$155,MATCH($A118,Raw_매출!$A$2:$A$155,0),MATCH(EDATE($E118,Y$1-1),Raw_매출!$B$1:$BI$1,0))/(INDEX(요약_월별시즈널리티!$F$7:$F$18,MONTH(EDATE($E118,Y$1-1)))/100))),"")</f>
        <v>3728107.855309865</v>
      </c>
      <c r="Z118" cm="1">
        <f t="array" ref="Z118">IFERROR(IF($E118&lt;44348,"",IF(INDEX(Raw_매출!$B$2:$BI$155,MATCH($A118,Raw_매출!$A$2:$A$155,0),MATCH(EDATE($E118,Z$1-1),Raw_매출!$B$1:$BI$1,0))=0,"",INDEX(Raw_매출!$B$2:$BI$155,MATCH($A118,Raw_매출!$A$2:$A$155,0),MATCH(EDATE($E118,Z$1-1),Raw_매출!$B$1:$BI$1,0))/(INDEX(요약_월별시즈널리티!$F$7:$F$18,MONTH(EDATE($E118,Z$1-1)))/100))),"")</f>
        <v>4449157.7082531573</v>
      </c>
      <c r="AA118" cm="1">
        <f t="array" ref="AA118">IFERROR(IF($E118&lt;44348,"",IF(INDEX(Raw_매출!$B$2:$BI$155,MATCH($A118,Raw_매출!$A$2:$A$155,0),MATCH(EDATE($E118,AA$1-1),Raw_매출!$B$1:$BI$1,0))=0,"",INDEX(Raw_매출!$B$2:$BI$155,MATCH($A118,Raw_매출!$A$2:$A$155,0),MATCH(EDATE($E118,AA$1-1),Raw_매출!$B$1:$BI$1,0))/(INDEX(요약_월별시즈널리티!$F$7:$F$18,MONTH(EDATE($E118,AA$1-1)))/100))),"")</f>
        <v>3963986.257875572</v>
      </c>
      <c r="AB118" cm="1">
        <f t="array" ref="AB118">IFERROR(IF($E118&lt;44348,"",IF(INDEX(Raw_매출!$B$2:$BI$155,MATCH($A118,Raw_매출!$A$2:$A$155,0),MATCH(EDATE($E118,AB$1-1),Raw_매출!$B$1:$BI$1,0))=0,"",INDEX(Raw_매출!$B$2:$BI$155,MATCH($A118,Raw_매출!$A$2:$A$155,0),MATCH(EDATE($E118,AB$1-1),Raw_매출!$B$1:$BI$1,0))/(INDEX(요약_월별시즈널리티!$F$7:$F$18,MONTH(EDATE($E118,AB$1-1)))/100))),"")</f>
        <v>4178959.4264260544</v>
      </c>
      <c r="AC118" cm="1">
        <f t="array" ref="AC118">IFERROR(IF($E118&lt;44348,"",IF(INDEX(Raw_매출!$B$2:$BI$155,MATCH($A118,Raw_매출!$A$2:$A$155,0),MATCH(EDATE($E118,AC$1-1),Raw_매출!$B$1:$BI$1,0))=0,"",INDEX(Raw_매출!$B$2:$BI$155,MATCH($A118,Raw_매출!$A$2:$A$155,0),MATCH(EDATE($E118,AC$1-1),Raw_매출!$B$1:$BI$1,0))/(INDEX(요약_월별시즈널리티!$F$7:$F$18,MONTH(EDATE($E118,AC$1-1)))/100))),"")</f>
        <v>4523823.2147395406</v>
      </c>
      <c r="AD118" cm="1">
        <f t="array" ref="AD118">IFERROR(IF($E118&lt;44348,"",IF(INDEX(Raw_매출!$B$2:$BI$155,MATCH($A118,Raw_매출!$A$2:$A$155,0),MATCH(EDATE($E118,AD$1-1),Raw_매출!$B$1:$BI$1,0))=0,"",INDEX(Raw_매출!$B$2:$BI$155,MATCH($A118,Raw_매출!$A$2:$A$155,0),MATCH(EDATE($E118,AD$1-1),Raw_매출!$B$1:$BI$1,0))/(INDEX(요약_월별시즈널리티!$F$7:$F$18,MONTH(EDATE($E118,AD$1-1)))/100))),"")</f>
        <v>4770581.087619937</v>
      </c>
      <c r="AE118" cm="1">
        <f t="array" ref="AE118">IFERROR(IF($E118&lt;44348,"",IF(INDEX(Raw_매출!$B$2:$BI$155,MATCH($A118,Raw_매출!$A$2:$A$155,0),MATCH(EDATE($E118,AE$1-1),Raw_매출!$B$1:$BI$1,0))=0,"",INDEX(Raw_매출!$B$2:$BI$155,MATCH($A118,Raw_매출!$A$2:$A$155,0),MATCH(EDATE($E118,AE$1-1),Raw_매출!$B$1:$BI$1,0))/(INDEX(요약_월별시즈널리티!$F$7:$F$18,MONTH(EDATE($E118,AE$1-1)))/100))),"")</f>
        <v>5036118.4303749157</v>
      </c>
      <c r="AF118" cm="1">
        <f t="array" ref="AF118">IFERROR(IF($E118&lt;44348,"",IF(INDEX(Raw_매출!$B$2:$BI$155,MATCH($A118,Raw_매출!$A$2:$A$155,0),MATCH(EDATE($E118,AF$1-1),Raw_매출!$B$1:$BI$1,0))=0,"",INDEX(Raw_매출!$B$2:$BI$155,MATCH($A118,Raw_매출!$A$2:$A$155,0),MATCH(EDATE($E118,AF$1-1),Raw_매출!$B$1:$BI$1,0))/(INDEX(요약_월별시즈널리티!$F$7:$F$18,MONTH(EDATE($E118,AF$1-1)))/100))),"")</f>
        <v>4877022.0591784148</v>
      </c>
      <c r="AG118" t="str" cm="1">
        <f t="array" ref="AG118">IFERROR(IF($E118&lt;44348,"",IF(INDEX(Raw_매출!$B$2:$BI$155,MATCH($A118,Raw_매출!$A$2:$A$155,0),MATCH(EDATE($E118,AG$1-1),Raw_매출!$B$1:$BI$1,0))=0,"",INDEX(Raw_매출!$B$2:$BI$155,MATCH($A118,Raw_매출!$A$2:$A$155,0),MATCH(EDATE($E118,AG$1-1),Raw_매출!$B$1:$BI$1,0))/(INDEX(요약_월별시즈널리티!$F$7:$F$18,MONTH(EDATE($E118,AG$1-1)))/100))),"")</f>
        <v/>
      </c>
      <c r="AH118" t="str" cm="1">
        <f t="array" ref="AH118">IFERROR(IF($E118&lt;44348,"",IF(INDEX(Raw_매출!$B$2:$BI$155,MATCH($A118,Raw_매출!$A$2:$A$155,0),MATCH(EDATE($E118,AH$1-1),Raw_매출!$B$1:$BI$1,0))=0,"",INDEX(Raw_매출!$B$2:$BI$155,MATCH($A118,Raw_매출!$A$2:$A$155,0),MATCH(EDATE($E118,AH$1-1),Raw_매출!$B$1:$BI$1,0))/(INDEX(요약_월별시즈널리티!$F$7:$F$18,MONTH(EDATE($E118,AH$1-1)))/100))),"")</f>
        <v/>
      </c>
      <c r="AI118" t="str" cm="1">
        <f t="array" ref="AI118">IFERROR(IF($E118&lt;44348,"",IF(INDEX(Raw_매출!$B$2:$BI$155,MATCH($A118,Raw_매출!$A$2:$A$155,0),MATCH(EDATE($E118,AI$1-1),Raw_매출!$B$1:$BI$1,0))=0,"",INDEX(Raw_매출!$B$2:$BI$155,MATCH($A118,Raw_매출!$A$2:$A$155,0),MATCH(EDATE($E118,AI$1-1),Raw_매출!$B$1:$BI$1,0))/(INDEX(요약_월별시즈널리티!$F$7:$F$18,MONTH(EDATE($E118,AI$1-1)))/100))),"")</f>
        <v/>
      </c>
      <c r="AJ118" t="str" cm="1">
        <f t="array" ref="AJ118">IFERROR(IF($E118&lt;44348,"",IF(INDEX(Raw_매출!$B$2:$BI$155,MATCH($A118,Raw_매출!$A$2:$A$155,0),MATCH(EDATE($E118,AJ$1-1),Raw_매출!$B$1:$BI$1,0))=0,"",INDEX(Raw_매출!$B$2:$BI$155,MATCH($A118,Raw_매출!$A$2:$A$155,0),MATCH(EDATE($E118,AJ$1-1),Raw_매출!$B$1:$BI$1,0))/(INDEX(요약_월별시즈널리티!$F$7:$F$18,MONTH(EDATE($E118,AJ$1-1)))/100))),"")</f>
        <v/>
      </c>
      <c r="AK118" t="str" cm="1">
        <f t="array" ref="AK118">IFERROR(IF($E118&lt;44348,"",IF(INDEX(Raw_매출!$B$2:$BI$155,MATCH($A118,Raw_매출!$A$2:$A$155,0),MATCH(EDATE($E118,AK$1-1),Raw_매출!$B$1:$BI$1,0))=0,"",INDEX(Raw_매출!$B$2:$BI$155,MATCH($A118,Raw_매출!$A$2:$A$155,0),MATCH(EDATE($E118,AK$1-1),Raw_매출!$B$1:$BI$1,0))/(INDEX(요약_월별시즈널리티!$F$7:$F$18,MONTH(EDATE($E118,AK$1-1)))/100))),"")</f>
        <v/>
      </c>
      <c r="AL118" t="str" cm="1">
        <f t="array" ref="AL118">IFERROR(IF($E118&lt;44348,"",IF(INDEX(Raw_매출!$B$2:$BI$155,MATCH($A118,Raw_매출!$A$2:$A$155,0),MATCH(EDATE($E118,AL$1-1),Raw_매출!$B$1:$BI$1,0))=0,"",INDEX(Raw_매출!$B$2:$BI$155,MATCH($A118,Raw_매출!$A$2:$A$155,0),MATCH(EDATE($E118,AL$1-1),Raw_매출!$B$1:$BI$1,0))/(INDEX(요약_월별시즈널리티!$F$7:$F$18,MONTH(EDATE($E118,AL$1-1)))/100))),"")</f>
        <v/>
      </c>
      <c r="AM118" t="str" cm="1">
        <f t="array" ref="AM118">IFERROR(IF($E118&lt;44348,"",IF(INDEX(Raw_매출!$B$2:$BI$155,MATCH($A118,Raw_매출!$A$2:$A$155,0),MATCH(EDATE($E118,AM$1-1),Raw_매출!$B$1:$BI$1,0))=0,"",INDEX(Raw_매출!$B$2:$BI$155,MATCH($A118,Raw_매출!$A$2:$A$155,0),MATCH(EDATE($E118,AM$1-1),Raw_매출!$B$1:$BI$1,0))/(INDEX(요약_월별시즈널리티!$F$7:$F$18,MONTH(EDATE($E118,AM$1-1)))/100))),"")</f>
        <v/>
      </c>
      <c r="AN118" t="str" cm="1">
        <f t="array" ref="AN118">IFERROR(IF($E118&lt;44348,"",IF(INDEX(Raw_매출!$B$2:$BI$155,MATCH($A118,Raw_매출!$A$2:$A$155,0),MATCH(EDATE($E118,AN$1-1),Raw_매출!$B$1:$BI$1,0))=0,"",INDEX(Raw_매출!$B$2:$BI$155,MATCH($A118,Raw_매출!$A$2:$A$155,0),MATCH(EDATE($E118,AN$1-1),Raw_매출!$B$1:$BI$1,0))/(INDEX(요약_월별시즈널리티!$F$7:$F$18,MONTH(EDATE($E118,AN$1-1)))/100))),"")</f>
        <v/>
      </c>
      <c r="AO118" t="str" cm="1">
        <f t="array" ref="AO118">IFERROR(IF($E118&lt;44348,"",IF(INDEX(Raw_매출!$B$2:$BI$155,MATCH($A118,Raw_매출!$A$2:$A$155,0),MATCH(EDATE($E118,AO$1-1),Raw_매출!$B$1:$BI$1,0))=0,"",INDEX(Raw_매출!$B$2:$BI$155,MATCH($A118,Raw_매출!$A$2:$A$155,0),MATCH(EDATE($E118,AO$1-1),Raw_매출!$B$1:$BI$1,0))/(INDEX(요약_월별시즈널리티!$F$7:$F$18,MONTH(EDATE($E118,AO$1-1)))/100))),"")</f>
        <v/>
      </c>
      <c r="AP118" t="str" cm="1">
        <f t="array" ref="AP118">IFERROR(IF($E118&lt;44348,"",IF(INDEX(Raw_매출!$B$2:$BI$155,MATCH($A118,Raw_매출!$A$2:$A$155,0),MATCH(EDATE($E118,AP$1-1),Raw_매출!$B$1:$BI$1,0))=0,"",INDEX(Raw_매출!$B$2:$BI$155,MATCH($A118,Raw_매출!$A$2:$A$155,0),MATCH(EDATE($E118,AP$1-1),Raw_매출!$B$1:$BI$1,0))/(INDEX(요약_월별시즈널리티!$F$7:$F$18,MONTH(EDATE($E118,AP$1-1)))/100))),"")</f>
        <v/>
      </c>
      <c r="AQ118" t="str" cm="1">
        <f t="array" ref="AQ118">IFERROR(IF($E118&lt;44348,"",IF(INDEX(Raw_매출!$B$2:$BI$155,MATCH($A118,Raw_매출!$A$2:$A$155,0),MATCH(EDATE($E118,AQ$1-1),Raw_매출!$B$1:$BI$1,0))=0,"",INDEX(Raw_매출!$B$2:$BI$155,MATCH($A118,Raw_매출!$A$2:$A$155,0),MATCH(EDATE($E118,AQ$1-1),Raw_매출!$B$1:$BI$1,0))/(INDEX(요약_월별시즈널리티!$F$7:$F$18,MONTH(EDATE($E118,AQ$1-1)))/100))),"")</f>
        <v/>
      </c>
      <c r="AR118" t="str" cm="1">
        <f t="array" ref="AR118">IFERROR(IF($E118&lt;44348,"",IF(INDEX(Raw_매출!$B$2:$BI$155,MATCH($A118,Raw_매출!$A$2:$A$155,0),MATCH(EDATE($E118,AR$1-1),Raw_매출!$B$1:$BI$1,0))=0,"",INDEX(Raw_매출!$B$2:$BI$155,MATCH($A118,Raw_매출!$A$2:$A$155,0),MATCH(EDATE($E118,AR$1-1),Raw_매출!$B$1:$BI$1,0))/(INDEX(요약_월별시즈널리티!$F$7:$F$18,MONTH(EDATE($E118,AR$1-1)))/100))),"")</f>
        <v/>
      </c>
      <c r="AS118" t="str" cm="1">
        <f t="array" ref="AS118">IFERROR(IF($E118&lt;44348,"",IF(INDEX(Raw_매출!$B$2:$BI$155,MATCH($A118,Raw_매출!$A$2:$A$155,0),MATCH(EDATE($E118,AS$1-1),Raw_매출!$B$1:$BI$1,0))=0,"",INDEX(Raw_매출!$B$2:$BI$155,MATCH($A118,Raw_매출!$A$2:$A$155,0),MATCH(EDATE($E118,AS$1-1),Raw_매출!$B$1:$BI$1,0))/(INDEX(요약_월별시즈널리티!$F$7:$F$18,MONTH(EDATE($E118,AS$1-1)))/100))),"")</f>
        <v/>
      </c>
      <c r="AT118" t="str" cm="1">
        <f t="array" ref="AT118">IFERROR(IF($E118&lt;44348,"",IF(INDEX(Raw_매출!$B$2:$BI$155,MATCH($A118,Raw_매출!$A$2:$A$155,0),MATCH(EDATE($E118,AT$1-1),Raw_매출!$B$1:$BI$1,0))=0,"",INDEX(Raw_매출!$B$2:$BI$155,MATCH($A118,Raw_매출!$A$2:$A$155,0),MATCH(EDATE($E118,AT$1-1),Raw_매출!$B$1:$BI$1,0))/(INDEX(요약_월별시즈널리티!$F$7:$F$18,MONTH(EDATE($E118,AT$1-1)))/100))),"")</f>
        <v/>
      </c>
      <c r="AU118" t="str" cm="1">
        <f t="array" ref="AU118">IFERROR(IF($E118&lt;44348,"",IF(INDEX(Raw_매출!$B$2:$BI$155,MATCH($A118,Raw_매출!$A$2:$A$155,0),MATCH(EDATE($E118,AU$1-1),Raw_매출!$B$1:$BI$1,0))=0,"",INDEX(Raw_매출!$B$2:$BI$155,MATCH($A118,Raw_매출!$A$2:$A$155,0),MATCH(EDATE($E118,AU$1-1),Raw_매출!$B$1:$BI$1,0))/(INDEX(요약_월별시즈널리티!$F$7:$F$18,MONTH(EDATE($E118,AU$1-1)))/100))),"")</f>
        <v/>
      </c>
      <c r="AV118" t="str" cm="1">
        <f t="array" ref="AV118">IFERROR(IF($E118&lt;44348,"",IF(INDEX(Raw_매출!$B$2:$BI$155,MATCH($A118,Raw_매출!$A$2:$A$155,0),MATCH(EDATE($E118,AV$1-1),Raw_매출!$B$1:$BI$1,0))=0,"",INDEX(Raw_매출!$B$2:$BI$155,MATCH($A118,Raw_매출!$A$2:$A$155,0),MATCH(EDATE($E118,AV$1-1),Raw_매출!$B$1:$BI$1,0))/(INDEX(요약_월별시즈널리티!$F$7:$F$18,MONTH(EDATE($E118,AV$1-1)))/100))),"")</f>
        <v/>
      </c>
      <c r="AW118" t="str" cm="1">
        <f t="array" ref="AW118">IFERROR(IF($E118&lt;44348,"",IF(INDEX(Raw_매출!$B$2:$BI$155,MATCH($A118,Raw_매출!$A$2:$A$155,0),MATCH(EDATE($E118,AW$1-1),Raw_매출!$B$1:$BI$1,0))=0,"",INDEX(Raw_매출!$B$2:$BI$155,MATCH($A118,Raw_매출!$A$2:$A$155,0),MATCH(EDATE($E118,AW$1-1),Raw_매출!$B$1:$BI$1,0))/(INDEX(요약_월별시즈널리티!$F$7:$F$18,MONTH(EDATE($E118,AW$1-1)))/100))),"")</f>
        <v/>
      </c>
      <c r="AX118" t="str" cm="1">
        <f t="array" ref="AX118">IFERROR(IF($E118&lt;44348,"",IF(INDEX(Raw_매출!$B$2:$BI$155,MATCH($A118,Raw_매출!$A$2:$A$155,0),MATCH(EDATE($E118,AX$1-1),Raw_매출!$B$1:$BI$1,0))=0,"",INDEX(Raw_매출!$B$2:$BI$155,MATCH($A118,Raw_매출!$A$2:$A$155,0),MATCH(EDATE($E118,AX$1-1),Raw_매출!$B$1:$BI$1,0))/(INDEX(요약_월별시즈널리티!$F$7:$F$18,MONTH(EDATE($E118,AX$1-1)))/100))),"")</f>
        <v/>
      </c>
      <c r="AY118" t="str" cm="1">
        <f t="array" ref="AY118">IFERROR(IF($E118&lt;44348,"",IF(INDEX(Raw_매출!$B$2:$BI$155,MATCH($A118,Raw_매출!$A$2:$A$155,0),MATCH(EDATE($E118,AY$1-1),Raw_매출!$B$1:$BI$1,0))=0,"",INDEX(Raw_매출!$B$2:$BI$155,MATCH($A118,Raw_매출!$A$2:$A$155,0),MATCH(EDATE($E118,AY$1-1),Raw_매출!$B$1:$BI$1,0))/(INDEX(요약_월별시즈널리티!$F$7:$F$18,MONTH(EDATE($E118,AY$1-1)))/100))),"")</f>
        <v/>
      </c>
      <c r="AZ118" t="str" cm="1">
        <f t="array" ref="AZ118">IFERROR(IF($E118&lt;44348,"",IF(INDEX(Raw_매출!$B$2:$BI$155,MATCH($A118,Raw_매출!$A$2:$A$155,0),MATCH(EDATE($E118,AZ$1-1),Raw_매출!$B$1:$BI$1,0))=0,"",INDEX(Raw_매출!$B$2:$BI$155,MATCH($A118,Raw_매출!$A$2:$A$155,0),MATCH(EDATE($E118,AZ$1-1),Raw_매출!$B$1:$BI$1,0))/(INDEX(요약_월별시즈널리티!$F$7:$F$18,MONTH(EDATE($E118,AZ$1-1)))/100))),"")</f>
        <v/>
      </c>
      <c r="BA118" t="str" cm="1">
        <f t="array" ref="BA118">IFERROR(IF($E118&lt;44348,"",IF(INDEX(Raw_매출!$B$2:$BI$155,MATCH($A118,Raw_매출!$A$2:$A$155,0),MATCH(EDATE($E118,BA$1-1),Raw_매출!$B$1:$BI$1,0))=0,"",INDEX(Raw_매출!$B$2:$BI$155,MATCH($A118,Raw_매출!$A$2:$A$155,0),MATCH(EDATE($E118,BA$1-1),Raw_매출!$B$1:$BI$1,0))/(INDEX(요약_월별시즈널리티!$F$7:$F$18,MONTH(EDATE($E118,BA$1-1)))/100))),"")</f>
        <v/>
      </c>
      <c r="BB118" t="str" cm="1">
        <f t="array" ref="BB118">IFERROR(IF($E118&lt;44348,"",IF(INDEX(Raw_매출!$B$2:$BI$155,MATCH($A118,Raw_매출!$A$2:$A$155,0),MATCH(EDATE($E118,BB$1-1),Raw_매출!$B$1:$BI$1,0))=0,"",INDEX(Raw_매출!$B$2:$BI$155,MATCH($A118,Raw_매출!$A$2:$A$155,0),MATCH(EDATE($E118,BB$1-1),Raw_매출!$B$1:$BI$1,0))/(INDEX(요약_월별시즈널리티!$F$7:$F$18,MONTH(EDATE($E118,BB$1-1)))/100))),"")</f>
        <v/>
      </c>
      <c r="BC118" t="str" cm="1">
        <f t="array" ref="BC118">IFERROR(IF($E118&lt;44348,"",IF(INDEX(Raw_매출!$B$2:$BI$155,MATCH($A118,Raw_매출!$A$2:$A$155,0),MATCH(EDATE($E118,BC$1-1),Raw_매출!$B$1:$BI$1,0))=0,"",INDEX(Raw_매출!$B$2:$BI$155,MATCH($A118,Raw_매출!$A$2:$A$155,0),MATCH(EDATE($E118,BC$1-1),Raw_매출!$B$1:$BI$1,0))/(INDEX(요약_월별시즈널리티!$F$7:$F$18,MONTH(EDATE($E118,BC$1-1)))/100))),"")</f>
        <v/>
      </c>
      <c r="BD118" t="str" cm="1">
        <f t="array" ref="BD118">IFERROR(IF($E118&lt;44348,"",IF(INDEX(Raw_매출!$B$2:$BI$155,MATCH($A118,Raw_매출!$A$2:$A$155,0),MATCH(EDATE($E118,BD$1-1),Raw_매출!$B$1:$BI$1,0))=0,"",INDEX(Raw_매출!$B$2:$BI$155,MATCH($A118,Raw_매출!$A$2:$A$155,0),MATCH(EDATE($E118,BD$1-1),Raw_매출!$B$1:$BI$1,0))/(INDEX(요약_월별시즈널리티!$F$7:$F$18,MONTH(EDATE($E118,BD$1-1)))/100))),"")</f>
        <v/>
      </c>
      <c r="BE118" t="str" cm="1">
        <f t="array" ref="BE118">IFERROR(IF($E118&lt;44348,"",IF(INDEX(Raw_매출!$B$2:$BI$155,MATCH($A118,Raw_매출!$A$2:$A$155,0),MATCH(EDATE($E118,BE$1-1),Raw_매출!$B$1:$BI$1,0))=0,"",INDEX(Raw_매출!$B$2:$BI$155,MATCH($A118,Raw_매출!$A$2:$A$155,0),MATCH(EDATE($E118,BE$1-1),Raw_매출!$B$1:$BI$1,0))/(INDEX(요약_월별시즈널리티!$F$7:$F$18,MONTH(EDATE($E118,BE$1-1)))/100))),"")</f>
        <v/>
      </c>
      <c r="BF118" t="str" cm="1">
        <f t="array" ref="BF118">IFERROR(IF($E118&lt;44348,"",IF(INDEX(Raw_매출!$B$2:$BI$155,MATCH($A118,Raw_매출!$A$2:$A$155,0),MATCH(EDATE($E118,BF$1-1),Raw_매출!$B$1:$BI$1,0))=0,"",INDEX(Raw_매출!$B$2:$BI$155,MATCH($A118,Raw_매출!$A$2:$A$155,0),MATCH(EDATE($E118,BF$1-1),Raw_매출!$B$1:$BI$1,0))/(INDEX(요약_월별시즈널리티!$F$7:$F$18,MONTH(EDATE($E118,BF$1-1)))/100))),"")</f>
        <v/>
      </c>
      <c r="BG118" t="str" cm="1">
        <f t="array" ref="BG118">IFERROR(IF($E118&lt;44348,"",IF(INDEX(Raw_매출!$B$2:$BI$155,MATCH($A118,Raw_매출!$A$2:$A$155,0),MATCH(EDATE($E118,BG$1-1),Raw_매출!$B$1:$BI$1,0))=0,"",INDEX(Raw_매출!$B$2:$BI$155,MATCH($A118,Raw_매출!$A$2:$A$155,0),MATCH(EDATE($E118,BG$1-1),Raw_매출!$B$1:$BI$1,0))/(INDEX(요약_월별시즈널리티!$F$7:$F$18,MONTH(EDATE($E118,BG$1-1)))/100))),"")</f>
        <v/>
      </c>
      <c r="BH118" t="str" cm="1">
        <f t="array" ref="BH118">IFERROR(IF($E118&lt;44348,"",IF(INDEX(Raw_매출!$B$2:$BI$155,MATCH($A118,Raw_매출!$A$2:$A$155,0),MATCH(EDATE($E118,BH$1-1),Raw_매출!$B$1:$BI$1,0))=0,"",INDEX(Raw_매출!$B$2:$BI$155,MATCH($A118,Raw_매출!$A$2:$A$155,0),MATCH(EDATE($E118,BH$1-1),Raw_매출!$B$1:$BI$1,0))/(INDEX(요약_월별시즈널리티!$F$7:$F$18,MONTH(EDATE($E118,BH$1-1)))/100))),"")</f>
        <v/>
      </c>
      <c r="BI118" t="str" cm="1">
        <f t="array" ref="BI118">IFERROR(IF($E118&lt;44348,"",IF(INDEX(Raw_매출!$B$2:$BI$155,MATCH($A118,Raw_매출!$A$2:$A$155,0),MATCH(EDATE($E118,BI$1-1),Raw_매출!$B$1:$BI$1,0))=0,"",INDEX(Raw_매출!$B$2:$BI$155,MATCH($A118,Raw_매출!$A$2:$A$155,0),MATCH(EDATE($E118,BI$1-1),Raw_매출!$B$1:$BI$1,0))/(INDEX(요약_월별시즈널리티!$F$7:$F$18,MONTH(EDATE($E118,BI$1-1)))/100))),"")</f>
        <v/>
      </c>
      <c r="BJ118" t="str" cm="1">
        <f t="array" ref="BJ118">IFERROR(IF($E118&lt;44348,"",IF(INDEX(Raw_매출!$B$2:$BI$155,MATCH($A118,Raw_매출!$A$2:$A$155,0),MATCH(EDATE($E118,BJ$1-1),Raw_매출!$B$1:$BI$1,0))=0,"",INDEX(Raw_매출!$B$2:$BI$155,MATCH($A118,Raw_매출!$A$2:$A$155,0),MATCH(EDATE($E118,BJ$1-1),Raw_매출!$B$1:$BI$1,0))/(INDEX(요약_월별시즈널리티!$F$7:$F$18,MONTH(EDATE($E118,BJ$1-1)))/100))),"")</f>
        <v/>
      </c>
      <c r="BK118" t="str" cm="1">
        <f t="array" ref="BK118">IFERROR(IF($E118&lt;44348,"",IF(INDEX(Raw_매출!$B$2:$BI$155,MATCH($A118,Raw_매출!$A$2:$A$155,0),MATCH(EDATE($E118,BK$1-1),Raw_매출!$B$1:$BI$1,0))=0,"",INDEX(Raw_매출!$B$2:$BI$155,MATCH($A118,Raw_매출!$A$2:$A$155,0),MATCH(EDATE($E118,BK$1-1),Raw_매출!$B$1:$BI$1,0))/(INDEX(요약_월별시즈널리티!$F$7:$F$18,MONTH(EDATE($E118,BK$1-1)))/100))),"")</f>
        <v/>
      </c>
      <c r="BL118" t="str" cm="1">
        <f t="array" ref="BL118">IFERROR(IF($E118&lt;44348,"",IF(INDEX(Raw_매출!$B$2:$BI$155,MATCH($A118,Raw_매출!$A$2:$A$155,0),MATCH(EDATE($E118,BL$1-1),Raw_매출!$B$1:$BI$1,0))=0,"",INDEX(Raw_매출!$B$2:$BI$155,MATCH($A118,Raw_매출!$A$2:$A$155,0),MATCH(EDATE($E118,BL$1-1),Raw_매출!$B$1:$BI$1,0))/(INDEX(요약_월별시즈널리티!$F$7:$F$18,MONTH(EDATE($E118,BL$1-1)))/100))),"")</f>
        <v/>
      </c>
      <c r="BM118" t="str" cm="1">
        <f t="array" ref="BM118">IFERROR(IF($E118&lt;44348,"",IF(INDEX(Raw_매출!$B$2:$BI$155,MATCH($A118,Raw_매출!$A$2:$A$155,0),MATCH(EDATE($E118,BM$1-1),Raw_매출!$B$1:$BI$1,0))=0,"",INDEX(Raw_매출!$B$2:$BI$155,MATCH($A118,Raw_매출!$A$2:$A$155,0),MATCH(EDATE($E118,BM$1-1),Raw_매출!$B$1:$BI$1,0))/(INDEX(요약_월별시즈널리티!$F$7:$F$18,MONTH(EDATE($E118,BM$1-1)))/100))),"")</f>
        <v/>
      </c>
      <c r="BN118" t="str" cm="1">
        <f t="array" ref="BN118">IFERROR(IF($E118&lt;44348,"",IF(INDEX(Raw_매출!$B$2:$BI$155,MATCH($A118,Raw_매출!$A$2:$A$155,0),MATCH(EDATE($E118,BN$1-1),Raw_매출!$B$1:$BI$1,0))=0,"",INDEX(Raw_매출!$B$2:$BI$155,MATCH($A118,Raw_매출!$A$2:$A$155,0),MATCH(EDATE($E118,BN$1-1),Raw_매출!$B$1:$BI$1,0))/(INDEX(요약_월별시즈널리티!$F$7:$F$18,MONTH(EDATE($E118,BN$1-1)))/100))),"")</f>
        <v/>
      </c>
    </row>
    <row r="119" spans="1:66" x14ac:dyDescent="0.4">
      <c r="A119" t="str">
        <f>세팅!A120</f>
        <v>(1109) #서강대남문점</v>
      </c>
      <c r="B119" t="str">
        <f>세팅!B120</f>
        <v>150-1</v>
      </c>
      <c r="C119">
        <f t="shared" si="3"/>
        <v>1</v>
      </c>
      <c r="D119" t="str">
        <f t="shared" si="4"/>
        <v>1</v>
      </c>
      <c r="E119" s="1">
        <f>세팅!D120</f>
        <v>45413</v>
      </c>
      <c r="F119">
        <f t="shared" si="5"/>
        <v>5363422.2977434723</v>
      </c>
      <c r="G119" cm="1">
        <f t="array" ref="G119">IFERROR(IF($E119&lt;44348,"",IF(INDEX(Raw_매출!$B$2:$BI$155,MATCH($A119,Raw_매출!$A$2:$A$155,0),MATCH(EDATE($E119,G$1-1),Raw_매출!$B$1:$BI$1,0))=0,"",INDEX(Raw_매출!$B$2:$BI$155,MATCH($A119,Raw_매출!$A$2:$A$155,0),MATCH(EDATE($E119,G$1-1),Raw_매출!$B$1:$BI$1,0))/(INDEX(요약_월별시즈널리티!$F$7:$F$18,MONTH(EDATE($E119,G$1-1)))/100))),"")</f>
        <v>5040754.5954953656</v>
      </c>
      <c r="H119" cm="1">
        <f t="array" ref="H119">IFERROR(IF($E119&lt;44348,"",IF(INDEX(Raw_매출!$B$2:$BI$155,MATCH($A119,Raw_매출!$A$2:$A$155,0),MATCH(EDATE($E119,H$1-1),Raw_매출!$B$1:$BI$1,0))=0,"",INDEX(Raw_매출!$B$2:$BI$155,MATCH($A119,Raw_매출!$A$2:$A$155,0),MATCH(EDATE($E119,H$1-1),Raw_매출!$B$1:$BI$1,0))/(INDEX(요약_월별시즈널리티!$F$7:$F$18,MONTH(EDATE($E119,H$1-1)))/100))),"")</f>
        <v>6353971.7361104144</v>
      </c>
      <c r="I119" cm="1">
        <f t="array" ref="I119">IFERROR(IF($E119&lt;44348,"",IF(INDEX(Raw_매출!$B$2:$BI$155,MATCH($A119,Raw_매출!$A$2:$A$155,0),MATCH(EDATE($E119,I$1-1),Raw_매출!$B$1:$BI$1,0))=0,"",INDEX(Raw_매출!$B$2:$BI$155,MATCH($A119,Raw_매출!$A$2:$A$155,0),MATCH(EDATE($E119,I$1-1),Raw_매출!$B$1:$BI$1,0))/(INDEX(요약_월별시즈널리티!$F$7:$F$18,MONTH(EDATE($E119,I$1-1)))/100))),"")</f>
        <v>8047400.3569528665</v>
      </c>
      <c r="J119" s="30" cm="1">
        <f t="array" ref="J119">IFERROR(IF($E119&lt;44348,"",IF(INDEX(Raw_매출!$B$2:$BI$155,MATCH($A119,Raw_매출!$A$2:$A$155,0),MATCH(EDATE($E119,J$1-1),Raw_매출!$B$1:$BI$1,0))=0,"",INDEX(Raw_매출!$B$2:$BI$155,MATCH($A119,Raw_매출!$A$2:$A$155,0),MATCH(EDATE($E119,J$1-1),Raw_매출!$B$1:$BI$1,0))/(INDEX(요약_월별시즈널리티!$F$7:$F$18,MONTH(EDATE($E119,J$1-1)))/100))),"")</f>
        <v>7664866.7924115146</v>
      </c>
      <c r="K119" s="30" cm="1">
        <f t="array" ref="K119">IFERROR(IF($E119&lt;44348,"",IF(INDEX(Raw_매출!$B$2:$BI$155,MATCH($A119,Raw_매출!$A$2:$A$155,0),MATCH(EDATE($E119,K$1-1),Raw_매출!$B$1:$BI$1,0))=0,"",INDEX(Raw_매출!$B$2:$BI$155,MATCH($A119,Raw_매출!$A$2:$A$155,0),MATCH(EDATE($E119,K$1-1),Raw_매출!$B$1:$BI$1,0))/(INDEX(요약_월별시즈널리티!$F$7:$F$18,MONTH(EDATE($E119,K$1-1)))/100))),"")</f>
        <v>7441873.2763426378</v>
      </c>
      <c r="L119" s="30" cm="1">
        <f t="array" ref="L119">IFERROR(IF($E119&lt;44348,"",IF(INDEX(Raw_매출!$B$2:$BI$155,MATCH($A119,Raw_매출!$A$2:$A$155,0),MATCH(EDATE($E119,L$1-1),Raw_매출!$B$1:$BI$1,0))=0,"",INDEX(Raw_매출!$B$2:$BI$155,MATCH($A119,Raw_매출!$A$2:$A$155,0),MATCH(EDATE($E119,L$1-1),Raw_매출!$B$1:$BI$1,0))/(INDEX(요약_월별시즈널리티!$F$7:$F$18,MONTH(EDATE($E119,L$1-1)))/100))),"")</f>
        <v>6358240.1984456023</v>
      </c>
      <c r="M119" s="30" cm="1">
        <f t="array" ref="M119">IFERROR(IF($E119&lt;44348,"",IF(INDEX(Raw_매출!$B$2:$BI$155,MATCH($A119,Raw_매출!$A$2:$A$155,0),MATCH(EDATE($E119,M$1-1),Raw_매출!$B$1:$BI$1,0))=0,"",INDEX(Raw_매출!$B$2:$BI$155,MATCH($A119,Raw_매출!$A$2:$A$155,0),MATCH(EDATE($E119,M$1-1),Raw_매출!$B$1:$BI$1,0))/(INDEX(요약_월별시즈널리티!$F$7:$F$18,MONTH(EDATE($E119,M$1-1)))/100))),"")</f>
        <v>3280201.2226460306</v>
      </c>
      <c r="N119" s="30" cm="1">
        <f t="array" ref="N119">IFERROR(IF($E119&lt;44348,"",IF(INDEX(Raw_매출!$B$2:$BI$155,MATCH($A119,Raw_매출!$A$2:$A$155,0),MATCH(EDATE($E119,N$1-1),Raw_매출!$B$1:$BI$1,0))=0,"",INDEX(Raw_매출!$B$2:$BI$155,MATCH($A119,Raw_매출!$A$2:$A$155,0),MATCH(EDATE($E119,N$1-1),Raw_매출!$B$1:$BI$1,0))/(INDEX(요약_월별시즈널리티!$F$7:$F$18,MONTH(EDATE($E119,N$1-1)))/100))),"")</f>
        <v>3324589.9305321272</v>
      </c>
      <c r="O119" s="30" cm="1">
        <f t="array" ref="O119">IFERROR(IF($E119&lt;44348,"",IF(INDEX(Raw_매출!$B$2:$BI$155,MATCH($A119,Raw_매출!$A$2:$A$155,0),MATCH(EDATE($E119,O$1-1),Raw_매출!$B$1:$BI$1,0))=0,"",INDEX(Raw_매출!$B$2:$BI$155,MATCH($A119,Raw_매출!$A$2:$A$155,0),MATCH(EDATE($E119,O$1-1),Raw_매출!$B$1:$BI$1,0))/(INDEX(요약_월별시즈널리티!$F$7:$F$18,MONTH(EDATE($E119,O$1-1)))/100))),"")</f>
        <v>4110762.3660829188</v>
      </c>
      <c r="P119" cm="1">
        <f t="array" ref="P119">IFERROR(IF($E119&lt;44348,"",IF(INDEX(Raw_매출!$B$2:$BI$155,MATCH($A119,Raw_매출!$A$2:$A$155,0),MATCH(EDATE($E119,P$1-1),Raw_매출!$B$1:$BI$1,0))=0,"",INDEX(Raw_매출!$B$2:$BI$155,MATCH($A119,Raw_매출!$A$2:$A$155,0),MATCH(EDATE($E119,P$1-1),Raw_매출!$B$1:$BI$1,0))/(INDEX(요약_월별시즈널리티!$F$7:$F$18,MONTH(EDATE($E119,P$1-1)))/100))),"")</f>
        <v>4446267.485162925</v>
      </c>
      <c r="Q119" cm="1">
        <f t="array" ref="Q119">IFERROR(IF($E119&lt;44348,"",IF(INDEX(Raw_매출!$B$2:$BI$155,MATCH($A119,Raw_매출!$A$2:$A$155,0),MATCH(EDATE($E119,Q$1-1),Raw_매출!$B$1:$BI$1,0))=0,"",INDEX(Raw_매출!$B$2:$BI$155,MATCH($A119,Raw_매출!$A$2:$A$155,0),MATCH(EDATE($E119,Q$1-1),Raw_매출!$B$1:$BI$1,0))/(INDEX(요약_월별시즈널리티!$F$7:$F$18,MONTH(EDATE($E119,Q$1-1)))/100))),"")</f>
        <v>5140977.3740212331</v>
      </c>
      <c r="R119" cm="1">
        <f t="array" ref="R119">IFERROR(IF($E119&lt;44348,"",IF(INDEX(Raw_매출!$B$2:$BI$155,MATCH($A119,Raw_매출!$A$2:$A$155,0),MATCH(EDATE($E119,R$1-1),Raw_매출!$B$1:$BI$1,0))=0,"",INDEX(Raw_매출!$B$2:$BI$155,MATCH($A119,Raw_매출!$A$2:$A$155,0),MATCH(EDATE($E119,R$1-1),Raw_매출!$B$1:$BI$1,0))/(INDEX(요약_월별시즈널리티!$F$7:$F$18,MONTH(EDATE($E119,R$1-1)))/100))),"")</f>
        <v>4740190.7082925132</v>
      </c>
      <c r="S119" cm="1">
        <f t="array" ref="S119">IFERROR(IF($E119&lt;44348,"",IF(INDEX(Raw_매출!$B$2:$BI$155,MATCH($A119,Raw_매출!$A$2:$A$155,0),MATCH(EDATE($E119,S$1-1),Raw_매출!$B$1:$BI$1,0))=0,"",INDEX(Raw_매출!$B$2:$BI$155,MATCH($A119,Raw_매출!$A$2:$A$155,0),MATCH(EDATE($E119,S$1-1),Raw_매출!$B$1:$BI$1,0))/(INDEX(요약_월별시즈널리티!$F$7:$F$18,MONTH(EDATE($E119,S$1-1)))/100))),"")</f>
        <v>5075120.2060914524</v>
      </c>
      <c r="T119" cm="1">
        <f t="array" ref="T119">IFERROR(IF($E119&lt;44348,"",IF(INDEX(Raw_매출!$B$2:$BI$155,MATCH($A119,Raw_매출!$A$2:$A$155,0),MATCH(EDATE($E119,T$1-1),Raw_매출!$B$1:$BI$1,0))=0,"",INDEX(Raw_매출!$B$2:$BI$155,MATCH($A119,Raw_매출!$A$2:$A$155,0),MATCH(EDATE($E119,T$1-1),Raw_매출!$B$1:$BI$1,0))/(INDEX(요약_월별시즈널리티!$F$7:$F$18,MONTH(EDATE($E119,T$1-1)))/100))),"")</f>
        <v>4840662.6663279571</v>
      </c>
      <c r="U119" cm="1">
        <f t="array" ref="U119">IFERROR(IF($E119&lt;44348,"",IF(INDEX(Raw_매출!$B$2:$BI$155,MATCH($A119,Raw_매출!$A$2:$A$155,0),MATCH(EDATE($E119,U$1-1),Raw_매출!$B$1:$BI$1,0))=0,"",INDEX(Raw_매출!$B$2:$BI$155,MATCH($A119,Raw_매출!$A$2:$A$155,0),MATCH(EDATE($E119,U$1-1),Raw_매출!$B$1:$BI$1,0))/(INDEX(요약_월별시즈널리티!$F$7:$F$18,MONTH(EDATE($E119,U$1-1)))/100))),"")</f>
        <v>4870716.2659572437</v>
      </c>
      <c r="V119" cm="1">
        <f t="array" ref="V119">IFERROR(IF($E119&lt;44348,"",IF(INDEX(Raw_매출!$B$2:$BI$155,MATCH($A119,Raw_매출!$A$2:$A$155,0),MATCH(EDATE($E119,V$1-1),Raw_매출!$B$1:$BI$1,0))=0,"",INDEX(Raw_매출!$B$2:$BI$155,MATCH($A119,Raw_매출!$A$2:$A$155,0),MATCH(EDATE($E119,V$1-1),Raw_매출!$B$1:$BI$1,0))/(INDEX(요약_월별시즈널리티!$F$7:$F$18,MONTH(EDATE($E119,V$1-1)))/100))),"")</f>
        <v>4729883.586616762</v>
      </c>
      <c r="W119" cm="1">
        <f t="array" ref="W119">IFERROR(IF($E119&lt;44348,"",IF(INDEX(Raw_매출!$B$2:$BI$155,MATCH($A119,Raw_매출!$A$2:$A$155,0),MATCH(EDATE($E119,W$1-1),Raw_매출!$B$1:$BI$1,0))=0,"",INDEX(Raw_매출!$B$2:$BI$155,MATCH($A119,Raw_매출!$A$2:$A$155,0),MATCH(EDATE($E119,W$1-1),Raw_매출!$B$1:$BI$1,0))/(INDEX(요약_월별시즈널리티!$F$7:$F$18,MONTH(EDATE($E119,W$1-1)))/100))),"")</f>
        <v>4629528.7930682721</v>
      </c>
      <c r="X119" cm="1">
        <f t="array" ref="X119">IFERROR(IF($E119&lt;44348,"",IF(INDEX(Raw_매출!$B$2:$BI$155,MATCH($A119,Raw_매출!$A$2:$A$155,0),MATCH(EDATE($E119,X$1-1),Raw_매출!$B$1:$BI$1,0))=0,"",INDEX(Raw_매출!$B$2:$BI$155,MATCH($A119,Raw_매출!$A$2:$A$155,0),MATCH(EDATE($E119,X$1-1),Raw_매출!$B$1:$BI$1,0))/(INDEX(요약_월별시즈널리티!$F$7:$F$18,MONTH(EDATE($E119,X$1-1)))/100))),"")</f>
        <v>4591850.8984670788</v>
      </c>
      <c r="Y119" cm="1">
        <f t="array" ref="Y119">IFERROR(IF($E119&lt;44348,"",IF(INDEX(Raw_매출!$B$2:$BI$155,MATCH($A119,Raw_매출!$A$2:$A$155,0),MATCH(EDATE($E119,Y$1-1),Raw_매출!$B$1:$BI$1,0))=0,"",INDEX(Raw_매출!$B$2:$BI$155,MATCH($A119,Raw_매출!$A$2:$A$155,0),MATCH(EDATE($E119,Y$1-1),Raw_매출!$B$1:$BI$1,0))/(INDEX(요약_월별시즈널리티!$F$7:$F$18,MONTH(EDATE($E119,Y$1-1)))/100))),"")</f>
        <v>5158553.6899256352</v>
      </c>
      <c r="Z119" cm="1">
        <f t="array" ref="Z119">IFERROR(IF($E119&lt;44348,"",IF(INDEX(Raw_매출!$B$2:$BI$155,MATCH($A119,Raw_매출!$A$2:$A$155,0),MATCH(EDATE($E119,Z$1-1),Raw_매출!$B$1:$BI$1,0))=0,"",INDEX(Raw_매출!$B$2:$BI$155,MATCH($A119,Raw_매출!$A$2:$A$155,0),MATCH(EDATE($E119,Z$1-1),Raw_매출!$B$1:$BI$1,0))/(INDEX(요약_월별시즈널리티!$F$7:$F$18,MONTH(EDATE($E119,Z$1-1)))/100))),"")</f>
        <v>4822337.3590368675</v>
      </c>
      <c r="AA119" cm="1">
        <f t="array" ref="AA119">IFERROR(IF($E119&lt;44348,"",IF(INDEX(Raw_매출!$B$2:$BI$155,MATCH($A119,Raw_매출!$A$2:$A$155,0),MATCH(EDATE($E119,AA$1-1),Raw_매출!$B$1:$BI$1,0))=0,"",INDEX(Raw_매출!$B$2:$BI$155,MATCH($A119,Raw_매출!$A$2:$A$155,0),MATCH(EDATE($E119,AA$1-1),Raw_매출!$B$1:$BI$1,0))/(INDEX(요약_월별시즈널리티!$F$7:$F$18,MONTH(EDATE($E119,AA$1-1)))/100))),"")</f>
        <v>5711185.2285523796</v>
      </c>
      <c r="AB119" cm="1">
        <f t="array" ref="AB119">IFERROR(IF($E119&lt;44348,"",IF(INDEX(Raw_매출!$B$2:$BI$155,MATCH($A119,Raw_매출!$A$2:$A$155,0),MATCH(EDATE($E119,AB$1-1),Raw_매출!$B$1:$BI$1,0))=0,"",INDEX(Raw_매출!$B$2:$BI$155,MATCH($A119,Raw_매출!$A$2:$A$155,0),MATCH(EDATE($E119,AB$1-1),Raw_매출!$B$1:$BI$1,0))/(INDEX(요약_월별시즈널리티!$F$7:$F$18,MONTH(EDATE($E119,AB$1-1)))/100))),"")</f>
        <v>5193350.9013231676</v>
      </c>
      <c r="AC119" cm="1">
        <f t="array" ref="AC119">IFERROR(IF($E119&lt;44348,"",IF(INDEX(Raw_매출!$B$2:$BI$155,MATCH($A119,Raw_매출!$A$2:$A$155,0),MATCH(EDATE($E119,AC$1-1),Raw_매출!$B$1:$BI$1,0))=0,"",INDEX(Raw_매출!$B$2:$BI$155,MATCH($A119,Raw_매출!$A$2:$A$155,0),MATCH(EDATE($E119,AC$1-1),Raw_매출!$B$1:$BI$1,0))/(INDEX(요약_월별시즈널리티!$F$7:$F$18,MONTH(EDATE($E119,AC$1-1)))/100))),"")</f>
        <v>4941011.5415844806</v>
      </c>
      <c r="AD119" cm="1">
        <f t="array" ref="AD119">IFERROR(IF($E119&lt;44348,"",IF(INDEX(Raw_매출!$B$2:$BI$155,MATCH($A119,Raw_매출!$A$2:$A$155,0),MATCH(EDATE($E119,AD$1-1),Raw_매출!$B$1:$BI$1,0))=0,"",INDEX(Raw_매출!$B$2:$BI$155,MATCH($A119,Raw_매출!$A$2:$A$155,0),MATCH(EDATE($E119,AD$1-1),Raw_매출!$B$1:$BI$1,0))/(INDEX(요약_월별시즈널리티!$F$7:$F$18,MONTH(EDATE($E119,AD$1-1)))/100))),"")</f>
        <v>5648326.2240921892</v>
      </c>
      <c r="AE119" cm="1">
        <f t="array" ref="AE119">IFERROR(IF($E119&lt;44348,"",IF(INDEX(Raw_매출!$B$2:$BI$155,MATCH($A119,Raw_매출!$A$2:$A$155,0),MATCH(EDATE($E119,AE$1-1),Raw_매출!$B$1:$BI$1,0))=0,"",INDEX(Raw_매출!$B$2:$BI$155,MATCH($A119,Raw_매출!$A$2:$A$155,0),MATCH(EDATE($E119,AE$1-1),Raw_매출!$B$1:$BI$1,0))/(INDEX(요약_월별시즈널리티!$F$7:$F$18,MONTH(EDATE($E119,AE$1-1)))/100))),"")</f>
        <v>5698019.4384175865</v>
      </c>
      <c r="AF119" t="str" cm="1">
        <f t="array" ref="AF119">IFERROR(IF($E119&lt;44348,"",IF(INDEX(Raw_매출!$B$2:$BI$155,MATCH($A119,Raw_매출!$A$2:$A$155,0),MATCH(EDATE($E119,AF$1-1),Raw_매출!$B$1:$BI$1,0))=0,"",INDEX(Raw_매출!$B$2:$BI$155,MATCH($A119,Raw_매출!$A$2:$A$155,0),MATCH(EDATE($E119,AF$1-1),Raw_매출!$B$1:$BI$1,0))/(INDEX(요약_월별시즈널리티!$F$7:$F$18,MONTH(EDATE($E119,AF$1-1)))/100))),"")</f>
        <v/>
      </c>
      <c r="AG119" t="str" cm="1">
        <f t="array" ref="AG119">IFERROR(IF($E119&lt;44348,"",IF(INDEX(Raw_매출!$B$2:$BI$155,MATCH($A119,Raw_매출!$A$2:$A$155,0),MATCH(EDATE($E119,AG$1-1),Raw_매출!$B$1:$BI$1,0))=0,"",INDEX(Raw_매출!$B$2:$BI$155,MATCH($A119,Raw_매출!$A$2:$A$155,0),MATCH(EDATE($E119,AG$1-1),Raw_매출!$B$1:$BI$1,0))/(INDEX(요약_월별시즈널리티!$F$7:$F$18,MONTH(EDATE($E119,AG$1-1)))/100))),"")</f>
        <v/>
      </c>
      <c r="AH119" t="str" cm="1">
        <f t="array" ref="AH119">IFERROR(IF($E119&lt;44348,"",IF(INDEX(Raw_매출!$B$2:$BI$155,MATCH($A119,Raw_매출!$A$2:$A$155,0),MATCH(EDATE($E119,AH$1-1),Raw_매출!$B$1:$BI$1,0))=0,"",INDEX(Raw_매출!$B$2:$BI$155,MATCH($A119,Raw_매출!$A$2:$A$155,0),MATCH(EDATE($E119,AH$1-1),Raw_매출!$B$1:$BI$1,0))/(INDEX(요약_월별시즈널리티!$F$7:$F$18,MONTH(EDATE($E119,AH$1-1)))/100))),"")</f>
        <v/>
      </c>
      <c r="AI119" t="str" cm="1">
        <f t="array" ref="AI119">IFERROR(IF($E119&lt;44348,"",IF(INDEX(Raw_매출!$B$2:$BI$155,MATCH($A119,Raw_매출!$A$2:$A$155,0),MATCH(EDATE($E119,AI$1-1),Raw_매출!$B$1:$BI$1,0))=0,"",INDEX(Raw_매출!$B$2:$BI$155,MATCH($A119,Raw_매출!$A$2:$A$155,0),MATCH(EDATE($E119,AI$1-1),Raw_매출!$B$1:$BI$1,0))/(INDEX(요약_월별시즈널리티!$F$7:$F$18,MONTH(EDATE($E119,AI$1-1)))/100))),"")</f>
        <v/>
      </c>
      <c r="AJ119" t="str" cm="1">
        <f t="array" ref="AJ119">IFERROR(IF($E119&lt;44348,"",IF(INDEX(Raw_매출!$B$2:$BI$155,MATCH($A119,Raw_매출!$A$2:$A$155,0),MATCH(EDATE($E119,AJ$1-1),Raw_매출!$B$1:$BI$1,0))=0,"",INDEX(Raw_매출!$B$2:$BI$155,MATCH($A119,Raw_매출!$A$2:$A$155,0),MATCH(EDATE($E119,AJ$1-1),Raw_매출!$B$1:$BI$1,0))/(INDEX(요약_월별시즈널리티!$F$7:$F$18,MONTH(EDATE($E119,AJ$1-1)))/100))),"")</f>
        <v/>
      </c>
      <c r="AK119" t="str" cm="1">
        <f t="array" ref="AK119">IFERROR(IF($E119&lt;44348,"",IF(INDEX(Raw_매출!$B$2:$BI$155,MATCH($A119,Raw_매출!$A$2:$A$155,0),MATCH(EDATE($E119,AK$1-1),Raw_매출!$B$1:$BI$1,0))=0,"",INDEX(Raw_매출!$B$2:$BI$155,MATCH($A119,Raw_매출!$A$2:$A$155,0),MATCH(EDATE($E119,AK$1-1),Raw_매출!$B$1:$BI$1,0))/(INDEX(요약_월별시즈널리티!$F$7:$F$18,MONTH(EDATE($E119,AK$1-1)))/100))),"")</f>
        <v/>
      </c>
      <c r="AL119" t="str" cm="1">
        <f t="array" ref="AL119">IFERROR(IF($E119&lt;44348,"",IF(INDEX(Raw_매출!$B$2:$BI$155,MATCH($A119,Raw_매출!$A$2:$A$155,0),MATCH(EDATE($E119,AL$1-1),Raw_매출!$B$1:$BI$1,0))=0,"",INDEX(Raw_매출!$B$2:$BI$155,MATCH($A119,Raw_매출!$A$2:$A$155,0),MATCH(EDATE($E119,AL$1-1),Raw_매출!$B$1:$BI$1,0))/(INDEX(요약_월별시즈널리티!$F$7:$F$18,MONTH(EDATE($E119,AL$1-1)))/100))),"")</f>
        <v/>
      </c>
      <c r="AM119" t="str" cm="1">
        <f t="array" ref="AM119">IFERROR(IF($E119&lt;44348,"",IF(INDEX(Raw_매출!$B$2:$BI$155,MATCH($A119,Raw_매출!$A$2:$A$155,0),MATCH(EDATE($E119,AM$1-1),Raw_매출!$B$1:$BI$1,0))=0,"",INDEX(Raw_매출!$B$2:$BI$155,MATCH($A119,Raw_매출!$A$2:$A$155,0),MATCH(EDATE($E119,AM$1-1),Raw_매출!$B$1:$BI$1,0))/(INDEX(요약_월별시즈널리티!$F$7:$F$18,MONTH(EDATE($E119,AM$1-1)))/100))),"")</f>
        <v/>
      </c>
      <c r="AN119" t="str" cm="1">
        <f t="array" ref="AN119">IFERROR(IF($E119&lt;44348,"",IF(INDEX(Raw_매출!$B$2:$BI$155,MATCH($A119,Raw_매출!$A$2:$A$155,0),MATCH(EDATE($E119,AN$1-1),Raw_매출!$B$1:$BI$1,0))=0,"",INDEX(Raw_매출!$B$2:$BI$155,MATCH($A119,Raw_매출!$A$2:$A$155,0),MATCH(EDATE($E119,AN$1-1),Raw_매출!$B$1:$BI$1,0))/(INDEX(요약_월별시즈널리티!$F$7:$F$18,MONTH(EDATE($E119,AN$1-1)))/100))),"")</f>
        <v/>
      </c>
      <c r="AO119" t="str" cm="1">
        <f t="array" ref="AO119">IFERROR(IF($E119&lt;44348,"",IF(INDEX(Raw_매출!$B$2:$BI$155,MATCH($A119,Raw_매출!$A$2:$A$155,0),MATCH(EDATE($E119,AO$1-1),Raw_매출!$B$1:$BI$1,0))=0,"",INDEX(Raw_매출!$B$2:$BI$155,MATCH($A119,Raw_매출!$A$2:$A$155,0),MATCH(EDATE($E119,AO$1-1),Raw_매출!$B$1:$BI$1,0))/(INDEX(요약_월별시즈널리티!$F$7:$F$18,MONTH(EDATE($E119,AO$1-1)))/100))),"")</f>
        <v/>
      </c>
      <c r="AP119" t="str" cm="1">
        <f t="array" ref="AP119">IFERROR(IF($E119&lt;44348,"",IF(INDEX(Raw_매출!$B$2:$BI$155,MATCH($A119,Raw_매출!$A$2:$A$155,0),MATCH(EDATE($E119,AP$1-1),Raw_매출!$B$1:$BI$1,0))=0,"",INDEX(Raw_매출!$B$2:$BI$155,MATCH($A119,Raw_매출!$A$2:$A$155,0),MATCH(EDATE($E119,AP$1-1),Raw_매출!$B$1:$BI$1,0))/(INDEX(요약_월별시즈널리티!$F$7:$F$18,MONTH(EDATE($E119,AP$1-1)))/100))),"")</f>
        <v/>
      </c>
      <c r="AQ119" t="str" cm="1">
        <f t="array" ref="AQ119">IFERROR(IF($E119&lt;44348,"",IF(INDEX(Raw_매출!$B$2:$BI$155,MATCH($A119,Raw_매출!$A$2:$A$155,0),MATCH(EDATE($E119,AQ$1-1),Raw_매출!$B$1:$BI$1,0))=0,"",INDEX(Raw_매출!$B$2:$BI$155,MATCH($A119,Raw_매출!$A$2:$A$155,0),MATCH(EDATE($E119,AQ$1-1),Raw_매출!$B$1:$BI$1,0))/(INDEX(요약_월별시즈널리티!$F$7:$F$18,MONTH(EDATE($E119,AQ$1-1)))/100))),"")</f>
        <v/>
      </c>
      <c r="AR119" t="str" cm="1">
        <f t="array" ref="AR119">IFERROR(IF($E119&lt;44348,"",IF(INDEX(Raw_매출!$B$2:$BI$155,MATCH($A119,Raw_매출!$A$2:$A$155,0),MATCH(EDATE($E119,AR$1-1),Raw_매출!$B$1:$BI$1,0))=0,"",INDEX(Raw_매출!$B$2:$BI$155,MATCH($A119,Raw_매출!$A$2:$A$155,0),MATCH(EDATE($E119,AR$1-1),Raw_매출!$B$1:$BI$1,0))/(INDEX(요약_월별시즈널리티!$F$7:$F$18,MONTH(EDATE($E119,AR$1-1)))/100))),"")</f>
        <v/>
      </c>
      <c r="AS119" t="str" cm="1">
        <f t="array" ref="AS119">IFERROR(IF($E119&lt;44348,"",IF(INDEX(Raw_매출!$B$2:$BI$155,MATCH($A119,Raw_매출!$A$2:$A$155,0),MATCH(EDATE($E119,AS$1-1),Raw_매출!$B$1:$BI$1,0))=0,"",INDEX(Raw_매출!$B$2:$BI$155,MATCH($A119,Raw_매출!$A$2:$A$155,0),MATCH(EDATE($E119,AS$1-1),Raw_매출!$B$1:$BI$1,0))/(INDEX(요약_월별시즈널리티!$F$7:$F$18,MONTH(EDATE($E119,AS$1-1)))/100))),"")</f>
        <v/>
      </c>
      <c r="AT119" t="str" cm="1">
        <f t="array" ref="AT119">IFERROR(IF($E119&lt;44348,"",IF(INDEX(Raw_매출!$B$2:$BI$155,MATCH($A119,Raw_매출!$A$2:$A$155,0),MATCH(EDATE($E119,AT$1-1),Raw_매출!$B$1:$BI$1,0))=0,"",INDEX(Raw_매출!$B$2:$BI$155,MATCH($A119,Raw_매출!$A$2:$A$155,0),MATCH(EDATE($E119,AT$1-1),Raw_매출!$B$1:$BI$1,0))/(INDEX(요약_월별시즈널리티!$F$7:$F$18,MONTH(EDATE($E119,AT$1-1)))/100))),"")</f>
        <v/>
      </c>
      <c r="AU119" t="str" cm="1">
        <f t="array" ref="AU119">IFERROR(IF($E119&lt;44348,"",IF(INDEX(Raw_매출!$B$2:$BI$155,MATCH($A119,Raw_매출!$A$2:$A$155,0),MATCH(EDATE($E119,AU$1-1),Raw_매출!$B$1:$BI$1,0))=0,"",INDEX(Raw_매출!$B$2:$BI$155,MATCH($A119,Raw_매출!$A$2:$A$155,0),MATCH(EDATE($E119,AU$1-1),Raw_매출!$B$1:$BI$1,0))/(INDEX(요약_월별시즈널리티!$F$7:$F$18,MONTH(EDATE($E119,AU$1-1)))/100))),"")</f>
        <v/>
      </c>
      <c r="AV119" t="str" cm="1">
        <f t="array" ref="AV119">IFERROR(IF($E119&lt;44348,"",IF(INDEX(Raw_매출!$B$2:$BI$155,MATCH($A119,Raw_매출!$A$2:$A$155,0),MATCH(EDATE($E119,AV$1-1),Raw_매출!$B$1:$BI$1,0))=0,"",INDEX(Raw_매출!$B$2:$BI$155,MATCH($A119,Raw_매출!$A$2:$A$155,0),MATCH(EDATE($E119,AV$1-1),Raw_매출!$B$1:$BI$1,0))/(INDEX(요약_월별시즈널리티!$F$7:$F$18,MONTH(EDATE($E119,AV$1-1)))/100))),"")</f>
        <v/>
      </c>
      <c r="AW119" t="str" cm="1">
        <f t="array" ref="AW119">IFERROR(IF($E119&lt;44348,"",IF(INDEX(Raw_매출!$B$2:$BI$155,MATCH($A119,Raw_매출!$A$2:$A$155,0),MATCH(EDATE($E119,AW$1-1),Raw_매출!$B$1:$BI$1,0))=0,"",INDEX(Raw_매출!$B$2:$BI$155,MATCH($A119,Raw_매출!$A$2:$A$155,0),MATCH(EDATE($E119,AW$1-1),Raw_매출!$B$1:$BI$1,0))/(INDEX(요약_월별시즈널리티!$F$7:$F$18,MONTH(EDATE($E119,AW$1-1)))/100))),"")</f>
        <v/>
      </c>
      <c r="AX119" t="str" cm="1">
        <f t="array" ref="AX119">IFERROR(IF($E119&lt;44348,"",IF(INDEX(Raw_매출!$B$2:$BI$155,MATCH($A119,Raw_매출!$A$2:$A$155,0),MATCH(EDATE($E119,AX$1-1),Raw_매출!$B$1:$BI$1,0))=0,"",INDEX(Raw_매출!$B$2:$BI$155,MATCH($A119,Raw_매출!$A$2:$A$155,0),MATCH(EDATE($E119,AX$1-1),Raw_매출!$B$1:$BI$1,0))/(INDEX(요약_월별시즈널리티!$F$7:$F$18,MONTH(EDATE($E119,AX$1-1)))/100))),"")</f>
        <v/>
      </c>
      <c r="AY119" t="str" cm="1">
        <f t="array" ref="AY119">IFERROR(IF($E119&lt;44348,"",IF(INDEX(Raw_매출!$B$2:$BI$155,MATCH($A119,Raw_매출!$A$2:$A$155,0),MATCH(EDATE($E119,AY$1-1),Raw_매출!$B$1:$BI$1,0))=0,"",INDEX(Raw_매출!$B$2:$BI$155,MATCH($A119,Raw_매출!$A$2:$A$155,0),MATCH(EDATE($E119,AY$1-1),Raw_매출!$B$1:$BI$1,0))/(INDEX(요약_월별시즈널리티!$F$7:$F$18,MONTH(EDATE($E119,AY$1-1)))/100))),"")</f>
        <v/>
      </c>
      <c r="AZ119" t="str" cm="1">
        <f t="array" ref="AZ119">IFERROR(IF($E119&lt;44348,"",IF(INDEX(Raw_매출!$B$2:$BI$155,MATCH($A119,Raw_매출!$A$2:$A$155,0),MATCH(EDATE($E119,AZ$1-1),Raw_매출!$B$1:$BI$1,0))=0,"",INDEX(Raw_매출!$B$2:$BI$155,MATCH($A119,Raw_매출!$A$2:$A$155,0),MATCH(EDATE($E119,AZ$1-1),Raw_매출!$B$1:$BI$1,0))/(INDEX(요약_월별시즈널리티!$F$7:$F$18,MONTH(EDATE($E119,AZ$1-1)))/100))),"")</f>
        <v/>
      </c>
      <c r="BA119" t="str" cm="1">
        <f t="array" ref="BA119">IFERROR(IF($E119&lt;44348,"",IF(INDEX(Raw_매출!$B$2:$BI$155,MATCH($A119,Raw_매출!$A$2:$A$155,0),MATCH(EDATE($E119,BA$1-1),Raw_매출!$B$1:$BI$1,0))=0,"",INDEX(Raw_매출!$B$2:$BI$155,MATCH($A119,Raw_매출!$A$2:$A$155,0),MATCH(EDATE($E119,BA$1-1),Raw_매출!$B$1:$BI$1,0))/(INDEX(요약_월별시즈널리티!$F$7:$F$18,MONTH(EDATE($E119,BA$1-1)))/100))),"")</f>
        <v/>
      </c>
      <c r="BB119" t="str" cm="1">
        <f t="array" ref="BB119">IFERROR(IF($E119&lt;44348,"",IF(INDEX(Raw_매출!$B$2:$BI$155,MATCH($A119,Raw_매출!$A$2:$A$155,0),MATCH(EDATE($E119,BB$1-1),Raw_매출!$B$1:$BI$1,0))=0,"",INDEX(Raw_매출!$B$2:$BI$155,MATCH($A119,Raw_매출!$A$2:$A$155,0),MATCH(EDATE($E119,BB$1-1),Raw_매출!$B$1:$BI$1,0))/(INDEX(요약_월별시즈널리티!$F$7:$F$18,MONTH(EDATE($E119,BB$1-1)))/100))),"")</f>
        <v/>
      </c>
      <c r="BC119" t="str" cm="1">
        <f t="array" ref="BC119">IFERROR(IF($E119&lt;44348,"",IF(INDEX(Raw_매출!$B$2:$BI$155,MATCH($A119,Raw_매출!$A$2:$A$155,0),MATCH(EDATE($E119,BC$1-1),Raw_매출!$B$1:$BI$1,0))=0,"",INDEX(Raw_매출!$B$2:$BI$155,MATCH($A119,Raw_매출!$A$2:$A$155,0),MATCH(EDATE($E119,BC$1-1),Raw_매출!$B$1:$BI$1,0))/(INDEX(요약_월별시즈널리티!$F$7:$F$18,MONTH(EDATE($E119,BC$1-1)))/100))),"")</f>
        <v/>
      </c>
      <c r="BD119" t="str" cm="1">
        <f t="array" ref="BD119">IFERROR(IF($E119&lt;44348,"",IF(INDEX(Raw_매출!$B$2:$BI$155,MATCH($A119,Raw_매출!$A$2:$A$155,0),MATCH(EDATE($E119,BD$1-1),Raw_매출!$B$1:$BI$1,0))=0,"",INDEX(Raw_매출!$B$2:$BI$155,MATCH($A119,Raw_매출!$A$2:$A$155,0),MATCH(EDATE($E119,BD$1-1),Raw_매출!$B$1:$BI$1,0))/(INDEX(요약_월별시즈널리티!$F$7:$F$18,MONTH(EDATE($E119,BD$1-1)))/100))),"")</f>
        <v/>
      </c>
      <c r="BE119" t="str" cm="1">
        <f t="array" ref="BE119">IFERROR(IF($E119&lt;44348,"",IF(INDEX(Raw_매출!$B$2:$BI$155,MATCH($A119,Raw_매출!$A$2:$A$155,0),MATCH(EDATE($E119,BE$1-1),Raw_매출!$B$1:$BI$1,0))=0,"",INDEX(Raw_매출!$B$2:$BI$155,MATCH($A119,Raw_매출!$A$2:$A$155,0),MATCH(EDATE($E119,BE$1-1),Raw_매출!$B$1:$BI$1,0))/(INDEX(요약_월별시즈널리티!$F$7:$F$18,MONTH(EDATE($E119,BE$1-1)))/100))),"")</f>
        <v/>
      </c>
      <c r="BF119" t="str" cm="1">
        <f t="array" ref="BF119">IFERROR(IF($E119&lt;44348,"",IF(INDEX(Raw_매출!$B$2:$BI$155,MATCH($A119,Raw_매출!$A$2:$A$155,0),MATCH(EDATE($E119,BF$1-1),Raw_매출!$B$1:$BI$1,0))=0,"",INDEX(Raw_매출!$B$2:$BI$155,MATCH($A119,Raw_매출!$A$2:$A$155,0),MATCH(EDATE($E119,BF$1-1),Raw_매출!$B$1:$BI$1,0))/(INDEX(요약_월별시즈널리티!$F$7:$F$18,MONTH(EDATE($E119,BF$1-1)))/100))),"")</f>
        <v/>
      </c>
      <c r="BG119" t="str" cm="1">
        <f t="array" ref="BG119">IFERROR(IF($E119&lt;44348,"",IF(INDEX(Raw_매출!$B$2:$BI$155,MATCH($A119,Raw_매출!$A$2:$A$155,0),MATCH(EDATE($E119,BG$1-1),Raw_매출!$B$1:$BI$1,0))=0,"",INDEX(Raw_매출!$B$2:$BI$155,MATCH($A119,Raw_매출!$A$2:$A$155,0),MATCH(EDATE($E119,BG$1-1),Raw_매출!$B$1:$BI$1,0))/(INDEX(요약_월별시즈널리티!$F$7:$F$18,MONTH(EDATE($E119,BG$1-1)))/100))),"")</f>
        <v/>
      </c>
      <c r="BH119" t="str" cm="1">
        <f t="array" ref="BH119">IFERROR(IF($E119&lt;44348,"",IF(INDEX(Raw_매출!$B$2:$BI$155,MATCH($A119,Raw_매출!$A$2:$A$155,0),MATCH(EDATE($E119,BH$1-1),Raw_매출!$B$1:$BI$1,0))=0,"",INDEX(Raw_매출!$B$2:$BI$155,MATCH($A119,Raw_매출!$A$2:$A$155,0),MATCH(EDATE($E119,BH$1-1),Raw_매출!$B$1:$BI$1,0))/(INDEX(요약_월별시즈널리티!$F$7:$F$18,MONTH(EDATE($E119,BH$1-1)))/100))),"")</f>
        <v/>
      </c>
      <c r="BI119" t="str" cm="1">
        <f t="array" ref="BI119">IFERROR(IF($E119&lt;44348,"",IF(INDEX(Raw_매출!$B$2:$BI$155,MATCH($A119,Raw_매출!$A$2:$A$155,0),MATCH(EDATE($E119,BI$1-1),Raw_매출!$B$1:$BI$1,0))=0,"",INDEX(Raw_매출!$B$2:$BI$155,MATCH($A119,Raw_매출!$A$2:$A$155,0),MATCH(EDATE($E119,BI$1-1),Raw_매출!$B$1:$BI$1,0))/(INDEX(요약_월별시즈널리티!$F$7:$F$18,MONTH(EDATE($E119,BI$1-1)))/100))),"")</f>
        <v/>
      </c>
      <c r="BJ119" t="str" cm="1">
        <f t="array" ref="BJ119">IFERROR(IF($E119&lt;44348,"",IF(INDEX(Raw_매출!$B$2:$BI$155,MATCH($A119,Raw_매출!$A$2:$A$155,0),MATCH(EDATE($E119,BJ$1-1),Raw_매출!$B$1:$BI$1,0))=0,"",INDEX(Raw_매출!$B$2:$BI$155,MATCH($A119,Raw_매출!$A$2:$A$155,0),MATCH(EDATE($E119,BJ$1-1),Raw_매출!$B$1:$BI$1,0))/(INDEX(요약_월별시즈널리티!$F$7:$F$18,MONTH(EDATE($E119,BJ$1-1)))/100))),"")</f>
        <v/>
      </c>
      <c r="BK119" t="str" cm="1">
        <f t="array" ref="BK119">IFERROR(IF($E119&lt;44348,"",IF(INDEX(Raw_매출!$B$2:$BI$155,MATCH($A119,Raw_매출!$A$2:$A$155,0),MATCH(EDATE($E119,BK$1-1),Raw_매출!$B$1:$BI$1,0))=0,"",INDEX(Raw_매출!$B$2:$BI$155,MATCH($A119,Raw_매출!$A$2:$A$155,0),MATCH(EDATE($E119,BK$1-1),Raw_매출!$B$1:$BI$1,0))/(INDEX(요약_월별시즈널리티!$F$7:$F$18,MONTH(EDATE($E119,BK$1-1)))/100))),"")</f>
        <v/>
      </c>
      <c r="BL119" t="str" cm="1">
        <f t="array" ref="BL119">IFERROR(IF($E119&lt;44348,"",IF(INDEX(Raw_매출!$B$2:$BI$155,MATCH($A119,Raw_매출!$A$2:$A$155,0),MATCH(EDATE($E119,BL$1-1),Raw_매출!$B$1:$BI$1,0))=0,"",INDEX(Raw_매출!$B$2:$BI$155,MATCH($A119,Raw_매출!$A$2:$A$155,0),MATCH(EDATE($E119,BL$1-1),Raw_매출!$B$1:$BI$1,0))/(INDEX(요약_월별시즈널리티!$F$7:$F$18,MONTH(EDATE($E119,BL$1-1)))/100))),"")</f>
        <v/>
      </c>
      <c r="BM119" t="str" cm="1">
        <f t="array" ref="BM119">IFERROR(IF($E119&lt;44348,"",IF(INDEX(Raw_매출!$B$2:$BI$155,MATCH($A119,Raw_매출!$A$2:$A$155,0),MATCH(EDATE($E119,BM$1-1),Raw_매출!$B$1:$BI$1,0))=0,"",INDEX(Raw_매출!$B$2:$BI$155,MATCH($A119,Raw_매출!$A$2:$A$155,0),MATCH(EDATE($E119,BM$1-1),Raw_매출!$B$1:$BI$1,0))/(INDEX(요약_월별시즈널리티!$F$7:$F$18,MONTH(EDATE($E119,BM$1-1)))/100))),"")</f>
        <v/>
      </c>
      <c r="BN119" t="str" cm="1">
        <f t="array" ref="BN119">IFERROR(IF($E119&lt;44348,"",IF(INDEX(Raw_매출!$B$2:$BI$155,MATCH($A119,Raw_매출!$A$2:$A$155,0),MATCH(EDATE($E119,BN$1-1),Raw_매출!$B$1:$BI$1,0))=0,"",INDEX(Raw_매출!$B$2:$BI$155,MATCH($A119,Raw_매출!$A$2:$A$155,0),MATCH(EDATE($E119,BN$1-1),Raw_매출!$B$1:$BI$1,0))/(INDEX(요약_월별시즈널리티!$F$7:$F$18,MONTH(EDATE($E119,BN$1-1)))/100))),"")</f>
        <v/>
      </c>
    </row>
    <row r="120" spans="1:66" x14ac:dyDescent="0.4">
      <c r="A120" t="str">
        <f>세팅!A121</f>
        <v>(1110) #서림스마일점</v>
      </c>
      <c r="B120" t="str">
        <f>세팅!B121</f>
        <v>150-2</v>
      </c>
      <c r="C120">
        <f t="shared" si="3"/>
        <v>2</v>
      </c>
      <c r="D120" t="str">
        <f t="shared" si="4"/>
        <v>2</v>
      </c>
      <c r="E120" s="1">
        <f>세팅!D121</f>
        <v>45413</v>
      </c>
      <c r="F120">
        <f t="shared" si="5"/>
        <v>3436041.5201906473</v>
      </c>
      <c r="G120" cm="1">
        <f t="array" ref="G120">IFERROR(IF($E120&lt;44348,"",IF(INDEX(Raw_매출!$B$2:$BI$155,MATCH($A120,Raw_매출!$A$2:$A$155,0),MATCH(EDATE($E120,G$1-1),Raw_매출!$B$1:$BI$1,0))=0,"",INDEX(Raw_매출!$B$2:$BI$155,MATCH($A120,Raw_매출!$A$2:$A$155,0),MATCH(EDATE($E120,G$1-1),Raw_매출!$B$1:$BI$1,0))/(INDEX(요약_월별시즈널리티!$F$7:$F$18,MONTH(EDATE($E120,G$1-1)))/100))),"")</f>
        <v>2910181.6449467316</v>
      </c>
      <c r="H120" cm="1">
        <f t="array" ref="H120">IFERROR(IF($E120&lt;44348,"",IF(INDEX(Raw_매출!$B$2:$BI$155,MATCH($A120,Raw_매출!$A$2:$A$155,0),MATCH(EDATE($E120,H$1-1),Raw_매출!$B$1:$BI$1,0))=0,"",INDEX(Raw_매출!$B$2:$BI$155,MATCH($A120,Raw_매출!$A$2:$A$155,0),MATCH(EDATE($E120,H$1-1),Raw_매출!$B$1:$BI$1,0))/(INDEX(요약_월별시즈널리티!$F$7:$F$18,MONTH(EDATE($E120,H$1-1)))/100))),"")</f>
        <v>3391010.9384310427</v>
      </c>
      <c r="I120" cm="1">
        <f t="array" ref="I120">IFERROR(IF($E120&lt;44348,"",IF(INDEX(Raw_매출!$B$2:$BI$155,MATCH($A120,Raw_매출!$A$2:$A$155,0),MATCH(EDATE($E120,I$1-1),Raw_매출!$B$1:$BI$1,0))=0,"",INDEX(Raw_매출!$B$2:$BI$155,MATCH($A120,Raw_매출!$A$2:$A$155,0),MATCH(EDATE($E120,I$1-1),Raw_매출!$B$1:$BI$1,0))/(INDEX(요약_월별시즈널리티!$F$7:$F$18,MONTH(EDATE($E120,I$1-1)))/100))),"")</f>
        <v>3410055.4628645075</v>
      </c>
      <c r="J120" s="30" cm="1">
        <f t="array" ref="J120">IFERROR(IF($E120&lt;44348,"",IF(INDEX(Raw_매출!$B$2:$BI$155,MATCH($A120,Raw_매출!$A$2:$A$155,0),MATCH(EDATE($E120,J$1-1),Raw_매출!$B$1:$BI$1,0))=0,"",INDEX(Raw_매출!$B$2:$BI$155,MATCH($A120,Raw_매출!$A$2:$A$155,0),MATCH(EDATE($E120,J$1-1),Raw_매출!$B$1:$BI$1,0))/(INDEX(요약_월별시즈널리티!$F$7:$F$18,MONTH(EDATE($E120,J$1-1)))/100))),"")</f>
        <v>3192849.2832946046</v>
      </c>
      <c r="K120" s="30" cm="1">
        <f t="array" ref="K120">IFERROR(IF($E120&lt;44348,"",IF(INDEX(Raw_매출!$B$2:$BI$155,MATCH($A120,Raw_매출!$A$2:$A$155,0),MATCH(EDATE($E120,K$1-1),Raw_매출!$B$1:$BI$1,0))=0,"",INDEX(Raw_매출!$B$2:$BI$155,MATCH($A120,Raw_매출!$A$2:$A$155,0),MATCH(EDATE($E120,K$1-1),Raw_매출!$B$1:$BI$1,0))/(INDEX(요약_월별시즈널리티!$F$7:$F$18,MONTH(EDATE($E120,K$1-1)))/100))),"")</f>
        <v>3535281.0727326702</v>
      </c>
      <c r="L120" s="30" cm="1">
        <f t="array" ref="L120">IFERROR(IF($E120&lt;44348,"",IF(INDEX(Raw_매출!$B$2:$BI$155,MATCH($A120,Raw_매출!$A$2:$A$155,0),MATCH(EDATE($E120,L$1-1),Raw_매출!$B$1:$BI$1,0))=0,"",INDEX(Raw_매출!$B$2:$BI$155,MATCH($A120,Raw_매출!$A$2:$A$155,0),MATCH(EDATE($E120,L$1-1),Raw_매출!$B$1:$BI$1,0))/(INDEX(요약_월별시즈널리티!$F$7:$F$18,MONTH(EDATE($E120,L$1-1)))/100))),"")</f>
        <v>2829069.0345788216</v>
      </c>
      <c r="M120" s="30" cm="1">
        <f t="array" ref="M120">IFERROR(IF($E120&lt;44348,"",IF(INDEX(Raw_매출!$B$2:$BI$155,MATCH($A120,Raw_매출!$A$2:$A$155,0),MATCH(EDATE($E120,M$1-1),Raw_매출!$B$1:$BI$1,0))=0,"",INDEX(Raw_매출!$B$2:$BI$155,MATCH($A120,Raw_매출!$A$2:$A$155,0),MATCH(EDATE($E120,M$1-1),Raw_매출!$B$1:$BI$1,0))/(INDEX(요약_월별시즈널리티!$F$7:$F$18,MONTH(EDATE($E120,M$1-1)))/100))),"")</f>
        <v>3444926.8557706228</v>
      </c>
      <c r="N120" s="30" cm="1">
        <f t="array" ref="N120">IFERROR(IF($E120&lt;44348,"",IF(INDEX(Raw_매출!$B$2:$BI$155,MATCH($A120,Raw_매출!$A$2:$A$155,0),MATCH(EDATE($E120,N$1-1),Raw_매출!$B$1:$BI$1,0))=0,"",INDEX(Raw_매출!$B$2:$BI$155,MATCH($A120,Raw_매출!$A$2:$A$155,0),MATCH(EDATE($E120,N$1-1),Raw_매출!$B$1:$BI$1,0))/(INDEX(요약_월별시즈널리티!$F$7:$F$18,MONTH(EDATE($E120,N$1-1)))/100))),"")</f>
        <v>3577116.1567422049</v>
      </c>
      <c r="O120" s="30" cm="1">
        <f t="array" ref="O120">IFERROR(IF($E120&lt;44348,"",IF(INDEX(Raw_매출!$B$2:$BI$155,MATCH($A120,Raw_매출!$A$2:$A$155,0),MATCH(EDATE($E120,O$1-1),Raw_매출!$B$1:$BI$1,0))=0,"",INDEX(Raw_매출!$B$2:$BI$155,MATCH($A120,Raw_매출!$A$2:$A$155,0),MATCH(EDATE($E120,O$1-1),Raw_매출!$B$1:$BI$1,0))/(INDEX(요약_월별시즈널리티!$F$7:$F$18,MONTH(EDATE($E120,O$1-1)))/100))),"")</f>
        <v>4037006.7180249593</v>
      </c>
      <c r="P120" cm="1">
        <f t="array" ref="P120">IFERROR(IF($E120&lt;44348,"",IF(INDEX(Raw_매출!$B$2:$BI$155,MATCH($A120,Raw_매출!$A$2:$A$155,0),MATCH(EDATE($E120,P$1-1),Raw_매출!$B$1:$BI$1,0))=0,"",INDEX(Raw_매출!$B$2:$BI$155,MATCH($A120,Raw_매출!$A$2:$A$155,0),MATCH(EDATE($E120,P$1-1),Raw_매출!$B$1:$BI$1,0))/(INDEX(요약_월별시즈널리티!$F$7:$F$18,MONTH(EDATE($E120,P$1-1)))/100))),"")</f>
        <v>3655749.5384871573</v>
      </c>
      <c r="Q120" cm="1">
        <f t="array" ref="Q120">IFERROR(IF($E120&lt;44348,"",IF(INDEX(Raw_매출!$B$2:$BI$155,MATCH($A120,Raw_매출!$A$2:$A$155,0),MATCH(EDATE($E120,Q$1-1),Raw_매출!$B$1:$BI$1,0))=0,"",INDEX(Raw_매출!$B$2:$BI$155,MATCH($A120,Raw_매출!$A$2:$A$155,0),MATCH(EDATE($E120,Q$1-1),Raw_매출!$B$1:$BI$1,0))/(INDEX(요약_월별시즈널리티!$F$7:$F$18,MONTH(EDATE($E120,Q$1-1)))/100))),"")</f>
        <v>3951874.8038720177</v>
      </c>
      <c r="R120" cm="1">
        <f t="array" ref="R120">IFERROR(IF($E120&lt;44348,"",IF(INDEX(Raw_매출!$B$2:$BI$155,MATCH($A120,Raw_매출!$A$2:$A$155,0),MATCH(EDATE($E120,R$1-1),Raw_매출!$B$1:$BI$1,0))=0,"",INDEX(Raw_매출!$B$2:$BI$155,MATCH($A120,Raw_매출!$A$2:$A$155,0),MATCH(EDATE($E120,R$1-1),Raw_매출!$B$1:$BI$1,0))/(INDEX(요약_월별시즈널리티!$F$7:$F$18,MONTH(EDATE($E120,R$1-1)))/100))),"")</f>
        <v>3889910.1657878626</v>
      </c>
      <c r="S120" cm="1">
        <f t="array" ref="S120">IFERROR(IF($E120&lt;44348,"",IF(INDEX(Raw_매출!$B$2:$BI$155,MATCH($A120,Raw_매출!$A$2:$A$155,0),MATCH(EDATE($E120,S$1-1),Raw_매출!$B$1:$BI$1,0))=0,"",INDEX(Raw_매출!$B$2:$BI$155,MATCH($A120,Raw_매출!$A$2:$A$155,0),MATCH(EDATE($E120,S$1-1),Raw_매출!$B$1:$BI$1,0))/(INDEX(요약_월별시즈널리티!$F$7:$F$18,MONTH(EDATE($E120,S$1-1)))/100))),"")</f>
        <v>3983184.0112496647</v>
      </c>
      <c r="T120" cm="1">
        <f t="array" ref="T120">IFERROR(IF($E120&lt;44348,"",IF(INDEX(Raw_매출!$B$2:$BI$155,MATCH($A120,Raw_매출!$A$2:$A$155,0),MATCH(EDATE($E120,T$1-1),Raw_매출!$B$1:$BI$1,0))=0,"",INDEX(Raw_매출!$B$2:$BI$155,MATCH($A120,Raw_매출!$A$2:$A$155,0),MATCH(EDATE($E120,T$1-1),Raw_매출!$B$1:$BI$1,0))/(INDEX(요약_월별시즈널리티!$F$7:$F$18,MONTH(EDATE($E120,T$1-1)))/100))),"")</f>
        <v>4177373.2057764209</v>
      </c>
      <c r="U120" cm="1">
        <f t="array" ref="U120">IFERROR(IF($E120&lt;44348,"",IF(INDEX(Raw_매출!$B$2:$BI$155,MATCH($A120,Raw_매출!$A$2:$A$155,0),MATCH(EDATE($E120,U$1-1),Raw_매출!$B$1:$BI$1,0))=0,"",INDEX(Raw_매출!$B$2:$BI$155,MATCH($A120,Raw_매출!$A$2:$A$155,0),MATCH(EDATE($E120,U$1-1),Raw_매출!$B$1:$BI$1,0))/(INDEX(요약_월별시즈널리티!$F$7:$F$18,MONTH(EDATE($E120,U$1-1)))/100))),"")</f>
        <v>3995848.2715345309</v>
      </c>
      <c r="V120" cm="1">
        <f t="array" ref="V120">IFERROR(IF($E120&lt;44348,"",IF(INDEX(Raw_매출!$B$2:$BI$155,MATCH($A120,Raw_매출!$A$2:$A$155,0),MATCH(EDATE($E120,V$1-1),Raw_매출!$B$1:$BI$1,0))=0,"",INDEX(Raw_매출!$B$2:$BI$155,MATCH($A120,Raw_매출!$A$2:$A$155,0),MATCH(EDATE($E120,V$1-1),Raw_매출!$B$1:$BI$1,0))/(INDEX(요약_월별시즈널리티!$F$7:$F$18,MONTH(EDATE($E120,V$1-1)))/100))),"")</f>
        <v>4325337.4358472526</v>
      </c>
      <c r="W120" cm="1">
        <f t="array" ref="W120">IFERROR(IF($E120&lt;44348,"",IF(INDEX(Raw_매출!$B$2:$BI$155,MATCH($A120,Raw_매출!$A$2:$A$155,0),MATCH(EDATE($E120,W$1-1),Raw_매출!$B$1:$BI$1,0))=0,"",INDEX(Raw_매출!$B$2:$BI$155,MATCH($A120,Raw_매출!$A$2:$A$155,0),MATCH(EDATE($E120,W$1-1),Raw_매출!$B$1:$BI$1,0))/(INDEX(요약_월별시즈널리티!$F$7:$F$18,MONTH(EDATE($E120,W$1-1)))/100))),"")</f>
        <v>4057685.481386866</v>
      </c>
      <c r="X120" cm="1">
        <f t="array" ref="X120">IFERROR(IF($E120&lt;44348,"",IF(INDEX(Raw_매출!$B$2:$BI$155,MATCH($A120,Raw_매출!$A$2:$A$155,0),MATCH(EDATE($E120,X$1-1),Raw_매출!$B$1:$BI$1,0))=0,"",INDEX(Raw_매출!$B$2:$BI$155,MATCH($A120,Raw_매출!$A$2:$A$155,0),MATCH(EDATE($E120,X$1-1),Raw_매출!$B$1:$BI$1,0))/(INDEX(요약_월별시즈널리티!$F$7:$F$18,MONTH(EDATE($E120,X$1-1)))/100))),"")</f>
        <v>4341986.2063923441</v>
      </c>
      <c r="Y120" cm="1">
        <f t="array" ref="Y120">IFERROR(IF($E120&lt;44348,"",IF(INDEX(Raw_매출!$B$2:$BI$155,MATCH($A120,Raw_매출!$A$2:$A$155,0),MATCH(EDATE($E120,Y$1-1),Raw_매출!$B$1:$BI$1,0))=0,"",INDEX(Raw_매출!$B$2:$BI$155,MATCH($A120,Raw_매출!$A$2:$A$155,0),MATCH(EDATE($E120,Y$1-1),Raw_매출!$B$1:$BI$1,0))/(INDEX(요약_월별시즈널리티!$F$7:$F$18,MONTH(EDATE($E120,Y$1-1)))/100))),"")</f>
        <v>4655204.0220600814</v>
      </c>
      <c r="Z120" cm="1">
        <f t="array" ref="Z120">IFERROR(IF($E120&lt;44348,"",IF(INDEX(Raw_매출!$B$2:$BI$155,MATCH($A120,Raw_매출!$A$2:$A$155,0),MATCH(EDATE($E120,Z$1-1),Raw_매출!$B$1:$BI$1,0))=0,"",INDEX(Raw_매출!$B$2:$BI$155,MATCH($A120,Raw_매출!$A$2:$A$155,0),MATCH(EDATE($E120,Z$1-1),Raw_매출!$B$1:$BI$1,0))/(INDEX(요약_월별시즈널리티!$F$7:$F$18,MONTH(EDATE($E120,Z$1-1)))/100))),"")</f>
        <v>4475338.8012462435</v>
      </c>
      <c r="AA120" cm="1">
        <f t="array" ref="AA120">IFERROR(IF($E120&lt;44348,"",IF(INDEX(Raw_매출!$B$2:$BI$155,MATCH($A120,Raw_매출!$A$2:$A$155,0),MATCH(EDATE($E120,AA$1-1),Raw_매출!$B$1:$BI$1,0))=0,"",INDEX(Raw_매출!$B$2:$BI$155,MATCH($A120,Raw_매출!$A$2:$A$155,0),MATCH(EDATE($E120,AA$1-1),Raw_매출!$B$1:$BI$1,0))/(INDEX(요약_월별시즈널리티!$F$7:$F$18,MONTH(EDATE($E120,AA$1-1)))/100))),"")</f>
        <v>4898368.1067983601</v>
      </c>
      <c r="AB120" cm="1">
        <f t="array" ref="AB120">IFERROR(IF($E120&lt;44348,"",IF(INDEX(Raw_매출!$B$2:$BI$155,MATCH($A120,Raw_매출!$A$2:$A$155,0),MATCH(EDATE($E120,AB$1-1),Raw_매출!$B$1:$BI$1,0))=0,"",INDEX(Raw_매출!$B$2:$BI$155,MATCH($A120,Raw_매출!$A$2:$A$155,0),MATCH(EDATE($E120,AB$1-1),Raw_매출!$B$1:$BI$1,0))/(INDEX(요약_월별시즈널리티!$F$7:$F$18,MONTH(EDATE($E120,AB$1-1)))/100))),"")</f>
        <v>5268082.9711721968</v>
      </c>
      <c r="AC120" cm="1">
        <f t="array" ref="AC120">IFERROR(IF($E120&lt;44348,"",IF(INDEX(Raw_매출!$B$2:$BI$155,MATCH($A120,Raw_매출!$A$2:$A$155,0),MATCH(EDATE($E120,AC$1-1),Raw_매출!$B$1:$BI$1,0))=0,"",INDEX(Raw_매출!$B$2:$BI$155,MATCH($A120,Raw_매출!$A$2:$A$155,0),MATCH(EDATE($E120,AC$1-1),Raw_매출!$B$1:$BI$1,0))/(INDEX(요약_월별시즈널리티!$F$7:$F$18,MONTH(EDATE($E120,AC$1-1)))/100))),"")</f>
        <v>4764303.533310513</v>
      </c>
      <c r="AD120" cm="1">
        <f t="array" ref="AD120">IFERROR(IF($E120&lt;44348,"",IF(INDEX(Raw_매출!$B$2:$BI$155,MATCH($A120,Raw_매출!$A$2:$A$155,0),MATCH(EDATE($E120,AD$1-1),Raw_매출!$B$1:$BI$1,0))=0,"",INDEX(Raw_매출!$B$2:$BI$155,MATCH($A120,Raw_매출!$A$2:$A$155,0),MATCH(EDATE($E120,AD$1-1),Raw_매출!$B$1:$BI$1,0))/(INDEX(요약_월별시즈널리티!$F$7:$F$18,MONTH(EDATE($E120,AD$1-1)))/100))),"")</f>
        <v>4832491.3078158507</v>
      </c>
      <c r="AE120" cm="1">
        <f t="array" ref="AE120">IFERROR(IF($E120&lt;44348,"",IF(INDEX(Raw_매출!$B$2:$BI$155,MATCH($A120,Raw_매출!$A$2:$A$155,0),MATCH(EDATE($E120,AE$1-1),Raw_매출!$B$1:$BI$1,0))=0,"",INDEX(Raw_매출!$B$2:$BI$155,MATCH($A120,Raw_매출!$A$2:$A$155,0),MATCH(EDATE($E120,AE$1-1),Raw_매출!$B$1:$BI$1,0))/(INDEX(요약_월별시즈널리티!$F$7:$F$18,MONTH(EDATE($E120,AE$1-1)))/100))),"")</f>
        <v>5427839.874084699</v>
      </c>
      <c r="AF120" t="str" cm="1">
        <f t="array" ref="AF120">IFERROR(IF($E120&lt;44348,"",IF(INDEX(Raw_매출!$B$2:$BI$155,MATCH($A120,Raw_매출!$A$2:$A$155,0),MATCH(EDATE($E120,AF$1-1),Raw_매출!$B$1:$BI$1,0))=0,"",INDEX(Raw_매출!$B$2:$BI$155,MATCH($A120,Raw_매출!$A$2:$A$155,0),MATCH(EDATE($E120,AF$1-1),Raw_매출!$B$1:$BI$1,0))/(INDEX(요약_월별시즈널리티!$F$7:$F$18,MONTH(EDATE($E120,AF$1-1)))/100))),"")</f>
        <v/>
      </c>
      <c r="AG120" t="str" cm="1">
        <f t="array" ref="AG120">IFERROR(IF($E120&lt;44348,"",IF(INDEX(Raw_매출!$B$2:$BI$155,MATCH($A120,Raw_매출!$A$2:$A$155,0),MATCH(EDATE($E120,AG$1-1),Raw_매출!$B$1:$BI$1,0))=0,"",INDEX(Raw_매출!$B$2:$BI$155,MATCH($A120,Raw_매출!$A$2:$A$155,0),MATCH(EDATE($E120,AG$1-1),Raw_매출!$B$1:$BI$1,0))/(INDEX(요약_월별시즈널리티!$F$7:$F$18,MONTH(EDATE($E120,AG$1-1)))/100))),"")</f>
        <v/>
      </c>
      <c r="AH120" t="str" cm="1">
        <f t="array" ref="AH120">IFERROR(IF($E120&lt;44348,"",IF(INDEX(Raw_매출!$B$2:$BI$155,MATCH($A120,Raw_매출!$A$2:$A$155,0),MATCH(EDATE($E120,AH$1-1),Raw_매출!$B$1:$BI$1,0))=0,"",INDEX(Raw_매출!$B$2:$BI$155,MATCH($A120,Raw_매출!$A$2:$A$155,0),MATCH(EDATE($E120,AH$1-1),Raw_매출!$B$1:$BI$1,0))/(INDEX(요약_월별시즈널리티!$F$7:$F$18,MONTH(EDATE($E120,AH$1-1)))/100))),"")</f>
        <v/>
      </c>
      <c r="AI120" t="str" cm="1">
        <f t="array" ref="AI120">IFERROR(IF($E120&lt;44348,"",IF(INDEX(Raw_매출!$B$2:$BI$155,MATCH($A120,Raw_매출!$A$2:$A$155,0),MATCH(EDATE($E120,AI$1-1),Raw_매출!$B$1:$BI$1,0))=0,"",INDEX(Raw_매출!$B$2:$BI$155,MATCH($A120,Raw_매출!$A$2:$A$155,0),MATCH(EDATE($E120,AI$1-1),Raw_매출!$B$1:$BI$1,0))/(INDEX(요약_월별시즈널리티!$F$7:$F$18,MONTH(EDATE($E120,AI$1-1)))/100))),"")</f>
        <v/>
      </c>
      <c r="AJ120" t="str" cm="1">
        <f t="array" ref="AJ120">IFERROR(IF($E120&lt;44348,"",IF(INDEX(Raw_매출!$B$2:$BI$155,MATCH($A120,Raw_매출!$A$2:$A$155,0),MATCH(EDATE($E120,AJ$1-1),Raw_매출!$B$1:$BI$1,0))=0,"",INDEX(Raw_매출!$B$2:$BI$155,MATCH($A120,Raw_매출!$A$2:$A$155,0),MATCH(EDATE($E120,AJ$1-1),Raw_매출!$B$1:$BI$1,0))/(INDEX(요약_월별시즈널리티!$F$7:$F$18,MONTH(EDATE($E120,AJ$1-1)))/100))),"")</f>
        <v/>
      </c>
      <c r="AK120" t="str" cm="1">
        <f t="array" ref="AK120">IFERROR(IF($E120&lt;44348,"",IF(INDEX(Raw_매출!$B$2:$BI$155,MATCH($A120,Raw_매출!$A$2:$A$155,0),MATCH(EDATE($E120,AK$1-1),Raw_매출!$B$1:$BI$1,0))=0,"",INDEX(Raw_매출!$B$2:$BI$155,MATCH($A120,Raw_매출!$A$2:$A$155,0),MATCH(EDATE($E120,AK$1-1),Raw_매출!$B$1:$BI$1,0))/(INDEX(요약_월별시즈널리티!$F$7:$F$18,MONTH(EDATE($E120,AK$1-1)))/100))),"")</f>
        <v/>
      </c>
      <c r="AL120" t="str" cm="1">
        <f t="array" ref="AL120">IFERROR(IF($E120&lt;44348,"",IF(INDEX(Raw_매출!$B$2:$BI$155,MATCH($A120,Raw_매출!$A$2:$A$155,0),MATCH(EDATE($E120,AL$1-1),Raw_매출!$B$1:$BI$1,0))=0,"",INDEX(Raw_매출!$B$2:$BI$155,MATCH($A120,Raw_매출!$A$2:$A$155,0),MATCH(EDATE($E120,AL$1-1),Raw_매출!$B$1:$BI$1,0))/(INDEX(요약_월별시즈널리티!$F$7:$F$18,MONTH(EDATE($E120,AL$1-1)))/100))),"")</f>
        <v/>
      </c>
      <c r="AM120" t="str" cm="1">
        <f t="array" ref="AM120">IFERROR(IF($E120&lt;44348,"",IF(INDEX(Raw_매출!$B$2:$BI$155,MATCH($A120,Raw_매출!$A$2:$A$155,0),MATCH(EDATE($E120,AM$1-1),Raw_매출!$B$1:$BI$1,0))=0,"",INDEX(Raw_매출!$B$2:$BI$155,MATCH($A120,Raw_매출!$A$2:$A$155,0),MATCH(EDATE($E120,AM$1-1),Raw_매출!$B$1:$BI$1,0))/(INDEX(요약_월별시즈널리티!$F$7:$F$18,MONTH(EDATE($E120,AM$1-1)))/100))),"")</f>
        <v/>
      </c>
      <c r="AN120" t="str" cm="1">
        <f t="array" ref="AN120">IFERROR(IF($E120&lt;44348,"",IF(INDEX(Raw_매출!$B$2:$BI$155,MATCH($A120,Raw_매출!$A$2:$A$155,0),MATCH(EDATE($E120,AN$1-1),Raw_매출!$B$1:$BI$1,0))=0,"",INDEX(Raw_매출!$B$2:$BI$155,MATCH($A120,Raw_매출!$A$2:$A$155,0),MATCH(EDATE($E120,AN$1-1),Raw_매출!$B$1:$BI$1,0))/(INDEX(요약_월별시즈널리티!$F$7:$F$18,MONTH(EDATE($E120,AN$1-1)))/100))),"")</f>
        <v/>
      </c>
      <c r="AO120" t="str" cm="1">
        <f t="array" ref="AO120">IFERROR(IF($E120&lt;44348,"",IF(INDEX(Raw_매출!$B$2:$BI$155,MATCH($A120,Raw_매출!$A$2:$A$155,0),MATCH(EDATE($E120,AO$1-1),Raw_매출!$B$1:$BI$1,0))=0,"",INDEX(Raw_매출!$B$2:$BI$155,MATCH($A120,Raw_매출!$A$2:$A$155,0),MATCH(EDATE($E120,AO$1-1),Raw_매출!$B$1:$BI$1,0))/(INDEX(요약_월별시즈널리티!$F$7:$F$18,MONTH(EDATE($E120,AO$1-1)))/100))),"")</f>
        <v/>
      </c>
      <c r="AP120" t="str" cm="1">
        <f t="array" ref="AP120">IFERROR(IF($E120&lt;44348,"",IF(INDEX(Raw_매출!$B$2:$BI$155,MATCH($A120,Raw_매출!$A$2:$A$155,0),MATCH(EDATE($E120,AP$1-1),Raw_매출!$B$1:$BI$1,0))=0,"",INDEX(Raw_매출!$B$2:$BI$155,MATCH($A120,Raw_매출!$A$2:$A$155,0),MATCH(EDATE($E120,AP$1-1),Raw_매출!$B$1:$BI$1,0))/(INDEX(요약_월별시즈널리티!$F$7:$F$18,MONTH(EDATE($E120,AP$1-1)))/100))),"")</f>
        <v/>
      </c>
      <c r="AQ120" t="str" cm="1">
        <f t="array" ref="AQ120">IFERROR(IF($E120&lt;44348,"",IF(INDEX(Raw_매출!$B$2:$BI$155,MATCH($A120,Raw_매출!$A$2:$A$155,0),MATCH(EDATE($E120,AQ$1-1),Raw_매출!$B$1:$BI$1,0))=0,"",INDEX(Raw_매출!$B$2:$BI$155,MATCH($A120,Raw_매출!$A$2:$A$155,0),MATCH(EDATE($E120,AQ$1-1),Raw_매출!$B$1:$BI$1,0))/(INDEX(요약_월별시즈널리티!$F$7:$F$18,MONTH(EDATE($E120,AQ$1-1)))/100))),"")</f>
        <v/>
      </c>
      <c r="AR120" t="str" cm="1">
        <f t="array" ref="AR120">IFERROR(IF($E120&lt;44348,"",IF(INDEX(Raw_매출!$B$2:$BI$155,MATCH($A120,Raw_매출!$A$2:$A$155,0),MATCH(EDATE($E120,AR$1-1),Raw_매출!$B$1:$BI$1,0))=0,"",INDEX(Raw_매출!$B$2:$BI$155,MATCH($A120,Raw_매출!$A$2:$A$155,0),MATCH(EDATE($E120,AR$1-1),Raw_매출!$B$1:$BI$1,0))/(INDEX(요약_월별시즈널리티!$F$7:$F$18,MONTH(EDATE($E120,AR$1-1)))/100))),"")</f>
        <v/>
      </c>
      <c r="AS120" t="str" cm="1">
        <f t="array" ref="AS120">IFERROR(IF($E120&lt;44348,"",IF(INDEX(Raw_매출!$B$2:$BI$155,MATCH($A120,Raw_매출!$A$2:$A$155,0),MATCH(EDATE($E120,AS$1-1),Raw_매출!$B$1:$BI$1,0))=0,"",INDEX(Raw_매출!$B$2:$BI$155,MATCH($A120,Raw_매출!$A$2:$A$155,0),MATCH(EDATE($E120,AS$1-1),Raw_매출!$B$1:$BI$1,0))/(INDEX(요약_월별시즈널리티!$F$7:$F$18,MONTH(EDATE($E120,AS$1-1)))/100))),"")</f>
        <v/>
      </c>
      <c r="AT120" t="str" cm="1">
        <f t="array" ref="AT120">IFERROR(IF($E120&lt;44348,"",IF(INDEX(Raw_매출!$B$2:$BI$155,MATCH($A120,Raw_매출!$A$2:$A$155,0),MATCH(EDATE($E120,AT$1-1),Raw_매출!$B$1:$BI$1,0))=0,"",INDEX(Raw_매출!$B$2:$BI$155,MATCH($A120,Raw_매출!$A$2:$A$155,0),MATCH(EDATE($E120,AT$1-1),Raw_매출!$B$1:$BI$1,0))/(INDEX(요약_월별시즈널리티!$F$7:$F$18,MONTH(EDATE($E120,AT$1-1)))/100))),"")</f>
        <v/>
      </c>
      <c r="AU120" t="str" cm="1">
        <f t="array" ref="AU120">IFERROR(IF($E120&lt;44348,"",IF(INDEX(Raw_매출!$B$2:$BI$155,MATCH($A120,Raw_매출!$A$2:$A$155,0),MATCH(EDATE($E120,AU$1-1),Raw_매출!$B$1:$BI$1,0))=0,"",INDEX(Raw_매출!$B$2:$BI$155,MATCH($A120,Raw_매출!$A$2:$A$155,0),MATCH(EDATE($E120,AU$1-1),Raw_매출!$B$1:$BI$1,0))/(INDEX(요약_월별시즈널리티!$F$7:$F$18,MONTH(EDATE($E120,AU$1-1)))/100))),"")</f>
        <v/>
      </c>
      <c r="AV120" t="str" cm="1">
        <f t="array" ref="AV120">IFERROR(IF($E120&lt;44348,"",IF(INDEX(Raw_매출!$B$2:$BI$155,MATCH($A120,Raw_매출!$A$2:$A$155,0),MATCH(EDATE($E120,AV$1-1),Raw_매출!$B$1:$BI$1,0))=0,"",INDEX(Raw_매출!$B$2:$BI$155,MATCH($A120,Raw_매출!$A$2:$A$155,0),MATCH(EDATE($E120,AV$1-1),Raw_매출!$B$1:$BI$1,0))/(INDEX(요약_월별시즈널리티!$F$7:$F$18,MONTH(EDATE($E120,AV$1-1)))/100))),"")</f>
        <v/>
      </c>
      <c r="AW120" t="str" cm="1">
        <f t="array" ref="AW120">IFERROR(IF($E120&lt;44348,"",IF(INDEX(Raw_매출!$B$2:$BI$155,MATCH($A120,Raw_매출!$A$2:$A$155,0),MATCH(EDATE($E120,AW$1-1),Raw_매출!$B$1:$BI$1,0))=0,"",INDEX(Raw_매출!$B$2:$BI$155,MATCH($A120,Raw_매출!$A$2:$A$155,0),MATCH(EDATE($E120,AW$1-1),Raw_매출!$B$1:$BI$1,0))/(INDEX(요약_월별시즈널리티!$F$7:$F$18,MONTH(EDATE($E120,AW$1-1)))/100))),"")</f>
        <v/>
      </c>
      <c r="AX120" t="str" cm="1">
        <f t="array" ref="AX120">IFERROR(IF($E120&lt;44348,"",IF(INDEX(Raw_매출!$B$2:$BI$155,MATCH($A120,Raw_매출!$A$2:$A$155,0),MATCH(EDATE($E120,AX$1-1),Raw_매출!$B$1:$BI$1,0))=0,"",INDEX(Raw_매출!$B$2:$BI$155,MATCH($A120,Raw_매출!$A$2:$A$155,0),MATCH(EDATE($E120,AX$1-1),Raw_매출!$B$1:$BI$1,0))/(INDEX(요약_월별시즈널리티!$F$7:$F$18,MONTH(EDATE($E120,AX$1-1)))/100))),"")</f>
        <v/>
      </c>
      <c r="AY120" t="str" cm="1">
        <f t="array" ref="AY120">IFERROR(IF($E120&lt;44348,"",IF(INDEX(Raw_매출!$B$2:$BI$155,MATCH($A120,Raw_매출!$A$2:$A$155,0),MATCH(EDATE($E120,AY$1-1),Raw_매출!$B$1:$BI$1,0))=0,"",INDEX(Raw_매출!$B$2:$BI$155,MATCH($A120,Raw_매출!$A$2:$A$155,0),MATCH(EDATE($E120,AY$1-1),Raw_매출!$B$1:$BI$1,0))/(INDEX(요약_월별시즈널리티!$F$7:$F$18,MONTH(EDATE($E120,AY$1-1)))/100))),"")</f>
        <v/>
      </c>
      <c r="AZ120" t="str" cm="1">
        <f t="array" ref="AZ120">IFERROR(IF($E120&lt;44348,"",IF(INDEX(Raw_매출!$B$2:$BI$155,MATCH($A120,Raw_매출!$A$2:$A$155,0),MATCH(EDATE($E120,AZ$1-1),Raw_매출!$B$1:$BI$1,0))=0,"",INDEX(Raw_매출!$B$2:$BI$155,MATCH($A120,Raw_매출!$A$2:$A$155,0),MATCH(EDATE($E120,AZ$1-1),Raw_매출!$B$1:$BI$1,0))/(INDEX(요약_월별시즈널리티!$F$7:$F$18,MONTH(EDATE($E120,AZ$1-1)))/100))),"")</f>
        <v/>
      </c>
      <c r="BA120" t="str" cm="1">
        <f t="array" ref="BA120">IFERROR(IF($E120&lt;44348,"",IF(INDEX(Raw_매출!$B$2:$BI$155,MATCH($A120,Raw_매출!$A$2:$A$155,0),MATCH(EDATE($E120,BA$1-1),Raw_매출!$B$1:$BI$1,0))=0,"",INDEX(Raw_매출!$B$2:$BI$155,MATCH($A120,Raw_매출!$A$2:$A$155,0),MATCH(EDATE($E120,BA$1-1),Raw_매출!$B$1:$BI$1,0))/(INDEX(요약_월별시즈널리티!$F$7:$F$18,MONTH(EDATE($E120,BA$1-1)))/100))),"")</f>
        <v/>
      </c>
      <c r="BB120" t="str" cm="1">
        <f t="array" ref="BB120">IFERROR(IF($E120&lt;44348,"",IF(INDEX(Raw_매출!$B$2:$BI$155,MATCH($A120,Raw_매출!$A$2:$A$155,0),MATCH(EDATE($E120,BB$1-1),Raw_매출!$B$1:$BI$1,0))=0,"",INDEX(Raw_매출!$B$2:$BI$155,MATCH($A120,Raw_매출!$A$2:$A$155,0),MATCH(EDATE($E120,BB$1-1),Raw_매출!$B$1:$BI$1,0))/(INDEX(요약_월별시즈널리티!$F$7:$F$18,MONTH(EDATE($E120,BB$1-1)))/100))),"")</f>
        <v/>
      </c>
      <c r="BC120" t="str" cm="1">
        <f t="array" ref="BC120">IFERROR(IF($E120&lt;44348,"",IF(INDEX(Raw_매출!$B$2:$BI$155,MATCH($A120,Raw_매출!$A$2:$A$155,0),MATCH(EDATE($E120,BC$1-1),Raw_매출!$B$1:$BI$1,0))=0,"",INDEX(Raw_매출!$B$2:$BI$155,MATCH($A120,Raw_매출!$A$2:$A$155,0),MATCH(EDATE($E120,BC$1-1),Raw_매출!$B$1:$BI$1,0))/(INDEX(요약_월별시즈널리티!$F$7:$F$18,MONTH(EDATE($E120,BC$1-1)))/100))),"")</f>
        <v/>
      </c>
      <c r="BD120" t="str" cm="1">
        <f t="array" ref="BD120">IFERROR(IF($E120&lt;44348,"",IF(INDEX(Raw_매출!$B$2:$BI$155,MATCH($A120,Raw_매출!$A$2:$A$155,0),MATCH(EDATE($E120,BD$1-1),Raw_매출!$B$1:$BI$1,0))=0,"",INDEX(Raw_매출!$B$2:$BI$155,MATCH($A120,Raw_매출!$A$2:$A$155,0),MATCH(EDATE($E120,BD$1-1),Raw_매출!$B$1:$BI$1,0))/(INDEX(요약_월별시즈널리티!$F$7:$F$18,MONTH(EDATE($E120,BD$1-1)))/100))),"")</f>
        <v/>
      </c>
      <c r="BE120" t="str" cm="1">
        <f t="array" ref="BE120">IFERROR(IF($E120&lt;44348,"",IF(INDEX(Raw_매출!$B$2:$BI$155,MATCH($A120,Raw_매출!$A$2:$A$155,0),MATCH(EDATE($E120,BE$1-1),Raw_매출!$B$1:$BI$1,0))=0,"",INDEX(Raw_매출!$B$2:$BI$155,MATCH($A120,Raw_매출!$A$2:$A$155,0),MATCH(EDATE($E120,BE$1-1),Raw_매출!$B$1:$BI$1,0))/(INDEX(요약_월별시즈널리티!$F$7:$F$18,MONTH(EDATE($E120,BE$1-1)))/100))),"")</f>
        <v/>
      </c>
      <c r="BF120" t="str" cm="1">
        <f t="array" ref="BF120">IFERROR(IF($E120&lt;44348,"",IF(INDEX(Raw_매출!$B$2:$BI$155,MATCH($A120,Raw_매출!$A$2:$A$155,0),MATCH(EDATE($E120,BF$1-1),Raw_매출!$B$1:$BI$1,0))=0,"",INDEX(Raw_매출!$B$2:$BI$155,MATCH($A120,Raw_매출!$A$2:$A$155,0),MATCH(EDATE($E120,BF$1-1),Raw_매출!$B$1:$BI$1,0))/(INDEX(요약_월별시즈널리티!$F$7:$F$18,MONTH(EDATE($E120,BF$1-1)))/100))),"")</f>
        <v/>
      </c>
      <c r="BG120" t="str" cm="1">
        <f t="array" ref="BG120">IFERROR(IF($E120&lt;44348,"",IF(INDEX(Raw_매출!$B$2:$BI$155,MATCH($A120,Raw_매출!$A$2:$A$155,0),MATCH(EDATE($E120,BG$1-1),Raw_매출!$B$1:$BI$1,0))=0,"",INDEX(Raw_매출!$B$2:$BI$155,MATCH($A120,Raw_매출!$A$2:$A$155,0),MATCH(EDATE($E120,BG$1-1),Raw_매출!$B$1:$BI$1,0))/(INDEX(요약_월별시즈널리티!$F$7:$F$18,MONTH(EDATE($E120,BG$1-1)))/100))),"")</f>
        <v/>
      </c>
      <c r="BH120" t="str" cm="1">
        <f t="array" ref="BH120">IFERROR(IF($E120&lt;44348,"",IF(INDEX(Raw_매출!$B$2:$BI$155,MATCH($A120,Raw_매출!$A$2:$A$155,0),MATCH(EDATE($E120,BH$1-1),Raw_매출!$B$1:$BI$1,0))=0,"",INDEX(Raw_매출!$B$2:$BI$155,MATCH($A120,Raw_매출!$A$2:$A$155,0),MATCH(EDATE($E120,BH$1-1),Raw_매출!$B$1:$BI$1,0))/(INDEX(요약_월별시즈널리티!$F$7:$F$18,MONTH(EDATE($E120,BH$1-1)))/100))),"")</f>
        <v/>
      </c>
      <c r="BI120" t="str" cm="1">
        <f t="array" ref="BI120">IFERROR(IF($E120&lt;44348,"",IF(INDEX(Raw_매출!$B$2:$BI$155,MATCH($A120,Raw_매출!$A$2:$A$155,0),MATCH(EDATE($E120,BI$1-1),Raw_매출!$B$1:$BI$1,0))=0,"",INDEX(Raw_매출!$B$2:$BI$155,MATCH($A120,Raw_매출!$A$2:$A$155,0),MATCH(EDATE($E120,BI$1-1),Raw_매출!$B$1:$BI$1,0))/(INDEX(요약_월별시즈널리티!$F$7:$F$18,MONTH(EDATE($E120,BI$1-1)))/100))),"")</f>
        <v/>
      </c>
      <c r="BJ120" t="str" cm="1">
        <f t="array" ref="BJ120">IFERROR(IF($E120&lt;44348,"",IF(INDEX(Raw_매출!$B$2:$BI$155,MATCH($A120,Raw_매출!$A$2:$A$155,0),MATCH(EDATE($E120,BJ$1-1),Raw_매출!$B$1:$BI$1,0))=0,"",INDEX(Raw_매출!$B$2:$BI$155,MATCH($A120,Raw_매출!$A$2:$A$155,0),MATCH(EDATE($E120,BJ$1-1),Raw_매출!$B$1:$BI$1,0))/(INDEX(요약_월별시즈널리티!$F$7:$F$18,MONTH(EDATE($E120,BJ$1-1)))/100))),"")</f>
        <v/>
      </c>
      <c r="BK120" t="str" cm="1">
        <f t="array" ref="BK120">IFERROR(IF($E120&lt;44348,"",IF(INDEX(Raw_매출!$B$2:$BI$155,MATCH($A120,Raw_매출!$A$2:$A$155,0),MATCH(EDATE($E120,BK$1-1),Raw_매출!$B$1:$BI$1,0))=0,"",INDEX(Raw_매출!$B$2:$BI$155,MATCH($A120,Raw_매출!$A$2:$A$155,0),MATCH(EDATE($E120,BK$1-1),Raw_매출!$B$1:$BI$1,0))/(INDEX(요약_월별시즈널리티!$F$7:$F$18,MONTH(EDATE($E120,BK$1-1)))/100))),"")</f>
        <v/>
      </c>
      <c r="BL120" t="str" cm="1">
        <f t="array" ref="BL120">IFERROR(IF($E120&lt;44348,"",IF(INDEX(Raw_매출!$B$2:$BI$155,MATCH($A120,Raw_매출!$A$2:$A$155,0),MATCH(EDATE($E120,BL$1-1),Raw_매출!$B$1:$BI$1,0))=0,"",INDEX(Raw_매출!$B$2:$BI$155,MATCH($A120,Raw_매출!$A$2:$A$155,0),MATCH(EDATE($E120,BL$1-1),Raw_매출!$B$1:$BI$1,0))/(INDEX(요약_월별시즈널리티!$F$7:$F$18,MONTH(EDATE($E120,BL$1-1)))/100))),"")</f>
        <v/>
      </c>
      <c r="BM120" t="str" cm="1">
        <f t="array" ref="BM120">IFERROR(IF($E120&lt;44348,"",IF(INDEX(Raw_매출!$B$2:$BI$155,MATCH($A120,Raw_매출!$A$2:$A$155,0),MATCH(EDATE($E120,BM$1-1),Raw_매출!$B$1:$BI$1,0))=0,"",INDEX(Raw_매출!$B$2:$BI$155,MATCH($A120,Raw_매출!$A$2:$A$155,0),MATCH(EDATE($E120,BM$1-1),Raw_매출!$B$1:$BI$1,0))/(INDEX(요약_월별시즈널리티!$F$7:$F$18,MONTH(EDATE($E120,BM$1-1)))/100))),"")</f>
        <v/>
      </c>
      <c r="BN120" t="str" cm="1">
        <f t="array" ref="BN120">IFERROR(IF($E120&lt;44348,"",IF(INDEX(Raw_매출!$B$2:$BI$155,MATCH($A120,Raw_매출!$A$2:$A$155,0),MATCH(EDATE($E120,BN$1-1),Raw_매출!$B$1:$BI$1,0))=0,"",INDEX(Raw_매출!$B$2:$BI$155,MATCH($A120,Raw_매출!$A$2:$A$155,0),MATCH(EDATE($E120,BN$1-1),Raw_매출!$B$1:$BI$1,0))/(INDEX(요약_월별시즈널리티!$F$7:$F$18,MONTH(EDATE($E120,BN$1-1)))/100))),"")</f>
        <v/>
      </c>
    </row>
    <row r="121" spans="1:66" x14ac:dyDescent="0.4">
      <c r="A121" t="str">
        <f>세팅!A122</f>
        <v>(1111) #성신후문점</v>
      </c>
      <c r="B121" t="str">
        <f>세팅!B122</f>
        <v>150-3</v>
      </c>
      <c r="C121">
        <f t="shared" si="3"/>
        <v>3</v>
      </c>
      <c r="D121" t="str">
        <f t="shared" si="4"/>
        <v>3+</v>
      </c>
      <c r="E121" s="1">
        <f>세팅!D122</f>
        <v>45444</v>
      </c>
      <c r="F121">
        <f t="shared" si="5"/>
        <v>3466871.9304752559</v>
      </c>
      <c r="G121" cm="1">
        <f t="array" ref="G121">IFERROR(IF($E121&lt;44348,"",IF(INDEX(Raw_매출!$B$2:$BI$155,MATCH($A121,Raw_매출!$A$2:$A$155,0),MATCH(EDATE($E121,G$1-1),Raw_매출!$B$1:$BI$1,0))=0,"",INDEX(Raw_매출!$B$2:$BI$155,MATCH($A121,Raw_매출!$A$2:$A$155,0),MATCH(EDATE($E121,G$1-1),Raw_매출!$B$1:$BI$1,0))/(INDEX(요약_월별시즈널리티!$F$7:$F$18,MONTH(EDATE($E121,G$1-1)))/100))),"")</f>
        <v>2759691.2204189976</v>
      </c>
      <c r="H121" cm="1">
        <f t="array" ref="H121">IFERROR(IF($E121&lt;44348,"",IF(INDEX(Raw_매출!$B$2:$BI$155,MATCH($A121,Raw_매출!$A$2:$A$155,0),MATCH(EDATE($E121,H$1-1),Raw_매출!$B$1:$BI$1,0))=0,"",INDEX(Raw_매출!$B$2:$BI$155,MATCH($A121,Raw_매출!$A$2:$A$155,0),MATCH(EDATE($E121,H$1-1),Raw_매출!$B$1:$BI$1,0))/(INDEX(요약_월별시즈널리티!$F$7:$F$18,MONTH(EDATE($E121,H$1-1)))/100))),"")</f>
        <v>3051997.7286544428</v>
      </c>
      <c r="I121" cm="1">
        <f t="array" ref="I121">IFERROR(IF($E121&lt;44348,"",IF(INDEX(Raw_매출!$B$2:$BI$155,MATCH($A121,Raw_매출!$A$2:$A$155,0),MATCH(EDATE($E121,I$1-1),Raw_매출!$B$1:$BI$1,0))=0,"",INDEX(Raw_매출!$B$2:$BI$155,MATCH($A121,Raw_매출!$A$2:$A$155,0),MATCH(EDATE($E121,I$1-1),Raw_매출!$B$1:$BI$1,0))/(INDEX(요약_월별시즈널리티!$F$7:$F$18,MONTH(EDATE($E121,I$1-1)))/100))),"")</f>
        <v>3146056.3016095017</v>
      </c>
      <c r="J121" s="30" cm="1">
        <f t="array" ref="J121">IFERROR(IF($E121&lt;44348,"",IF(INDEX(Raw_매출!$B$2:$BI$155,MATCH($A121,Raw_매출!$A$2:$A$155,0),MATCH(EDATE($E121,J$1-1),Raw_매출!$B$1:$BI$1,0))=0,"",INDEX(Raw_매출!$B$2:$BI$155,MATCH($A121,Raw_매출!$A$2:$A$155,0),MATCH(EDATE($E121,J$1-1),Raw_매출!$B$1:$BI$1,0))/(INDEX(요약_월별시즈널리티!$F$7:$F$18,MONTH(EDATE($E121,J$1-1)))/100))),"")</f>
        <v>3189438.4676572699</v>
      </c>
      <c r="K121" s="30" cm="1">
        <f t="array" ref="K121">IFERROR(IF($E121&lt;44348,"",IF(INDEX(Raw_매출!$B$2:$BI$155,MATCH($A121,Raw_매출!$A$2:$A$155,0),MATCH(EDATE($E121,K$1-1),Raw_매출!$B$1:$BI$1,0))=0,"",INDEX(Raw_매출!$B$2:$BI$155,MATCH($A121,Raw_매출!$A$2:$A$155,0),MATCH(EDATE($E121,K$1-1),Raw_매출!$B$1:$BI$1,0))/(INDEX(요약_월별시즈널리티!$F$7:$F$18,MONTH(EDATE($E121,K$1-1)))/100))),"")</f>
        <v>2930293.5182531793</v>
      </c>
      <c r="L121" s="30" cm="1">
        <f t="array" ref="L121">IFERROR(IF($E121&lt;44348,"",IF(INDEX(Raw_매출!$B$2:$BI$155,MATCH($A121,Raw_매출!$A$2:$A$155,0),MATCH(EDATE($E121,L$1-1),Raw_매출!$B$1:$BI$1,0))=0,"",INDEX(Raw_매출!$B$2:$BI$155,MATCH($A121,Raw_매출!$A$2:$A$155,0),MATCH(EDATE($E121,L$1-1),Raw_매출!$B$1:$BI$1,0))/(INDEX(요약_월별시즈널리티!$F$7:$F$18,MONTH(EDATE($E121,L$1-1)))/100))),"")</f>
        <v>2983915.9978650226</v>
      </c>
      <c r="M121" s="30" cm="1">
        <f t="array" ref="M121">IFERROR(IF($E121&lt;44348,"",IF(INDEX(Raw_매출!$B$2:$BI$155,MATCH($A121,Raw_매출!$A$2:$A$155,0),MATCH(EDATE($E121,M$1-1),Raw_매출!$B$1:$BI$1,0))=0,"",INDEX(Raw_매출!$B$2:$BI$155,MATCH($A121,Raw_매출!$A$2:$A$155,0),MATCH(EDATE($E121,M$1-1),Raw_매출!$B$1:$BI$1,0))/(INDEX(요약_월별시즈널리티!$F$7:$F$18,MONTH(EDATE($E121,M$1-1)))/100))),"")</f>
        <v>3661746.4107548948</v>
      </c>
      <c r="N121" s="30" cm="1">
        <f t="array" ref="N121">IFERROR(IF($E121&lt;44348,"",IF(INDEX(Raw_매출!$B$2:$BI$155,MATCH($A121,Raw_매출!$A$2:$A$155,0),MATCH(EDATE($E121,N$1-1),Raw_매출!$B$1:$BI$1,0))=0,"",INDEX(Raw_매출!$B$2:$BI$155,MATCH($A121,Raw_매출!$A$2:$A$155,0),MATCH(EDATE($E121,N$1-1),Raw_매출!$B$1:$BI$1,0))/(INDEX(요약_월별시즈널리티!$F$7:$F$18,MONTH(EDATE($E121,N$1-1)))/100))),"")</f>
        <v>4143268.0203283019</v>
      </c>
      <c r="O121" s="30" cm="1">
        <f t="array" ref="O121">IFERROR(IF($E121&lt;44348,"",IF(INDEX(Raw_매출!$B$2:$BI$155,MATCH($A121,Raw_매출!$A$2:$A$155,0),MATCH(EDATE($E121,O$1-1),Raw_매출!$B$1:$BI$1,0))=0,"",INDEX(Raw_매출!$B$2:$BI$155,MATCH($A121,Raw_매출!$A$2:$A$155,0),MATCH(EDATE($E121,O$1-1),Raw_매출!$B$1:$BI$1,0))/(INDEX(요약_월별시즈널리티!$F$7:$F$18,MONTH(EDATE($E121,O$1-1)))/100))),"")</f>
        <v>3892569.1679928675</v>
      </c>
      <c r="P121" cm="1">
        <f t="array" ref="P121">IFERROR(IF($E121&lt;44348,"",IF(INDEX(Raw_매출!$B$2:$BI$155,MATCH($A121,Raw_매출!$A$2:$A$155,0),MATCH(EDATE($E121,P$1-1),Raw_매출!$B$1:$BI$1,0))=0,"",INDEX(Raw_매출!$B$2:$BI$155,MATCH($A121,Raw_매출!$A$2:$A$155,0),MATCH(EDATE($E121,P$1-1),Raw_매출!$B$1:$BI$1,0))/(INDEX(요약_월별시즈널리티!$F$7:$F$18,MONTH(EDATE($E121,P$1-1)))/100))),"")</f>
        <v>3785756.3093429636</v>
      </c>
      <c r="Q121" cm="1">
        <f t="array" ref="Q121">IFERROR(IF($E121&lt;44348,"",IF(INDEX(Raw_매출!$B$2:$BI$155,MATCH($A121,Raw_매출!$A$2:$A$155,0),MATCH(EDATE($E121,Q$1-1),Raw_매출!$B$1:$BI$1,0))=0,"",INDEX(Raw_매출!$B$2:$BI$155,MATCH($A121,Raw_매출!$A$2:$A$155,0),MATCH(EDATE($E121,Q$1-1),Raw_매출!$B$1:$BI$1,0))/(INDEX(요약_월별시즈널리티!$F$7:$F$18,MONTH(EDATE($E121,Q$1-1)))/100))),"")</f>
        <v>3921671.8518257011</v>
      </c>
      <c r="R121" cm="1">
        <f t="array" ref="R121">IFERROR(IF($E121&lt;44348,"",IF(INDEX(Raw_매출!$B$2:$BI$155,MATCH($A121,Raw_매출!$A$2:$A$155,0),MATCH(EDATE($E121,R$1-1),Raw_매출!$B$1:$BI$1,0))=0,"",INDEX(Raw_매출!$B$2:$BI$155,MATCH($A121,Raw_매출!$A$2:$A$155,0),MATCH(EDATE($E121,R$1-1),Raw_매출!$B$1:$BI$1,0))/(INDEX(요약_월별시즈널리티!$F$7:$F$18,MONTH(EDATE($E121,R$1-1)))/100))),"")</f>
        <v>4168308.4520912166</v>
      </c>
      <c r="S121" cm="1">
        <f t="array" ref="S121">IFERROR(IF($E121&lt;44348,"",IF(INDEX(Raw_매출!$B$2:$BI$155,MATCH($A121,Raw_매출!$A$2:$A$155,0),MATCH(EDATE($E121,S$1-1),Raw_매출!$B$1:$BI$1,0))=0,"",INDEX(Raw_매출!$B$2:$BI$155,MATCH($A121,Raw_매출!$A$2:$A$155,0),MATCH(EDATE($E121,S$1-1),Raw_매출!$B$1:$BI$1,0))/(INDEX(요약_월별시즈널리티!$F$7:$F$18,MONTH(EDATE($E121,S$1-1)))/100))),"")</f>
        <v>4197668.0575528601</v>
      </c>
      <c r="T121" cm="1">
        <f t="array" ref="T121">IFERROR(IF($E121&lt;44348,"",IF(INDEX(Raw_매출!$B$2:$BI$155,MATCH($A121,Raw_매출!$A$2:$A$155,0),MATCH(EDATE($E121,T$1-1),Raw_매출!$B$1:$BI$1,0))=0,"",INDEX(Raw_매출!$B$2:$BI$155,MATCH($A121,Raw_매출!$A$2:$A$155,0),MATCH(EDATE($E121,T$1-1),Raw_매출!$B$1:$BI$1,0))/(INDEX(요약_월별시즈널리티!$F$7:$F$18,MONTH(EDATE($E121,T$1-1)))/100))),"")</f>
        <v>4044683.4450166109</v>
      </c>
      <c r="U121" cm="1">
        <f t="array" ref="U121">IFERROR(IF($E121&lt;44348,"",IF(INDEX(Raw_매출!$B$2:$BI$155,MATCH($A121,Raw_매출!$A$2:$A$155,0),MATCH(EDATE($E121,U$1-1),Raw_매출!$B$1:$BI$1,0))=0,"",INDEX(Raw_매출!$B$2:$BI$155,MATCH($A121,Raw_매출!$A$2:$A$155,0),MATCH(EDATE($E121,U$1-1),Raw_매출!$B$1:$BI$1,0))/(INDEX(요약_월별시즈널리티!$F$7:$F$18,MONTH(EDATE($E121,U$1-1)))/100))),"")</f>
        <v>4397109.5401114812</v>
      </c>
      <c r="V121" cm="1">
        <f t="array" ref="V121">IFERROR(IF($E121&lt;44348,"",IF(INDEX(Raw_매출!$B$2:$BI$155,MATCH($A121,Raw_매출!$A$2:$A$155,0),MATCH(EDATE($E121,V$1-1),Raw_매출!$B$1:$BI$1,0))=0,"",INDEX(Raw_매출!$B$2:$BI$155,MATCH($A121,Raw_매출!$A$2:$A$155,0),MATCH(EDATE($E121,V$1-1),Raw_매출!$B$1:$BI$1,0))/(INDEX(요약_월별시즈널리티!$F$7:$F$18,MONTH(EDATE($E121,V$1-1)))/100))),"")</f>
        <v>4123643.9693851895</v>
      </c>
      <c r="W121" cm="1">
        <f t="array" ref="W121">IFERROR(IF($E121&lt;44348,"",IF(INDEX(Raw_매출!$B$2:$BI$155,MATCH($A121,Raw_매출!$A$2:$A$155,0),MATCH(EDATE($E121,W$1-1),Raw_매출!$B$1:$BI$1,0))=0,"",INDEX(Raw_매출!$B$2:$BI$155,MATCH($A121,Raw_매출!$A$2:$A$155,0),MATCH(EDATE($E121,W$1-1),Raw_매출!$B$1:$BI$1,0))/(INDEX(요약_월별시즈널리티!$F$7:$F$18,MONTH(EDATE($E121,W$1-1)))/100))),"")</f>
        <v>5137698.3684611768</v>
      </c>
      <c r="X121" cm="1">
        <f t="array" ref="X121">IFERROR(IF($E121&lt;44348,"",IF(INDEX(Raw_매출!$B$2:$BI$155,MATCH($A121,Raw_매출!$A$2:$A$155,0),MATCH(EDATE($E121,X$1-1),Raw_매출!$B$1:$BI$1,0))=0,"",INDEX(Raw_매출!$B$2:$BI$155,MATCH($A121,Raw_매출!$A$2:$A$155,0),MATCH(EDATE($E121,X$1-1),Raw_매출!$B$1:$BI$1,0))/(INDEX(요약_월별시즈널리티!$F$7:$F$18,MONTH(EDATE($E121,X$1-1)))/100))),"")</f>
        <v>4792728.3144844491</v>
      </c>
      <c r="Y121" cm="1">
        <f t="array" ref="Y121">IFERROR(IF($E121&lt;44348,"",IF(INDEX(Raw_매출!$B$2:$BI$155,MATCH($A121,Raw_매출!$A$2:$A$155,0),MATCH(EDATE($E121,Y$1-1),Raw_매출!$B$1:$BI$1,0))=0,"",INDEX(Raw_매출!$B$2:$BI$155,MATCH($A121,Raw_매출!$A$2:$A$155,0),MATCH(EDATE($E121,Y$1-1),Raw_매출!$B$1:$BI$1,0))/(INDEX(요약_월별시즈널리티!$F$7:$F$18,MONTH(EDATE($E121,Y$1-1)))/100))),"")</f>
        <v>4452238.4677610183</v>
      </c>
      <c r="Z121" cm="1">
        <f t="array" ref="Z121">IFERROR(IF($E121&lt;44348,"",IF(INDEX(Raw_매출!$B$2:$BI$155,MATCH($A121,Raw_매출!$A$2:$A$155,0),MATCH(EDATE($E121,Z$1-1),Raw_매출!$B$1:$BI$1,0))=0,"",INDEX(Raw_매출!$B$2:$BI$155,MATCH($A121,Raw_매출!$A$2:$A$155,0),MATCH(EDATE($E121,Z$1-1),Raw_매출!$B$1:$BI$1,0))/(INDEX(요약_월별시즈널리티!$F$7:$F$18,MONTH(EDATE($E121,Z$1-1)))/100))),"")</f>
        <v>4867543.2112888824</v>
      </c>
      <c r="AA121" cm="1">
        <f t="array" ref="AA121">IFERROR(IF($E121&lt;44348,"",IF(INDEX(Raw_매출!$B$2:$BI$155,MATCH($A121,Raw_매출!$A$2:$A$155,0),MATCH(EDATE($E121,AA$1-1),Raw_매출!$B$1:$BI$1,0))=0,"",INDEX(Raw_매출!$B$2:$BI$155,MATCH($A121,Raw_매출!$A$2:$A$155,0),MATCH(EDATE($E121,AA$1-1),Raw_매출!$B$1:$BI$1,0))/(INDEX(요약_월별시즈널리티!$F$7:$F$18,MONTH(EDATE($E121,AA$1-1)))/100))),"")</f>
        <v>4919716.918310307</v>
      </c>
      <c r="AB121" cm="1">
        <f t="array" ref="AB121">IFERROR(IF($E121&lt;44348,"",IF(INDEX(Raw_매출!$B$2:$BI$155,MATCH($A121,Raw_매출!$A$2:$A$155,0),MATCH(EDATE($E121,AB$1-1),Raw_매출!$B$1:$BI$1,0))=0,"",INDEX(Raw_매출!$B$2:$BI$155,MATCH($A121,Raw_매출!$A$2:$A$155,0),MATCH(EDATE($E121,AB$1-1),Raw_매출!$B$1:$BI$1,0))/(INDEX(요약_월별시즈널리티!$F$7:$F$18,MONTH(EDATE($E121,AB$1-1)))/100))),"")</f>
        <v>4598936.2870840617</v>
      </c>
      <c r="AC121" cm="1">
        <f t="array" ref="AC121">IFERROR(IF($E121&lt;44348,"",IF(INDEX(Raw_매출!$B$2:$BI$155,MATCH($A121,Raw_매출!$A$2:$A$155,0),MATCH(EDATE($E121,AC$1-1),Raw_매출!$B$1:$BI$1,0))=0,"",INDEX(Raw_매출!$B$2:$BI$155,MATCH($A121,Raw_매출!$A$2:$A$155,0),MATCH(EDATE($E121,AC$1-1),Raw_매출!$B$1:$BI$1,0))/(INDEX(요약_월별시즈널리티!$F$7:$F$18,MONTH(EDATE($E121,AC$1-1)))/100))),"")</f>
        <v>5049631.3956582248</v>
      </c>
      <c r="AD121" cm="1">
        <f t="array" ref="AD121">IFERROR(IF($E121&lt;44348,"",IF(INDEX(Raw_매출!$B$2:$BI$155,MATCH($A121,Raw_매출!$A$2:$A$155,0),MATCH(EDATE($E121,AD$1-1),Raw_매출!$B$1:$BI$1,0))=0,"",INDEX(Raw_매출!$B$2:$BI$155,MATCH($A121,Raw_매출!$A$2:$A$155,0),MATCH(EDATE($E121,AD$1-1),Raw_매출!$B$1:$BI$1,0))/(INDEX(요약_월별시즈널리티!$F$7:$F$18,MONTH(EDATE($E121,AD$1-1)))/100))),"")</f>
        <v>5133221.9095074255</v>
      </c>
      <c r="AE121" t="str" cm="1">
        <f t="array" ref="AE121">IFERROR(IF($E121&lt;44348,"",IF(INDEX(Raw_매출!$B$2:$BI$155,MATCH($A121,Raw_매출!$A$2:$A$155,0),MATCH(EDATE($E121,AE$1-1),Raw_매출!$B$1:$BI$1,0))=0,"",INDEX(Raw_매출!$B$2:$BI$155,MATCH($A121,Raw_매출!$A$2:$A$155,0),MATCH(EDATE($E121,AE$1-1),Raw_매출!$B$1:$BI$1,0))/(INDEX(요약_월별시즈널리티!$F$7:$F$18,MONTH(EDATE($E121,AE$1-1)))/100))),"")</f>
        <v/>
      </c>
      <c r="AF121" t="str" cm="1">
        <f t="array" ref="AF121">IFERROR(IF($E121&lt;44348,"",IF(INDEX(Raw_매출!$B$2:$BI$155,MATCH($A121,Raw_매출!$A$2:$A$155,0),MATCH(EDATE($E121,AF$1-1),Raw_매출!$B$1:$BI$1,0))=0,"",INDEX(Raw_매출!$B$2:$BI$155,MATCH($A121,Raw_매출!$A$2:$A$155,0),MATCH(EDATE($E121,AF$1-1),Raw_매출!$B$1:$BI$1,0))/(INDEX(요약_월별시즈널리티!$F$7:$F$18,MONTH(EDATE($E121,AF$1-1)))/100))),"")</f>
        <v/>
      </c>
      <c r="AG121" t="str" cm="1">
        <f t="array" ref="AG121">IFERROR(IF($E121&lt;44348,"",IF(INDEX(Raw_매출!$B$2:$BI$155,MATCH($A121,Raw_매출!$A$2:$A$155,0),MATCH(EDATE($E121,AG$1-1),Raw_매출!$B$1:$BI$1,0))=0,"",INDEX(Raw_매출!$B$2:$BI$155,MATCH($A121,Raw_매출!$A$2:$A$155,0),MATCH(EDATE($E121,AG$1-1),Raw_매출!$B$1:$BI$1,0))/(INDEX(요약_월별시즈널리티!$F$7:$F$18,MONTH(EDATE($E121,AG$1-1)))/100))),"")</f>
        <v/>
      </c>
      <c r="AH121" t="str" cm="1">
        <f t="array" ref="AH121">IFERROR(IF($E121&lt;44348,"",IF(INDEX(Raw_매출!$B$2:$BI$155,MATCH($A121,Raw_매출!$A$2:$A$155,0),MATCH(EDATE($E121,AH$1-1),Raw_매출!$B$1:$BI$1,0))=0,"",INDEX(Raw_매출!$B$2:$BI$155,MATCH($A121,Raw_매출!$A$2:$A$155,0),MATCH(EDATE($E121,AH$1-1),Raw_매출!$B$1:$BI$1,0))/(INDEX(요약_월별시즈널리티!$F$7:$F$18,MONTH(EDATE($E121,AH$1-1)))/100))),"")</f>
        <v/>
      </c>
      <c r="AI121" t="str" cm="1">
        <f t="array" ref="AI121">IFERROR(IF($E121&lt;44348,"",IF(INDEX(Raw_매출!$B$2:$BI$155,MATCH($A121,Raw_매출!$A$2:$A$155,0),MATCH(EDATE($E121,AI$1-1),Raw_매출!$B$1:$BI$1,0))=0,"",INDEX(Raw_매출!$B$2:$BI$155,MATCH($A121,Raw_매출!$A$2:$A$155,0),MATCH(EDATE($E121,AI$1-1),Raw_매출!$B$1:$BI$1,0))/(INDEX(요약_월별시즈널리티!$F$7:$F$18,MONTH(EDATE($E121,AI$1-1)))/100))),"")</f>
        <v/>
      </c>
      <c r="AJ121" t="str" cm="1">
        <f t="array" ref="AJ121">IFERROR(IF($E121&lt;44348,"",IF(INDEX(Raw_매출!$B$2:$BI$155,MATCH($A121,Raw_매출!$A$2:$A$155,0),MATCH(EDATE($E121,AJ$1-1),Raw_매출!$B$1:$BI$1,0))=0,"",INDEX(Raw_매출!$B$2:$BI$155,MATCH($A121,Raw_매출!$A$2:$A$155,0),MATCH(EDATE($E121,AJ$1-1),Raw_매출!$B$1:$BI$1,0))/(INDEX(요약_월별시즈널리티!$F$7:$F$18,MONTH(EDATE($E121,AJ$1-1)))/100))),"")</f>
        <v/>
      </c>
      <c r="AK121" t="str" cm="1">
        <f t="array" ref="AK121">IFERROR(IF($E121&lt;44348,"",IF(INDEX(Raw_매출!$B$2:$BI$155,MATCH($A121,Raw_매출!$A$2:$A$155,0),MATCH(EDATE($E121,AK$1-1),Raw_매출!$B$1:$BI$1,0))=0,"",INDEX(Raw_매출!$B$2:$BI$155,MATCH($A121,Raw_매출!$A$2:$A$155,0),MATCH(EDATE($E121,AK$1-1),Raw_매출!$B$1:$BI$1,0))/(INDEX(요약_월별시즈널리티!$F$7:$F$18,MONTH(EDATE($E121,AK$1-1)))/100))),"")</f>
        <v/>
      </c>
      <c r="AL121" t="str" cm="1">
        <f t="array" ref="AL121">IFERROR(IF($E121&lt;44348,"",IF(INDEX(Raw_매출!$B$2:$BI$155,MATCH($A121,Raw_매출!$A$2:$A$155,0),MATCH(EDATE($E121,AL$1-1),Raw_매출!$B$1:$BI$1,0))=0,"",INDEX(Raw_매출!$B$2:$BI$155,MATCH($A121,Raw_매출!$A$2:$A$155,0),MATCH(EDATE($E121,AL$1-1),Raw_매출!$B$1:$BI$1,0))/(INDEX(요약_월별시즈널리티!$F$7:$F$18,MONTH(EDATE($E121,AL$1-1)))/100))),"")</f>
        <v/>
      </c>
      <c r="AM121" t="str" cm="1">
        <f t="array" ref="AM121">IFERROR(IF($E121&lt;44348,"",IF(INDEX(Raw_매출!$B$2:$BI$155,MATCH($A121,Raw_매출!$A$2:$A$155,0),MATCH(EDATE($E121,AM$1-1),Raw_매출!$B$1:$BI$1,0))=0,"",INDEX(Raw_매출!$B$2:$BI$155,MATCH($A121,Raw_매출!$A$2:$A$155,0),MATCH(EDATE($E121,AM$1-1),Raw_매출!$B$1:$BI$1,0))/(INDEX(요약_월별시즈널리티!$F$7:$F$18,MONTH(EDATE($E121,AM$1-1)))/100))),"")</f>
        <v/>
      </c>
      <c r="AN121" t="str" cm="1">
        <f t="array" ref="AN121">IFERROR(IF($E121&lt;44348,"",IF(INDEX(Raw_매출!$B$2:$BI$155,MATCH($A121,Raw_매출!$A$2:$A$155,0),MATCH(EDATE($E121,AN$1-1),Raw_매출!$B$1:$BI$1,0))=0,"",INDEX(Raw_매출!$B$2:$BI$155,MATCH($A121,Raw_매출!$A$2:$A$155,0),MATCH(EDATE($E121,AN$1-1),Raw_매출!$B$1:$BI$1,0))/(INDEX(요약_월별시즈널리티!$F$7:$F$18,MONTH(EDATE($E121,AN$1-1)))/100))),"")</f>
        <v/>
      </c>
      <c r="AO121" t="str" cm="1">
        <f t="array" ref="AO121">IFERROR(IF($E121&lt;44348,"",IF(INDEX(Raw_매출!$B$2:$BI$155,MATCH($A121,Raw_매출!$A$2:$A$155,0),MATCH(EDATE($E121,AO$1-1),Raw_매출!$B$1:$BI$1,0))=0,"",INDEX(Raw_매출!$B$2:$BI$155,MATCH($A121,Raw_매출!$A$2:$A$155,0),MATCH(EDATE($E121,AO$1-1),Raw_매출!$B$1:$BI$1,0))/(INDEX(요약_월별시즈널리티!$F$7:$F$18,MONTH(EDATE($E121,AO$1-1)))/100))),"")</f>
        <v/>
      </c>
      <c r="AP121" t="str" cm="1">
        <f t="array" ref="AP121">IFERROR(IF($E121&lt;44348,"",IF(INDEX(Raw_매출!$B$2:$BI$155,MATCH($A121,Raw_매출!$A$2:$A$155,0),MATCH(EDATE($E121,AP$1-1),Raw_매출!$B$1:$BI$1,0))=0,"",INDEX(Raw_매출!$B$2:$BI$155,MATCH($A121,Raw_매출!$A$2:$A$155,0),MATCH(EDATE($E121,AP$1-1),Raw_매출!$B$1:$BI$1,0))/(INDEX(요약_월별시즈널리티!$F$7:$F$18,MONTH(EDATE($E121,AP$1-1)))/100))),"")</f>
        <v/>
      </c>
      <c r="AQ121" t="str" cm="1">
        <f t="array" ref="AQ121">IFERROR(IF($E121&lt;44348,"",IF(INDEX(Raw_매출!$B$2:$BI$155,MATCH($A121,Raw_매출!$A$2:$A$155,0),MATCH(EDATE($E121,AQ$1-1),Raw_매출!$B$1:$BI$1,0))=0,"",INDEX(Raw_매출!$B$2:$BI$155,MATCH($A121,Raw_매출!$A$2:$A$155,0),MATCH(EDATE($E121,AQ$1-1),Raw_매출!$B$1:$BI$1,0))/(INDEX(요약_월별시즈널리티!$F$7:$F$18,MONTH(EDATE($E121,AQ$1-1)))/100))),"")</f>
        <v/>
      </c>
      <c r="AR121" t="str" cm="1">
        <f t="array" ref="AR121">IFERROR(IF($E121&lt;44348,"",IF(INDEX(Raw_매출!$B$2:$BI$155,MATCH($A121,Raw_매출!$A$2:$A$155,0),MATCH(EDATE($E121,AR$1-1),Raw_매출!$B$1:$BI$1,0))=0,"",INDEX(Raw_매출!$B$2:$BI$155,MATCH($A121,Raw_매출!$A$2:$A$155,0),MATCH(EDATE($E121,AR$1-1),Raw_매출!$B$1:$BI$1,0))/(INDEX(요약_월별시즈널리티!$F$7:$F$18,MONTH(EDATE($E121,AR$1-1)))/100))),"")</f>
        <v/>
      </c>
      <c r="AS121" t="str" cm="1">
        <f t="array" ref="AS121">IFERROR(IF($E121&lt;44348,"",IF(INDEX(Raw_매출!$B$2:$BI$155,MATCH($A121,Raw_매출!$A$2:$A$155,0),MATCH(EDATE($E121,AS$1-1),Raw_매출!$B$1:$BI$1,0))=0,"",INDEX(Raw_매출!$B$2:$BI$155,MATCH($A121,Raw_매출!$A$2:$A$155,0),MATCH(EDATE($E121,AS$1-1),Raw_매출!$B$1:$BI$1,0))/(INDEX(요약_월별시즈널리티!$F$7:$F$18,MONTH(EDATE($E121,AS$1-1)))/100))),"")</f>
        <v/>
      </c>
      <c r="AT121" t="str" cm="1">
        <f t="array" ref="AT121">IFERROR(IF($E121&lt;44348,"",IF(INDEX(Raw_매출!$B$2:$BI$155,MATCH($A121,Raw_매출!$A$2:$A$155,0),MATCH(EDATE($E121,AT$1-1),Raw_매출!$B$1:$BI$1,0))=0,"",INDEX(Raw_매출!$B$2:$BI$155,MATCH($A121,Raw_매출!$A$2:$A$155,0),MATCH(EDATE($E121,AT$1-1),Raw_매출!$B$1:$BI$1,0))/(INDEX(요약_월별시즈널리티!$F$7:$F$18,MONTH(EDATE($E121,AT$1-1)))/100))),"")</f>
        <v/>
      </c>
      <c r="AU121" t="str" cm="1">
        <f t="array" ref="AU121">IFERROR(IF($E121&lt;44348,"",IF(INDEX(Raw_매출!$B$2:$BI$155,MATCH($A121,Raw_매출!$A$2:$A$155,0),MATCH(EDATE($E121,AU$1-1),Raw_매출!$B$1:$BI$1,0))=0,"",INDEX(Raw_매출!$B$2:$BI$155,MATCH($A121,Raw_매출!$A$2:$A$155,0),MATCH(EDATE($E121,AU$1-1),Raw_매출!$B$1:$BI$1,0))/(INDEX(요약_월별시즈널리티!$F$7:$F$18,MONTH(EDATE($E121,AU$1-1)))/100))),"")</f>
        <v/>
      </c>
      <c r="AV121" t="str" cm="1">
        <f t="array" ref="AV121">IFERROR(IF($E121&lt;44348,"",IF(INDEX(Raw_매출!$B$2:$BI$155,MATCH($A121,Raw_매출!$A$2:$A$155,0),MATCH(EDATE($E121,AV$1-1),Raw_매출!$B$1:$BI$1,0))=0,"",INDEX(Raw_매출!$B$2:$BI$155,MATCH($A121,Raw_매출!$A$2:$A$155,0),MATCH(EDATE($E121,AV$1-1),Raw_매출!$B$1:$BI$1,0))/(INDEX(요약_월별시즈널리티!$F$7:$F$18,MONTH(EDATE($E121,AV$1-1)))/100))),"")</f>
        <v/>
      </c>
      <c r="AW121" t="str" cm="1">
        <f t="array" ref="AW121">IFERROR(IF($E121&lt;44348,"",IF(INDEX(Raw_매출!$B$2:$BI$155,MATCH($A121,Raw_매출!$A$2:$A$155,0),MATCH(EDATE($E121,AW$1-1),Raw_매출!$B$1:$BI$1,0))=0,"",INDEX(Raw_매출!$B$2:$BI$155,MATCH($A121,Raw_매출!$A$2:$A$155,0),MATCH(EDATE($E121,AW$1-1),Raw_매출!$B$1:$BI$1,0))/(INDEX(요약_월별시즈널리티!$F$7:$F$18,MONTH(EDATE($E121,AW$1-1)))/100))),"")</f>
        <v/>
      </c>
      <c r="AX121" t="str" cm="1">
        <f t="array" ref="AX121">IFERROR(IF($E121&lt;44348,"",IF(INDEX(Raw_매출!$B$2:$BI$155,MATCH($A121,Raw_매출!$A$2:$A$155,0),MATCH(EDATE($E121,AX$1-1),Raw_매출!$B$1:$BI$1,0))=0,"",INDEX(Raw_매출!$B$2:$BI$155,MATCH($A121,Raw_매출!$A$2:$A$155,0),MATCH(EDATE($E121,AX$1-1),Raw_매출!$B$1:$BI$1,0))/(INDEX(요약_월별시즈널리티!$F$7:$F$18,MONTH(EDATE($E121,AX$1-1)))/100))),"")</f>
        <v/>
      </c>
      <c r="AY121" t="str" cm="1">
        <f t="array" ref="AY121">IFERROR(IF($E121&lt;44348,"",IF(INDEX(Raw_매출!$B$2:$BI$155,MATCH($A121,Raw_매출!$A$2:$A$155,0),MATCH(EDATE($E121,AY$1-1),Raw_매출!$B$1:$BI$1,0))=0,"",INDEX(Raw_매출!$B$2:$BI$155,MATCH($A121,Raw_매출!$A$2:$A$155,0),MATCH(EDATE($E121,AY$1-1),Raw_매출!$B$1:$BI$1,0))/(INDEX(요약_월별시즈널리티!$F$7:$F$18,MONTH(EDATE($E121,AY$1-1)))/100))),"")</f>
        <v/>
      </c>
      <c r="AZ121" t="str" cm="1">
        <f t="array" ref="AZ121">IFERROR(IF($E121&lt;44348,"",IF(INDEX(Raw_매출!$B$2:$BI$155,MATCH($A121,Raw_매출!$A$2:$A$155,0),MATCH(EDATE($E121,AZ$1-1),Raw_매출!$B$1:$BI$1,0))=0,"",INDEX(Raw_매출!$B$2:$BI$155,MATCH($A121,Raw_매출!$A$2:$A$155,0),MATCH(EDATE($E121,AZ$1-1),Raw_매출!$B$1:$BI$1,0))/(INDEX(요약_월별시즈널리티!$F$7:$F$18,MONTH(EDATE($E121,AZ$1-1)))/100))),"")</f>
        <v/>
      </c>
      <c r="BA121" t="str" cm="1">
        <f t="array" ref="BA121">IFERROR(IF($E121&lt;44348,"",IF(INDEX(Raw_매출!$B$2:$BI$155,MATCH($A121,Raw_매출!$A$2:$A$155,0),MATCH(EDATE($E121,BA$1-1),Raw_매출!$B$1:$BI$1,0))=0,"",INDEX(Raw_매출!$B$2:$BI$155,MATCH($A121,Raw_매출!$A$2:$A$155,0),MATCH(EDATE($E121,BA$1-1),Raw_매출!$B$1:$BI$1,0))/(INDEX(요약_월별시즈널리티!$F$7:$F$18,MONTH(EDATE($E121,BA$1-1)))/100))),"")</f>
        <v/>
      </c>
      <c r="BB121" t="str" cm="1">
        <f t="array" ref="BB121">IFERROR(IF($E121&lt;44348,"",IF(INDEX(Raw_매출!$B$2:$BI$155,MATCH($A121,Raw_매출!$A$2:$A$155,0),MATCH(EDATE($E121,BB$1-1),Raw_매출!$B$1:$BI$1,0))=0,"",INDEX(Raw_매출!$B$2:$BI$155,MATCH($A121,Raw_매출!$A$2:$A$155,0),MATCH(EDATE($E121,BB$1-1),Raw_매출!$B$1:$BI$1,0))/(INDEX(요약_월별시즈널리티!$F$7:$F$18,MONTH(EDATE($E121,BB$1-1)))/100))),"")</f>
        <v/>
      </c>
      <c r="BC121" t="str" cm="1">
        <f t="array" ref="BC121">IFERROR(IF($E121&lt;44348,"",IF(INDEX(Raw_매출!$B$2:$BI$155,MATCH($A121,Raw_매출!$A$2:$A$155,0),MATCH(EDATE($E121,BC$1-1),Raw_매출!$B$1:$BI$1,0))=0,"",INDEX(Raw_매출!$B$2:$BI$155,MATCH($A121,Raw_매출!$A$2:$A$155,0),MATCH(EDATE($E121,BC$1-1),Raw_매출!$B$1:$BI$1,0))/(INDEX(요약_월별시즈널리티!$F$7:$F$18,MONTH(EDATE($E121,BC$1-1)))/100))),"")</f>
        <v/>
      </c>
      <c r="BD121" t="str" cm="1">
        <f t="array" ref="BD121">IFERROR(IF($E121&lt;44348,"",IF(INDEX(Raw_매출!$B$2:$BI$155,MATCH($A121,Raw_매출!$A$2:$A$155,0),MATCH(EDATE($E121,BD$1-1),Raw_매출!$B$1:$BI$1,0))=0,"",INDEX(Raw_매출!$B$2:$BI$155,MATCH($A121,Raw_매출!$A$2:$A$155,0),MATCH(EDATE($E121,BD$1-1),Raw_매출!$B$1:$BI$1,0))/(INDEX(요약_월별시즈널리티!$F$7:$F$18,MONTH(EDATE($E121,BD$1-1)))/100))),"")</f>
        <v/>
      </c>
      <c r="BE121" t="str" cm="1">
        <f t="array" ref="BE121">IFERROR(IF($E121&lt;44348,"",IF(INDEX(Raw_매출!$B$2:$BI$155,MATCH($A121,Raw_매출!$A$2:$A$155,0),MATCH(EDATE($E121,BE$1-1),Raw_매출!$B$1:$BI$1,0))=0,"",INDEX(Raw_매출!$B$2:$BI$155,MATCH($A121,Raw_매출!$A$2:$A$155,0),MATCH(EDATE($E121,BE$1-1),Raw_매출!$B$1:$BI$1,0))/(INDEX(요약_월별시즈널리티!$F$7:$F$18,MONTH(EDATE($E121,BE$1-1)))/100))),"")</f>
        <v/>
      </c>
      <c r="BF121" t="str" cm="1">
        <f t="array" ref="BF121">IFERROR(IF($E121&lt;44348,"",IF(INDEX(Raw_매출!$B$2:$BI$155,MATCH($A121,Raw_매출!$A$2:$A$155,0),MATCH(EDATE($E121,BF$1-1),Raw_매출!$B$1:$BI$1,0))=0,"",INDEX(Raw_매출!$B$2:$BI$155,MATCH($A121,Raw_매출!$A$2:$A$155,0),MATCH(EDATE($E121,BF$1-1),Raw_매출!$B$1:$BI$1,0))/(INDEX(요약_월별시즈널리티!$F$7:$F$18,MONTH(EDATE($E121,BF$1-1)))/100))),"")</f>
        <v/>
      </c>
      <c r="BG121" t="str" cm="1">
        <f t="array" ref="BG121">IFERROR(IF($E121&lt;44348,"",IF(INDEX(Raw_매출!$B$2:$BI$155,MATCH($A121,Raw_매출!$A$2:$A$155,0),MATCH(EDATE($E121,BG$1-1),Raw_매출!$B$1:$BI$1,0))=0,"",INDEX(Raw_매출!$B$2:$BI$155,MATCH($A121,Raw_매출!$A$2:$A$155,0),MATCH(EDATE($E121,BG$1-1),Raw_매출!$B$1:$BI$1,0))/(INDEX(요약_월별시즈널리티!$F$7:$F$18,MONTH(EDATE($E121,BG$1-1)))/100))),"")</f>
        <v/>
      </c>
      <c r="BH121" t="str" cm="1">
        <f t="array" ref="BH121">IFERROR(IF($E121&lt;44348,"",IF(INDEX(Raw_매출!$B$2:$BI$155,MATCH($A121,Raw_매출!$A$2:$A$155,0),MATCH(EDATE($E121,BH$1-1),Raw_매출!$B$1:$BI$1,0))=0,"",INDEX(Raw_매출!$B$2:$BI$155,MATCH($A121,Raw_매출!$A$2:$A$155,0),MATCH(EDATE($E121,BH$1-1),Raw_매출!$B$1:$BI$1,0))/(INDEX(요약_월별시즈널리티!$F$7:$F$18,MONTH(EDATE($E121,BH$1-1)))/100))),"")</f>
        <v/>
      </c>
      <c r="BI121" t="str" cm="1">
        <f t="array" ref="BI121">IFERROR(IF($E121&lt;44348,"",IF(INDEX(Raw_매출!$B$2:$BI$155,MATCH($A121,Raw_매출!$A$2:$A$155,0),MATCH(EDATE($E121,BI$1-1),Raw_매출!$B$1:$BI$1,0))=0,"",INDEX(Raw_매출!$B$2:$BI$155,MATCH($A121,Raw_매출!$A$2:$A$155,0),MATCH(EDATE($E121,BI$1-1),Raw_매출!$B$1:$BI$1,0))/(INDEX(요약_월별시즈널리티!$F$7:$F$18,MONTH(EDATE($E121,BI$1-1)))/100))),"")</f>
        <v/>
      </c>
      <c r="BJ121" t="str" cm="1">
        <f t="array" ref="BJ121">IFERROR(IF($E121&lt;44348,"",IF(INDEX(Raw_매출!$B$2:$BI$155,MATCH($A121,Raw_매출!$A$2:$A$155,0),MATCH(EDATE($E121,BJ$1-1),Raw_매출!$B$1:$BI$1,0))=0,"",INDEX(Raw_매출!$B$2:$BI$155,MATCH($A121,Raw_매출!$A$2:$A$155,0),MATCH(EDATE($E121,BJ$1-1),Raw_매출!$B$1:$BI$1,0))/(INDEX(요약_월별시즈널리티!$F$7:$F$18,MONTH(EDATE($E121,BJ$1-1)))/100))),"")</f>
        <v/>
      </c>
      <c r="BK121" t="str" cm="1">
        <f t="array" ref="BK121">IFERROR(IF($E121&lt;44348,"",IF(INDEX(Raw_매출!$B$2:$BI$155,MATCH($A121,Raw_매출!$A$2:$A$155,0),MATCH(EDATE($E121,BK$1-1),Raw_매출!$B$1:$BI$1,0))=0,"",INDEX(Raw_매출!$B$2:$BI$155,MATCH($A121,Raw_매출!$A$2:$A$155,0),MATCH(EDATE($E121,BK$1-1),Raw_매출!$B$1:$BI$1,0))/(INDEX(요약_월별시즈널리티!$F$7:$F$18,MONTH(EDATE($E121,BK$1-1)))/100))),"")</f>
        <v/>
      </c>
      <c r="BL121" t="str" cm="1">
        <f t="array" ref="BL121">IFERROR(IF($E121&lt;44348,"",IF(INDEX(Raw_매출!$B$2:$BI$155,MATCH($A121,Raw_매출!$A$2:$A$155,0),MATCH(EDATE($E121,BL$1-1),Raw_매출!$B$1:$BI$1,0))=0,"",INDEX(Raw_매출!$B$2:$BI$155,MATCH($A121,Raw_매출!$A$2:$A$155,0),MATCH(EDATE($E121,BL$1-1),Raw_매출!$B$1:$BI$1,0))/(INDEX(요약_월별시즈널리티!$F$7:$F$18,MONTH(EDATE($E121,BL$1-1)))/100))),"")</f>
        <v/>
      </c>
      <c r="BM121" t="str" cm="1">
        <f t="array" ref="BM121">IFERROR(IF($E121&lt;44348,"",IF(INDEX(Raw_매출!$B$2:$BI$155,MATCH($A121,Raw_매출!$A$2:$A$155,0),MATCH(EDATE($E121,BM$1-1),Raw_매출!$B$1:$BI$1,0))=0,"",INDEX(Raw_매출!$B$2:$BI$155,MATCH($A121,Raw_매출!$A$2:$A$155,0),MATCH(EDATE($E121,BM$1-1),Raw_매출!$B$1:$BI$1,0))/(INDEX(요약_월별시즈널리티!$F$7:$F$18,MONTH(EDATE($E121,BM$1-1)))/100))),"")</f>
        <v/>
      </c>
      <c r="BN121" t="str" cm="1">
        <f t="array" ref="BN121">IFERROR(IF($E121&lt;44348,"",IF(INDEX(Raw_매출!$B$2:$BI$155,MATCH($A121,Raw_매출!$A$2:$A$155,0),MATCH(EDATE($E121,BN$1-1),Raw_매출!$B$1:$BI$1,0))=0,"",INDEX(Raw_매출!$B$2:$BI$155,MATCH($A121,Raw_매출!$A$2:$A$155,0),MATCH(EDATE($E121,BN$1-1),Raw_매출!$B$1:$BI$1,0))/(INDEX(요약_월별시즈널리티!$F$7:$F$18,MONTH(EDATE($E121,BN$1-1)))/100))),"")</f>
        <v/>
      </c>
    </row>
    <row r="122" spans="1:66" x14ac:dyDescent="0.4">
      <c r="A122" t="str">
        <f>세팅!A123</f>
        <v>(1112) #봉천은천입구점</v>
      </c>
      <c r="B122" t="str">
        <f>세팅!B123</f>
        <v>150-1</v>
      </c>
      <c r="C122">
        <f t="shared" si="3"/>
        <v>1</v>
      </c>
      <c r="D122" t="str">
        <f t="shared" si="4"/>
        <v>1</v>
      </c>
      <c r="E122" s="1">
        <f>세팅!D123</f>
        <v>45444</v>
      </c>
      <c r="F122">
        <f t="shared" si="5"/>
        <v>3689768.5663007176</v>
      </c>
      <c r="G122" cm="1">
        <f t="array" ref="G122">IFERROR(IF($E122&lt;44348,"",IF(INDEX(Raw_매출!$B$2:$BI$155,MATCH($A122,Raw_매출!$A$2:$A$155,0),MATCH(EDATE($E122,G$1-1),Raw_매출!$B$1:$BI$1,0))=0,"",INDEX(Raw_매출!$B$2:$BI$155,MATCH($A122,Raw_매출!$A$2:$A$155,0),MATCH(EDATE($E122,G$1-1),Raw_매출!$B$1:$BI$1,0))/(INDEX(요약_월별시즈널리티!$F$7:$F$18,MONTH(EDATE($E122,G$1-1)))/100))),"")</f>
        <v>2295283.5240160543</v>
      </c>
      <c r="H122" cm="1">
        <f t="array" ref="H122">IFERROR(IF($E122&lt;44348,"",IF(INDEX(Raw_매출!$B$2:$BI$155,MATCH($A122,Raw_매출!$A$2:$A$155,0),MATCH(EDATE($E122,H$1-1),Raw_매출!$B$1:$BI$1,0))=0,"",INDEX(Raw_매출!$B$2:$BI$155,MATCH($A122,Raw_매출!$A$2:$A$155,0),MATCH(EDATE($E122,H$1-1),Raw_매출!$B$1:$BI$1,0))/(INDEX(요약_월별시즈널리티!$F$7:$F$18,MONTH(EDATE($E122,H$1-1)))/100))),"")</f>
        <v>2948232.5380514781</v>
      </c>
      <c r="I122" cm="1">
        <f t="array" ref="I122">IFERROR(IF($E122&lt;44348,"",IF(INDEX(Raw_매출!$B$2:$BI$155,MATCH($A122,Raw_매출!$A$2:$A$155,0),MATCH(EDATE($E122,I$1-1),Raw_매출!$B$1:$BI$1,0))=0,"",INDEX(Raw_매출!$B$2:$BI$155,MATCH($A122,Raw_매출!$A$2:$A$155,0),MATCH(EDATE($E122,I$1-1),Raw_매출!$B$1:$BI$1,0))/(INDEX(요약_월별시즈널리티!$F$7:$F$18,MONTH(EDATE($E122,I$1-1)))/100))),"")</f>
        <v>2997739.6989280297</v>
      </c>
      <c r="J122" s="30" cm="1">
        <f t="array" ref="J122">IFERROR(IF($E122&lt;44348,"",IF(INDEX(Raw_매출!$B$2:$BI$155,MATCH($A122,Raw_매출!$A$2:$A$155,0),MATCH(EDATE($E122,J$1-1),Raw_매출!$B$1:$BI$1,0))=0,"",INDEX(Raw_매출!$B$2:$BI$155,MATCH($A122,Raw_매출!$A$2:$A$155,0),MATCH(EDATE($E122,J$1-1),Raw_매출!$B$1:$BI$1,0))/(INDEX(요약_월별시즈널리티!$F$7:$F$18,MONTH(EDATE($E122,J$1-1)))/100))),"")</f>
        <v>3400447.7008402771</v>
      </c>
      <c r="K122" s="30" cm="1">
        <f t="array" ref="K122">IFERROR(IF($E122&lt;44348,"",IF(INDEX(Raw_매출!$B$2:$BI$155,MATCH($A122,Raw_매출!$A$2:$A$155,0),MATCH(EDATE($E122,K$1-1),Raw_매출!$B$1:$BI$1,0))=0,"",INDEX(Raw_매출!$B$2:$BI$155,MATCH($A122,Raw_매출!$A$2:$A$155,0),MATCH(EDATE($E122,K$1-1),Raw_매출!$B$1:$BI$1,0))/(INDEX(요약_월별시즈널리티!$F$7:$F$18,MONTH(EDATE($E122,K$1-1)))/100))),"")</f>
        <v>3395920.9525996987</v>
      </c>
      <c r="L122" s="30" cm="1">
        <f t="array" ref="L122">IFERROR(IF($E122&lt;44348,"",IF(INDEX(Raw_매출!$B$2:$BI$155,MATCH($A122,Raw_매출!$A$2:$A$155,0),MATCH(EDATE($E122,L$1-1),Raw_매출!$B$1:$BI$1,0))=0,"",INDEX(Raw_매출!$B$2:$BI$155,MATCH($A122,Raw_매출!$A$2:$A$155,0),MATCH(EDATE($E122,L$1-1),Raw_매출!$B$1:$BI$1,0))/(INDEX(요약_월별시즈널리티!$F$7:$F$18,MONTH(EDATE($E122,L$1-1)))/100))),"")</f>
        <v>3521670.751319631</v>
      </c>
      <c r="M122" s="30" cm="1">
        <f t="array" ref="M122">IFERROR(IF($E122&lt;44348,"",IF(INDEX(Raw_매출!$B$2:$BI$155,MATCH($A122,Raw_매출!$A$2:$A$155,0),MATCH(EDATE($E122,M$1-1),Raw_매출!$B$1:$BI$1,0))=0,"",INDEX(Raw_매출!$B$2:$BI$155,MATCH($A122,Raw_매출!$A$2:$A$155,0),MATCH(EDATE($E122,M$1-1),Raw_매출!$B$1:$BI$1,0))/(INDEX(요약_월별시즈널리티!$F$7:$F$18,MONTH(EDATE($E122,M$1-1)))/100))),"")</f>
        <v>3660536.7158719231</v>
      </c>
      <c r="N122" s="30" cm="1">
        <f t="array" ref="N122">IFERROR(IF($E122&lt;44348,"",IF(INDEX(Raw_매출!$B$2:$BI$155,MATCH($A122,Raw_매출!$A$2:$A$155,0),MATCH(EDATE($E122,N$1-1),Raw_매출!$B$1:$BI$1,0))=0,"",INDEX(Raw_매출!$B$2:$BI$155,MATCH($A122,Raw_매출!$A$2:$A$155,0),MATCH(EDATE($E122,N$1-1),Raw_매출!$B$1:$BI$1,0))/(INDEX(요약_월별시즈널리티!$F$7:$F$18,MONTH(EDATE($E122,N$1-1)))/100))),"")</f>
        <v>4000535.3519909368</v>
      </c>
      <c r="O122" s="30" cm="1">
        <f t="array" ref="O122">IFERROR(IF($E122&lt;44348,"",IF(INDEX(Raw_매출!$B$2:$BI$155,MATCH($A122,Raw_매출!$A$2:$A$155,0),MATCH(EDATE($E122,O$1-1),Raw_매출!$B$1:$BI$1,0))=0,"",INDEX(Raw_매출!$B$2:$BI$155,MATCH($A122,Raw_매출!$A$2:$A$155,0),MATCH(EDATE($E122,O$1-1),Raw_매출!$B$1:$BI$1,0))/(INDEX(요약_월별시즈널리티!$F$7:$F$18,MONTH(EDATE($E122,O$1-1)))/100))),"")</f>
        <v>4159499.9251818354</v>
      </c>
      <c r="P122" cm="1">
        <f t="array" ref="P122">IFERROR(IF($E122&lt;44348,"",IF(INDEX(Raw_매출!$B$2:$BI$155,MATCH($A122,Raw_매출!$A$2:$A$155,0),MATCH(EDATE($E122,P$1-1),Raw_매출!$B$1:$BI$1,0))=0,"",INDEX(Raw_매출!$B$2:$BI$155,MATCH($A122,Raw_매출!$A$2:$A$155,0),MATCH(EDATE($E122,P$1-1),Raw_매출!$B$1:$BI$1,0))/(INDEX(요약_월별시즈널리티!$F$7:$F$18,MONTH(EDATE($E122,P$1-1)))/100))),"")</f>
        <v>4404527.6338720452</v>
      </c>
      <c r="Q122" cm="1">
        <f t="array" ref="Q122">IFERROR(IF($E122&lt;44348,"",IF(INDEX(Raw_매출!$B$2:$BI$155,MATCH($A122,Raw_매출!$A$2:$A$155,0),MATCH(EDATE($E122,Q$1-1),Raw_매출!$B$1:$BI$1,0))=0,"",INDEX(Raw_매출!$B$2:$BI$155,MATCH($A122,Raw_매출!$A$2:$A$155,0),MATCH(EDATE($E122,Q$1-1),Raw_매출!$B$1:$BI$1,0))/(INDEX(요약_월별시즈널리티!$F$7:$F$18,MONTH(EDATE($E122,Q$1-1)))/100))),"")</f>
        <v>4206480.3931190008</v>
      </c>
      <c r="R122" cm="1">
        <f t="array" ref="R122">IFERROR(IF($E122&lt;44348,"",IF(INDEX(Raw_매출!$B$2:$BI$155,MATCH($A122,Raw_매출!$A$2:$A$155,0),MATCH(EDATE($E122,R$1-1),Raw_매출!$B$1:$BI$1,0))=0,"",INDEX(Raw_매출!$B$2:$BI$155,MATCH($A122,Raw_매출!$A$2:$A$155,0),MATCH(EDATE($E122,R$1-1),Raw_매출!$B$1:$BI$1,0))/(INDEX(요약_월별시즈널리티!$F$7:$F$18,MONTH(EDATE($E122,R$1-1)))/100))),"")</f>
        <v>4493011.7482314818</v>
      </c>
      <c r="S122" cm="1">
        <f t="array" ref="S122">IFERROR(IF($E122&lt;44348,"",IF(INDEX(Raw_매출!$B$2:$BI$155,MATCH($A122,Raw_매출!$A$2:$A$155,0),MATCH(EDATE($E122,S$1-1),Raw_매출!$B$1:$BI$1,0))=0,"",INDEX(Raw_매출!$B$2:$BI$155,MATCH($A122,Raw_매출!$A$2:$A$155,0),MATCH(EDATE($E122,S$1-1),Raw_매출!$B$1:$BI$1,0))/(INDEX(요약_월별시즈널리티!$F$7:$F$18,MONTH(EDATE($E122,S$1-1)))/100))),"")</f>
        <v>3993882.8392837844</v>
      </c>
      <c r="T122" cm="1">
        <f t="array" ref="T122">IFERROR(IF($E122&lt;44348,"",IF(INDEX(Raw_매출!$B$2:$BI$155,MATCH($A122,Raw_매출!$A$2:$A$155,0),MATCH(EDATE($E122,T$1-1),Raw_매출!$B$1:$BI$1,0))=0,"",INDEX(Raw_매출!$B$2:$BI$155,MATCH($A122,Raw_매출!$A$2:$A$155,0),MATCH(EDATE($E122,T$1-1),Raw_매출!$B$1:$BI$1,0))/(INDEX(요약_월별시즈널리티!$F$7:$F$18,MONTH(EDATE($E122,T$1-1)))/100))),"")</f>
        <v>3391283.7265788484</v>
      </c>
      <c r="U122" cm="1">
        <f t="array" ref="U122">IFERROR(IF($E122&lt;44348,"",IF(INDEX(Raw_매출!$B$2:$BI$155,MATCH($A122,Raw_매출!$A$2:$A$155,0),MATCH(EDATE($E122,U$1-1),Raw_매출!$B$1:$BI$1,0))=0,"",INDEX(Raw_매출!$B$2:$BI$155,MATCH($A122,Raw_매출!$A$2:$A$155,0),MATCH(EDATE($E122,U$1-1),Raw_매출!$B$1:$BI$1,0))/(INDEX(요약_월별시즈널리티!$F$7:$F$18,MONTH(EDATE($E122,U$1-1)))/100))),"")</f>
        <v>3624765.6535084057</v>
      </c>
      <c r="V122" cm="1">
        <f t="array" ref="V122">IFERROR(IF($E122&lt;44348,"",IF(INDEX(Raw_매출!$B$2:$BI$155,MATCH($A122,Raw_매출!$A$2:$A$155,0),MATCH(EDATE($E122,V$1-1),Raw_매출!$B$1:$BI$1,0))=0,"",INDEX(Raw_매출!$B$2:$BI$155,MATCH($A122,Raw_매출!$A$2:$A$155,0),MATCH(EDATE($E122,V$1-1),Raw_매출!$B$1:$BI$1,0))/(INDEX(요약_월별시즈널리티!$F$7:$F$18,MONTH(EDATE($E122,V$1-1)))/100))),"")</f>
        <v>3044138.0310431556</v>
      </c>
      <c r="W122" cm="1">
        <f t="array" ref="W122">IFERROR(IF($E122&lt;44348,"",IF(INDEX(Raw_매출!$B$2:$BI$155,MATCH($A122,Raw_매출!$A$2:$A$155,0),MATCH(EDATE($E122,W$1-1),Raw_매출!$B$1:$BI$1,0))=0,"",INDEX(Raw_매출!$B$2:$BI$155,MATCH($A122,Raw_매출!$A$2:$A$155,0),MATCH(EDATE($E122,W$1-1),Raw_매출!$B$1:$BI$1,0))/(INDEX(요약_월별시즈널리티!$F$7:$F$18,MONTH(EDATE($E122,W$1-1)))/100))),"")</f>
        <v>3213386.416617394</v>
      </c>
      <c r="X122" cm="1">
        <f t="array" ref="X122">IFERROR(IF($E122&lt;44348,"",IF(INDEX(Raw_매출!$B$2:$BI$155,MATCH($A122,Raw_매출!$A$2:$A$155,0),MATCH(EDATE($E122,X$1-1),Raw_매출!$B$1:$BI$1,0))=0,"",INDEX(Raw_매출!$B$2:$BI$155,MATCH($A122,Raw_매출!$A$2:$A$155,0),MATCH(EDATE($E122,X$1-1),Raw_매출!$B$1:$BI$1,0))/(INDEX(요약_월별시즈널리티!$F$7:$F$18,MONTH(EDATE($E122,X$1-1)))/100))),"")</f>
        <v>3401560.3115398628</v>
      </c>
      <c r="Y122" cm="1">
        <f t="array" ref="Y122">IFERROR(IF($E122&lt;44348,"",IF(INDEX(Raw_매출!$B$2:$BI$155,MATCH($A122,Raw_매출!$A$2:$A$155,0),MATCH(EDATE($E122,Y$1-1),Raw_매출!$B$1:$BI$1,0))=0,"",INDEX(Raw_매출!$B$2:$BI$155,MATCH($A122,Raw_매출!$A$2:$A$155,0),MATCH(EDATE($E122,Y$1-1),Raw_매출!$B$1:$BI$1,0))/(INDEX(요약_월별시즈널리티!$F$7:$F$18,MONTH(EDATE($E122,Y$1-1)))/100))),"")</f>
        <v>3283257.0757707548</v>
      </c>
      <c r="Z122" cm="1">
        <f t="array" ref="Z122">IFERROR(IF($E122&lt;44348,"",IF(INDEX(Raw_매출!$B$2:$BI$155,MATCH($A122,Raw_매출!$A$2:$A$155,0),MATCH(EDATE($E122,Z$1-1),Raw_매출!$B$1:$BI$1,0))=0,"",INDEX(Raw_매출!$B$2:$BI$155,MATCH($A122,Raw_매출!$A$2:$A$155,0),MATCH(EDATE($E122,Z$1-1),Raw_매출!$B$1:$BI$1,0))/(INDEX(요약_월별시즈널리티!$F$7:$F$18,MONTH(EDATE($E122,Z$1-1)))/100))),"")</f>
        <v>3560132.6217789021</v>
      </c>
      <c r="AA122" cm="1">
        <f t="array" ref="AA122">IFERROR(IF($E122&lt;44348,"",IF(INDEX(Raw_매출!$B$2:$BI$155,MATCH($A122,Raw_매출!$A$2:$A$155,0),MATCH(EDATE($E122,AA$1-1),Raw_매출!$B$1:$BI$1,0))=0,"",INDEX(Raw_매출!$B$2:$BI$155,MATCH($A122,Raw_매출!$A$2:$A$155,0),MATCH(EDATE($E122,AA$1-1),Raw_매출!$B$1:$BI$1,0))/(INDEX(요약_월별시즈널리티!$F$7:$F$18,MONTH(EDATE($E122,AA$1-1)))/100))),"")</f>
        <v>3606928.6990795122</v>
      </c>
      <c r="AB122" cm="1">
        <f t="array" ref="AB122">IFERROR(IF($E122&lt;44348,"",IF(INDEX(Raw_매출!$B$2:$BI$155,MATCH($A122,Raw_매출!$A$2:$A$155,0),MATCH(EDATE($E122,AB$1-1),Raw_매출!$B$1:$BI$1,0))=0,"",INDEX(Raw_매출!$B$2:$BI$155,MATCH($A122,Raw_매출!$A$2:$A$155,0),MATCH(EDATE($E122,AB$1-1),Raw_매출!$B$1:$BI$1,0))/(INDEX(요약_월별시즈널리티!$F$7:$F$18,MONTH(EDATE($E122,AB$1-1)))/100))),"")</f>
        <v>3429139.7692044852</v>
      </c>
      <c r="AC122" cm="1">
        <f t="array" ref="AC122">IFERROR(IF($E122&lt;44348,"",IF(INDEX(Raw_매출!$B$2:$BI$155,MATCH($A122,Raw_매출!$A$2:$A$155,0),MATCH(EDATE($E122,AC$1-1),Raw_매출!$B$1:$BI$1,0))=0,"",INDEX(Raw_매출!$B$2:$BI$155,MATCH($A122,Raw_매출!$A$2:$A$155,0),MATCH(EDATE($E122,AC$1-1),Raw_매출!$B$1:$BI$1,0))/(INDEX(요약_월별시즈널리티!$F$7:$F$18,MONTH(EDATE($E122,AC$1-1)))/100))),"")</f>
        <v>3358189.4896744695</v>
      </c>
      <c r="AD122" cm="1">
        <f t="array" ref="AD122">IFERROR(IF($E122&lt;44348,"",IF(INDEX(Raw_매출!$B$2:$BI$155,MATCH($A122,Raw_매출!$A$2:$A$155,0),MATCH(EDATE($E122,AD$1-1),Raw_매출!$B$1:$BI$1,0))=0,"",INDEX(Raw_매출!$B$2:$BI$155,MATCH($A122,Raw_매출!$A$2:$A$155,0),MATCH(EDATE($E122,AD$1-1),Raw_매출!$B$1:$BI$1,0))/(INDEX(요약_월별시즈널리티!$F$7:$F$18,MONTH(EDATE($E122,AD$1-1)))/100))),"")</f>
        <v>3679426.5595130343</v>
      </c>
      <c r="AE122" t="str" cm="1">
        <f t="array" ref="AE122">IFERROR(IF($E122&lt;44348,"",IF(INDEX(Raw_매출!$B$2:$BI$155,MATCH($A122,Raw_매출!$A$2:$A$155,0),MATCH(EDATE($E122,AE$1-1),Raw_매출!$B$1:$BI$1,0))=0,"",INDEX(Raw_매출!$B$2:$BI$155,MATCH($A122,Raw_매출!$A$2:$A$155,0),MATCH(EDATE($E122,AE$1-1),Raw_매출!$B$1:$BI$1,0))/(INDEX(요약_월별시즈널리티!$F$7:$F$18,MONTH(EDATE($E122,AE$1-1)))/100))),"")</f>
        <v/>
      </c>
      <c r="AF122" t="str" cm="1">
        <f t="array" ref="AF122">IFERROR(IF($E122&lt;44348,"",IF(INDEX(Raw_매출!$B$2:$BI$155,MATCH($A122,Raw_매출!$A$2:$A$155,0),MATCH(EDATE($E122,AF$1-1),Raw_매출!$B$1:$BI$1,0))=0,"",INDEX(Raw_매출!$B$2:$BI$155,MATCH($A122,Raw_매출!$A$2:$A$155,0),MATCH(EDATE($E122,AF$1-1),Raw_매출!$B$1:$BI$1,0))/(INDEX(요약_월별시즈널리티!$F$7:$F$18,MONTH(EDATE($E122,AF$1-1)))/100))),"")</f>
        <v/>
      </c>
      <c r="AG122" t="str" cm="1">
        <f t="array" ref="AG122">IFERROR(IF($E122&lt;44348,"",IF(INDEX(Raw_매출!$B$2:$BI$155,MATCH($A122,Raw_매출!$A$2:$A$155,0),MATCH(EDATE($E122,AG$1-1),Raw_매출!$B$1:$BI$1,0))=0,"",INDEX(Raw_매출!$B$2:$BI$155,MATCH($A122,Raw_매출!$A$2:$A$155,0),MATCH(EDATE($E122,AG$1-1),Raw_매출!$B$1:$BI$1,0))/(INDEX(요약_월별시즈널리티!$F$7:$F$18,MONTH(EDATE($E122,AG$1-1)))/100))),"")</f>
        <v/>
      </c>
      <c r="AH122" t="str" cm="1">
        <f t="array" ref="AH122">IFERROR(IF($E122&lt;44348,"",IF(INDEX(Raw_매출!$B$2:$BI$155,MATCH($A122,Raw_매출!$A$2:$A$155,0),MATCH(EDATE($E122,AH$1-1),Raw_매출!$B$1:$BI$1,0))=0,"",INDEX(Raw_매출!$B$2:$BI$155,MATCH($A122,Raw_매출!$A$2:$A$155,0),MATCH(EDATE($E122,AH$1-1),Raw_매출!$B$1:$BI$1,0))/(INDEX(요약_월별시즈널리티!$F$7:$F$18,MONTH(EDATE($E122,AH$1-1)))/100))),"")</f>
        <v/>
      </c>
      <c r="AI122" t="str" cm="1">
        <f t="array" ref="AI122">IFERROR(IF($E122&lt;44348,"",IF(INDEX(Raw_매출!$B$2:$BI$155,MATCH($A122,Raw_매출!$A$2:$A$155,0),MATCH(EDATE($E122,AI$1-1),Raw_매출!$B$1:$BI$1,0))=0,"",INDEX(Raw_매출!$B$2:$BI$155,MATCH($A122,Raw_매출!$A$2:$A$155,0),MATCH(EDATE($E122,AI$1-1),Raw_매출!$B$1:$BI$1,0))/(INDEX(요약_월별시즈널리티!$F$7:$F$18,MONTH(EDATE($E122,AI$1-1)))/100))),"")</f>
        <v/>
      </c>
      <c r="AJ122" t="str" cm="1">
        <f t="array" ref="AJ122">IFERROR(IF($E122&lt;44348,"",IF(INDEX(Raw_매출!$B$2:$BI$155,MATCH($A122,Raw_매출!$A$2:$A$155,0),MATCH(EDATE($E122,AJ$1-1),Raw_매출!$B$1:$BI$1,0))=0,"",INDEX(Raw_매출!$B$2:$BI$155,MATCH($A122,Raw_매출!$A$2:$A$155,0),MATCH(EDATE($E122,AJ$1-1),Raw_매출!$B$1:$BI$1,0))/(INDEX(요약_월별시즈널리티!$F$7:$F$18,MONTH(EDATE($E122,AJ$1-1)))/100))),"")</f>
        <v/>
      </c>
      <c r="AK122" t="str" cm="1">
        <f t="array" ref="AK122">IFERROR(IF($E122&lt;44348,"",IF(INDEX(Raw_매출!$B$2:$BI$155,MATCH($A122,Raw_매출!$A$2:$A$155,0),MATCH(EDATE($E122,AK$1-1),Raw_매출!$B$1:$BI$1,0))=0,"",INDEX(Raw_매출!$B$2:$BI$155,MATCH($A122,Raw_매출!$A$2:$A$155,0),MATCH(EDATE($E122,AK$1-1),Raw_매출!$B$1:$BI$1,0))/(INDEX(요약_월별시즈널리티!$F$7:$F$18,MONTH(EDATE($E122,AK$1-1)))/100))),"")</f>
        <v/>
      </c>
      <c r="AL122" t="str" cm="1">
        <f t="array" ref="AL122">IFERROR(IF($E122&lt;44348,"",IF(INDEX(Raw_매출!$B$2:$BI$155,MATCH($A122,Raw_매출!$A$2:$A$155,0),MATCH(EDATE($E122,AL$1-1),Raw_매출!$B$1:$BI$1,0))=0,"",INDEX(Raw_매출!$B$2:$BI$155,MATCH($A122,Raw_매출!$A$2:$A$155,0),MATCH(EDATE($E122,AL$1-1),Raw_매출!$B$1:$BI$1,0))/(INDEX(요약_월별시즈널리티!$F$7:$F$18,MONTH(EDATE($E122,AL$1-1)))/100))),"")</f>
        <v/>
      </c>
      <c r="AM122" t="str" cm="1">
        <f t="array" ref="AM122">IFERROR(IF($E122&lt;44348,"",IF(INDEX(Raw_매출!$B$2:$BI$155,MATCH($A122,Raw_매출!$A$2:$A$155,0),MATCH(EDATE($E122,AM$1-1),Raw_매출!$B$1:$BI$1,0))=0,"",INDEX(Raw_매출!$B$2:$BI$155,MATCH($A122,Raw_매출!$A$2:$A$155,0),MATCH(EDATE($E122,AM$1-1),Raw_매출!$B$1:$BI$1,0))/(INDEX(요약_월별시즈널리티!$F$7:$F$18,MONTH(EDATE($E122,AM$1-1)))/100))),"")</f>
        <v/>
      </c>
      <c r="AN122" t="str" cm="1">
        <f t="array" ref="AN122">IFERROR(IF($E122&lt;44348,"",IF(INDEX(Raw_매출!$B$2:$BI$155,MATCH($A122,Raw_매출!$A$2:$A$155,0),MATCH(EDATE($E122,AN$1-1),Raw_매출!$B$1:$BI$1,0))=0,"",INDEX(Raw_매출!$B$2:$BI$155,MATCH($A122,Raw_매출!$A$2:$A$155,0),MATCH(EDATE($E122,AN$1-1),Raw_매출!$B$1:$BI$1,0))/(INDEX(요약_월별시즈널리티!$F$7:$F$18,MONTH(EDATE($E122,AN$1-1)))/100))),"")</f>
        <v/>
      </c>
      <c r="AO122" t="str" cm="1">
        <f t="array" ref="AO122">IFERROR(IF($E122&lt;44348,"",IF(INDEX(Raw_매출!$B$2:$BI$155,MATCH($A122,Raw_매출!$A$2:$A$155,0),MATCH(EDATE($E122,AO$1-1),Raw_매출!$B$1:$BI$1,0))=0,"",INDEX(Raw_매출!$B$2:$BI$155,MATCH($A122,Raw_매출!$A$2:$A$155,0),MATCH(EDATE($E122,AO$1-1),Raw_매출!$B$1:$BI$1,0))/(INDEX(요약_월별시즈널리티!$F$7:$F$18,MONTH(EDATE($E122,AO$1-1)))/100))),"")</f>
        <v/>
      </c>
      <c r="AP122" t="str" cm="1">
        <f t="array" ref="AP122">IFERROR(IF($E122&lt;44348,"",IF(INDEX(Raw_매출!$B$2:$BI$155,MATCH($A122,Raw_매출!$A$2:$A$155,0),MATCH(EDATE($E122,AP$1-1),Raw_매출!$B$1:$BI$1,0))=0,"",INDEX(Raw_매출!$B$2:$BI$155,MATCH($A122,Raw_매출!$A$2:$A$155,0),MATCH(EDATE($E122,AP$1-1),Raw_매출!$B$1:$BI$1,0))/(INDEX(요약_월별시즈널리티!$F$7:$F$18,MONTH(EDATE($E122,AP$1-1)))/100))),"")</f>
        <v/>
      </c>
      <c r="AQ122" t="str" cm="1">
        <f t="array" ref="AQ122">IFERROR(IF($E122&lt;44348,"",IF(INDEX(Raw_매출!$B$2:$BI$155,MATCH($A122,Raw_매출!$A$2:$A$155,0),MATCH(EDATE($E122,AQ$1-1),Raw_매출!$B$1:$BI$1,0))=0,"",INDEX(Raw_매출!$B$2:$BI$155,MATCH($A122,Raw_매출!$A$2:$A$155,0),MATCH(EDATE($E122,AQ$1-1),Raw_매출!$B$1:$BI$1,0))/(INDEX(요약_월별시즈널리티!$F$7:$F$18,MONTH(EDATE($E122,AQ$1-1)))/100))),"")</f>
        <v/>
      </c>
      <c r="AR122" t="str" cm="1">
        <f t="array" ref="AR122">IFERROR(IF($E122&lt;44348,"",IF(INDEX(Raw_매출!$B$2:$BI$155,MATCH($A122,Raw_매출!$A$2:$A$155,0),MATCH(EDATE($E122,AR$1-1),Raw_매출!$B$1:$BI$1,0))=0,"",INDEX(Raw_매출!$B$2:$BI$155,MATCH($A122,Raw_매출!$A$2:$A$155,0),MATCH(EDATE($E122,AR$1-1),Raw_매출!$B$1:$BI$1,0))/(INDEX(요약_월별시즈널리티!$F$7:$F$18,MONTH(EDATE($E122,AR$1-1)))/100))),"")</f>
        <v/>
      </c>
      <c r="AS122" t="str" cm="1">
        <f t="array" ref="AS122">IFERROR(IF($E122&lt;44348,"",IF(INDEX(Raw_매출!$B$2:$BI$155,MATCH($A122,Raw_매출!$A$2:$A$155,0),MATCH(EDATE($E122,AS$1-1),Raw_매출!$B$1:$BI$1,0))=0,"",INDEX(Raw_매출!$B$2:$BI$155,MATCH($A122,Raw_매출!$A$2:$A$155,0),MATCH(EDATE($E122,AS$1-1),Raw_매출!$B$1:$BI$1,0))/(INDEX(요약_월별시즈널리티!$F$7:$F$18,MONTH(EDATE($E122,AS$1-1)))/100))),"")</f>
        <v/>
      </c>
      <c r="AT122" t="str" cm="1">
        <f t="array" ref="AT122">IFERROR(IF($E122&lt;44348,"",IF(INDEX(Raw_매출!$B$2:$BI$155,MATCH($A122,Raw_매출!$A$2:$A$155,0),MATCH(EDATE($E122,AT$1-1),Raw_매출!$B$1:$BI$1,0))=0,"",INDEX(Raw_매출!$B$2:$BI$155,MATCH($A122,Raw_매출!$A$2:$A$155,0),MATCH(EDATE($E122,AT$1-1),Raw_매출!$B$1:$BI$1,0))/(INDEX(요약_월별시즈널리티!$F$7:$F$18,MONTH(EDATE($E122,AT$1-1)))/100))),"")</f>
        <v/>
      </c>
      <c r="AU122" t="str" cm="1">
        <f t="array" ref="AU122">IFERROR(IF($E122&lt;44348,"",IF(INDEX(Raw_매출!$B$2:$BI$155,MATCH($A122,Raw_매출!$A$2:$A$155,0),MATCH(EDATE($E122,AU$1-1),Raw_매출!$B$1:$BI$1,0))=0,"",INDEX(Raw_매출!$B$2:$BI$155,MATCH($A122,Raw_매출!$A$2:$A$155,0),MATCH(EDATE($E122,AU$1-1),Raw_매출!$B$1:$BI$1,0))/(INDEX(요약_월별시즈널리티!$F$7:$F$18,MONTH(EDATE($E122,AU$1-1)))/100))),"")</f>
        <v/>
      </c>
      <c r="AV122" t="str" cm="1">
        <f t="array" ref="AV122">IFERROR(IF($E122&lt;44348,"",IF(INDEX(Raw_매출!$B$2:$BI$155,MATCH($A122,Raw_매출!$A$2:$A$155,0),MATCH(EDATE($E122,AV$1-1),Raw_매출!$B$1:$BI$1,0))=0,"",INDEX(Raw_매출!$B$2:$BI$155,MATCH($A122,Raw_매출!$A$2:$A$155,0),MATCH(EDATE($E122,AV$1-1),Raw_매출!$B$1:$BI$1,0))/(INDEX(요약_월별시즈널리티!$F$7:$F$18,MONTH(EDATE($E122,AV$1-1)))/100))),"")</f>
        <v/>
      </c>
      <c r="AW122" t="str" cm="1">
        <f t="array" ref="AW122">IFERROR(IF($E122&lt;44348,"",IF(INDEX(Raw_매출!$B$2:$BI$155,MATCH($A122,Raw_매출!$A$2:$A$155,0),MATCH(EDATE($E122,AW$1-1),Raw_매출!$B$1:$BI$1,0))=0,"",INDEX(Raw_매출!$B$2:$BI$155,MATCH($A122,Raw_매출!$A$2:$A$155,0),MATCH(EDATE($E122,AW$1-1),Raw_매출!$B$1:$BI$1,0))/(INDEX(요약_월별시즈널리티!$F$7:$F$18,MONTH(EDATE($E122,AW$1-1)))/100))),"")</f>
        <v/>
      </c>
      <c r="AX122" t="str" cm="1">
        <f t="array" ref="AX122">IFERROR(IF($E122&lt;44348,"",IF(INDEX(Raw_매출!$B$2:$BI$155,MATCH($A122,Raw_매출!$A$2:$A$155,0),MATCH(EDATE($E122,AX$1-1),Raw_매출!$B$1:$BI$1,0))=0,"",INDEX(Raw_매출!$B$2:$BI$155,MATCH($A122,Raw_매출!$A$2:$A$155,0),MATCH(EDATE($E122,AX$1-1),Raw_매출!$B$1:$BI$1,0))/(INDEX(요약_월별시즈널리티!$F$7:$F$18,MONTH(EDATE($E122,AX$1-1)))/100))),"")</f>
        <v/>
      </c>
      <c r="AY122" t="str" cm="1">
        <f t="array" ref="AY122">IFERROR(IF($E122&lt;44348,"",IF(INDEX(Raw_매출!$B$2:$BI$155,MATCH($A122,Raw_매출!$A$2:$A$155,0),MATCH(EDATE($E122,AY$1-1),Raw_매출!$B$1:$BI$1,0))=0,"",INDEX(Raw_매출!$B$2:$BI$155,MATCH($A122,Raw_매출!$A$2:$A$155,0),MATCH(EDATE($E122,AY$1-1),Raw_매출!$B$1:$BI$1,0))/(INDEX(요약_월별시즈널리티!$F$7:$F$18,MONTH(EDATE($E122,AY$1-1)))/100))),"")</f>
        <v/>
      </c>
      <c r="AZ122" t="str" cm="1">
        <f t="array" ref="AZ122">IFERROR(IF($E122&lt;44348,"",IF(INDEX(Raw_매출!$B$2:$BI$155,MATCH($A122,Raw_매출!$A$2:$A$155,0),MATCH(EDATE($E122,AZ$1-1),Raw_매출!$B$1:$BI$1,0))=0,"",INDEX(Raw_매출!$B$2:$BI$155,MATCH($A122,Raw_매출!$A$2:$A$155,0),MATCH(EDATE($E122,AZ$1-1),Raw_매출!$B$1:$BI$1,0))/(INDEX(요약_월별시즈널리티!$F$7:$F$18,MONTH(EDATE($E122,AZ$1-1)))/100))),"")</f>
        <v/>
      </c>
      <c r="BA122" t="str" cm="1">
        <f t="array" ref="BA122">IFERROR(IF($E122&lt;44348,"",IF(INDEX(Raw_매출!$B$2:$BI$155,MATCH($A122,Raw_매출!$A$2:$A$155,0),MATCH(EDATE($E122,BA$1-1),Raw_매출!$B$1:$BI$1,0))=0,"",INDEX(Raw_매출!$B$2:$BI$155,MATCH($A122,Raw_매출!$A$2:$A$155,0),MATCH(EDATE($E122,BA$1-1),Raw_매출!$B$1:$BI$1,0))/(INDEX(요약_월별시즈널리티!$F$7:$F$18,MONTH(EDATE($E122,BA$1-1)))/100))),"")</f>
        <v/>
      </c>
      <c r="BB122" t="str" cm="1">
        <f t="array" ref="BB122">IFERROR(IF($E122&lt;44348,"",IF(INDEX(Raw_매출!$B$2:$BI$155,MATCH($A122,Raw_매출!$A$2:$A$155,0),MATCH(EDATE($E122,BB$1-1),Raw_매출!$B$1:$BI$1,0))=0,"",INDEX(Raw_매출!$B$2:$BI$155,MATCH($A122,Raw_매출!$A$2:$A$155,0),MATCH(EDATE($E122,BB$1-1),Raw_매출!$B$1:$BI$1,0))/(INDEX(요약_월별시즈널리티!$F$7:$F$18,MONTH(EDATE($E122,BB$1-1)))/100))),"")</f>
        <v/>
      </c>
      <c r="BC122" t="str" cm="1">
        <f t="array" ref="BC122">IFERROR(IF($E122&lt;44348,"",IF(INDEX(Raw_매출!$B$2:$BI$155,MATCH($A122,Raw_매출!$A$2:$A$155,0),MATCH(EDATE($E122,BC$1-1),Raw_매출!$B$1:$BI$1,0))=0,"",INDEX(Raw_매출!$B$2:$BI$155,MATCH($A122,Raw_매출!$A$2:$A$155,0),MATCH(EDATE($E122,BC$1-1),Raw_매출!$B$1:$BI$1,0))/(INDEX(요약_월별시즈널리티!$F$7:$F$18,MONTH(EDATE($E122,BC$1-1)))/100))),"")</f>
        <v/>
      </c>
      <c r="BD122" t="str" cm="1">
        <f t="array" ref="BD122">IFERROR(IF($E122&lt;44348,"",IF(INDEX(Raw_매출!$B$2:$BI$155,MATCH($A122,Raw_매출!$A$2:$A$155,0),MATCH(EDATE($E122,BD$1-1),Raw_매출!$B$1:$BI$1,0))=0,"",INDEX(Raw_매출!$B$2:$BI$155,MATCH($A122,Raw_매출!$A$2:$A$155,0),MATCH(EDATE($E122,BD$1-1),Raw_매출!$B$1:$BI$1,0))/(INDEX(요약_월별시즈널리티!$F$7:$F$18,MONTH(EDATE($E122,BD$1-1)))/100))),"")</f>
        <v/>
      </c>
      <c r="BE122" t="str" cm="1">
        <f t="array" ref="BE122">IFERROR(IF($E122&lt;44348,"",IF(INDEX(Raw_매출!$B$2:$BI$155,MATCH($A122,Raw_매출!$A$2:$A$155,0),MATCH(EDATE($E122,BE$1-1),Raw_매출!$B$1:$BI$1,0))=0,"",INDEX(Raw_매출!$B$2:$BI$155,MATCH($A122,Raw_매출!$A$2:$A$155,0),MATCH(EDATE($E122,BE$1-1),Raw_매출!$B$1:$BI$1,0))/(INDEX(요약_월별시즈널리티!$F$7:$F$18,MONTH(EDATE($E122,BE$1-1)))/100))),"")</f>
        <v/>
      </c>
      <c r="BF122" t="str" cm="1">
        <f t="array" ref="BF122">IFERROR(IF($E122&lt;44348,"",IF(INDEX(Raw_매출!$B$2:$BI$155,MATCH($A122,Raw_매출!$A$2:$A$155,0),MATCH(EDATE($E122,BF$1-1),Raw_매출!$B$1:$BI$1,0))=0,"",INDEX(Raw_매출!$B$2:$BI$155,MATCH($A122,Raw_매출!$A$2:$A$155,0),MATCH(EDATE($E122,BF$1-1),Raw_매출!$B$1:$BI$1,0))/(INDEX(요약_월별시즈널리티!$F$7:$F$18,MONTH(EDATE($E122,BF$1-1)))/100))),"")</f>
        <v/>
      </c>
      <c r="BG122" t="str" cm="1">
        <f t="array" ref="BG122">IFERROR(IF($E122&lt;44348,"",IF(INDEX(Raw_매출!$B$2:$BI$155,MATCH($A122,Raw_매출!$A$2:$A$155,0),MATCH(EDATE($E122,BG$1-1),Raw_매출!$B$1:$BI$1,0))=0,"",INDEX(Raw_매출!$B$2:$BI$155,MATCH($A122,Raw_매출!$A$2:$A$155,0),MATCH(EDATE($E122,BG$1-1),Raw_매출!$B$1:$BI$1,0))/(INDEX(요약_월별시즈널리티!$F$7:$F$18,MONTH(EDATE($E122,BG$1-1)))/100))),"")</f>
        <v/>
      </c>
      <c r="BH122" t="str" cm="1">
        <f t="array" ref="BH122">IFERROR(IF($E122&lt;44348,"",IF(INDEX(Raw_매출!$B$2:$BI$155,MATCH($A122,Raw_매출!$A$2:$A$155,0),MATCH(EDATE($E122,BH$1-1),Raw_매출!$B$1:$BI$1,0))=0,"",INDEX(Raw_매출!$B$2:$BI$155,MATCH($A122,Raw_매출!$A$2:$A$155,0),MATCH(EDATE($E122,BH$1-1),Raw_매출!$B$1:$BI$1,0))/(INDEX(요약_월별시즈널리티!$F$7:$F$18,MONTH(EDATE($E122,BH$1-1)))/100))),"")</f>
        <v/>
      </c>
      <c r="BI122" t="str" cm="1">
        <f t="array" ref="BI122">IFERROR(IF($E122&lt;44348,"",IF(INDEX(Raw_매출!$B$2:$BI$155,MATCH($A122,Raw_매출!$A$2:$A$155,0),MATCH(EDATE($E122,BI$1-1),Raw_매출!$B$1:$BI$1,0))=0,"",INDEX(Raw_매출!$B$2:$BI$155,MATCH($A122,Raw_매출!$A$2:$A$155,0),MATCH(EDATE($E122,BI$1-1),Raw_매출!$B$1:$BI$1,0))/(INDEX(요약_월별시즈널리티!$F$7:$F$18,MONTH(EDATE($E122,BI$1-1)))/100))),"")</f>
        <v/>
      </c>
      <c r="BJ122" t="str" cm="1">
        <f t="array" ref="BJ122">IFERROR(IF($E122&lt;44348,"",IF(INDEX(Raw_매출!$B$2:$BI$155,MATCH($A122,Raw_매출!$A$2:$A$155,0),MATCH(EDATE($E122,BJ$1-1),Raw_매출!$B$1:$BI$1,0))=0,"",INDEX(Raw_매출!$B$2:$BI$155,MATCH($A122,Raw_매출!$A$2:$A$155,0),MATCH(EDATE($E122,BJ$1-1),Raw_매출!$B$1:$BI$1,0))/(INDEX(요약_월별시즈널리티!$F$7:$F$18,MONTH(EDATE($E122,BJ$1-1)))/100))),"")</f>
        <v/>
      </c>
      <c r="BK122" t="str" cm="1">
        <f t="array" ref="BK122">IFERROR(IF($E122&lt;44348,"",IF(INDEX(Raw_매출!$B$2:$BI$155,MATCH($A122,Raw_매출!$A$2:$A$155,0),MATCH(EDATE($E122,BK$1-1),Raw_매출!$B$1:$BI$1,0))=0,"",INDEX(Raw_매출!$B$2:$BI$155,MATCH($A122,Raw_매출!$A$2:$A$155,0),MATCH(EDATE($E122,BK$1-1),Raw_매출!$B$1:$BI$1,0))/(INDEX(요약_월별시즈널리티!$F$7:$F$18,MONTH(EDATE($E122,BK$1-1)))/100))),"")</f>
        <v/>
      </c>
      <c r="BL122" t="str" cm="1">
        <f t="array" ref="BL122">IFERROR(IF($E122&lt;44348,"",IF(INDEX(Raw_매출!$B$2:$BI$155,MATCH($A122,Raw_매출!$A$2:$A$155,0),MATCH(EDATE($E122,BL$1-1),Raw_매출!$B$1:$BI$1,0))=0,"",INDEX(Raw_매출!$B$2:$BI$155,MATCH($A122,Raw_매출!$A$2:$A$155,0),MATCH(EDATE($E122,BL$1-1),Raw_매출!$B$1:$BI$1,0))/(INDEX(요약_월별시즈널리티!$F$7:$F$18,MONTH(EDATE($E122,BL$1-1)))/100))),"")</f>
        <v/>
      </c>
      <c r="BM122" t="str" cm="1">
        <f t="array" ref="BM122">IFERROR(IF($E122&lt;44348,"",IF(INDEX(Raw_매출!$B$2:$BI$155,MATCH($A122,Raw_매출!$A$2:$A$155,0),MATCH(EDATE($E122,BM$1-1),Raw_매출!$B$1:$BI$1,0))=0,"",INDEX(Raw_매출!$B$2:$BI$155,MATCH($A122,Raw_매출!$A$2:$A$155,0),MATCH(EDATE($E122,BM$1-1),Raw_매출!$B$1:$BI$1,0))/(INDEX(요약_월별시즈널리티!$F$7:$F$18,MONTH(EDATE($E122,BM$1-1)))/100))),"")</f>
        <v/>
      </c>
      <c r="BN122" t="str" cm="1">
        <f t="array" ref="BN122">IFERROR(IF($E122&lt;44348,"",IF(INDEX(Raw_매출!$B$2:$BI$155,MATCH($A122,Raw_매출!$A$2:$A$155,0),MATCH(EDATE($E122,BN$1-1),Raw_매출!$B$1:$BI$1,0))=0,"",INDEX(Raw_매출!$B$2:$BI$155,MATCH($A122,Raw_매출!$A$2:$A$155,0),MATCH(EDATE($E122,BN$1-1),Raw_매출!$B$1:$BI$1,0))/(INDEX(요약_월별시즈널리티!$F$7:$F$18,MONTH(EDATE($E122,BN$1-1)))/100))),"")</f>
        <v/>
      </c>
    </row>
    <row r="123" spans="1:66" x14ac:dyDescent="0.4">
      <c r="A123" t="str">
        <f>세팅!A124</f>
        <v>(1113) #우송대삼거리점</v>
      </c>
      <c r="B123" t="str">
        <f>세팅!B124</f>
        <v>150-0</v>
      </c>
      <c r="C123">
        <f t="shared" si="3"/>
        <v>0</v>
      </c>
      <c r="D123" t="str">
        <f t="shared" si="4"/>
        <v>0</v>
      </c>
      <c r="E123" s="1">
        <f>세팅!D124</f>
        <v>45474</v>
      </c>
      <c r="F123">
        <f t="shared" si="5"/>
        <v>7692386.9781549247</v>
      </c>
      <c r="G123" cm="1">
        <f t="array" ref="G123">IFERROR(IF($E123&lt;44348,"",IF(INDEX(Raw_매출!$B$2:$BI$155,MATCH($A123,Raw_매출!$A$2:$A$155,0),MATCH(EDATE($E123,G$1-1),Raw_매출!$B$1:$BI$1,0))=0,"",INDEX(Raw_매출!$B$2:$BI$155,MATCH($A123,Raw_매출!$A$2:$A$155,0),MATCH(EDATE($E123,G$1-1),Raw_매출!$B$1:$BI$1,0))/(INDEX(요약_월별시즈널리티!$F$7:$F$18,MONTH(EDATE($E123,G$1-1)))/100))),"")</f>
        <v>5397557.2249484882</v>
      </c>
      <c r="H123" cm="1">
        <f t="array" ref="H123">IFERROR(IF($E123&lt;44348,"",IF(INDEX(Raw_매출!$B$2:$BI$155,MATCH($A123,Raw_매출!$A$2:$A$155,0),MATCH(EDATE($E123,H$1-1),Raw_매출!$B$1:$BI$1,0))=0,"",INDEX(Raw_매출!$B$2:$BI$155,MATCH($A123,Raw_매출!$A$2:$A$155,0),MATCH(EDATE($E123,H$1-1),Raw_매출!$B$1:$BI$1,0))/(INDEX(요약_월별시즈널리티!$F$7:$F$18,MONTH(EDATE($E123,H$1-1)))/100))),"")</f>
        <v>6356927.0075886939</v>
      </c>
      <c r="I123" cm="1">
        <f t="array" ref="I123">IFERROR(IF($E123&lt;44348,"",IF(INDEX(Raw_매출!$B$2:$BI$155,MATCH($A123,Raw_매출!$A$2:$A$155,0),MATCH(EDATE($E123,I$1-1),Raw_매출!$B$1:$BI$1,0))=0,"",INDEX(Raw_매출!$B$2:$BI$155,MATCH($A123,Raw_매출!$A$2:$A$155,0),MATCH(EDATE($E123,I$1-1),Raw_매출!$B$1:$BI$1,0))/(INDEX(요약_월별시즈널리티!$F$7:$F$18,MONTH(EDATE($E123,I$1-1)))/100))),"")</f>
        <v>7662730.3395023784</v>
      </c>
      <c r="J123" s="30" cm="1">
        <f t="array" ref="J123">IFERROR(IF($E123&lt;44348,"",IF(INDEX(Raw_매출!$B$2:$BI$155,MATCH($A123,Raw_매출!$A$2:$A$155,0),MATCH(EDATE($E123,J$1-1),Raw_매출!$B$1:$BI$1,0))=0,"",INDEX(Raw_매출!$B$2:$BI$155,MATCH($A123,Raw_매출!$A$2:$A$155,0),MATCH(EDATE($E123,J$1-1),Raw_매출!$B$1:$BI$1,0))/(INDEX(요약_월별시즈널리티!$F$7:$F$18,MONTH(EDATE($E123,J$1-1)))/100))),"")</f>
        <v>7238497.8590999832</v>
      </c>
      <c r="K123" s="30" cm="1">
        <f t="array" ref="K123">IFERROR(IF($E123&lt;44348,"",IF(INDEX(Raw_매출!$B$2:$BI$155,MATCH($A123,Raw_매출!$A$2:$A$155,0),MATCH(EDATE($E123,K$1-1),Raw_매출!$B$1:$BI$1,0))=0,"",INDEX(Raw_매출!$B$2:$BI$155,MATCH($A123,Raw_매출!$A$2:$A$155,0),MATCH(EDATE($E123,K$1-1),Raw_매출!$B$1:$BI$1,0))/(INDEX(요약_월별시즈널리티!$F$7:$F$18,MONTH(EDATE($E123,K$1-1)))/100))),"")</f>
        <v>7587435.5515960408</v>
      </c>
      <c r="L123" s="30" cm="1">
        <f t="array" ref="L123">IFERROR(IF($E123&lt;44348,"",IF(INDEX(Raw_매출!$B$2:$BI$155,MATCH($A123,Raw_매출!$A$2:$A$155,0),MATCH(EDATE($E123,L$1-1),Raw_매출!$B$1:$BI$1,0))=0,"",INDEX(Raw_매출!$B$2:$BI$155,MATCH($A123,Raw_매출!$A$2:$A$155,0),MATCH(EDATE($E123,L$1-1),Raw_매출!$B$1:$BI$1,0))/(INDEX(요약_월별시즈널리티!$F$7:$F$18,MONTH(EDATE($E123,L$1-1)))/100))),"")</f>
        <v>7017091.6239916906</v>
      </c>
      <c r="M123" s="30" cm="1">
        <f t="array" ref="M123">IFERROR(IF($E123&lt;44348,"",IF(INDEX(Raw_매출!$B$2:$BI$155,MATCH($A123,Raw_매출!$A$2:$A$155,0),MATCH(EDATE($E123,M$1-1),Raw_매출!$B$1:$BI$1,0))=0,"",INDEX(Raw_매출!$B$2:$BI$155,MATCH($A123,Raw_매출!$A$2:$A$155,0),MATCH(EDATE($E123,M$1-1),Raw_매출!$B$1:$BI$1,0))/(INDEX(요약_월별시즈널리티!$F$7:$F$18,MONTH(EDATE($E123,M$1-1)))/100))),"")</f>
        <v>6719860.1771198288</v>
      </c>
      <c r="N123" s="30" cm="1">
        <f t="array" ref="N123">IFERROR(IF($E123&lt;44348,"",IF(INDEX(Raw_매출!$B$2:$BI$155,MATCH($A123,Raw_매출!$A$2:$A$155,0),MATCH(EDATE($E123,N$1-1),Raw_매출!$B$1:$BI$1,0))=0,"",INDEX(Raw_매출!$B$2:$BI$155,MATCH($A123,Raw_매출!$A$2:$A$155,0),MATCH(EDATE($E123,N$1-1),Raw_매출!$B$1:$BI$1,0))/(INDEX(요약_월별시즈널리티!$F$7:$F$18,MONTH(EDATE($E123,N$1-1)))/100))),"")</f>
        <v>8786991.7899199184</v>
      </c>
      <c r="O123" s="30" cm="1">
        <f t="array" ref="O123">IFERROR(IF($E123&lt;44348,"",IF(INDEX(Raw_매출!$B$2:$BI$155,MATCH($A123,Raw_매출!$A$2:$A$155,0),MATCH(EDATE($E123,O$1-1),Raw_매출!$B$1:$BI$1,0))=0,"",INDEX(Raw_매출!$B$2:$BI$155,MATCH($A123,Raw_매출!$A$2:$A$155,0),MATCH(EDATE($E123,O$1-1),Raw_매출!$B$1:$BI$1,0))/(INDEX(요약_월별시즈널리티!$F$7:$F$18,MONTH(EDATE($E123,O$1-1)))/100))),"")</f>
        <v>8804444.8672020882</v>
      </c>
      <c r="P123" cm="1">
        <f t="array" ref="P123">IFERROR(IF($E123&lt;44348,"",IF(INDEX(Raw_매출!$B$2:$BI$155,MATCH($A123,Raw_매출!$A$2:$A$155,0),MATCH(EDATE($E123,P$1-1),Raw_매출!$B$1:$BI$1,0))=0,"",INDEX(Raw_매출!$B$2:$BI$155,MATCH($A123,Raw_매출!$A$2:$A$155,0),MATCH(EDATE($E123,P$1-1),Raw_매출!$B$1:$BI$1,0))/(INDEX(요약_월별시즈널리티!$F$7:$F$18,MONTH(EDATE($E123,P$1-1)))/100))),"")</f>
        <v>7817582.0229042349</v>
      </c>
      <c r="Q123" cm="1">
        <f t="array" ref="Q123">IFERROR(IF($E123&lt;44348,"",IF(INDEX(Raw_매출!$B$2:$BI$155,MATCH($A123,Raw_매출!$A$2:$A$155,0),MATCH(EDATE($E123,Q$1-1),Raw_매출!$B$1:$BI$1,0))=0,"",INDEX(Raw_매출!$B$2:$BI$155,MATCH($A123,Raw_매출!$A$2:$A$155,0),MATCH(EDATE($E123,Q$1-1),Raw_매출!$B$1:$BI$1,0))/(INDEX(요약_월별시즈널리티!$F$7:$F$18,MONTH(EDATE($E123,Q$1-1)))/100))),"")</f>
        <v>8278847.3731969651</v>
      </c>
      <c r="R123" cm="1">
        <f t="array" ref="R123">IFERROR(IF($E123&lt;44348,"",IF(INDEX(Raw_매출!$B$2:$BI$155,MATCH($A123,Raw_매출!$A$2:$A$155,0),MATCH(EDATE($E123,R$1-1),Raw_매출!$B$1:$BI$1,0))=0,"",INDEX(Raw_매출!$B$2:$BI$155,MATCH($A123,Raw_매출!$A$2:$A$155,0),MATCH(EDATE($E123,R$1-1),Raw_매출!$B$1:$BI$1,0))/(INDEX(요약_월별시즈널리티!$F$7:$F$18,MONTH(EDATE($E123,R$1-1)))/100))),"")</f>
        <v>7945706.884593674</v>
      </c>
      <c r="S123" cm="1">
        <f t="array" ref="S123">IFERROR(IF($E123&lt;44348,"",IF(INDEX(Raw_매출!$B$2:$BI$155,MATCH($A123,Raw_매출!$A$2:$A$155,0),MATCH(EDATE($E123,S$1-1),Raw_매출!$B$1:$BI$1,0))=0,"",INDEX(Raw_매출!$B$2:$BI$155,MATCH($A123,Raw_매출!$A$2:$A$155,0),MATCH(EDATE($E123,S$1-1),Raw_매출!$B$1:$BI$1,0))/(INDEX(요약_월별시즈널리티!$F$7:$F$18,MONTH(EDATE($E123,S$1-1)))/100))),"")</f>
        <v>6743304.4322243342</v>
      </c>
      <c r="T123" cm="1">
        <f t="array" ref="T123">IFERROR(IF($E123&lt;44348,"",IF(INDEX(Raw_매출!$B$2:$BI$155,MATCH($A123,Raw_매출!$A$2:$A$155,0),MATCH(EDATE($E123,T$1-1),Raw_매출!$B$1:$BI$1,0))=0,"",INDEX(Raw_매출!$B$2:$BI$155,MATCH($A123,Raw_매출!$A$2:$A$155,0),MATCH(EDATE($E123,T$1-1),Raw_매출!$B$1:$BI$1,0))/(INDEX(요약_월별시즈널리티!$F$7:$F$18,MONTH(EDATE($E123,T$1-1)))/100))),"")</f>
        <v>7172340.0364966961</v>
      </c>
      <c r="U123" cm="1">
        <f t="array" ref="U123">IFERROR(IF($E123&lt;44348,"",IF(INDEX(Raw_매출!$B$2:$BI$155,MATCH($A123,Raw_매출!$A$2:$A$155,0),MATCH(EDATE($E123,U$1-1),Raw_매출!$B$1:$BI$1,0))=0,"",INDEX(Raw_매출!$B$2:$BI$155,MATCH($A123,Raw_매출!$A$2:$A$155,0),MATCH(EDATE($E123,U$1-1),Raw_매출!$B$1:$BI$1,0))/(INDEX(요약_월별시즈널리티!$F$7:$F$18,MONTH(EDATE($E123,U$1-1)))/100))),"")</f>
        <v>8007394.4010308674</v>
      </c>
      <c r="V123" cm="1">
        <f t="array" ref="V123">IFERROR(IF($E123&lt;44348,"",IF(INDEX(Raw_매출!$B$2:$BI$155,MATCH($A123,Raw_매출!$A$2:$A$155,0),MATCH(EDATE($E123,V$1-1),Raw_매출!$B$1:$BI$1,0))=0,"",INDEX(Raw_매출!$B$2:$BI$155,MATCH($A123,Raw_매출!$A$2:$A$155,0),MATCH(EDATE($E123,V$1-1),Raw_매출!$B$1:$BI$1,0))/(INDEX(요약_월별시즈널리티!$F$7:$F$18,MONTH(EDATE($E123,V$1-1)))/100))),"")</f>
        <v>8020550.2092107087</v>
      </c>
      <c r="W123" cm="1">
        <f t="array" ref="W123">IFERROR(IF($E123&lt;44348,"",IF(INDEX(Raw_매출!$B$2:$BI$155,MATCH($A123,Raw_매출!$A$2:$A$155,0),MATCH(EDATE($E123,W$1-1),Raw_매출!$B$1:$BI$1,0))=0,"",INDEX(Raw_매출!$B$2:$BI$155,MATCH($A123,Raw_매출!$A$2:$A$155,0),MATCH(EDATE($E123,W$1-1),Raw_매출!$B$1:$BI$1,0))/(INDEX(요약_월별시즈널리티!$F$7:$F$18,MONTH(EDATE($E123,W$1-1)))/100))),"")</f>
        <v>7874720.8977626041</v>
      </c>
      <c r="X123" cm="1">
        <f t="array" ref="X123">IFERROR(IF($E123&lt;44348,"",IF(INDEX(Raw_매출!$B$2:$BI$155,MATCH($A123,Raw_매출!$A$2:$A$155,0),MATCH(EDATE($E123,X$1-1),Raw_매출!$B$1:$BI$1,0))=0,"",INDEX(Raw_매출!$B$2:$BI$155,MATCH($A123,Raw_매출!$A$2:$A$155,0),MATCH(EDATE($E123,X$1-1),Raw_매출!$B$1:$BI$1,0))/(INDEX(요약_월별시즈널리티!$F$7:$F$18,MONTH(EDATE($E123,X$1-1)))/100))),"")</f>
        <v>7503621.2283637859</v>
      </c>
      <c r="Y123" cm="1">
        <f t="array" ref="Y123">IFERROR(IF($E123&lt;44348,"",IF(INDEX(Raw_매출!$B$2:$BI$155,MATCH($A123,Raw_매출!$A$2:$A$155,0),MATCH(EDATE($E123,Y$1-1),Raw_매출!$B$1:$BI$1,0))=0,"",INDEX(Raw_매출!$B$2:$BI$155,MATCH($A123,Raw_매출!$A$2:$A$155,0),MATCH(EDATE($E123,Y$1-1),Raw_매출!$B$1:$BI$1,0))/(INDEX(요약_월별시즈널리티!$F$7:$F$18,MONTH(EDATE($E123,Y$1-1)))/100))),"")</f>
        <v>6300900.852479605</v>
      </c>
      <c r="Z123" cm="1">
        <f t="array" ref="Z123">IFERROR(IF($E123&lt;44348,"",IF(INDEX(Raw_매출!$B$2:$BI$155,MATCH($A123,Raw_매출!$A$2:$A$155,0),MATCH(EDATE($E123,Z$1-1),Raw_매출!$B$1:$BI$1,0))=0,"",INDEX(Raw_매출!$B$2:$BI$155,MATCH($A123,Raw_매출!$A$2:$A$155,0),MATCH(EDATE($E123,Z$1-1),Raw_매출!$B$1:$BI$1,0))/(INDEX(요약_월별시즈널리티!$F$7:$F$18,MONTH(EDATE($E123,Z$1-1)))/100))),"")</f>
        <v>8597059.1488319505</v>
      </c>
      <c r="AA123" cm="1">
        <f t="array" ref="AA123">IFERROR(IF($E123&lt;44348,"",IF(INDEX(Raw_매출!$B$2:$BI$155,MATCH($A123,Raw_매출!$A$2:$A$155,0),MATCH(EDATE($E123,AA$1-1),Raw_매출!$B$1:$BI$1,0))=0,"",INDEX(Raw_매출!$B$2:$BI$155,MATCH($A123,Raw_매출!$A$2:$A$155,0),MATCH(EDATE($E123,AA$1-1),Raw_매출!$B$1:$BI$1,0))/(INDEX(요약_월별시즈널리티!$F$7:$F$18,MONTH(EDATE($E123,AA$1-1)))/100))),"")</f>
        <v>8325385.1448119255</v>
      </c>
      <c r="AB123" cm="1">
        <f t="array" ref="AB123">IFERROR(IF($E123&lt;44348,"",IF(INDEX(Raw_매출!$B$2:$BI$155,MATCH($A123,Raw_매출!$A$2:$A$155,0),MATCH(EDATE($E123,AB$1-1),Raw_매출!$B$1:$BI$1,0))=0,"",INDEX(Raw_매출!$B$2:$BI$155,MATCH($A123,Raw_매출!$A$2:$A$155,0),MATCH(EDATE($E123,AB$1-1),Raw_매출!$B$1:$BI$1,0))/(INDEX(요약_월별시즈널리티!$F$7:$F$18,MONTH(EDATE($E123,AB$1-1)))/100))),"")</f>
        <v>8573054.1916535236</v>
      </c>
      <c r="AC123" cm="1">
        <f t="array" ref="AC123">IFERROR(IF($E123&lt;44348,"",IF(INDEX(Raw_매출!$B$2:$BI$155,MATCH($A123,Raw_매출!$A$2:$A$155,0),MATCH(EDATE($E123,AC$1-1),Raw_매출!$B$1:$BI$1,0))=0,"",INDEX(Raw_매출!$B$2:$BI$155,MATCH($A123,Raw_매출!$A$2:$A$155,0),MATCH(EDATE($E123,AC$1-1),Raw_매출!$B$1:$BI$1,0))/(INDEX(요약_월별시즈널리티!$F$7:$F$18,MONTH(EDATE($E123,AC$1-1)))/100))),"")</f>
        <v>9321213.9507663529</v>
      </c>
      <c r="AD123" t="str" cm="1">
        <f t="array" ref="AD123">IFERROR(IF($E123&lt;44348,"",IF(INDEX(Raw_매출!$B$2:$BI$155,MATCH($A123,Raw_매출!$A$2:$A$155,0),MATCH(EDATE($E123,AD$1-1),Raw_매출!$B$1:$BI$1,0))=0,"",INDEX(Raw_매출!$B$2:$BI$155,MATCH($A123,Raw_매출!$A$2:$A$155,0),MATCH(EDATE($E123,AD$1-1),Raw_매출!$B$1:$BI$1,0))/(INDEX(요약_월별시즈널리티!$F$7:$F$18,MONTH(EDATE($E123,AD$1-1)))/100))),"")</f>
        <v/>
      </c>
      <c r="AE123" t="str" cm="1">
        <f t="array" ref="AE123">IFERROR(IF($E123&lt;44348,"",IF(INDEX(Raw_매출!$B$2:$BI$155,MATCH($A123,Raw_매출!$A$2:$A$155,0),MATCH(EDATE($E123,AE$1-1),Raw_매출!$B$1:$BI$1,0))=0,"",INDEX(Raw_매출!$B$2:$BI$155,MATCH($A123,Raw_매출!$A$2:$A$155,0),MATCH(EDATE($E123,AE$1-1),Raw_매출!$B$1:$BI$1,0))/(INDEX(요약_월별시즈널리티!$F$7:$F$18,MONTH(EDATE($E123,AE$1-1)))/100))),"")</f>
        <v/>
      </c>
      <c r="AF123" t="str" cm="1">
        <f t="array" ref="AF123">IFERROR(IF($E123&lt;44348,"",IF(INDEX(Raw_매출!$B$2:$BI$155,MATCH($A123,Raw_매출!$A$2:$A$155,0),MATCH(EDATE($E123,AF$1-1),Raw_매출!$B$1:$BI$1,0))=0,"",INDEX(Raw_매출!$B$2:$BI$155,MATCH($A123,Raw_매출!$A$2:$A$155,0),MATCH(EDATE($E123,AF$1-1),Raw_매출!$B$1:$BI$1,0))/(INDEX(요약_월별시즈널리티!$F$7:$F$18,MONTH(EDATE($E123,AF$1-1)))/100))),"")</f>
        <v/>
      </c>
      <c r="AG123" t="str" cm="1">
        <f t="array" ref="AG123">IFERROR(IF($E123&lt;44348,"",IF(INDEX(Raw_매출!$B$2:$BI$155,MATCH($A123,Raw_매출!$A$2:$A$155,0),MATCH(EDATE($E123,AG$1-1),Raw_매출!$B$1:$BI$1,0))=0,"",INDEX(Raw_매출!$B$2:$BI$155,MATCH($A123,Raw_매출!$A$2:$A$155,0),MATCH(EDATE($E123,AG$1-1),Raw_매출!$B$1:$BI$1,0))/(INDEX(요약_월별시즈널리티!$F$7:$F$18,MONTH(EDATE($E123,AG$1-1)))/100))),"")</f>
        <v/>
      </c>
      <c r="AH123" t="str" cm="1">
        <f t="array" ref="AH123">IFERROR(IF($E123&lt;44348,"",IF(INDEX(Raw_매출!$B$2:$BI$155,MATCH($A123,Raw_매출!$A$2:$A$155,0),MATCH(EDATE($E123,AH$1-1),Raw_매출!$B$1:$BI$1,0))=0,"",INDEX(Raw_매출!$B$2:$BI$155,MATCH($A123,Raw_매출!$A$2:$A$155,0),MATCH(EDATE($E123,AH$1-1),Raw_매출!$B$1:$BI$1,0))/(INDEX(요약_월별시즈널리티!$F$7:$F$18,MONTH(EDATE($E123,AH$1-1)))/100))),"")</f>
        <v/>
      </c>
      <c r="AI123" t="str" cm="1">
        <f t="array" ref="AI123">IFERROR(IF($E123&lt;44348,"",IF(INDEX(Raw_매출!$B$2:$BI$155,MATCH($A123,Raw_매출!$A$2:$A$155,0),MATCH(EDATE($E123,AI$1-1),Raw_매출!$B$1:$BI$1,0))=0,"",INDEX(Raw_매출!$B$2:$BI$155,MATCH($A123,Raw_매출!$A$2:$A$155,0),MATCH(EDATE($E123,AI$1-1),Raw_매출!$B$1:$BI$1,0))/(INDEX(요약_월별시즈널리티!$F$7:$F$18,MONTH(EDATE($E123,AI$1-1)))/100))),"")</f>
        <v/>
      </c>
      <c r="AJ123" t="str" cm="1">
        <f t="array" ref="AJ123">IFERROR(IF($E123&lt;44348,"",IF(INDEX(Raw_매출!$B$2:$BI$155,MATCH($A123,Raw_매출!$A$2:$A$155,0),MATCH(EDATE($E123,AJ$1-1),Raw_매출!$B$1:$BI$1,0))=0,"",INDEX(Raw_매출!$B$2:$BI$155,MATCH($A123,Raw_매출!$A$2:$A$155,0),MATCH(EDATE($E123,AJ$1-1),Raw_매출!$B$1:$BI$1,0))/(INDEX(요약_월별시즈널리티!$F$7:$F$18,MONTH(EDATE($E123,AJ$1-1)))/100))),"")</f>
        <v/>
      </c>
      <c r="AK123" t="str" cm="1">
        <f t="array" ref="AK123">IFERROR(IF($E123&lt;44348,"",IF(INDEX(Raw_매출!$B$2:$BI$155,MATCH($A123,Raw_매출!$A$2:$A$155,0),MATCH(EDATE($E123,AK$1-1),Raw_매출!$B$1:$BI$1,0))=0,"",INDEX(Raw_매출!$B$2:$BI$155,MATCH($A123,Raw_매출!$A$2:$A$155,0),MATCH(EDATE($E123,AK$1-1),Raw_매출!$B$1:$BI$1,0))/(INDEX(요약_월별시즈널리티!$F$7:$F$18,MONTH(EDATE($E123,AK$1-1)))/100))),"")</f>
        <v/>
      </c>
      <c r="AL123" t="str" cm="1">
        <f t="array" ref="AL123">IFERROR(IF($E123&lt;44348,"",IF(INDEX(Raw_매출!$B$2:$BI$155,MATCH($A123,Raw_매출!$A$2:$A$155,0),MATCH(EDATE($E123,AL$1-1),Raw_매출!$B$1:$BI$1,0))=0,"",INDEX(Raw_매출!$B$2:$BI$155,MATCH($A123,Raw_매출!$A$2:$A$155,0),MATCH(EDATE($E123,AL$1-1),Raw_매출!$B$1:$BI$1,0))/(INDEX(요약_월별시즈널리티!$F$7:$F$18,MONTH(EDATE($E123,AL$1-1)))/100))),"")</f>
        <v/>
      </c>
      <c r="AM123" t="str" cm="1">
        <f t="array" ref="AM123">IFERROR(IF($E123&lt;44348,"",IF(INDEX(Raw_매출!$B$2:$BI$155,MATCH($A123,Raw_매출!$A$2:$A$155,0),MATCH(EDATE($E123,AM$1-1),Raw_매출!$B$1:$BI$1,0))=0,"",INDEX(Raw_매출!$B$2:$BI$155,MATCH($A123,Raw_매출!$A$2:$A$155,0),MATCH(EDATE($E123,AM$1-1),Raw_매출!$B$1:$BI$1,0))/(INDEX(요약_월별시즈널리티!$F$7:$F$18,MONTH(EDATE($E123,AM$1-1)))/100))),"")</f>
        <v/>
      </c>
      <c r="AN123" t="str" cm="1">
        <f t="array" ref="AN123">IFERROR(IF($E123&lt;44348,"",IF(INDEX(Raw_매출!$B$2:$BI$155,MATCH($A123,Raw_매출!$A$2:$A$155,0),MATCH(EDATE($E123,AN$1-1),Raw_매출!$B$1:$BI$1,0))=0,"",INDEX(Raw_매출!$B$2:$BI$155,MATCH($A123,Raw_매출!$A$2:$A$155,0),MATCH(EDATE($E123,AN$1-1),Raw_매출!$B$1:$BI$1,0))/(INDEX(요약_월별시즈널리티!$F$7:$F$18,MONTH(EDATE($E123,AN$1-1)))/100))),"")</f>
        <v/>
      </c>
      <c r="AO123" t="str" cm="1">
        <f t="array" ref="AO123">IFERROR(IF($E123&lt;44348,"",IF(INDEX(Raw_매출!$B$2:$BI$155,MATCH($A123,Raw_매출!$A$2:$A$155,0),MATCH(EDATE($E123,AO$1-1),Raw_매출!$B$1:$BI$1,0))=0,"",INDEX(Raw_매출!$B$2:$BI$155,MATCH($A123,Raw_매출!$A$2:$A$155,0),MATCH(EDATE($E123,AO$1-1),Raw_매출!$B$1:$BI$1,0))/(INDEX(요약_월별시즈널리티!$F$7:$F$18,MONTH(EDATE($E123,AO$1-1)))/100))),"")</f>
        <v/>
      </c>
      <c r="AP123" t="str" cm="1">
        <f t="array" ref="AP123">IFERROR(IF($E123&lt;44348,"",IF(INDEX(Raw_매출!$B$2:$BI$155,MATCH($A123,Raw_매출!$A$2:$A$155,0),MATCH(EDATE($E123,AP$1-1),Raw_매출!$B$1:$BI$1,0))=0,"",INDEX(Raw_매출!$B$2:$BI$155,MATCH($A123,Raw_매출!$A$2:$A$155,0),MATCH(EDATE($E123,AP$1-1),Raw_매출!$B$1:$BI$1,0))/(INDEX(요약_월별시즈널리티!$F$7:$F$18,MONTH(EDATE($E123,AP$1-1)))/100))),"")</f>
        <v/>
      </c>
      <c r="AQ123" t="str" cm="1">
        <f t="array" ref="AQ123">IFERROR(IF($E123&lt;44348,"",IF(INDEX(Raw_매출!$B$2:$BI$155,MATCH($A123,Raw_매출!$A$2:$A$155,0),MATCH(EDATE($E123,AQ$1-1),Raw_매출!$B$1:$BI$1,0))=0,"",INDEX(Raw_매출!$B$2:$BI$155,MATCH($A123,Raw_매출!$A$2:$A$155,0),MATCH(EDATE($E123,AQ$1-1),Raw_매출!$B$1:$BI$1,0))/(INDEX(요약_월별시즈널리티!$F$7:$F$18,MONTH(EDATE($E123,AQ$1-1)))/100))),"")</f>
        <v/>
      </c>
      <c r="AR123" t="str" cm="1">
        <f t="array" ref="AR123">IFERROR(IF($E123&lt;44348,"",IF(INDEX(Raw_매출!$B$2:$BI$155,MATCH($A123,Raw_매출!$A$2:$A$155,0),MATCH(EDATE($E123,AR$1-1),Raw_매출!$B$1:$BI$1,0))=0,"",INDEX(Raw_매출!$B$2:$BI$155,MATCH($A123,Raw_매출!$A$2:$A$155,0),MATCH(EDATE($E123,AR$1-1),Raw_매출!$B$1:$BI$1,0))/(INDEX(요약_월별시즈널리티!$F$7:$F$18,MONTH(EDATE($E123,AR$1-1)))/100))),"")</f>
        <v/>
      </c>
      <c r="AS123" t="str" cm="1">
        <f t="array" ref="AS123">IFERROR(IF($E123&lt;44348,"",IF(INDEX(Raw_매출!$B$2:$BI$155,MATCH($A123,Raw_매출!$A$2:$A$155,0),MATCH(EDATE($E123,AS$1-1),Raw_매출!$B$1:$BI$1,0))=0,"",INDEX(Raw_매출!$B$2:$BI$155,MATCH($A123,Raw_매출!$A$2:$A$155,0),MATCH(EDATE($E123,AS$1-1),Raw_매출!$B$1:$BI$1,0))/(INDEX(요약_월별시즈널리티!$F$7:$F$18,MONTH(EDATE($E123,AS$1-1)))/100))),"")</f>
        <v/>
      </c>
      <c r="AT123" t="str" cm="1">
        <f t="array" ref="AT123">IFERROR(IF($E123&lt;44348,"",IF(INDEX(Raw_매출!$B$2:$BI$155,MATCH($A123,Raw_매출!$A$2:$A$155,0),MATCH(EDATE($E123,AT$1-1),Raw_매출!$B$1:$BI$1,0))=0,"",INDEX(Raw_매출!$B$2:$BI$155,MATCH($A123,Raw_매출!$A$2:$A$155,0),MATCH(EDATE($E123,AT$1-1),Raw_매출!$B$1:$BI$1,0))/(INDEX(요약_월별시즈널리티!$F$7:$F$18,MONTH(EDATE($E123,AT$1-1)))/100))),"")</f>
        <v/>
      </c>
      <c r="AU123" t="str" cm="1">
        <f t="array" ref="AU123">IFERROR(IF($E123&lt;44348,"",IF(INDEX(Raw_매출!$B$2:$BI$155,MATCH($A123,Raw_매출!$A$2:$A$155,0),MATCH(EDATE($E123,AU$1-1),Raw_매출!$B$1:$BI$1,0))=0,"",INDEX(Raw_매출!$B$2:$BI$155,MATCH($A123,Raw_매출!$A$2:$A$155,0),MATCH(EDATE($E123,AU$1-1),Raw_매출!$B$1:$BI$1,0))/(INDEX(요약_월별시즈널리티!$F$7:$F$18,MONTH(EDATE($E123,AU$1-1)))/100))),"")</f>
        <v/>
      </c>
      <c r="AV123" t="str" cm="1">
        <f t="array" ref="AV123">IFERROR(IF($E123&lt;44348,"",IF(INDEX(Raw_매출!$B$2:$BI$155,MATCH($A123,Raw_매출!$A$2:$A$155,0),MATCH(EDATE($E123,AV$1-1),Raw_매출!$B$1:$BI$1,0))=0,"",INDEX(Raw_매출!$B$2:$BI$155,MATCH($A123,Raw_매출!$A$2:$A$155,0),MATCH(EDATE($E123,AV$1-1),Raw_매출!$B$1:$BI$1,0))/(INDEX(요약_월별시즈널리티!$F$7:$F$18,MONTH(EDATE($E123,AV$1-1)))/100))),"")</f>
        <v/>
      </c>
      <c r="AW123" t="str" cm="1">
        <f t="array" ref="AW123">IFERROR(IF($E123&lt;44348,"",IF(INDEX(Raw_매출!$B$2:$BI$155,MATCH($A123,Raw_매출!$A$2:$A$155,0),MATCH(EDATE($E123,AW$1-1),Raw_매출!$B$1:$BI$1,0))=0,"",INDEX(Raw_매출!$B$2:$BI$155,MATCH($A123,Raw_매출!$A$2:$A$155,0),MATCH(EDATE($E123,AW$1-1),Raw_매출!$B$1:$BI$1,0))/(INDEX(요약_월별시즈널리티!$F$7:$F$18,MONTH(EDATE($E123,AW$1-1)))/100))),"")</f>
        <v/>
      </c>
      <c r="AX123" t="str" cm="1">
        <f t="array" ref="AX123">IFERROR(IF($E123&lt;44348,"",IF(INDEX(Raw_매출!$B$2:$BI$155,MATCH($A123,Raw_매출!$A$2:$A$155,0),MATCH(EDATE($E123,AX$1-1),Raw_매출!$B$1:$BI$1,0))=0,"",INDEX(Raw_매출!$B$2:$BI$155,MATCH($A123,Raw_매출!$A$2:$A$155,0),MATCH(EDATE($E123,AX$1-1),Raw_매출!$B$1:$BI$1,0))/(INDEX(요약_월별시즈널리티!$F$7:$F$18,MONTH(EDATE($E123,AX$1-1)))/100))),"")</f>
        <v/>
      </c>
      <c r="AY123" t="str" cm="1">
        <f t="array" ref="AY123">IFERROR(IF($E123&lt;44348,"",IF(INDEX(Raw_매출!$B$2:$BI$155,MATCH($A123,Raw_매출!$A$2:$A$155,0),MATCH(EDATE($E123,AY$1-1),Raw_매출!$B$1:$BI$1,0))=0,"",INDEX(Raw_매출!$B$2:$BI$155,MATCH($A123,Raw_매출!$A$2:$A$155,0),MATCH(EDATE($E123,AY$1-1),Raw_매출!$B$1:$BI$1,0))/(INDEX(요약_월별시즈널리티!$F$7:$F$18,MONTH(EDATE($E123,AY$1-1)))/100))),"")</f>
        <v/>
      </c>
      <c r="AZ123" t="str" cm="1">
        <f t="array" ref="AZ123">IFERROR(IF($E123&lt;44348,"",IF(INDEX(Raw_매출!$B$2:$BI$155,MATCH($A123,Raw_매출!$A$2:$A$155,0),MATCH(EDATE($E123,AZ$1-1),Raw_매출!$B$1:$BI$1,0))=0,"",INDEX(Raw_매출!$B$2:$BI$155,MATCH($A123,Raw_매출!$A$2:$A$155,0),MATCH(EDATE($E123,AZ$1-1),Raw_매출!$B$1:$BI$1,0))/(INDEX(요약_월별시즈널리티!$F$7:$F$18,MONTH(EDATE($E123,AZ$1-1)))/100))),"")</f>
        <v/>
      </c>
      <c r="BA123" t="str" cm="1">
        <f t="array" ref="BA123">IFERROR(IF($E123&lt;44348,"",IF(INDEX(Raw_매출!$B$2:$BI$155,MATCH($A123,Raw_매출!$A$2:$A$155,0),MATCH(EDATE($E123,BA$1-1),Raw_매출!$B$1:$BI$1,0))=0,"",INDEX(Raw_매출!$B$2:$BI$155,MATCH($A123,Raw_매출!$A$2:$A$155,0),MATCH(EDATE($E123,BA$1-1),Raw_매출!$B$1:$BI$1,0))/(INDEX(요약_월별시즈널리티!$F$7:$F$18,MONTH(EDATE($E123,BA$1-1)))/100))),"")</f>
        <v/>
      </c>
      <c r="BB123" t="str" cm="1">
        <f t="array" ref="BB123">IFERROR(IF($E123&lt;44348,"",IF(INDEX(Raw_매출!$B$2:$BI$155,MATCH($A123,Raw_매출!$A$2:$A$155,0),MATCH(EDATE($E123,BB$1-1),Raw_매출!$B$1:$BI$1,0))=0,"",INDEX(Raw_매출!$B$2:$BI$155,MATCH($A123,Raw_매출!$A$2:$A$155,0),MATCH(EDATE($E123,BB$1-1),Raw_매출!$B$1:$BI$1,0))/(INDEX(요약_월별시즈널리티!$F$7:$F$18,MONTH(EDATE($E123,BB$1-1)))/100))),"")</f>
        <v/>
      </c>
      <c r="BC123" t="str" cm="1">
        <f t="array" ref="BC123">IFERROR(IF($E123&lt;44348,"",IF(INDEX(Raw_매출!$B$2:$BI$155,MATCH($A123,Raw_매출!$A$2:$A$155,0),MATCH(EDATE($E123,BC$1-1),Raw_매출!$B$1:$BI$1,0))=0,"",INDEX(Raw_매출!$B$2:$BI$155,MATCH($A123,Raw_매출!$A$2:$A$155,0),MATCH(EDATE($E123,BC$1-1),Raw_매출!$B$1:$BI$1,0))/(INDEX(요약_월별시즈널리티!$F$7:$F$18,MONTH(EDATE($E123,BC$1-1)))/100))),"")</f>
        <v/>
      </c>
      <c r="BD123" t="str" cm="1">
        <f t="array" ref="BD123">IFERROR(IF($E123&lt;44348,"",IF(INDEX(Raw_매출!$B$2:$BI$155,MATCH($A123,Raw_매출!$A$2:$A$155,0),MATCH(EDATE($E123,BD$1-1),Raw_매출!$B$1:$BI$1,0))=0,"",INDEX(Raw_매출!$B$2:$BI$155,MATCH($A123,Raw_매출!$A$2:$A$155,0),MATCH(EDATE($E123,BD$1-1),Raw_매출!$B$1:$BI$1,0))/(INDEX(요약_월별시즈널리티!$F$7:$F$18,MONTH(EDATE($E123,BD$1-1)))/100))),"")</f>
        <v/>
      </c>
      <c r="BE123" t="str" cm="1">
        <f t="array" ref="BE123">IFERROR(IF($E123&lt;44348,"",IF(INDEX(Raw_매출!$B$2:$BI$155,MATCH($A123,Raw_매출!$A$2:$A$155,0),MATCH(EDATE($E123,BE$1-1),Raw_매출!$B$1:$BI$1,0))=0,"",INDEX(Raw_매출!$B$2:$BI$155,MATCH($A123,Raw_매출!$A$2:$A$155,0),MATCH(EDATE($E123,BE$1-1),Raw_매출!$B$1:$BI$1,0))/(INDEX(요약_월별시즈널리티!$F$7:$F$18,MONTH(EDATE($E123,BE$1-1)))/100))),"")</f>
        <v/>
      </c>
      <c r="BF123" t="str" cm="1">
        <f t="array" ref="BF123">IFERROR(IF($E123&lt;44348,"",IF(INDEX(Raw_매출!$B$2:$BI$155,MATCH($A123,Raw_매출!$A$2:$A$155,0),MATCH(EDATE($E123,BF$1-1),Raw_매출!$B$1:$BI$1,0))=0,"",INDEX(Raw_매출!$B$2:$BI$155,MATCH($A123,Raw_매출!$A$2:$A$155,0),MATCH(EDATE($E123,BF$1-1),Raw_매출!$B$1:$BI$1,0))/(INDEX(요약_월별시즈널리티!$F$7:$F$18,MONTH(EDATE($E123,BF$1-1)))/100))),"")</f>
        <v/>
      </c>
      <c r="BG123" t="str" cm="1">
        <f t="array" ref="BG123">IFERROR(IF($E123&lt;44348,"",IF(INDEX(Raw_매출!$B$2:$BI$155,MATCH($A123,Raw_매출!$A$2:$A$155,0),MATCH(EDATE($E123,BG$1-1),Raw_매출!$B$1:$BI$1,0))=0,"",INDEX(Raw_매출!$B$2:$BI$155,MATCH($A123,Raw_매출!$A$2:$A$155,0),MATCH(EDATE($E123,BG$1-1),Raw_매출!$B$1:$BI$1,0))/(INDEX(요약_월별시즈널리티!$F$7:$F$18,MONTH(EDATE($E123,BG$1-1)))/100))),"")</f>
        <v/>
      </c>
      <c r="BH123" t="str" cm="1">
        <f t="array" ref="BH123">IFERROR(IF($E123&lt;44348,"",IF(INDEX(Raw_매출!$B$2:$BI$155,MATCH($A123,Raw_매출!$A$2:$A$155,0),MATCH(EDATE($E123,BH$1-1),Raw_매출!$B$1:$BI$1,0))=0,"",INDEX(Raw_매출!$B$2:$BI$155,MATCH($A123,Raw_매출!$A$2:$A$155,0),MATCH(EDATE($E123,BH$1-1),Raw_매출!$B$1:$BI$1,0))/(INDEX(요약_월별시즈널리티!$F$7:$F$18,MONTH(EDATE($E123,BH$1-1)))/100))),"")</f>
        <v/>
      </c>
      <c r="BI123" t="str" cm="1">
        <f t="array" ref="BI123">IFERROR(IF($E123&lt;44348,"",IF(INDEX(Raw_매출!$B$2:$BI$155,MATCH($A123,Raw_매출!$A$2:$A$155,0),MATCH(EDATE($E123,BI$1-1),Raw_매출!$B$1:$BI$1,0))=0,"",INDEX(Raw_매출!$B$2:$BI$155,MATCH($A123,Raw_매출!$A$2:$A$155,0),MATCH(EDATE($E123,BI$1-1),Raw_매출!$B$1:$BI$1,0))/(INDEX(요약_월별시즈널리티!$F$7:$F$18,MONTH(EDATE($E123,BI$1-1)))/100))),"")</f>
        <v/>
      </c>
      <c r="BJ123" t="str" cm="1">
        <f t="array" ref="BJ123">IFERROR(IF($E123&lt;44348,"",IF(INDEX(Raw_매출!$B$2:$BI$155,MATCH($A123,Raw_매출!$A$2:$A$155,0),MATCH(EDATE($E123,BJ$1-1),Raw_매출!$B$1:$BI$1,0))=0,"",INDEX(Raw_매출!$B$2:$BI$155,MATCH($A123,Raw_매출!$A$2:$A$155,0),MATCH(EDATE($E123,BJ$1-1),Raw_매출!$B$1:$BI$1,0))/(INDEX(요약_월별시즈널리티!$F$7:$F$18,MONTH(EDATE($E123,BJ$1-1)))/100))),"")</f>
        <v/>
      </c>
      <c r="BK123" t="str" cm="1">
        <f t="array" ref="BK123">IFERROR(IF($E123&lt;44348,"",IF(INDEX(Raw_매출!$B$2:$BI$155,MATCH($A123,Raw_매출!$A$2:$A$155,0),MATCH(EDATE($E123,BK$1-1),Raw_매출!$B$1:$BI$1,0))=0,"",INDEX(Raw_매출!$B$2:$BI$155,MATCH($A123,Raw_매출!$A$2:$A$155,0),MATCH(EDATE($E123,BK$1-1),Raw_매출!$B$1:$BI$1,0))/(INDEX(요약_월별시즈널리티!$F$7:$F$18,MONTH(EDATE($E123,BK$1-1)))/100))),"")</f>
        <v/>
      </c>
      <c r="BL123" t="str" cm="1">
        <f t="array" ref="BL123">IFERROR(IF($E123&lt;44348,"",IF(INDEX(Raw_매출!$B$2:$BI$155,MATCH($A123,Raw_매출!$A$2:$A$155,0),MATCH(EDATE($E123,BL$1-1),Raw_매출!$B$1:$BI$1,0))=0,"",INDEX(Raw_매출!$B$2:$BI$155,MATCH($A123,Raw_매출!$A$2:$A$155,0),MATCH(EDATE($E123,BL$1-1),Raw_매출!$B$1:$BI$1,0))/(INDEX(요약_월별시즈널리티!$F$7:$F$18,MONTH(EDATE($E123,BL$1-1)))/100))),"")</f>
        <v/>
      </c>
      <c r="BM123" t="str" cm="1">
        <f t="array" ref="BM123">IFERROR(IF($E123&lt;44348,"",IF(INDEX(Raw_매출!$B$2:$BI$155,MATCH($A123,Raw_매출!$A$2:$A$155,0),MATCH(EDATE($E123,BM$1-1),Raw_매출!$B$1:$BI$1,0))=0,"",INDEX(Raw_매출!$B$2:$BI$155,MATCH($A123,Raw_매출!$A$2:$A$155,0),MATCH(EDATE($E123,BM$1-1),Raw_매출!$B$1:$BI$1,0))/(INDEX(요약_월별시즈널리티!$F$7:$F$18,MONTH(EDATE($E123,BM$1-1)))/100))),"")</f>
        <v/>
      </c>
      <c r="BN123" t="str" cm="1">
        <f t="array" ref="BN123">IFERROR(IF($E123&lt;44348,"",IF(INDEX(Raw_매출!$B$2:$BI$155,MATCH($A123,Raw_매출!$A$2:$A$155,0),MATCH(EDATE($E123,BN$1-1),Raw_매출!$B$1:$BI$1,0))=0,"",INDEX(Raw_매출!$B$2:$BI$155,MATCH($A123,Raw_매출!$A$2:$A$155,0),MATCH(EDATE($E123,BN$1-1),Raw_매출!$B$1:$BI$1,0))/(INDEX(요약_월별시즈널리티!$F$7:$F$18,MONTH(EDATE($E123,BN$1-1)))/100))),"")</f>
        <v/>
      </c>
    </row>
    <row r="124" spans="1:66" x14ac:dyDescent="0.4">
      <c r="A124" t="str">
        <f>세팅!A125</f>
        <v>(1114) #관악초등점</v>
      </c>
      <c r="B124" t="str">
        <f>세팅!B125</f>
        <v>150-1</v>
      </c>
      <c r="C124">
        <f t="shared" si="3"/>
        <v>1</v>
      </c>
      <c r="D124" t="str">
        <f t="shared" si="4"/>
        <v>1</v>
      </c>
      <c r="E124" s="1">
        <f>세팅!D125</f>
        <v>45505</v>
      </c>
      <c r="F124">
        <f t="shared" si="5"/>
        <v>4008701.3757638107</v>
      </c>
      <c r="G124" cm="1">
        <f t="array" ref="G124">IFERROR(IF($E124&lt;44348,"",IF(INDEX(Raw_매출!$B$2:$BI$155,MATCH($A124,Raw_매출!$A$2:$A$155,0),MATCH(EDATE($E124,G$1-1),Raw_매출!$B$1:$BI$1,0))=0,"",INDEX(Raw_매출!$B$2:$BI$155,MATCH($A124,Raw_매출!$A$2:$A$155,0),MATCH(EDATE($E124,G$1-1),Raw_매출!$B$1:$BI$1,0))/(INDEX(요약_월별시즈널리티!$F$7:$F$18,MONTH(EDATE($E124,G$1-1)))/100))),"")</f>
        <v>2695706.9264638308</v>
      </c>
      <c r="H124" cm="1">
        <f t="array" ref="H124">IFERROR(IF($E124&lt;44348,"",IF(INDEX(Raw_매출!$B$2:$BI$155,MATCH($A124,Raw_매출!$A$2:$A$155,0),MATCH(EDATE($E124,H$1-1),Raw_매출!$B$1:$BI$1,0))=0,"",INDEX(Raw_매출!$B$2:$BI$155,MATCH($A124,Raw_매출!$A$2:$A$155,0),MATCH(EDATE($E124,H$1-1),Raw_매출!$B$1:$BI$1,0))/(INDEX(요약_월별시즈널리티!$F$7:$F$18,MONTH(EDATE($E124,H$1-1)))/100))),"")</f>
        <v>3067988.5563823436</v>
      </c>
      <c r="I124" cm="1">
        <f t="array" ref="I124">IFERROR(IF($E124&lt;44348,"",IF(INDEX(Raw_매출!$B$2:$BI$155,MATCH($A124,Raw_매출!$A$2:$A$155,0),MATCH(EDATE($E124,I$1-1),Raw_매출!$B$1:$BI$1,0))=0,"",INDEX(Raw_매출!$B$2:$BI$155,MATCH($A124,Raw_매출!$A$2:$A$155,0),MATCH(EDATE($E124,I$1-1),Raw_매출!$B$1:$BI$1,0))/(INDEX(요약_월별시즈널리티!$F$7:$F$18,MONTH(EDATE($E124,I$1-1)))/100))),"")</f>
        <v>3164032.8844951643</v>
      </c>
      <c r="J124" s="30" cm="1">
        <f t="array" ref="J124">IFERROR(IF($E124&lt;44348,"",IF(INDEX(Raw_매출!$B$2:$BI$155,MATCH($A124,Raw_매출!$A$2:$A$155,0),MATCH(EDATE($E124,J$1-1),Raw_매출!$B$1:$BI$1,0))=0,"",INDEX(Raw_매출!$B$2:$BI$155,MATCH($A124,Raw_매출!$A$2:$A$155,0),MATCH(EDATE($E124,J$1-1),Raw_매출!$B$1:$BI$1,0))/(INDEX(요약_월별시즈널리티!$F$7:$F$18,MONTH(EDATE($E124,J$1-1)))/100))),"")</f>
        <v>3400503.7622895008</v>
      </c>
      <c r="K124" s="30" cm="1">
        <f t="array" ref="K124">IFERROR(IF($E124&lt;44348,"",IF(INDEX(Raw_매출!$B$2:$BI$155,MATCH($A124,Raw_매출!$A$2:$A$155,0),MATCH(EDATE($E124,K$1-1),Raw_매출!$B$1:$BI$1,0))=0,"",INDEX(Raw_매출!$B$2:$BI$155,MATCH($A124,Raw_매출!$A$2:$A$155,0),MATCH(EDATE($E124,K$1-1),Raw_매출!$B$1:$BI$1,0))/(INDEX(요약_월별시즈널리티!$F$7:$F$18,MONTH(EDATE($E124,K$1-1)))/100))),"")</f>
        <v>3683520.9186483831</v>
      </c>
      <c r="L124" s="30" cm="1">
        <f t="array" ref="L124">IFERROR(IF($E124&lt;44348,"",IF(INDEX(Raw_매출!$B$2:$BI$155,MATCH($A124,Raw_매출!$A$2:$A$155,0),MATCH(EDATE($E124,L$1-1),Raw_매출!$B$1:$BI$1,0))=0,"",INDEX(Raw_매출!$B$2:$BI$155,MATCH($A124,Raw_매출!$A$2:$A$155,0),MATCH(EDATE($E124,L$1-1),Raw_매출!$B$1:$BI$1,0))/(INDEX(요약_월별시즈널리티!$F$7:$F$18,MONTH(EDATE($E124,L$1-1)))/100))),"")</f>
        <v>3959889.552495189</v>
      </c>
      <c r="M124" s="30" cm="1">
        <f t="array" ref="M124">IFERROR(IF($E124&lt;44348,"",IF(INDEX(Raw_매출!$B$2:$BI$155,MATCH($A124,Raw_매출!$A$2:$A$155,0),MATCH(EDATE($E124,M$1-1),Raw_매출!$B$1:$BI$1,0))=0,"",INDEX(Raw_매출!$B$2:$BI$155,MATCH($A124,Raw_매출!$A$2:$A$155,0),MATCH(EDATE($E124,M$1-1),Raw_매출!$B$1:$BI$1,0))/(INDEX(요약_월별시즈널리티!$F$7:$F$18,MONTH(EDATE($E124,M$1-1)))/100))),"")</f>
        <v>4034333.496080826</v>
      </c>
      <c r="N124" s="30" cm="1">
        <f t="array" ref="N124">IFERROR(IF($E124&lt;44348,"",IF(INDEX(Raw_매출!$B$2:$BI$155,MATCH($A124,Raw_매출!$A$2:$A$155,0),MATCH(EDATE($E124,N$1-1),Raw_매출!$B$1:$BI$1,0))=0,"",INDEX(Raw_매출!$B$2:$BI$155,MATCH($A124,Raw_매출!$A$2:$A$155,0),MATCH(EDATE($E124,N$1-1),Raw_매출!$B$1:$BI$1,0))/(INDEX(요약_월별시즈널리티!$F$7:$F$18,MONTH(EDATE($E124,N$1-1)))/100))),"")</f>
        <v>4456806.2828751178</v>
      </c>
      <c r="O124" s="30" cm="1">
        <f t="array" ref="O124">IFERROR(IF($E124&lt;44348,"",IF(INDEX(Raw_매출!$B$2:$BI$155,MATCH($A124,Raw_매출!$A$2:$A$155,0),MATCH(EDATE($E124,O$1-1),Raw_매출!$B$1:$BI$1,0))=0,"",INDEX(Raw_매출!$B$2:$BI$155,MATCH($A124,Raw_매출!$A$2:$A$155,0),MATCH(EDATE($E124,O$1-1),Raw_매출!$B$1:$BI$1,0))/(INDEX(요약_월별시즈널리티!$F$7:$F$18,MONTH(EDATE($E124,O$1-1)))/100))),"")</f>
        <v>4517154.2421938488</v>
      </c>
      <c r="P124" cm="1">
        <f t="array" ref="P124">IFERROR(IF($E124&lt;44348,"",IF(INDEX(Raw_매출!$B$2:$BI$155,MATCH($A124,Raw_매출!$A$2:$A$155,0),MATCH(EDATE($E124,P$1-1),Raw_매출!$B$1:$BI$1,0))=0,"",INDEX(Raw_매출!$B$2:$BI$155,MATCH($A124,Raw_매출!$A$2:$A$155,0),MATCH(EDATE($E124,P$1-1),Raw_매출!$B$1:$BI$1,0))/(INDEX(요약_월별시즈널리티!$F$7:$F$18,MONTH(EDATE($E124,P$1-1)))/100))),"")</f>
        <v>4500034.8224764699</v>
      </c>
      <c r="Q124" cm="1">
        <f t="array" ref="Q124">IFERROR(IF($E124&lt;44348,"",IF(INDEX(Raw_매출!$B$2:$BI$155,MATCH($A124,Raw_매출!$A$2:$A$155,0),MATCH(EDATE($E124,Q$1-1),Raw_매출!$B$1:$BI$1,0))=0,"",INDEX(Raw_매출!$B$2:$BI$155,MATCH($A124,Raw_매출!$A$2:$A$155,0),MATCH(EDATE($E124,Q$1-1),Raw_매출!$B$1:$BI$1,0))/(INDEX(요약_월별시즈널리티!$F$7:$F$18,MONTH(EDATE($E124,Q$1-1)))/100))),"")</f>
        <v>5486760.8502308996</v>
      </c>
      <c r="R124" cm="1">
        <f t="array" ref="R124">IFERROR(IF($E124&lt;44348,"",IF(INDEX(Raw_매출!$B$2:$BI$155,MATCH($A124,Raw_매출!$A$2:$A$155,0),MATCH(EDATE($E124,R$1-1),Raw_매출!$B$1:$BI$1,0))=0,"",INDEX(Raw_매출!$B$2:$BI$155,MATCH($A124,Raw_매출!$A$2:$A$155,0),MATCH(EDATE($E124,R$1-1),Raw_매출!$B$1:$BI$1,0))/(INDEX(요약_월별시즈널리티!$F$7:$F$18,MONTH(EDATE($E124,R$1-1)))/100))),"")</f>
        <v>4617560.5348783853</v>
      </c>
      <c r="S124" cm="1">
        <f t="array" ref="S124">IFERROR(IF($E124&lt;44348,"",IF(INDEX(Raw_매출!$B$2:$BI$155,MATCH($A124,Raw_매출!$A$2:$A$155,0),MATCH(EDATE($E124,S$1-1),Raw_매출!$B$1:$BI$1,0))=0,"",INDEX(Raw_매출!$B$2:$BI$155,MATCH($A124,Raw_매출!$A$2:$A$155,0),MATCH(EDATE($E124,S$1-1),Raw_매출!$B$1:$BI$1,0))/(INDEX(요약_월별시즈널리티!$F$7:$F$18,MONTH(EDATE($E124,S$1-1)))/100))),"")</f>
        <v>5005477.099481714</v>
      </c>
      <c r="T124" cm="1">
        <f t="array" ref="T124">IFERROR(IF($E124&lt;44348,"",IF(INDEX(Raw_매출!$B$2:$BI$155,MATCH($A124,Raw_매출!$A$2:$A$155,0),MATCH(EDATE($E124,T$1-1),Raw_매출!$B$1:$BI$1,0))=0,"",INDEX(Raw_매출!$B$2:$BI$155,MATCH($A124,Raw_매출!$A$2:$A$155,0),MATCH(EDATE($E124,T$1-1),Raw_매출!$B$1:$BI$1,0))/(INDEX(요약_월별시즈널리티!$F$7:$F$18,MONTH(EDATE($E124,T$1-1)))/100))),"")</f>
        <v>5050059.0985148819</v>
      </c>
      <c r="U124" cm="1">
        <f t="array" ref="U124">IFERROR(IF($E124&lt;44348,"",IF(INDEX(Raw_매출!$B$2:$BI$155,MATCH($A124,Raw_매출!$A$2:$A$155,0),MATCH(EDATE($E124,U$1-1),Raw_매출!$B$1:$BI$1,0))=0,"",INDEX(Raw_매출!$B$2:$BI$155,MATCH($A124,Raw_매출!$A$2:$A$155,0),MATCH(EDATE($E124,U$1-1),Raw_매출!$B$1:$BI$1,0))/(INDEX(요약_월별시즈널리티!$F$7:$F$18,MONTH(EDATE($E124,U$1-1)))/100))),"")</f>
        <v>5662852.8237600299</v>
      </c>
      <c r="V124" cm="1">
        <f t="array" ref="V124">IFERROR(IF($E124&lt;44348,"",IF(INDEX(Raw_매출!$B$2:$BI$155,MATCH($A124,Raw_매출!$A$2:$A$155,0),MATCH(EDATE($E124,V$1-1),Raw_매출!$B$1:$BI$1,0))=0,"",INDEX(Raw_매출!$B$2:$BI$155,MATCH($A124,Raw_매출!$A$2:$A$155,0),MATCH(EDATE($E124,V$1-1),Raw_매출!$B$1:$BI$1,0))/(INDEX(요약_월별시즈널리티!$F$7:$F$18,MONTH(EDATE($E124,V$1-1)))/100))),"")</f>
        <v>5405546.0896806726</v>
      </c>
      <c r="W124" cm="1">
        <f t="array" ref="W124">IFERROR(IF($E124&lt;44348,"",IF(INDEX(Raw_매출!$B$2:$BI$155,MATCH($A124,Raw_매출!$A$2:$A$155,0),MATCH(EDATE($E124,W$1-1),Raw_매출!$B$1:$BI$1,0))=0,"",INDEX(Raw_매출!$B$2:$BI$155,MATCH($A124,Raw_매출!$A$2:$A$155,0),MATCH(EDATE($E124,W$1-1),Raw_매출!$B$1:$BI$1,0))/(INDEX(요약_월별시즈널리티!$F$7:$F$18,MONTH(EDATE($E124,W$1-1)))/100))),"")</f>
        <v>4727729.541629429</v>
      </c>
      <c r="X124" cm="1">
        <f t="array" ref="X124">IFERROR(IF($E124&lt;44348,"",IF(INDEX(Raw_매출!$B$2:$BI$155,MATCH($A124,Raw_매출!$A$2:$A$155,0),MATCH(EDATE($E124,X$1-1),Raw_매출!$B$1:$BI$1,0))=0,"",INDEX(Raw_매출!$B$2:$BI$155,MATCH($A124,Raw_매출!$A$2:$A$155,0),MATCH(EDATE($E124,X$1-1),Raw_매출!$B$1:$BI$1,0))/(INDEX(요약_월별시즈널리티!$F$7:$F$18,MONTH(EDATE($E124,X$1-1)))/100))),"")</f>
        <v>5328719.2406486087</v>
      </c>
      <c r="Y124" cm="1">
        <f t="array" ref="Y124">IFERROR(IF($E124&lt;44348,"",IF(INDEX(Raw_매출!$B$2:$BI$155,MATCH($A124,Raw_매출!$A$2:$A$155,0),MATCH(EDATE($E124,Y$1-1),Raw_매출!$B$1:$BI$1,0))=0,"",INDEX(Raw_매출!$B$2:$BI$155,MATCH($A124,Raw_매출!$A$2:$A$155,0),MATCH(EDATE($E124,Y$1-1),Raw_매출!$B$1:$BI$1,0))/(INDEX(요약_월별시즈널리티!$F$7:$F$18,MONTH(EDATE($E124,Y$1-1)))/100))),"")</f>
        <v>6410004.1845344855</v>
      </c>
      <c r="Z124" cm="1">
        <f t="array" ref="Z124">IFERROR(IF($E124&lt;44348,"",IF(INDEX(Raw_매출!$B$2:$BI$155,MATCH($A124,Raw_매출!$A$2:$A$155,0),MATCH(EDATE($E124,Z$1-1),Raw_매출!$B$1:$BI$1,0))=0,"",INDEX(Raw_매출!$B$2:$BI$155,MATCH($A124,Raw_매출!$A$2:$A$155,0),MATCH(EDATE($E124,Z$1-1),Raw_매출!$B$1:$BI$1,0))/(INDEX(요약_월별시즈널리티!$F$7:$F$18,MONTH(EDATE($E124,Z$1-1)))/100))),"")</f>
        <v>5805245.5306846816</v>
      </c>
      <c r="AA124" cm="1">
        <f t="array" ref="AA124">IFERROR(IF($E124&lt;44348,"",IF(INDEX(Raw_매출!$B$2:$BI$155,MATCH($A124,Raw_매출!$A$2:$A$155,0),MATCH(EDATE($E124,AA$1-1),Raw_매출!$B$1:$BI$1,0))=0,"",INDEX(Raw_매출!$B$2:$BI$155,MATCH($A124,Raw_매출!$A$2:$A$155,0),MATCH(EDATE($E124,AA$1-1),Raw_매출!$B$1:$BI$1,0))/(INDEX(요약_월별시즈널리티!$F$7:$F$18,MONTH(EDATE($E124,AA$1-1)))/100))),"")</f>
        <v>5903424.8946283981</v>
      </c>
      <c r="AB124" cm="1">
        <f t="array" ref="AB124">IFERROR(IF($E124&lt;44348,"",IF(INDEX(Raw_매출!$B$2:$BI$155,MATCH($A124,Raw_매출!$A$2:$A$155,0),MATCH(EDATE($E124,AB$1-1),Raw_매출!$B$1:$BI$1,0))=0,"",INDEX(Raw_매출!$B$2:$BI$155,MATCH($A124,Raw_매출!$A$2:$A$155,0),MATCH(EDATE($E124,AB$1-1),Raw_매출!$B$1:$BI$1,0))/(INDEX(요약_월별시즈널리티!$F$7:$F$18,MONTH(EDATE($E124,AB$1-1)))/100))),"")</f>
        <v>6314170.8250840083</v>
      </c>
      <c r="AC124" t="str" cm="1">
        <f t="array" ref="AC124">IFERROR(IF($E124&lt;44348,"",IF(INDEX(Raw_매출!$B$2:$BI$155,MATCH($A124,Raw_매출!$A$2:$A$155,0),MATCH(EDATE($E124,AC$1-1),Raw_매출!$B$1:$BI$1,0))=0,"",INDEX(Raw_매출!$B$2:$BI$155,MATCH($A124,Raw_매출!$A$2:$A$155,0),MATCH(EDATE($E124,AC$1-1),Raw_매출!$B$1:$BI$1,0))/(INDEX(요약_월별시즈널리티!$F$7:$F$18,MONTH(EDATE($E124,AC$1-1)))/100))),"")</f>
        <v/>
      </c>
      <c r="AD124" t="str" cm="1">
        <f t="array" ref="AD124">IFERROR(IF($E124&lt;44348,"",IF(INDEX(Raw_매출!$B$2:$BI$155,MATCH($A124,Raw_매출!$A$2:$A$155,0),MATCH(EDATE($E124,AD$1-1),Raw_매출!$B$1:$BI$1,0))=0,"",INDEX(Raw_매출!$B$2:$BI$155,MATCH($A124,Raw_매출!$A$2:$A$155,0),MATCH(EDATE($E124,AD$1-1),Raw_매출!$B$1:$BI$1,0))/(INDEX(요약_월별시즈널리티!$F$7:$F$18,MONTH(EDATE($E124,AD$1-1)))/100))),"")</f>
        <v/>
      </c>
      <c r="AE124" t="str" cm="1">
        <f t="array" ref="AE124">IFERROR(IF($E124&lt;44348,"",IF(INDEX(Raw_매출!$B$2:$BI$155,MATCH($A124,Raw_매출!$A$2:$A$155,0),MATCH(EDATE($E124,AE$1-1),Raw_매출!$B$1:$BI$1,0))=0,"",INDEX(Raw_매출!$B$2:$BI$155,MATCH($A124,Raw_매출!$A$2:$A$155,0),MATCH(EDATE($E124,AE$1-1),Raw_매출!$B$1:$BI$1,0))/(INDEX(요약_월별시즈널리티!$F$7:$F$18,MONTH(EDATE($E124,AE$1-1)))/100))),"")</f>
        <v/>
      </c>
      <c r="AF124" t="str" cm="1">
        <f t="array" ref="AF124">IFERROR(IF($E124&lt;44348,"",IF(INDEX(Raw_매출!$B$2:$BI$155,MATCH($A124,Raw_매출!$A$2:$A$155,0),MATCH(EDATE($E124,AF$1-1),Raw_매출!$B$1:$BI$1,0))=0,"",INDEX(Raw_매출!$B$2:$BI$155,MATCH($A124,Raw_매출!$A$2:$A$155,0),MATCH(EDATE($E124,AF$1-1),Raw_매출!$B$1:$BI$1,0))/(INDEX(요약_월별시즈널리티!$F$7:$F$18,MONTH(EDATE($E124,AF$1-1)))/100))),"")</f>
        <v/>
      </c>
      <c r="AG124" t="str" cm="1">
        <f t="array" ref="AG124">IFERROR(IF($E124&lt;44348,"",IF(INDEX(Raw_매출!$B$2:$BI$155,MATCH($A124,Raw_매출!$A$2:$A$155,0),MATCH(EDATE($E124,AG$1-1),Raw_매출!$B$1:$BI$1,0))=0,"",INDEX(Raw_매출!$B$2:$BI$155,MATCH($A124,Raw_매출!$A$2:$A$155,0),MATCH(EDATE($E124,AG$1-1),Raw_매출!$B$1:$BI$1,0))/(INDEX(요약_월별시즈널리티!$F$7:$F$18,MONTH(EDATE($E124,AG$1-1)))/100))),"")</f>
        <v/>
      </c>
      <c r="AH124" t="str" cm="1">
        <f t="array" ref="AH124">IFERROR(IF($E124&lt;44348,"",IF(INDEX(Raw_매출!$B$2:$BI$155,MATCH($A124,Raw_매출!$A$2:$A$155,0),MATCH(EDATE($E124,AH$1-1),Raw_매출!$B$1:$BI$1,0))=0,"",INDEX(Raw_매출!$B$2:$BI$155,MATCH($A124,Raw_매출!$A$2:$A$155,0),MATCH(EDATE($E124,AH$1-1),Raw_매출!$B$1:$BI$1,0))/(INDEX(요약_월별시즈널리티!$F$7:$F$18,MONTH(EDATE($E124,AH$1-1)))/100))),"")</f>
        <v/>
      </c>
      <c r="AI124" t="str" cm="1">
        <f t="array" ref="AI124">IFERROR(IF($E124&lt;44348,"",IF(INDEX(Raw_매출!$B$2:$BI$155,MATCH($A124,Raw_매출!$A$2:$A$155,0),MATCH(EDATE($E124,AI$1-1),Raw_매출!$B$1:$BI$1,0))=0,"",INDEX(Raw_매출!$B$2:$BI$155,MATCH($A124,Raw_매출!$A$2:$A$155,0),MATCH(EDATE($E124,AI$1-1),Raw_매출!$B$1:$BI$1,0))/(INDEX(요약_월별시즈널리티!$F$7:$F$18,MONTH(EDATE($E124,AI$1-1)))/100))),"")</f>
        <v/>
      </c>
      <c r="AJ124" t="str" cm="1">
        <f t="array" ref="AJ124">IFERROR(IF($E124&lt;44348,"",IF(INDEX(Raw_매출!$B$2:$BI$155,MATCH($A124,Raw_매출!$A$2:$A$155,0),MATCH(EDATE($E124,AJ$1-1),Raw_매출!$B$1:$BI$1,0))=0,"",INDEX(Raw_매출!$B$2:$BI$155,MATCH($A124,Raw_매출!$A$2:$A$155,0),MATCH(EDATE($E124,AJ$1-1),Raw_매출!$B$1:$BI$1,0))/(INDEX(요약_월별시즈널리티!$F$7:$F$18,MONTH(EDATE($E124,AJ$1-1)))/100))),"")</f>
        <v/>
      </c>
      <c r="AK124" t="str" cm="1">
        <f t="array" ref="AK124">IFERROR(IF($E124&lt;44348,"",IF(INDEX(Raw_매출!$B$2:$BI$155,MATCH($A124,Raw_매출!$A$2:$A$155,0),MATCH(EDATE($E124,AK$1-1),Raw_매출!$B$1:$BI$1,0))=0,"",INDEX(Raw_매출!$B$2:$BI$155,MATCH($A124,Raw_매출!$A$2:$A$155,0),MATCH(EDATE($E124,AK$1-1),Raw_매출!$B$1:$BI$1,0))/(INDEX(요약_월별시즈널리티!$F$7:$F$18,MONTH(EDATE($E124,AK$1-1)))/100))),"")</f>
        <v/>
      </c>
      <c r="AL124" t="str" cm="1">
        <f t="array" ref="AL124">IFERROR(IF($E124&lt;44348,"",IF(INDEX(Raw_매출!$B$2:$BI$155,MATCH($A124,Raw_매출!$A$2:$A$155,0),MATCH(EDATE($E124,AL$1-1),Raw_매출!$B$1:$BI$1,0))=0,"",INDEX(Raw_매출!$B$2:$BI$155,MATCH($A124,Raw_매출!$A$2:$A$155,0),MATCH(EDATE($E124,AL$1-1),Raw_매출!$B$1:$BI$1,0))/(INDEX(요약_월별시즈널리티!$F$7:$F$18,MONTH(EDATE($E124,AL$1-1)))/100))),"")</f>
        <v/>
      </c>
      <c r="AM124" t="str" cm="1">
        <f t="array" ref="AM124">IFERROR(IF($E124&lt;44348,"",IF(INDEX(Raw_매출!$B$2:$BI$155,MATCH($A124,Raw_매출!$A$2:$A$155,0),MATCH(EDATE($E124,AM$1-1),Raw_매출!$B$1:$BI$1,0))=0,"",INDEX(Raw_매출!$B$2:$BI$155,MATCH($A124,Raw_매출!$A$2:$A$155,0),MATCH(EDATE($E124,AM$1-1),Raw_매출!$B$1:$BI$1,0))/(INDEX(요약_월별시즈널리티!$F$7:$F$18,MONTH(EDATE($E124,AM$1-1)))/100))),"")</f>
        <v/>
      </c>
      <c r="AN124" t="str" cm="1">
        <f t="array" ref="AN124">IFERROR(IF($E124&lt;44348,"",IF(INDEX(Raw_매출!$B$2:$BI$155,MATCH($A124,Raw_매출!$A$2:$A$155,0),MATCH(EDATE($E124,AN$1-1),Raw_매출!$B$1:$BI$1,0))=0,"",INDEX(Raw_매출!$B$2:$BI$155,MATCH($A124,Raw_매출!$A$2:$A$155,0),MATCH(EDATE($E124,AN$1-1),Raw_매출!$B$1:$BI$1,0))/(INDEX(요약_월별시즈널리티!$F$7:$F$18,MONTH(EDATE($E124,AN$1-1)))/100))),"")</f>
        <v/>
      </c>
      <c r="AO124" t="str" cm="1">
        <f t="array" ref="AO124">IFERROR(IF($E124&lt;44348,"",IF(INDEX(Raw_매출!$B$2:$BI$155,MATCH($A124,Raw_매출!$A$2:$A$155,0),MATCH(EDATE($E124,AO$1-1),Raw_매출!$B$1:$BI$1,0))=0,"",INDEX(Raw_매출!$B$2:$BI$155,MATCH($A124,Raw_매출!$A$2:$A$155,0),MATCH(EDATE($E124,AO$1-1),Raw_매출!$B$1:$BI$1,0))/(INDEX(요약_월별시즈널리티!$F$7:$F$18,MONTH(EDATE($E124,AO$1-1)))/100))),"")</f>
        <v/>
      </c>
      <c r="AP124" t="str" cm="1">
        <f t="array" ref="AP124">IFERROR(IF($E124&lt;44348,"",IF(INDEX(Raw_매출!$B$2:$BI$155,MATCH($A124,Raw_매출!$A$2:$A$155,0),MATCH(EDATE($E124,AP$1-1),Raw_매출!$B$1:$BI$1,0))=0,"",INDEX(Raw_매출!$B$2:$BI$155,MATCH($A124,Raw_매출!$A$2:$A$155,0),MATCH(EDATE($E124,AP$1-1),Raw_매출!$B$1:$BI$1,0))/(INDEX(요약_월별시즈널리티!$F$7:$F$18,MONTH(EDATE($E124,AP$1-1)))/100))),"")</f>
        <v/>
      </c>
      <c r="AQ124" t="str" cm="1">
        <f t="array" ref="AQ124">IFERROR(IF($E124&lt;44348,"",IF(INDEX(Raw_매출!$B$2:$BI$155,MATCH($A124,Raw_매출!$A$2:$A$155,0),MATCH(EDATE($E124,AQ$1-1),Raw_매출!$B$1:$BI$1,0))=0,"",INDEX(Raw_매출!$B$2:$BI$155,MATCH($A124,Raw_매출!$A$2:$A$155,0),MATCH(EDATE($E124,AQ$1-1),Raw_매출!$B$1:$BI$1,0))/(INDEX(요약_월별시즈널리티!$F$7:$F$18,MONTH(EDATE($E124,AQ$1-1)))/100))),"")</f>
        <v/>
      </c>
      <c r="AR124" t="str" cm="1">
        <f t="array" ref="AR124">IFERROR(IF($E124&lt;44348,"",IF(INDEX(Raw_매출!$B$2:$BI$155,MATCH($A124,Raw_매출!$A$2:$A$155,0),MATCH(EDATE($E124,AR$1-1),Raw_매출!$B$1:$BI$1,0))=0,"",INDEX(Raw_매출!$B$2:$BI$155,MATCH($A124,Raw_매출!$A$2:$A$155,0),MATCH(EDATE($E124,AR$1-1),Raw_매출!$B$1:$BI$1,0))/(INDEX(요약_월별시즈널리티!$F$7:$F$18,MONTH(EDATE($E124,AR$1-1)))/100))),"")</f>
        <v/>
      </c>
      <c r="AS124" t="str" cm="1">
        <f t="array" ref="AS124">IFERROR(IF($E124&lt;44348,"",IF(INDEX(Raw_매출!$B$2:$BI$155,MATCH($A124,Raw_매출!$A$2:$A$155,0),MATCH(EDATE($E124,AS$1-1),Raw_매출!$B$1:$BI$1,0))=0,"",INDEX(Raw_매출!$B$2:$BI$155,MATCH($A124,Raw_매출!$A$2:$A$155,0),MATCH(EDATE($E124,AS$1-1),Raw_매출!$B$1:$BI$1,0))/(INDEX(요약_월별시즈널리티!$F$7:$F$18,MONTH(EDATE($E124,AS$1-1)))/100))),"")</f>
        <v/>
      </c>
      <c r="AT124" t="str" cm="1">
        <f t="array" ref="AT124">IFERROR(IF($E124&lt;44348,"",IF(INDEX(Raw_매출!$B$2:$BI$155,MATCH($A124,Raw_매출!$A$2:$A$155,0),MATCH(EDATE($E124,AT$1-1),Raw_매출!$B$1:$BI$1,0))=0,"",INDEX(Raw_매출!$B$2:$BI$155,MATCH($A124,Raw_매출!$A$2:$A$155,0),MATCH(EDATE($E124,AT$1-1),Raw_매출!$B$1:$BI$1,0))/(INDEX(요약_월별시즈널리티!$F$7:$F$18,MONTH(EDATE($E124,AT$1-1)))/100))),"")</f>
        <v/>
      </c>
      <c r="AU124" t="str" cm="1">
        <f t="array" ref="AU124">IFERROR(IF($E124&lt;44348,"",IF(INDEX(Raw_매출!$B$2:$BI$155,MATCH($A124,Raw_매출!$A$2:$A$155,0),MATCH(EDATE($E124,AU$1-1),Raw_매출!$B$1:$BI$1,0))=0,"",INDEX(Raw_매출!$B$2:$BI$155,MATCH($A124,Raw_매출!$A$2:$A$155,0),MATCH(EDATE($E124,AU$1-1),Raw_매출!$B$1:$BI$1,0))/(INDEX(요약_월별시즈널리티!$F$7:$F$18,MONTH(EDATE($E124,AU$1-1)))/100))),"")</f>
        <v/>
      </c>
      <c r="AV124" t="str" cm="1">
        <f t="array" ref="AV124">IFERROR(IF($E124&lt;44348,"",IF(INDEX(Raw_매출!$B$2:$BI$155,MATCH($A124,Raw_매출!$A$2:$A$155,0),MATCH(EDATE($E124,AV$1-1),Raw_매출!$B$1:$BI$1,0))=0,"",INDEX(Raw_매출!$B$2:$BI$155,MATCH($A124,Raw_매출!$A$2:$A$155,0),MATCH(EDATE($E124,AV$1-1),Raw_매출!$B$1:$BI$1,0))/(INDEX(요약_월별시즈널리티!$F$7:$F$18,MONTH(EDATE($E124,AV$1-1)))/100))),"")</f>
        <v/>
      </c>
      <c r="AW124" t="str" cm="1">
        <f t="array" ref="AW124">IFERROR(IF($E124&lt;44348,"",IF(INDEX(Raw_매출!$B$2:$BI$155,MATCH($A124,Raw_매출!$A$2:$A$155,0),MATCH(EDATE($E124,AW$1-1),Raw_매출!$B$1:$BI$1,0))=0,"",INDEX(Raw_매출!$B$2:$BI$155,MATCH($A124,Raw_매출!$A$2:$A$155,0),MATCH(EDATE($E124,AW$1-1),Raw_매출!$B$1:$BI$1,0))/(INDEX(요약_월별시즈널리티!$F$7:$F$18,MONTH(EDATE($E124,AW$1-1)))/100))),"")</f>
        <v/>
      </c>
      <c r="AX124" t="str" cm="1">
        <f t="array" ref="AX124">IFERROR(IF($E124&lt;44348,"",IF(INDEX(Raw_매출!$B$2:$BI$155,MATCH($A124,Raw_매출!$A$2:$A$155,0),MATCH(EDATE($E124,AX$1-1),Raw_매출!$B$1:$BI$1,0))=0,"",INDEX(Raw_매출!$B$2:$BI$155,MATCH($A124,Raw_매출!$A$2:$A$155,0),MATCH(EDATE($E124,AX$1-1),Raw_매출!$B$1:$BI$1,0))/(INDEX(요약_월별시즈널리티!$F$7:$F$18,MONTH(EDATE($E124,AX$1-1)))/100))),"")</f>
        <v/>
      </c>
      <c r="AY124" t="str" cm="1">
        <f t="array" ref="AY124">IFERROR(IF($E124&lt;44348,"",IF(INDEX(Raw_매출!$B$2:$BI$155,MATCH($A124,Raw_매출!$A$2:$A$155,0),MATCH(EDATE($E124,AY$1-1),Raw_매출!$B$1:$BI$1,0))=0,"",INDEX(Raw_매출!$B$2:$BI$155,MATCH($A124,Raw_매출!$A$2:$A$155,0),MATCH(EDATE($E124,AY$1-1),Raw_매출!$B$1:$BI$1,0))/(INDEX(요약_월별시즈널리티!$F$7:$F$18,MONTH(EDATE($E124,AY$1-1)))/100))),"")</f>
        <v/>
      </c>
      <c r="AZ124" t="str" cm="1">
        <f t="array" ref="AZ124">IFERROR(IF($E124&lt;44348,"",IF(INDEX(Raw_매출!$B$2:$BI$155,MATCH($A124,Raw_매출!$A$2:$A$155,0),MATCH(EDATE($E124,AZ$1-1),Raw_매출!$B$1:$BI$1,0))=0,"",INDEX(Raw_매출!$B$2:$BI$155,MATCH($A124,Raw_매출!$A$2:$A$155,0),MATCH(EDATE($E124,AZ$1-1),Raw_매출!$B$1:$BI$1,0))/(INDEX(요약_월별시즈널리티!$F$7:$F$18,MONTH(EDATE($E124,AZ$1-1)))/100))),"")</f>
        <v/>
      </c>
      <c r="BA124" t="str" cm="1">
        <f t="array" ref="BA124">IFERROR(IF($E124&lt;44348,"",IF(INDEX(Raw_매출!$B$2:$BI$155,MATCH($A124,Raw_매출!$A$2:$A$155,0),MATCH(EDATE($E124,BA$1-1),Raw_매출!$B$1:$BI$1,0))=0,"",INDEX(Raw_매출!$B$2:$BI$155,MATCH($A124,Raw_매출!$A$2:$A$155,0),MATCH(EDATE($E124,BA$1-1),Raw_매출!$B$1:$BI$1,0))/(INDEX(요약_월별시즈널리티!$F$7:$F$18,MONTH(EDATE($E124,BA$1-1)))/100))),"")</f>
        <v/>
      </c>
      <c r="BB124" t="str" cm="1">
        <f t="array" ref="BB124">IFERROR(IF($E124&lt;44348,"",IF(INDEX(Raw_매출!$B$2:$BI$155,MATCH($A124,Raw_매출!$A$2:$A$155,0),MATCH(EDATE($E124,BB$1-1),Raw_매출!$B$1:$BI$1,0))=0,"",INDEX(Raw_매출!$B$2:$BI$155,MATCH($A124,Raw_매출!$A$2:$A$155,0),MATCH(EDATE($E124,BB$1-1),Raw_매출!$B$1:$BI$1,0))/(INDEX(요약_월별시즈널리티!$F$7:$F$18,MONTH(EDATE($E124,BB$1-1)))/100))),"")</f>
        <v/>
      </c>
      <c r="BC124" t="str" cm="1">
        <f t="array" ref="BC124">IFERROR(IF($E124&lt;44348,"",IF(INDEX(Raw_매출!$B$2:$BI$155,MATCH($A124,Raw_매출!$A$2:$A$155,0),MATCH(EDATE($E124,BC$1-1),Raw_매출!$B$1:$BI$1,0))=0,"",INDEX(Raw_매출!$B$2:$BI$155,MATCH($A124,Raw_매출!$A$2:$A$155,0),MATCH(EDATE($E124,BC$1-1),Raw_매출!$B$1:$BI$1,0))/(INDEX(요약_월별시즈널리티!$F$7:$F$18,MONTH(EDATE($E124,BC$1-1)))/100))),"")</f>
        <v/>
      </c>
      <c r="BD124" t="str" cm="1">
        <f t="array" ref="BD124">IFERROR(IF($E124&lt;44348,"",IF(INDEX(Raw_매출!$B$2:$BI$155,MATCH($A124,Raw_매출!$A$2:$A$155,0),MATCH(EDATE($E124,BD$1-1),Raw_매출!$B$1:$BI$1,0))=0,"",INDEX(Raw_매출!$B$2:$BI$155,MATCH($A124,Raw_매출!$A$2:$A$155,0),MATCH(EDATE($E124,BD$1-1),Raw_매출!$B$1:$BI$1,0))/(INDEX(요약_월별시즈널리티!$F$7:$F$18,MONTH(EDATE($E124,BD$1-1)))/100))),"")</f>
        <v/>
      </c>
      <c r="BE124" t="str" cm="1">
        <f t="array" ref="BE124">IFERROR(IF($E124&lt;44348,"",IF(INDEX(Raw_매출!$B$2:$BI$155,MATCH($A124,Raw_매출!$A$2:$A$155,0),MATCH(EDATE($E124,BE$1-1),Raw_매출!$B$1:$BI$1,0))=0,"",INDEX(Raw_매출!$B$2:$BI$155,MATCH($A124,Raw_매출!$A$2:$A$155,0),MATCH(EDATE($E124,BE$1-1),Raw_매출!$B$1:$BI$1,0))/(INDEX(요약_월별시즈널리티!$F$7:$F$18,MONTH(EDATE($E124,BE$1-1)))/100))),"")</f>
        <v/>
      </c>
      <c r="BF124" t="str" cm="1">
        <f t="array" ref="BF124">IFERROR(IF($E124&lt;44348,"",IF(INDEX(Raw_매출!$B$2:$BI$155,MATCH($A124,Raw_매출!$A$2:$A$155,0),MATCH(EDATE($E124,BF$1-1),Raw_매출!$B$1:$BI$1,0))=0,"",INDEX(Raw_매출!$B$2:$BI$155,MATCH($A124,Raw_매출!$A$2:$A$155,0),MATCH(EDATE($E124,BF$1-1),Raw_매출!$B$1:$BI$1,0))/(INDEX(요약_월별시즈널리티!$F$7:$F$18,MONTH(EDATE($E124,BF$1-1)))/100))),"")</f>
        <v/>
      </c>
      <c r="BG124" t="str" cm="1">
        <f t="array" ref="BG124">IFERROR(IF($E124&lt;44348,"",IF(INDEX(Raw_매출!$B$2:$BI$155,MATCH($A124,Raw_매출!$A$2:$A$155,0),MATCH(EDATE($E124,BG$1-1),Raw_매출!$B$1:$BI$1,0))=0,"",INDEX(Raw_매출!$B$2:$BI$155,MATCH($A124,Raw_매출!$A$2:$A$155,0),MATCH(EDATE($E124,BG$1-1),Raw_매출!$B$1:$BI$1,0))/(INDEX(요약_월별시즈널리티!$F$7:$F$18,MONTH(EDATE($E124,BG$1-1)))/100))),"")</f>
        <v/>
      </c>
      <c r="BH124" t="str" cm="1">
        <f t="array" ref="BH124">IFERROR(IF($E124&lt;44348,"",IF(INDEX(Raw_매출!$B$2:$BI$155,MATCH($A124,Raw_매출!$A$2:$A$155,0),MATCH(EDATE($E124,BH$1-1),Raw_매출!$B$1:$BI$1,0))=0,"",INDEX(Raw_매출!$B$2:$BI$155,MATCH($A124,Raw_매출!$A$2:$A$155,0),MATCH(EDATE($E124,BH$1-1),Raw_매출!$B$1:$BI$1,0))/(INDEX(요약_월별시즈널리티!$F$7:$F$18,MONTH(EDATE($E124,BH$1-1)))/100))),"")</f>
        <v/>
      </c>
      <c r="BI124" t="str" cm="1">
        <f t="array" ref="BI124">IFERROR(IF($E124&lt;44348,"",IF(INDEX(Raw_매출!$B$2:$BI$155,MATCH($A124,Raw_매출!$A$2:$A$155,0),MATCH(EDATE($E124,BI$1-1),Raw_매출!$B$1:$BI$1,0))=0,"",INDEX(Raw_매출!$B$2:$BI$155,MATCH($A124,Raw_매출!$A$2:$A$155,0),MATCH(EDATE($E124,BI$1-1),Raw_매출!$B$1:$BI$1,0))/(INDEX(요약_월별시즈널리티!$F$7:$F$18,MONTH(EDATE($E124,BI$1-1)))/100))),"")</f>
        <v/>
      </c>
      <c r="BJ124" t="str" cm="1">
        <f t="array" ref="BJ124">IFERROR(IF($E124&lt;44348,"",IF(INDEX(Raw_매출!$B$2:$BI$155,MATCH($A124,Raw_매출!$A$2:$A$155,0),MATCH(EDATE($E124,BJ$1-1),Raw_매출!$B$1:$BI$1,0))=0,"",INDEX(Raw_매출!$B$2:$BI$155,MATCH($A124,Raw_매출!$A$2:$A$155,0),MATCH(EDATE($E124,BJ$1-1),Raw_매출!$B$1:$BI$1,0))/(INDEX(요약_월별시즈널리티!$F$7:$F$18,MONTH(EDATE($E124,BJ$1-1)))/100))),"")</f>
        <v/>
      </c>
      <c r="BK124" t="str" cm="1">
        <f t="array" ref="BK124">IFERROR(IF($E124&lt;44348,"",IF(INDEX(Raw_매출!$B$2:$BI$155,MATCH($A124,Raw_매출!$A$2:$A$155,0),MATCH(EDATE($E124,BK$1-1),Raw_매출!$B$1:$BI$1,0))=0,"",INDEX(Raw_매출!$B$2:$BI$155,MATCH($A124,Raw_매출!$A$2:$A$155,0),MATCH(EDATE($E124,BK$1-1),Raw_매출!$B$1:$BI$1,0))/(INDEX(요약_월별시즈널리티!$F$7:$F$18,MONTH(EDATE($E124,BK$1-1)))/100))),"")</f>
        <v/>
      </c>
      <c r="BL124" t="str" cm="1">
        <f t="array" ref="BL124">IFERROR(IF($E124&lt;44348,"",IF(INDEX(Raw_매출!$B$2:$BI$155,MATCH($A124,Raw_매출!$A$2:$A$155,0),MATCH(EDATE($E124,BL$1-1),Raw_매출!$B$1:$BI$1,0))=0,"",INDEX(Raw_매출!$B$2:$BI$155,MATCH($A124,Raw_매출!$A$2:$A$155,0),MATCH(EDATE($E124,BL$1-1),Raw_매출!$B$1:$BI$1,0))/(INDEX(요약_월별시즈널리티!$F$7:$F$18,MONTH(EDATE($E124,BL$1-1)))/100))),"")</f>
        <v/>
      </c>
      <c r="BM124" t="str" cm="1">
        <f t="array" ref="BM124">IFERROR(IF($E124&lt;44348,"",IF(INDEX(Raw_매출!$B$2:$BI$155,MATCH($A124,Raw_매출!$A$2:$A$155,0),MATCH(EDATE($E124,BM$1-1),Raw_매출!$B$1:$BI$1,0))=0,"",INDEX(Raw_매출!$B$2:$BI$155,MATCH($A124,Raw_매출!$A$2:$A$155,0),MATCH(EDATE($E124,BM$1-1),Raw_매출!$B$1:$BI$1,0))/(INDEX(요약_월별시즈널리티!$F$7:$F$18,MONTH(EDATE($E124,BM$1-1)))/100))),"")</f>
        <v/>
      </c>
      <c r="BN124" t="str" cm="1">
        <f t="array" ref="BN124">IFERROR(IF($E124&lt;44348,"",IF(INDEX(Raw_매출!$B$2:$BI$155,MATCH($A124,Raw_매출!$A$2:$A$155,0),MATCH(EDATE($E124,BN$1-1),Raw_매출!$B$1:$BI$1,0))=0,"",INDEX(Raw_매출!$B$2:$BI$155,MATCH($A124,Raw_매출!$A$2:$A$155,0),MATCH(EDATE($E124,BN$1-1),Raw_매출!$B$1:$BI$1,0))/(INDEX(요약_월별시즈널리티!$F$7:$F$18,MONTH(EDATE($E124,BN$1-1)))/100))),"")</f>
        <v/>
      </c>
    </row>
    <row r="125" spans="1:66" x14ac:dyDescent="0.4">
      <c r="A125" t="str">
        <f>세팅!A126</f>
        <v>(1116) #용현용일초등점</v>
      </c>
      <c r="B125" t="str">
        <f>세팅!B126</f>
        <v>150-3</v>
      </c>
      <c r="C125">
        <f t="shared" si="3"/>
        <v>3</v>
      </c>
      <c r="D125" t="str">
        <f t="shared" si="4"/>
        <v>3+</v>
      </c>
      <c r="E125" s="1">
        <f>세팅!D126</f>
        <v>45536</v>
      </c>
      <c r="F125">
        <f t="shared" si="5"/>
        <v>4437502.0532352263</v>
      </c>
      <c r="G125" cm="1">
        <f t="array" ref="G125">IFERROR(IF($E125&lt;44348,"",IF(INDEX(Raw_매출!$B$2:$BI$155,MATCH($A125,Raw_매출!$A$2:$A$155,0),MATCH(EDATE($E125,G$1-1),Raw_매출!$B$1:$BI$1,0))=0,"",INDEX(Raw_매출!$B$2:$BI$155,MATCH($A125,Raw_매출!$A$2:$A$155,0),MATCH(EDATE($E125,G$1-1),Raw_매출!$B$1:$BI$1,0))/(INDEX(요약_월별시즈널리티!$F$7:$F$18,MONTH(EDATE($E125,G$1-1)))/100))),"")</f>
        <v>3424767.6460667937</v>
      </c>
      <c r="H125" cm="1">
        <f t="array" ref="H125">IFERROR(IF($E125&lt;44348,"",IF(INDEX(Raw_매출!$B$2:$BI$155,MATCH($A125,Raw_매출!$A$2:$A$155,0),MATCH(EDATE($E125,H$1-1),Raw_매출!$B$1:$BI$1,0))=0,"",INDEX(Raw_매출!$B$2:$BI$155,MATCH($A125,Raw_매출!$A$2:$A$155,0),MATCH(EDATE($E125,H$1-1),Raw_매출!$B$1:$BI$1,0))/(INDEX(요약_월별시즈널리티!$F$7:$F$18,MONTH(EDATE($E125,H$1-1)))/100))),"")</f>
        <v>3649220.0622471808</v>
      </c>
      <c r="I125" cm="1">
        <f t="array" ref="I125">IFERROR(IF($E125&lt;44348,"",IF(INDEX(Raw_매출!$B$2:$BI$155,MATCH($A125,Raw_매출!$A$2:$A$155,0),MATCH(EDATE($E125,I$1-1),Raw_매출!$B$1:$BI$1,0))=0,"",INDEX(Raw_매출!$B$2:$BI$155,MATCH($A125,Raw_매출!$A$2:$A$155,0),MATCH(EDATE($E125,I$1-1),Raw_매출!$B$1:$BI$1,0))/(INDEX(요약_월별시즈널리티!$F$7:$F$18,MONTH(EDATE($E125,I$1-1)))/100))),"")</f>
        <v>3736438.3989386326</v>
      </c>
      <c r="J125" s="30" cm="1">
        <f t="array" ref="J125">IFERROR(IF($E125&lt;44348,"",IF(INDEX(Raw_매출!$B$2:$BI$155,MATCH($A125,Raw_매출!$A$2:$A$155,0),MATCH(EDATE($E125,J$1-1),Raw_매출!$B$1:$BI$1,0))=0,"",INDEX(Raw_매출!$B$2:$BI$155,MATCH($A125,Raw_매출!$A$2:$A$155,0),MATCH(EDATE($E125,J$1-1),Raw_매출!$B$1:$BI$1,0))/(INDEX(요약_월별시즈널리티!$F$7:$F$18,MONTH(EDATE($E125,J$1-1)))/100))),"")</f>
        <v>4070574.8934039613</v>
      </c>
      <c r="K125" s="30" cm="1">
        <f t="array" ref="K125">IFERROR(IF($E125&lt;44348,"",IF(INDEX(Raw_매출!$B$2:$BI$155,MATCH($A125,Raw_매출!$A$2:$A$155,0),MATCH(EDATE($E125,K$1-1),Raw_매출!$B$1:$BI$1,0))=0,"",INDEX(Raw_매출!$B$2:$BI$155,MATCH($A125,Raw_매출!$A$2:$A$155,0),MATCH(EDATE($E125,K$1-1),Raw_매출!$B$1:$BI$1,0))/(INDEX(요약_월별시즈널리티!$F$7:$F$18,MONTH(EDATE($E125,K$1-1)))/100))),"")</f>
        <v>4097645.8567321287</v>
      </c>
      <c r="L125" s="30" cm="1">
        <f t="array" ref="L125">IFERROR(IF($E125&lt;44348,"",IF(INDEX(Raw_매출!$B$2:$BI$155,MATCH($A125,Raw_매출!$A$2:$A$155,0),MATCH(EDATE($E125,L$1-1),Raw_매출!$B$1:$BI$1,0))=0,"",INDEX(Raw_매출!$B$2:$BI$155,MATCH($A125,Raw_매출!$A$2:$A$155,0),MATCH(EDATE($E125,L$1-1),Raw_매출!$B$1:$BI$1,0))/(INDEX(요약_월별시즈널리티!$F$7:$F$18,MONTH(EDATE($E125,L$1-1)))/100))),"")</f>
        <v>3900802.8648455786</v>
      </c>
      <c r="M125" s="30" cm="1">
        <f t="array" ref="M125">IFERROR(IF($E125&lt;44348,"",IF(INDEX(Raw_매출!$B$2:$BI$155,MATCH($A125,Raw_매출!$A$2:$A$155,0),MATCH(EDATE($E125,M$1-1),Raw_매출!$B$1:$BI$1,0))=0,"",INDEX(Raw_매출!$B$2:$BI$155,MATCH($A125,Raw_매출!$A$2:$A$155,0),MATCH(EDATE($E125,M$1-1),Raw_매출!$B$1:$BI$1,0))/(INDEX(요약_월별시즈널리티!$F$7:$F$18,MONTH(EDATE($E125,M$1-1)))/100))),"")</f>
        <v>4886510.0208915137</v>
      </c>
      <c r="N125" s="30" cm="1">
        <f t="array" ref="N125">IFERROR(IF($E125&lt;44348,"",IF(INDEX(Raw_매출!$B$2:$BI$155,MATCH($A125,Raw_매출!$A$2:$A$155,0),MATCH(EDATE($E125,N$1-1),Raw_매출!$B$1:$BI$1,0))=0,"",INDEX(Raw_매출!$B$2:$BI$155,MATCH($A125,Raw_매출!$A$2:$A$155,0),MATCH(EDATE($E125,N$1-1),Raw_매출!$B$1:$BI$1,0))/(INDEX(요약_월별시즈널리티!$F$7:$F$18,MONTH(EDATE($E125,N$1-1)))/100))),"")</f>
        <v>4269019.308368057</v>
      </c>
      <c r="O125" s="30" cm="1">
        <f t="array" ref="O125">IFERROR(IF($E125&lt;44348,"",IF(INDEX(Raw_매출!$B$2:$BI$155,MATCH($A125,Raw_매출!$A$2:$A$155,0),MATCH(EDATE($E125,O$1-1),Raw_매출!$B$1:$BI$1,0))=0,"",INDEX(Raw_매출!$B$2:$BI$155,MATCH($A125,Raw_매출!$A$2:$A$155,0),MATCH(EDATE($E125,O$1-1),Raw_매출!$B$1:$BI$1,0))/(INDEX(요약_월별시즈널리티!$F$7:$F$18,MONTH(EDATE($E125,O$1-1)))/100))),"")</f>
        <v>5400459.3751701154</v>
      </c>
      <c r="P125" cm="1">
        <f t="array" ref="P125">IFERROR(IF($E125&lt;44348,"",IF(INDEX(Raw_매출!$B$2:$BI$155,MATCH($A125,Raw_매출!$A$2:$A$155,0),MATCH(EDATE($E125,P$1-1),Raw_매출!$B$1:$BI$1,0))=0,"",INDEX(Raw_매출!$B$2:$BI$155,MATCH($A125,Raw_매출!$A$2:$A$155,0),MATCH(EDATE($E125,P$1-1),Raw_매출!$B$1:$BI$1,0))/(INDEX(요약_월별시즈널리티!$F$7:$F$18,MONTH(EDATE($E125,P$1-1)))/100))),"")</f>
        <v>5191142.8870347831</v>
      </c>
      <c r="Q125" cm="1">
        <f t="array" ref="Q125">IFERROR(IF($E125&lt;44348,"",IF(INDEX(Raw_매출!$B$2:$BI$155,MATCH($A125,Raw_매출!$A$2:$A$155,0),MATCH(EDATE($E125,Q$1-1),Raw_매출!$B$1:$BI$1,0))=0,"",INDEX(Raw_매출!$B$2:$BI$155,MATCH($A125,Raw_매출!$A$2:$A$155,0),MATCH(EDATE($E125,Q$1-1),Raw_매출!$B$1:$BI$1,0))/(INDEX(요약_월별시즈널리티!$F$7:$F$18,MONTH(EDATE($E125,Q$1-1)))/100))),"")</f>
        <v>4714332.8954756996</v>
      </c>
      <c r="R125" cm="1">
        <f t="array" ref="R125">IFERROR(IF($E125&lt;44348,"",IF(INDEX(Raw_매출!$B$2:$BI$155,MATCH($A125,Raw_매출!$A$2:$A$155,0),MATCH(EDATE($E125,R$1-1),Raw_매출!$B$1:$BI$1,0))=0,"",INDEX(Raw_매출!$B$2:$BI$155,MATCH($A125,Raw_매출!$A$2:$A$155,0),MATCH(EDATE($E125,R$1-1),Raw_매출!$B$1:$BI$1,0))/(INDEX(요약_월별시즈널리티!$F$7:$F$18,MONTH(EDATE($E125,R$1-1)))/100))),"")</f>
        <v>4511529.4048560383</v>
      </c>
      <c r="S125" cm="1">
        <f t="array" ref="S125">IFERROR(IF($E125&lt;44348,"",IF(INDEX(Raw_매출!$B$2:$BI$155,MATCH($A125,Raw_매출!$A$2:$A$155,0),MATCH(EDATE($E125,S$1-1),Raw_매출!$B$1:$BI$1,0))=0,"",INDEX(Raw_매출!$B$2:$BI$155,MATCH($A125,Raw_매출!$A$2:$A$155,0),MATCH(EDATE($E125,S$1-1),Raw_매출!$B$1:$BI$1,0))/(INDEX(요약_월별시즈널리티!$F$7:$F$18,MONTH(EDATE($E125,S$1-1)))/100))),"")</f>
        <v>4551375.3756565703</v>
      </c>
      <c r="T125" cm="1">
        <f t="array" ref="T125">IFERROR(IF($E125&lt;44348,"",IF(INDEX(Raw_매출!$B$2:$BI$155,MATCH($A125,Raw_매출!$A$2:$A$155,0),MATCH(EDATE($E125,T$1-1),Raw_매출!$B$1:$BI$1,0))=0,"",INDEX(Raw_매출!$B$2:$BI$155,MATCH($A125,Raw_매출!$A$2:$A$155,0),MATCH(EDATE($E125,T$1-1),Raw_매출!$B$1:$BI$1,0))/(INDEX(요약_월별시즈널리티!$F$7:$F$18,MONTH(EDATE($E125,T$1-1)))/100))),"")</f>
        <v>4363873.0488584684</v>
      </c>
      <c r="U125" cm="1">
        <f t="array" ref="U125">IFERROR(IF($E125&lt;44348,"",IF(INDEX(Raw_매출!$B$2:$BI$155,MATCH($A125,Raw_매출!$A$2:$A$155,0),MATCH(EDATE($E125,U$1-1),Raw_매출!$B$1:$BI$1,0))=0,"",INDEX(Raw_매출!$B$2:$BI$155,MATCH($A125,Raw_매출!$A$2:$A$155,0),MATCH(EDATE($E125,U$1-1),Raw_매출!$B$1:$BI$1,0))/(INDEX(요약_월별시즈널리티!$F$7:$F$18,MONTH(EDATE($E125,U$1-1)))/100))),"")</f>
        <v>4548828.7225350169</v>
      </c>
      <c r="V125" cm="1">
        <f t="array" ref="V125">IFERROR(IF($E125&lt;44348,"",IF(INDEX(Raw_매출!$B$2:$BI$155,MATCH($A125,Raw_매출!$A$2:$A$155,0),MATCH(EDATE($E125,V$1-1),Raw_매출!$B$1:$BI$1,0))=0,"",INDEX(Raw_매출!$B$2:$BI$155,MATCH($A125,Raw_매출!$A$2:$A$155,0),MATCH(EDATE($E125,V$1-1),Raw_매출!$B$1:$BI$1,0))/(INDEX(요약_월별시즈널리티!$F$7:$F$18,MONTH(EDATE($E125,V$1-1)))/100))),"")</f>
        <v>4658970.4844813254</v>
      </c>
      <c r="W125" cm="1">
        <f t="array" ref="W125">IFERROR(IF($E125&lt;44348,"",IF(INDEX(Raw_매출!$B$2:$BI$155,MATCH($A125,Raw_매출!$A$2:$A$155,0),MATCH(EDATE($E125,W$1-1),Raw_매출!$B$1:$BI$1,0))=0,"",INDEX(Raw_매출!$B$2:$BI$155,MATCH($A125,Raw_매출!$A$2:$A$155,0),MATCH(EDATE($E125,W$1-1),Raw_매출!$B$1:$BI$1,0))/(INDEX(요약_월별시즈널리티!$F$7:$F$18,MONTH(EDATE($E125,W$1-1)))/100))),"")</f>
        <v>4150265.6890522996</v>
      </c>
      <c r="X125" cm="1">
        <f t="array" ref="X125">IFERROR(IF($E125&lt;44348,"",IF(INDEX(Raw_매출!$B$2:$BI$155,MATCH($A125,Raw_매출!$A$2:$A$155,0),MATCH(EDATE($E125,X$1-1),Raw_매출!$B$1:$BI$1,0))=0,"",INDEX(Raw_매출!$B$2:$BI$155,MATCH($A125,Raw_매출!$A$2:$A$155,0),MATCH(EDATE($E125,X$1-1),Raw_매출!$B$1:$BI$1,0))/(INDEX(요약_월별시즈널리티!$F$7:$F$18,MONTH(EDATE($E125,X$1-1)))/100))),"")</f>
        <v>4299437.1793284137</v>
      </c>
      <c r="Y125" cm="1">
        <f t="array" ref="Y125">IFERROR(IF($E125&lt;44348,"",IF(INDEX(Raw_매출!$B$2:$BI$155,MATCH($A125,Raw_매출!$A$2:$A$155,0),MATCH(EDATE($E125,Y$1-1),Raw_매출!$B$1:$BI$1,0))=0,"",INDEX(Raw_매출!$B$2:$BI$155,MATCH($A125,Raw_매출!$A$2:$A$155,0),MATCH(EDATE($E125,Y$1-1),Raw_매출!$B$1:$BI$1,0))/(INDEX(요약_월별시즈널리티!$F$7:$F$18,MONTH(EDATE($E125,Y$1-1)))/100))),"")</f>
        <v>4329865.9018804533</v>
      </c>
      <c r="Z125" cm="1">
        <f t="array" ref="Z125">IFERROR(IF($E125&lt;44348,"",IF(INDEX(Raw_매출!$B$2:$BI$155,MATCH($A125,Raw_매출!$A$2:$A$155,0),MATCH(EDATE($E125,Z$1-1),Raw_매출!$B$1:$BI$1,0))=0,"",INDEX(Raw_매출!$B$2:$BI$155,MATCH($A125,Raw_매출!$A$2:$A$155,0),MATCH(EDATE($E125,Z$1-1),Raw_매출!$B$1:$BI$1,0))/(INDEX(요약_월별시즈널리티!$F$7:$F$18,MONTH(EDATE($E125,Z$1-1)))/100))),"")</f>
        <v>4037309.2594916862</v>
      </c>
      <c r="AA125" cm="1">
        <f t="array" ref="AA125">IFERROR(IF($E125&lt;44348,"",IF(INDEX(Raw_매출!$B$2:$BI$155,MATCH($A125,Raw_매출!$A$2:$A$155,0),MATCH(EDATE($E125,AA$1-1),Raw_매출!$B$1:$BI$1,0))=0,"",INDEX(Raw_매출!$B$2:$BI$155,MATCH($A125,Raw_매출!$A$2:$A$155,0),MATCH(EDATE($E125,AA$1-1),Raw_매출!$B$1:$BI$1,0))/(INDEX(요약_월별시즈널리티!$F$7:$F$18,MONTH(EDATE($E125,AA$1-1)))/100))),"")</f>
        <v>4290054.3931921814</v>
      </c>
      <c r="AB125" t="str" cm="1">
        <f t="array" ref="AB125">IFERROR(IF($E125&lt;44348,"",IF(INDEX(Raw_매출!$B$2:$BI$155,MATCH($A125,Raw_매출!$A$2:$A$155,0),MATCH(EDATE($E125,AB$1-1),Raw_매출!$B$1:$BI$1,0))=0,"",INDEX(Raw_매출!$B$2:$BI$155,MATCH($A125,Raw_매출!$A$2:$A$155,0),MATCH(EDATE($E125,AB$1-1),Raw_매출!$B$1:$BI$1,0))/(INDEX(요약_월별시즈널리티!$F$7:$F$18,MONTH(EDATE($E125,AB$1-1)))/100))),"")</f>
        <v/>
      </c>
      <c r="AC125" t="str" cm="1">
        <f t="array" ref="AC125">IFERROR(IF($E125&lt;44348,"",IF(INDEX(Raw_매출!$B$2:$BI$155,MATCH($A125,Raw_매출!$A$2:$A$155,0),MATCH(EDATE($E125,AC$1-1),Raw_매출!$B$1:$BI$1,0))=0,"",INDEX(Raw_매출!$B$2:$BI$155,MATCH($A125,Raw_매출!$A$2:$A$155,0),MATCH(EDATE($E125,AC$1-1),Raw_매출!$B$1:$BI$1,0))/(INDEX(요약_월별시즈널리티!$F$7:$F$18,MONTH(EDATE($E125,AC$1-1)))/100))),"")</f>
        <v/>
      </c>
      <c r="AD125" t="str" cm="1">
        <f t="array" ref="AD125">IFERROR(IF($E125&lt;44348,"",IF(INDEX(Raw_매출!$B$2:$BI$155,MATCH($A125,Raw_매출!$A$2:$A$155,0),MATCH(EDATE($E125,AD$1-1),Raw_매출!$B$1:$BI$1,0))=0,"",INDEX(Raw_매출!$B$2:$BI$155,MATCH($A125,Raw_매출!$A$2:$A$155,0),MATCH(EDATE($E125,AD$1-1),Raw_매출!$B$1:$BI$1,0))/(INDEX(요약_월별시즈널리티!$F$7:$F$18,MONTH(EDATE($E125,AD$1-1)))/100))),"")</f>
        <v/>
      </c>
      <c r="AE125" t="str" cm="1">
        <f t="array" ref="AE125">IFERROR(IF($E125&lt;44348,"",IF(INDEX(Raw_매출!$B$2:$BI$155,MATCH($A125,Raw_매출!$A$2:$A$155,0),MATCH(EDATE($E125,AE$1-1),Raw_매출!$B$1:$BI$1,0))=0,"",INDEX(Raw_매출!$B$2:$BI$155,MATCH($A125,Raw_매출!$A$2:$A$155,0),MATCH(EDATE($E125,AE$1-1),Raw_매출!$B$1:$BI$1,0))/(INDEX(요약_월별시즈널리티!$F$7:$F$18,MONTH(EDATE($E125,AE$1-1)))/100))),"")</f>
        <v/>
      </c>
      <c r="AF125" t="str" cm="1">
        <f t="array" ref="AF125">IFERROR(IF($E125&lt;44348,"",IF(INDEX(Raw_매출!$B$2:$BI$155,MATCH($A125,Raw_매출!$A$2:$A$155,0),MATCH(EDATE($E125,AF$1-1),Raw_매출!$B$1:$BI$1,0))=0,"",INDEX(Raw_매출!$B$2:$BI$155,MATCH($A125,Raw_매출!$A$2:$A$155,0),MATCH(EDATE($E125,AF$1-1),Raw_매출!$B$1:$BI$1,0))/(INDEX(요약_월별시즈널리티!$F$7:$F$18,MONTH(EDATE($E125,AF$1-1)))/100))),"")</f>
        <v/>
      </c>
      <c r="AG125" t="str" cm="1">
        <f t="array" ref="AG125">IFERROR(IF($E125&lt;44348,"",IF(INDEX(Raw_매출!$B$2:$BI$155,MATCH($A125,Raw_매출!$A$2:$A$155,0),MATCH(EDATE($E125,AG$1-1),Raw_매출!$B$1:$BI$1,0))=0,"",INDEX(Raw_매출!$B$2:$BI$155,MATCH($A125,Raw_매출!$A$2:$A$155,0),MATCH(EDATE($E125,AG$1-1),Raw_매출!$B$1:$BI$1,0))/(INDEX(요약_월별시즈널리티!$F$7:$F$18,MONTH(EDATE($E125,AG$1-1)))/100))),"")</f>
        <v/>
      </c>
      <c r="AH125" t="str" cm="1">
        <f t="array" ref="AH125">IFERROR(IF($E125&lt;44348,"",IF(INDEX(Raw_매출!$B$2:$BI$155,MATCH($A125,Raw_매출!$A$2:$A$155,0),MATCH(EDATE($E125,AH$1-1),Raw_매출!$B$1:$BI$1,0))=0,"",INDEX(Raw_매출!$B$2:$BI$155,MATCH($A125,Raw_매출!$A$2:$A$155,0),MATCH(EDATE($E125,AH$1-1),Raw_매출!$B$1:$BI$1,0))/(INDEX(요약_월별시즈널리티!$F$7:$F$18,MONTH(EDATE($E125,AH$1-1)))/100))),"")</f>
        <v/>
      </c>
      <c r="AI125" t="str" cm="1">
        <f t="array" ref="AI125">IFERROR(IF($E125&lt;44348,"",IF(INDEX(Raw_매출!$B$2:$BI$155,MATCH($A125,Raw_매출!$A$2:$A$155,0),MATCH(EDATE($E125,AI$1-1),Raw_매출!$B$1:$BI$1,0))=0,"",INDEX(Raw_매출!$B$2:$BI$155,MATCH($A125,Raw_매출!$A$2:$A$155,0),MATCH(EDATE($E125,AI$1-1),Raw_매출!$B$1:$BI$1,0))/(INDEX(요약_월별시즈널리티!$F$7:$F$18,MONTH(EDATE($E125,AI$1-1)))/100))),"")</f>
        <v/>
      </c>
      <c r="AJ125" t="str" cm="1">
        <f t="array" ref="AJ125">IFERROR(IF($E125&lt;44348,"",IF(INDEX(Raw_매출!$B$2:$BI$155,MATCH($A125,Raw_매출!$A$2:$A$155,0),MATCH(EDATE($E125,AJ$1-1),Raw_매출!$B$1:$BI$1,0))=0,"",INDEX(Raw_매출!$B$2:$BI$155,MATCH($A125,Raw_매출!$A$2:$A$155,0),MATCH(EDATE($E125,AJ$1-1),Raw_매출!$B$1:$BI$1,0))/(INDEX(요약_월별시즈널리티!$F$7:$F$18,MONTH(EDATE($E125,AJ$1-1)))/100))),"")</f>
        <v/>
      </c>
      <c r="AK125" t="str" cm="1">
        <f t="array" ref="AK125">IFERROR(IF($E125&lt;44348,"",IF(INDEX(Raw_매출!$B$2:$BI$155,MATCH($A125,Raw_매출!$A$2:$A$155,0),MATCH(EDATE($E125,AK$1-1),Raw_매출!$B$1:$BI$1,0))=0,"",INDEX(Raw_매출!$B$2:$BI$155,MATCH($A125,Raw_매출!$A$2:$A$155,0),MATCH(EDATE($E125,AK$1-1),Raw_매출!$B$1:$BI$1,0))/(INDEX(요약_월별시즈널리티!$F$7:$F$18,MONTH(EDATE($E125,AK$1-1)))/100))),"")</f>
        <v/>
      </c>
      <c r="AL125" t="str" cm="1">
        <f t="array" ref="AL125">IFERROR(IF($E125&lt;44348,"",IF(INDEX(Raw_매출!$B$2:$BI$155,MATCH($A125,Raw_매출!$A$2:$A$155,0),MATCH(EDATE($E125,AL$1-1),Raw_매출!$B$1:$BI$1,0))=0,"",INDEX(Raw_매출!$B$2:$BI$155,MATCH($A125,Raw_매출!$A$2:$A$155,0),MATCH(EDATE($E125,AL$1-1),Raw_매출!$B$1:$BI$1,0))/(INDEX(요약_월별시즈널리티!$F$7:$F$18,MONTH(EDATE($E125,AL$1-1)))/100))),"")</f>
        <v/>
      </c>
      <c r="AM125" t="str" cm="1">
        <f t="array" ref="AM125">IFERROR(IF($E125&lt;44348,"",IF(INDEX(Raw_매출!$B$2:$BI$155,MATCH($A125,Raw_매출!$A$2:$A$155,0),MATCH(EDATE($E125,AM$1-1),Raw_매출!$B$1:$BI$1,0))=0,"",INDEX(Raw_매출!$B$2:$BI$155,MATCH($A125,Raw_매출!$A$2:$A$155,0),MATCH(EDATE($E125,AM$1-1),Raw_매출!$B$1:$BI$1,0))/(INDEX(요약_월별시즈널리티!$F$7:$F$18,MONTH(EDATE($E125,AM$1-1)))/100))),"")</f>
        <v/>
      </c>
      <c r="AN125" t="str" cm="1">
        <f t="array" ref="AN125">IFERROR(IF($E125&lt;44348,"",IF(INDEX(Raw_매출!$B$2:$BI$155,MATCH($A125,Raw_매출!$A$2:$A$155,0),MATCH(EDATE($E125,AN$1-1),Raw_매출!$B$1:$BI$1,0))=0,"",INDEX(Raw_매출!$B$2:$BI$155,MATCH($A125,Raw_매출!$A$2:$A$155,0),MATCH(EDATE($E125,AN$1-1),Raw_매출!$B$1:$BI$1,0))/(INDEX(요약_월별시즈널리티!$F$7:$F$18,MONTH(EDATE($E125,AN$1-1)))/100))),"")</f>
        <v/>
      </c>
      <c r="AO125" t="str" cm="1">
        <f t="array" ref="AO125">IFERROR(IF($E125&lt;44348,"",IF(INDEX(Raw_매출!$B$2:$BI$155,MATCH($A125,Raw_매출!$A$2:$A$155,0),MATCH(EDATE($E125,AO$1-1),Raw_매출!$B$1:$BI$1,0))=0,"",INDEX(Raw_매출!$B$2:$BI$155,MATCH($A125,Raw_매출!$A$2:$A$155,0),MATCH(EDATE($E125,AO$1-1),Raw_매출!$B$1:$BI$1,0))/(INDEX(요약_월별시즈널리티!$F$7:$F$18,MONTH(EDATE($E125,AO$1-1)))/100))),"")</f>
        <v/>
      </c>
      <c r="AP125" t="str" cm="1">
        <f t="array" ref="AP125">IFERROR(IF($E125&lt;44348,"",IF(INDEX(Raw_매출!$B$2:$BI$155,MATCH($A125,Raw_매출!$A$2:$A$155,0),MATCH(EDATE($E125,AP$1-1),Raw_매출!$B$1:$BI$1,0))=0,"",INDEX(Raw_매출!$B$2:$BI$155,MATCH($A125,Raw_매출!$A$2:$A$155,0),MATCH(EDATE($E125,AP$1-1),Raw_매출!$B$1:$BI$1,0))/(INDEX(요약_월별시즈널리티!$F$7:$F$18,MONTH(EDATE($E125,AP$1-1)))/100))),"")</f>
        <v/>
      </c>
      <c r="AQ125" t="str" cm="1">
        <f t="array" ref="AQ125">IFERROR(IF($E125&lt;44348,"",IF(INDEX(Raw_매출!$B$2:$BI$155,MATCH($A125,Raw_매출!$A$2:$A$155,0),MATCH(EDATE($E125,AQ$1-1),Raw_매출!$B$1:$BI$1,0))=0,"",INDEX(Raw_매출!$B$2:$BI$155,MATCH($A125,Raw_매출!$A$2:$A$155,0),MATCH(EDATE($E125,AQ$1-1),Raw_매출!$B$1:$BI$1,0))/(INDEX(요약_월별시즈널리티!$F$7:$F$18,MONTH(EDATE($E125,AQ$1-1)))/100))),"")</f>
        <v/>
      </c>
      <c r="AR125" t="str" cm="1">
        <f t="array" ref="AR125">IFERROR(IF($E125&lt;44348,"",IF(INDEX(Raw_매출!$B$2:$BI$155,MATCH($A125,Raw_매출!$A$2:$A$155,0),MATCH(EDATE($E125,AR$1-1),Raw_매출!$B$1:$BI$1,0))=0,"",INDEX(Raw_매출!$B$2:$BI$155,MATCH($A125,Raw_매출!$A$2:$A$155,0),MATCH(EDATE($E125,AR$1-1),Raw_매출!$B$1:$BI$1,0))/(INDEX(요약_월별시즈널리티!$F$7:$F$18,MONTH(EDATE($E125,AR$1-1)))/100))),"")</f>
        <v/>
      </c>
      <c r="AS125" t="str" cm="1">
        <f t="array" ref="AS125">IFERROR(IF($E125&lt;44348,"",IF(INDEX(Raw_매출!$B$2:$BI$155,MATCH($A125,Raw_매출!$A$2:$A$155,0),MATCH(EDATE($E125,AS$1-1),Raw_매출!$B$1:$BI$1,0))=0,"",INDEX(Raw_매출!$B$2:$BI$155,MATCH($A125,Raw_매출!$A$2:$A$155,0),MATCH(EDATE($E125,AS$1-1),Raw_매출!$B$1:$BI$1,0))/(INDEX(요약_월별시즈널리티!$F$7:$F$18,MONTH(EDATE($E125,AS$1-1)))/100))),"")</f>
        <v/>
      </c>
      <c r="AT125" t="str" cm="1">
        <f t="array" ref="AT125">IFERROR(IF($E125&lt;44348,"",IF(INDEX(Raw_매출!$B$2:$BI$155,MATCH($A125,Raw_매출!$A$2:$A$155,0),MATCH(EDATE($E125,AT$1-1),Raw_매출!$B$1:$BI$1,0))=0,"",INDEX(Raw_매출!$B$2:$BI$155,MATCH($A125,Raw_매출!$A$2:$A$155,0),MATCH(EDATE($E125,AT$1-1),Raw_매출!$B$1:$BI$1,0))/(INDEX(요약_월별시즈널리티!$F$7:$F$18,MONTH(EDATE($E125,AT$1-1)))/100))),"")</f>
        <v/>
      </c>
      <c r="AU125" t="str" cm="1">
        <f t="array" ref="AU125">IFERROR(IF($E125&lt;44348,"",IF(INDEX(Raw_매출!$B$2:$BI$155,MATCH($A125,Raw_매출!$A$2:$A$155,0),MATCH(EDATE($E125,AU$1-1),Raw_매출!$B$1:$BI$1,0))=0,"",INDEX(Raw_매출!$B$2:$BI$155,MATCH($A125,Raw_매출!$A$2:$A$155,0),MATCH(EDATE($E125,AU$1-1),Raw_매출!$B$1:$BI$1,0))/(INDEX(요약_월별시즈널리티!$F$7:$F$18,MONTH(EDATE($E125,AU$1-1)))/100))),"")</f>
        <v/>
      </c>
      <c r="AV125" t="str" cm="1">
        <f t="array" ref="AV125">IFERROR(IF($E125&lt;44348,"",IF(INDEX(Raw_매출!$B$2:$BI$155,MATCH($A125,Raw_매출!$A$2:$A$155,0),MATCH(EDATE($E125,AV$1-1),Raw_매출!$B$1:$BI$1,0))=0,"",INDEX(Raw_매출!$B$2:$BI$155,MATCH($A125,Raw_매출!$A$2:$A$155,0),MATCH(EDATE($E125,AV$1-1),Raw_매출!$B$1:$BI$1,0))/(INDEX(요약_월별시즈널리티!$F$7:$F$18,MONTH(EDATE($E125,AV$1-1)))/100))),"")</f>
        <v/>
      </c>
      <c r="AW125" t="str" cm="1">
        <f t="array" ref="AW125">IFERROR(IF($E125&lt;44348,"",IF(INDEX(Raw_매출!$B$2:$BI$155,MATCH($A125,Raw_매출!$A$2:$A$155,0),MATCH(EDATE($E125,AW$1-1),Raw_매출!$B$1:$BI$1,0))=0,"",INDEX(Raw_매출!$B$2:$BI$155,MATCH($A125,Raw_매출!$A$2:$A$155,0),MATCH(EDATE($E125,AW$1-1),Raw_매출!$B$1:$BI$1,0))/(INDEX(요약_월별시즈널리티!$F$7:$F$18,MONTH(EDATE($E125,AW$1-1)))/100))),"")</f>
        <v/>
      </c>
      <c r="AX125" t="str" cm="1">
        <f t="array" ref="AX125">IFERROR(IF($E125&lt;44348,"",IF(INDEX(Raw_매출!$B$2:$BI$155,MATCH($A125,Raw_매출!$A$2:$A$155,0),MATCH(EDATE($E125,AX$1-1),Raw_매출!$B$1:$BI$1,0))=0,"",INDEX(Raw_매출!$B$2:$BI$155,MATCH($A125,Raw_매출!$A$2:$A$155,0),MATCH(EDATE($E125,AX$1-1),Raw_매출!$B$1:$BI$1,0))/(INDEX(요약_월별시즈널리티!$F$7:$F$18,MONTH(EDATE($E125,AX$1-1)))/100))),"")</f>
        <v/>
      </c>
      <c r="AY125" t="str" cm="1">
        <f t="array" ref="AY125">IFERROR(IF($E125&lt;44348,"",IF(INDEX(Raw_매출!$B$2:$BI$155,MATCH($A125,Raw_매출!$A$2:$A$155,0),MATCH(EDATE($E125,AY$1-1),Raw_매출!$B$1:$BI$1,0))=0,"",INDEX(Raw_매출!$B$2:$BI$155,MATCH($A125,Raw_매출!$A$2:$A$155,0),MATCH(EDATE($E125,AY$1-1),Raw_매출!$B$1:$BI$1,0))/(INDEX(요약_월별시즈널리티!$F$7:$F$18,MONTH(EDATE($E125,AY$1-1)))/100))),"")</f>
        <v/>
      </c>
      <c r="AZ125" t="str" cm="1">
        <f t="array" ref="AZ125">IFERROR(IF($E125&lt;44348,"",IF(INDEX(Raw_매출!$B$2:$BI$155,MATCH($A125,Raw_매출!$A$2:$A$155,0),MATCH(EDATE($E125,AZ$1-1),Raw_매출!$B$1:$BI$1,0))=0,"",INDEX(Raw_매출!$B$2:$BI$155,MATCH($A125,Raw_매출!$A$2:$A$155,0),MATCH(EDATE($E125,AZ$1-1),Raw_매출!$B$1:$BI$1,0))/(INDEX(요약_월별시즈널리티!$F$7:$F$18,MONTH(EDATE($E125,AZ$1-1)))/100))),"")</f>
        <v/>
      </c>
      <c r="BA125" t="str" cm="1">
        <f t="array" ref="BA125">IFERROR(IF($E125&lt;44348,"",IF(INDEX(Raw_매출!$B$2:$BI$155,MATCH($A125,Raw_매출!$A$2:$A$155,0),MATCH(EDATE($E125,BA$1-1),Raw_매출!$B$1:$BI$1,0))=0,"",INDEX(Raw_매출!$B$2:$BI$155,MATCH($A125,Raw_매출!$A$2:$A$155,0),MATCH(EDATE($E125,BA$1-1),Raw_매출!$B$1:$BI$1,0))/(INDEX(요약_월별시즈널리티!$F$7:$F$18,MONTH(EDATE($E125,BA$1-1)))/100))),"")</f>
        <v/>
      </c>
      <c r="BB125" t="str" cm="1">
        <f t="array" ref="BB125">IFERROR(IF($E125&lt;44348,"",IF(INDEX(Raw_매출!$B$2:$BI$155,MATCH($A125,Raw_매출!$A$2:$A$155,0),MATCH(EDATE($E125,BB$1-1),Raw_매출!$B$1:$BI$1,0))=0,"",INDEX(Raw_매출!$B$2:$BI$155,MATCH($A125,Raw_매출!$A$2:$A$155,0),MATCH(EDATE($E125,BB$1-1),Raw_매출!$B$1:$BI$1,0))/(INDEX(요약_월별시즈널리티!$F$7:$F$18,MONTH(EDATE($E125,BB$1-1)))/100))),"")</f>
        <v/>
      </c>
      <c r="BC125" t="str" cm="1">
        <f t="array" ref="BC125">IFERROR(IF($E125&lt;44348,"",IF(INDEX(Raw_매출!$B$2:$BI$155,MATCH($A125,Raw_매출!$A$2:$A$155,0),MATCH(EDATE($E125,BC$1-1),Raw_매출!$B$1:$BI$1,0))=0,"",INDEX(Raw_매출!$B$2:$BI$155,MATCH($A125,Raw_매출!$A$2:$A$155,0),MATCH(EDATE($E125,BC$1-1),Raw_매출!$B$1:$BI$1,0))/(INDEX(요약_월별시즈널리티!$F$7:$F$18,MONTH(EDATE($E125,BC$1-1)))/100))),"")</f>
        <v/>
      </c>
      <c r="BD125" t="str" cm="1">
        <f t="array" ref="BD125">IFERROR(IF($E125&lt;44348,"",IF(INDEX(Raw_매출!$B$2:$BI$155,MATCH($A125,Raw_매출!$A$2:$A$155,0),MATCH(EDATE($E125,BD$1-1),Raw_매출!$B$1:$BI$1,0))=0,"",INDEX(Raw_매출!$B$2:$BI$155,MATCH($A125,Raw_매출!$A$2:$A$155,0),MATCH(EDATE($E125,BD$1-1),Raw_매출!$B$1:$BI$1,0))/(INDEX(요약_월별시즈널리티!$F$7:$F$18,MONTH(EDATE($E125,BD$1-1)))/100))),"")</f>
        <v/>
      </c>
      <c r="BE125" t="str" cm="1">
        <f t="array" ref="BE125">IFERROR(IF($E125&lt;44348,"",IF(INDEX(Raw_매출!$B$2:$BI$155,MATCH($A125,Raw_매출!$A$2:$A$155,0),MATCH(EDATE($E125,BE$1-1),Raw_매출!$B$1:$BI$1,0))=0,"",INDEX(Raw_매출!$B$2:$BI$155,MATCH($A125,Raw_매출!$A$2:$A$155,0),MATCH(EDATE($E125,BE$1-1),Raw_매출!$B$1:$BI$1,0))/(INDEX(요약_월별시즈널리티!$F$7:$F$18,MONTH(EDATE($E125,BE$1-1)))/100))),"")</f>
        <v/>
      </c>
      <c r="BF125" t="str" cm="1">
        <f t="array" ref="BF125">IFERROR(IF($E125&lt;44348,"",IF(INDEX(Raw_매출!$B$2:$BI$155,MATCH($A125,Raw_매출!$A$2:$A$155,0),MATCH(EDATE($E125,BF$1-1),Raw_매출!$B$1:$BI$1,0))=0,"",INDEX(Raw_매출!$B$2:$BI$155,MATCH($A125,Raw_매출!$A$2:$A$155,0),MATCH(EDATE($E125,BF$1-1),Raw_매출!$B$1:$BI$1,0))/(INDEX(요약_월별시즈널리티!$F$7:$F$18,MONTH(EDATE($E125,BF$1-1)))/100))),"")</f>
        <v/>
      </c>
      <c r="BG125" t="str" cm="1">
        <f t="array" ref="BG125">IFERROR(IF($E125&lt;44348,"",IF(INDEX(Raw_매출!$B$2:$BI$155,MATCH($A125,Raw_매출!$A$2:$A$155,0),MATCH(EDATE($E125,BG$1-1),Raw_매출!$B$1:$BI$1,0))=0,"",INDEX(Raw_매출!$B$2:$BI$155,MATCH($A125,Raw_매출!$A$2:$A$155,0),MATCH(EDATE($E125,BG$1-1),Raw_매출!$B$1:$BI$1,0))/(INDEX(요약_월별시즈널리티!$F$7:$F$18,MONTH(EDATE($E125,BG$1-1)))/100))),"")</f>
        <v/>
      </c>
      <c r="BH125" t="str" cm="1">
        <f t="array" ref="BH125">IFERROR(IF($E125&lt;44348,"",IF(INDEX(Raw_매출!$B$2:$BI$155,MATCH($A125,Raw_매출!$A$2:$A$155,0),MATCH(EDATE($E125,BH$1-1),Raw_매출!$B$1:$BI$1,0))=0,"",INDEX(Raw_매출!$B$2:$BI$155,MATCH($A125,Raw_매출!$A$2:$A$155,0),MATCH(EDATE($E125,BH$1-1),Raw_매출!$B$1:$BI$1,0))/(INDEX(요약_월별시즈널리티!$F$7:$F$18,MONTH(EDATE($E125,BH$1-1)))/100))),"")</f>
        <v/>
      </c>
      <c r="BI125" t="str" cm="1">
        <f t="array" ref="BI125">IFERROR(IF($E125&lt;44348,"",IF(INDEX(Raw_매출!$B$2:$BI$155,MATCH($A125,Raw_매출!$A$2:$A$155,0),MATCH(EDATE($E125,BI$1-1),Raw_매출!$B$1:$BI$1,0))=0,"",INDEX(Raw_매출!$B$2:$BI$155,MATCH($A125,Raw_매출!$A$2:$A$155,0),MATCH(EDATE($E125,BI$1-1),Raw_매출!$B$1:$BI$1,0))/(INDEX(요약_월별시즈널리티!$F$7:$F$18,MONTH(EDATE($E125,BI$1-1)))/100))),"")</f>
        <v/>
      </c>
      <c r="BJ125" t="str" cm="1">
        <f t="array" ref="BJ125">IFERROR(IF($E125&lt;44348,"",IF(INDEX(Raw_매출!$B$2:$BI$155,MATCH($A125,Raw_매출!$A$2:$A$155,0),MATCH(EDATE($E125,BJ$1-1),Raw_매출!$B$1:$BI$1,0))=0,"",INDEX(Raw_매출!$B$2:$BI$155,MATCH($A125,Raw_매출!$A$2:$A$155,0),MATCH(EDATE($E125,BJ$1-1),Raw_매출!$B$1:$BI$1,0))/(INDEX(요약_월별시즈널리티!$F$7:$F$18,MONTH(EDATE($E125,BJ$1-1)))/100))),"")</f>
        <v/>
      </c>
      <c r="BK125" t="str" cm="1">
        <f t="array" ref="BK125">IFERROR(IF($E125&lt;44348,"",IF(INDEX(Raw_매출!$B$2:$BI$155,MATCH($A125,Raw_매출!$A$2:$A$155,0),MATCH(EDATE($E125,BK$1-1),Raw_매출!$B$1:$BI$1,0))=0,"",INDEX(Raw_매출!$B$2:$BI$155,MATCH($A125,Raw_매출!$A$2:$A$155,0),MATCH(EDATE($E125,BK$1-1),Raw_매출!$B$1:$BI$1,0))/(INDEX(요약_월별시즈널리티!$F$7:$F$18,MONTH(EDATE($E125,BK$1-1)))/100))),"")</f>
        <v/>
      </c>
      <c r="BL125" t="str" cm="1">
        <f t="array" ref="BL125">IFERROR(IF($E125&lt;44348,"",IF(INDEX(Raw_매출!$B$2:$BI$155,MATCH($A125,Raw_매출!$A$2:$A$155,0),MATCH(EDATE($E125,BL$1-1),Raw_매출!$B$1:$BI$1,0))=0,"",INDEX(Raw_매출!$B$2:$BI$155,MATCH($A125,Raw_매출!$A$2:$A$155,0),MATCH(EDATE($E125,BL$1-1),Raw_매출!$B$1:$BI$1,0))/(INDEX(요약_월별시즈널리티!$F$7:$F$18,MONTH(EDATE($E125,BL$1-1)))/100))),"")</f>
        <v/>
      </c>
      <c r="BM125" t="str" cm="1">
        <f t="array" ref="BM125">IFERROR(IF($E125&lt;44348,"",IF(INDEX(Raw_매출!$B$2:$BI$155,MATCH($A125,Raw_매출!$A$2:$A$155,0),MATCH(EDATE($E125,BM$1-1),Raw_매출!$B$1:$BI$1,0))=0,"",INDEX(Raw_매출!$B$2:$BI$155,MATCH($A125,Raw_매출!$A$2:$A$155,0),MATCH(EDATE($E125,BM$1-1),Raw_매출!$B$1:$BI$1,0))/(INDEX(요약_월별시즈널리티!$F$7:$F$18,MONTH(EDATE($E125,BM$1-1)))/100))),"")</f>
        <v/>
      </c>
      <c r="BN125" t="str" cm="1">
        <f t="array" ref="BN125">IFERROR(IF($E125&lt;44348,"",IF(INDEX(Raw_매출!$B$2:$BI$155,MATCH($A125,Raw_매출!$A$2:$A$155,0),MATCH(EDATE($E125,BN$1-1),Raw_매출!$B$1:$BI$1,0))=0,"",INDEX(Raw_매출!$B$2:$BI$155,MATCH($A125,Raw_매출!$A$2:$A$155,0),MATCH(EDATE($E125,BN$1-1),Raw_매출!$B$1:$BI$1,0))/(INDEX(요약_월별시즈널리티!$F$7:$F$18,MONTH(EDATE($E125,BN$1-1)))/100))),"")</f>
        <v/>
      </c>
    </row>
    <row r="126" spans="1:66" x14ac:dyDescent="0.4">
      <c r="A126" t="str">
        <f>세팅!A127</f>
        <v>(1117) #성신여대역점</v>
      </c>
      <c r="B126" t="str">
        <f>세팅!B127</f>
        <v>150-0</v>
      </c>
      <c r="C126">
        <f t="shared" si="3"/>
        <v>0</v>
      </c>
      <c r="D126" t="str">
        <f t="shared" si="4"/>
        <v>0</v>
      </c>
      <c r="E126" s="1">
        <f>세팅!D127</f>
        <v>45536</v>
      </c>
      <c r="F126">
        <f t="shared" si="5"/>
        <v>7567368.1199628366</v>
      </c>
      <c r="G126" cm="1">
        <f t="array" ref="G126">IFERROR(IF($E126&lt;44348,"",IF(INDEX(Raw_매출!$B$2:$BI$155,MATCH($A126,Raw_매출!$A$2:$A$155,0),MATCH(EDATE($E126,G$1-1),Raw_매출!$B$1:$BI$1,0))=0,"",INDEX(Raw_매출!$B$2:$BI$155,MATCH($A126,Raw_매출!$A$2:$A$155,0),MATCH(EDATE($E126,G$1-1),Raw_매출!$B$1:$BI$1,0))/(INDEX(요약_월별시즈널리티!$F$7:$F$18,MONTH(EDATE($E126,G$1-1)))/100))),"")</f>
        <v>4940374.6473947139</v>
      </c>
      <c r="H126" cm="1">
        <f t="array" ref="H126">IFERROR(IF($E126&lt;44348,"",IF(INDEX(Raw_매출!$B$2:$BI$155,MATCH($A126,Raw_매출!$A$2:$A$155,0),MATCH(EDATE($E126,H$1-1),Raw_매출!$B$1:$BI$1,0))=0,"",INDEX(Raw_매출!$B$2:$BI$155,MATCH($A126,Raw_매출!$A$2:$A$155,0),MATCH(EDATE($E126,H$1-1),Raw_매출!$B$1:$BI$1,0))/(INDEX(요약_월별시즈널리티!$F$7:$F$18,MONTH(EDATE($E126,H$1-1)))/100))),"")</f>
        <v>5648838.3238410093</v>
      </c>
      <c r="I126" cm="1">
        <f t="array" ref="I126">IFERROR(IF($E126&lt;44348,"",IF(INDEX(Raw_매출!$B$2:$BI$155,MATCH($A126,Raw_매출!$A$2:$A$155,0),MATCH(EDATE($E126,I$1-1),Raw_매출!$B$1:$BI$1,0))=0,"",INDEX(Raw_매출!$B$2:$BI$155,MATCH($A126,Raw_매출!$A$2:$A$155,0),MATCH(EDATE($E126,I$1-1),Raw_매출!$B$1:$BI$1,0))/(INDEX(요약_월별시즈널리티!$F$7:$F$18,MONTH(EDATE($E126,I$1-1)))/100))),"")</f>
        <v>6835691.1549704252</v>
      </c>
      <c r="J126" s="30" cm="1">
        <f t="array" ref="J126">IFERROR(IF($E126&lt;44348,"",IF(INDEX(Raw_매출!$B$2:$BI$155,MATCH($A126,Raw_매출!$A$2:$A$155,0),MATCH(EDATE($E126,J$1-1),Raw_매출!$B$1:$BI$1,0))=0,"",INDEX(Raw_매출!$B$2:$BI$155,MATCH($A126,Raw_매출!$A$2:$A$155,0),MATCH(EDATE($E126,J$1-1),Raw_매출!$B$1:$BI$1,0))/(INDEX(요약_월별시즈널리티!$F$7:$F$18,MONTH(EDATE($E126,J$1-1)))/100))),"")</f>
        <v>6786204.4198482083</v>
      </c>
      <c r="K126" s="30" cm="1">
        <f t="array" ref="K126">IFERROR(IF($E126&lt;44348,"",IF(INDEX(Raw_매출!$B$2:$BI$155,MATCH($A126,Raw_매출!$A$2:$A$155,0),MATCH(EDATE($E126,K$1-1),Raw_매출!$B$1:$BI$1,0))=0,"",INDEX(Raw_매출!$B$2:$BI$155,MATCH($A126,Raw_매출!$A$2:$A$155,0),MATCH(EDATE($E126,K$1-1),Raw_매출!$B$1:$BI$1,0))/(INDEX(요약_월별시즈널리티!$F$7:$F$18,MONTH(EDATE($E126,K$1-1)))/100))),"")</f>
        <v>7740146.6419216031</v>
      </c>
      <c r="L126" s="30" cm="1">
        <f t="array" ref="L126">IFERROR(IF($E126&lt;44348,"",IF(INDEX(Raw_매출!$B$2:$BI$155,MATCH($A126,Raw_매출!$A$2:$A$155,0),MATCH(EDATE($E126,L$1-1),Raw_매출!$B$1:$BI$1,0))=0,"",INDEX(Raw_매출!$B$2:$BI$155,MATCH($A126,Raw_매출!$A$2:$A$155,0),MATCH(EDATE($E126,L$1-1),Raw_매출!$B$1:$BI$1,0))/(INDEX(요약_월별시즈널리티!$F$7:$F$18,MONTH(EDATE($E126,L$1-1)))/100))),"")</f>
        <v>7944864.9364584265</v>
      </c>
      <c r="M126" s="30" cm="1">
        <f t="array" ref="M126">IFERROR(IF($E126&lt;44348,"",IF(INDEX(Raw_매출!$B$2:$BI$155,MATCH($A126,Raw_매출!$A$2:$A$155,0),MATCH(EDATE($E126,M$1-1),Raw_매출!$B$1:$BI$1,0))=0,"",INDEX(Raw_매출!$B$2:$BI$155,MATCH($A126,Raw_매출!$A$2:$A$155,0),MATCH(EDATE($E126,M$1-1),Raw_매출!$B$1:$BI$1,0))/(INDEX(요약_월별시즈널리티!$F$7:$F$18,MONTH(EDATE($E126,M$1-1)))/100))),"")</f>
        <v>7394310.6389253158</v>
      </c>
      <c r="N126" s="30" cm="1">
        <f t="array" ref="N126">IFERROR(IF($E126&lt;44348,"",IF(INDEX(Raw_매출!$B$2:$BI$155,MATCH($A126,Raw_매출!$A$2:$A$155,0),MATCH(EDATE($E126,N$1-1),Raw_매출!$B$1:$BI$1,0))=0,"",INDEX(Raw_매출!$B$2:$BI$155,MATCH($A126,Raw_매출!$A$2:$A$155,0),MATCH(EDATE($E126,N$1-1),Raw_매출!$B$1:$BI$1,0))/(INDEX(요약_월별시즈널리티!$F$7:$F$18,MONTH(EDATE($E126,N$1-1)))/100))),"")</f>
        <v>7584794.2528702999</v>
      </c>
      <c r="O126" s="30" cm="1">
        <f t="array" ref="O126">IFERROR(IF($E126&lt;44348,"",IF(INDEX(Raw_매출!$B$2:$BI$155,MATCH($A126,Raw_매출!$A$2:$A$155,0),MATCH(EDATE($E126,O$1-1),Raw_매출!$B$1:$BI$1,0))=0,"",INDEX(Raw_매출!$B$2:$BI$155,MATCH($A126,Raw_매출!$A$2:$A$155,0),MATCH(EDATE($E126,O$1-1),Raw_매출!$B$1:$BI$1,0))/(INDEX(요약_월별시즈널리티!$F$7:$F$18,MONTH(EDATE($E126,O$1-1)))/100))),"")</f>
        <v>7953887.829753167</v>
      </c>
      <c r="P126" cm="1">
        <f t="array" ref="P126">IFERROR(IF($E126&lt;44348,"",IF(INDEX(Raw_매출!$B$2:$BI$155,MATCH($A126,Raw_매출!$A$2:$A$155,0),MATCH(EDATE($E126,P$1-1),Raw_매출!$B$1:$BI$1,0))=0,"",INDEX(Raw_매출!$B$2:$BI$155,MATCH($A126,Raw_매출!$A$2:$A$155,0),MATCH(EDATE($E126,P$1-1),Raw_매출!$B$1:$BI$1,0))/(INDEX(요약_월별시즈널리티!$F$7:$F$18,MONTH(EDATE($E126,P$1-1)))/100))),"")</f>
        <v>7626534.8292830996</v>
      </c>
      <c r="Q126" cm="1">
        <f t="array" ref="Q126">IFERROR(IF($E126&lt;44348,"",IF(INDEX(Raw_매출!$B$2:$BI$155,MATCH($A126,Raw_매출!$A$2:$A$155,0),MATCH(EDATE($E126,Q$1-1),Raw_매출!$B$1:$BI$1,0))=0,"",INDEX(Raw_매출!$B$2:$BI$155,MATCH($A126,Raw_매출!$A$2:$A$155,0),MATCH(EDATE($E126,Q$1-1),Raw_매출!$B$1:$BI$1,0))/(INDEX(요약_월별시즈널리티!$F$7:$F$18,MONTH(EDATE($E126,Q$1-1)))/100))),"")</f>
        <v>7101075.5750407251</v>
      </c>
      <c r="R126" cm="1">
        <f t="array" ref="R126">IFERROR(IF($E126&lt;44348,"",IF(INDEX(Raw_매출!$B$2:$BI$155,MATCH($A126,Raw_매출!$A$2:$A$155,0),MATCH(EDATE($E126,R$1-1),Raw_매출!$B$1:$BI$1,0))=0,"",INDEX(Raw_매출!$B$2:$BI$155,MATCH($A126,Raw_매출!$A$2:$A$155,0),MATCH(EDATE($E126,R$1-1),Raw_매출!$B$1:$BI$1,0))/(INDEX(요약_월별시즈널리티!$F$7:$F$18,MONTH(EDATE($E126,R$1-1)))/100))),"")</f>
        <v>7886748.8220060896</v>
      </c>
      <c r="S126" cm="1">
        <f t="array" ref="S126">IFERROR(IF($E126&lt;44348,"",IF(INDEX(Raw_매출!$B$2:$BI$155,MATCH($A126,Raw_매출!$A$2:$A$155,0),MATCH(EDATE($E126,S$1-1),Raw_매출!$B$1:$BI$1,0))=0,"",INDEX(Raw_매출!$B$2:$BI$155,MATCH($A126,Raw_매출!$A$2:$A$155,0),MATCH(EDATE($E126,S$1-1),Raw_매출!$B$1:$BI$1,0))/(INDEX(요약_월별시즈널리티!$F$7:$F$18,MONTH(EDATE($E126,S$1-1)))/100))),"")</f>
        <v>7342246.3959999252</v>
      </c>
      <c r="T126" cm="1">
        <f t="array" ref="T126">IFERROR(IF($E126&lt;44348,"",IF(INDEX(Raw_매출!$B$2:$BI$155,MATCH($A126,Raw_매출!$A$2:$A$155,0),MATCH(EDATE($E126,T$1-1),Raw_매출!$B$1:$BI$1,0))=0,"",INDEX(Raw_매출!$B$2:$BI$155,MATCH($A126,Raw_매출!$A$2:$A$155,0),MATCH(EDATE($E126,T$1-1),Raw_매출!$B$1:$BI$1,0))/(INDEX(요약_월별시즈널리티!$F$7:$F$18,MONTH(EDATE($E126,T$1-1)))/100))),"")</f>
        <v>7649624.4604280889</v>
      </c>
      <c r="U126" cm="1">
        <f t="array" ref="U126">IFERROR(IF($E126&lt;44348,"",IF(INDEX(Raw_매출!$B$2:$BI$155,MATCH($A126,Raw_매출!$A$2:$A$155,0),MATCH(EDATE($E126,U$1-1),Raw_매출!$B$1:$BI$1,0))=0,"",INDEX(Raw_매출!$B$2:$BI$155,MATCH($A126,Raw_매출!$A$2:$A$155,0),MATCH(EDATE($E126,U$1-1),Raw_매출!$B$1:$BI$1,0))/(INDEX(요약_월별시즈널리티!$F$7:$F$18,MONTH(EDATE($E126,U$1-1)))/100))),"")</f>
        <v>7747070.5383325266</v>
      </c>
      <c r="V126" cm="1">
        <f t="array" ref="V126">IFERROR(IF($E126&lt;44348,"",IF(INDEX(Raw_매출!$B$2:$BI$155,MATCH($A126,Raw_매출!$A$2:$A$155,0),MATCH(EDATE($E126,V$1-1),Raw_매출!$B$1:$BI$1,0))=0,"",INDEX(Raw_매출!$B$2:$BI$155,MATCH($A126,Raw_매출!$A$2:$A$155,0),MATCH(EDATE($E126,V$1-1),Raw_매출!$B$1:$BI$1,0))/(INDEX(요약_월별시즈널리티!$F$7:$F$18,MONTH(EDATE($E126,V$1-1)))/100))),"")</f>
        <v>7163648.5784534607</v>
      </c>
      <c r="W126" cm="1">
        <f t="array" ref="W126">IFERROR(IF($E126&lt;44348,"",IF(INDEX(Raw_매출!$B$2:$BI$155,MATCH($A126,Raw_매출!$A$2:$A$155,0),MATCH(EDATE($E126,W$1-1),Raw_매출!$B$1:$BI$1,0))=0,"",INDEX(Raw_매출!$B$2:$BI$155,MATCH($A126,Raw_매출!$A$2:$A$155,0),MATCH(EDATE($E126,W$1-1),Raw_매출!$B$1:$BI$1,0))/(INDEX(요약_월별시즈널리티!$F$7:$F$18,MONTH(EDATE($E126,W$1-1)))/100))),"")</f>
        <v>7401039.8352637012</v>
      </c>
      <c r="X126" cm="1">
        <f t="array" ref="X126">IFERROR(IF($E126&lt;44348,"",IF(INDEX(Raw_매출!$B$2:$BI$155,MATCH($A126,Raw_매출!$A$2:$A$155,0),MATCH(EDATE($E126,X$1-1),Raw_매출!$B$1:$BI$1,0))=0,"",INDEX(Raw_매출!$B$2:$BI$155,MATCH($A126,Raw_매출!$A$2:$A$155,0),MATCH(EDATE($E126,X$1-1),Raw_매출!$B$1:$BI$1,0))/(INDEX(요약_월별시즈널리티!$F$7:$F$18,MONTH(EDATE($E126,X$1-1)))/100))),"")</f>
        <v>8016405.5589682925</v>
      </c>
      <c r="Y126" cm="1">
        <f t="array" ref="Y126">IFERROR(IF($E126&lt;44348,"",IF(INDEX(Raw_매출!$B$2:$BI$155,MATCH($A126,Raw_매출!$A$2:$A$155,0),MATCH(EDATE($E126,Y$1-1),Raw_매출!$B$1:$BI$1,0))=0,"",INDEX(Raw_매출!$B$2:$BI$155,MATCH($A126,Raw_매출!$A$2:$A$155,0),MATCH(EDATE($E126,Y$1-1),Raw_매출!$B$1:$BI$1,0))/(INDEX(요약_월별시즈널리티!$F$7:$F$18,MONTH(EDATE($E126,Y$1-1)))/100))),"")</f>
        <v>8174765.0056763021</v>
      </c>
      <c r="Z126" cm="1">
        <f t="array" ref="Z126">IFERROR(IF($E126&lt;44348,"",IF(INDEX(Raw_매출!$B$2:$BI$155,MATCH($A126,Raw_매출!$A$2:$A$155,0),MATCH(EDATE($E126,Z$1-1),Raw_매출!$B$1:$BI$1,0))=0,"",INDEX(Raw_매출!$B$2:$BI$155,MATCH($A126,Raw_매출!$A$2:$A$155,0),MATCH(EDATE($E126,Z$1-1),Raw_매출!$B$1:$BI$1,0))/(INDEX(요약_월별시즈널리티!$F$7:$F$18,MONTH(EDATE($E126,Z$1-1)))/100))),"")</f>
        <v>8726577.6430892758</v>
      </c>
      <c r="AA126" cm="1">
        <f t="array" ref="AA126">IFERROR(IF($E126&lt;44348,"",IF(INDEX(Raw_매출!$B$2:$BI$155,MATCH($A126,Raw_매출!$A$2:$A$155,0),MATCH(EDATE($E126,AA$1-1),Raw_매출!$B$1:$BI$1,0))=0,"",INDEX(Raw_매출!$B$2:$BI$155,MATCH($A126,Raw_매출!$A$2:$A$155,0),MATCH(EDATE($E126,AA$1-1),Raw_매출!$B$1:$BI$1,0))/(INDEX(요약_월별시즈널리티!$F$7:$F$18,MONTH(EDATE($E126,AA$1-1)))/100))),"")</f>
        <v>8774752.3400201369</v>
      </c>
      <c r="AB126" t="str" cm="1">
        <f t="array" ref="AB126">IFERROR(IF($E126&lt;44348,"",IF(INDEX(Raw_매출!$B$2:$BI$155,MATCH($A126,Raw_매출!$A$2:$A$155,0),MATCH(EDATE($E126,AB$1-1),Raw_매출!$B$1:$BI$1,0))=0,"",INDEX(Raw_매출!$B$2:$BI$155,MATCH($A126,Raw_매출!$A$2:$A$155,0),MATCH(EDATE($E126,AB$1-1),Raw_매출!$B$1:$BI$1,0))/(INDEX(요약_월별시즈널리티!$F$7:$F$18,MONTH(EDATE($E126,AB$1-1)))/100))),"")</f>
        <v/>
      </c>
      <c r="AC126" t="str" cm="1">
        <f t="array" ref="AC126">IFERROR(IF($E126&lt;44348,"",IF(INDEX(Raw_매출!$B$2:$BI$155,MATCH($A126,Raw_매출!$A$2:$A$155,0),MATCH(EDATE($E126,AC$1-1),Raw_매출!$B$1:$BI$1,0))=0,"",INDEX(Raw_매출!$B$2:$BI$155,MATCH($A126,Raw_매출!$A$2:$A$155,0),MATCH(EDATE($E126,AC$1-1),Raw_매출!$B$1:$BI$1,0))/(INDEX(요약_월별시즈널리티!$F$7:$F$18,MONTH(EDATE($E126,AC$1-1)))/100))),"")</f>
        <v/>
      </c>
      <c r="AD126" t="str" cm="1">
        <f t="array" ref="AD126">IFERROR(IF($E126&lt;44348,"",IF(INDEX(Raw_매출!$B$2:$BI$155,MATCH($A126,Raw_매출!$A$2:$A$155,0),MATCH(EDATE($E126,AD$1-1),Raw_매출!$B$1:$BI$1,0))=0,"",INDEX(Raw_매출!$B$2:$BI$155,MATCH($A126,Raw_매출!$A$2:$A$155,0),MATCH(EDATE($E126,AD$1-1),Raw_매출!$B$1:$BI$1,0))/(INDEX(요약_월별시즈널리티!$F$7:$F$18,MONTH(EDATE($E126,AD$1-1)))/100))),"")</f>
        <v/>
      </c>
      <c r="AE126" t="str" cm="1">
        <f t="array" ref="AE126">IFERROR(IF($E126&lt;44348,"",IF(INDEX(Raw_매출!$B$2:$BI$155,MATCH($A126,Raw_매출!$A$2:$A$155,0),MATCH(EDATE($E126,AE$1-1),Raw_매출!$B$1:$BI$1,0))=0,"",INDEX(Raw_매출!$B$2:$BI$155,MATCH($A126,Raw_매출!$A$2:$A$155,0),MATCH(EDATE($E126,AE$1-1),Raw_매출!$B$1:$BI$1,0))/(INDEX(요약_월별시즈널리티!$F$7:$F$18,MONTH(EDATE($E126,AE$1-1)))/100))),"")</f>
        <v/>
      </c>
      <c r="AF126" t="str" cm="1">
        <f t="array" ref="AF126">IFERROR(IF($E126&lt;44348,"",IF(INDEX(Raw_매출!$B$2:$BI$155,MATCH($A126,Raw_매출!$A$2:$A$155,0),MATCH(EDATE($E126,AF$1-1),Raw_매출!$B$1:$BI$1,0))=0,"",INDEX(Raw_매출!$B$2:$BI$155,MATCH($A126,Raw_매출!$A$2:$A$155,0),MATCH(EDATE($E126,AF$1-1),Raw_매출!$B$1:$BI$1,0))/(INDEX(요약_월별시즈널리티!$F$7:$F$18,MONTH(EDATE($E126,AF$1-1)))/100))),"")</f>
        <v/>
      </c>
      <c r="AG126" t="str" cm="1">
        <f t="array" ref="AG126">IFERROR(IF($E126&lt;44348,"",IF(INDEX(Raw_매출!$B$2:$BI$155,MATCH($A126,Raw_매출!$A$2:$A$155,0),MATCH(EDATE($E126,AG$1-1),Raw_매출!$B$1:$BI$1,0))=0,"",INDEX(Raw_매출!$B$2:$BI$155,MATCH($A126,Raw_매출!$A$2:$A$155,0),MATCH(EDATE($E126,AG$1-1),Raw_매출!$B$1:$BI$1,0))/(INDEX(요약_월별시즈널리티!$F$7:$F$18,MONTH(EDATE($E126,AG$1-1)))/100))),"")</f>
        <v/>
      </c>
      <c r="AH126" t="str" cm="1">
        <f t="array" ref="AH126">IFERROR(IF($E126&lt;44348,"",IF(INDEX(Raw_매출!$B$2:$BI$155,MATCH($A126,Raw_매출!$A$2:$A$155,0),MATCH(EDATE($E126,AH$1-1),Raw_매출!$B$1:$BI$1,0))=0,"",INDEX(Raw_매출!$B$2:$BI$155,MATCH($A126,Raw_매출!$A$2:$A$155,0),MATCH(EDATE($E126,AH$1-1),Raw_매출!$B$1:$BI$1,0))/(INDEX(요약_월별시즈널리티!$F$7:$F$18,MONTH(EDATE($E126,AH$1-1)))/100))),"")</f>
        <v/>
      </c>
      <c r="AI126" t="str" cm="1">
        <f t="array" ref="AI126">IFERROR(IF($E126&lt;44348,"",IF(INDEX(Raw_매출!$B$2:$BI$155,MATCH($A126,Raw_매출!$A$2:$A$155,0),MATCH(EDATE($E126,AI$1-1),Raw_매출!$B$1:$BI$1,0))=0,"",INDEX(Raw_매출!$B$2:$BI$155,MATCH($A126,Raw_매출!$A$2:$A$155,0),MATCH(EDATE($E126,AI$1-1),Raw_매출!$B$1:$BI$1,0))/(INDEX(요약_월별시즈널리티!$F$7:$F$18,MONTH(EDATE($E126,AI$1-1)))/100))),"")</f>
        <v/>
      </c>
      <c r="AJ126" t="str" cm="1">
        <f t="array" ref="AJ126">IFERROR(IF($E126&lt;44348,"",IF(INDEX(Raw_매출!$B$2:$BI$155,MATCH($A126,Raw_매출!$A$2:$A$155,0),MATCH(EDATE($E126,AJ$1-1),Raw_매출!$B$1:$BI$1,0))=0,"",INDEX(Raw_매출!$B$2:$BI$155,MATCH($A126,Raw_매출!$A$2:$A$155,0),MATCH(EDATE($E126,AJ$1-1),Raw_매출!$B$1:$BI$1,0))/(INDEX(요약_월별시즈널리티!$F$7:$F$18,MONTH(EDATE($E126,AJ$1-1)))/100))),"")</f>
        <v/>
      </c>
      <c r="AK126" t="str" cm="1">
        <f t="array" ref="AK126">IFERROR(IF($E126&lt;44348,"",IF(INDEX(Raw_매출!$B$2:$BI$155,MATCH($A126,Raw_매출!$A$2:$A$155,0),MATCH(EDATE($E126,AK$1-1),Raw_매출!$B$1:$BI$1,0))=0,"",INDEX(Raw_매출!$B$2:$BI$155,MATCH($A126,Raw_매출!$A$2:$A$155,0),MATCH(EDATE($E126,AK$1-1),Raw_매출!$B$1:$BI$1,0))/(INDEX(요약_월별시즈널리티!$F$7:$F$18,MONTH(EDATE($E126,AK$1-1)))/100))),"")</f>
        <v/>
      </c>
      <c r="AL126" t="str" cm="1">
        <f t="array" ref="AL126">IFERROR(IF($E126&lt;44348,"",IF(INDEX(Raw_매출!$B$2:$BI$155,MATCH($A126,Raw_매출!$A$2:$A$155,0),MATCH(EDATE($E126,AL$1-1),Raw_매출!$B$1:$BI$1,0))=0,"",INDEX(Raw_매출!$B$2:$BI$155,MATCH($A126,Raw_매출!$A$2:$A$155,0),MATCH(EDATE($E126,AL$1-1),Raw_매출!$B$1:$BI$1,0))/(INDEX(요약_월별시즈널리티!$F$7:$F$18,MONTH(EDATE($E126,AL$1-1)))/100))),"")</f>
        <v/>
      </c>
      <c r="AM126" t="str" cm="1">
        <f t="array" ref="AM126">IFERROR(IF($E126&lt;44348,"",IF(INDEX(Raw_매출!$B$2:$BI$155,MATCH($A126,Raw_매출!$A$2:$A$155,0),MATCH(EDATE($E126,AM$1-1),Raw_매출!$B$1:$BI$1,0))=0,"",INDEX(Raw_매출!$B$2:$BI$155,MATCH($A126,Raw_매출!$A$2:$A$155,0),MATCH(EDATE($E126,AM$1-1),Raw_매출!$B$1:$BI$1,0))/(INDEX(요약_월별시즈널리티!$F$7:$F$18,MONTH(EDATE($E126,AM$1-1)))/100))),"")</f>
        <v/>
      </c>
      <c r="AN126" t="str" cm="1">
        <f t="array" ref="AN126">IFERROR(IF($E126&lt;44348,"",IF(INDEX(Raw_매출!$B$2:$BI$155,MATCH($A126,Raw_매출!$A$2:$A$155,0),MATCH(EDATE($E126,AN$1-1),Raw_매출!$B$1:$BI$1,0))=0,"",INDEX(Raw_매출!$B$2:$BI$155,MATCH($A126,Raw_매출!$A$2:$A$155,0),MATCH(EDATE($E126,AN$1-1),Raw_매출!$B$1:$BI$1,0))/(INDEX(요약_월별시즈널리티!$F$7:$F$18,MONTH(EDATE($E126,AN$1-1)))/100))),"")</f>
        <v/>
      </c>
      <c r="AO126" t="str" cm="1">
        <f t="array" ref="AO126">IFERROR(IF($E126&lt;44348,"",IF(INDEX(Raw_매출!$B$2:$BI$155,MATCH($A126,Raw_매출!$A$2:$A$155,0),MATCH(EDATE($E126,AO$1-1),Raw_매출!$B$1:$BI$1,0))=0,"",INDEX(Raw_매출!$B$2:$BI$155,MATCH($A126,Raw_매출!$A$2:$A$155,0),MATCH(EDATE($E126,AO$1-1),Raw_매출!$B$1:$BI$1,0))/(INDEX(요약_월별시즈널리티!$F$7:$F$18,MONTH(EDATE($E126,AO$1-1)))/100))),"")</f>
        <v/>
      </c>
      <c r="AP126" t="str" cm="1">
        <f t="array" ref="AP126">IFERROR(IF($E126&lt;44348,"",IF(INDEX(Raw_매출!$B$2:$BI$155,MATCH($A126,Raw_매출!$A$2:$A$155,0),MATCH(EDATE($E126,AP$1-1),Raw_매출!$B$1:$BI$1,0))=0,"",INDEX(Raw_매출!$B$2:$BI$155,MATCH($A126,Raw_매출!$A$2:$A$155,0),MATCH(EDATE($E126,AP$1-1),Raw_매출!$B$1:$BI$1,0))/(INDEX(요약_월별시즈널리티!$F$7:$F$18,MONTH(EDATE($E126,AP$1-1)))/100))),"")</f>
        <v/>
      </c>
      <c r="AQ126" t="str" cm="1">
        <f t="array" ref="AQ126">IFERROR(IF($E126&lt;44348,"",IF(INDEX(Raw_매출!$B$2:$BI$155,MATCH($A126,Raw_매출!$A$2:$A$155,0),MATCH(EDATE($E126,AQ$1-1),Raw_매출!$B$1:$BI$1,0))=0,"",INDEX(Raw_매출!$B$2:$BI$155,MATCH($A126,Raw_매출!$A$2:$A$155,0),MATCH(EDATE($E126,AQ$1-1),Raw_매출!$B$1:$BI$1,0))/(INDEX(요약_월별시즈널리티!$F$7:$F$18,MONTH(EDATE($E126,AQ$1-1)))/100))),"")</f>
        <v/>
      </c>
      <c r="AR126" t="str" cm="1">
        <f t="array" ref="AR126">IFERROR(IF($E126&lt;44348,"",IF(INDEX(Raw_매출!$B$2:$BI$155,MATCH($A126,Raw_매출!$A$2:$A$155,0),MATCH(EDATE($E126,AR$1-1),Raw_매출!$B$1:$BI$1,0))=0,"",INDEX(Raw_매출!$B$2:$BI$155,MATCH($A126,Raw_매출!$A$2:$A$155,0),MATCH(EDATE($E126,AR$1-1),Raw_매출!$B$1:$BI$1,0))/(INDEX(요약_월별시즈널리티!$F$7:$F$18,MONTH(EDATE($E126,AR$1-1)))/100))),"")</f>
        <v/>
      </c>
      <c r="AS126" t="str" cm="1">
        <f t="array" ref="AS126">IFERROR(IF($E126&lt;44348,"",IF(INDEX(Raw_매출!$B$2:$BI$155,MATCH($A126,Raw_매출!$A$2:$A$155,0),MATCH(EDATE($E126,AS$1-1),Raw_매출!$B$1:$BI$1,0))=0,"",INDEX(Raw_매출!$B$2:$BI$155,MATCH($A126,Raw_매출!$A$2:$A$155,0),MATCH(EDATE($E126,AS$1-1),Raw_매출!$B$1:$BI$1,0))/(INDEX(요약_월별시즈널리티!$F$7:$F$18,MONTH(EDATE($E126,AS$1-1)))/100))),"")</f>
        <v/>
      </c>
      <c r="AT126" t="str" cm="1">
        <f t="array" ref="AT126">IFERROR(IF($E126&lt;44348,"",IF(INDEX(Raw_매출!$B$2:$BI$155,MATCH($A126,Raw_매출!$A$2:$A$155,0),MATCH(EDATE($E126,AT$1-1),Raw_매출!$B$1:$BI$1,0))=0,"",INDEX(Raw_매출!$B$2:$BI$155,MATCH($A126,Raw_매출!$A$2:$A$155,0),MATCH(EDATE($E126,AT$1-1),Raw_매출!$B$1:$BI$1,0))/(INDEX(요약_월별시즈널리티!$F$7:$F$18,MONTH(EDATE($E126,AT$1-1)))/100))),"")</f>
        <v/>
      </c>
      <c r="AU126" t="str" cm="1">
        <f t="array" ref="AU126">IFERROR(IF($E126&lt;44348,"",IF(INDEX(Raw_매출!$B$2:$BI$155,MATCH($A126,Raw_매출!$A$2:$A$155,0),MATCH(EDATE($E126,AU$1-1),Raw_매출!$B$1:$BI$1,0))=0,"",INDEX(Raw_매출!$B$2:$BI$155,MATCH($A126,Raw_매출!$A$2:$A$155,0),MATCH(EDATE($E126,AU$1-1),Raw_매출!$B$1:$BI$1,0))/(INDEX(요약_월별시즈널리티!$F$7:$F$18,MONTH(EDATE($E126,AU$1-1)))/100))),"")</f>
        <v/>
      </c>
      <c r="AV126" t="str" cm="1">
        <f t="array" ref="AV126">IFERROR(IF($E126&lt;44348,"",IF(INDEX(Raw_매출!$B$2:$BI$155,MATCH($A126,Raw_매출!$A$2:$A$155,0),MATCH(EDATE($E126,AV$1-1),Raw_매출!$B$1:$BI$1,0))=0,"",INDEX(Raw_매출!$B$2:$BI$155,MATCH($A126,Raw_매출!$A$2:$A$155,0),MATCH(EDATE($E126,AV$1-1),Raw_매출!$B$1:$BI$1,0))/(INDEX(요약_월별시즈널리티!$F$7:$F$18,MONTH(EDATE($E126,AV$1-1)))/100))),"")</f>
        <v/>
      </c>
      <c r="AW126" t="str" cm="1">
        <f t="array" ref="AW126">IFERROR(IF($E126&lt;44348,"",IF(INDEX(Raw_매출!$B$2:$BI$155,MATCH($A126,Raw_매출!$A$2:$A$155,0),MATCH(EDATE($E126,AW$1-1),Raw_매출!$B$1:$BI$1,0))=0,"",INDEX(Raw_매출!$B$2:$BI$155,MATCH($A126,Raw_매출!$A$2:$A$155,0),MATCH(EDATE($E126,AW$1-1),Raw_매출!$B$1:$BI$1,0))/(INDEX(요약_월별시즈널리티!$F$7:$F$18,MONTH(EDATE($E126,AW$1-1)))/100))),"")</f>
        <v/>
      </c>
      <c r="AX126" t="str" cm="1">
        <f t="array" ref="AX126">IFERROR(IF($E126&lt;44348,"",IF(INDEX(Raw_매출!$B$2:$BI$155,MATCH($A126,Raw_매출!$A$2:$A$155,0),MATCH(EDATE($E126,AX$1-1),Raw_매출!$B$1:$BI$1,0))=0,"",INDEX(Raw_매출!$B$2:$BI$155,MATCH($A126,Raw_매출!$A$2:$A$155,0),MATCH(EDATE($E126,AX$1-1),Raw_매출!$B$1:$BI$1,0))/(INDEX(요약_월별시즈널리티!$F$7:$F$18,MONTH(EDATE($E126,AX$1-1)))/100))),"")</f>
        <v/>
      </c>
      <c r="AY126" t="str" cm="1">
        <f t="array" ref="AY126">IFERROR(IF($E126&lt;44348,"",IF(INDEX(Raw_매출!$B$2:$BI$155,MATCH($A126,Raw_매출!$A$2:$A$155,0),MATCH(EDATE($E126,AY$1-1),Raw_매출!$B$1:$BI$1,0))=0,"",INDEX(Raw_매출!$B$2:$BI$155,MATCH($A126,Raw_매출!$A$2:$A$155,0),MATCH(EDATE($E126,AY$1-1),Raw_매출!$B$1:$BI$1,0))/(INDEX(요약_월별시즈널리티!$F$7:$F$18,MONTH(EDATE($E126,AY$1-1)))/100))),"")</f>
        <v/>
      </c>
      <c r="AZ126" t="str" cm="1">
        <f t="array" ref="AZ126">IFERROR(IF($E126&lt;44348,"",IF(INDEX(Raw_매출!$B$2:$BI$155,MATCH($A126,Raw_매출!$A$2:$A$155,0),MATCH(EDATE($E126,AZ$1-1),Raw_매출!$B$1:$BI$1,0))=0,"",INDEX(Raw_매출!$B$2:$BI$155,MATCH($A126,Raw_매출!$A$2:$A$155,0),MATCH(EDATE($E126,AZ$1-1),Raw_매출!$B$1:$BI$1,0))/(INDEX(요약_월별시즈널리티!$F$7:$F$18,MONTH(EDATE($E126,AZ$1-1)))/100))),"")</f>
        <v/>
      </c>
      <c r="BA126" t="str" cm="1">
        <f t="array" ref="BA126">IFERROR(IF($E126&lt;44348,"",IF(INDEX(Raw_매출!$B$2:$BI$155,MATCH($A126,Raw_매출!$A$2:$A$155,0),MATCH(EDATE($E126,BA$1-1),Raw_매출!$B$1:$BI$1,0))=0,"",INDEX(Raw_매출!$B$2:$BI$155,MATCH($A126,Raw_매출!$A$2:$A$155,0),MATCH(EDATE($E126,BA$1-1),Raw_매출!$B$1:$BI$1,0))/(INDEX(요약_월별시즈널리티!$F$7:$F$18,MONTH(EDATE($E126,BA$1-1)))/100))),"")</f>
        <v/>
      </c>
      <c r="BB126" t="str" cm="1">
        <f t="array" ref="BB126">IFERROR(IF($E126&lt;44348,"",IF(INDEX(Raw_매출!$B$2:$BI$155,MATCH($A126,Raw_매출!$A$2:$A$155,0),MATCH(EDATE($E126,BB$1-1),Raw_매출!$B$1:$BI$1,0))=0,"",INDEX(Raw_매출!$B$2:$BI$155,MATCH($A126,Raw_매출!$A$2:$A$155,0),MATCH(EDATE($E126,BB$1-1),Raw_매출!$B$1:$BI$1,0))/(INDEX(요약_월별시즈널리티!$F$7:$F$18,MONTH(EDATE($E126,BB$1-1)))/100))),"")</f>
        <v/>
      </c>
      <c r="BC126" t="str" cm="1">
        <f t="array" ref="BC126">IFERROR(IF($E126&lt;44348,"",IF(INDEX(Raw_매출!$B$2:$BI$155,MATCH($A126,Raw_매출!$A$2:$A$155,0),MATCH(EDATE($E126,BC$1-1),Raw_매출!$B$1:$BI$1,0))=0,"",INDEX(Raw_매출!$B$2:$BI$155,MATCH($A126,Raw_매출!$A$2:$A$155,0),MATCH(EDATE($E126,BC$1-1),Raw_매출!$B$1:$BI$1,0))/(INDEX(요약_월별시즈널리티!$F$7:$F$18,MONTH(EDATE($E126,BC$1-1)))/100))),"")</f>
        <v/>
      </c>
      <c r="BD126" t="str" cm="1">
        <f t="array" ref="BD126">IFERROR(IF($E126&lt;44348,"",IF(INDEX(Raw_매출!$B$2:$BI$155,MATCH($A126,Raw_매출!$A$2:$A$155,0),MATCH(EDATE($E126,BD$1-1),Raw_매출!$B$1:$BI$1,0))=0,"",INDEX(Raw_매출!$B$2:$BI$155,MATCH($A126,Raw_매출!$A$2:$A$155,0),MATCH(EDATE($E126,BD$1-1),Raw_매출!$B$1:$BI$1,0))/(INDEX(요약_월별시즈널리티!$F$7:$F$18,MONTH(EDATE($E126,BD$1-1)))/100))),"")</f>
        <v/>
      </c>
      <c r="BE126" t="str" cm="1">
        <f t="array" ref="BE126">IFERROR(IF($E126&lt;44348,"",IF(INDEX(Raw_매출!$B$2:$BI$155,MATCH($A126,Raw_매출!$A$2:$A$155,0),MATCH(EDATE($E126,BE$1-1),Raw_매출!$B$1:$BI$1,0))=0,"",INDEX(Raw_매출!$B$2:$BI$155,MATCH($A126,Raw_매출!$A$2:$A$155,0),MATCH(EDATE($E126,BE$1-1),Raw_매출!$B$1:$BI$1,0))/(INDEX(요약_월별시즈널리티!$F$7:$F$18,MONTH(EDATE($E126,BE$1-1)))/100))),"")</f>
        <v/>
      </c>
      <c r="BF126" t="str" cm="1">
        <f t="array" ref="BF126">IFERROR(IF($E126&lt;44348,"",IF(INDEX(Raw_매출!$B$2:$BI$155,MATCH($A126,Raw_매출!$A$2:$A$155,0),MATCH(EDATE($E126,BF$1-1),Raw_매출!$B$1:$BI$1,0))=0,"",INDEX(Raw_매출!$B$2:$BI$155,MATCH($A126,Raw_매출!$A$2:$A$155,0),MATCH(EDATE($E126,BF$1-1),Raw_매출!$B$1:$BI$1,0))/(INDEX(요약_월별시즈널리티!$F$7:$F$18,MONTH(EDATE($E126,BF$1-1)))/100))),"")</f>
        <v/>
      </c>
      <c r="BG126" t="str" cm="1">
        <f t="array" ref="BG126">IFERROR(IF($E126&lt;44348,"",IF(INDEX(Raw_매출!$B$2:$BI$155,MATCH($A126,Raw_매출!$A$2:$A$155,0),MATCH(EDATE($E126,BG$1-1),Raw_매출!$B$1:$BI$1,0))=0,"",INDEX(Raw_매출!$B$2:$BI$155,MATCH($A126,Raw_매출!$A$2:$A$155,0),MATCH(EDATE($E126,BG$1-1),Raw_매출!$B$1:$BI$1,0))/(INDEX(요약_월별시즈널리티!$F$7:$F$18,MONTH(EDATE($E126,BG$1-1)))/100))),"")</f>
        <v/>
      </c>
      <c r="BH126" t="str" cm="1">
        <f t="array" ref="BH126">IFERROR(IF($E126&lt;44348,"",IF(INDEX(Raw_매출!$B$2:$BI$155,MATCH($A126,Raw_매출!$A$2:$A$155,0),MATCH(EDATE($E126,BH$1-1),Raw_매출!$B$1:$BI$1,0))=0,"",INDEX(Raw_매출!$B$2:$BI$155,MATCH($A126,Raw_매출!$A$2:$A$155,0),MATCH(EDATE($E126,BH$1-1),Raw_매출!$B$1:$BI$1,0))/(INDEX(요약_월별시즈널리티!$F$7:$F$18,MONTH(EDATE($E126,BH$1-1)))/100))),"")</f>
        <v/>
      </c>
      <c r="BI126" t="str" cm="1">
        <f t="array" ref="BI126">IFERROR(IF($E126&lt;44348,"",IF(INDEX(Raw_매출!$B$2:$BI$155,MATCH($A126,Raw_매출!$A$2:$A$155,0),MATCH(EDATE($E126,BI$1-1),Raw_매출!$B$1:$BI$1,0))=0,"",INDEX(Raw_매출!$B$2:$BI$155,MATCH($A126,Raw_매출!$A$2:$A$155,0),MATCH(EDATE($E126,BI$1-1),Raw_매출!$B$1:$BI$1,0))/(INDEX(요약_월별시즈널리티!$F$7:$F$18,MONTH(EDATE($E126,BI$1-1)))/100))),"")</f>
        <v/>
      </c>
      <c r="BJ126" t="str" cm="1">
        <f t="array" ref="BJ126">IFERROR(IF($E126&lt;44348,"",IF(INDEX(Raw_매출!$B$2:$BI$155,MATCH($A126,Raw_매출!$A$2:$A$155,0),MATCH(EDATE($E126,BJ$1-1),Raw_매출!$B$1:$BI$1,0))=0,"",INDEX(Raw_매출!$B$2:$BI$155,MATCH($A126,Raw_매출!$A$2:$A$155,0),MATCH(EDATE($E126,BJ$1-1),Raw_매출!$B$1:$BI$1,0))/(INDEX(요약_월별시즈널리티!$F$7:$F$18,MONTH(EDATE($E126,BJ$1-1)))/100))),"")</f>
        <v/>
      </c>
      <c r="BK126" t="str" cm="1">
        <f t="array" ref="BK126">IFERROR(IF($E126&lt;44348,"",IF(INDEX(Raw_매출!$B$2:$BI$155,MATCH($A126,Raw_매출!$A$2:$A$155,0),MATCH(EDATE($E126,BK$1-1),Raw_매출!$B$1:$BI$1,0))=0,"",INDEX(Raw_매출!$B$2:$BI$155,MATCH($A126,Raw_매출!$A$2:$A$155,0),MATCH(EDATE($E126,BK$1-1),Raw_매출!$B$1:$BI$1,0))/(INDEX(요약_월별시즈널리티!$F$7:$F$18,MONTH(EDATE($E126,BK$1-1)))/100))),"")</f>
        <v/>
      </c>
      <c r="BL126" t="str" cm="1">
        <f t="array" ref="BL126">IFERROR(IF($E126&lt;44348,"",IF(INDEX(Raw_매출!$B$2:$BI$155,MATCH($A126,Raw_매출!$A$2:$A$155,0),MATCH(EDATE($E126,BL$1-1),Raw_매출!$B$1:$BI$1,0))=0,"",INDEX(Raw_매출!$B$2:$BI$155,MATCH($A126,Raw_매출!$A$2:$A$155,0),MATCH(EDATE($E126,BL$1-1),Raw_매출!$B$1:$BI$1,0))/(INDEX(요약_월별시즈널리티!$F$7:$F$18,MONTH(EDATE($E126,BL$1-1)))/100))),"")</f>
        <v/>
      </c>
      <c r="BM126" t="str" cm="1">
        <f t="array" ref="BM126">IFERROR(IF($E126&lt;44348,"",IF(INDEX(Raw_매출!$B$2:$BI$155,MATCH($A126,Raw_매출!$A$2:$A$155,0),MATCH(EDATE($E126,BM$1-1),Raw_매출!$B$1:$BI$1,0))=0,"",INDEX(Raw_매출!$B$2:$BI$155,MATCH($A126,Raw_매출!$A$2:$A$155,0),MATCH(EDATE($E126,BM$1-1),Raw_매출!$B$1:$BI$1,0))/(INDEX(요약_월별시즈널리티!$F$7:$F$18,MONTH(EDATE($E126,BM$1-1)))/100))),"")</f>
        <v/>
      </c>
      <c r="BN126" t="str" cm="1">
        <f t="array" ref="BN126">IFERROR(IF($E126&lt;44348,"",IF(INDEX(Raw_매출!$B$2:$BI$155,MATCH($A126,Raw_매출!$A$2:$A$155,0),MATCH(EDATE($E126,BN$1-1),Raw_매출!$B$1:$BI$1,0))=0,"",INDEX(Raw_매출!$B$2:$BI$155,MATCH($A126,Raw_매출!$A$2:$A$155,0),MATCH(EDATE($E126,BN$1-1),Raw_매출!$B$1:$BI$1,0))/(INDEX(요약_월별시즈널리티!$F$7:$F$18,MONTH(EDATE($E126,BN$1-1)))/100))),"")</f>
        <v/>
      </c>
    </row>
    <row r="127" spans="1:66" x14ac:dyDescent="0.4">
      <c r="A127" t="str">
        <f>세팅!A128</f>
        <v>(1118) #관악원당초교점</v>
      </c>
      <c r="B127" t="str">
        <f>세팅!B128</f>
        <v>150-1</v>
      </c>
      <c r="C127">
        <f t="shared" si="3"/>
        <v>1</v>
      </c>
      <c r="D127" t="str">
        <f t="shared" si="4"/>
        <v>1</v>
      </c>
      <c r="E127" s="1">
        <f>세팅!D128</f>
        <v>45536</v>
      </c>
      <c r="F127">
        <f t="shared" si="5"/>
        <v>1956571.2281880919</v>
      </c>
      <c r="G127" cm="1">
        <f t="array" ref="G127">IFERROR(IF($E127&lt;44348,"",IF(INDEX(Raw_매출!$B$2:$BI$155,MATCH($A127,Raw_매출!$A$2:$A$155,0),MATCH(EDATE($E127,G$1-1),Raw_매출!$B$1:$BI$1,0))=0,"",INDEX(Raw_매출!$B$2:$BI$155,MATCH($A127,Raw_매출!$A$2:$A$155,0),MATCH(EDATE($E127,G$1-1),Raw_매출!$B$1:$BI$1,0))/(INDEX(요약_월별시즈널리티!$F$7:$F$18,MONTH(EDATE($E127,G$1-1)))/100))),"")</f>
        <v>1178483.6209682277</v>
      </c>
      <c r="H127" cm="1">
        <f t="array" ref="H127">IFERROR(IF($E127&lt;44348,"",IF(INDEX(Raw_매출!$B$2:$BI$155,MATCH($A127,Raw_매출!$A$2:$A$155,0),MATCH(EDATE($E127,H$1-1),Raw_매출!$B$1:$BI$1,0))=0,"",INDEX(Raw_매출!$B$2:$BI$155,MATCH($A127,Raw_매출!$A$2:$A$155,0),MATCH(EDATE($E127,H$1-1),Raw_매출!$B$1:$BI$1,0))/(INDEX(요약_월별시즈널리티!$F$7:$F$18,MONTH(EDATE($E127,H$1-1)))/100))),"")</f>
        <v>1395653.8715651748</v>
      </c>
      <c r="I127" cm="1">
        <f t="array" ref="I127">IFERROR(IF($E127&lt;44348,"",IF(INDEX(Raw_매출!$B$2:$BI$155,MATCH($A127,Raw_매출!$A$2:$A$155,0),MATCH(EDATE($E127,I$1-1),Raw_매출!$B$1:$BI$1,0))=0,"",INDEX(Raw_매출!$B$2:$BI$155,MATCH($A127,Raw_매출!$A$2:$A$155,0),MATCH(EDATE($E127,I$1-1),Raw_매출!$B$1:$BI$1,0))/(INDEX(요약_월별시즈널리티!$F$7:$F$18,MONTH(EDATE($E127,I$1-1)))/100))),"")</f>
        <v>1485844.4207701904</v>
      </c>
      <c r="J127" s="30" cm="1">
        <f t="array" ref="J127">IFERROR(IF($E127&lt;44348,"",IF(INDEX(Raw_매출!$B$2:$BI$155,MATCH($A127,Raw_매출!$A$2:$A$155,0),MATCH(EDATE($E127,J$1-1),Raw_매출!$B$1:$BI$1,0))=0,"",INDEX(Raw_매출!$B$2:$BI$155,MATCH($A127,Raw_매출!$A$2:$A$155,0),MATCH(EDATE($E127,J$1-1),Raw_매출!$B$1:$BI$1,0))/(INDEX(요약_월별시즈널리티!$F$7:$F$18,MONTH(EDATE($E127,J$1-1)))/100))),"")</f>
        <v>1661617.5361315995</v>
      </c>
      <c r="K127" s="30" cm="1">
        <f t="array" ref="K127">IFERROR(IF($E127&lt;44348,"",IF(INDEX(Raw_매출!$B$2:$BI$155,MATCH($A127,Raw_매출!$A$2:$A$155,0),MATCH(EDATE($E127,K$1-1),Raw_매출!$B$1:$BI$1,0))=0,"",INDEX(Raw_매출!$B$2:$BI$155,MATCH($A127,Raw_매출!$A$2:$A$155,0),MATCH(EDATE($E127,K$1-1),Raw_매출!$B$1:$BI$1,0))/(INDEX(요약_월별시즈널리티!$F$7:$F$18,MONTH(EDATE($E127,K$1-1)))/100))),"")</f>
        <v>1952679.1345317983</v>
      </c>
      <c r="L127" s="30" cm="1">
        <f t="array" ref="L127">IFERROR(IF($E127&lt;44348,"",IF(INDEX(Raw_매출!$B$2:$BI$155,MATCH($A127,Raw_매출!$A$2:$A$155,0),MATCH(EDATE($E127,L$1-1),Raw_매출!$B$1:$BI$1,0))=0,"",INDEX(Raw_매출!$B$2:$BI$155,MATCH($A127,Raw_매출!$A$2:$A$155,0),MATCH(EDATE($E127,L$1-1),Raw_매출!$B$1:$BI$1,0))/(INDEX(요약_월별시즈널리티!$F$7:$F$18,MONTH(EDATE($E127,L$1-1)))/100))),"")</f>
        <v>1727771.2862540272</v>
      </c>
      <c r="M127" s="30" cm="1">
        <f t="array" ref="M127">IFERROR(IF($E127&lt;44348,"",IF(INDEX(Raw_매출!$B$2:$BI$155,MATCH($A127,Raw_매출!$A$2:$A$155,0),MATCH(EDATE($E127,M$1-1),Raw_매출!$B$1:$BI$1,0))=0,"",INDEX(Raw_매출!$B$2:$BI$155,MATCH($A127,Raw_매출!$A$2:$A$155,0),MATCH(EDATE($E127,M$1-1),Raw_매출!$B$1:$BI$1,0))/(INDEX(요약_월별시즈널리티!$F$7:$F$18,MONTH(EDATE($E127,M$1-1)))/100))),"")</f>
        <v>2210419.4920019549</v>
      </c>
      <c r="N127" s="30" cm="1">
        <f t="array" ref="N127">IFERROR(IF($E127&lt;44348,"",IF(INDEX(Raw_매출!$B$2:$BI$155,MATCH($A127,Raw_매출!$A$2:$A$155,0),MATCH(EDATE($E127,N$1-1),Raw_매출!$B$1:$BI$1,0))=0,"",INDEX(Raw_매출!$B$2:$BI$155,MATCH($A127,Raw_매출!$A$2:$A$155,0),MATCH(EDATE($E127,N$1-1),Raw_매출!$B$1:$BI$1,0))/(INDEX(요약_월별시즈널리티!$F$7:$F$18,MONTH(EDATE($E127,N$1-1)))/100))),"")</f>
        <v>2309691.1558054527</v>
      </c>
      <c r="O127" s="30" cm="1">
        <f t="array" ref="O127">IFERROR(IF($E127&lt;44348,"",IF(INDEX(Raw_매출!$B$2:$BI$155,MATCH($A127,Raw_매출!$A$2:$A$155,0),MATCH(EDATE($E127,O$1-1),Raw_매출!$B$1:$BI$1,0))=0,"",INDEX(Raw_매출!$B$2:$BI$155,MATCH($A127,Raw_매출!$A$2:$A$155,0),MATCH(EDATE($E127,O$1-1),Raw_매출!$B$1:$BI$1,0))/(INDEX(요약_월별시즈널리티!$F$7:$F$18,MONTH(EDATE($E127,O$1-1)))/100))),"")</f>
        <v>1877248.7644037199</v>
      </c>
      <c r="P127" cm="1">
        <f t="array" ref="P127">IFERROR(IF($E127&lt;44348,"",IF(INDEX(Raw_매출!$B$2:$BI$155,MATCH($A127,Raw_매출!$A$2:$A$155,0),MATCH(EDATE($E127,P$1-1),Raw_매출!$B$1:$BI$1,0))=0,"",INDEX(Raw_매출!$B$2:$BI$155,MATCH($A127,Raw_매출!$A$2:$A$155,0),MATCH(EDATE($E127,P$1-1),Raw_매출!$B$1:$BI$1,0))/(INDEX(요약_월별시즈널리티!$F$7:$F$18,MONTH(EDATE($E127,P$1-1)))/100))),"")</f>
        <v>1950436.4381024011</v>
      </c>
      <c r="Q127" cm="1">
        <f t="array" ref="Q127">IFERROR(IF($E127&lt;44348,"",IF(INDEX(Raw_매출!$B$2:$BI$155,MATCH($A127,Raw_매출!$A$2:$A$155,0),MATCH(EDATE($E127,Q$1-1),Raw_매출!$B$1:$BI$1,0))=0,"",INDEX(Raw_매출!$B$2:$BI$155,MATCH($A127,Raw_매출!$A$2:$A$155,0),MATCH(EDATE($E127,Q$1-1),Raw_매출!$B$1:$BI$1,0))/(INDEX(요약_월별시즈널리티!$F$7:$F$18,MONTH(EDATE($E127,Q$1-1)))/100))),"")</f>
        <v>2105586.969324199</v>
      </c>
      <c r="R127" cm="1">
        <f t="array" ref="R127">IFERROR(IF($E127&lt;44348,"",IF(INDEX(Raw_매출!$B$2:$BI$155,MATCH($A127,Raw_매출!$A$2:$A$155,0),MATCH(EDATE($E127,R$1-1),Raw_매출!$B$1:$BI$1,0))=0,"",INDEX(Raw_매출!$B$2:$BI$155,MATCH($A127,Raw_매출!$A$2:$A$155,0),MATCH(EDATE($E127,R$1-1),Raw_매출!$B$1:$BI$1,0))/(INDEX(요약_월별시즈널리티!$F$7:$F$18,MONTH(EDATE($E127,R$1-1)))/100))),"")</f>
        <v>2397956.5692868335</v>
      </c>
      <c r="S127" cm="1">
        <f t="array" ref="S127">IFERROR(IF($E127&lt;44348,"",IF(INDEX(Raw_매출!$B$2:$BI$155,MATCH($A127,Raw_매출!$A$2:$A$155,0),MATCH(EDATE($E127,S$1-1),Raw_매출!$B$1:$BI$1,0))=0,"",INDEX(Raw_매출!$B$2:$BI$155,MATCH($A127,Raw_매출!$A$2:$A$155,0),MATCH(EDATE($E127,S$1-1),Raw_매출!$B$1:$BI$1,0))/(INDEX(요약_월별시즈널리티!$F$7:$F$18,MONTH(EDATE($E127,S$1-1)))/100))),"")</f>
        <v>2323428.6891353698</v>
      </c>
      <c r="T127" cm="1">
        <f t="array" ref="T127">IFERROR(IF($E127&lt;44348,"",IF(INDEX(Raw_매출!$B$2:$BI$155,MATCH($A127,Raw_매출!$A$2:$A$155,0),MATCH(EDATE($E127,T$1-1),Raw_매출!$B$1:$BI$1,0))=0,"",INDEX(Raw_매출!$B$2:$BI$155,MATCH($A127,Raw_매출!$A$2:$A$155,0),MATCH(EDATE($E127,T$1-1),Raw_매출!$B$1:$BI$1,0))/(INDEX(요약_월별시즈널리티!$F$7:$F$18,MONTH(EDATE($E127,T$1-1)))/100))),"")</f>
        <v>2620451.9570805621</v>
      </c>
      <c r="U127" cm="1">
        <f t="array" ref="U127">IFERROR(IF($E127&lt;44348,"",IF(INDEX(Raw_매출!$B$2:$BI$155,MATCH($A127,Raw_매출!$A$2:$A$155,0),MATCH(EDATE($E127,U$1-1),Raw_매출!$B$1:$BI$1,0))=0,"",INDEX(Raw_매출!$B$2:$BI$155,MATCH($A127,Raw_매출!$A$2:$A$155,0),MATCH(EDATE($E127,U$1-1),Raw_매출!$B$1:$BI$1,0))/(INDEX(요약_월별시즈널리티!$F$7:$F$18,MONTH(EDATE($E127,U$1-1)))/100))),"")</f>
        <v>2599927.5803107987</v>
      </c>
      <c r="V127" cm="1">
        <f t="array" ref="V127">IFERROR(IF($E127&lt;44348,"",IF(INDEX(Raw_매출!$B$2:$BI$155,MATCH($A127,Raw_매출!$A$2:$A$155,0),MATCH(EDATE($E127,V$1-1),Raw_매출!$B$1:$BI$1,0))=0,"",INDEX(Raw_매출!$B$2:$BI$155,MATCH($A127,Raw_매출!$A$2:$A$155,0),MATCH(EDATE($E127,V$1-1),Raw_매출!$B$1:$BI$1,0))/(INDEX(요약_월별시즈널리티!$F$7:$F$18,MONTH(EDATE($E127,V$1-1)))/100))),"")</f>
        <v>2789217.6855651722</v>
      </c>
      <c r="W127" cm="1">
        <f t="array" ref="W127">IFERROR(IF($E127&lt;44348,"",IF(INDEX(Raw_매출!$B$2:$BI$155,MATCH($A127,Raw_매출!$A$2:$A$155,0),MATCH(EDATE($E127,W$1-1),Raw_매출!$B$1:$BI$1,0))=0,"",INDEX(Raw_매출!$B$2:$BI$155,MATCH($A127,Raw_매출!$A$2:$A$155,0),MATCH(EDATE($E127,W$1-1),Raw_매출!$B$1:$BI$1,0))/(INDEX(요약_월별시즈널리티!$F$7:$F$18,MONTH(EDATE($E127,W$1-1)))/100))),"")</f>
        <v>2749468.6288630352</v>
      </c>
      <c r="X127" cm="1">
        <f t="array" ref="X127">IFERROR(IF($E127&lt;44348,"",IF(INDEX(Raw_매출!$B$2:$BI$155,MATCH($A127,Raw_매출!$A$2:$A$155,0),MATCH(EDATE($E127,X$1-1),Raw_매출!$B$1:$BI$1,0))=0,"",INDEX(Raw_매출!$B$2:$BI$155,MATCH($A127,Raw_매출!$A$2:$A$155,0),MATCH(EDATE($E127,X$1-1),Raw_매출!$B$1:$BI$1,0))/(INDEX(요약_월별시즈널리티!$F$7:$F$18,MONTH(EDATE($E127,X$1-1)))/100))),"")</f>
        <v>2686273.258488202</v>
      </c>
      <c r="Y127" cm="1">
        <f t="array" ref="Y127">IFERROR(IF($E127&lt;44348,"",IF(INDEX(Raw_매출!$B$2:$BI$155,MATCH($A127,Raw_매출!$A$2:$A$155,0),MATCH(EDATE($E127,Y$1-1),Raw_매출!$B$1:$BI$1,0))=0,"",INDEX(Raw_매출!$B$2:$BI$155,MATCH($A127,Raw_매출!$A$2:$A$155,0),MATCH(EDATE($E127,Y$1-1),Raw_매출!$B$1:$BI$1,0))/(INDEX(요약_월별시즈널리티!$F$7:$F$18,MONTH(EDATE($E127,Y$1-1)))/100))),"")</f>
        <v>2609198.5567399585</v>
      </c>
      <c r="Z127" cm="1">
        <f t="array" ref="Z127">IFERROR(IF($E127&lt;44348,"",IF(INDEX(Raw_매출!$B$2:$BI$155,MATCH($A127,Raw_매출!$A$2:$A$155,0),MATCH(EDATE($E127,Z$1-1),Raw_매출!$B$1:$BI$1,0))=0,"",INDEX(Raw_매출!$B$2:$BI$155,MATCH($A127,Raw_매출!$A$2:$A$155,0),MATCH(EDATE($E127,Z$1-1),Raw_매출!$B$1:$BI$1,0))/(INDEX(요약_월별시즈널리티!$F$7:$F$18,MONTH(EDATE($E127,Z$1-1)))/100))),"")</f>
        <v>3216427.706640983</v>
      </c>
      <c r="AA127" cm="1">
        <f t="array" ref="AA127">IFERROR(IF($E127&lt;44348,"",IF(INDEX(Raw_매출!$B$2:$BI$155,MATCH($A127,Raw_매출!$A$2:$A$155,0),MATCH(EDATE($E127,AA$1-1),Raw_매출!$B$1:$BI$1,0))=0,"",INDEX(Raw_매출!$B$2:$BI$155,MATCH($A127,Raw_매출!$A$2:$A$155,0),MATCH(EDATE($E127,AA$1-1),Raw_매출!$B$1:$BI$1,0))/(INDEX(요약_월별시즈널리티!$F$7:$F$18,MONTH(EDATE($E127,AA$1-1)))/100))),"")</f>
        <v>4158941.1895509409</v>
      </c>
      <c r="AB127" t="str" cm="1">
        <f t="array" ref="AB127">IFERROR(IF($E127&lt;44348,"",IF(INDEX(Raw_매출!$B$2:$BI$155,MATCH($A127,Raw_매출!$A$2:$A$155,0),MATCH(EDATE($E127,AB$1-1),Raw_매출!$B$1:$BI$1,0))=0,"",INDEX(Raw_매출!$B$2:$BI$155,MATCH($A127,Raw_매출!$A$2:$A$155,0),MATCH(EDATE($E127,AB$1-1),Raw_매출!$B$1:$BI$1,0))/(INDEX(요약_월별시즈널리티!$F$7:$F$18,MONTH(EDATE($E127,AB$1-1)))/100))),"")</f>
        <v/>
      </c>
      <c r="AC127" t="str" cm="1">
        <f t="array" ref="AC127">IFERROR(IF($E127&lt;44348,"",IF(INDEX(Raw_매출!$B$2:$BI$155,MATCH($A127,Raw_매출!$A$2:$A$155,0),MATCH(EDATE($E127,AC$1-1),Raw_매출!$B$1:$BI$1,0))=0,"",INDEX(Raw_매출!$B$2:$BI$155,MATCH($A127,Raw_매출!$A$2:$A$155,0),MATCH(EDATE($E127,AC$1-1),Raw_매출!$B$1:$BI$1,0))/(INDEX(요약_월별시즈널리티!$F$7:$F$18,MONTH(EDATE($E127,AC$1-1)))/100))),"")</f>
        <v/>
      </c>
      <c r="AD127" t="str" cm="1">
        <f t="array" ref="AD127">IFERROR(IF($E127&lt;44348,"",IF(INDEX(Raw_매출!$B$2:$BI$155,MATCH($A127,Raw_매출!$A$2:$A$155,0),MATCH(EDATE($E127,AD$1-1),Raw_매출!$B$1:$BI$1,0))=0,"",INDEX(Raw_매출!$B$2:$BI$155,MATCH($A127,Raw_매출!$A$2:$A$155,0),MATCH(EDATE($E127,AD$1-1),Raw_매출!$B$1:$BI$1,0))/(INDEX(요약_월별시즈널리티!$F$7:$F$18,MONTH(EDATE($E127,AD$1-1)))/100))),"")</f>
        <v/>
      </c>
      <c r="AE127" t="str" cm="1">
        <f t="array" ref="AE127">IFERROR(IF($E127&lt;44348,"",IF(INDEX(Raw_매출!$B$2:$BI$155,MATCH($A127,Raw_매출!$A$2:$A$155,0),MATCH(EDATE($E127,AE$1-1),Raw_매출!$B$1:$BI$1,0))=0,"",INDEX(Raw_매출!$B$2:$BI$155,MATCH($A127,Raw_매출!$A$2:$A$155,0),MATCH(EDATE($E127,AE$1-1),Raw_매출!$B$1:$BI$1,0))/(INDEX(요약_월별시즈널리티!$F$7:$F$18,MONTH(EDATE($E127,AE$1-1)))/100))),"")</f>
        <v/>
      </c>
      <c r="AF127" t="str" cm="1">
        <f t="array" ref="AF127">IFERROR(IF($E127&lt;44348,"",IF(INDEX(Raw_매출!$B$2:$BI$155,MATCH($A127,Raw_매출!$A$2:$A$155,0),MATCH(EDATE($E127,AF$1-1),Raw_매출!$B$1:$BI$1,0))=0,"",INDEX(Raw_매출!$B$2:$BI$155,MATCH($A127,Raw_매출!$A$2:$A$155,0),MATCH(EDATE($E127,AF$1-1),Raw_매출!$B$1:$BI$1,0))/(INDEX(요약_월별시즈널리티!$F$7:$F$18,MONTH(EDATE($E127,AF$1-1)))/100))),"")</f>
        <v/>
      </c>
      <c r="AG127" t="str" cm="1">
        <f t="array" ref="AG127">IFERROR(IF($E127&lt;44348,"",IF(INDEX(Raw_매출!$B$2:$BI$155,MATCH($A127,Raw_매출!$A$2:$A$155,0),MATCH(EDATE($E127,AG$1-1),Raw_매출!$B$1:$BI$1,0))=0,"",INDEX(Raw_매출!$B$2:$BI$155,MATCH($A127,Raw_매출!$A$2:$A$155,0),MATCH(EDATE($E127,AG$1-1),Raw_매출!$B$1:$BI$1,0))/(INDEX(요약_월별시즈널리티!$F$7:$F$18,MONTH(EDATE($E127,AG$1-1)))/100))),"")</f>
        <v/>
      </c>
      <c r="AH127" t="str" cm="1">
        <f t="array" ref="AH127">IFERROR(IF($E127&lt;44348,"",IF(INDEX(Raw_매출!$B$2:$BI$155,MATCH($A127,Raw_매출!$A$2:$A$155,0),MATCH(EDATE($E127,AH$1-1),Raw_매출!$B$1:$BI$1,0))=0,"",INDEX(Raw_매출!$B$2:$BI$155,MATCH($A127,Raw_매출!$A$2:$A$155,0),MATCH(EDATE($E127,AH$1-1),Raw_매출!$B$1:$BI$1,0))/(INDEX(요약_월별시즈널리티!$F$7:$F$18,MONTH(EDATE($E127,AH$1-1)))/100))),"")</f>
        <v/>
      </c>
      <c r="AI127" t="str" cm="1">
        <f t="array" ref="AI127">IFERROR(IF($E127&lt;44348,"",IF(INDEX(Raw_매출!$B$2:$BI$155,MATCH($A127,Raw_매출!$A$2:$A$155,0),MATCH(EDATE($E127,AI$1-1),Raw_매출!$B$1:$BI$1,0))=0,"",INDEX(Raw_매출!$B$2:$BI$155,MATCH($A127,Raw_매출!$A$2:$A$155,0),MATCH(EDATE($E127,AI$1-1),Raw_매출!$B$1:$BI$1,0))/(INDEX(요약_월별시즈널리티!$F$7:$F$18,MONTH(EDATE($E127,AI$1-1)))/100))),"")</f>
        <v/>
      </c>
      <c r="AJ127" t="str" cm="1">
        <f t="array" ref="AJ127">IFERROR(IF($E127&lt;44348,"",IF(INDEX(Raw_매출!$B$2:$BI$155,MATCH($A127,Raw_매출!$A$2:$A$155,0),MATCH(EDATE($E127,AJ$1-1),Raw_매출!$B$1:$BI$1,0))=0,"",INDEX(Raw_매출!$B$2:$BI$155,MATCH($A127,Raw_매출!$A$2:$A$155,0),MATCH(EDATE($E127,AJ$1-1),Raw_매출!$B$1:$BI$1,0))/(INDEX(요약_월별시즈널리티!$F$7:$F$18,MONTH(EDATE($E127,AJ$1-1)))/100))),"")</f>
        <v/>
      </c>
      <c r="AK127" t="str" cm="1">
        <f t="array" ref="AK127">IFERROR(IF($E127&lt;44348,"",IF(INDEX(Raw_매출!$B$2:$BI$155,MATCH($A127,Raw_매출!$A$2:$A$155,0),MATCH(EDATE($E127,AK$1-1),Raw_매출!$B$1:$BI$1,0))=0,"",INDEX(Raw_매출!$B$2:$BI$155,MATCH($A127,Raw_매출!$A$2:$A$155,0),MATCH(EDATE($E127,AK$1-1),Raw_매출!$B$1:$BI$1,0))/(INDEX(요약_월별시즈널리티!$F$7:$F$18,MONTH(EDATE($E127,AK$1-1)))/100))),"")</f>
        <v/>
      </c>
      <c r="AL127" t="str" cm="1">
        <f t="array" ref="AL127">IFERROR(IF($E127&lt;44348,"",IF(INDEX(Raw_매출!$B$2:$BI$155,MATCH($A127,Raw_매출!$A$2:$A$155,0),MATCH(EDATE($E127,AL$1-1),Raw_매출!$B$1:$BI$1,0))=0,"",INDEX(Raw_매출!$B$2:$BI$155,MATCH($A127,Raw_매출!$A$2:$A$155,0),MATCH(EDATE($E127,AL$1-1),Raw_매출!$B$1:$BI$1,0))/(INDEX(요약_월별시즈널리티!$F$7:$F$18,MONTH(EDATE($E127,AL$1-1)))/100))),"")</f>
        <v/>
      </c>
      <c r="AM127" t="str" cm="1">
        <f t="array" ref="AM127">IFERROR(IF($E127&lt;44348,"",IF(INDEX(Raw_매출!$B$2:$BI$155,MATCH($A127,Raw_매출!$A$2:$A$155,0),MATCH(EDATE($E127,AM$1-1),Raw_매출!$B$1:$BI$1,0))=0,"",INDEX(Raw_매출!$B$2:$BI$155,MATCH($A127,Raw_매출!$A$2:$A$155,0),MATCH(EDATE($E127,AM$1-1),Raw_매출!$B$1:$BI$1,0))/(INDEX(요약_월별시즈널리티!$F$7:$F$18,MONTH(EDATE($E127,AM$1-1)))/100))),"")</f>
        <v/>
      </c>
      <c r="AN127" t="str" cm="1">
        <f t="array" ref="AN127">IFERROR(IF($E127&lt;44348,"",IF(INDEX(Raw_매출!$B$2:$BI$155,MATCH($A127,Raw_매출!$A$2:$A$155,0),MATCH(EDATE($E127,AN$1-1),Raw_매출!$B$1:$BI$1,0))=0,"",INDEX(Raw_매출!$B$2:$BI$155,MATCH($A127,Raw_매출!$A$2:$A$155,0),MATCH(EDATE($E127,AN$1-1),Raw_매출!$B$1:$BI$1,0))/(INDEX(요약_월별시즈널리티!$F$7:$F$18,MONTH(EDATE($E127,AN$1-1)))/100))),"")</f>
        <v/>
      </c>
      <c r="AO127" t="str" cm="1">
        <f t="array" ref="AO127">IFERROR(IF($E127&lt;44348,"",IF(INDEX(Raw_매출!$B$2:$BI$155,MATCH($A127,Raw_매출!$A$2:$A$155,0),MATCH(EDATE($E127,AO$1-1),Raw_매출!$B$1:$BI$1,0))=0,"",INDEX(Raw_매출!$B$2:$BI$155,MATCH($A127,Raw_매출!$A$2:$A$155,0),MATCH(EDATE($E127,AO$1-1),Raw_매출!$B$1:$BI$1,0))/(INDEX(요약_월별시즈널리티!$F$7:$F$18,MONTH(EDATE($E127,AO$1-1)))/100))),"")</f>
        <v/>
      </c>
      <c r="AP127" t="str" cm="1">
        <f t="array" ref="AP127">IFERROR(IF($E127&lt;44348,"",IF(INDEX(Raw_매출!$B$2:$BI$155,MATCH($A127,Raw_매출!$A$2:$A$155,0),MATCH(EDATE($E127,AP$1-1),Raw_매출!$B$1:$BI$1,0))=0,"",INDEX(Raw_매출!$B$2:$BI$155,MATCH($A127,Raw_매출!$A$2:$A$155,0),MATCH(EDATE($E127,AP$1-1),Raw_매출!$B$1:$BI$1,0))/(INDEX(요약_월별시즈널리티!$F$7:$F$18,MONTH(EDATE($E127,AP$1-1)))/100))),"")</f>
        <v/>
      </c>
      <c r="AQ127" t="str" cm="1">
        <f t="array" ref="AQ127">IFERROR(IF($E127&lt;44348,"",IF(INDEX(Raw_매출!$B$2:$BI$155,MATCH($A127,Raw_매출!$A$2:$A$155,0),MATCH(EDATE($E127,AQ$1-1),Raw_매출!$B$1:$BI$1,0))=0,"",INDEX(Raw_매출!$B$2:$BI$155,MATCH($A127,Raw_매출!$A$2:$A$155,0),MATCH(EDATE($E127,AQ$1-1),Raw_매출!$B$1:$BI$1,0))/(INDEX(요약_월별시즈널리티!$F$7:$F$18,MONTH(EDATE($E127,AQ$1-1)))/100))),"")</f>
        <v/>
      </c>
      <c r="AR127" t="str" cm="1">
        <f t="array" ref="AR127">IFERROR(IF($E127&lt;44348,"",IF(INDEX(Raw_매출!$B$2:$BI$155,MATCH($A127,Raw_매출!$A$2:$A$155,0),MATCH(EDATE($E127,AR$1-1),Raw_매출!$B$1:$BI$1,0))=0,"",INDEX(Raw_매출!$B$2:$BI$155,MATCH($A127,Raw_매출!$A$2:$A$155,0),MATCH(EDATE($E127,AR$1-1),Raw_매출!$B$1:$BI$1,0))/(INDEX(요약_월별시즈널리티!$F$7:$F$18,MONTH(EDATE($E127,AR$1-1)))/100))),"")</f>
        <v/>
      </c>
      <c r="AS127" t="str" cm="1">
        <f t="array" ref="AS127">IFERROR(IF($E127&lt;44348,"",IF(INDEX(Raw_매출!$B$2:$BI$155,MATCH($A127,Raw_매출!$A$2:$A$155,0),MATCH(EDATE($E127,AS$1-1),Raw_매출!$B$1:$BI$1,0))=0,"",INDEX(Raw_매출!$B$2:$BI$155,MATCH($A127,Raw_매출!$A$2:$A$155,0),MATCH(EDATE($E127,AS$1-1),Raw_매출!$B$1:$BI$1,0))/(INDEX(요약_월별시즈널리티!$F$7:$F$18,MONTH(EDATE($E127,AS$1-1)))/100))),"")</f>
        <v/>
      </c>
      <c r="AT127" t="str" cm="1">
        <f t="array" ref="AT127">IFERROR(IF($E127&lt;44348,"",IF(INDEX(Raw_매출!$B$2:$BI$155,MATCH($A127,Raw_매출!$A$2:$A$155,0),MATCH(EDATE($E127,AT$1-1),Raw_매출!$B$1:$BI$1,0))=0,"",INDEX(Raw_매출!$B$2:$BI$155,MATCH($A127,Raw_매출!$A$2:$A$155,0),MATCH(EDATE($E127,AT$1-1),Raw_매출!$B$1:$BI$1,0))/(INDEX(요약_월별시즈널리티!$F$7:$F$18,MONTH(EDATE($E127,AT$1-1)))/100))),"")</f>
        <v/>
      </c>
      <c r="AU127" t="str" cm="1">
        <f t="array" ref="AU127">IFERROR(IF($E127&lt;44348,"",IF(INDEX(Raw_매출!$B$2:$BI$155,MATCH($A127,Raw_매출!$A$2:$A$155,0),MATCH(EDATE($E127,AU$1-1),Raw_매출!$B$1:$BI$1,0))=0,"",INDEX(Raw_매출!$B$2:$BI$155,MATCH($A127,Raw_매출!$A$2:$A$155,0),MATCH(EDATE($E127,AU$1-1),Raw_매출!$B$1:$BI$1,0))/(INDEX(요약_월별시즈널리티!$F$7:$F$18,MONTH(EDATE($E127,AU$1-1)))/100))),"")</f>
        <v/>
      </c>
      <c r="AV127" t="str" cm="1">
        <f t="array" ref="AV127">IFERROR(IF($E127&lt;44348,"",IF(INDEX(Raw_매출!$B$2:$BI$155,MATCH($A127,Raw_매출!$A$2:$A$155,0),MATCH(EDATE($E127,AV$1-1),Raw_매출!$B$1:$BI$1,0))=0,"",INDEX(Raw_매출!$B$2:$BI$155,MATCH($A127,Raw_매출!$A$2:$A$155,0),MATCH(EDATE($E127,AV$1-1),Raw_매출!$B$1:$BI$1,0))/(INDEX(요약_월별시즈널리티!$F$7:$F$18,MONTH(EDATE($E127,AV$1-1)))/100))),"")</f>
        <v/>
      </c>
      <c r="AW127" t="str" cm="1">
        <f t="array" ref="AW127">IFERROR(IF($E127&lt;44348,"",IF(INDEX(Raw_매출!$B$2:$BI$155,MATCH($A127,Raw_매출!$A$2:$A$155,0),MATCH(EDATE($E127,AW$1-1),Raw_매출!$B$1:$BI$1,0))=0,"",INDEX(Raw_매출!$B$2:$BI$155,MATCH($A127,Raw_매출!$A$2:$A$155,0),MATCH(EDATE($E127,AW$1-1),Raw_매출!$B$1:$BI$1,0))/(INDEX(요약_월별시즈널리티!$F$7:$F$18,MONTH(EDATE($E127,AW$1-1)))/100))),"")</f>
        <v/>
      </c>
      <c r="AX127" t="str" cm="1">
        <f t="array" ref="AX127">IFERROR(IF($E127&lt;44348,"",IF(INDEX(Raw_매출!$B$2:$BI$155,MATCH($A127,Raw_매출!$A$2:$A$155,0),MATCH(EDATE($E127,AX$1-1),Raw_매출!$B$1:$BI$1,0))=0,"",INDEX(Raw_매출!$B$2:$BI$155,MATCH($A127,Raw_매출!$A$2:$A$155,0),MATCH(EDATE($E127,AX$1-1),Raw_매출!$B$1:$BI$1,0))/(INDEX(요약_월별시즈널리티!$F$7:$F$18,MONTH(EDATE($E127,AX$1-1)))/100))),"")</f>
        <v/>
      </c>
      <c r="AY127" t="str" cm="1">
        <f t="array" ref="AY127">IFERROR(IF($E127&lt;44348,"",IF(INDEX(Raw_매출!$B$2:$BI$155,MATCH($A127,Raw_매출!$A$2:$A$155,0),MATCH(EDATE($E127,AY$1-1),Raw_매출!$B$1:$BI$1,0))=0,"",INDEX(Raw_매출!$B$2:$BI$155,MATCH($A127,Raw_매출!$A$2:$A$155,0),MATCH(EDATE($E127,AY$1-1),Raw_매출!$B$1:$BI$1,0))/(INDEX(요약_월별시즈널리티!$F$7:$F$18,MONTH(EDATE($E127,AY$1-1)))/100))),"")</f>
        <v/>
      </c>
      <c r="AZ127" t="str" cm="1">
        <f t="array" ref="AZ127">IFERROR(IF($E127&lt;44348,"",IF(INDEX(Raw_매출!$B$2:$BI$155,MATCH($A127,Raw_매출!$A$2:$A$155,0),MATCH(EDATE($E127,AZ$1-1),Raw_매출!$B$1:$BI$1,0))=0,"",INDEX(Raw_매출!$B$2:$BI$155,MATCH($A127,Raw_매출!$A$2:$A$155,0),MATCH(EDATE($E127,AZ$1-1),Raw_매출!$B$1:$BI$1,0))/(INDEX(요약_월별시즈널리티!$F$7:$F$18,MONTH(EDATE($E127,AZ$1-1)))/100))),"")</f>
        <v/>
      </c>
      <c r="BA127" t="str" cm="1">
        <f t="array" ref="BA127">IFERROR(IF($E127&lt;44348,"",IF(INDEX(Raw_매출!$B$2:$BI$155,MATCH($A127,Raw_매출!$A$2:$A$155,0),MATCH(EDATE($E127,BA$1-1),Raw_매출!$B$1:$BI$1,0))=0,"",INDEX(Raw_매출!$B$2:$BI$155,MATCH($A127,Raw_매출!$A$2:$A$155,0),MATCH(EDATE($E127,BA$1-1),Raw_매출!$B$1:$BI$1,0))/(INDEX(요약_월별시즈널리티!$F$7:$F$18,MONTH(EDATE($E127,BA$1-1)))/100))),"")</f>
        <v/>
      </c>
      <c r="BB127" t="str" cm="1">
        <f t="array" ref="BB127">IFERROR(IF($E127&lt;44348,"",IF(INDEX(Raw_매출!$B$2:$BI$155,MATCH($A127,Raw_매출!$A$2:$A$155,0),MATCH(EDATE($E127,BB$1-1),Raw_매출!$B$1:$BI$1,0))=0,"",INDEX(Raw_매출!$B$2:$BI$155,MATCH($A127,Raw_매출!$A$2:$A$155,0),MATCH(EDATE($E127,BB$1-1),Raw_매출!$B$1:$BI$1,0))/(INDEX(요약_월별시즈널리티!$F$7:$F$18,MONTH(EDATE($E127,BB$1-1)))/100))),"")</f>
        <v/>
      </c>
      <c r="BC127" t="str" cm="1">
        <f t="array" ref="BC127">IFERROR(IF($E127&lt;44348,"",IF(INDEX(Raw_매출!$B$2:$BI$155,MATCH($A127,Raw_매출!$A$2:$A$155,0),MATCH(EDATE($E127,BC$1-1),Raw_매출!$B$1:$BI$1,0))=0,"",INDEX(Raw_매출!$B$2:$BI$155,MATCH($A127,Raw_매출!$A$2:$A$155,0),MATCH(EDATE($E127,BC$1-1),Raw_매출!$B$1:$BI$1,0))/(INDEX(요약_월별시즈널리티!$F$7:$F$18,MONTH(EDATE($E127,BC$1-1)))/100))),"")</f>
        <v/>
      </c>
      <c r="BD127" t="str" cm="1">
        <f t="array" ref="BD127">IFERROR(IF($E127&lt;44348,"",IF(INDEX(Raw_매출!$B$2:$BI$155,MATCH($A127,Raw_매출!$A$2:$A$155,0),MATCH(EDATE($E127,BD$1-1),Raw_매출!$B$1:$BI$1,0))=0,"",INDEX(Raw_매출!$B$2:$BI$155,MATCH($A127,Raw_매출!$A$2:$A$155,0),MATCH(EDATE($E127,BD$1-1),Raw_매출!$B$1:$BI$1,0))/(INDEX(요약_월별시즈널리티!$F$7:$F$18,MONTH(EDATE($E127,BD$1-1)))/100))),"")</f>
        <v/>
      </c>
      <c r="BE127" t="str" cm="1">
        <f t="array" ref="BE127">IFERROR(IF($E127&lt;44348,"",IF(INDEX(Raw_매출!$B$2:$BI$155,MATCH($A127,Raw_매출!$A$2:$A$155,0),MATCH(EDATE($E127,BE$1-1),Raw_매출!$B$1:$BI$1,0))=0,"",INDEX(Raw_매출!$B$2:$BI$155,MATCH($A127,Raw_매출!$A$2:$A$155,0),MATCH(EDATE($E127,BE$1-1),Raw_매출!$B$1:$BI$1,0))/(INDEX(요약_월별시즈널리티!$F$7:$F$18,MONTH(EDATE($E127,BE$1-1)))/100))),"")</f>
        <v/>
      </c>
      <c r="BF127" t="str" cm="1">
        <f t="array" ref="BF127">IFERROR(IF($E127&lt;44348,"",IF(INDEX(Raw_매출!$B$2:$BI$155,MATCH($A127,Raw_매출!$A$2:$A$155,0),MATCH(EDATE($E127,BF$1-1),Raw_매출!$B$1:$BI$1,0))=0,"",INDEX(Raw_매출!$B$2:$BI$155,MATCH($A127,Raw_매출!$A$2:$A$155,0),MATCH(EDATE($E127,BF$1-1),Raw_매출!$B$1:$BI$1,0))/(INDEX(요약_월별시즈널리티!$F$7:$F$18,MONTH(EDATE($E127,BF$1-1)))/100))),"")</f>
        <v/>
      </c>
      <c r="BG127" t="str" cm="1">
        <f t="array" ref="BG127">IFERROR(IF($E127&lt;44348,"",IF(INDEX(Raw_매출!$B$2:$BI$155,MATCH($A127,Raw_매출!$A$2:$A$155,0),MATCH(EDATE($E127,BG$1-1),Raw_매출!$B$1:$BI$1,0))=0,"",INDEX(Raw_매출!$B$2:$BI$155,MATCH($A127,Raw_매출!$A$2:$A$155,0),MATCH(EDATE($E127,BG$1-1),Raw_매출!$B$1:$BI$1,0))/(INDEX(요약_월별시즈널리티!$F$7:$F$18,MONTH(EDATE($E127,BG$1-1)))/100))),"")</f>
        <v/>
      </c>
      <c r="BH127" t="str" cm="1">
        <f t="array" ref="BH127">IFERROR(IF($E127&lt;44348,"",IF(INDEX(Raw_매출!$B$2:$BI$155,MATCH($A127,Raw_매출!$A$2:$A$155,0),MATCH(EDATE($E127,BH$1-1),Raw_매출!$B$1:$BI$1,0))=0,"",INDEX(Raw_매출!$B$2:$BI$155,MATCH($A127,Raw_매출!$A$2:$A$155,0),MATCH(EDATE($E127,BH$1-1),Raw_매출!$B$1:$BI$1,0))/(INDEX(요약_월별시즈널리티!$F$7:$F$18,MONTH(EDATE($E127,BH$1-1)))/100))),"")</f>
        <v/>
      </c>
      <c r="BI127" t="str" cm="1">
        <f t="array" ref="BI127">IFERROR(IF($E127&lt;44348,"",IF(INDEX(Raw_매출!$B$2:$BI$155,MATCH($A127,Raw_매출!$A$2:$A$155,0),MATCH(EDATE($E127,BI$1-1),Raw_매출!$B$1:$BI$1,0))=0,"",INDEX(Raw_매출!$B$2:$BI$155,MATCH($A127,Raw_매출!$A$2:$A$155,0),MATCH(EDATE($E127,BI$1-1),Raw_매출!$B$1:$BI$1,0))/(INDEX(요약_월별시즈널리티!$F$7:$F$18,MONTH(EDATE($E127,BI$1-1)))/100))),"")</f>
        <v/>
      </c>
      <c r="BJ127" t="str" cm="1">
        <f t="array" ref="BJ127">IFERROR(IF($E127&lt;44348,"",IF(INDEX(Raw_매출!$B$2:$BI$155,MATCH($A127,Raw_매출!$A$2:$A$155,0),MATCH(EDATE($E127,BJ$1-1),Raw_매출!$B$1:$BI$1,0))=0,"",INDEX(Raw_매출!$B$2:$BI$155,MATCH($A127,Raw_매출!$A$2:$A$155,0),MATCH(EDATE($E127,BJ$1-1),Raw_매출!$B$1:$BI$1,0))/(INDEX(요약_월별시즈널리티!$F$7:$F$18,MONTH(EDATE($E127,BJ$1-1)))/100))),"")</f>
        <v/>
      </c>
      <c r="BK127" t="str" cm="1">
        <f t="array" ref="BK127">IFERROR(IF($E127&lt;44348,"",IF(INDEX(Raw_매출!$B$2:$BI$155,MATCH($A127,Raw_매출!$A$2:$A$155,0),MATCH(EDATE($E127,BK$1-1),Raw_매출!$B$1:$BI$1,0))=0,"",INDEX(Raw_매출!$B$2:$BI$155,MATCH($A127,Raw_매출!$A$2:$A$155,0),MATCH(EDATE($E127,BK$1-1),Raw_매출!$B$1:$BI$1,0))/(INDEX(요약_월별시즈널리티!$F$7:$F$18,MONTH(EDATE($E127,BK$1-1)))/100))),"")</f>
        <v/>
      </c>
      <c r="BL127" t="str" cm="1">
        <f t="array" ref="BL127">IFERROR(IF($E127&lt;44348,"",IF(INDEX(Raw_매출!$B$2:$BI$155,MATCH($A127,Raw_매출!$A$2:$A$155,0),MATCH(EDATE($E127,BL$1-1),Raw_매출!$B$1:$BI$1,0))=0,"",INDEX(Raw_매출!$B$2:$BI$155,MATCH($A127,Raw_매출!$A$2:$A$155,0),MATCH(EDATE($E127,BL$1-1),Raw_매출!$B$1:$BI$1,0))/(INDEX(요약_월별시즈널리티!$F$7:$F$18,MONTH(EDATE($E127,BL$1-1)))/100))),"")</f>
        <v/>
      </c>
      <c r="BM127" t="str" cm="1">
        <f t="array" ref="BM127">IFERROR(IF($E127&lt;44348,"",IF(INDEX(Raw_매출!$B$2:$BI$155,MATCH($A127,Raw_매출!$A$2:$A$155,0),MATCH(EDATE($E127,BM$1-1),Raw_매출!$B$1:$BI$1,0))=0,"",INDEX(Raw_매출!$B$2:$BI$155,MATCH($A127,Raw_매출!$A$2:$A$155,0),MATCH(EDATE($E127,BM$1-1),Raw_매출!$B$1:$BI$1,0))/(INDEX(요약_월별시즈널리티!$F$7:$F$18,MONTH(EDATE($E127,BM$1-1)))/100))),"")</f>
        <v/>
      </c>
      <c r="BN127" t="str" cm="1">
        <f t="array" ref="BN127">IFERROR(IF($E127&lt;44348,"",IF(INDEX(Raw_매출!$B$2:$BI$155,MATCH($A127,Raw_매출!$A$2:$A$155,0),MATCH(EDATE($E127,BN$1-1),Raw_매출!$B$1:$BI$1,0))=0,"",INDEX(Raw_매출!$B$2:$BI$155,MATCH($A127,Raw_매출!$A$2:$A$155,0),MATCH(EDATE($E127,BN$1-1),Raw_매출!$B$1:$BI$1,0))/(INDEX(요약_월별시즈널리티!$F$7:$F$18,MONTH(EDATE($E127,BN$1-1)))/100))),"")</f>
        <v/>
      </c>
    </row>
    <row r="128" spans="1:66" x14ac:dyDescent="0.4">
      <c r="A128" t="str">
        <f>세팅!A129</f>
        <v>(1119) #카이스트문지점</v>
      </c>
      <c r="B128" t="str">
        <f>세팅!B129</f>
        <v>150-0</v>
      </c>
      <c r="C128">
        <f t="shared" si="3"/>
        <v>0</v>
      </c>
      <c r="D128" t="str">
        <f t="shared" si="4"/>
        <v>0</v>
      </c>
      <c r="E128" s="1">
        <f>세팅!D129</f>
        <v>45566</v>
      </c>
      <c r="F128">
        <f t="shared" si="5"/>
        <v>4330234.3476717751</v>
      </c>
      <c r="G128" cm="1">
        <f t="array" ref="G128">IFERROR(IF($E128&lt;44348,"",IF(INDEX(Raw_매출!$B$2:$BI$155,MATCH($A128,Raw_매출!$A$2:$A$155,0),MATCH(EDATE($E128,G$1-1),Raw_매출!$B$1:$BI$1,0))=0,"",INDEX(Raw_매출!$B$2:$BI$155,MATCH($A128,Raw_매출!$A$2:$A$155,0),MATCH(EDATE($E128,G$1-1),Raw_매출!$B$1:$BI$1,0))/(INDEX(요약_월별시즈널리티!$F$7:$F$18,MONTH(EDATE($E128,G$1-1)))/100))),"")</f>
        <v>3012788.7474061297</v>
      </c>
      <c r="H128" cm="1">
        <f t="array" ref="H128">IFERROR(IF($E128&lt;44348,"",IF(INDEX(Raw_매출!$B$2:$BI$155,MATCH($A128,Raw_매출!$A$2:$A$155,0),MATCH(EDATE($E128,H$1-1),Raw_매출!$B$1:$BI$1,0))=0,"",INDEX(Raw_매출!$B$2:$BI$155,MATCH($A128,Raw_매출!$A$2:$A$155,0),MATCH(EDATE($E128,H$1-1),Raw_매출!$B$1:$BI$1,0))/(INDEX(요약_월별시즈널리티!$F$7:$F$18,MONTH(EDATE($E128,H$1-1)))/100))),"")</f>
        <v>3324144.066467897</v>
      </c>
      <c r="I128" cm="1">
        <f t="array" ref="I128">IFERROR(IF($E128&lt;44348,"",IF(INDEX(Raw_매출!$B$2:$BI$155,MATCH($A128,Raw_매출!$A$2:$A$155,0),MATCH(EDATE($E128,I$1-1),Raw_매출!$B$1:$BI$1,0))=0,"",INDEX(Raw_매출!$B$2:$BI$155,MATCH($A128,Raw_매출!$A$2:$A$155,0),MATCH(EDATE($E128,I$1-1),Raw_매출!$B$1:$BI$1,0))/(INDEX(요약_월별시즈널리티!$F$7:$F$18,MONTH(EDATE($E128,I$1-1)))/100))),"")</f>
        <v>3626374.9323768066</v>
      </c>
      <c r="J128" s="30" cm="1">
        <f t="array" ref="J128">IFERROR(IF($E128&lt;44348,"",IF(INDEX(Raw_매출!$B$2:$BI$155,MATCH($A128,Raw_매출!$A$2:$A$155,0),MATCH(EDATE($E128,J$1-1),Raw_매출!$B$1:$BI$1,0))=0,"",INDEX(Raw_매출!$B$2:$BI$155,MATCH($A128,Raw_매출!$A$2:$A$155,0),MATCH(EDATE($E128,J$1-1),Raw_매출!$B$1:$BI$1,0))/(INDEX(요약_월별시즈널리티!$F$7:$F$18,MONTH(EDATE($E128,J$1-1)))/100))),"")</f>
        <v>3970215.7826373521</v>
      </c>
      <c r="K128" s="30" cm="1">
        <f t="array" ref="K128">IFERROR(IF($E128&lt;44348,"",IF(INDEX(Raw_매출!$B$2:$BI$155,MATCH($A128,Raw_매출!$A$2:$A$155,0),MATCH(EDATE($E128,K$1-1),Raw_매출!$B$1:$BI$1,0))=0,"",INDEX(Raw_매출!$B$2:$BI$155,MATCH($A128,Raw_매출!$A$2:$A$155,0),MATCH(EDATE($E128,K$1-1),Raw_매출!$B$1:$BI$1,0))/(INDEX(요약_월별시즈널리티!$F$7:$F$18,MONTH(EDATE($E128,K$1-1)))/100))),"")</f>
        <v>3697772.2391388891</v>
      </c>
      <c r="L128" s="30" cm="1">
        <f t="array" ref="L128">IFERROR(IF($E128&lt;44348,"",IF(INDEX(Raw_매출!$B$2:$BI$155,MATCH($A128,Raw_매출!$A$2:$A$155,0),MATCH(EDATE($E128,L$1-1),Raw_매출!$B$1:$BI$1,0))=0,"",INDEX(Raw_매출!$B$2:$BI$155,MATCH($A128,Raw_매출!$A$2:$A$155,0),MATCH(EDATE($E128,L$1-1),Raw_매출!$B$1:$BI$1,0))/(INDEX(요약_월별시즈널리티!$F$7:$F$18,MONTH(EDATE($E128,L$1-1)))/100))),"")</f>
        <v>4461581.3405793356</v>
      </c>
      <c r="M128" s="30" cm="1">
        <f t="array" ref="M128">IFERROR(IF($E128&lt;44348,"",IF(INDEX(Raw_매출!$B$2:$BI$155,MATCH($A128,Raw_매출!$A$2:$A$155,0),MATCH(EDATE($E128,M$1-1),Raw_매출!$B$1:$BI$1,0))=0,"",INDEX(Raw_매출!$B$2:$BI$155,MATCH($A128,Raw_매출!$A$2:$A$155,0),MATCH(EDATE($E128,M$1-1),Raw_매출!$B$1:$BI$1,0))/(INDEX(요약_월별시즈널리티!$F$7:$F$18,MONTH(EDATE($E128,M$1-1)))/100))),"")</f>
        <v>4071019.1337758917</v>
      </c>
      <c r="N128" s="30" cm="1">
        <f t="array" ref="N128">IFERROR(IF($E128&lt;44348,"",IF(INDEX(Raw_매출!$B$2:$BI$155,MATCH($A128,Raw_매출!$A$2:$A$155,0),MATCH(EDATE($E128,N$1-1),Raw_매출!$B$1:$BI$1,0))=0,"",INDEX(Raw_매출!$B$2:$BI$155,MATCH($A128,Raw_매출!$A$2:$A$155,0),MATCH(EDATE($E128,N$1-1),Raw_매출!$B$1:$BI$1,0))/(INDEX(요약_월별시즈널리티!$F$7:$F$18,MONTH(EDATE($E128,N$1-1)))/100))),"")</f>
        <v>4812314.8697158033</v>
      </c>
      <c r="O128" s="30" cm="1">
        <f t="array" ref="O128">IFERROR(IF($E128&lt;44348,"",IF(INDEX(Raw_매출!$B$2:$BI$155,MATCH($A128,Raw_매출!$A$2:$A$155,0),MATCH(EDATE($E128,O$1-1),Raw_매출!$B$1:$BI$1,0))=0,"",INDEX(Raw_매출!$B$2:$BI$155,MATCH($A128,Raw_매출!$A$2:$A$155,0),MATCH(EDATE($E128,O$1-1),Raw_매출!$B$1:$BI$1,0))/(INDEX(요약_월별시즈널리티!$F$7:$F$18,MONTH(EDATE($E128,O$1-1)))/100))),"")</f>
        <v>4968502.720183379</v>
      </c>
      <c r="P128" cm="1">
        <f t="array" ref="P128">IFERROR(IF($E128&lt;44348,"",IF(INDEX(Raw_매출!$B$2:$BI$155,MATCH($A128,Raw_매출!$A$2:$A$155,0),MATCH(EDATE($E128,P$1-1),Raw_매출!$B$1:$BI$1,0))=0,"",INDEX(Raw_매출!$B$2:$BI$155,MATCH($A128,Raw_매출!$A$2:$A$155,0),MATCH(EDATE($E128,P$1-1),Raw_매출!$B$1:$BI$1,0))/(INDEX(요약_월별시즈널리티!$F$7:$F$18,MONTH(EDATE($E128,P$1-1)))/100))),"")</f>
        <v>4517253.5470924219</v>
      </c>
      <c r="Q128" cm="1">
        <f t="array" ref="Q128">IFERROR(IF($E128&lt;44348,"",IF(INDEX(Raw_매출!$B$2:$BI$155,MATCH($A128,Raw_매출!$A$2:$A$155,0),MATCH(EDATE($E128,Q$1-1),Raw_매출!$B$1:$BI$1,0))=0,"",INDEX(Raw_매출!$B$2:$BI$155,MATCH($A128,Raw_매출!$A$2:$A$155,0),MATCH(EDATE($E128,Q$1-1),Raw_매출!$B$1:$BI$1,0))/(INDEX(요약_월별시즈널리티!$F$7:$F$18,MONTH(EDATE($E128,Q$1-1)))/100))),"")</f>
        <v>4717545.9187756013</v>
      </c>
      <c r="R128" cm="1">
        <f t="array" ref="R128">IFERROR(IF($E128&lt;44348,"",IF(INDEX(Raw_매출!$B$2:$BI$155,MATCH($A128,Raw_매출!$A$2:$A$155,0),MATCH(EDATE($E128,R$1-1),Raw_매출!$B$1:$BI$1,0))=0,"",INDEX(Raw_매출!$B$2:$BI$155,MATCH($A128,Raw_매출!$A$2:$A$155,0),MATCH(EDATE($E128,R$1-1),Raw_매출!$B$1:$BI$1,0))/(INDEX(요약_월별시즈널리티!$F$7:$F$18,MONTH(EDATE($E128,R$1-1)))/100))),"")</f>
        <v>4361539.9756892575</v>
      </c>
      <c r="S128" cm="1">
        <f t="array" ref="S128">IFERROR(IF($E128&lt;44348,"",IF(INDEX(Raw_매출!$B$2:$BI$155,MATCH($A128,Raw_매출!$A$2:$A$155,0),MATCH(EDATE($E128,S$1-1),Raw_매출!$B$1:$BI$1,0))=0,"",INDEX(Raw_매출!$B$2:$BI$155,MATCH($A128,Raw_매출!$A$2:$A$155,0),MATCH(EDATE($E128,S$1-1),Raw_매출!$B$1:$BI$1,0))/(INDEX(요약_월별시즈널리티!$F$7:$F$18,MONTH(EDATE($E128,S$1-1)))/100))),"")</f>
        <v>4786687.051044968</v>
      </c>
      <c r="T128" cm="1">
        <f t="array" ref="T128">IFERROR(IF($E128&lt;44348,"",IF(INDEX(Raw_매출!$B$2:$BI$155,MATCH($A128,Raw_매출!$A$2:$A$155,0),MATCH(EDATE($E128,T$1-1),Raw_매출!$B$1:$BI$1,0))=0,"",INDEX(Raw_매출!$B$2:$BI$155,MATCH($A128,Raw_매출!$A$2:$A$155,0),MATCH(EDATE($E128,T$1-1),Raw_매출!$B$1:$BI$1,0))/(INDEX(요약_월별시즈널리티!$F$7:$F$18,MONTH(EDATE($E128,T$1-1)))/100))),"")</f>
        <v>4142844.8705868972</v>
      </c>
      <c r="U128" cm="1">
        <f t="array" ref="U128">IFERROR(IF($E128&lt;44348,"",IF(INDEX(Raw_매출!$B$2:$BI$155,MATCH($A128,Raw_매출!$A$2:$A$155,0),MATCH(EDATE($E128,U$1-1),Raw_매출!$B$1:$BI$1,0))=0,"",INDEX(Raw_매출!$B$2:$BI$155,MATCH($A128,Raw_매출!$A$2:$A$155,0),MATCH(EDATE($E128,U$1-1),Raw_매출!$B$1:$BI$1,0))/(INDEX(요약_월별시즈널리티!$F$7:$F$18,MONTH(EDATE($E128,U$1-1)))/100))),"")</f>
        <v>4807995.2165043568</v>
      </c>
      <c r="V128" cm="1">
        <f t="array" ref="V128">IFERROR(IF($E128&lt;44348,"",IF(INDEX(Raw_매출!$B$2:$BI$155,MATCH($A128,Raw_매출!$A$2:$A$155,0),MATCH(EDATE($E128,V$1-1),Raw_매출!$B$1:$BI$1,0))=0,"",INDEX(Raw_매출!$B$2:$BI$155,MATCH($A128,Raw_매출!$A$2:$A$155,0),MATCH(EDATE($E128,V$1-1),Raw_매출!$B$1:$BI$1,0))/(INDEX(요약_월별시즈널리티!$F$7:$F$18,MONTH(EDATE($E128,V$1-1)))/100))),"")</f>
        <v>5625323.723455416</v>
      </c>
      <c r="W128" cm="1">
        <f t="array" ref="W128">IFERROR(IF($E128&lt;44348,"",IF(INDEX(Raw_매출!$B$2:$BI$155,MATCH($A128,Raw_매출!$A$2:$A$155,0),MATCH(EDATE($E128,W$1-1),Raw_매출!$B$1:$BI$1,0))=0,"",INDEX(Raw_매출!$B$2:$BI$155,MATCH($A128,Raw_매출!$A$2:$A$155,0),MATCH(EDATE($E128,W$1-1),Raw_매출!$B$1:$BI$1,0))/(INDEX(요약_월별시즈널리티!$F$7:$F$18,MONTH(EDATE($E128,W$1-1)))/100))),"")</f>
        <v>4662633.3778183851</v>
      </c>
      <c r="X128" cm="1">
        <f t="array" ref="X128">IFERROR(IF($E128&lt;44348,"",IF(INDEX(Raw_매출!$B$2:$BI$155,MATCH($A128,Raw_매출!$A$2:$A$155,0),MATCH(EDATE($E128,X$1-1),Raw_매출!$B$1:$BI$1,0))=0,"",INDEX(Raw_매출!$B$2:$BI$155,MATCH($A128,Raw_매출!$A$2:$A$155,0),MATCH(EDATE($E128,X$1-1),Raw_매출!$B$1:$BI$1,0))/(INDEX(요약_월별시즈널리티!$F$7:$F$18,MONTH(EDATE($E128,X$1-1)))/100))),"")</f>
        <v>4334795.325674247</v>
      </c>
      <c r="Y128" cm="1">
        <f t="array" ref="Y128">IFERROR(IF($E128&lt;44348,"",IF(INDEX(Raw_매출!$B$2:$BI$155,MATCH($A128,Raw_매출!$A$2:$A$155,0),MATCH(EDATE($E128,Y$1-1),Raw_매출!$B$1:$BI$1,0))=0,"",INDEX(Raw_매출!$B$2:$BI$155,MATCH($A128,Raw_매출!$A$2:$A$155,0),MATCH(EDATE($E128,Y$1-1),Raw_매출!$B$1:$BI$1,0))/(INDEX(요약_월별시즈널리티!$F$7:$F$18,MONTH(EDATE($E128,Y$1-1)))/100))),"")</f>
        <v>5216740.3513013534</v>
      </c>
      <c r="Z128" cm="1">
        <f t="array" ref="Z128">IFERROR(IF($E128&lt;44348,"",IF(INDEX(Raw_매출!$B$2:$BI$155,MATCH($A128,Raw_매출!$A$2:$A$155,0),MATCH(EDATE($E128,Z$1-1),Raw_매출!$B$1:$BI$1,0))=0,"",INDEX(Raw_매출!$B$2:$BI$155,MATCH($A128,Raw_매출!$A$2:$A$155,0),MATCH(EDATE($E128,Z$1-1),Raw_매출!$B$1:$BI$1,0))/(INDEX(요약_월별시즈널리티!$F$7:$F$18,MONTH(EDATE($E128,Z$1-1)))/100))),"")</f>
        <v>5931157.0314285941</v>
      </c>
      <c r="AA128" t="str" cm="1">
        <f t="array" ref="AA128">IFERROR(IF($E128&lt;44348,"",IF(INDEX(Raw_매출!$B$2:$BI$155,MATCH($A128,Raw_매출!$A$2:$A$155,0),MATCH(EDATE($E128,AA$1-1),Raw_매출!$B$1:$BI$1,0))=0,"",INDEX(Raw_매출!$B$2:$BI$155,MATCH($A128,Raw_매출!$A$2:$A$155,0),MATCH(EDATE($E128,AA$1-1),Raw_매출!$B$1:$BI$1,0))/(INDEX(요약_월별시즈널리티!$F$7:$F$18,MONTH(EDATE($E128,AA$1-1)))/100))),"")</f>
        <v/>
      </c>
      <c r="AB128" t="str" cm="1">
        <f t="array" ref="AB128">IFERROR(IF($E128&lt;44348,"",IF(INDEX(Raw_매출!$B$2:$BI$155,MATCH($A128,Raw_매출!$A$2:$A$155,0),MATCH(EDATE($E128,AB$1-1),Raw_매출!$B$1:$BI$1,0))=0,"",INDEX(Raw_매출!$B$2:$BI$155,MATCH($A128,Raw_매출!$A$2:$A$155,0),MATCH(EDATE($E128,AB$1-1),Raw_매출!$B$1:$BI$1,0))/(INDEX(요약_월별시즈널리티!$F$7:$F$18,MONTH(EDATE($E128,AB$1-1)))/100))),"")</f>
        <v/>
      </c>
      <c r="AC128" t="str" cm="1">
        <f t="array" ref="AC128">IFERROR(IF($E128&lt;44348,"",IF(INDEX(Raw_매출!$B$2:$BI$155,MATCH($A128,Raw_매출!$A$2:$A$155,0),MATCH(EDATE($E128,AC$1-1),Raw_매출!$B$1:$BI$1,0))=0,"",INDEX(Raw_매출!$B$2:$BI$155,MATCH($A128,Raw_매출!$A$2:$A$155,0),MATCH(EDATE($E128,AC$1-1),Raw_매출!$B$1:$BI$1,0))/(INDEX(요약_월별시즈널리티!$F$7:$F$18,MONTH(EDATE($E128,AC$1-1)))/100))),"")</f>
        <v/>
      </c>
      <c r="AD128" t="str" cm="1">
        <f t="array" ref="AD128">IFERROR(IF($E128&lt;44348,"",IF(INDEX(Raw_매출!$B$2:$BI$155,MATCH($A128,Raw_매출!$A$2:$A$155,0),MATCH(EDATE($E128,AD$1-1),Raw_매출!$B$1:$BI$1,0))=0,"",INDEX(Raw_매출!$B$2:$BI$155,MATCH($A128,Raw_매출!$A$2:$A$155,0),MATCH(EDATE($E128,AD$1-1),Raw_매출!$B$1:$BI$1,0))/(INDEX(요약_월별시즈널리티!$F$7:$F$18,MONTH(EDATE($E128,AD$1-1)))/100))),"")</f>
        <v/>
      </c>
      <c r="AE128" t="str" cm="1">
        <f t="array" ref="AE128">IFERROR(IF($E128&lt;44348,"",IF(INDEX(Raw_매출!$B$2:$BI$155,MATCH($A128,Raw_매출!$A$2:$A$155,0),MATCH(EDATE($E128,AE$1-1),Raw_매출!$B$1:$BI$1,0))=0,"",INDEX(Raw_매출!$B$2:$BI$155,MATCH($A128,Raw_매출!$A$2:$A$155,0),MATCH(EDATE($E128,AE$1-1),Raw_매출!$B$1:$BI$1,0))/(INDEX(요약_월별시즈널리티!$F$7:$F$18,MONTH(EDATE($E128,AE$1-1)))/100))),"")</f>
        <v/>
      </c>
      <c r="AF128" t="str" cm="1">
        <f t="array" ref="AF128">IFERROR(IF($E128&lt;44348,"",IF(INDEX(Raw_매출!$B$2:$BI$155,MATCH($A128,Raw_매출!$A$2:$A$155,0),MATCH(EDATE($E128,AF$1-1),Raw_매출!$B$1:$BI$1,0))=0,"",INDEX(Raw_매출!$B$2:$BI$155,MATCH($A128,Raw_매출!$A$2:$A$155,0),MATCH(EDATE($E128,AF$1-1),Raw_매출!$B$1:$BI$1,0))/(INDEX(요약_월별시즈널리티!$F$7:$F$18,MONTH(EDATE($E128,AF$1-1)))/100))),"")</f>
        <v/>
      </c>
      <c r="AG128" t="str" cm="1">
        <f t="array" ref="AG128">IFERROR(IF($E128&lt;44348,"",IF(INDEX(Raw_매출!$B$2:$BI$155,MATCH($A128,Raw_매출!$A$2:$A$155,0),MATCH(EDATE($E128,AG$1-1),Raw_매출!$B$1:$BI$1,0))=0,"",INDEX(Raw_매출!$B$2:$BI$155,MATCH($A128,Raw_매출!$A$2:$A$155,0),MATCH(EDATE($E128,AG$1-1),Raw_매출!$B$1:$BI$1,0))/(INDEX(요약_월별시즈널리티!$F$7:$F$18,MONTH(EDATE($E128,AG$1-1)))/100))),"")</f>
        <v/>
      </c>
      <c r="AH128" t="str" cm="1">
        <f t="array" ref="AH128">IFERROR(IF($E128&lt;44348,"",IF(INDEX(Raw_매출!$B$2:$BI$155,MATCH($A128,Raw_매출!$A$2:$A$155,0),MATCH(EDATE($E128,AH$1-1),Raw_매출!$B$1:$BI$1,0))=0,"",INDEX(Raw_매출!$B$2:$BI$155,MATCH($A128,Raw_매출!$A$2:$A$155,0),MATCH(EDATE($E128,AH$1-1),Raw_매출!$B$1:$BI$1,0))/(INDEX(요약_월별시즈널리티!$F$7:$F$18,MONTH(EDATE($E128,AH$1-1)))/100))),"")</f>
        <v/>
      </c>
      <c r="AI128" t="str" cm="1">
        <f t="array" ref="AI128">IFERROR(IF($E128&lt;44348,"",IF(INDEX(Raw_매출!$B$2:$BI$155,MATCH($A128,Raw_매출!$A$2:$A$155,0),MATCH(EDATE($E128,AI$1-1),Raw_매출!$B$1:$BI$1,0))=0,"",INDEX(Raw_매출!$B$2:$BI$155,MATCH($A128,Raw_매출!$A$2:$A$155,0),MATCH(EDATE($E128,AI$1-1),Raw_매출!$B$1:$BI$1,0))/(INDEX(요약_월별시즈널리티!$F$7:$F$18,MONTH(EDATE($E128,AI$1-1)))/100))),"")</f>
        <v/>
      </c>
      <c r="AJ128" t="str" cm="1">
        <f t="array" ref="AJ128">IFERROR(IF($E128&lt;44348,"",IF(INDEX(Raw_매출!$B$2:$BI$155,MATCH($A128,Raw_매출!$A$2:$A$155,0),MATCH(EDATE($E128,AJ$1-1),Raw_매출!$B$1:$BI$1,0))=0,"",INDEX(Raw_매출!$B$2:$BI$155,MATCH($A128,Raw_매출!$A$2:$A$155,0),MATCH(EDATE($E128,AJ$1-1),Raw_매출!$B$1:$BI$1,0))/(INDEX(요약_월별시즈널리티!$F$7:$F$18,MONTH(EDATE($E128,AJ$1-1)))/100))),"")</f>
        <v/>
      </c>
      <c r="AK128" t="str" cm="1">
        <f t="array" ref="AK128">IFERROR(IF($E128&lt;44348,"",IF(INDEX(Raw_매출!$B$2:$BI$155,MATCH($A128,Raw_매출!$A$2:$A$155,0),MATCH(EDATE($E128,AK$1-1),Raw_매출!$B$1:$BI$1,0))=0,"",INDEX(Raw_매출!$B$2:$BI$155,MATCH($A128,Raw_매출!$A$2:$A$155,0),MATCH(EDATE($E128,AK$1-1),Raw_매출!$B$1:$BI$1,0))/(INDEX(요약_월별시즈널리티!$F$7:$F$18,MONTH(EDATE($E128,AK$1-1)))/100))),"")</f>
        <v/>
      </c>
      <c r="AL128" t="str" cm="1">
        <f t="array" ref="AL128">IFERROR(IF($E128&lt;44348,"",IF(INDEX(Raw_매출!$B$2:$BI$155,MATCH($A128,Raw_매출!$A$2:$A$155,0),MATCH(EDATE($E128,AL$1-1),Raw_매출!$B$1:$BI$1,0))=0,"",INDEX(Raw_매출!$B$2:$BI$155,MATCH($A128,Raw_매출!$A$2:$A$155,0),MATCH(EDATE($E128,AL$1-1),Raw_매출!$B$1:$BI$1,0))/(INDEX(요약_월별시즈널리티!$F$7:$F$18,MONTH(EDATE($E128,AL$1-1)))/100))),"")</f>
        <v/>
      </c>
      <c r="AM128" t="str" cm="1">
        <f t="array" ref="AM128">IFERROR(IF($E128&lt;44348,"",IF(INDEX(Raw_매출!$B$2:$BI$155,MATCH($A128,Raw_매출!$A$2:$A$155,0),MATCH(EDATE($E128,AM$1-1),Raw_매출!$B$1:$BI$1,0))=0,"",INDEX(Raw_매출!$B$2:$BI$155,MATCH($A128,Raw_매출!$A$2:$A$155,0),MATCH(EDATE($E128,AM$1-1),Raw_매출!$B$1:$BI$1,0))/(INDEX(요약_월별시즈널리티!$F$7:$F$18,MONTH(EDATE($E128,AM$1-1)))/100))),"")</f>
        <v/>
      </c>
      <c r="AN128" t="str" cm="1">
        <f t="array" ref="AN128">IFERROR(IF($E128&lt;44348,"",IF(INDEX(Raw_매출!$B$2:$BI$155,MATCH($A128,Raw_매출!$A$2:$A$155,0),MATCH(EDATE($E128,AN$1-1),Raw_매출!$B$1:$BI$1,0))=0,"",INDEX(Raw_매출!$B$2:$BI$155,MATCH($A128,Raw_매출!$A$2:$A$155,0),MATCH(EDATE($E128,AN$1-1),Raw_매출!$B$1:$BI$1,0))/(INDEX(요약_월별시즈널리티!$F$7:$F$18,MONTH(EDATE($E128,AN$1-1)))/100))),"")</f>
        <v/>
      </c>
      <c r="AO128" t="str" cm="1">
        <f t="array" ref="AO128">IFERROR(IF($E128&lt;44348,"",IF(INDEX(Raw_매출!$B$2:$BI$155,MATCH($A128,Raw_매출!$A$2:$A$155,0),MATCH(EDATE($E128,AO$1-1),Raw_매출!$B$1:$BI$1,0))=0,"",INDEX(Raw_매출!$B$2:$BI$155,MATCH($A128,Raw_매출!$A$2:$A$155,0),MATCH(EDATE($E128,AO$1-1),Raw_매출!$B$1:$BI$1,0))/(INDEX(요약_월별시즈널리티!$F$7:$F$18,MONTH(EDATE($E128,AO$1-1)))/100))),"")</f>
        <v/>
      </c>
      <c r="AP128" t="str" cm="1">
        <f t="array" ref="AP128">IFERROR(IF($E128&lt;44348,"",IF(INDEX(Raw_매출!$B$2:$BI$155,MATCH($A128,Raw_매출!$A$2:$A$155,0),MATCH(EDATE($E128,AP$1-1),Raw_매출!$B$1:$BI$1,0))=0,"",INDEX(Raw_매출!$B$2:$BI$155,MATCH($A128,Raw_매출!$A$2:$A$155,0),MATCH(EDATE($E128,AP$1-1),Raw_매출!$B$1:$BI$1,0))/(INDEX(요약_월별시즈널리티!$F$7:$F$18,MONTH(EDATE($E128,AP$1-1)))/100))),"")</f>
        <v/>
      </c>
      <c r="AQ128" t="str" cm="1">
        <f t="array" ref="AQ128">IFERROR(IF($E128&lt;44348,"",IF(INDEX(Raw_매출!$B$2:$BI$155,MATCH($A128,Raw_매출!$A$2:$A$155,0),MATCH(EDATE($E128,AQ$1-1),Raw_매출!$B$1:$BI$1,0))=0,"",INDEX(Raw_매출!$B$2:$BI$155,MATCH($A128,Raw_매출!$A$2:$A$155,0),MATCH(EDATE($E128,AQ$1-1),Raw_매출!$B$1:$BI$1,0))/(INDEX(요약_월별시즈널리티!$F$7:$F$18,MONTH(EDATE($E128,AQ$1-1)))/100))),"")</f>
        <v/>
      </c>
      <c r="AR128" t="str" cm="1">
        <f t="array" ref="AR128">IFERROR(IF($E128&lt;44348,"",IF(INDEX(Raw_매출!$B$2:$BI$155,MATCH($A128,Raw_매출!$A$2:$A$155,0),MATCH(EDATE($E128,AR$1-1),Raw_매출!$B$1:$BI$1,0))=0,"",INDEX(Raw_매출!$B$2:$BI$155,MATCH($A128,Raw_매출!$A$2:$A$155,0),MATCH(EDATE($E128,AR$1-1),Raw_매출!$B$1:$BI$1,0))/(INDEX(요약_월별시즈널리티!$F$7:$F$18,MONTH(EDATE($E128,AR$1-1)))/100))),"")</f>
        <v/>
      </c>
      <c r="AS128" t="str" cm="1">
        <f t="array" ref="AS128">IFERROR(IF($E128&lt;44348,"",IF(INDEX(Raw_매출!$B$2:$BI$155,MATCH($A128,Raw_매출!$A$2:$A$155,0),MATCH(EDATE($E128,AS$1-1),Raw_매출!$B$1:$BI$1,0))=0,"",INDEX(Raw_매출!$B$2:$BI$155,MATCH($A128,Raw_매출!$A$2:$A$155,0),MATCH(EDATE($E128,AS$1-1),Raw_매출!$B$1:$BI$1,0))/(INDEX(요약_월별시즈널리티!$F$7:$F$18,MONTH(EDATE($E128,AS$1-1)))/100))),"")</f>
        <v/>
      </c>
      <c r="AT128" t="str" cm="1">
        <f t="array" ref="AT128">IFERROR(IF($E128&lt;44348,"",IF(INDEX(Raw_매출!$B$2:$BI$155,MATCH($A128,Raw_매출!$A$2:$A$155,0),MATCH(EDATE($E128,AT$1-1),Raw_매출!$B$1:$BI$1,0))=0,"",INDEX(Raw_매출!$B$2:$BI$155,MATCH($A128,Raw_매출!$A$2:$A$155,0),MATCH(EDATE($E128,AT$1-1),Raw_매출!$B$1:$BI$1,0))/(INDEX(요약_월별시즈널리티!$F$7:$F$18,MONTH(EDATE($E128,AT$1-1)))/100))),"")</f>
        <v/>
      </c>
      <c r="AU128" t="str" cm="1">
        <f t="array" ref="AU128">IFERROR(IF($E128&lt;44348,"",IF(INDEX(Raw_매출!$B$2:$BI$155,MATCH($A128,Raw_매출!$A$2:$A$155,0),MATCH(EDATE($E128,AU$1-1),Raw_매출!$B$1:$BI$1,0))=0,"",INDEX(Raw_매출!$B$2:$BI$155,MATCH($A128,Raw_매출!$A$2:$A$155,0),MATCH(EDATE($E128,AU$1-1),Raw_매출!$B$1:$BI$1,0))/(INDEX(요약_월별시즈널리티!$F$7:$F$18,MONTH(EDATE($E128,AU$1-1)))/100))),"")</f>
        <v/>
      </c>
      <c r="AV128" t="str" cm="1">
        <f t="array" ref="AV128">IFERROR(IF($E128&lt;44348,"",IF(INDEX(Raw_매출!$B$2:$BI$155,MATCH($A128,Raw_매출!$A$2:$A$155,0),MATCH(EDATE($E128,AV$1-1),Raw_매출!$B$1:$BI$1,0))=0,"",INDEX(Raw_매출!$B$2:$BI$155,MATCH($A128,Raw_매출!$A$2:$A$155,0),MATCH(EDATE($E128,AV$1-1),Raw_매출!$B$1:$BI$1,0))/(INDEX(요약_월별시즈널리티!$F$7:$F$18,MONTH(EDATE($E128,AV$1-1)))/100))),"")</f>
        <v/>
      </c>
      <c r="AW128" t="str" cm="1">
        <f t="array" ref="AW128">IFERROR(IF($E128&lt;44348,"",IF(INDEX(Raw_매출!$B$2:$BI$155,MATCH($A128,Raw_매출!$A$2:$A$155,0),MATCH(EDATE($E128,AW$1-1),Raw_매출!$B$1:$BI$1,0))=0,"",INDEX(Raw_매출!$B$2:$BI$155,MATCH($A128,Raw_매출!$A$2:$A$155,0),MATCH(EDATE($E128,AW$1-1),Raw_매출!$B$1:$BI$1,0))/(INDEX(요약_월별시즈널리티!$F$7:$F$18,MONTH(EDATE($E128,AW$1-1)))/100))),"")</f>
        <v/>
      </c>
      <c r="AX128" t="str" cm="1">
        <f t="array" ref="AX128">IFERROR(IF($E128&lt;44348,"",IF(INDEX(Raw_매출!$B$2:$BI$155,MATCH($A128,Raw_매출!$A$2:$A$155,0),MATCH(EDATE($E128,AX$1-1),Raw_매출!$B$1:$BI$1,0))=0,"",INDEX(Raw_매출!$B$2:$BI$155,MATCH($A128,Raw_매출!$A$2:$A$155,0),MATCH(EDATE($E128,AX$1-1),Raw_매출!$B$1:$BI$1,0))/(INDEX(요약_월별시즈널리티!$F$7:$F$18,MONTH(EDATE($E128,AX$1-1)))/100))),"")</f>
        <v/>
      </c>
      <c r="AY128" t="str" cm="1">
        <f t="array" ref="AY128">IFERROR(IF($E128&lt;44348,"",IF(INDEX(Raw_매출!$B$2:$BI$155,MATCH($A128,Raw_매출!$A$2:$A$155,0),MATCH(EDATE($E128,AY$1-1),Raw_매출!$B$1:$BI$1,0))=0,"",INDEX(Raw_매출!$B$2:$BI$155,MATCH($A128,Raw_매출!$A$2:$A$155,0),MATCH(EDATE($E128,AY$1-1),Raw_매출!$B$1:$BI$1,0))/(INDEX(요약_월별시즈널리티!$F$7:$F$18,MONTH(EDATE($E128,AY$1-1)))/100))),"")</f>
        <v/>
      </c>
      <c r="AZ128" t="str" cm="1">
        <f t="array" ref="AZ128">IFERROR(IF($E128&lt;44348,"",IF(INDEX(Raw_매출!$B$2:$BI$155,MATCH($A128,Raw_매출!$A$2:$A$155,0),MATCH(EDATE($E128,AZ$1-1),Raw_매출!$B$1:$BI$1,0))=0,"",INDEX(Raw_매출!$B$2:$BI$155,MATCH($A128,Raw_매출!$A$2:$A$155,0),MATCH(EDATE($E128,AZ$1-1),Raw_매출!$B$1:$BI$1,0))/(INDEX(요약_월별시즈널리티!$F$7:$F$18,MONTH(EDATE($E128,AZ$1-1)))/100))),"")</f>
        <v/>
      </c>
      <c r="BA128" t="str" cm="1">
        <f t="array" ref="BA128">IFERROR(IF($E128&lt;44348,"",IF(INDEX(Raw_매출!$B$2:$BI$155,MATCH($A128,Raw_매출!$A$2:$A$155,0),MATCH(EDATE($E128,BA$1-1),Raw_매출!$B$1:$BI$1,0))=0,"",INDEX(Raw_매출!$B$2:$BI$155,MATCH($A128,Raw_매출!$A$2:$A$155,0),MATCH(EDATE($E128,BA$1-1),Raw_매출!$B$1:$BI$1,0))/(INDEX(요약_월별시즈널리티!$F$7:$F$18,MONTH(EDATE($E128,BA$1-1)))/100))),"")</f>
        <v/>
      </c>
      <c r="BB128" t="str" cm="1">
        <f t="array" ref="BB128">IFERROR(IF($E128&lt;44348,"",IF(INDEX(Raw_매출!$B$2:$BI$155,MATCH($A128,Raw_매출!$A$2:$A$155,0),MATCH(EDATE($E128,BB$1-1),Raw_매출!$B$1:$BI$1,0))=0,"",INDEX(Raw_매출!$B$2:$BI$155,MATCH($A128,Raw_매출!$A$2:$A$155,0),MATCH(EDATE($E128,BB$1-1),Raw_매출!$B$1:$BI$1,0))/(INDEX(요약_월별시즈널리티!$F$7:$F$18,MONTH(EDATE($E128,BB$1-1)))/100))),"")</f>
        <v/>
      </c>
      <c r="BC128" t="str" cm="1">
        <f t="array" ref="BC128">IFERROR(IF($E128&lt;44348,"",IF(INDEX(Raw_매출!$B$2:$BI$155,MATCH($A128,Raw_매출!$A$2:$A$155,0),MATCH(EDATE($E128,BC$1-1),Raw_매출!$B$1:$BI$1,0))=0,"",INDEX(Raw_매출!$B$2:$BI$155,MATCH($A128,Raw_매출!$A$2:$A$155,0),MATCH(EDATE($E128,BC$1-1),Raw_매출!$B$1:$BI$1,0))/(INDEX(요약_월별시즈널리티!$F$7:$F$18,MONTH(EDATE($E128,BC$1-1)))/100))),"")</f>
        <v/>
      </c>
      <c r="BD128" t="str" cm="1">
        <f t="array" ref="BD128">IFERROR(IF($E128&lt;44348,"",IF(INDEX(Raw_매출!$B$2:$BI$155,MATCH($A128,Raw_매출!$A$2:$A$155,0),MATCH(EDATE($E128,BD$1-1),Raw_매출!$B$1:$BI$1,0))=0,"",INDEX(Raw_매출!$B$2:$BI$155,MATCH($A128,Raw_매출!$A$2:$A$155,0),MATCH(EDATE($E128,BD$1-1),Raw_매출!$B$1:$BI$1,0))/(INDEX(요약_월별시즈널리티!$F$7:$F$18,MONTH(EDATE($E128,BD$1-1)))/100))),"")</f>
        <v/>
      </c>
      <c r="BE128" t="str" cm="1">
        <f t="array" ref="BE128">IFERROR(IF($E128&lt;44348,"",IF(INDEX(Raw_매출!$B$2:$BI$155,MATCH($A128,Raw_매출!$A$2:$A$155,0),MATCH(EDATE($E128,BE$1-1),Raw_매출!$B$1:$BI$1,0))=0,"",INDEX(Raw_매출!$B$2:$BI$155,MATCH($A128,Raw_매출!$A$2:$A$155,0),MATCH(EDATE($E128,BE$1-1),Raw_매출!$B$1:$BI$1,0))/(INDEX(요약_월별시즈널리티!$F$7:$F$18,MONTH(EDATE($E128,BE$1-1)))/100))),"")</f>
        <v/>
      </c>
      <c r="BF128" t="str" cm="1">
        <f t="array" ref="BF128">IFERROR(IF($E128&lt;44348,"",IF(INDEX(Raw_매출!$B$2:$BI$155,MATCH($A128,Raw_매출!$A$2:$A$155,0),MATCH(EDATE($E128,BF$1-1),Raw_매출!$B$1:$BI$1,0))=0,"",INDEX(Raw_매출!$B$2:$BI$155,MATCH($A128,Raw_매출!$A$2:$A$155,0),MATCH(EDATE($E128,BF$1-1),Raw_매출!$B$1:$BI$1,0))/(INDEX(요약_월별시즈널리티!$F$7:$F$18,MONTH(EDATE($E128,BF$1-1)))/100))),"")</f>
        <v/>
      </c>
      <c r="BG128" t="str" cm="1">
        <f t="array" ref="BG128">IFERROR(IF($E128&lt;44348,"",IF(INDEX(Raw_매출!$B$2:$BI$155,MATCH($A128,Raw_매출!$A$2:$A$155,0),MATCH(EDATE($E128,BG$1-1),Raw_매출!$B$1:$BI$1,0))=0,"",INDEX(Raw_매출!$B$2:$BI$155,MATCH($A128,Raw_매출!$A$2:$A$155,0),MATCH(EDATE($E128,BG$1-1),Raw_매출!$B$1:$BI$1,0))/(INDEX(요약_월별시즈널리티!$F$7:$F$18,MONTH(EDATE($E128,BG$1-1)))/100))),"")</f>
        <v/>
      </c>
      <c r="BH128" t="str" cm="1">
        <f t="array" ref="BH128">IFERROR(IF($E128&lt;44348,"",IF(INDEX(Raw_매출!$B$2:$BI$155,MATCH($A128,Raw_매출!$A$2:$A$155,0),MATCH(EDATE($E128,BH$1-1),Raw_매출!$B$1:$BI$1,0))=0,"",INDEX(Raw_매출!$B$2:$BI$155,MATCH($A128,Raw_매출!$A$2:$A$155,0),MATCH(EDATE($E128,BH$1-1),Raw_매출!$B$1:$BI$1,0))/(INDEX(요약_월별시즈널리티!$F$7:$F$18,MONTH(EDATE($E128,BH$1-1)))/100))),"")</f>
        <v/>
      </c>
      <c r="BI128" t="str" cm="1">
        <f t="array" ref="BI128">IFERROR(IF($E128&lt;44348,"",IF(INDEX(Raw_매출!$B$2:$BI$155,MATCH($A128,Raw_매출!$A$2:$A$155,0),MATCH(EDATE($E128,BI$1-1),Raw_매출!$B$1:$BI$1,0))=0,"",INDEX(Raw_매출!$B$2:$BI$155,MATCH($A128,Raw_매출!$A$2:$A$155,0),MATCH(EDATE($E128,BI$1-1),Raw_매출!$B$1:$BI$1,0))/(INDEX(요약_월별시즈널리티!$F$7:$F$18,MONTH(EDATE($E128,BI$1-1)))/100))),"")</f>
        <v/>
      </c>
      <c r="BJ128" t="str" cm="1">
        <f t="array" ref="BJ128">IFERROR(IF($E128&lt;44348,"",IF(INDEX(Raw_매출!$B$2:$BI$155,MATCH($A128,Raw_매출!$A$2:$A$155,0),MATCH(EDATE($E128,BJ$1-1),Raw_매출!$B$1:$BI$1,0))=0,"",INDEX(Raw_매출!$B$2:$BI$155,MATCH($A128,Raw_매출!$A$2:$A$155,0),MATCH(EDATE($E128,BJ$1-1),Raw_매출!$B$1:$BI$1,0))/(INDEX(요약_월별시즈널리티!$F$7:$F$18,MONTH(EDATE($E128,BJ$1-1)))/100))),"")</f>
        <v/>
      </c>
      <c r="BK128" t="str" cm="1">
        <f t="array" ref="BK128">IFERROR(IF($E128&lt;44348,"",IF(INDEX(Raw_매출!$B$2:$BI$155,MATCH($A128,Raw_매출!$A$2:$A$155,0),MATCH(EDATE($E128,BK$1-1),Raw_매출!$B$1:$BI$1,0))=0,"",INDEX(Raw_매출!$B$2:$BI$155,MATCH($A128,Raw_매출!$A$2:$A$155,0),MATCH(EDATE($E128,BK$1-1),Raw_매출!$B$1:$BI$1,0))/(INDEX(요약_월별시즈널리티!$F$7:$F$18,MONTH(EDATE($E128,BK$1-1)))/100))),"")</f>
        <v/>
      </c>
      <c r="BL128" t="str" cm="1">
        <f t="array" ref="BL128">IFERROR(IF($E128&lt;44348,"",IF(INDEX(Raw_매출!$B$2:$BI$155,MATCH($A128,Raw_매출!$A$2:$A$155,0),MATCH(EDATE($E128,BL$1-1),Raw_매출!$B$1:$BI$1,0))=0,"",INDEX(Raw_매출!$B$2:$BI$155,MATCH($A128,Raw_매출!$A$2:$A$155,0),MATCH(EDATE($E128,BL$1-1),Raw_매출!$B$1:$BI$1,0))/(INDEX(요약_월별시즈널리티!$F$7:$F$18,MONTH(EDATE($E128,BL$1-1)))/100))),"")</f>
        <v/>
      </c>
      <c r="BM128" t="str" cm="1">
        <f t="array" ref="BM128">IFERROR(IF($E128&lt;44348,"",IF(INDEX(Raw_매출!$B$2:$BI$155,MATCH($A128,Raw_매출!$A$2:$A$155,0),MATCH(EDATE($E128,BM$1-1),Raw_매출!$B$1:$BI$1,0))=0,"",INDEX(Raw_매출!$B$2:$BI$155,MATCH($A128,Raw_매출!$A$2:$A$155,0),MATCH(EDATE($E128,BM$1-1),Raw_매출!$B$1:$BI$1,0))/(INDEX(요약_월별시즈널리티!$F$7:$F$18,MONTH(EDATE($E128,BM$1-1)))/100))),"")</f>
        <v/>
      </c>
      <c r="BN128" t="str" cm="1">
        <f t="array" ref="BN128">IFERROR(IF($E128&lt;44348,"",IF(INDEX(Raw_매출!$B$2:$BI$155,MATCH($A128,Raw_매출!$A$2:$A$155,0),MATCH(EDATE($E128,BN$1-1),Raw_매출!$B$1:$BI$1,0))=0,"",INDEX(Raw_매출!$B$2:$BI$155,MATCH($A128,Raw_매출!$A$2:$A$155,0),MATCH(EDATE($E128,BN$1-1),Raw_매출!$B$1:$BI$1,0))/(INDEX(요약_월별시즈널리티!$F$7:$F$18,MONTH(EDATE($E128,BN$1-1)))/100))),"")</f>
        <v/>
      </c>
    </row>
    <row r="129" spans="1:66" x14ac:dyDescent="0.4">
      <c r="A129" t="str">
        <f>세팅!A130</f>
        <v>(1120) #대전용문롯데점</v>
      </c>
      <c r="B129" t="str">
        <f>세팅!B130</f>
        <v>150-0</v>
      </c>
      <c r="C129">
        <f t="shared" si="3"/>
        <v>0</v>
      </c>
      <c r="D129" t="str">
        <f t="shared" si="4"/>
        <v>0</v>
      </c>
      <c r="E129" s="1">
        <f>세팅!D130</f>
        <v>45566</v>
      </c>
      <c r="F129">
        <f t="shared" si="5"/>
        <v>5001770.9461452542</v>
      </c>
      <c r="G129" cm="1">
        <f t="array" ref="G129">IFERROR(IF($E129&lt;44348,"",IF(INDEX(Raw_매출!$B$2:$BI$155,MATCH($A129,Raw_매출!$A$2:$A$155,0),MATCH(EDATE($E129,G$1-1),Raw_매출!$B$1:$BI$1,0))=0,"",INDEX(Raw_매출!$B$2:$BI$155,MATCH($A129,Raw_매출!$A$2:$A$155,0),MATCH(EDATE($E129,G$1-1),Raw_매출!$B$1:$BI$1,0))/(INDEX(요약_월별시즈널리티!$F$7:$F$18,MONTH(EDATE($E129,G$1-1)))/100))),"")</f>
        <v>3305934.0216381853</v>
      </c>
      <c r="H129" cm="1">
        <f t="array" ref="H129">IFERROR(IF($E129&lt;44348,"",IF(INDEX(Raw_매출!$B$2:$BI$155,MATCH($A129,Raw_매출!$A$2:$A$155,0),MATCH(EDATE($E129,H$1-1),Raw_매출!$B$1:$BI$1,0))=0,"",INDEX(Raw_매출!$B$2:$BI$155,MATCH($A129,Raw_매출!$A$2:$A$155,0),MATCH(EDATE($E129,H$1-1),Raw_매출!$B$1:$BI$1,0))/(INDEX(요약_월별시즈널리티!$F$7:$F$18,MONTH(EDATE($E129,H$1-1)))/100))),"")</f>
        <v>3878121.6534121521</v>
      </c>
      <c r="I129" cm="1">
        <f t="array" ref="I129">IFERROR(IF($E129&lt;44348,"",IF(INDEX(Raw_매출!$B$2:$BI$155,MATCH($A129,Raw_매출!$A$2:$A$155,0),MATCH(EDATE($E129,I$1-1),Raw_매출!$B$1:$BI$1,0))=0,"",INDEX(Raw_매출!$B$2:$BI$155,MATCH($A129,Raw_매출!$A$2:$A$155,0),MATCH(EDATE($E129,I$1-1),Raw_매출!$B$1:$BI$1,0))/(INDEX(요약_월별시즈널리티!$F$7:$F$18,MONTH(EDATE($E129,I$1-1)))/100))),"")</f>
        <v>4464180.5756457141</v>
      </c>
      <c r="J129" s="30" cm="1">
        <f t="array" ref="J129">IFERROR(IF($E129&lt;44348,"",IF(INDEX(Raw_매출!$B$2:$BI$155,MATCH($A129,Raw_매출!$A$2:$A$155,0),MATCH(EDATE($E129,J$1-1),Raw_매출!$B$1:$BI$1,0))=0,"",INDEX(Raw_매출!$B$2:$BI$155,MATCH($A129,Raw_매출!$A$2:$A$155,0),MATCH(EDATE($E129,J$1-1),Raw_매출!$B$1:$BI$1,0))/(INDEX(요약_월별시즈널리티!$F$7:$F$18,MONTH(EDATE($E129,J$1-1)))/100))),"")</f>
        <v>5583293.7697065705</v>
      </c>
      <c r="K129" s="30" cm="1">
        <f t="array" ref="K129">IFERROR(IF($E129&lt;44348,"",IF(INDEX(Raw_매출!$B$2:$BI$155,MATCH($A129,Raw_매출!$A$2:$A$155,0),MATCH(EDATE($E129,K$1-1),Raw_매출!$B$1:$BI$1,0))=0,"",INDEX(Raw_매출!$B$2:$BI$155,MATCH($A129,Raw_매출!$A$2:$A$155,0),MATCH(EDATE($E129,K$1-1),Raw_매출!$B$1:$BI$1,0))/(INDEX(요약_월별시즈널리티!$F$7:$F$18,MONTH(EDATE($E129,K$1-1)))/100))),"")</f>
        <v>4398811.0191530641</v>
      </c>
      <c r="L129" s="30" cm="1">
        <f t="array" ref="L129">IFERROR(IF($E129&lt;44348,"",IF(INDEX(Raw_매출!$B$2:$BI$155,MATCH($A129,Raw_매출!$A$2:$A$155,0),MATCH(EDATE($E129,L$1-1),Raw_매출!$B$1:$BI$1,0))=0,"",INDEX(Raw_매출!$B$2:$BI$155,MATCH($A129,Raw_매출!$A$2:$A$155,0),MATCH(EDATE($E129,L$1-1),Raw_매출!$B$1:$BI$1,0))/(INDEX(요약_월별시즈널리티!$F$7:$F$18,MONTH(EDATE($E129,L$1-1)))/100))),"")</f>
        <v>4759888.6631486388</v>
      </c>
      <c r="M129" s="30" cm="1">
        <f t="array" ref="M129">IFERROR(IF($E129&lt;44348,"",IF(INDEX(Raw_매출!$B$2:$BI$155,MATCH($A129,Raw_매출!$A$2:$A$155,0),MATCH(EDATE($E129,M$1-1),Raw_매출!$B$1:$BI$1,0))=0,"",INDEX(Raw_매출!$B$2:$BI$155,MATCH($A129,Raw_매출!$A$2:$A$155,0),MATCH(EDATE($E129,M$1-1),Raw_매출!$B$1:$BI$1,0))/(INDEX(요약_월별시즈널리티!$F$7:$F$18,MONTH(EDATE($E129,M$1-1)))/100))),"")</f>
        <v>4823527.5693418765</v>
      </c>
      <c r="N129" s="30" cm="1">
        <f t="array" ref="N129">IFERROR(IF($E129&lt;44348,"",IF(INDEX(Raw_매출!$B$2:$BI$155,MATCH($A129,Raw_매출!$A$2:$A$155,0),MATCH(EDATE($E129,N$1-1),Raw_매출!$B$1:$BI$1,0))=0,"",INDEX(Raw_매출!$B$2:$BI$155,MATCH($A129,Raw_매출!$A$2:$A$155,0),MATCH(EDATE($E129,N$1-1),Raw_매출!$B$1:$BI$1,0))/(INDEX(요약_월별시즈널리티!$F$7:$F$18,MONTH(EDATE($E129,N$1-1)))/100))),"")</f>
        <v>5361234.5564477667</v>
      </c>
      <c r="O129" s="30" cm="1">
        <f t="array" ref="O129">IFERROR(IF($E129&lt;44348,"",IF(INDEX(Raw_매출!$B$2:$BI$155,MATCH($A129,Raw_매출!$A$2:$A$155,0),MATCH(EDATE($E129,O$1-1),Raw_매출!$B$1:$BI$1,0))=0,"",INDEX(Raw_매출!$B$2:$BI$155,MATCH($A129,Raw_매출!$A$2:$A$155,0),MATCH(EDATE($E129,O$1-1),Raw_매출!$B$1:$BI$1,0))/(INDEX(요약_월별시즈널리티!$F$7:$F$18,MONTH(EDATE($E129,O$1-1)))/100))),"")</f>
        <v>5083870.0990736056</v>
      </c>
      <c r="P129" cm="1">
        <f t="array" ref="P129">IFERROR(IF($E129&lt;44348,"",IF(INDEX(Raw_매출!$B$2:$BI$155,MATCH($A129,Raw_매출!$A$2:$A$155,0),MATCH(EDATE($E129,P$1-1),Raw_매출!$B$1:$BI$1,0))=0,"",INDEX(Raw_매출!$B$2:$BI$155,MATCH($A129,Raw_매출!$A$2:$A$155,0),MATCH(EDATE($E129,P$1-1),Raw_매출!$B$1:$BI$1,0))/(INDEX(요약_월별시즈널리티!$F$7:$F$18,MONTH(EDATE($E129,P$1-1)))/100))),"")</f>
        <v>4347276.1915042661</v>
      </c>
      <c r="Q129" cm="1">
        <f t="array" ref="Q129">IFERROR(IF($E129&lt;44348,"",IF(INDEX(Raw_매출!$B$2:$BI$155,MATCH($A129,Raw_매출!$A$2:$A$155,0),MATCH(EDATE($E129,Q$1-1),Raw_매출!$B$1:$BI$1,0))=0,"",INDEX(Raw_매출!$B$2:$BI$155,MATCH($A129,Raw_매출!$A$2:$A$155,0),MATCH(EDATE($E129,Q$1-1),Raw_매출!$B$1:$BI$1,0))/(INDEX(요약_월별시즈널리티!$F$7:$F$18,MONTH(EDATE($E129,Q$1-1)))/100))),"")</f>
        <v>4662609.4883406935</v>
      </c>
      <c r="R129" cm="1">
        <f t="array" ref="R129">IFERROR(IF($E129&lt;44348,"",IF(INDEX(Raw_매출!$B$2:$BI$155,MATCH($A129,Raw_매출!$A$2:$A$155,0),MATCH(EDATE($E129,R$1-1),Raw_매출!$B$1:$BI$1,0))=0,"",INDEX(Raw_매출!$B$2:$BI$155,MATCH($A129,Raw_매출!$A$2:$A$155,0),MATCH(EDATE($E129,R$1-1),Raw_매출!$B$1:$BI$1,0))/(INDEX(요약_월별시즈널리티!$F$7:$F$18,MONTH(EDATE($E129,R$1-1)))/100))),"")</f>
        <v>3806585.7922945204</v>
      </c>
      <c r="S129" cm="1">
        <f t="array" ref="S129">IFERROR(IF($E129&lt;44348,"",IF(INDEX(Raw_매출!$B$2:$BI$155,MATCH($A129,Raw_매출!$A$2:$A$155,0),MATCH(EDATE($E129,S$1-1),Raw_매출!$B$1:$BI$1,0))=0,"",INDEX(Raw_매출!$B$2:$BI$155,MATCH($A129,Raw_매출!$A$2:$A$155,0),MATCH(EDATE($E129,S$1-1),Raw_매출!$B$1:$BI$1,0))/(INDEX(요약_월별시즈널리티!$F$7:$F$18,MONTH(EDATE($E129,S$1-1)))/100))),"")</f>
        <v>4955786.6991419401</v>
      </c>
      <c r="T129" cm="1">
        <f t="array" ref="T129">IFERROR(IF($E129&lt;44348,"",IF(INDEX(Raw_매출!$B$2:$BI$155,MATCH($A129,Raw_매출!$A$2:$A$155,0),MATCH(EDATE($E129,T$1-1),Raw_매출!$B$1:$BI$1,0))=0,"",INDEX(Raw_매출!$B$2:$BI$155,MATCH($A129,Raw_매출!$A$2:$A$155,0),MATCH(EDATE($E129,T$1-1),Raw_매출!$B$1:$BI$1,0))/(INDEX(요약_월별시즈널리티!$F$7:$F$18,MONTH(EDATE($E129,T$1-1)))/100))),"")</f>
        <v>4514298.7720345557</v>
      </c>
      <c r="U129" cm="1">
        <f t="array" ref="U129">IFERROR(IF($E129&lt;44348,"",IF(INDEX(Raw_매출!$B$2:$BI$155,MATCH($A129,Raw_매출!$A$2:$A$155,0),MATCH(EDATE($E129,U$1-1),Raw_매출!$B$1:$BI$1,0))=0,"",INDEX(Raw_매출!$B$2:$BI$155,MATCH($A129,Raw_매출!$A$2:$A$155,0),MATCH(EDATE($E129,U$1-1),Raw_매출!$B$1:$BI$1,0))/(INDEX(요약_월별시즈널리티!$F$7:$F$18,MONTH(EDATE($E129,U$1-1)))/100))),"")</f>
        <v>4507052.1622982258</v>
      </c>
      <c r="V129" cm="1">
        <f t="array" ref="V129">IFERROR(IF($E129&lt;44348,"",IF(INDEX(Raw_매출!$B$2:$BI$155,MATCH($A129,Raw_매출!$A$2:$A$155,0),MATCH(EDATE($E129,V$1-1),Raw_매출!$B$1:$BI$1,0))=0,"",INDEX(Raw_매출!$B$2:$BI$155,MATCH($A129,Raw_매출!$A$2:$A$155,0),MATCH(EDATE($E129,V$1-1),Raw_매출!$B$1:$BI$1,0))/(INDEX(요약_월별시즈널리티!$F$7:$F$18,MONTH(EDATE($E129,V$1-1)))/100))),"")</f>
        <v>5141331.1196219958</v>
      </c>
      <c r="W129" cm="1">
        <f t="array" ref="W129">IFERROR(IF($E129&lt;44348,"",IF(INDEX(Raw_매출!$B$2:$BI$155,MATCH($A129,Raw_매출!$A$2:$A$155,0),MATCH(EDATE($E129,W$1-1),Raw_매출!$B$1:$BI$1,0))=0,"",INDEX(Raw_매출!$B$2:$BI$155,MATCH($A129,Raw_매출!$A$2:$A$155,0),MATCH(EDATE($E129,W$1-1),Raw_매출!$B$1:$BI$1,0))/(INDEX(요약_월별시즈널리티!$F$7:$F$18,MONTH(EDATE($E129,W$1-1)))/100))),"")</f>
        <v>5303497.3589320555</v>
      </c>
      <c r="X129" cm="1">
        <f t="array" ref="X129">IFERROR(IF($E129&lt;44348,"",IF(INDEX(Raw_매출!$B$2:$BI$155,MATCH($A129,Raw_매출!$A$2:$A$155,0),MATCH(EDATE($E129,X$1-1),Raw_매출!$B$1:$BI$1,0))=0,"",INDEX(Raw_매출!$B$2:$BI$155,MATCH($A129,Raw_매출!$A$2:$A$155,0),MATCH(EDATE($E129,X$1-1),Raw_매출!$B$1:$BI$1,0))/(INDEX(요약_월별시즈널리티!$F$7:$F$18,MONTH(EDATE($E129,X$1-1)))/100))),"")</f>
        <v>4983801.8216149481</v>
      </c>
      <c r="Y129" cm="1">
        <f t="array" ref="Y129">IFERROR(IF($E129&lt;44348,"",IF(INDEX(Raw_매출!$B$2:$BI$155,MATCH($A129,Raw_매출!$A$2:$A$155,0),MATCH(EDATE($E129,Y$1-1),Raw_매출!$B$1:$BI$1,0))=0,"",INDEX(Raw_매출!$B$2:$BI$155,MATCH($A129,Raw_매출!$A$2:$A$155,0),MATCH(EDATE($E129,Y$1-1),Raw_매출!$B$1:$BI$1,0))/(INDEX(요약_월별시즈널리티!$F$7:$F$18,MONTH(EDATE($E129,Y$1-1)))/100))),"")</f>
        <v>4603102.5045096185</v>
      </c>
      <c r="Z129" cm="1">
        <f t="array" ref="Z129">IFERROR(IF($E129&lt;44348,"",IF(INDEX(Raw_매출!$B$2:$BI$155,MATCH($A129,Raw_매출!$A$2:$A$155,0),MATCH(EDATE($E129,Z$1-1),Raw_매출!$B$1:$BI$1,0))=0,"",INDEX(Raw_매출!$B$2:$BI$155,MATCH($A129,Raw_매출!$A$2:$A$155,0),MATCH(EDATE($E129,Z$1-1),Raw_매출!$B$1:$BI$1,0))/(INDEX(요약_월별시즈널리티!$F$7:$F$18,MONTH(EDATE($E129,Z$1-1)))/100))),"")</f>
        <v>4560139.0511163529</v>
      </c>
      <c r="AA129" t="str" cm="1">
        <f t="array" ref="AA129">IFERROR(IF($E129&lt;44348,"",IF(INDEX(Raw_매출!$B$2:$BI$155,MATCH($A129,Raw_매출!$A$2:$A$155,0),MATCH(EDATE($E129,AA$1-1),Raw_매출!$B$1:$BI$1,0))=0,"",INDEX(Raw_매출!$B$2:$BI$155,MATCH($A129,Raw_매출!$A$2:$A$155,0),MATCH(EDATE($E129,AA$1-1),Raw_매출!$B$1:$BI$1,0))/(INDEX(요약_월별시즈널리티!$F$7:$F$18,MONTH(EDATE($E129,AA$1-1)))/100))),"")</f>
        <v/>
      </c>
      <c r="AB129" t="str" cm="1">
        <f t="array" ref="AB129">IFERROR(IF($E129&lt;44348,"",IF(INDEX(Raw_매출!$B$2:$BI$155,MATCH($A129,Raw_매출!$A$2:$A$155,0),MATCH(EDATE($E129,AB$1-1),Raw_매출!$B$1:$BI$1,0))=0,"",INDEX(Raw_매출!$B$2:$BI$155,MATCH($A129,Raw_매출!$A$2:$A$155,0),MATCH(EDATE($E129,AB$1-1),Raw_매출!$B$1:$BI$1,0))/(INDEX(요약_월별시즈널리티!$F$7:$F$18,MONTH(EDATE($E129,AB$1-1)))/100))),"")</f>
        <v/>
      </c>
      <c r="AC129" t="str" cm="1">
        <f t="array" ref="AC129">IFERROR(IF($E129&lt;44348,"",IF(INDEX(Raw_매출!$B$2:$BI$155,MATCH($A129,Raw_매출!$A$2:$A$155,0),MATCH(EDATE($E129,AC$1-1),Raw_매출!$B$1:$BI$1,0))=0,"",INDEX(Raw_매출!$B$2:$BI$155,MATCH($A129,Raw_매출!$A$2:$A$155,0),MATCH(EDATE($E129,AC$1-1),Raw_매출!$B$1:$BI$1,0))/(INDEX(요약_월별시즈널리티!$F$7:$F$18,MONTH(EDATE($E129,AC$1-1)))/100))),"")</f>
        <v/>
      </c>
      <c r="AD129" t="str" cm="1">
        <f t="array" ref="AD129">IFERROR(IF($E129&lt;44348,"",IF(INDEX(Raw_매출!$B$2:$BI$155,MATCH($A129,Raw_매출!$A$2:$A$155,0),MATCH(EDATE($E129,AD$1-1),Raw_매출!$B$1:$BI$1,0))=0,"",INDEX(Raw_매출!$B$2:$BI$155,MATCH($A129,Raw_매출!$A$2:$A$155,0),MATCH(EDATE($E129,AD$1-1),Raw_매출!$B$1:$BI$1,0))/(INDEX(요약_월별시즈널리티!$F$7:$F$18,MONTH(EDATE($E129,AD$1-1)))/100))),"")</f>
        <v/>
      </c>
      <c r="AE129" t="str" cm="1">
        <f t="array" ref="AE129">IFERROR(IF($E129&lt;44348,"",IF(INDEX(Raw_매출!$B$2:$BI$155,MATCH($A129,Raw_매출!$A$2:$A$155,0),MATCH(EDATE($E129,AE$1-1),Raw_매출!$B$1:$BI$1,0))=0,"",INDEX(Raw_매출!$B$2:$BI$155,MATCH($A129,Raw_매출!$A$2:$A$155,0),MATCH(EDATE($E129,AE$1-1),Raw_매출!$B$1:$BI$1,0))/(INDEX(요약_월별시즈널리티!$F$7:$F$18,MONTH(EDATE($E129,AE$1-1)))/100))),"")</f>
        <v/>
      </c>
      <c r="AF129" t="str" cm="1">
        <f t="array" ref="AF129">IFERROR(IF($E129&lt;44348,"",IF(INDEX(Raw_매출!$B$2:$BI$155,MATCH($A129,Raw_매출!$A$2:$A$155,0),MATCH(EDATE($E129,AF$1-1),Raw_매출!$B$1:$BI$1,0))=0,"",INDEX(Raw_매출!$B$2:$BI$155,MATCH($A129,Raw_매출!$A$2:$A$155,0),MATCH(EDATE($E129,AF$1-1),Raw_매출!$B$1:$BI$1,0))/(INDEX(요약_월별시즈널리티!$F$7:$F$18,MONTH(EDATE($E129,AF$1-1)))/100))),"")</f>
        <v/>
      </c>
      <c r="AG129" t="str" cm="1">
        <f t="array" ref="AG129">IFERROR(IF($E129&lt;44348,"",IF(INDEX(Raw_매출!$B$2:$BI$155,MATCH($A129,Raw_매출!$A$2:$A$155,0),MATCH(EDATE($E129,AG$1-1),Raw_매출!$B$1:$BI$1,0))=0,"",INDEX(Raw_매출!$B$2:$BI$155,MATCH($A129,Raw_매출!$A$2:$A$155,0),MATCH(EDATE($E129,AG$1-1),Raw_매출!$B$1:$BI$1,0))/(INDEX(요약_월별시즈널리티!$F$7:$F$18,MONTH(EDATE($E129,AG$1-1)))/100))),"")</f>
        <v/>
      </c>
      <c r="AH129" t="str" cm="1">
        <f t="array" ref="AH129">IFERROR(IF($E129&lt;44348,"",IF(INDEX(Raw_매출!$B$2:$BI$155,MATCH($A129,Raw_매출!$A$2:$A$155,0),MATCH(EDATE($E129,AH$1-1),Raw_매출!$B$1:$BI$1,0))=0,"",INDEX(Raw_매출!$B$2:$BI$155,MATCH($A129,Raw_매출!$A$2:$A$155,0),MATCH(EDATE($E129,AH$1-1),Raw_매출!$B$1:$BI$1,0))/(INDEX(요약_월별시즈널리티!$F$7:$F$18,MONTH(EDATE($E129,AH$1-1)))/100))),"")</f>
        <v/>
      </c>
      <c r="AI129" t="str" cm="1">
        <f t="array" ref="AI129">IFERROR(IF($E129&lt;44348,"",IF(INDEX(Raw_매출!$B$2:$BI$155,MATCH($A129,Raw_매출!$A$2:$A$155,0),MATCH(EDATE($E129,AI$1-1),Raw_매출!$B$1:$BI$1,0))=0,"",INDEX(Raw_매출!$B$2:$BI$155,MATCH($A129,Raw_매출!$A$2:$A$155,0),MATCH(EDATE($E129,AI$1-1),Raw_매출!$B$1:$BI$1,0))/(INDEX(요약_월별시즈널리티!$F$7:$F$18,MONTH(EDATE($E129,AI$1-1)))/100))),"")</f>
        <v/>
      </c>
      <c r="AJ129" t="str" cm="1">
        <f t="array" ref="AJ129">IFERROR(IF($E129&lt;44348,"",IF(INDEX(Raw_매출!$B$2:$BI$155,MATCH($A129,Raw_매출!$A$2:$A$155,0),MATCH(EDATE($E129,AJ$1-1),Raw_매출!$B$1:$BI$1,0))=0,"",INDEX(Raw_매출!$B$2:$BI$155,MATCH($A129,Raw_매출!$A$2:$A$155,0),MATCH(EDATE($E129,AJ$1-1),Raw_매출!$B$1:$BI$1,0))/(INDEX(요약_월별시즈널리티!$F$7:$F$18,MONTH(EDATE($E129,AJ$1-1)))/100))),"")</f>
        <v/>
      </c>
      <c r="AK129" t="str" cm="1">
        <f t="array" ref="AK129">IFERROR(IF($E129&lt;44348,"",IF(INDEX(Raw_매출!$B$2:$BI$155,MATCH($A129,Raw_매출!$A$2:$A$155,0),MATCH(EDATE($E129,AK$1-1),Raw_매출!$B$1:$BI$1,0))=0,"",INDEX(Raw_매출!$B$2:$BI$155,MATCH($A129,Raw_매출!$A$2:$A$155,0),MATCH(EDATE($E129,AK$1-1),Raw_매출!$B$1:$BI$1,0))/(INDEX(요약_월별시즈널리티!$F$7:$F$18,MONTH(EDATE($E129,AK$1-1)))/100))),"")</f>
        <v/>
      </c>
      <c r="AL129" t="str" cm="1">
        <f t="array" ref="AL129">IFERROR(IF($E129&lt;44348,"",IF(INDEX(Raw_매출!$B$2:$BI$155,MATCH($A129,Raw_매출!$A$2:$A$155,0),MATCH(EDATE($E129,AL$1-1),Raw_매출!$B$1:$BI$1,0))=0,"",INDEX(Raw_매출!$B$2:$BI$155,MATCH($A129,Raw_매출!$A$2:$A$155,0),MATCH(EDATE($E129,AL$1-1),Raw_매출!$B$1:$BI$1,0))/(INDEX(요약_월별시즈널리티!$F$7:$F$18,MONTH(EDATE($E129,AL$1-1)))/100))),"")</f>
        <v/>
      </c>
      <c r="AM129" t="str" cm="1">
        <f t="array" ref="AM129">IFERROR(IF($E129&lt;44348,"",IF(INDEX(Raw_매출!$B$2:$BI$155,MATCH($A129,Raw_매출!$A$2:$A$155,0),MATCH(EDATE($E129,AM$1-1),Raw_매출!$B$1:$BI$1,0))=0,"",INDEX(Raw_매출!$B$2:$BI$155,MATCH($A129,Raw_매출!$A$2:$A$155,0),MATCH(EDATE($E129,AM$1-1),Raw_매출!$B$1:$BI$1,0))/(INDEX(요약_월별시즈널리티!$F$7:$F$18,MONTH(EDATE($E129,AM$1-1)))/100))),"")</f>
        <v/>
      </c>
      <c r="AN129" t="str" cm="1">
        <f t="array" ref="AN129">IFERROR(IF($E129&lt;44348,"",IF(INDEX(Raw_매출!$B$2:$BI$155,MATCH($A129,Raw_매출!$A$2:$A$155,0),MATCH(EDATE($E129,AN$1-1),Raw_매출!$B$1:$BI$1,0))=0,"",INDEX(Raw_매출!$B$2:$BI$155,MATCH($A129,Raw_매출!$A$2:$A$155,0),MATCH(EDATE($E129,AN$1-1),Raw_매출!$B$1:$BI$1,0))/(INDEX(요약_월별시즈널리티!$F$7:$F$18,MONTH(EDATE($E129,AN$1-1)))/100))),"")</f>
        <v/>
      </c>
      <c r="AO129" t="str" cm="1">
        <f t="array" ref="AO129">IFERROR(IF($E129&lt;44348,"",IF(INDEX(Raw_매출!$B$2:$BI$155,MATCH($A129,Raw_매출!$A$2:$A$155,0),MATCH(EDATE($E129,AO$1-1),Raw_매출!$B$1:$BI$1,0))=0,"",INDEX(Raw_매출!$B$2:$BI$155,MATCH($A129,Raw_매출!$A$2:$A$155,0),MATCH(EDATE($E129,AO$1-1),Raw_매출!$B$1:$BI$1,0))/(INDEX(요약_월별시즈널리티!$F$7:$F$18,MONTH(EDATE($E129,AO$1-1)))/100))),"")</f>
        <v/>
      </c>
      <c r="AP129" t="str" cm="1">
        <f t="array" ref="AP129">IFERROR(IF($E129&lt;44348,"",IF(INDEX(Raw_매출!$B$2:$BI$155,MATCH($A129,Raw_매출!$A$2:$A$155,0),MATCH(EDATE($E129,AP$1-1),Raw_매출!$B$1:$BI$1,0))=0,"",INDEX(Raw_매출!$B$2:$BI$155,MATCH($A129,Raw_매출!$A$2:$A$155,0),MATCH(EDATE($E129,AP$1-1),Raw_매출!$B$1:$BI$1,0))/(INDEX(요약_월별시즈널리티!$F$7:$F$18,MONTH(EDATE($E129,AP$1-1)))/100))),"")</f>
        <v/>
      </c>
      <c r="AQ129" t="str" cm="1">
        <f t="array" ref="AQ129">IFERROR(IF($E129&lt;44348,"",IF(INDEX(Raw_매출!$B$2:$BI$155,MATCH($A129,Raw_매출!$A$2:$A$155,0),MATCH(EDATE($E129,AQ$1-1),Raw_매출!$B$1:$BI$1,0))=0,"",INDEX(Raw_매출!$B$2:$BI$155,MATCH($A129,Raw_매출!$A$2:$A$155,0),MATCH(EDATE($E129,AQ$1-1),Raw_매출!$B$1:$BI$1,0))/(INDEX(요약_월별시즈널리티!$F$7:$F$18,MONTH(EDATE($E129,AQ$1-1)))/100))),"")</f>
        <v/>
      </c>
      <c r="AR129" t="str" cm="1">
        <f t="array" ref="AR129">IFERROR(IF($E129&lt;44348,"",IF(INDEX(Raw_매출!$B$2:$BI$155,MATCH($A129,Raw_매출!$A$2:$A$155,0),MATCH(EDATE($E129,AR$1-1),Raw_매출!$B$1:$BI$1,0))=0,"",INDEX(Raw_매출!$B$2:$BI$155,MATCH($A129,Raw_매출!$A$2:$A$155,0),MATCH(EDATE($E129,AR$1-1),Raw_매출!$B$1:$BI$1,0))/(INDEX(요약_월별시즈널리티!$F$7:$F$18,MONTH(EDATE($E129,AR$1-1)))/100))),"")</f>
        <v/>
      </c>
      <c r="AS129" t="str" cm="1">
        <f t="array" ref="AS129">IFERROR(IF($E129&lt;44348,"",IF(INDEX(Raw_매출!$B$2:$BI$155,MATCH($A129,Raw_매출!$A$2:$A$155,0),MATCH(EDATE($E129,AS$1-1),Raw_매출!$B$1:$BI$1,0))=0,"",INDEX(Raw_매출!$B$2:$BI$155,MATCH($A129,Raw_매출!$A$2:$A$155,0),MATCH(EDATE($E129,AS$1-1),Raw_매출!$B$1:$BI$1,0))/(INDEX(요약_월별시즈널리티!$F$7:$F$18,MONTH(EDATE($E129,AS$1-1)))/100))),"")</f>
        <v/>
      </c>
      <c r="AT129" t="str" cm="1">
        <f t="array" ref="AT129">IFERROR(IF($E129&lt;44348,"",IF(INDEX(Raw_매출!$B$2:$BI$155,MATCH($A129,Raw_매출!$A$2:$A$155,0),MATCH(EDATE($E129,AT$1-1),Raw_매출!$B$1:$BI$1,0))=0,"",INDEX(Raw_매출!$B$2:$BI$155,MATCH($A129,Raw_매출!$A$2:$A$155,0),MATCH(EDATE($E129,AT$1-1),Raw_매출!$B$1:$BI$1,0))/(INDEX(요약_월별시즈널리티!$F$7:$F$18,MONTH(EDATE($E129,AT$1-1)))/100))),"")</f>
        <v/>
      </c>
      <c r="AU129" t="str" cm="1">
        <f t="array" ref="AU129">IFERROR(IF($E129&lt;44348,"",IF(INDEX(Raw_매출!$B$2:$BI$155,MATCH($A129,Raw_매출!$A$2:$A$155,0),MATCH(EDATE($E129,AU$1-1),Raw_매출!$B$1:$BI$1,0))=0,"",INDEX(Raw_매출!$B$2:$BI$155,MATCH($A129,Raw_매출!$A$2:$A$155,0),MATCH(EDATE($E129,AU$1-1),Raw_매출!$B$1:$BI$1,0))/(INDEX(요약_월별시즈널리티!$F$7:$F$18,MONTH(EDATE($E129,AU$1-1)))/100))),"")</f>
        <v/>
      </c>
      <c r="AV129" t="str" cm="1">
        <f t="array" ref="AV129">IFERROR(IF($E129&lt;44348,"",IF(INDEX(Raw_매출!$B$2:$BI$155,MATCH($A129,Raw_매출!$A$2:$A$155,0),MATCH(EDATE($E129,AV$1-1),Raw_매출!$B$1:$BI$1,0))=0,"",INDEX(Raw_매출!$B$2:$BI$155,MATCH($A129,Raw_매출!$A$2:$A$155,0),MATCH(EDATE($E129,AV$1-1),Raw_매출!$B$1:$BI$1,0))/(INDEX(요약_월별시즈널리티!$F$7:$F$18,MONTH(EDATE($E129,AV$1-1)))/100))),"")</f>
        <v/>
      </c>
      <c r="AW129" t="str" cm="1">
        <f t="array" ref="AW129">IFERROR(IF($E129&lt;44348,"",IF(INDEX(Raw_매출!$B$2:$BI$155,MATCH($A129,Raw_매출!$A$2:$A$155,0),MATCH(EDATE($E129,AW$1-1),Raw_매출!$B$1:$BI$1,0))=0,"",INDEX(Raw_매출!$B$2:$BI$155,MATCH($A129,Raw_매출!$A$2:$A$155,0),MATCH(EDATE($E129,AW$1-1),Raw_매출!$B$1:$BI$1,0))/(INDEX(요약_월별시즈널리티!$F$7:$F$18,MONTH(EDATE($E129,AW$1-1)))/100))),"")</f>
        <v/>
      </c>
      <c r="AX129" t="str" cm="1">
        <f t="array" ref="AX129">IFERROR(IF($E129&lt;44348,"",IF(INDEX(Raw_매출!$B$2:$BI$155,MATCH($A129,Raw_매출!$A$2:$A$155,0),MATCH(EDATE($E129,AX$1-1),Raw_매출!$B$1:$BI$1,0))=0,"",INDEX(Raw_매출!$B$2:$BI$155,MATCH($A129,Raw_매출!$A$2:$A$155,0),MATCH(EDATE($E129,AX$1-1),Raw_매출!$B$1:$BI$1,0))/(INDEX(요약_월별시즈널리티!$F$7:$F$18,MONTH(EDATE($E129,AX$1-1)))/100))),"")</f>
        <v/>
      </c>
      <c r="AY129" t="str" cm="1">
        <f t="array" ref="AY129">IFERROR(IF($E129&lt;44348,"",IF(INDEX(Raw_매출!$B$2:$BI$155,MATCH($A129,Raw_매출!$A$2:$A$155,0),MATCH(EDATE($E129,AY$1-1),Raw_매출!$B$1:$BI$1,0))=0,"",INDEX(Raw_매출!$B$2:$BI$155,MATCH($A129,Raw_매출!$A$2:$A$155,0),MATCH(EDATE($E129,AY$1-1),Raw_매출!$B$1:$BI$1,0))/(INDEX(요약_월별시즈널리티!$F$7:$F$18,MONTH(EDATE($E129,AY$1-1)))/100))),"")</f>
        <v/>
      </c>
      <c r="AZ129" t="str" cm="1">
        <f t="array" ref="AZ129">IFERROR(IF($E129&lt;44348,"",IF(INDEX(Raw_매출!$B$2:$BI$155,MATCH($A129,Raw_매출!$A$2:$A$155,0),MATCH(EDATE($E129,AZ$1-1),Raw_매출!$B$1:$BI$1,0))=0,"",INDEX(Raw_매출!$B$2:$BI$155,MATCH($A129,Raw_매출!$A$2:$A$155,0),MATCH(EDATE($E129,AZ$1-1),Raw_매출!$B$1:$BI$1,0))/(INDEX(요약_월별시즈널리티!$F$7:$F$18,MONTH(EDATE($E129,AZ$1-1)))/100))),"")</f>
        <v/>
      </c>
      <c r="BA129" t="str" cm="1">
        <f t="array" ref="BA129">IFERROR(IF($E129&lt;44348,"",IF(INDEX(Raw_매출!$B$2:$BI$155,MATCH($A129,Raw_매출!$A$2:$A$155,0),MATCH(EDATE($E129,BA$1-1),Raw_매출!$B$1:$BI$1,0))=0,"",INDEX(Raw_매출!$B$2:$BI$155,MATCH($A129,Raw_매출!$A$2:$A$155,0),MATCH(EDATE($E129,BA$1-1),Raw_매출!$B$1:$BI$1,0))/(INDEX(요약_월별시즈널리티!$F$7:$F$18,MONTH(EDATE($E129,BA$1-1)))/100))),"")</f>
        <v/>
      </c>
      <c r="BB129" t="str" cm="1">
        <f t="array" ref="BB129">IFERROR(IF($E129&lt;44348,"",IF(INDEX(Raw_매출!$B$2:$BI$155,MATCH($A129,Raw_매출!$A$2:$A$155,0),MATCH(EDATE($E129,BB$1-1),Raw_매출!$B$1:$BI$1,0))=0,"",INDEX(Raw_매출!$B$2:$BI$155,MATCH($A129,Raw_매출!$A$2:$A$155,0),MATCH(EDATE($E129,BB$1-1),Raw_매출!$B$1:$BI$1,0))/(INDEX(요약_월별시즈널리티!$F$7:$F$18,MONTH(EDATE($E129,BB$1-1)))/100))),"")</f>
        <v/>
      </c>
      <c r="BC129" t="str" cm="1">
        <f t="array" ref="BC129">IFERROR(IF($E129&lt;44348,"",IF(INDEX(Raw_매출!$B$2:$BI$155,MATCH($A129,Raw_매출!$A$2:$A$155,0),MATCH(EDATE($E129,BC$1-1),Raw_매출!$B$1:$BI$1,0))=0,"",INDEX(Raw_매출!$B$2:$BI$155,MATCH($A129,Raw_매출!$A$2:$A$155,0),MATCH(EDATE($E129,BC$1-1),Raw_매출!$B$1:$BI$1,0))/(INDEX(요약_월별시즈널리티!$F$7:$F$18,MONTH(EDATE($E129,BC$1-1)))/100))),"")</f>
        <v/>
      </c>
      <c r="BD129" t="str" cm="1">
        <f t="array" ref="BD129">IFERROR(IF($E129&lt;44348,"",IF(INDEX(Raw_매출!$B$2:$BI$155,MATCH($A129,Raw_매출!$A$2:$A$155,0),MATCH(EDATE($E129,BD$1-1),Raw_매출!$B$1:$BI$1,0))=0,"",INDEX(Raw_매출!$B$2:$BI$155,MATCH($A129,Raw_매출!$A$2:$A$155,0),MATCH(EDATE($E129,BD$1-1),Raw_매출!$B$1:$BI$1,0))/(INDEX(요약_월별시즈널리티!$F$7:$F$18,MONTH(EDATE($E129,BD$1-1)))/100))),"")</f>
        <v/>
      </c>
      <c r="BE129" t="str" cm="1">
        <f t="array" ref="BE129">IFERROR(IF($E129&lt;44348,"",IF(INDEX(Raw_매출!$B$2:$BI$155,MATCH($A129,Raw_매출!$A$2:$A$155,0),MATCH(EDATE($E129,BE$1-1),Raw_매출!$B$1:$BI$1,0))=0,"",INDEX(Raw_매출!$B$2:$BI$155,MATCH($A129,Raw_매출!$A$2:$A$155,0),MATCH(EDATE($E129,BE$1-1),Raw_매출!$B$1:$BI$1,0))/(INDEX(요약_월별시즈널리티!$F$7:$F$18,MONTH(EDATE($E129,BE$1-1)))/100))),"")</f>
        <v/>
      </c>
      <c r="BF129" t="str" cm="1">
        <f t="array" ref="BF129">IFERROR(IF($E129&lt;44348,"",IF(INDEX(Raw_매출!$B$2:$BI$155,MATCH($A129,Raw_매출!$A$2:$A$155,0),MATCH(EDATE($E129,BF$1-1),Raw_매출!$B$1:$BI$1,0))=0,"",INDEX(Raw_매출!$B$2:$BI$155,MATCH($A129,Raw_매출!$A$2:$A$155,0),MATCH(EDATE($E129,BF$1-1),Raw_매출!$B$1:$BI$1,0))/(INDEX(요약_월별시즈널리티!$F$7:$F$18,MONTH(EDATE($E129,BF$1-1)))/100))),"")</f>
        <v/>
      </c>
      <c r="BG129" t="str" cm="1">
        <f t="array" ref="BG129">IFERROR(IF($E129&lt;44348,"",IF(INDEX(Raw_매출!$B$2:$BI$155,MATCH($A129,Raw_매출!$A$2:$A$155,0),MATCH(EDATE($E129,BG$1-1),Raw_매출!$B$1:$BI$1,0))=0,"",INDEX(Raw_매출!$B$2:$BI$155,MATCH($A129,Raw_매출!$A$2:$A$155,0),MATCH(EDATE($E129,BG$1-1),Raw_매출!$B$1:$BI$1,0))/(INDEX(요약_월별시즈널리티!$F$7:$F$18,MONTH(EDATE($E129,BG$1-1)))/100))),"")</f>
        <v/>
      </c>
      <c r="BH129" t="str" cm="1">
        <f t="array" ref="BH129">IFERROR(IF($E129&lt;44348,"",IF(INDEX(Raw_매출!$B$2:$BI$155,MATCH($A129,Raw_매출!$A$2:$A$155,0),MATCH(EDATE($E129,BH$1-1),Raw_매출!$B$1:$BI$1,0))=0,"",INDEX(Raw_매출!$B$2:$BI$155,MATCH($A129,Raw_매출!$A$2:$A$155,0),MATCH(EDATE($E129,BH$1-1),Raw_매출!$B$1:$BI$1,0))/(INDEX(요약_월별시즈널리티!$F$7:$F$18,MONTH(EDATE($E129,BH$1-1)))/100))),"")</f>
        <v/>
      </c>
      <c r="BI129" t="str" cm="1">
        <f t="array" ref="BI129">IFERROR(IF($E129&lt;44348,"",IF(INDEX(Raw_매출!$B$2:$BI$155,MATCH($A129,Raw_매출!$A$2:$A$155,0),MATCH(EDATE($E129,BI$1-1),Raw_매출!$B$1:$BI$1,0))=0,"",INDEX(Raw_매출!$B$2:$BI$155,MATCH($A129,Raw_매출!$A$2:$A$155,0),MATCH(EDATE($E129,BI$1-1),Raw_매출!$B$1:$BI$1,0))/(INDEX(요약_월별시즈널리티!$F$7:$F$18,MONTH(EDATE($E129,BI$1-1)))/100))),"")</f>
        <v/>
      </c>
      <c r="BJ129" t="str" cm="1">
        <f t="array" ref="BJ129">IFERROR(IF($E129&lt;44348,"",IF(INDEX(Raw_매출!$B$2:$BI$155,MATCH($A129,Raw_매출!$A$2:$A$155,0),MATCH(EDATE($E129,BJ$1-1),Raw_매출!$B$1:$BI$1,0))=0,"",INDEX(Raw_매출!$B$2:$BI$155,MATCH($A129,Raw_매출!$A$2:$A$155,0),MATCH(EDATE($E129,BJ$1-1),Raw_매출!$B$1:$BI$1,0))/(INDEX(요약_월별시즈널리티!$F$7:$F$18,MONTH(EDATE($E129,BJ$1-1)))/100))),"")</f>
        <v/>
      </c>
      <c r="BK129" t="str" cm="1">
        <f t="array" ref="BK129">IFERROR(IF($E129&lt;44348,"",IF(INDEX(Raw_매출!$B$2:$BI$155,MATCH($A129,Raw_매출!$A$2:$A$155,0),MATCH(EDATE($E129,BK$1-1),Raw_매출!$B$1:$BI$1,0))=0,"",INDEX(Raw_매출!$B$2:$BI$155,MATCH($A129,Raw_매출!$A$2:$A$155,0),MATCH(EDATE($E129,BK$1-1),Raw_매출!$B$1:$BI$1,0))/(INDEX(요약_월별시즈널리티!$F$7:$F$18,MONTH(EDATE($E129,BK$1-1)))/100))),"")</f>
        <v/>
      </c>
      <c r="BL129" t="str" cm="1">
        <f t="array" ref="BL129">IFERROR(IF($E129&lt;44348,"",IF(INDEX(Raw_매출!$B$2:$BI$155,MATCH($A129,Raw_매출!$A$2:$A$155,0),MATCH(EDATE($E129,BL$1-1),Raw_매출!$B$1:$BI$1,0))=0,"",INDEX(Raw_매출!$B$2:$BI$155,MATCH($A129,Raw_매출!$A$2:$A$155,0),MATCH(EDATE($E129,BL$1-1),Raw_매출!$B$1:$BI$1,0))/(INDEX(요약_월별시즈널리티!$F$7:$F$18,MONTH(EDATE($E129,BL$1-1)))/100))),"")</f>
        <v/>
      </c>
      <c r="BM129" t="str" cm="1">
        <f t="array" ref="BM129">IFERROR(IF($E129&lt;44348,"",IF(INDEX(Raw_매출!$B$2:$BI$155,MATCH($A129,Raw_매출!$A$2:$A$155,0),MATCH(EDATE($E129,BM$1-1),Raw_매출!$B$1:$BI$1,0))=0,"",INDEX(Raw_매출!$B$2:$BI$155,MATCH($A129,Raw_매출!$A$2:$A$155,0),MATCH(EDATE($E129,BM$1-1),Raw_매출!$B$1:$BI$1,0))/(INDEX(요약_월별시즈널리티!$F$7:$F$18,MONTH(EDATE($E129,BM$1-1)))/100))),"")</f>
        <v/>
      </c>
      <c r="BN129" t="str" cm="1">
        <f t="array" ref="BN129">IFERROR(IF($E129&lt;44348,"",IF(INDEX(Raw_매출!$B$2:$BI$155,MATCH($A129,Raw_매출!$A$2:$A$155,0),MATCH(EDATE($E129,BN$1-1),Raw_매출!$B$1:$BI$1,0))=0,"",INDEX(Raw_매출!$B$2:$BI$155,MATCH($A129,Raw_매출!$A$2:$A$155,0),MATCH(EDATE($E129,BN$1-1),Raw_매출!$B$1:$BI$1,0))/(INDEX(요약_월별시즈널리티!$F$7:$F$18,MONTH(EDATE($E129,BN$1-1)))/100))),"")</f>
        <v/>
      </c>
    </row>
    <row r="130" spans="1:66" x14ac:dyDescent="0.4">
      <c r="A130" t="str">
        <f>세팅!A131</f>
        <v>(1121) #한강성심병원점</v>
      </c>
      <c r="B130" t="str">
        <f>세팅!B131</f>
        <v>150-1</v>
      </c>
      <c r="C130">
        <f t="shared" si="3"/>
        <v>1</v>
      </c>
      <c r="D130" t="str">
        <f t="shared" si="4"/>
        <v>1</v>
      </c>
      <c r="E130" s="1">
        <f>세팅!D131</f>
        <v>45597</v>
      </c>
      <c r="F130">
        <f t="shared" si="5"/>
        <v>5194132.5790348882</v>
      </c>
      <c r="G130" cm="1">
        <f t="array" ref="G130">IFERROR(IF($E130&lt;44348,"",IF(INDEX(Raw_매출!$B$2:$BI$155,MATCH($A130,Raw_매출!$A$2:$A$155,0),MATCH(EDATE($E130,G$1-1),Raw_매출!$B$1:$BI$1,0))=0,"",INDEX(Raw_매출!$B$2:$BI$155,MATCH($A130,Raw_매출!$A$2:$A$155,0),MATCH(EDATE($E130,G$1-1),Raw_매출!$B$1:$BI$1,0))/(INDEX(요약_월별시즈널리티!$F$7:$F$18,MONTH(EDATE($E130,G$1-1)))/100))),"")</f>
        <v>3667292.0529990443</v>
      </c>
      <c r="H130" cm="1">
        <f t="array" ref="H130">IFERROR(IF($E130&lt;44348,"",IF(INDEX(Raw_매출!$B$2:$BI$155,MATCH($A130,Raw_매출!$A$2:$A$155,0),MATCH(EDATE($E130,H$1-1),Raw_매출!$B$1:$BI$1,0))=0,"",INDEX(Raw_매출!$B$2:$BI$155,MATCH($A130,Raw_매출!$A$2:$A$155,0),MATCH(EDATE($E130,H$1-1),Raw_매출!$B$1:$BI$1,0))/(INDEX(요약_월별시즈널리티!$F$7:$F$18,MONTH(EDATE($E130,H$1-1)))/100))),"")</f>
        <v>4560259.3820308466</v>
      </c>
      <c r="I130" cm="1">
        <f t="array" ref="I130">IFERROR(IF($E130&lt;44348,"",IF(INDEX(Raw_매출!$B$2:$BI$155,MATCH($A130,Raw_매출!$A$2:$A$155,0),MATCH(EDATE($E130,I$1-1),Raw_매출!$B$1:$BI$1,0))=0,"",INDEX(Raw_매출!$B$2:$BI$155,MATCH($A130,Raw_매출!$A$2:$A$155,0),MATCH(EDATE($E130,I$1-1),Raw_매출!$B$1:$BI$1,0))/(INDEX(요약_월별시즈널리티!$F$7:$F$18,MONTH(EDATE($E130,I$1-1)))/100))),"")</f>
        <v>4714308.5471899128</v>
      </c>
      <c r="J130" s="30" cm="1">
        <f t="array" ref="J130">IFERROR(IF($E130&lt;44348,"",IF(INDEX(Raw_매출!$B$2:$BI$155,MATCH($A130,Raw_매출!$A$2:$A$155,0),MATCH(EDATE($E130,J$1-1),Raw_매출!$B$1:$BI$1,0))=0,"",INDEX(Raw_매출!$B$2:$BI$155,MATCH($A130,Raw_매출!$A$2:$A$155,0),MATCH(EDATE($E130,J$1-1),Raw_매출!$B$1:$BI$1,0))/(INDEX(요약_월별시즈널리티!$F$7:$F$18,MONTH(EDATE($E130,J$1-1)))/100))),"")</f>
        <v>4866601.2687287694</v>
      </c>
      <c r="K130" s="30" cm="1">
        <f t="array" ref="K130">IFERROR(IF($E130&lt;44348,"",IF(INDEX(Raw_매출!$B$2:$BI$155,MATCH($A130,Raw_매출!$A$2:$A$155,0),MATCH(EDATE($E130,K$1-1),Raw_매출!$B$1:$BI$1,0))=0,"",INDEX(Raw_매출!$B$2:$BI$155,MATCH($A130,Raw_매출!$A$2:$A$155,0),MATCH(EDATE($E130,K$1-1),Raw_매출!$B$1:$BI$1,0))/(INDEX(요약_월별시즈널리티!$F$7:$F$18,MONTH(EDATE($E130,K$1-1)))/100))),"")</f>
        <v>5186237.5114849163</v>
      </c>
      <c r="L130" s="30" cm="1">
        <f t="array" ref="L130">IFERROR(IF($E130&lt;44348,"",IF(INDEX(Raw_매출!$B$2:$BI$155,MATCH($A130,Raw_매출!$A$2:$A$155,0),MATCH(EDATE($E130,L$1-1),Raw_매출!$B$1:$BI$1,0))=0,"",INDEX(Raw_매출!$B$2:$BI$155,MATCH($A130,Raw_매출!$A$2:$A$155,0),MATCH(EDATE($E130,L$1-1),Raw_매출!$B$1:$BI$1,0))/(INDEX(요약_월별시즈널리티!$F$7:$F$18,MONTH(EDATE($E130,L$1-1)))/100))),"")</f>
        <v>4893061.3094116645</v>
      </c>
      <c r="M130" s="30" cm="1">
        <f t="array" ref="M130">IFERROR(IF($E130&lt;44348,"",IF(INDEX(Raw_매출!$B$2:$BI$155,MATCH($A130,Raw_매출!$A$2:$A$155,0),MATCH(EDATE($E130,M$1-1),Raw_매출!$B$1:$BI$1,0))=0,"",INDEX(Raw_매출!$B$2:$BI$155,MATCH($A130,Raw_매출!$A$2:$A$155,0),MATCH(EDATE($E130,M$1-1),Raw_매출!$B$1:$BI$1,0))/(INDEX(요약_월별시즈널리티!$F$7:$F$18,MONTH(EDATE($E130,M$1-1)))/100))),"")</f>
        <v>5952102.8758322299</v>
      </c>
      <c r="N130" s="30" cm="1">
        <f t="array" ref="N130">IFERROR(IF($E130&lt;44348,"",IF(INDEX(Raw_매출!$B$2:$BI$155,MATCH($A130,Raw_매출!$A$2:$A$155,0),MATCH(EDATE($E130,N$1-1),Raw_매출!$B$1:$BI$1,0))=0,"",INDEX(Raw_매출!$B$2:$BI$155,MATCH($A130,Raw_매출!$A$2:$A$155,0),MATCH(EDATE($E130,N$1-1),Raw_매출!$B$1:$BI$1,0))/(INDEX(요약_월별시즈널리티!$F$7:$F$18,MONTH(EDATE($E130,N$1-1)))/100))),"")</f>
        <v>5453633.3476907397</v>
      </c>
      <c r="O130" s="30" cm="1">
        <f t="array" ref="O130">IFERROR(IF($E130&lt;44348,"",IF(INDEX(Raw_매출!$B$2:$BI$155,MATCH($A130,Raw_매출!$A$2:$A$155,0),MATCH(EDATE($E130,O$1-1),Raw_매출!$B$1:$BI$1,0))=0,"",INDEX(Raw_매출!$B$2:$BI$155,MATCH($A130,Raw_매출!$A$2:$A$155,0),MATCH(EDATE($E130,O$1-1),Raw_매출!$B$1:$BI$1,0))/(INDEX(요약_월별시즈널리티!$F$7:$F$18,MONTH(EDATE($E130,O$1-1)))/100))),"")</f>
        <v>4813159.1610610122</v>
      </c>
      <c r="P130" cm="1">
        <f t="array" ref="P130">IFERROR(IF($E130&lt;44348,"",IF(INDEX(Raw_매출!$B$2:$BI$155,MATCH($A130,Raw_매출!$A$2:$A$155,0),MATCH(EDATE($E130,P$1-1),Raw_매출!$B$1:$BI$1,0))=0,"",INDEX(Raw_매출!$B$2:$BI$155,MATCH($A130,Raw_매출!$A$2:$A$155,0),MATCH(EDATE($E130,P$1-1),Raw_매출!$B$1:$BI$1,0))/(INDEX(요약_월별시즈널리티!$F$7:$F$18,MONTH(EDATE($E130,P$1-1)))/100))),"")</f>
        <v>4781360.7662590332</v>
      </c>
      <c r="Q130" cm="1">
        <f t="array" ref="Q130">IFERROR(IF($E130&lt;44348,"",IF(INDEX(Raw_매출!$B$2:$BI$155,MATCH($A130,Raw_매출!$A$2:$A$155,0),MATCH(EDATE($E130,Q$1-1),Raw_매출!$B$1:$BI$1,0))=0,"",INDEX(Raw_매출!$B$2:$BI$155,MATCH($A130,Raw_매출!$A$2:$A$155,0),MATCH(EDATE($E130,Q$1-1),Raw_매출!$B$1:$BI$1,0))/(INDEX(요약_월별시즈널리티!$F$7:$F$18,MONTH(EDATE($E130,Q$1-1)))/100))),"")</f>
        <v>5014552.977249885</v>
      </c>
      <c r="R130" cm="1">
        <f t="array" ref="R130">IFERROR(IF($E130&lt;44348,"",IF(INDEX(Raw_매출!$B$2:$BI$155,MATCH($A130,Raw_매출!$A$2:$A$155,0),MATCH(EDATE($E130,R$1-1),Raw_매출!$B$1:$BI$1,0))=0,"",INDEX(Raw_매출!$B$2:$BI$155,MATCH($A130,Raw_매출!$A$2:$A$155,0),MATCH(EDATE($E130,R$1-1),Raw_매출!$B$1:$BI$1,0))/(INDEX(요약_월별시즈널리티!$F$7:$F$18,MONTH(EDATE($E130,R$1-1)))/100))),"")</f>
        <v>5694082.6661721682</v>
      </c>
      <c r="S130" cm="1">
        <f t="array" ref="S130">IFERROR(IF($E130&lt;44348,"",IF(INDEX(Raw_매출!$B$2:$BI$155,MATCH($A130,Raw_매출!$A$2:$A$155,0),MATCH(EDATE($E130,S$1-1),Raw_매출!$B$1:$BI$1,0))=0,"",INDEX(Raw_매출!$B$2:$BI$155,MATCH($A130,Raw_매출!$A$2:$A$155,0),MATCH(EDATE($E130,S$1-1),Raw_매출!$B$1:$BI$1,0))/(INDEX(요약_월별시즈널리티!$F$7:$F$18,MONTH(EDATE($E130,S$1-1)))/100))),"")</f>
        <v>5399398.8940422032</v>
      </c>
      <c r="T130" cm="1">
        <f t="array" ref="T130">IFERROR(IF($E130&lt;44348,"",IF(INDEX(Raw_매출!$B$2:$BI$155,MATCH($A130,Raw_매출!$A$2:$A$155,0),MATCH(EDATE($E130,T$1-1),Raw_매출!$B$1:$BI$1,0))=0,"",INDEX(Raw_매출!$B$2:$BI$155,MATCH($A130,Raw_매출!$A$2:$A$155,0),MATCH(EDATE($E130,T$1-1),Raw_매출!$B$1:$BI$1,0))/(INDEX(요약_월별시즈널리티!$F$7:$F$18,MONTH(EDATE($E130,T$1-1)))/100))),"")</f>
        <v>4916587.1067589475</v>
      </c>
      <c r="U130" cm="1">
        <f t="array" ref="U130">IFERROR(IF($E130&lt;44348,"",IF(INDEX(Raw_매출!$B$2:$BI$155,MATCH($A130,Raw_매출!$A$2:$A$155,0),MATCH(EDATE($E130,U$1-1),Raw_매출!$B$1:$BI$1,0))=0,"",INDEX(Raw_매출!$B$2:$BI$155,MATCH($A130,Raw_매출!$A$2:$A$155,0),MATCH(EDATE($E130,U$1-1),Raw_매출!$B$1:$BI$1,0))/(INDEX(요약_월별시즈널리티!$F$7:$F$18,MONTH(EDATE($E130,U$1-1)))/100))),"")</f>
        <v>6070065.6673974022</v>
      </c>
      <c r="V130" cm="1">
        <f t="array" ref="V130">IFERROR(IF($E130&lt;44348,"",IF(INDEX(Raw_매출!$B$2:$BI$155,MATCH($A130,Raw_매출!$A$2:$A$155,0),MATCH(EDATE($E130,V$1-1),Raw_매출!$B$1:$BI$1,0))=0,"",INDEX(Raw_매출!$B$2:$BI$155,MATCH($A130,Raw_매출!$A$2:$A$155,0),MATCH(EDATE($E130,V$1-1),Raw_매출!$B$1:$BI$1,0))/(INDEX(요약_월별시즈널리티!$F$7:$F$18,MONTH(EDATE($E130,V$1-1)))/100))),"")</f>
        <v>5614277.890714135</v>
      </c>
      <c r="W130" cm="1">
        <f t="array" ref="W130">IFERROR(IF($E130&lt;44348,"",IF(INDEX(Raw_매출!$B$2:$BI$155,MATCH($A130,Raw_매출!$A$2:$A$155,0),MATCH(EDATE($E130,W$1-1),Raw_매출!$B$1:$BI$1,0))=0,"",INDEX(Raw_매출!$B$2:$BI$155,MATCH($A130,Raw_매출!$A$2:$A$155,0),MATCH(EDATE($E130,W$1-1),Raw_매출!$B$1:$BI$1,0))/(INDEX(요약_월별시즈널리티!$F$7:$F$18,MONTH(EDATE($E130,W$1-1)))/100))),"")</f>
        <v>5811986.1832628334</v>
      </c>
      <c r="X130" cm="1">
        <f t="array" ref="X130">IFERROR(IF($E130&lt;44348,"",IF(INDEX(Raw_매출!$B$2:$BI$155,MATCH($A130,Raw_매출!$A$2:$A$155,0),MATCH(EDATE($E130,X$1-1),Raw_매출!$B$1:$BI$1,0))=0,"",INDEX(Raw_매출!$B$2:$BI$155,MATCH($A130,Raw_매출!$A$2:$A$155,0),MATCH(EDATE($E130,X$1-1),Raw_매출!$B$1:$BI$1,0))/(INDEX(요약_월별시즈널리티!$F$7:$F$18,MONTH(EDATE($E130,X$1-1)))/100))),"")</f>
        <v>5786429.9728120193</v>
      </c>
      <c r="Y130" cm="1">
        <f t="array" ref="Y130">IFERROR(IF($E130&lt;44348,"",IF(INDEX(Raw_매출!$B$2:$BI$155,MATCH($A130,Raw_매출!$A$2:$A$155,0),MATCH(EDATE($E130,Y$1-1),Raw_매출!$B$1:$BI$1,0))=0,"",INDEX(Raw_매출!$B$2:$BI$155,MATCH($A130,Raw_매출!$A$2:$A$155,0),MATCH(EDATE($E130,Y$1-1),Raw_매출!$B$1:$BI$1,0))/(INDEX(요약_월별시즈널리티!$F$7:$F$18,MONTH(EDATE($E130,Y$1-1)))/100))),"")</f>
        <v>6516796.0076928027</v>
      </c>
      <c r="Z130" t="str" cm="1">
        <f t="array" ref="Z130">IFERROR(IF($E130&lt;44348,"",IF(INDEX(Raw_매출!$B$2:$BI$155,MATCH($A130,Raw_매출!$A$2:$A$155,0),MATCH(EDATE($E130,Z$1-1),Raw_매출!$B$1:$BI$1,0))=0,"",INDEX(Raw_매출!$B$2:$BI$155,MATCH($A130,Raw_매출!$A$2:$A$155,0),MATCH(EDATE($E130,Z$1-1),Raw_매출!$B$1:$BI$1,0))/(INDEX(요약_월별시즈널리티!$F$7:$F$18,MONTH(EDATE($E130,Z$1-1)))/100))),"")</f>
        <v/>
      </c>
      <c r="AA130" t="str" cm="1">
        <f t="array" ref="AA130">IFERROR(IF($E130&lt;44348,"",IF(INDEX(Raw_매출!$B$2:$BI$155,MATCH($A130,Raw_매출!$A$2:$A$155,0),MATCH(EDATE($E130,AA$1-1),Raw_매출!$B$1:$BI$1,0))=0,"",INDEX(Raw_매출!$B$2:$BI$155,MATCH($A130,Raw_매출!$A$2:$A$155,0),MATCH(EDATE($E130,AA$1-1),Raw_매출!$B$1:$BI$1,0))/(INDEX(요약_월별시즈널리티!$F$7:$F$18,MONTH(EDATE($E130,AA$1-1)))/100))),"")</f>
        <v/>
      </c>
      <c r="AB130" t="str" cm="1">
        <f t="array" ref="AB130">IFERROR(IF($E130&lt;44348,"",IF(INDEX(Raw_매출!$B$2:$BI$155,MATCH($A130,Raw_매출!$A$2:$A$155,0),MATCH(EDATE($E130,AB$1-1),Raw_매출!$B$1:$BI$1,0))=0,"",INDEX(Raw_매출!$B$2:$BI$155,MATCH($A130,Raw_매출!$A$2:$A$155,0),MATCH(EDATE($E130,AB$1-1),Raw_매출!$B$1:$BI$1,0))/(INDEX(요약_월별시즈널리티!$F$7:$F$18,MONTH(EDATE($E130,AB$1-1)))/100))),"")</f>
        <v/>
      </c>
      <c r="AC130" t="str" cm="1">
        <f t="array" ref="AC130">IFERROR(IF($E130&lt;44348,"",IF(INDEX(Raw_매출!$B$2:$BI$155,MATCH($A130,Raw_매출!$A$2:$A$155,0),MATCH(EDATE($E130,AC$1-1),Raw_매출!$B$1:$BI$1,0))=0,"",INDEX(Raw_매출!$B$2:$BI$155,MATCH($A130,Raw_매출!$A$2:$A$155,0),MATCH(EDATE($E130,AC$1-1),Raw_매출!$B$1:$BI$1,0))/(INDEX(요약_월별시즈널리티!$F$7:$F$18,MONTH(EDATE($E130,AC$1-1)))/100))),"")</f>
        <v/>
      </c>
      <c r="AD130" t="str" cm="1">
        <f t="array" ref="AD130">IFERROR(IF($E130&lt;44348,"",IF(INDEX(Raw_매출!$B$2:$BI$155,MATCH($A130,Raw_매출!$A$2:$A$155,0),MATCH(EDATE($E130,AD$1-1),Raw_매출!$B$1:$BI$1,0))=0,"",INDEX(Raw_매출!$B$2:$BI$155,MATCH($A130,Raw_매출!$A$2:$A$155,0),MATCH(EDATE($E130,AD$1-1),Raw_매출!$B$1:$BI$1,0))/(INDEX(요약_월별시즈널리티!$F$7:$F$18,MONTH(EDATE($E130,AD$1-1)))/100))),"")</f>
        <v/>
      </c>
      <c r="AE130" t="str" cm="1">
        <f t="array" ref="AE130">IFERROR(IF($E130&lt;44348,"",IF(INDEX(Raw_매출!$B$2:$BI$155,MATCH($A130,Raw_매출!$A$2:$A$155,0),MATCH(EDATE($E130,AE$1-1),Raw_매출!$B$1:$BI$1,0))=0,"",INDEX(Raw_매출!$B$2:$BI$155,MATCH($A130,Raw_매출!$A$2:$A$155,0),MATCH(EDATE($E130,AE$1-1),Raw_매출!$B$1:$BI$1,0))/(INDEX(요약_월별시즈널리티!$F$7:$F$18,MONTH(EDATE($E130,AE$1-1)))/100))),"")</f>
        <v/>
      </c>
      <c r="AF130" t="str" cm="1">
        <f t="array" ref="AF130">IFERROR(IF($E130&lt;44348,"",IF(INDEX(Raw_매출!$B$2:$BI$155,MATCH($A130,Raw_매출!$A$2:$A$155,0),MATCH(EDATE($E130,AF$1-1),Raw_매출!$B$1:$BI$1,0))=0,"",INDEX(Raw_매출!$B$2:$BI$155,MATCH($A130,Raw_매출!$A$2:$A$155,0),MATCH(EDATE($E130,AF$1-1),Raw_매출!$B$1:$BI$1,0))/(INDEX(요약_월별시즈널리티!$F$7:$F$18,MONTH(EDATE($E130,AF$1-1)))/100))),"")</f>
        <v/>
      </c>
      <c r="AG130" t="str" cm="1">
        <f t="array" ref="AG130">IFERROR(IF($E130&lt;44348,"",IF(INDEX(Raw_매출!$B$2:$BI$155,MATCH($A130,Raw_매출!$A$2:$A$155,0),MATCH(EDATE($E130,AG$1-1),Raw_매출!$B$1:$BI$1,0))=0,"",INDEX(Raw_매출!$B$2:$BI$155,MATCH($A130,Raw_매출!$A$2:$A$155,0),MATCH(EDATE($E130,AG$1-1),Raw_매출!$B$1:$BI$1,0))/(INDEX(요약_월별시즈널리티!$F$7:$F$18,MONTH(EDATE($E130,AG$1-1)))/100))),"")</f>
        <v/>
      </c>
      <c r="AH130" t="str" cm="1">
        <f t="array" ref="AH130">IFERROR(IF($E130&lt;44348,"",IF(INDEX(Raw_매출!$B$2:$BI$155,MATCH($A130,Raw_매출!$A$2:$A$155,0),MATCH(EDATE($E130,AH$1-1),Raw_매출!$B$1:$BI$1,0))=0,"",INDEX(Raw_매출!$B$2:$BI$155,MATCH($A130,Raw_매출!$A$2:$A$155,0),MATCH(EDATE($E130,AH$1-1),Raw_매출!$B$1:$BI$1,0))/(INDEX(요약_월별시즈널리티!$F$7:$F$18,MONTH(EDATE($E130,AH$1-1)))/100))),"")</f>
        <v/>
      </c>
      <c r="AI130" t="str" cm="1">
        <f t="array" ref="AI130">IFERROR(IF($E130&lt;44348,"",IF(INDEX(Raw_매출!$B$2:$BI$155,MATCH($A130,Raw_매출!$A$2:$A$155,0),MATCH(EDATE($E130,AI$1-1),Raw_매출!$B$1:$BI$1,0))=0,"",INDEX(Raw_매출!$B$2:$BI$155,MATCH($A130,Raw_매출!$A$2:$A$155,0),MATCH(EDATE($E130,AI$1-1),Raw_매출!$B$1:$BI$1,0))/(INDEX(요약_월별시즈널리티!$F$7:$F$18,MONTH(EDATE($E130,AI$1-1)))/100))),"")</f>
        <v/>
      </c>
      <c r="AJ130" t="str" cm="1">
        <f t="array" ref="AJ130">IFERROR(IF($E130&lt;44348,"",IF(INDEX(Raw_매출!$B$2:$BI$155,MATCH($A130,Raw_매출!$A$2:$A$155,0),MATCH(EDATE($E130,AJ$1-1),Raw_매출!$B$1:$BI$1,0))=0,"",INDEX(Raw_매출!$B$2:$BI$155,MATCH($A130,Raw_매출!$A$2:$A$155,0),MATCH(EDATE($E130,AJ$1-1),Raw_매출!$B$1:$BI$1,0))/(INDEX(요약_월별시즈널리티!$F$7:$F$18,MONTH(EDATE($E130,AJ$1-1)))/100))),"")</f>
        <v/>
      </c>
      <c r="AK130" t="str" cm="1">
        <f t="array" ref="AK130">IFERROR(IF($E130&lt;44348,"",IF(INDEX(Raw_매출!$B$2:$BI$155,MATCH($A130,Raw_매출!$A$2:$A$155,0),MATCH(EDATE($E130,AK$1-1),Raw_매출!$B$1:$BI$1,0))=0,"",INDEX(Raw_매출!$B$2:$BI$155,MATCH($A130,Raw_매출!$A$2:$A$155,0),MATCH(EDATE($E130,AK$1-1),Raw_매출!$B$1:$BI$1,0))/(INDEX(요약_월별시즈널리티!$F$7:$F$18,MONTH(EDATE($E130,AK$1-1)))/100))),"")</f>
        <v/>
      </c>
      <c r="AL130" t="str" cm="1">
        <f t="array" ref="AL130">IFERROR(IF($E130&lt;44348,"",IF(INDEX(Raw_매출!$B$2:$BI$155,MATCH($A130,Raw_매출!$A$2:$A$155,0),MATCH(EDATE($E130,AL$1-1),Raw_매출!$B$1:$BI$1,0))=0,"",INDEX(Raw_매출!$B$2:$BI$155,MATCH($A130,Raw_매출!$A$2:$A$155,0),MATCH(EDATE($E130,AL$1-1),Raw_매출!$B$1:$BI$1,0))/(INDEX(요약_월별시즈널리티!$F$7:$F$18,MONTH(EDATE($E130,AL$1-1)))/100))),"")</f>
        <v/>
      </c>
      <c r="AM130" t="str" cm="1">
        <f t="array" ref="AM130">IFERROR(IF($E130&lt;44348,"",IF(INDEX(Raw_매출!$B$2:$BI$155,MATCH($A130,Raw_매출!$A$2:$A$155,0),MATCH(EDATE($E130,AM$1-1),Raw_매출!$B$1:$BI$1,0))=0,"",INDEX(Raw_매출!$B$2:$BI$155,MATCH($A130,Raw_매출!$A$2:$A$155,0),MATCH(EDATE($E130,AM$1-1),Raw_매출!$B$1:$BI$1,0))/(INDEX(요약_월별시즈널리티!$F$7:$F$18,MONTH(EDATE($E130,AM$1-1)))/100))),"")</f>
        <v/>
      </c>
      <c r="AN130" t="str" cm="1">
        <f t="array" ref="AN130">IFERROR(IF($E130&lt;44348,"",IF(INDEX(Raw_매출!$B$2:$BI$155,MATCH($A130,Raw_매출!$A$2:$A$155,0),MATCH(EDATE($E130,AN$1-1),Raw_매출!$B$1:$BI$1,0))=0,"",INDEX(Raw_매출!$B$2:$BI$155,MATCH($A130,Raw_매출!$A$2:$A$155,0),MATCH(EDATE($E130,AN$1-1),Raw_매출!$B$1:$BI$1,0))/(INDEX(요약_월별시즈널리티!$F$7:$F$18,MONTH(EDATE($E130,AN$1-1)))/100))),"")</f>
        <v/>
      </c>
      <c r="AO130" t="str" cm="1">
        <f t="array" ref="AO130">IFERROR(IF($E130&lt;44348,"",IF(INDEX(Raw_매출!$B$2:$BI$155,MATCH($A130,Raw_매출!$A$2:$A$155,0),MATCH(EDATE($E130,AO$1-1),Raw_매출!$B$1:$BI$1,0))=0,"",INDEX(Raw_매출!$B$2:$BI$155,MATCH($A130,Raw_매출!$A$2:$A$155,0),MATCH(EDATE($E130,AO$1-1),Raw_매출!$B$1:$BI$1,0))/(INDEX(요약_월별시즈널리티!$F$7:$F$18,MONTH(EDATE($E130,AO$1-1)))/100))),"")</f>
        <v/>
      </c>
      <c r="AP130" t="str" cm="1">
        <f t="array" ref="AP130">IFERROR(IF($E130&lt;44348,"",IF(INDEX(Raw_매출!$B$2:$BI$155,MATCH($A130,Raw_매출!$A$2:$A$155,0),MATCH(EDATE($E130,AP$1-1),Raw_매출!$B$1:$BI$1,0))=0,"",INDEX(Raw_매출!$B$2:$BI$155,MATCH($A130,Raw_매출!$A$2:$A$155,0),MATCH(EDATE($E130,AP$1-1),Raw_매출!$B$1:$BI$1,0))/(INDEX(요약_월별시즈널리티!$F$7:$F$18,MONTH(EDATE($E130,AP$1-1)))/100))),"")</f>
        <v/>
      </c>
      <c r="AQ130" t="str" cm="1">
        <f t="array" ref="AQ130">IFERROR(IF($E130&lt;44348,"",IF(INDEX(Raw_매출!$B$2:$BI$155,MATCH($A130,Raw_매출!$A$2:$A$155,0),MATCH(EDATE($E130,AQ$1-1),Raw_매출!$B$1:$BI$1,0))=0,"",INDEX(Raw_매출!$B$2:$BI$155,MATCH($A130,Raw_매출!$A$2:$A$155,0),MATCH(EDATE($E130,AQ$1-1),Raw_매출!$B$1:$BI$1,0))/(INDEX(요약_월별시즈널리티!$F$7:$F$18,MONTH(EDATE($E130,AQ$1-1)))/100))),"")</f>
        <v/>
      </c>
      <c r="AR130" t="str" cm="1">
        <f t="array" ref="AR130">IFERROR(IF($E130&lt;44348,"",IF(INDEX(Raw_매출!$B$2:$BI$155,MATCH($A130,Raw_매출!$A$2:$A$155,0),MATCH(EDATE($E130,AR$1-1),Raw_매출!$B$1:$BI$1,0))=0,"",INDEX(Raw_매출!$B$2:$BI$155,MATCH($A130,Raw_매출!$A$2:$A$155,0),MATCH(EDATE($E130,AR$1-1),Raw_매출!$B$1:$BI$1,0))/(INDEX(요약_월별시즈널리티!$F$7:$F$18,MONTH(EDATE($E130,AR$1-1)))/100))),"")</f>
        <v/>
      </c>
      <c r="AS130" t="str" cm="1">
        <f t="array" ref="AS130">IFERROR(IF($E130&lt;44348,"",IF(INDEX(Raw_매출!$B$2:$BI$155,MATCH($A130,Raw_매출!$A$2:$A$155,0),MATCH(EDATE($E130,AS$1-1),Raw_매출!$B$1:$BI$1,0))=0,"",INDEX(Raw_매출!$B$2:$BI$155,MATCH($A130,Raw_매출!$A$2:$A$155,0),MATCH(EDATE($E130,AS$1-1),Raw_매출!$B$1:$BI$1,0))/(INDEX(요약_월별시즈널리티!$F$7:$F$18,MONTH(EDATE($E130,AS$1-1)))/100))),"")</f>
        <v/>
      </c>
      <c r="AT130" t="str" cm="1">
        <f t="array" ref="AT130">IFERROR(IF($E130&lt;44348,"",IF(INDEX(Raw_매출!$B$2:$BI$155,MATCH($A130,Raw_매출!$A$2:$A$155,0),MATCH(EDATE($E130,AT$1-1),Raw_매출!$B$1:$BI$1,0))=0,"",INDEX(Raw_매출!$B$2:$BI$155,MATCH($A130,Raw_매출!$A$2:$A$155,0),MATCH(EDATE($E130,AT$1-1),Raw_매출!$B$1:$BI$1,0))/(INDEX(요약_월별시즈널리티!$F$7:$F$18,MONTH(EDATE($E130,AT$1-1)))/100))),"")</f>
        <v/>
      </c>
      <c r="AU130" t="str" cm="1">
        <f t="array" ref="AU130">IFERROR(IF($E130&lt;44348,"",IF(INDEX(Raw_매출!$B$2:$BI$155,MATCH($A130,Raw_매출!$A$2:$A$155,0),MATCH(EDATE($E130,AU$1-1),Raw_매출!$B$1:$BI$1,0))=0,"",INDEX(Raw_매출!$B$2:$BI$155,MATCH($A130,Raw_매출!$A$2:$A$155,0),MATCH(EDATE($E130,AU$1-1),Raw_매출!$B$1:$BI$1,0))/(INDEX(요약_월별시즈널리티!$F$7:$F$18,MONTH(EDATE($E130,AU$1-1)))/100))),"")</f>
        <v/>
      </c>
      <c r="AV130" t="str" cm="1">
        <f t="array" ref="AV130">IFERROR(IF($E130&lt;44348,"",IF(INDEX(Raw_매출!$B$2:$BI$155,MATCH($A130,Raw_매출!$A$2:$A$155,0),MATCH(EDATE($E130,AV$1-1),Raw_매출!$B$1:$BI$1,0))=0,"",INDEX(Raw_매출!$B$2:$BI$155,MATCH($A130,Raw_매출!$A$2:$A$155,0),MATCH(EDATE($E130,AV$1-1),Raw_매출!$B$1:$BI$1,0))/(INDEX(요약_월별시즈널리티!$F$7:$F$18,MONTH(EDATE($E130,AV$1-1)))/100))),"")</f>
        <v/>
      </c>
      <c r="AW130" t="str" cm="1">
        <f t="array" ref="AW130">IFERROR(IF($E130&lt;44348,"",IF(INDEX(Raw_매출!$B$2:$BI$155,MATCH($A130,Raw_매출!$A$2:$A$155,0),MATCH(EDATE($E130,AW$1-1),Raw_매출!$B$1:$BI$1,0))=0,"",INDEX(Raw_매출!$B$2:$BI$155,MATCH($A130,Raw_매출!$A$2:$A$155,0),MATCH(EDATE($E130,AW$1-1),Raw_매출!$B$1:$BI$1,0))/(INDEX(요약_월별시즈널리티!$F$7:$F$18,MONTH(EDATE($E130,AW$1-1)))/100))),"")</f>
        <v/>
      </c>
      <c r="AX130" t="str" cm="1">
        <f t="array" ref="AX130">IFERROR(IF($E130&lt;44348,"",IF(INDEX(Raw_매출!$B$2:$BI$155,MATCH($A130,Raw_매출!$A$2:$A$155,0),MATCH(EDATE($E130,AX$1-1),Raw_매출!$B$1:$BI$1,0))=0,"",INDEX(Raw_매출!$B$2:$BI$155,MATCH($A130,Raw_매출!$A$2:$A$155,0),MATCH(EDATE($E130,AX$1-1),Raw_매출!$B$1:$BI$1,0))/(INDEX(요약_월별시즈널리티!$F$7:$F$18,MONTH(EDATE($E130,AX$1-1)))/100))),"")</f>
        <v/>
      </c>
      <c r="AY130" t="str" cm="1">
        <f t="array" ref="AY130">IFERROR(IF($E130&lt;44348,"",IF(INDEX(Raw_매출!$B$2:$BI$155,MATCH($A130,Raw_매출!$A$2:$A$155,0),MATCH(EDATE($E130,AY$1-1),Raw_매출!$B$1:$BI$1,0))=0,"",INDEX(Raw_매출!$B$2:$BI$155,MATCH($A130,Raw_매출!$A$2:$A$155,0),MATCH(EDATE($E130,AY$1-1),Raw_매출!$B$1:$BI$1,0))/(INDEX(요약_월별시즈널리티!$F$7:$F$18,MONTH(EDATE($E130,AY$1-1)))/100))),"")</f>
        <v/>
      </c>
      <c r="AZ130" t="str" cm="1">
        <f t="array" ref="AZ130">IFERROR(IF($E130&lt;44348,"",IF(INDEX(Raw_매출!$B$2:$BI$155,MATCH($A130,Raw_매출!$A$2:$A$155,0),MATCH(EDATE($E130,AZ$1-1),Raw_매출!$B$1:$BI$1,0))=0,"",INDEX(Raw_매출!$B$2:$BI$155,MATCH($A130,Raw_매출!$A$2:$A$155,0),MATCH(EDATE($E130,AZ$1-1),Raw_매출!$B$1:$BI$1,0))/(INDEX(요약_월별시즈널리티!$F$7:$F$18,MONTH(EDATE($E130,AZ$1-1)))/100))),"")</f>
        <v/>
      </c>
      <c r="BA130" t="str" cm="1">
        <f t="array" ref="BA130">IFERROR(IF($E130&lt;44348,"",IF(INDEX(Raw_매출!$B$2:$BI$155,MATCH($A130,Raw_매출!$A$2:$A$155,0),MATCH(EDATE($E130,BA$1-1),Raw_매출!$B$1:$BI$1,0))=0,"",INDEX(Raw_매출!$B$2:$BI$155,MATCH($A130,Raw_매출!$A$2:$A$155,0),MATCH(EDATE($E130,BA$1-1),Raw_매출!$B$1:$BI$1,0))/(INDEX(요약_월별시즈널리티!$F$7:$F$18,MONTH(EDATE($E130,BA$1-1)))/100))),"")</f>
        <v/>
      </c>
      <c r="BB130" t="str" cm="1">
        <f t="array" ref="BB130">IFERROR(IF($E130&lt;44348,"",IF(INDEX(Raw_매출!$B$2:$BI$155,MATCH($A130,Raw_매출!$A$2:$A$155,0),MATCH(EDATE($E130,BB$1-1),Raw_매출!$B$1:$BI$1,0))=0,"",INDEX(Raw_매출!$B$2:$BI$155,MATCH($A130,Raw_매출!$A$2:$A$155,0),MATCH(EDATE($E130,BB$1-1),Raw_매출!$B$1:$BI$1,0))/(INDEX(요약_월별시즈널리티!$F$7:$F$18,MONTH(EDATE($E130,BB$1-1)))/100))),"")</f>
        <v/>
      </c>
      <c r="BC130" t="str" cm="1">
        <f t="array" ref="BC130">IFERROR(IF($E130&lt;44348,"",IF(INDEX(Raw_매출!$B$2:$BI$155,MATCH($A130,Raw_매출!$A$2:$A$155,0),MATCH(EDATE($E130,BC$1-1),Raw_매출!$B$1:$BI$1,0))=0,"",INDEX(Raw_매출!$B$2:$BI$155,MATCH($A130,Raw_매출!$A$2:$A$155,0),MATCH(EDATE($E130,BC$1-1),Raw_매출!$B$1:$BI$1,0))/(INDEX(요약_월별시즈널리티!$F$7:$F$18,MONTH(EDATE($E130,BC$1-1)))/100))),"")</f>
        <v/>
      </c>
      <c r="BD130" t="str" cm="1">
        <f t="array" ref="BD130">IFERROR(IF($E130&lt;44348,"",IF(INDEX(Raw_매출!$B$2:$BI$155,MATCH($A130,Raw_매출!$A$2:$A$155,0),MATCH(EDATE($E130,BD$1-1),Raw_매출!$B$1:$BI$1,0))=0,"",INDEX(Raw_매출!$B$2:$BI$155,MATCH($A130,Raw_매출!$A$2:$A$155,0),MATCH(EDATE($E130,BD$1-1),Raw_매출!$B$1:$BI$1,0))/(INDEX(요약_월별시즈널리티!$F$7:$F$18,MONTH(EDATE($E130,BD$1-1)))/100))),"")</f>
        <v/>
      </c>
      <c r="BE130" t="str" cm="1">
        <f t="array" ref="BE130">IFERROR(IF($E130&lt;44348,"",IF(INDEX(Raw_매출!$B$2:$BI$155,MATCH($A130,Raw_매출!$A$2:$A$155,0),MATCH(EDATE($E130,BE$1-1),Raw_매출!$B$1:$BI$1,0))=0,"",INDEX(Raw_매출!$B$2:$BI$155,MATCH($A130,Raw_매출!$A$2:$A$155,0),MATCH(EDATE($E130,BE$1-1),Raw_매출!$B$1:$BI$1,0))/(INDEX(요약_월별시즈널리티!$F$7:$F$18,MONTH(EDATE($E130,BE$1-1)))/100))),"")</f>
        <v/>
      </c>
      <c r="BF130" t="str" cm="1">
        <f t="array" ref="BF130">IFERROR(IF($E130&lt;44348,"",IF(INDEX(Raw_매출!$B$2:$BI$155,MATCH($A130,Raw_매출!$A$2:$A$155,0),MATCH(EDATE($E130,BF$1-1),Raw_매출!$B$1:$BI$1,0))=0,"",INDEX(Raw_매출!$B$2:$BI$155,MATCH($A130,Raw_매출!$A$2:$A$155,0),MATCH(EDATE($E130,BF$1-1),Raw_매출!$B$1:$BI$1,0))/(INDEX(요약_월별시즈널리티!$F$7:$F$18,MONTH(EDATE($E130,BF$1-1)))/100))),"")</f>
        <v/>
      </c>
      <c r="BG130" t="str" cm="1">
        <f t="array" ref="BG130">IFERROR(IF($E130&lt;44348,"",IF(INDEX(Raw_매출!$B$2:$BI$155,MATCH($A130,Raw_매출!$A$2:$A$155,0),MATCH(EDATE($E130,BG$1-1),Raw_매출!$B$1:$BI$1,0))=0,"",INDEX(Raw_매출!$B$2:$BI$155,MATCH($A130,Raw_매출!$A$2:$A$155,0),MATCH(EDATE($E130,BG$1-1),Raw_매출!$B$1:$BI$1,0))/(INDEX(요약_월별시즈널리티!$F$7:$F$18,MONTH(EDATE($E130,BG$1-1)))/100))),"")</f>
        <v/>
      </c>
      <c r="BH130" t="str" cm="1">
        <f t="array" ref="BH130">IFERROR(IF($E130&lt;44348,"",IF(INDEX(Raw_매출!$B$2:$BI$155,MATCH($A130,Raw_매출!$A$2:$A$155,0),MATCH(EDATE($E130,BH$1-1),Raw_매출!$B$1:$BI$1,0))=0,"",INDEX(Raw_매출!$B$2:$BI$155,MATCH($A130,Raw_매출!$A$2:$A$155,0),MATCH(EDATE($E130,BH$1-1),Raw_매출!$B$1:$BI$1,0))/(INDEX(요약_월별시즈널리티!$F$7:$F$18,MONTH(EDATE($E130,BH$1-1)))/100))),"")</f>
        <v/>
      </c>
      <c r="BI130" t="str" cm="1">
        <f t="array" ref="BI130">IFERROR(IF($E130&lt;44348,"",IF(INDEX(Raw_매출!$B$2:$BI$155,MATCH($A130,Raw_매출!$A$2:$A$155,0),MATCH(EDATE($E130,BI$1-1),Raw_매출!$B$1:$BI$1,0))=0,"",INDEX(Raw_매출!$B$2:$BI$155,MATCH($A130,Raw_매출!$A$2:$A$155,0),MATCH(EDATE($E130,BI$1-1),Raw_매출!$B$1:$BI$1,0))/(INDEX(요약_월별시즈널리티!$F$7:$F$18,MONTH(EDATE($E130,BI$1-1)))/100))),"")</f>
        <v/>
      </c>
      <c r="BJ130" t="str" cm="1">
        <f t="array" ref="BJ130">IFERROR(IF($E130&lt;44348,"",IF(INDEX(Raw_매출!$B$2:$BI$155,MATCH($A130,Raw_매출!$A$2:$A$155,0),MATCH(EDATE($E130,BJ$1-1),Raw_매출!$B$1:$BI$1,0))=0,"",INDEX(Raw_매출!$B$2:$BI$155,MATCH($A130,Raw_매출!$A$2:$A$155,0),MATCH(EDATE($E130,BJ$1-1),Raw_매출!$B$1:$BI$1,0))/(INDEX(요약_월별시즈널리티!$F$7:$F$18,MONTH(EDATE($E130,BJ$1-1)))/100))),"")</f>
        <v/>
      </c>
      <c r="BK130" t="str" cm="1">
        <f t="array" ref="BK130">IFERROR(IF($E130&lt;44348,"",IF(INDEX(Raw_매출!$B$2:$BI$155,MATCH($A130,Raw_매출!$A$2:$A$155,0),MATCH(EDATE($E130,BK$1-1),Raw_매출!$B$1:$BI$1,0))=0,"",INDEX(Raw_매출!$B$2:$BI$155,MATCH($A130,Raw_매출!$A$2:$A$155,0),MATCH(EDATE($E130,BK$1-1),Raw_매출!$B$1:$BI$1,0))/(INDEX(요약_월별시즈널리티!$F$7:$F$18,MONTH(EDATE($E130,BK$1-1)))/100))),"")</f>
        <v/>
      </c>
      <c r="BL130" t="str" cm="1">
        <f t="array" ref="BL130">IFERROR(IF($E130&lt;44348,"",IF(INDEX(Raw_매출!$B$2:$BI$155,MATCH($A130,Raw_매출!$A$2:$A$155,0),MATCH(EDATE($E130,BL$1-1),Raw_매출!$B$1:$BI$1,0))=0,"",INDEX(Raw_매출!$B$2:$BI$155,MATCH($A130,Raw_매출!$A$2:$A$155,0),MATCH(EDATE($E130,BL$1-1),Raw_매출!$B$1:$BI$1,0))/(INDEX(요약_월별시즈널리티!$F$7:$F$18,MONTH(EDATE($E130,BL$1-1)))/100))),"")</f>
        <v/>
      </c>
      <c r="BM130" t="str" cm="1">
        <f t="array" ref="BM130">IFERROR(IF($E130&lt;44348,"",IF(INDEX(Raw_매출!$B$2:$BI$155,MATCH($A130,Raw_매출!$A$2:$A$155,0),MATCH(EDATE($E130,BM$1-1),Raw_매출!$B$1:$BI$1,0))=0,"",INDEX(Raw_매출!$B$2:$BI$155,MATCH($A130,Raw_매출!$A$2:$A$155,0),MATCH(EDATE($E130,BM$1-1),Raw_매출!$B$1:$BI$1,0))/(INDEX(요약_월별시즈널리티!$F$7:$F$18,MONTH(EDATE($E130,BM$1-1)))/100))),"")</f>
        <v/>
      </c>
      <c r="BN130" t="str" cm="1">
        <f t="array" ref="BN130">IFERROR(IF($E130&lt;44348,"",IF(INDEX(Raw_매출!$B$2:$BI$155,MATCH($A130,Raw_매출!$A$2:$A$155,0),MATCH(EDATE($E130,BN$1-1),Raw_매출!$B$1:$BI$1,0))=0,"",INDEX(Raw_매출!$B$2:$BI$155,MATCH($A130,Raw_매출!$A$2:$A$155,0),MATCH(EDATE($E130,BN$1-1),Raw_매출!$B$1:$BI$1,0))/(INDEX(요약_월별시즈널리티!$F$7:$F$18,MONTH(EDATE($E130,BN$1-1)))/100))),"")</f>
        <v/>
      </c>
    </row>
    <row r="131" spans="1:66" x14ac:dyDescent="0.4">
      <c r="A131" t="str">
        <f>세팅!A132</f>
        <v>(1122) #군자용마초교점</v>
      </c>
      <c r="B131" t="str">
        <f>세팅!B132</f>
        <v>150-1</v>
      </c>
      <c r="C131">
        <f t="shared" ref="C131:C150" si="6">IFERROR(VALUE(MID(B131,5,10)),"")</f>
        <v>1</v>
      </c>
      <c r="D131" t="str">
        <f t="shared" ref="D131:D150" si="7">IF(C131="","",IF(C131&gt;=3,"3+",TEXT(C131,"0")))</f>
        <v>1</v>
      </c>
      <c r="E131" s="1">
        <f>세팅!D132</f>
        <v>45597</v>
      </c>
      <c r="F131">
        <f t="shared" ref="F131:F150" si="8">IF(COUNT(J131:O131)&gt;=4,AVERAGE(J131:O131),"")</f>
        <v>2990395.9270917582</v>
      </c>
      <c r="G131" cm="1">
        <f t="array" ref="G131">IFERROR(IF($E131&lt;44348,"",IF(INDEX(Raw_매출!$B$2:$BI$155,MATCH($A131,Raw_매출!$A$2:$A$155,0),MATCH(EDATE($E131,G$1-1),Raw_매출!$B$1:$BI$1,0))=0,"",INDEX(Raw_매출!$B$2:$BI$155,MATCH($A131,Raw_매출!$A$2:$A$155,0),MATCH(EDATE($E131,G$1-1),Raw_매출!$B$1:$BI$1,0))/(INDEX(요약_월별시즈널리티!$F$7:$F$18,MONTH(EDATE($E131,G$1-1)))/100))),"")</f>
        <v>1829395.8170151121</v>
      </c>
      <c r="H131" cm="1">
        <f t="array" ref="H131">IFERROR(IF($E131&lt;44348,"",IF(INDEX(Raw_매출!$B$2:$BI$155,MATCH($A131,Raw_매출!$A$2:$A$155,0),MATCH(EDATE($E131,H$1-1),Raw_매출!$B$1:$BI$1,0))=0,"",INDEX(Raw_매출!$B$2:$BI$155,MATCH($A131,Raw_매출!$A$2:$A$155,0),MATCH(EDATE($E131,H$1-1),Raw_매출!$B$1:$BI$1,0))/(INDEX(요약_월별시즈널리티!$F$7:$F$18,MONTH(EDATE($E131,H$1-1)))/100))),"")</f>
        <v>2246984.0512220026</v>
      </c>
      <c r="I131" cm="1">
        <f t="array" ref="I131">IFERROR(IF($E131&lt;44348,"",IF(INDEX(Raw_매출!$B$2:$BI$155,MATCH($A131,Raw_매출!$A$2:$A$155,0),MATCH(EDATE($E131,I$1-1),Raw_매출!$B$1:$BI$1,0))=0,"",INDEX(Raw_매출!$B$2:$BI$155,MATCH($A131,Raw_매출!$A$2:$A$155,0),MATCH(EDATE($E131,I$1-1),Raw_매출!$B$1:$BI$1,0))/(INDEX(요약_월별시즈널리티!$F$7:$F$18,MONTH(EDATE($E131,I$1-1)))/100))),"")</f>
        <v>3057003.5361288353</v>
      </c>
      <c r="J131" s="30" cm="1">
        <f t="array" ref="J131">IFERROR(IF($E131&lt;44348,"",IF(INDEX(Raw_매출!$B$2:$BI$155,MATCH($A131,Raw_매출!$A$2:$A$155,0),MATCH(EDATE($E131,J$1-1),Raw_매출!$B$1:$BI$1,0))=0,"",INDEX(Raw_매출!$B$2:$BI$155,MATCH($A131,Raw_매출!$A$2:$A$155,0),MATCH(EDATE($E131,J$1-1),Raw_매출!$B$1:$BI$1,0))/(INDEX(요약_월별시즈널리티!$F$7:$F$18,MONTH(EDATE($E131,J$1-1)))/100))),"")</f>
        <v>2935633.2591370186</v>
      </c>
      <c r="K131" s="30" cm="1">
        <f t="array" ref="K131">IFERROR(IF($E131&lt;44348,"",IF(INDEX(Raw_매출!$B$2:$BI$155,MATCH($A131,Raw_매출!$A$2:$A$155,0),MATCH(EDATE($E131,K$1-1),Raw_매출!$B$1:$BI$1,0))=0,"",INDEX(Raw_매출!$B$2:$BI$155,MATCH($A131,Raw_매출!$A$2:$A$155,0),MATCH(EDATE($E131,K$1-1),Raw_매출!$B$1:$BI$1,0))/(INDEX(요약_월별시즈널리티!$F$7:$F$18,MONTH(EDATE($E131,K$1-1)))/100))),"")</f>
        <v>2877939.627619138</v>
      </c>
      <c r="L131" s="30" cm="1">
        <f t="array" ref="L131">IFERROR(IF($E131&lt;44348,"",IF(INDEX(Raw_매출!$B$2:$BI$155,MATCH($A131,Raw_매출!$A$2:$A$155,0),MATCH(EDATE($E131,L$1-1),Raw_매출!$B$1:$BI$1,0))=0,"",INDEX(Raw_매출!$B$2:$BI$155,MATCH($A131,Raw_매출!$A$2:$A$155,0),MATCH(EDATE($E131,L$1-1),Raw_매출!$B$1:$BI$1,0))/(INDEX(요약_월별시즈널리티!$F$7:$F$18,MONTH(EDATE($E131,L$1-1)))/100))),"")</f>
        <v>3028241.0122047178</v>
      </c>
      <c r="M131" s="30" cm="1">
        <f t="array" ref="M131">IFERROR(IF($E131&lt;44348,"",IF(INDEX(Raw_매출!$B$2:$BI$155,MATCH($A131,Raw_매출!$A$2:$A$155,0),MATCH(EDATE($E131,M$1-1),Raw_매출!$B$1:$BI$1,0))=0,"",INDEX(Raw_매출!$B$2:$BI$155,MATCH($A131,Raw_매출!$A$2:$A$155,0),MATCH(EDATE($E131,M$1-1),Raw_매출!$B$1:$BI$1,0))/(INDEX(요약_월별시즈널리티!$F$7:$F$18,MONTH(EDATE($E131,M$1-1)))/100))),"")</f>
        <v>3170253.676751358</v>
      </c>
      <c r="N131" s="30" cm="1">
        <f t="array" ref="N131">IFERROR(IF($E131&lt;44348,"",IF(INDEX(Raw_매출!$B$2:$BI$155,MATCH($A131,Raw_매출!$A$2:$A$155,0),MATCH(EDATE($E131,N$1-1),Raw_매출!$B$1:$BI$1,0))=0,"",INDEX(Raw_매출!$B$2:$BI$155,MATCH($A131,Raw_매출!$A$2:$A$155,0),MATCH(EDATE($E131,N$1-1),Raw_매출!$B$1:$BI$1,0))/(INDEX(요약_월별시즈널리티!$F$7:$F$18,MONTH(EDATE($E131,N$1-1)))/100))),"")</f>
        <v>2960265.8437282336</v>
      </c>
      <c r="O131" s="30" cm="1">
        <f t="array" ref="O131">IFERROR(IF($E131&lt;44348,"",IF(INDEX(Raw_매출!$B$2:$BI$155,MATCH($A131,Raw_매출!$A$2:$A$155,0),MATCH(EDATE($E131,O$1-1),Raw_매출!$B$1:$BI$1,0))=0,"",INDEX(Raw_매출!$B$2:$BI$155,MATCH($A131,Raw_매출!$A$2:$A$155,0),MATCH(EDATE($E131,O$1-1),Raw_매출!$B$1:$BI$1,0))/(INDEX(요약_월별시즈널리티!$F$7:$F$18,MONTH(EDATE($E131,O$1-1)))/100))),"")</f>
        <v>2970042.1431100834</v>
      </c>
      <c r="P131" cm="1">
        <f t="array" ref="P131">IFERROR(IF($E131&lt;44348,"",IF(INDEX(Raw_매출!$B$2:$BI$155,MATCH($A131,Raw_매출!$A$2:$A$155,0),MATCH(EDATE($E131,P$1-1),Raw_매출!$B$1:$BI$1,0))=0,"",INDEX(Raw_매출!$B$2:$BI$155,MATCH($A131,Raw_매출!$A$2:$A$155,0),MATCH(EDATE($E131,P$1-1),Raw_매출!$B$1:$BI$1,0))/(INDEX(요약_월별시즈널리티!$F$7:$F$18,MONTH(EDATE($E131,P$1-1)))/100))),"")</f>
        <v>2997984.688360936</v>
      </c>
      <c r="Q131" cm="1">
        <f t="array" ref="Q131">IFERROR(IF($E131&lt;44348,"",IF(INDEX(Raw_매출!$B$2:$BI$155,MATCH($A131,Raw_매출!$A$2:$A$155,0),MATCH(EDATE($E131,Q$1-1),Raw_매출!$B$1:$BI$1,0))=0,"",INDEX(Raw_매출!$B$2:$BI$155,MATCH($A131,Raw_매출!$A$2:$A$155,0),MATCH(EDATE($E131,Q$1-1),Raw_매출!$B$1:$BI$1,0))/(INDEX(요약_월별시즈널리티!$F$7:$F$18,MONTH(EDATE($E131,Q$1-1)))/100))),"")</f>
        <v>3098371.0095154294</v>
      </c>
      <c r="R131" cm="1">
        <f t="array" ref="R131">IFERROR(IF($E131&lt;44348,"",IF(INDEX(Raw_매출!$B$2:$BI$155,MATCH($A131,Raw_매출!$A$2:$A$155,0),MATCH(EDATE($E131,R$1-1),Raw_매출!$B$1:$BI$1,0))=0,"",INDEX(Raw_매출!$B$2:$BI$155,MATCH($A131,Raw_매출!$A$2:$A$155,0),MATCH(EDATE($E131,R$1-1),Raw_매출!$B$1:$BI$1,0))/(INDEX(요약_월별시즈널리티!$F$7:$F$18,MONTH(EDATE($E131,R$1-1)))/100))),"")</f>
        <v>3540996.979539189</v>
      </c>
      <c r="S131" cm="1">
        <f t="array" ref="S131">IFERROR(IF($E131&lt;44348,"",IF(INDEX(Raw_매출!$B$2:$BI$155,MATCH($A131,Raw_매출!$A$2:$A$155,0),MATCH(EDATE($E131,S$1-1),Raw_매출!$B$1:$BI$1,0))=0,"",INDEX(Raw_매출!$B$2:$BI$155,MATCH($A131,Raw_매출!$A$2:$A$155,0),MATCH(EDATE($E131,S$1-1),Raw_매출!$B$1:$BI$1,0))/(INDEX(요약_월별시즈널리티!$F$7:$F$18,MONTH(EDATE($E131,S$1-1)))/100))),"")</f>
        <v>3356272.7686720812</v>
      </c>
      <c r="T131" cm="1">
        <f t="array" ref="T131">IFERROR(IF($E131&lt;44348,"",IF(INDEX(Raw_매출!$B$2:$BI$155,MATCH($A131,Raw_매출!$A$2:$A$155,0),MATCH(EDATE($E131,T$1-1),Raw_매출!$B$1:$BI$1,0))=0,"",INDEX(Raw_매출!$B$2:$BI$155,MATCH($A131,Raw_매출!$A$2:$A$155,0),MATCH(EDATE($E131,T$1-1),Raw_매출!$B$1:$BI$1,0))/(INDEX(요약_월별시즈널리티!$F$7:$F$18,MONTH(EDATE($E131,T$1-1)))/100))),"")</f>
        <v>3356951.688041382</v>
      </c>
      <c r="U131" cm="1">
        <f t="array" ref="U131">IFERROR(IF($E131&lt;44348,"",IF(INDEX(Raw_매출!$B$2:$BI$155,MATCH($A131,Raw_매출!$A$2:$A$155,0),MATCH(EDATE($E131,U$1-1),Raw_매출!$B$1:$BI$1,0))=0,"",INDEX(Raw_매출!$B$2:$BI$155,MATCH($A131,Raw_매출!$A$2:$A$155,0),MATCH(EDATE($E131,U$1-1),Raw_매출!$B$1:$BI$1,0))/(INDEX(요약_월별시즈널리티!$F$7:$F$18,MONTH(EDATE($E131,U$1-1)))/100))),"")</f>
        <v>3344490.1774271377</v>
      </c>
      <c r="V131" cm="1">
        <f t="array" ref="V131">IFERROR(IF($E131&lt;44348,"",IF(INDEX(Raw_매출!$B$2:$BI$155,MATCH($A131,Raw_매출!$A$2:$A$155,0),MATCH(EDATE($E131,V$1-1),Raw_매출!$B$1:$BI$1,0))=0,"",INDEX(Raw_매출!$B$2:$BI$155,MATCH($A131,Raw_매출!$A$2:$A$155,0),MATCH(EDATE($E131,V$1-1),Raw_매출!$B$1:$BI$1,0))/(INDEX(요약_월별시즈널리티!$F$7:$F$18,MONTH(EDATE($E131,V$1-1)))/100))),"")</f>
        <v>3962614.9118234231</v>
      </c>
      <c r="W131" cm="1">
        <f t="array" ref="W131">IFERROR(IF($E131&lt;44348,"",IF(INDEX(Raw_매출!$B$2:$BI$155,MATCH($A131,Raw_매출!$A$2:$A$155,0),MATCH(EDATE($E131,W$1-1),Raw_매출!$B$1:$BI$1,0))=0,"",INDEX(Raw_매출!$B$2:$BI$155,MATCH($A131,Raw_매출!$A$2:$A$155,0),MATCH(EDATE($E131,W$1-1),Raw_매출!$B$1:$BI$1,0))/(INDEX(요약_월별시즈널리티!$F$7:$F$18,MONTH(EDATE($E131,W$1-1)))/100))),"")</f>
        <v>3594465.8511403827</v>
      </c>
      <c r="X131" cm="1">
        <f t="array" ref="X131">IFERROR(IF($E131&lt;44348,"",IF(INDEX(Raw_매출!$B$2:$BI$155,MATCH($A131,Raw_매출!$A$2:$A$155,0),MATCH(EDATE($E131,X$1-1),Raw_매출!$B$1:$BI$1,0))=0,"",INDEX(Raw_매출!$B$2:$BI$155,MATCH($A131,Raw_매출!$A$2:$A$155,0),MATCH(EDATE($E131,X$1-1),Raw_매출!$B$1:$BI$1,0))/(INDEX(요약_월별시즈널리티!$F$7:$F$18,MONTH(EDATE($E131,X$1-1)))/100))),"")</f>
        <v>4313268.0520488312</v>
      </c>
      <c r="Y131" cm="1">
        <f t="array" ref="Y131">IFERROR(IF($E131&lt;44348,"",IF(INDEX(Raw_매출!$B$2:$BI$155,MATCH($A131,Raw_매출!$A$2:$A$155,0),MATCH(EDATE($E131,Y$1-1),Raw_매출!$B$1:$BI$1,0))=0,"",INDEX(Raw_매출!$B$2:$BI$155,MATCH($A131,Raw_매출!$A$2:$A$155,0),MATCH(EDATE($E131,Y$1-1),Raw_매출!$B$1:$BI$1,0))/(INDEX(요약_월별시즈널리티!$F$7:$F$18,MONTH(EDATE($E131,Y$1-1)))/100))),"")</f>
        <v>4256837.1501415595</v>
      </c>
      <c r="Z131" t="str" cm="1">
        <f t="array" ref="Z131">IFERROR(IF($E131&lt;44348,"",IF(INDEX(Raw_매출!$B$2:$BI$155,MATCH($A131,Raw_매출!$A$2:$A$155,0),MATCH(EDATE($E131,Z$1-1),Raw_매출!$B$1:$BI$1,0))=0,"",INDEX(Raw_매출!$B$2:$BI$155,MATCH($A131,Raw_매출!$A$2:$A$155,0),MATCH(EDATE($E131,Z$1-1),Raw_매출!$B$1:$BI$1,0))/(INDEX(요약_월별시즈널리티!$F$7:$F$18,MONTH(EDATE($E131,Z$1-1)))/100))),"")</f>
        <v/>
      </c>
      <c r="AA131" t="str" cm="1">
        <f t="array" ref="AA131">IFERROR(IF($E131&lt;44348,"",IF(INDEX(Raw_매출!$B$2:$BI$155,MATCH($A131,Raw_매출!$A$2:$A$155,0),MATCH(EDATE($E131,AA$1-1),Raw_매출!$B$1:$BI$1,0))=0,"",INDEX(Raw_매출!$B$2:$BI$155,MATCH($A131,Raw_매출!$A$2:$A$155,0),MATCH(EDATE($E131,AA$1-1),Raw_매출!$B$1:$BI$1,0))/(INDEX(요약_월별시즈널리티!$F$7:$F$18,MONTH(EDATE($E131,AA$1-1)))/100))),"")</f>
        <v/>
      </c>
      <c r="AB131" t="str" cm="1">
        <f t="array" ref="AB131">IFERROR(IF($E131&lt;44348,"",IF(INDEX(Raw_매출!$B$2:$BI$155,MATCH($A131,Raw_매출!$A$2:$A$155,0),MATCH(EDATE($E131,AB$1-1),Raw_매출!$B$1:$BI$1,0))=0,"",INDEX(Raw_매출!$B$2:$BI$155,MATCH($A131,Raw_매출!$A$2:$A$155,0),MATCH(EDATE($E131,AB$1-1),Raw_매출!$B$1:$BI$1,0))/(INDEX(요약_월별시즈널리티!$F$7:$F$18,MONTH(EDATE($E131,AB$1-1)))/100))),"")</f>
        <v/>
      </c>
      <c r="AC131" t="str" cm="1">
        <f t="array" ref="AC131">IFERROR(IF($E131&lt;44348,"",IF(INDEX(Raw_매출!$B$2:$BI$155,MATCH($A131,Raw_매출!$A$2:$A$155,0),MATCH(EDATE($E131,AC$1-1),Raw_매출!$B$1:$BI$1,0))=0,"",INDEX(Raw_매출!$B$2:$BI$155,MATCH($A131,Raw_매출!$A$2:$A$155,0),MATCH(EDATE($E131,AC$1-1),Raw_매출!$B$1:$BI$1,0))/(INDEX(요약_월별시즈널리티!$F$7:$F$18,MONTH(EDATE($E131,AC$1-1)))/100))),"")</f>
        <v/>
      </c>
      <c r="AD131" t="str" cm="1">
        <f t="array" ref="AD131">IFERROR(IF($E131&lt;44348,"",IF(INDEX(Raw_매출!$B$2:$BI$155,MATCH($A131,Raw_매출!$A$2:$A$155,0),MATCH(EDATE($E131,AD$1-1),Raw_매출!$B$1:$BI$1,0))=0,"",INDEX(Raw_매출!$B$2:$BI$155,MATCH($A131,Raw_매출!$A$2:$A$155,0),MATCH(EDATE($E131,AD$1-1),Raw_매출!$B$1:$BI$1,0))/(INDEX(요약_월별시즈널리티!$F$7:$F$18,MONTH(EDATE($E131,AD$1-1)))/100))),"")</f>
        <v/>
      </c>
      <c r="AE131" t="str" cm="1">
        <f t="array" ref="AE131">IFERROR(IF($E131&lt;44348,"",IF(INDEX(Raw_매출!$B$2:$BI$155,MATCH($A131,Raw_매출!$A$2:$A$155,0),MATCH(EDATE($E131,AE$1-1),Raw_매출!$B$1:$BI$1,0))=0,"",INDEX(Raw_매출!$B$2:$BI$155,MATCH($A131,Raw_매출!$A$2:$A$155,0),MATCH(EDATE($E131,AE$1-1),Raw_매출!$B$1:$BI$1,0))/(INDEX(요약_월별시즈널리티!$F$7:$F$18,MONTH(EDATE($E131,AE$1-1)))/100))),"")</f>
        <v/>
      </c>
      <c r="AF131" t="str" cm="1">
        <f t="array" ref="AF131">IFERROR(IF($E131&lt;44348,"",IF(INDEX(Raw_매출!$B$2:$BI$155,MATCH($A131,Raw_매출!$A$2:$A$155,0),MATCH(EDATE($E131,AF$1-1),Raw_매출!$B$1:$BI$1,0))=0,"",INDEX(Raw_매출!$B$2:$BI$155,MATCH($A131,Raw_매출!$A$2:$A$155,0),MATCH(EDATE($E131,AF$1-1),Raw_매출!$B$1:$BI$1,0))/(INDEX(요약_월별시즈널리티!$F$7:$F$18,MONTH(EDATE($E131,AF$1-1)))/100))),"")</f>
        <v/>
      </c>
      <c r="AG131" t="str" cm="1">
        <f t="array" ref="AG131">IFERROR(IF($E131&lt;44348,"",IF(INDEX(Raw_매출!$B$2:$BI$155,MATCH($A131,Raw_매출!$A$2:$A$155,0),MATCH(EDATE($E131,AG$1-1),Raw_매출!$B$1:$BI$1,0))=0,"",INDEX(Raw_매출!$B$2:$BI$155,MATCH($A131,Raw_매출!$A$2:$A$155,0),MATCH(EDATE($E131,AG$1-1),Raw_매출!$B$1:$BI$1,0))/(INDEX(요약_월별시즈널리티!$F$7:$F$18,MONTH(EDATE($E131,AG$1-1)))/100))),"")</f>
        <v/>
      </c>
      <c r="AH131" t="str" cm="1">
        <f t="array" ref="AH131">IFERROR(IF($E131&lt;44348,"",IF(INDEX(Raw_매출!$B$2:$BI$155,MATCH($A131,Raw_매출!$A$2:$A$155,0),MATCH(EDATE($E131,AH$1-1),Raw_매출!$B$1:$BI$1,0))=0,"",INDEX(Raw_매출!$B$2:$BI$155,MATCH($A131,Raw_매출!$A$2:$A$155,0),MATCH(EDATE($E131,AH$1-1),Raw_매출!$B$1:$BI$1,0))/(INDEX(요약_월별시즈널리티!$F$7:$F$18,MONTH(EDATE($E131,AH$1-1)))/100))),"")</f>
        <v/>
      </c>
      <c r="AI131" t="str" cm="1">
        <f t="array" ref="AI131">IFERROR(IF($E131&lt;44348,"",IF(INDEX(Raw_매출!$B$2:$BI$155,MATCH($A131,Raw_매출!$A$2:$A$155,0),MATCH(EDATE($E131,AI$1-1),Raw_매출!$B$1:$BI$1,0))=0,"",INDEX(Raw_매출!$B$2:$BI$155,MATCH($A131,Raw_매출!$A$2:$A$155,0),MATCH(EDATE($E131,AI$1-1),Raw_매출!$B$1:$BI$1,0))/(INDEX(요약_월별시즈널리티!$F$7:$F$18,MONTH(EDATE($E131,AI$1-1)))/100))),"")</f>
        <v/>
      </c>
      <c r="AJ131" t="str" cm="1">
        <f t="array" ref="AJ131">IFERROR(IF($E131&lt;44348,"",IF(INDEX(Raw_매출!$B$2:$BI$155,MATCH($A131,Raw_매출!$A$2:$A$155,0),MATCH(EDATE($E131,AJ$1-1),Raw_매출!$B$1:$BI$1,0))=0,"",INDEX(Raw_매출!$B$2:$BI$155,MATCH($A131,Raw_매출!$A$2:$A$155,0),MATCH(EDATE($E131,AJ$1-1),Raw_매출!$B$1:$BI$1,0))/(INDEX(요약_월별시즈널리티!$F$7:$F$18,MONTH(EDATE($E131,AJ$1-1)))/100))),"")</f>
        <v/>
      </c>
      <c r="AK131" t="str" cm="1">
        <f t="array" ref="AK131">IFERROR(IF($E131&lt;44348,"",IF(INDEX(Raw_매출!$B$2:$BI$155,MATCH($A131,Raw_매출!$A$2:$A$155,0),MATCH(EDATE($E131,AK$1-1),Raw_매출!$B$1:$BI$1,0))=0,"",INDEX(Raw_매출!$B$2:$BI$155,MATCH($A131,Raw_매출!$A$2:$A$155,0),MATCH(EDATE($E131,AK$1-1),Raw_매출!$B$1:$BI$1,0))/(INDEX(요약_월별시즈널리티!$F$7:$F$18,MONTH(EDATE($E131,AK$1-1)))/100))),"")</f>
        <v/>
      </c>
      <c r="AL131" t="str" cm="1">
        <f t="array" ref="AL131">IFERROR(IF($E131&lt;44348,"",IF(INDEX(Raw_매출!$B$2:$BI$155,MATCH($A131,Raw_매출!$A$2:$A$155,0),MATCH(EDATE($E131,AL$1-1),Raw_매출!$B$1:$BI$1,0))=0,"",INDEX(Raw_매출!$B$2:$BI$155,MATCH($A131,Raw_매출!$A$2:$A$155,0),MATCH(EDATE($E131,AL$1-1),Raw_매출!$B$1:$BI$1,0))/(INDEX(요약_월별시즈널리티!$F$7:$F$18,MONTH(EDATE($E131,AL$1-1)))/100))),"")</f>
        <v/>
      </c>
      <c r="AM131" t="str" cm="1">
        <f t="array" ref="AM131">IFERROR(IF($E131&lt;44348,"",IF(INDEX(Raw_매출!$B$2:$BI$155,MATCH($A131,Raw_매출!$A$2:$A$155,0),MATCH(EDATE($E131,AM$1-1),Raw_매출!$B$1:$BI$1,0))=0,"",INDEX(Raw_매출!$B$2:$BI$155,MATCH($A131,Raw_매출!$A$2:$A$155,0),MATCH(EDATE($E131,AM$1-1),Raw_매출!$B$1:$BI$1,0))/(INDEX(요약_월별시즈널리티!$F$7:$F$18,MONTH(EDATE($E131,AM$1-1)))/100))),"")</f>
        <v/>
      </c>
      <c r="AN131" t="str" cm="1">
        <f t="array" ref="AN131">IFERROR(IF($E131&lt;44348,"",IF(INDEX(Raw_매출!$B$2:$BI$155,MATCH($A131,Raw_매출!$A$2:$A$155,0),MATCH(EDATE($E131,AN$1-1),Raw_매출!$B$1:$BI$1,0))=0,"",INDEX(Raw_매출!$B$2:$BI$155,MATCH($A131,Raw_매출!$A$2:$A$155,0),MATCH(EDATE($E131,AN$1-1),Raw_매출!$B$1:$BI$1,0))/(INDEX(요약_월별시즈널리티!$F$7:$F$18,MONTH(EDATE($E131,AN$1-1)))/100))),"")</f>
        <v/>
      </c>
      <c r="AO131" t="str" cm="1">
        <f t="array" ref="AO131">IFERROR(IF($E131&lt;44348,"",IF(INDEX(Raw_매출!$B$2:$BI$155,MATCH($A131,Raw_매출!$A$2:$A$155,0),MATCH(EDATE($E131,AO$1-1),Raw_매출!$B$1:$BI$1,0))=0,"",INDEX(Raw_매출!$B$2:$BI$155,MATCH($A131,Raw_매출!$A$2:$A$155,0),MATCH(EDATE($E131,AO$1-1),Raw_매출!$B$1:$BI$1,0))/(INDEX(요약_월별시즈널리티!$F$7:$F$18,MONTH(EDATE($E131,AO$1-1)))/100))),"")</f>
        <v/>
      </c>
      <c r="AP131" t="str" cm="1">
        <f t="array" ref="AP131">IFERROR(IF($E131&lt;44348,"",IF(INDEX(Raw_매출!$B$2:$BI$155,MATCH($A131,Raw_매출!$A$2:$A$155,0),MATCH(EDATE($E131,AP$1-1),Raw_매출!$B$1:$BI$1,0))=0,"",INDEX(Raw_매출!$B$2:$BI$155,MATCH($A131,Raw_매출!$A$2:$A$155,0),MATCH(EDATE($E131,AP$1-1),Raw_매출!$B$1:$BI$1,0))/(INDEX(요약_월별시즈널리티!$F$7:$F$18,MONTH(EDATE($E131,AP$1-1)))/100))),"")</f>
        <v/>
      </c>
      <c r="AQ131" t="str" cm="1">
        <f t="array" ref="AQ131">IFERROR(IF($E131&lt;44348,"",IF(INDEX(Raw_매출!$B$2:$BI$155,MATCH($A131,Raw_매출!$A$2:$A$155,0),MATCH(EDATE($E131,AQ$1-1),Raw_매출!$B$1:$BI$1,0))=0,"",INDEX(Raw_매출!$B$2:$BI$155,MATCH($A131,Raw_매출!$A$2:$A$155,0),MATCH(EDATE($E131,AQ$1-1),Raw_매출!$B$1:$BI$1,0))/(INDEX(요약_월별시즈널리티!$F$7:$F$18,MONTH(EDATE($E131,AQ$1-1)))/100))),"")</f>
        <v/>
      </c>
      <c r="AR131" t="str" cm="1">
        <f t="array" ref="AR131">IFERROR(IF($E131&lt;44348,"",IF(INDEX(Raw_매출!$B$2:$BI$155,MATCH($A131,Raw_매출!$A$2:$A$155,0),MATCH(EDATE($E131,AR$1-1),Raw_매출!$B$1:$BI$1,0))=0,"",INDEX(Raw_매출!$B$2:$BI$155,MATCH($A131,Raw_매출!$A$2:$A$155,0),MATCH(EDATE($E131,AR$1-1),Raw_매출!$B$1:$BI$1,0))/(INDEX(요약_월별시즈널리티!$F$7:$F$18,MONTH(EDATE($E131,AR$1-1)))/100))),"")</f>
        <v/>
      </c>
      <c r="AS131" t="str" cm="1">
        <f t="array" ref="AS131">IFERROR(IF($E131&lt;44348,"",IF(INDEX(Raw_매출!$B$2:$BI$155,MATCH($A131,Raw_매출!$A$2:$A$155,0),MATCH(EDATE($E131,AS$1-1),Raw_매출!$B$1:$BI$1,0))=0,"",INDEX(Raw_매출!$B$2:$BI$155,MATCH($A131,Raw_매출!$A$2:$A$155,0),MATCH(EDATE($E131,AS$1-1),Raw_매출!$B$1:$BI$1,0))/(INDEX(요약_월별시즈널리티!$F$7:$F$18,MONTH(EDATE($E131,AS$1-1)))/100))),"")</f>
        <v/>
      </c>
      <c r="AT131" t="str" cm="1">
        <f t="array" ref="AT131">IFERROR(IF($E131&lt;44348,"",IF(INDEX(Raw_매출!$B$2:$BI$155,MATCH($A131,Raw_매출!$A$2:$A$155,0),MATCH(EDATE($E131,AT$1-1),Raw_매출!$B$1:$BI$1,0))=0,"",INDEX(Raw_매출!$B$2:$BI$155,MATCH($A131,Raw_매출!$A$2:$A$155,0),MATCH(EDATE($E131,AT$1-1),Raw_매출!$B$1:$BI$1,0))/(INDEX(요약_월별시즈널리티!$F$7:$F$18,MONTH(EDATE($E131,AT$1-1)))/100))),"")</f>
        <v/>
      </c>
      <c r="AU131" t="str" cm="1">
        <f t="array" ref="AU131">IFERROR(IF($E131&lt;44348,"",IF(INDEX(Raw_매출!$B$2:$BI$155,MATCH($A131,Raw_매출!$A$2:$A$155,0),MATCH(EDATE($E131,AU$1-1),Raw_매출!$B$1:$BI$1,0))=0,"",INDEX(Raw_매출!$B$2:$BI$155,MATCH($A131,Raw_매출!$A$2:$A$155,0),MATCH(EDATE($E131,AU$1-1),Raw_매출!$B$1:$BI$1,0))/(INDEX(요약_월별시즈널리티!$F$7:$F$18,MONTH(EDATE($E131,AU$1-1)))/100))),"")</f>
        <v/>
      </c>
      <c r="AV131" t="str" cm="1">
        <f t="array" ref="AV131">IFERROR(IF($E131&lt;44348,"",IF(INDEX(Raw_매출!$B$2:$BI$155,MATCH($A131,Raw_매출!$A$2:$A$155,0),MATCH(EDATE($E131,AV$1-1),Raw_매출!$B$1:$BI$1,0))=0,"",INDEX(Raw_매출!$B$2:$BI$155,MATCH($A131,Raw_매출!$A$2:$A$155,0),MATCH(EDATE($E131,AV$1-1),Raw_매출!$B$1:$BI$1,0))/(INDEX(요약_월별시즈널리티!$F$7:$F$18,MONTH(EDATE($E131,AV$1-1)))/100))),"")</f>
        <v/>
      </c>
      <c r="AW131" t="str" cm="1">
        <f t="array" ref="AW131">IFERROR(IF($E131&lt;44348,"",IF(INDEX(Raw_매출!$B$2:$BI$155,MATCH($A131,Raw_매출!$A$2:$A$155,0),MATCH(EDATE($E131,AW$1-1),Raw_매출!$B$1:$BI$1,0))=0,"",INDEX(Raw_매출!$B$2:$BI$155,MATCH($A131,Raw_매출!$A$2:$A$155,0),MATCH(EDATE($E131,AW$1-1),Raw_매출!$B$1:$BI$1,0))/(INDEX(요약_월별시즈널리티!$F$7:$F$18,MONTH(EDATE($E131,AW$1-1)))/100))),"")</f>
        <v/>
      </c>
      <c r="AX131" t="str" cm="1">
        <f t="array" ref="AX131">IFERROR(IF($E131&lt;44348,"",IF(INDEX(Raw_매출!$B$2:$BI$155,MATCH($A131,Raw_매출!$A$2:$A$155,0),MATCH(EDATE($E131,AX$1-1),Raw_매출!$B$1:$BI$1,0))=0,"",INDEX(Raw_매출!$B$2:$BI$155,MATCH($A131,Raw_매출!$A$2:$A$155,0),MATCH(EDATE($E131,AX$1-1),Raw_매출!$B$1:$BI$1,0))/(INDEX(요약_월별시즈널리티!$F$7:$F$18,MONTH(EDATE($E131,AX$1-1)))/100))),"")</f>
        <v/>
      </c>
      <c r="AY131" t="str" cm="1">
        <f t="array" ref="AY131">IFERROR(IF($E131&lt;44348,"",IF(INDEX(Raw_매출!$B$2:$BI$155,MATCH($A131,Raw_매출!$A$2:$A$155,0),MATCH(EDATE($E131,AY$1-1),Raw_매출!$B$1:$BI$1,0))=0,"",INDEX(Raw_매출!$B$2:$BI$155,MATCH($A131,Raw_매출!$A$2:$A$155,0),MATCH(EDATE($E131,AY$1-1),Raw_매출!$B$1:$BI$1,0))/(INDEX(요약_월별시즈널리티!$F$7:$F$18,MONTH(EDATE($E131,AY$1-1)))/100))),"")</f>
        <v/>
      </c>
      <c r="AZ131" t="str" cm="1">
        <f t="array" ref="AZ131">IFERROR(IF($E131&lt;44348,"",IF(INDEX(Raw_매출!$B$2:$BI$155,MATCH($A131,Raw_매출!$A$2:$A$155,0),MATCH(EDATE($E131,AZ$1-1),Raw_매출!$B$1:$BI$1,0))=0,"",INDEX(Raw_매출!$B$2:$BI$155,MATCH($A131,Raw_매출!$A$2:$A$155,0),MATCH(EDATE($E131,AZ$1-1),Raw_매출!$B$1:$BI$1,0))/(INDEX(요약_월별시즈널리티!$F$7:$F$18,MONTH(EDATE($E131,AZ$1-1)))/100))),"")</f>
        <v/>
      </c>
      <c r="BA131" t="str" cm="1">
        <f t="array" ref="BA131">IFERROR(IF($E131&lt;44348,"",IF(INDEX(Raw_매출!$B$2:$BI$155,MATCH($A131,Raw_매출!$A$2:$A$155,0),MATCH(EDATE($E131,BA$1-1),Raw_매출!$B$1:$BI$1,0))=0,"",INDEX(Raw_매출!$B$2:$BI$155,MATCH($A131,Raw_매출!$A$2:$A$155,0),MATCH(EDATE($E131,BA$1-1),Raw_매출!$B$1:$BI$1,0))/(INDEX(요약_월별시즈널리티!$F$7:$F$18,MONTH(EDATE($E131,BA$1-1)))/100))),"")</f>
        <v/>
      </c>
      <c r="BB131" t="str" cm="1">
        <f t="array" ref="BB131">IFERROR(IF($E131&lt;44348,"",IF(INDEX(Raw_매출!$B$2:$BI$155,MATCH($A131,Raw_매출!$A$2:$A$155,0),MATCH(EDATE($E131,BB$1-1),Raw_매출!$B$1:$BI$1,0))=0,"",INDEX(Raw_매출!$B$2:$BI$155,MATCH($A131,Raw_매출!$A$2:$A$155,0),MATCH(EDATE($E131,BB$1-1),Raw_매출!$B$1:$BI$1,0))/(INDEX(요약_월별시즈널리티!$F$7:$F$18,MONTH(EDATE($E131,BB$1-1)))/100))),"")</f>
        <v/>
      </c>
      <c r="BC131" t="str" cm="1">
        <f t="array" ref="BC131">IFERROR(IF($E131&lt;44348,"",IF(INDEX(Raw_매출!$B$2:$BI$155,MATCH($A131,Raw_매출!$A$2:$A$155,0),MATCH(EDATE($E131,BC$1-1),Raw_매출!$B$1:$BI$1,0))=0,"",INDEX(Raw_매출!$B$2:$BI$155,MATCH($A131,Raw_매출!$A$2:$A$155,0),MATCH(EDATE($E131,BC$1-1),Raw_매출!$B$1:$BI$1,0))/(INDEX(요약_월별시즈널리티!$F$7:$F$18,MONTH(EDATE($E131,BC$1-1)))/100))),"")</f>
        <v/>
      </c>
      <c r="BD131" t="str" cm="1">
        <f t="array" ref="BD131">IFERROR(IF($E131&lt;44348,"",IF(INDEX(Raw_매출!$B$2:$BI$155,MATCH($A131,Raw_매출!$A$2:$A$155,0),MATCH(EDATE($E131,BD$1-1),Raw_매출!$B$1:$BI$1,0))=0,"",INDEX(Raw_매출!$B$2:$BI$155,MATCH($A131,Raw_매출!$A$2:$A$155,0),MATCH(EDATE($E131,BD$1-1),Raw_매출!$B$1:$BI$1,0))/(INDEX(요약_월별시즈널리티!$F$7:$F$18,MONTH(EDATE($E131,BD$1-1)))/100))),"")</f>
        <v/>
      </c>
      <c r="BE131" t="str" cm="1">
        <f t="array" ref="BE131">IFERROR(IF($E131&lt;44348,"",IF(INDEX(Raw_매출!$B$2:$BI$155,MATCH($A131,Raw_매출!$A$2:$A$155,0),MATCH(EDATE($E131,BE$1-1),Raw_매출!$B$1:$BI$1,0))=0,"",INDEX(Raw_매출!$B$2:$BI$155,MATCH($A131,Raw_매출!$A$2:$A$155,0),MATCH(EDATE($E131,BE$1-1),Raw_매출!$B$1:$BI$1,0))/(INDEX(요약_월별시즈널리티!$F$7:$F$18,MONTH(EDATE($E131,BE$1-1)))/100))),"")</f>
        <v/>
      </c>
      <c r="BF131" t="str" cm="1">
        <f t="array" ref="BF131">IFERROR(IF($E131&lt;44348,"",IF(INDEX(Raw_매출!$B$2:$BI$155,MATCH($A131,Raw_매출!$A$2:$A$155,0),MATCH(EDATE($E131,BF$1-1),Raw_매출!$B$1:$BI$1,0))=0,"",INDEX(Raw_매출!$B$2:$BI$155,MATCH($A131,Raw_매출!$A$2:$A$155,0),MATCH(EDATE($E131,BF$1-1),Raw_매출!$B$1:$BI$1,0))/(INDEX(요약_월별시즈널리티!$F$7:$F$18,MONTH(EDATE($E131,BF$1-1)))/100))),"")</f>
        <v/>
      </c>
      <c r="BG131" t="str" cm="1">
        <f t="array" ref="BG131">IFERROR(IF($E131&lt;44348,"",IF(INDEX(Raw_매출!$B$2:$BI$155,MATCH($A131,Raw_매출!$A$2:$A$155,0),MATCH(EDATE($E131,BG$1-1),Raw_매출!$B$1:$BI$1,0))=0,"",INDEX(Raw_매출!$B$2:$BI$155,MATCH($A131,Raw_매출!$A$2:$A$155,0),MATCH(EDATE($E131,BG$1-1),Raw_매출!$B$1:$BI$1,0))/(INDEX(요약_월별시즈널리티!$F$7:$F$18,MONTH(EDATE($E131,BG$1-1)))/100))),"")</f>
        <v/>
      </c>
      <c r="BH131" t="str" cm="1">
        <f t="array" ref="BH131">IFERROR(IF($E131&lt;44348,"",IF(INDEX(Raw_매출!$B$2:$BI$155,MATCH($A131,Raw_매출!$A$2:$A$155,0),MATCH(EDATE($E131,BH$1-1),Raw_매출!$B$1:$BI$1,0))=0,"",INDEX(Raw_매출!$B$2:$BI$155,MATCH($A131,Raw_매출!$A$2:$A$155,0),MATCH(EDATE($E131,BH$1-1),Raw_매출!$B$1:$BI$1,0))/(INDEX(요약_월별시즈널리티!$F$7:$F$18,MONTH(EDATE($E131,BH$1-1)))/100))),"")</f>
        <v/>
      </c>
      <c r="BI131" t="str" cm="1">
        <f t="array" ref="BI131">IFERROR(IF($E131&lt;44348,"",IF(INDEX(Raw_매출!$B$2:$BI$155,MATCH($A131,Raw_매출!$A$2:$A$155,0),MATCH(EDATE($E131,BI$1-1),Raw_매출!$B$1:$BI$1,0))=0,"",INDEX(Raw_매출!$B$2:$BI$155,MATCH($A131,Raw_매출!$A$2:$A$155,0),MATCH(EDATE($E131,BI$1-1),Raw_매출!$B$1:$BI$1,0))/(INDEX(요약_월별시즈널리티!$F$7:$F$18,MONTH(EDATE($E131,BI$1-1)))/100))),"")</f>
        <v/>
      </c>
      <c r="BJ131" t="str" cm="1">
        <f t="array" ref="BJ131">IFERROR(IF($E131&lt;44348,"",IF(INDEX(Raw_매출!$B$2:$BI$155,MATCH($A131,Raw_매출!$A$2:$A$155,0),MATCH(EDATE($E131,BJ$1-1),Raw_매출!$B$1:$BI$1,0))=0,"",INDEX(Raw_매출!$B$2:$BI$155,MATCH($A131,Raw_매출!$A$2:$A$155,0),MATCH(EDATE($E131,BJ$1-1),Raw_매출!$B$1:$BI$1,0))/(INDEX(요약_월별시즈널리티!$F$7:$F$18,MONTH(EDATE($E131,BJ$1-1)))/100))),"")</f>
        <v/>
      </c>
      <c r="BK131" t="str" cm="1">
        <f t="array" ref="BK131">IFERROR(IF($E131&lt;44348,"",IF(INDEX(Raw_매출!$B$2:$BI$155,MATCH($A131,Raw_매출!$A$2:$A$155,0),MATCH(EDATE($E131,BK$1-1),Raw_매출!$B$1:$BI$1,0))=0,"",INDEX(Raw_매출!$B$2:$BI$155,MATCH($A131,Raw_매출!$A$2:$A$155,0),MATCH(EDATE($E131,BK$1-1),Raw_매출!$B$1:$BI$1,0))/(INDEX(요약_월별시즈널리티!$F$7:$F$18,MONTH(EDATE($E131,BK$1-1)))/100))),"")</f>
        <v/>
      </c>
      <c r="BL131" t="str" cm="1">
        <f t="array" ref="BL131">IFERROR(IF($E131&lt;44348,"",IF(INDEX(Raw_매출!$B$2:$BI$155,MATCH($A131,Raw_매출!$A$2:$A$155,0),MATCH(EDATE($E131,BL$1-1),Raw_매출!$B$1:$BI$1,0))=0,"",INDEX(Raw_매출!$B$2:$BI$155,MATCH($A131,Raw_매출!$A$2:$A$155,0),MATCH(EDATE($E131,BL$1-1),Raw_매출!$B$1:$BI$1,0))/(INDEX(요약_월별시즈널리티!$F$7:$F$18,MONTH(EDATE($E131,BL$1-1)))/100))),"")</f>
        <v/>
      </c>
      <c r="BM131" t="str" cm="1">
        <f t="array" ref="BM131">IFERROR(IF($E131&lt;44348,"",IF(INDEX(Raw_매출!$B$2:$BI$155,MATCH($A131,Raw_매출!$A$2:$A$155,0),MATCH(EDATE($E131,BM$1-1),Raw_매출!$B$1:$BI$1,0))=0,"",INDEX(Raw_매출!$B$2:$BI$155,MATCH($A131,Raw_매출!$A$2:$A$155,0),MATCH(EDATE($E131,BM$1-1),Raw_매출!$B$1:$BI$1,0))/(INDEX(요약_월별시즈널리티!$F$7:$F$18,MONTH(EDATE($E131,BM$1-1)))/100))),"")</f>
        <v/>
      </c>
      <c r="BN131" t="str" cm="1">
        <f t="array" ref="BN131">IFERROR(IF($E131&lt;44348,"",IF(INDEX(Raw_매출!$B$2:$BI$155,MATCH($A131,Raw_매출!$A$2:$A$155,0),MATCH(EDATE($E131,BN$1-1),Raw_매출!$B$1:$BI$1,0))=0,"",INDEX(Raw_매출!$B$2:$BI$155,MATCH($A131,Raw_매출!$A$2:$A$155,0),MATCH(EDATE($E131,BN$1-1),Raw_매출!$B$1:$BI$1,0))/(INDEX(요약_월별시즈널리티!$F$7:$F$18,MONTH(EDATE($E131,BN$1-1)))/100))),"")</f>
        <v/>
      </c>
    </row>
    <row r="132" spans="1:66" x14ac:dyDescent="0.4">
      <c r="A132" t="str">
        <f>세팅!A133</f>
        <v>(1123) #왕십리도선점</v>
      </c>
      <c r="B132" t="str">
        <f>세팅!B133</f>
        <v>150-1</v>
      </c>
      <c r="C132">
        <f t="shared" si="6"/>
        <v>1</v>
      </c>
      <c r="D132" t="str">
        <f t="shared" si="7"/>
        <v>1</v>
      </c>
      <c r="E132" s="1">
        <f>세팅!D133</f>
        <v>45627</v>
      </c>
      <c r="F132">
        <f t="shared" si="8"/>
        <v>3903172.3844152098</v>
      </c>
      <c r="G132" cm="1">
        <f t="array" ref="G132">IFERROR(IF($E132&lt;44348,"",IF(INDEX(Raw_매출!$B$2:$BI$155,MATCH($A132,Raw_매출!$A$2:$A$155,0),MATCH(EDATE($E132,G$1-1),Raw_매출!$B$1:$BI$1,0))=0,"",INDEX(Raw_매출!$B$2:$BI$155,MATCH($A132,Raw_매출!$A$2:$A$155,0),MATCH(EDATE($E132,G$1-1),Raw_매출!$B$1:$BI$1,0))/(INDEX(요약_월별시즈널리티!$F$7:$F$18,MONTH(EDATE($E132,G$1-1)))/100))),"")</f>
        <v>2317562.4894740949</v>
      </c>
      <c r="H132" cm="1">
        <f t="array" ref="H132">IFERROR(IF($E132&lt;44348,"",IF(INDEX(Raw_매출!$B$2:$BI$155,MATCH($A132,Raw_매출!$A$2:$A$155,0),MATCH(EDATE($E132,H$1-1),Raw_매출!$B$1:$BI$1,0))=0,"",INDEX(Raw_매출!$B$2:$BI$155,MATCH($A132,Raw_매출!$A$2:$A$155,0),MATCH(EDATE($E132,H$1-1),Raw_매출!$B$1:$BI$1,0))/(INDEX(요약_월별시즈널리티!$F$7:$F$18,MONTH(EDATE($E132,H$1-1)))/100))),"")</f>
        <v>3108502.862625069</v>
      </c>
      <c r="I132" cm="1">
        <f t="array" ref="I132">IFERROR(IF($E132&lt;44348,"",IF(INDEX(Raw_매출!$B$2:$BI$155,MATCH($A132,Raw_매출!$A$2:$A$155,0),MATCH(EDATE($E132,I$1-1),Raw_매출!$B$1:$BI$1,0))=0,"",INDEX(Raw_매출!$B$2:$BI$155,MATCH($A132,Raw_매출!$A$2:$A$155,0),MATCH(EDATE($E132,I$1-1),Raw_매출!$B$1:$BI$1,0))/(INDEX(요약_월별시즈널리티!$F$7:$F$18,MONTH(EDATE($E132,I$1-1)))/100))),"")</f>
        <v>3184032.2663491354</v>
      </c>
      <c r="J132" s="30" cm="1">
        <f t="array" ref="J132">IFERROR(IF($E132&lt;44348,"",IF(INDEX(Raw_매출!$B$2:$BI$155,MATCH($A132,Raw_매출!$A$2:$A$155,0),MATCH(EDATE($E132,J$1-1),Raw_매출!$B$1:$BI$1,0))=0,"",INDEX(Raw_매출!$B$2:$BI$155,MATCH($A132,Raw_매출!$A$2:$A$155,0),MATCH(EDATE($E132,J$1-1),Raw_매출!$B$1:$BI$1,0))/(INDEX(요약_월별시즈널리티!$F$7:$F$18,MONTH(EDATE($E132,J$1-1)))/100))),"")</f>
        <v>3776195.9028618899</v>
      </c>
      <c r="K132" s="30" cm="1">
        <f t="array" ref="K132">IFERROR(IF($E132&lt;44348,"",IF(INDEX(Raw_매출!$B$2:$BI$155,MATCH($A132,Raw_매출!$A$2:$A$155,0),MATCH(EDATE($E132,K$1-1),Raw_매출!$B$1:$BI$1,0))=0,"",INDEX(Raw_매출!$B$2:$BI$155,MATCH($A132,Raw_매출!$A$2:$A$155,0),MATCH(EDATE($E132,K$1-1),Raw_매출!$B$1:$BI$1,0))/(INDEX(요약_월별시즈널리티!$F$7:$F$18,MONTH(EDATE($E132,K$1-1)))/100))),"")</f>
        <v>3238873.3222879516</v>
      </c>
      <c r="L132" s="30" cm="1">
        <f t="array" ref="L132">IFERROR(IF($E132&lt;44348,"",IF(INDEX(Raw_매출!$B$2:$BI$155,MATCH($A132,Raw_매출!$A$2:$A$155,0),MATCH(EDATE($E132,L$1-1),Raw_매출!$B$1:$BI$1,0))=0,"",INDEX(Raw_매출!$B$2:$BI$155,MATCH($A132,Raw_매출!$A$2:$A$155,0),MATCH(EDATE($E132,L$1-1),Raw_매출!$B$1:$BI$1,0))/(INDEX(요약_월별시즈널리티!$F$7:$F$18,MONTH(EDATE($E132,L$1-1)))/100))),"")</f>
        <v>3963974.9541255333</v>
      </c>
      <c r="M132" s="30" cm="1">
        <f t="array" ref="M132">IFERROR(IF($E132&lt;44348,"",IF(INDEX(Raw_매출!$B$2:$BI$155,MATCH($A132,Raw_매출!$A$2:$A$155,0),MATCH(EDATE($E132,M$1-1),Raw_매출!$B$1:$BI$1,0))=0,"",INDEX(Raw_매출!$B$2:$BI$155,MATCH($A132,Raw_매출!$A$2:$A$155,0),MATCH(EDATE($E132,M$1-1),Raw_매출!$B$1:$BI$1,0))/(INDEX(요약_월별시즈널리티!$F$7:$F$18,MONTH(EDATE($E132,M$1-1)))/100))),"")</f>
        <v>4171195.2427476393</v>
      </c>
      <c r="N132" s="30" cm="1">
        <f t="array" ref="N132">IFERROR(IF($E132&lt;44348,"",IF(INDEX(Raw_매출!$B$2:$BI$155,MATCH($A132,Raw_매출!$A$2:$A$155,0),MATCH(EDATE($E132,N$1-1),Raw_매출!$B$1:$BI$1,0))=0,"",INDEX(Raw_매출!$B$2:$BI$155,MATCH($A132,Raw_매출!$A$2:$A$155,0),MATCH(EDATE($E132,N$1-1),Raw_매출!$B$1:$BI$1,0))/(INDEX(요약_월별시즈널리티!$F$7:$F$18,MONTH(EDATE($E132,N$1-1)))/100))),"")</f>
        <v>4029732.9273132747</v>
      </c>
      <c r="O132" s="30" cm="1">
        <f t="array" ref="O132">IFERROR(IF($E132&lt;44348,"",IF(INDEX(Raw_매출!$B$2:$BI$155,MATCH($A132,Raw_매출!$A$2:$A$155,0),MATCH(EDATE($E132,O$1-1),Raw_매출!$B$1:$BI$1,0))=0,"",INDEX(Raw_매출!$B$2:$BI$155,MATCH($A132,Raw_매출!$A$2:$A$155,0),MATCH(EDATE($E132,O$1-1),Raw_매출!$B$1:$BI$1,0))/(INDEX(요약_월별시즈널리티!$F$7:$F$18,MONTH(EDATE($E132,O$1-1)))/100))),"")</f>
        <v>4239061.9571549706</v>
      </c>
      <c r="P132" cm="1">
        <f t="array" ref="P132">IFERROR(IF($E132&lt;44348,"",IF(INDEX(Raw_매출!$B$2:$BI$155,MATCH($A132,Raw_매출!$A$2:$A$155,0),MATCH(EDATE($E132,P$1-1),Raw_매출!$B$1:$BI$1,0))=0,"",INDEX(Raw_매출!$B$2:$BI$155,MATCH($A132,Raw_매출!$A$2:$A$155,0),MATCH(EDATE($E132,P$1-1),Raw_매출!$B$1:$BI$1,0))/(INDEX(요약_월별시즈널리티!$F$7:$F$18,MONTH(EDATE($E132,P$1-1)))/100))),"")</f>
        <v>4115933.49804438</v>
      </c>
      <c r="Q132" cm="1">
        <f t="array" ref="Q132">IFERROR(IF($E132&lt;44348,"",IF(INDEX(Raw_매출!$B$2:$BI$155,MATCH($A132,Raw_매출!$A$2:$A$155,0),MATCH(EDATE($E132,Q$1-1),Raw_매출!$B$1:$BI$1,0))=0,"",INDEX(Raw_매출!$B$2:$BI$155,MATCH($A132,Raw_매출!$A$2:$A$155,0),MATCH(EDATE($E132,Q$1-1),Raw_매출!$B$1:$BI$1,0))/(INDEX(요약_월별시즈널리티!$F$7:$F$18,MONTH(EDATE($E132,Q$1-1)))/100))),"")</f>
        <v>4240112.903277291</v>
      </c>
      <c r="R132" cm="1">
        <f t="array" ref="R132">IFERROR(IF($E132&lt;44348,"",IF(INDEX(Raw_매출!$B$2:$BI$155,MATCH($A132,Raw_매출!$A$2:$A$155,0),MATCH(EDATE($E132,R$1-1),Raw_매출!$B$1:$BI$1,0))=0,"",INDEX(Raw_매출!$B$2:$BI$155,MATCH($A132,Raw_매출!$A$2:$A$155,0),MATCH(EDATE($E132,R$1-1),Raw_매출!$B$1:$BI$1,0))/(INDEX(요약_월별시즈널리티!$F$7:$F$18,MONTH(EDATE($E132,R$1-1)))/100))),"")</f>
        <v>4068867.2130752001</v>
      </c>
      <c r="S132" cm="1">
        <f t="array" ref="S132">IFERROR(IF($E132&lt;44348,"",IF(INDEX(Raw_매출!$B$2:$BI$155,MATCH($A132,Raw_매출!$A$2:$A$155,0),MATCH(EDATE($E132,S$1-1),Raw_매출!$B$1:$BI$1,0))=0,"",INDEX(Raw_매출!$B$2:$BI$155,MATCH($A132,Raw_매출!$A$2:$A$155,0),MATCH(EDATE($E132,S$1-1),Raw_매출!$B$1:$BI$1,0))/(INDEX(요약_월별시즈널리티!$F$7:$F$18,MONTH(EDATE($E132,S$1-1)))/100))),"")</f>
        <v>4423186.4354515737</v>
      </c>
      <c r="T132" cm="1">
        <f t="array" ref="T132">IFERROR(IF($E132&lt;44348,"",IF(INDEX(Raw_매출!$B$2:$BI$155,MATCH($A132,Raw_매출!$A$2:$A$155,0),MATCH(EDATE($E132,T$1-1),Raw_매출!$B$1:$BI$1,0))=0,"",INDEX(Raw_매출!$B$2:$BI$155,MATCH($A132,Raw_매출!$A$2:$A$155,0),MATCH(EDATE($E132,T$1-1),Raw_매출!$B$1:$BI$1,0))/(INDEX(요약_월별시즈널리티!$F$7:$F$18,MONTH(EDATE($E132,T$1-1)))/100))),"")</f>
        <v>4552725.0161674926</v>
      </c>
      <c r="U132" cm="1">
        <f t="array" ref="U132">IFERROR(IF($E132&lt;44348,"",IF(INDEX(Raw_매출!$B$2:$BI$155,MATCH($A132,Raw_매출!$A$2:$A$155,0),MATCH(EDATE($E132,U$1-1),Raw_매출!$B$1:$BI$1,0))=0,"",INDEX(Raw_매출!$B$2:$BI$155,MATCH($A132,Raw_매출!$A$2:$A$155,0),MATCH(EDATE($E132,U$1-1),Raw_매출!$B$1:$BI$1,0))/(INDEX(요약_월별시즈널리티!$F$7:$F$18,MONTH(EDATE($E132,U$1-1)))/100))),"")</f>
        <v>4907366.3730312409</v>
      </c>
      <c r="V132" cm="1">
        <f t="array" ref="V132">IFERROR(IF($E132&lt;44348,"",IF(INDEX(Raw_매출!$B$2:$BI$155,MATCH($A132,Raw_매출!$A$2:$A$155,0),MATCH(EDATE($E132,V$1-1),Raw_매출!$B$1:$BI$1,0))=0,"",INDEX(Raw_매출!$B$2:$BI$155,MATCH($A132,Raw_매출!$A$2:$A$155,0),MATCH(EDATE($E132,V$1-1),Raw_매출!$B$1:$BI$1,0))/(INDEX(요약_월별시즈널리티!$F$7:$F$18,MONTH(EDATE($E132,V$1-1)))/100))),"")</f>
        <v>4508169.0264133727</v>
      </c>
      <c r="W132" cm="1">
        <f t="array" ref="W132">IFERROR(IF($E132&lt;44348,"",IF(INDEX(Raw_매출!$B$2:$BI$155,MATCH($A132,Raw_매출!$A$2:$A$155,0),MATCH(EDATE($E132,W$1-1),Raw_매출!$B$1:$BI$1,0))=0,"",INDEX(Raw_매출!$B$2:$BI$155,MATCH($A132,Raw_매출!$A$2:$A$155,0),MATCH(EDATE($E132,W$1-1),Raw_매출!$B$1:$BI$1,0))/(INDEX(요약_월별시즈널리티!$F$7:$F$18,MONTH(EDATE($E132,W$1-1)))/100))),"")</f>
        <v>4931113.1564364424</v>
      </c>
      <c r="X132" cm="1">
        <f t="array" ref="X132">IFERROR(IF($E132&lt;44348,"",IF(INDEX(Raw_매출!$B$2:$BI$155,MATCH($A132,Raw_매출!$A$2:$A$155,0),MATCH(EDATE($E132,X$1-1),Raw_매출!$B$1:$BI$1,0))=0,"",INDEX(Raw_매출!$B$2:$BI$155,MATCH($A132,Raw_매출!$A$2:$A$155,0),MATCH(EDATE($E132,X$1-1),Raw_매출!$B$1:$BI$1,0))/(INDEX(요약_월별시즈널리티!$F$7:$F$18,MONTH(EDATE($E132,X$1-1)))/100))),"")</f>
        <v>5408944.0081093311</v>
      </c>
      <c r="Y132" t="str" cm="1">
        <f t="array" ref="Y132">IFERROR(IF($E132&lt;44348,"",IF(INDEX(Raw_매출!$B$2:$BI$155,MATCH($A132,Raw_매출!$A$2:$A$155,0),MATCH(EDATE($E132,Y$1-1),Raw_매출!$B$1:$BI$1,0))=0,"",INDEX(Raw_매출!$B$2:$BI$155,MATCH($A132,Raw_매출!$A$2:$A$155,0),MATCH(EDATE($E132,Y$1-1),Raw_매출!$B$1:$BI$1,0))/(INDEX(요약_월별시즈널리티!$F$7:$F$18,MONTH(EDATE($E132,Y$1-1)))/100))),"")</f>
        <v/>
      </c>
      <c r="Z132" t="str" cm="1">
        <f t="array" ref="Z132">IFERROR(IF($E132&lt;44348,"",IF(INDEX(Raw_매출!$B$2:$BI$155,MATCH($A132,Raw_매출!$A$2:$A$155,0),MATCH(EDATE($E132,Z$1-1),Raw_매출!$B$1:$BI$1,0))=0,"",INDEX(Raw_매출!$B$2:$BI$155,MATCH($A132,Raw_매출!$A$2:$A$155,0),MATCH(EDATE($E132,Z$1-1),Raw_매출!$B$1:$BI$1,0))/(INDEX(요약_월별시즈널리티!$F$7:$F$18,MONTH(EDATE($E132,Z$1-1)))/100))),"")</f>
        <v/>
      </c>
      <c r="AA132" t="str" cm="1">
        <f t="array" ref="AA132">IFERROR(IF($E132&lt;44348,"",IF(INDEX(Raw_매출!$B$2:$BI$155,MATCH($A132,Raw_매출!$A$2:$A$155,0),MATCH(EDATE($E132,AA$1-1),Raw_매출!$B$1:$BI$1,0))=0,"",INDEX(Raw_매출!$B$2:$BI$155,MATCH($A132,Raw_매출!$A$2:$A$155,0),MATCH(EDATE($E132,AA$1-1),Raw_매출!$B$1:$BI$1,0))/(INDEX(요약_월별시즈널리티!$F$7:$F$18,MONTH(EDATE($E132,AA$1-1)))/100))),"")</f>
        <v/>
      </c>
      <c r="AB132" t="str" cm="1">
        <f t="array" ref="AB132">IFERROR(IF($E132&lt;44348,"",IF(INDEX(Raw_매출!$B$2:$BI$155,MATCH($A132,Raw_매출!$A$2:$A$155,0),MATCH(EDATE($E132,AB$1-1),Raw_매출!$B$1:$BI$1,0))=0,"",INDEX(Raw_매출!$B$2:$BI$155,MATCH($A132,Raw_매출!$A$2:$A$155,0),MATCH(EDATE($E132,AB$1-1),Raw_매출!$B$1:$BI$1,0))/(INDEX(요약_월별시즈널리티!$F$7:$F$18,MONTH(EDATE($E132,AB$1-1)))/100))),"")</f>
        <v/>
      </c>
      <c r="AC132" t="str" cm="1">
        <f t="array" ref="AC132">IFERROR(IF($E132&lt;44348,"",IF(INDEX(Raw_매출!$B$2:$BI$155,MATCH($A132,Raw_매출!$A$2:$A$155,0),MATCH(EDATE($E132,AC$1-1),Raw_매출!$B$1:$BI$1,0))=0,"",INDEX(Raw_매출!$B$2:$BI$155,MATCH($A132,Raw_매출!$A$2:$A$155,0),MATCH(EDATE($E132,AC$1-1),Raw_매출!$B$1:$BI$1,0))/(INDEX(요약_월별시즈널리티!$F$7:$F$18,MONTH(EDATE($E132,AC$1-1)))/100))),"")</f>
        <v/>
      </c>
      <c r="AD132" t="str" cm="1">
        <f t="array" ref="AD132">IFERROR(IF($E132&lt;44348,"",IF(INDEX(Raw_매출!$B$2:$BI$155,MATCH($A132,Raw_매출!$A$2:$A$155,0),MATCH(EDATE($E132,AD$1-1),Raw_매출!$B$1:$BI$1,0))=0,"",INDEX(Raw_매출!$B$2:$BI$155,MATCH($A132,Raw_매출!$A$2:$A$155,0),MATCH(EDATE($E132,AD$1-1),Raw_매출!$B$1:$BI$1,0))/(INDEX(요약_월별시즈널리티!$F$7:$F$18,MONTH(EDATE($E132,AD$1-1)))/100))),"")</f>
        <v/>
      </c>
      <c r="AE132" t="str" cm="1">
        <f t="array" ref="AE132">IFERROR(IF($E132&lt;44348,"",IF(INDEX(Raw_매출!$B$2:$BI$155,MATCH($A132,Raw_매출!$A$2:$A$155,0),MATCH(EDATE($E132,AE$1-1),Raw_매출!$B$1:$BI$1,0))=0,"",INDEX(Raw_매출!$B$2:$BI$155,MATCH($A132,Raw_매출!$A$2:$A$155,0),MATCH(EDATE($E132,AE$1-1),Raw_매출!$B$1:$BI$1,0))/(INDEX(요약_월별시즈널리티!$F$7:$F$18,MONTH(EDATE($E132,AE$1-1)))/100))),"")</f>
        <v/>
      </c>
      <c r="AF132" t="str" cm="1">
        <f t="array" ref="AF132">IFERROR(IF($E132&lt;44348,"",IF(INDEX(Raw_매출!$B$2:$BI$155,MATCH($A132,Raw_매출!$A$2:$A$155,0),MATCH(EDATE($E132,AF$1-1),Raw_매출!$B$1:$BI$1,0))=0,"",INDEX(Raw_매출!$B$2:$BI$155,MATCH($A132,Raw_매출!$A$2:$A$155,0),MATCH(EDATE($E132,AF$1-1),Raw_매출!$B$1:$BI$1,0))/(INDEX(요약_월별시즈널리티!$F$7:$F$18,MONTH(EDATE($E132,AF$1-1)))/100))),"")</f>
        <v/>
      </c>
      <c r="AG132" t="str" cm="1">
        <f t="array" ref="AG132">IFERROR(IF($E132&lt;44348,"",IF(INDEX(Raw_매출!$B$2:$BI$155,MATCH($A132,Raw_매출!$A$2:$A$155,0),MATCH(EDATE($E132,AG$1-1),Raw_매출!$B$1:$BI$1,0))=0,"",INDEX(Raw_매출!$B$2:$BI$155,MATCH($A132,Raw_매출!$A$2:$A$155,0),MATCH(EDATE($E132,AG$1-1),Raw_매출!$B$1:$BI$1,0))/(INDEX(요약_월별시즈널리티!$F$7:$F$18,MONTH(EDATE($E132,AG$1-1)))/100))),"")</f>
        <v/>
      </c>
      <c r="AH132" t="str" cm="1">
        <f t="array" ref="AH132">IFERROR(IF($E132&lt;44348,"",IF(INDEX(Raw_매출!$B$2:$BI$155,MATCH($A132,Raw_매출!$A$2:$A$155,0),MATCH(EDATE($E132,AH$1-1),Raw_매출!$B$1:$BI$1,0))=0,"",INDEX(Raw_매출!$B$2:$BI$155,MATCH($A132,Raw_매출!$A$2:$A$155,0),MATCH(EDATE($E132,AH$1-1),Raw_매출!$B$1:$BI$1,0))/(INDEX(요약_월별시즈널리티!$F$7:$F$18,MONTH(EDATE($E132,AH$1-1)))/100))),"")</f>
        <v/>
      </c>
      <c r="AI132" t="str" cm="1">
        <f t="array" ref="AI132">IFERROR(IF($E132&lt;44348,"",IF(INDEX(Raw_매출!$B$2:$BI$155,MATCH($A132,Raw_매출!$A$2:$A$155,0),MATCH(EDATE($E132,AI$1-1),Raw_매출!$B$1:$BI$1,0))=0,"",INDEX(Raw_매출!$B$2:$BI$155,MATCH($A132,Raw_매출!$A$2:$A$155,0),MATCH(EDATE($E132,AI$1-1),Raw_매출!$B$1:$BI$1,0))/(INDEX(요약_월별시즈널리티!$F$7:$F$18,MONTH(EDATE($E132,AI$1-1)))/100))),"")</f>
        <v/>
      </c>
      <c r="AJ132" t="str" cm="1">
        <f t="array" ref="AJ132">IFERROR(IF($E132&lt;44348,"",IF(INDEX(Raw_매출!$B$2:$BI$155,MATCH($A132,Raw_매출!$A$2:$A$155,0),MATCH(EDATE($E132,AJ$1-1),Raw_매출!$B$1:$BI$1,0))=0,"",INDEX(Raw_매출!$B$2:$BI$155,MATCH($A132,Raw_매출!$A$2:$A$155,0),MATCH(EDATE($E132,AJ$1-1),Raw_매출!$B$1:$BI$1,0))/(INDEX(요약_월별시즈널리티!$F$7:$F$18,MONTH(EDATE($E132,AJ$1-1)))/100))),"")</f>
        <v/>
      </c>
      <c r="AK132" t="str" cm="1">
        <f t="array" ref="AK132">IFERROR(IF($E132&lt;44348,"",IF(INDEX(Raw_매출!$B$2:$BI$155,MATCH($A132,Raw_매출!$A$2:$A$155,0),MATCH(EDATE($E132,AK$1-1),Raw_매출!$B$1:$BI$1,0))=0,"",INDEX(Raw_매출!$B$2:$BI$155,MATCH($A132,Raw_매출!$A$2:$A$155,0),MATCH(EDATE($E132,AK$1-1),Raw_매출!$B$1:$BI$1,0))/(INDEX(요약_월별시즈널리티!$F$7:$F$18,MONTH(EDATE($E132,AK$1-1)))/100))),"")</f>
        <v/>
      </c>
      <c r="AL132" t="str" cm="1">
        <f t="array" ref="AL132">IFERROR(IF($E132&lt;44348,"",IF(INDEX(Raw_매출!$B$2:$BI$155,MATCH($A132,Raw_매출!$A$2:$A$155,0),MATCH(EDATE($E132,AL$1-1),Raw_매출!$B$1:$BI$1,0))=0,"",INDEX(Raw_매출!$B$2:$BI$155,MATCH($A132,Raw_매출!$A$2:$A$155,0),MATCH(EDATE($E132,AL$1-1),Raw_매출!$B$1:$BI$1,0))/(INDEX(요약_월별시즈널리티!$F$7:$F$18,MONTH(EDATE($E132,AL$1-1)))/100))),"")</f>
        <v/>
      </c>
      <c r="AM132" t="str" cm="1">
        <f t="array" ref="AM132">IFERROR(IF($E132&lt;44348,"",IF(INDEX(Raw_매출!$B$2:$BI$155,MATCH($A132,Raw_매출!$A$2:$A$155,0),MATCH(EDATE($E132,AM$1-1),Raw_매출!$B$1:$BI$1,0))=0,"",INDEX(Raw_매출!$B$2:$BI$155,MATCH($A132,Raw_매출!$A$2:$A$155,0),MATCH(EDATE($E132,AM$1-1),Raw_매출!$B$1:$BI$1,0))/(INDEX(요약_월별시즈널리티!$F$7:$F$18,MONTH(EDATE($E132,AM$1-1)))/100))),"")</f>
        <v/>
      </c>
      <c r="AN132" t="str" cm="1">
        <f t="array" ref="AN132">IFERROR(IF($E132&lt;44348,"",IF(INDEX(Raw_매출!$B$2:$BI$155,MATCH($A132,Raw_매출!$A$2:$A$155,0),MATCH(EDATE($E132,AN$1-1),Raw_매출!$B$1:$BI$1,0))=0,"",INDEX(Raw_매출!$B$2:$BI$155,MATCH($A132,Raw_매출!$A$2:$A$155,0),MATCH(EDATE($E132,AN$1-1),Raw_매출!$B$1:$BI$1,0))/(INDEX(요약_월별시즈널리티!$F$7:$F$18,MONTH(EDATE($E132,AN$1-1)))/100))),"")</f>
        <v/>
      </c>
      <c r="AO132" t="str" cm="1">
        <f t="array" ref="AO132">IFERROR(IF($E132&lt;44348,"",IF(INDEX(Raw_매출!$B$2:$BI$155,MATCH($A132,Raw_매출!$A$2:$A$155,0),MATCH(EDATE($E132,AO$1-1),Raw_매출!$B$1:$BI$1,0))=0,"",INDEX(Raw_매출!$B$2:$BI$155,MATCH($A132,Raw_매출!$A$2:$A$155,0),MATCH(EDATE($E132,AO$1-1),Raw_매출!$B$1:$BI$1,0))/(INDEX(요약_월별시즈널리티!$F$7:$F$18,MONTH(EDATE($E132,AO$1-1)))/100))),"")</f>
        <v/>
      </c>
      <c r="AP132" t="str" cm="1">
        <f t="array" ref="AP132">IFERROR(IF($E132&lt;44348,"",IF(INDEX(Raw_매출!$B$2:$BI$155,MATCH($A132,Raw_매출!$A$2:$A$155,0),MATCH(EDATE($E132,AP$1-1),Raw_매출!$B$1:$BI$1,0))=0,"",INDEX(Raw_매출!$B$2:$BI$155,MATCH($A132,Raw_매출!$A$2:$A$155,0),MATCH(EDATE($E132,AP$1-1),Raw_매출!$B$1:$BI$1,0))/(INDEX(요약_월별시즈널리티!$F$7:$F$18,MONTH(EDATE($E132,AP$1-1)))/100))),"")</f>
        <v/>
      </c>
      <c r="AQ132" t="str" cm="1">
        <f t="array" ref="AQ132">IFERROR(IF($E132&lt;44348,"",IF(INDEX(Raw_매출!$B$2:$BI$155,MATCH($A132,Raw_매출!$A$2:$A$155,0),MATCH(EDATE($E132,AQ$1-1),Raw_매출!$B$1:$BI$1,0))=0,"",INDEX(Raw_매출!$B$2:$BI$155,MATCH($A132,Raw_매출!$A$2:$A$155,0),MATCH(EDATE($E132,AQ$1-1),Raw_매출!$B$1:$BI$1,0))/(INDEX(요약_월별시즈널리티!$F$7:$F$18,MONTH(EDATE($E132,AQ$1-1)))/100))),"")</f>
        <v/>
      </c>
      <c r="AR132" t="str" cm="1">
        <f t="array" ref="AR132">IFERROR(IF($E132&lt;44348,"",IF(INDEX(Raw_매출!$B$2:$BI$155,MATCH($A132,Raw_매출!$A$2:$A$155,0),MATCH(EDATE($E132,AR$1-1),Raw_매출!$B$1:$BI$1,0))=0,"",INDEX(Raw_매출!$B$2:$BI$155,MATCH($A132,Raw_매출!$A$2:$A$155,0),MATCH(EDATE($E132,AR$1-1),Raw_매출!$B$1:$BI$1,0))/(INDEX(요약_월별시즈널리티!$F$7:$F$18,MONTH(EDATE($E132,AR$1-1)))/100))),"")</f>
        <v/>
      </c>
      <c r="AS132" t="str" cm="1">
        <f t="array" ref="AS132">IFERROR(IF($E132&lt;44348,"",IF(INDEX(Raw_매출!$B$2:$BI$155,MATCH($A132,Raw_매출!$A$2:$A$155,0),MATCH(EDATE($E132,AS$1-1),Raw_매출!$B$1:$BI$1,0))=0,"",INDEX(Raw_매출!$B$2:$BI$155,MATCH($A132,Raw_매출!$A$2:$A$155,0),MATCH(EDATE($E132,AS$1-1),Raw_매출!$B$1:$BI$1,0))/(INDEX(요약_월별시즈널리티!$F$7:$F$18,MONTH(EDATE($E132,AS$1-1)))/100))),"")</f>
        <v/>
      </c>
      <c r="AT132" t="str" cm="1">
        <f t="array" ref="AT132">IFERROR(IF($E132&lt;44348,"",IF(INDEX(Raw_매출!$B$2:$BI$155,MATCH($A132,Raw_매출!$A$2:$A$155,0),MATCH(EDATE($E132,AT$1-1),Raw_매출!$B$1:$BI$1,0))=0,"",INDEX(Raw_매출!$B$2:$BI$155,MATCH($A132,Raw_매출!$A$2:$A$155,0),MATCH(EDATE($E132,AT$1-1),Raw_매출!$B$1:$BI$1,0))/(INDEX(요약_월별시즈널리티!$F$7:$F$18,MONTH(EDATE($E132,AT$1-1)))/100))),"")</f>
        <v/>
      </c>
      <c r="AU132" t="str" cm="1">
        <f t="array" ref="AU132">IFERROR(IF($E132&lt;44348,"",IF(INDEX(Raw_매출!$B$2:$BI$155,MATCH($A132,Raw_매출!$A$2:$A$155,0),MATCH(EDATE($E132,AU$1-1),Raw_매출!$B$1:$BI$1,0))=0,"",INDEX(Raw_매출!$B$2:$BI$155,MATCH($A132,Raw_매출!$A$2:$A$155,0),MATCH(EDATE($E132,AU$1-1),Raw_매출!$B$1:$BI$1,0))/(INDEX(요약_월별시즈널리티!$F$7:$F$18,MONTH(EDATE($E132,AU$1-1)))/100))),"")</f>
        <v/>
      </c>
      <c r="AV132" t="str" cm="1">
        <f t="array" ref="AV132">IFERROR(IF($E132&lt;44348,"",IF(INDEX(Raw_매출!$B$2:$BI$155,MATCH($A132,Raw_매출!$A$2:$A$155,0),MATCH(EDATE($E132,AV$1-1),Raw_매출!$B$1:$BI$1,0))=0,"",INDEX(Raw_매출!$B$2:$BI$155,MATCH($A132,Raw_매출!$A$2:$A$155,0),MATCH(EDATE($E132,AV$1-1),Raw_매출!$B$1:$BI$1,0))/(INDEX(요약_월별시즈널리티!$F$7:$F$18,MONTH(EDATE($E132,AV$1-1)))/100))),"")</f>
        <v/>
      </c>
      <c r="AW132" t="str" cm="1">
        <f t="array" ref="AW132">IFERROR(IF($E132&lt;44348,"",IF(INDEX(Raw_매출!$B$2:$BI$155,MATCH($A132,Raw_매출!$A$2:$A$155,0),MATCH(EDATE($E132,AW$1-1),Raw_매출!$B$1:$BI$1,0))=0,"",INDEX(Raw_매출!$B$2:$BI$155,MATCH($A132,Raw_매출!$A$2:$A$155,0),MATCH(EDATE($E132,AW$1-1),Raw_매출!$B$1:$BI$1,0))/(INDEX(요약_월별시즈널리티!$F$7:$F$18,MONTH(EDATE($E132,AW$1-1)))/100))),"")</f>
        <v/>
      </c>
      <c r="AX132" t="str" cm="1">
        <f t="array" ref="AX132">IFERROR(IF($E132&lt;44348,"",IF(INDEX(Raw_매출!$B$2:$BI$155,MATCH($A132,Raw_매출!$A$2:$A$155,0),MATCH(EDATE($E132,AX$1-1),Raw_매출!$B$1:$BI$1,0))=0,"",INDEX(Raw_매출!$B$2:$BI$155,MATCH($A132,Raw_매출!$A$2:$A$155,0),MATCH(EDATE($E132,AX$1-1),Raw_매출!$B$1:$BI$1,0))/(INDEX(요약_월별시즈널리티!$F$7:$F$18,MONTH(EDATE($E132,AX$1-1)))/100))),"")</f>
        <v/>
      </c>
      <c r="AY132" t="str" cm="1">
        <f t="array" ref="AY132">IFERROR(IF($E132&lt;44348,"",IF(INDEX(Raw_매출!$B$2:$BI$155,MATCH($A132,Raw_매출!$A$2:$A$155,0),MATCH(EDATE($E132,AY$1-1),Raw_매출!$B$1:$BI$1,0))=0,"",INDEX(Raw_매출!$B$2:$BI$155,MATCH($A132,Raw_매출!$A$2:$A$155,0),MATCH(EDATE($E132,AY$1-1),Raw_매출!$B$1:$BI$1,0))/(INDEX(요약_월별시즈널리티!$F$7:$F$18,MONTH(EDATE($E132,AY$1-1)))/100))),"")</f>
        <v/>
      </c>
      <c r="AZ132" t="str" cm="1">
        <f t="array" ref="AZ132">IFERROR(IF($E132&lt;44348,"",IF(INDEX(Raw_매출!$B$2:$BI$155,MATCH($A132,Raw_매출!$A$2:$A$155,0),MATCH(EDATE($E132,AZ$1-1),Raw_매출!$B$1:$BI$1,0))=0,"",INDEX(Raw_매출!$B$2:$BI$155,MATCH($A132,Raw_매출!$A$2:$A$155,0),MATCH(EDATE($E132,AZ$1-1),Raw_매출!$B$1:$BI$1,0))/(INDEX(요약_월별시즈널리티!$F$7:$F$18,MONTH(EDATE($E132,AZ$1-1)))/100))),"")</f>
        <v/>
      </c>
      <c r="BA132" t="str" cm="1">
        <f t="array" ref="BA132">IFERROR(IF($E132&lt;44348,"",IF(INDEX(Raw_매출!$B$2:$BI$155,MATCH($A132,Raw_매출!$A$2:$A$155,0),MATCH(EDATE($E132,BA$1-1),Raw_매출!$B$1:$BI$1,0))=0,"",INDEX(Raw_매출!$B$2:$BI$155,MATCH($A132,Raw_매출!$A$2:$A$155,0),MATCH(EDATE($E132,BA$1-1),Raw_매출!$B$1:$BI$1,0))/(INDEX(요약_월별시즈널리티!$F$7:$F$18,MONTH(EDATE($E132,BA$1-1)))/100))),"")</f>
        <v/>
      </c>
      <c r="BB132" t="str" cm="1">
        <f t="array" ref="BB132">IFERROR(IF($E132&lt;44348,"",IF(INDEX(Raw_매출!$B$2:$BI$155,MATCH($A132,Raw_매출!$A$2:$A$155,0),MATCH(EDATE($E132,BB$1-1),Raw_매출!$B$1:$BI$1,0))=0,"",INDEX(Raw_매출!$B$2:$BI$155,MATCH($A132,Raw_매출!$A$2:$A$155,0),MATCH(EDATE($E132,BB$1-1),Raw_매출!$B$1:$BI$1,0))/(INDEX(요약_월별시즈널리티!$F$7:$F$18,MONTH(EDATE($E132,BB$1-1)))/100))),"")</f>
        <v/>
      </c>
      <c r="BC132" t="str" cm="1">
        <f t="array" ref="BC132">IFERROR(IF($E132&lt;44348,"",IF(INDEX(Raw_매출!$B$2:$BI$155,MATCH($A132,Raw_매출!$A$2:$A$155,0),MATCH(EDATE($E132,BC$1-1),Raw_매출!$B$1:$BI$1,0))=0,"",INDEX(Raw_매출!$B$2:$BI$155,MATCH($A132,Raw_매출!$A$2:$A$155,0),MATCH(EDATE($E132,BC$1-1),Raw_매출!$B$1:$BI$1,0))/(INDEX(요약_월별시즈널리티!$F$7:$F$18,MONTH(EDATE($E132,BC$1-1)))/100))),"")</f>
        <v/>
      </c>
      <c r="BD132" t="str" cm="1">
        <f t="array" ref="BD132">IFERROR(IF($E132&lt;44348,"",IF(INDEX(Raw_매출!$B$2:$BI$155,MATCH($A132,Raw_매출!$A$2:$A$155,0),MATCH(EDATE($E132,BD$1-1),Raw_매출!$B$1:$BI$1,0))=0,"",INDEX(Raw_매출!$B$2:$BI$155,MATCH($A132,Raw_매출!$A$2:$A$155,0),MATCH(EDATE($E132,BD$1-1),Raw_매출!$B$1:$BI$1,0))/(INDEX(요약_월별시즈널리티!$F$7:$F$18,MONTH(EDATE($E132,BD$1-1)))/100))),"")</f>
        <v/>
      </c>
      <c r="BE132" t="str" cm="1">
        <f t="array" ref="BE132">IFERROR(IF($E132&lt;44348,"",IF(INDEX(Raw_매출!$B$2:$BI$155,MATCH($A132,Raw_매출!$A$2:$A$155,0),MATCH(EDATE($E132,BE$1-1),Raw_매출!$B$1:$BI$1,0))=0,"",INDEX(Raw_매출!$B$2:$BI$155,MATCH($A132,Raw_매출!$A$2:$A$155,0),MATCH(EDATE($E132,BE$1-1),Raw_매출!$B$1:$BI$1,0))/(INDEX(요약_월별시즈널리티!$F$7:$F$18,MONTH(EDATE($E132,BE$1-1)))/100))),"")</f>
        <v/>
      </c>
      <c r="BF132" t="str" cm="1">
        <f t="array" ref="BF132">IFERROR(IF($E132&lt;44348,"",IF(INDEX(Raw_매출!$B$2:$BI$155,MATCH($A132,Raw_매출!$A$2:$A$155,0),MATCH(EDATE($E132,BF$1-1),Raw_매출!$B$1:$BI$1,0))=0,"",INDEX(Raw_매출!$B$2:$BI$155,MATCH($A132,Raw_매출!$A$2:$A$155,0),MATCH(EDATE($E132,BF$1-1),Raw_매출!$B$1:$BI$1,0))/(INDEX(요약_월별시즈널리티!$F$7:$F$18,MONTH(EDATE($E132,BF$1-1)))/100))),"")</f>
        <v/>
      </c>
      <c r="BG132" t="str" cm="1">
        <f t="array" ref="BG132">IFERROR(IF($E132&lt;44348,"",IF(INDEX(Raw_매출!$B$2:$BI$155,MATCH($A132,Raw_매출!$A$2:$A$155,0),MATCH(EDATE($E132,BG$1-1),Raw_매출!$B$1:$BI$1,0))=0,"",INDEX(Raw_매출!$B$2:$BI$155,MATCH($A132,Raw_매출!$A$2:$A$155,0),MATCH(EDATE($E132,BG$1-1),Raw_매출!$B$1:$BI$1,0))/(INDEX(요약_월별시즈널리티!$F$7:$F$18,MONTH(EDATE($E132,BG$1-1)))/100))),"")</f>
        <v/>
      </c>
      <c r="BH132" t="str" cm="1">
        <f t="array" ref="BH132">IFERROR(IF($E132&lt;44348,"",IF(INDEX(Raw_매출!$B$2:$BI$155,MATCH($A132,Raw_매출!$A$2:$A$155,0),MATCH(EDATE($E132,BH$1-1),Raw_매출!$B$1:$BI$1,0))=0,"",INDEX(Raw_매출!$B$2:$BI$155,MATCH($A132,Raw_매출!$A$2:$A$155,0),MATCH(EDATE($E132,BH$1-1),Raw_매출!$B$1:$BI$1,0))/(INDEX(요약_월별시즈널리티!$F$7:$F$18,MONTH(EDATE($E132,BH$1-1)))/100))),"")</f>
        <v/>
      </c>
      <c r="BI132" t="str" cm="1">
        <f t="array" ref="BI132">IFERROR(IF($E132&lt;44348,"",IF(INDEX(Raw_매출!$B$2:$BI$155,MATCH($A132,Raw_매출!$A$2:$A$155,0),MATCH(EDATE($E132,BI$1-1),Raw_매출!$B$1:$BI$1,0))=0,"",INDEX(Raw_매출!$B$2:$BI$155,MATCH($A132,Raw_매출!$A$2:$A$155,0),MATCH(EDATE($E132,BI$1-1),Raw_매출!$B$1:$BI$1,0))/(INDEX(요약_월별시즈널리티!$F$7:$F$18,MONTH(EDATE($E132,BI$1-1)))/100))),"")</f>
        <v/>
      </c>
      <c r="BJ132" t="str" cm="1">
        <f t="array" ref="BJ132">IFERROR(IF($E132&lt;44348,"",IF(INDEX(Raw_매출!$B$2:$BI$155,MATCH($A132,Raw_매출!$A$2:$A$155,0),MATCH(EDATE($E132,BJ$1-1),Raw_매출!$B$1:$BI$1,0))=0,"",INDEX(Raw_매출!$B$2:$BI$155,MATCH($A132,Raw_매출!$A$2:$A$155,0),MATCH(EDATE($E132,BJ$1-1),Raw_매출!$B$1:$BI$1,0))/(INDEX(요약_월별시즈널리티!$F$7:$F$18,MONTH(EDATE($E132,BJ$1-1)))/100))),"")</f>
        <v/>
      </c>
      <c r="BK132" t="str" cm="1">
        <f t="array" ref="BK132">IFERROR(IF($E132&lt;44348,"",IF(INDEX(Raw_매출!$B$2:$BI$155,MATCH($A132,Raw_매출!$A$2:$A$155,0),MATCH(EDATE($E132,BK$1-1),Raw_매출!$B$1:$BI$1,0))=0,"",INDEX(Raw_매출!$B$2:$BI$155,MATCH($A132,Raw_매출!$A$2:$A$155,0),MATCH(EDATE($E132,BK$1-1),Raw_매출!$B$1:$BI$1,0))/(INDEX(요약_월별시즈널리티!$F$7:$F$18,MONTH(EDATE($E132,BK$1-1)))/100))),"")</f>
        <v/>
      </c>
      <c r="BL132" t="str" cm="1">
        <f t="array" ref="BL132">IFERROR(IF($E132&lt;44348,"",IF(INDEX(Raw_매출!$B$2:$BI$155,MATCH($A132,Raw_매출!$A$2:$A$155,0),MATCH(EDATE($E132,BL$1-1),Raw_매출!$B$1:$BI$1,0))=0,"",INDEX(Raw_매출!$B$2:$BI$155,MATCH($A132,Raw_매출!$A$2:$A$155,0),MATCH(EDATE($E132,BL$1-1),Raw_매출!$B$1:$BI$1,0))/(INDEX(요약_월별시즈널리티!$F$7:$F$18,MONTH(EDATE($E132,BL$1-1)))/100))),"")</f>
        <v/>
      </c>
      <c r="BM132" t="str" cm="1">
        <f t="array" ref="BM132">IFERROR(IF($E132&lt;44348,"",IF(INDEX(Raw_매출!$B$2:$BI$155,MATCH($A132,Raw_매출!$A$2:$A$155,0),MATCH(EDATE($E132,BM$1-1),Raw_매출!$B$1:$BI$1,0))=0,"",INDEX(Raw_매출!$B$2:$BI$155,MATCH($A132,Raw_매출!$A$2:$A$155,0),MATCH(EDATE($E132,BM$1-1),Raw_매출!$B$1:$BI$1,0))/(INDEX(요약_월별시즈널리티!$F$7:$F$18,MONTH(EDATE($E132,BM$1-1)))/100))),"")</f>
        <v/>
      </c>
      <c r="BN132" t="str" cm="1">
        <f t="array" ref="BN132">IFERROR(IF($E132&lt;44348,"",IF(INDEX(Raw_매출!$B$2:$BI$155,MATCH($A132,Raw_매출!$A$2:$A$155,0),MATCH(EDATE($E132,BN$1-1),Raw_매출!$B$1:$BI$1,0))=0,"",INDEX(Raw_매출!$B$2:$BI$155,MATCH($A132,Raw_매출!$A$2:$A$155,0),MATCH(EDATE($E132,BN$1-1),Raw_매출!$B$1:$BI$1,0))/(INDEX(요약_월별시즈널리티!$F$7:$F$18,MONTH(EDATE($E132,BN$1-1)))/100))),"")</f>
        <v/>
      </c>
    </row>
    <row r="133" spans="1:66" x14ac:dyDescent="0.4">
      <c r="A133" t="str">
        <f>세팅!A134</f>
        <v>(1124) #능동대공원점</v>
      </c>
      <c r="B133" t="str">
        <f>세팅!B134</f>
        <v>150-1</v>
      </c>
      <c r="C133">
        <f t="shared" si="6"/>
        <v>1</v>
      </c>
      <c r="D133" t="str">
        <f t="shared" si="7"/>
        <v>1</v>
      </c>
      <c r="E133" s="1">
        <f>세팅!D134</f>
        <v>45658</v>
      </c>
      <c r="F133">
        <f t="shared" si="8"/>
        <v>3631131.0227732919</v>
      </c>
      <c r="G133" cm="1">
        <f t="array" ref="G133">IFERROR(IF($E133&lt;44348,"",IF(INDEX(Raw_매출!$B$2:$BI$155,MATCH($A133,Raw_매출!$A$2:$A$155,0),MATCH(EDATE($E133,G$1-1),Raw_매출!$B$1:$BI$1,0))=0,"",INDEX(Raw_매출!$B$2:$BI$155,MATCH($A133,Raw_매출!$A$2:$A$155,0),MATCH(EDATE($E133,G$1-1),Raw_매출!$B$1:$BI$1,0))/(INDEX(요약_월별시즈널리티!$F$7:$F$18,MONTH(EDATE($E133,G$1-1)))/100))),"")</f>
        <v>3172338.7385358233</v>
      </c>
      <c r="H133" cm="1">
        <f t="array" ref="H133">IFERROR(IF($E133&lt;44348,"",IF(INDEX(Raw_매출!$B$2:$BI$155,MATCH($A133,Raw_매출!$A$2:$A$155,0),MATCH(EDATE($E133,H$1-1),Raw_매출!$B$1:$BI$1,0))=0,"",INDEX(Raw_매출!$B$2:$BI$155,MATCH($A133,Raw_매출!$A$2:$A$155,0),MATCH(EDATE($E133,H$1-1),Raw_매출!$B$1:$BI$1,0))/(INDEX(요약_월별시즈널리티!$F$7:$F$18,MONTH(EDATE($E133,H$1-1)))/100))),"")</f>
        <v>2972922.177304267</v>
      </c>
      <c r="I133" cm="1">
        <f t="array" ref="I133">IFERROR(IF($E133&lt;44348,"",IF(INDEX(Raw_매출!$B$2:$BI$155,MATCH($A133,Raw_매출!$A$2:$A$155,0),MATCH(EDATE($E133,I$1-1),Raw_매출!$B$1:$BI$1,0))=0,"",INDEX(Raw_매출!$B$2:$BI$155,MATCH($A133,Raw_매출!$A$2:$A$155,0),MATCH(EDATE($E133,I$1-1),Raw_매출!$B$1:$BI$1,0))/(INDEX(요약_월별시즈널리티!$F$7:$F$18,MONTH(EDATE($E133,I$1-1)))/100))),"")</f>
        <v>3299214.9771446842</v>
      </c>
      <c r="J133" s="30" cm="1">
        <f t="array" ref="J133">IFERROR(IF($E133&lt;44348,"",IF(INDEX(Raw_매출!$B$2:$BI$155,MATCH($A133,Raw_매출!$A$2:$A$155,0),MATCH(EDATE($E133,J$1-1),Raw_매출!$B$1:$BI$1,0))=0,"",INDEX(Raw_매출!$B$2:$BI$155,MATCH($A133,Raw_매출!$A$2:$A$155,0),MATCH(EDATE($E133,J$1-1),Raw_매출!$B$1:$BI$1,0))/(INDEX(요약_월별시즈널리티!$F$7:$F$18,MONTH(EDATE($E133,J$1-1)))/100))),"")</f>
        <v>3485702.5554805403</v>
      </c>
      <c r="K133" s="30" cm="1">
        <f t="array" ref="K133">IFERROR(IF($E133&lt;44348,"",IF(INDEX(Raw_매출!$B$2:$BI$155,MATCH($A133,Raw_매출!$A$2:$A$155,0),MATCH(EDATE($E133,K$1-1),Raw_매출!$B$1:$BI$1,0))=0,"",INDEX(Raw_매출!$B$2:$BI$155,MATCH($A133,Raw_매출!$A$2:$A$155,0),MATCH(EDATE($E133,K$1-1),Raw_매출!$B$1:$BI$1,0))/(INDEX(요약_월별시즈널리티!$F$7:$F$18,MONTH(EDATE($E133,K$1-1)))/100))),"")</f>
        <v>4130326.907323048</v>
      </c>
      <c r="L133" s="30" cm="1">
        <f t="array" ref="L133">IFERROR(IF($E133&lt;44348,"",IF(INDEX(Raw_매출!$B$2:$BI$155,MATCH($A133,Raw_매출!$A$2:$A$155,0),MATCH(EDATE($E133,L$1-1),Raw_매출!$B$1:$BI$1,0))=0,"",INDEX(Raw_매출!$B$2:$BI$155,MATCH($A133,Raw_매출!$A$2:$A$155,0),MATCH(EDATE($E133,L$1-1),Raw_매출!$B$1:$BI$1,0))/(INDEX(요약_월별시즈널리티!$F$7:$F$18,MONTH(EDATE($E133,L$1-1)))/100))),"")</f>
        <v>3179218.6909136409</v>
      </c>
      <c r="M133" s="30" cm="1">
        <f t="array" ref="M133">IFERROR(IF($E133&lt;44348,"",IF(INDEX(Raw_매출!$B$2:$BI$155,MATCH($A133,Raw_매출!$A$2:$A$155,0),MATCH(EDATE($E133,M$1-1),Raw_매출!$B$1:$BI$1,0))=0,"",INDEX(Raw_매출!$B$2:$BI$155,MATCH($A133,Raw_매출!$A$2:$A$155,0),MATCH(EDATE($E133,M$1-1),Raw_매출!$B$1:$BI$1,0))/(INDEX(요약_월별시즈널리티!$F$7:$F$18,MONTH(EDATE($E133,M$1-1)))/100))),"")</f>
        <v>3563859.5108029838</v>
      </c>
      <c r="N133" s="30" cm="1">
        <f t="array" ref="N133">IFERROR(IF($E133&lt;44348,"",IF(INDEX(Raw_매출!$B$2:$BI$155,MATCH($A133,Raw_매출!$A$2:$A$155,0),MATCH(EDATE($E133,N$1-1),Raw_매출!$B$1:$BI$1,0))=0,"",INDEX(Raw_매출!$B$2:$BI$155,MATCH($A133,Raw_매출!$A$2:$A$155,0),MATCH(EDATE($E133,N$1-1),Raw_매출!$B$1:$BI$1,0))/(INDEX(요약_월별시즈널리티!$F$7:$F$18,MONTH(EDATE($E133,N$1-1)))/100))),"")</f>
        <v>3832271.7031800393</v>
      </c>
      <c r="O133" s="30" cm="1">
        <f t="array" ref="O133">IFERROR(IF($E133&lt;44348,"",IF(INDEX(Raw_매출!$B$2:$BI$155,MATCH($A133,Raw_매출!$A$2:$A$155,0),MATCH(EDATE($E133,O$1-1),Raw_매출!$B$1:$BI$1,0))=0,"",INDEX(Raw_매출!$B$2:$BI$155,MATCH($A133,Raw_매출!$A$2:$A$155,0),MATCH(EDATE($E133,O$1-1),Raw_매출!$B$1:$BI$1,0))/(INDEX(요약_월별시즈널리티!$F$7:$F$18,MONTH(EDATE($E133,O$1-1)))/100))),"")</f>
        <v>3595406.7689395007</v>
      </c>
      <c r="P133" cm="1">
        <f t="array" ref="P133">IFERROR(IF($E133&lt;44348,"",IF(INDEX(Raw_매출!$B$2:$BI$155,MATCH($A133,Raw_매출!$A$2:$A$155,0),MATCH(EDATE($E133,P$1-1),Raw_매출!$B$1:$BI$1,0))=0,"",INDEX(Raw_매출!$B$2:$BI$155,MATCH($A133,Raw_매출!$A$2:$A$155,0),MATCH(EDATE($E133,P$1-1),Raw_매출!$B$1:$BI$1,0))/(INDEX(요약_월별시즈널리티!$F$7:$F$18,MONTH(EDATE($E133,P$1-1)))/100))),"")</f>
        <v>4423175.145738028</v>
      </c>
      <c r="Q133" cm="1">
        <f t="array" ref="Q133">IFERROR(IF($E133&lt;44348,"",IF(INDEX(Raw_매출!$B$2:$BI$155,MATCH($A133,Raw_매출!$A$2:$A$155,0),MATCH(EDATE($E133,Q$1-1),Raw_매출!$B$1:$BI$1,0))=0,"",INDEX(Raw_매출!$B$2:$BI$155,MATCH($A133,Raw_매출!$A$2:$A$155,0),MATCH(EDATE($E133,Q$1-1),Raw_매출!$B$1:$BI$1,0))/(INDEX(요약_월별시즈널리티!$F$7:$F$18,MONTH(EDATE($E133,Q$1-1)))/100))),"")</f>
        <v>4201127.9692341294</v>
      </c>
      <c r="R133" cm="1">
        <f t="array" ref="R133">IFERROR(IF($E133&lt;44348,"",IF(INDEX(Raw_매출!$B$2:$BI$155,MATCH($A133,Raw_매출!$A$2:$A$155,0),MATCH(EDATE($E133,R$1-1),Raw_매출!$B$1:$BI$1,0))=0,"",INDEX(Raw_매출!$B$2:$BI$155,MATCH($A133,Raw_매출!$A$2:$A$155,0),MATCH(EDATE($E133,R$1-1),Raw_매출!$B$1:$BI$1,0))/(INDEX(요약_월별시즈널리티!$F$7:$F$18,MONTH(EDATE($E133,R$1-1)))/100))),"")</f>
        <v>4282658.6002865341</v>
      </c>
      <c r="S133" cm="1">
        <f t="array" ref="S133">IFERROR(IF($E133&lt;44348,"",IF(INDEX(Raw_매출!$B$2:$BI$155,MATCH($A133,Raw_매출!$A$2:$A$155,0),MATCH(EDATE($E133,S$1-1),Raw_매출!$B$1:$BI$1,0))=0,"",INDEX(Raw_매출!$B$2:$BI$155,MATCH($A133,Raw_매출!$A$2:$A$155,0),MATCH(EDATE($E133,S$1-1),Raw_매출!$B$1:$BI$1,0))/(INDEX(요약_월별시즈널리티!$F$7:$F$18,MONTH(EDATE($E133,S$1-1)))/100))),"")</f>
        <v>4677837.1811558902</v>
      </c>
      <c r="T133" cm="1">
        <f t="array" ref="T133">IFERROR(IF($E133&lt;44348,"",IF(INDEX(Raw_매출!$B$2:$BI$155,MATCH($A133,Raw_매출!$A$2:$A$155,0),MATCH(EDATE($E133,T$1-1),Raw_매출!$B$1:$BI$1,0))=0,"",INDEX(Raw_매출!$B$2:$BI$155,MATCH($A133,Raw_매출!$A$2:$A$155,0),MATCH(EDATE($E133,T$1-1),Raw_매출!$B$1:$BI$1,0))/(INDEX(요약_월별시즈널리티!$F$7:$F$18,MONTH(EDATE($E133,T$1-1)))/100))),"")</f>
        <v>4608200.811305075</v>
      </c>
      <c r="U133" cm="1">
        <f t="array" ref="U133">IFERROR(IF($E133&lt;44348,"",IF(INDEX(Raw_매출!$B$2:$BI$155,MATCH($A133,Raw_매출!$A$2:$A$155,0),MATCH(EDATE($E133,U$1-1),Raw_매출!$B$1:$BI$1,0))=0,"",INDEX(Raw_매출!$B$2:$BI$155,MATCH($A133,Raw_매출!$A$2:$A$155,0),MATCH(EDATE($E133,U$1-1),Raw_매출!$B$1:$BI$1,0))/(INDEX(요약_월별시즈널리티!$F$7:$F$18,MONTH(EDATE($E133,U$1-1)))/100))),"")</f>
        <v>3868105.4725954412</v>
      </c>
      <c r="V133" cm="1">
        <f t="array" ref="V133">IFERROR(IF($E133&lt;44348,"",IF(INDEX(Raw_매출!$B$2:$BI$155,MATCH($A133,Raw_매출!$A$2:$A$155,0),MATCH(EDATE($E133,V$1-1),Raw_매출!$B$1:$BI$1,0))=0,"",INDEX(Raw_매출!$B$2:$BI$155,MATCH($A133,Raw_매출!$A$2:$A$155,0),MATCH(EDATE($E133,V$1-1),Raw_매출!$B$1:$BI$1,0))/(INDEX(요약_월별시즈널리티!$F$7:$F$18,MONTH(EDATE($E133,V$1-1)))/100))),"")</f>
        <v>4239744.671155367</v>
      </c>
      <c r="W133" cm="1">
        <f t="array" ref="W133">IFERROR(IF($E133&lt;44348,"",IF(INDEX(Raw_매출!$B$2:$BI$155,MATCH($A133,Raw_매출!$A$2:$A$155,0),MATCH(EDATE($E133,W$1-1),Raw_매출!$B$1:$BI$1,0))=0,"",INDEX(Raw_매출!$B$2:$BI$155,MATCH($A133,Raw_매출!$A$2:$A$155,0),MATCH(EDATE($E133,W$1-1),Raw_매출!$B$1:$BI$1,0))/(INDEX(요약_월별시즈널리티!$F$7:$F$18,MONTH(EDATE($E133,W$1-1)))/100))),"")</f>
        <v>4480721.3683027513</v>
      </c>
      <c r="X133" t="str" cm="1">
        <f t="array" ref="X133">IFERROR(IF($E133&lt;44348,"",IF(INDEX(Raw_매출!$B$2:$BI$155,MATCH($A133,Raw_매출!$A$2:$A$155,0),MATCH(EDATE($E133,X$1-1),Raw_매출!$B$1:$BI$1,0))=0,"",INDEX(Raw_매출!$B$2:$BI$155,MATCH($A133,Raw_매출!$A$2:$A$155,0),MATCH(EDATE($E133,X$1-1),Raw_매출!$B$1:$BI$1,0))/(INDEX(요약_월별시즈널리티!$F$7:$F$18,MONTH(EDATE($E133,X$1-1)))/100))),"")</f>
        <v/>
      </c>
      <c r="Y133" t="str" cm="1">
        <f t="array" ref="Y133">IFERROR(IF($E133&lt;44348,"",IF(INDEX(Raw_매출!$B$2:$BI$155,MATCH($A133,Raw_매출!$A$2:$A$155,0),MATCH(EDATE($E133,Y$1-1),Raw_매출!$B$1:$BI$1,0))=0,"",INDEX(Raw_매출!$B$2:$BI$155,MATCH($A133,Raw_매출!$A$2:$A$155,0),MATCH(EDATE($E133,Y$1-1),Raw_매출!$B$1:$BI$1,0))/(INDEX(요약_월별시즈널리티!$F$7:$F$18,MONTH(EDATE($E133,Y$1-1)))/100))),"")</f>
        <v/>
      </c>
      <c r="Z133" t="str" cm="1">
        <f t="array" ref="Z133">IFERROR(IF($E133&lt;44348,"",IF(INDEX(Raw_매출!$B$2:$BI$155,MATCH($A133,Raw_매출!$A$2:$A$155,0),MATCH(EDATE($E133,Z$1-1),Raw_매출!$B$1:$BI$1,0))=0,"",INDEX(Raw_매출!$B$2:$BI$155,MATCH($A133,Raw_매출!$A$2:$A$155,0),MATCH(EDATE($E133,Z$1-1),Raw_매출!$B$1:$BI$1,0))/(INDEX(요약_월별시즈널리티!$F$7:$F$18,MONTH(EDATE($E133,Z$1-1)))/100))),"")</f>
        <v/>
      </c>
      <c r="AA133" t="str" cm="1">
        <f t="array" ref="AA133">IFERROR(IF($E133&lt;44348,"",IF(INDEX(Raw_매출!$B$2:$BI$155,MATCH($A133,Raw_매출!$A$2:$A$155,0),MATCH(EDATE($E133,AA$1-1),Raw_매출!$B$1:$BI$1,0))=0,"",INDEX(Raw_매출!$B$2:$BI$155,MATCH($A133,Raw_매출!$A$2:$A$155,0),MATCH(EDATE($E133,AA$1-1),Raw_매출!$B$1:$BI$1,0))/(INDEX(요약_월별시즈널리티!$F$7:$F$18,MONTH(EDATE($E133,AA$1-1)))/100))),"")</f>
        <v/>
      </c>
      <c r="AB133" t="str" cm="1">
        <f t="array" ref="AB133">IFERROR(IF($E133&lt;44348,"",IF(INDEX(Raw_매출!$B$2:$BI$155,MATCH($A133,Raw_매출!$A$2:$A$155,0),MATCH(EDATE($E133,AB$1-1),Raw_매출!$B$1:$BI$1,0))=0,"",INDEX(Raw_매출!$B$2:$BI$155,MATCH($A133,Raw_매출!$A$2:$A$155,0),MATCH(EDATE($E133,AB$1-1),Raw_매출!$B$1:$BI$1,0))/(INDEX(요약_월별시즈널리티!$F$7:$F$18,MONTH(EDATE($E133,AB$1-1)))/100))),"")</f>
        <v/>
      </c>
      <c r="AC133" t="str" cm="1">
        <f t="array" ref="AC133">IFERROR(IF($E133&lt;44348,"",IF(INDEX(Raw_매출!$B$2:$BI$155,MATCH($A133,Raw_매출!$A$2:$A$155,0),MATCH(EDATE($E133,AC$1-1),Raw_매출!$B$1:$BI$1,0))=0,"",INDEX(Raw_매출!$B$2:$BI$155,MATCH($A133,Raw_매출!$A$2:$A$155,0),MATCH(EDATE($E133,AC$1-1),Raw_매출!$B$1:$BI$1,0))/(INDEX(요약_월별시즈널리티!$F$7:$F$18,MONTH(EDATE($E133,AC$1-1)))/100))),"")</f>
        <v/>
      </c>
      <c r="AD133" t="str" cm="1">
        <f t="array" ref="AD133">IFERROR(IF($E133&lt;44348,"",IF(INDEX(Raw_매출!$B$2:$BI$155,MATCH($A133,Raw_매출!$A$2:$A$155,0),MATCH(EDATE($E133,AD$1-1),Raw_매출!$B$1:$BI$1,0))=0,"",INDEX(Raw_매출!$B$2:$BI$155,MATCH($A133,Raw_매출!$A$2:$A$155,0),MATCH(EDATE($E133,AD$1-1),Raw_매출!$B$1:$BI$1,0))/(INDEX(요약_월별시즈널리티!$F$7:$F$18,MONTH(EDATE($E133,AD$1-1)))/100))),"")</f>
        <v/>
      </c>
      <c r="AE133" t="str" cm="1">
        <f t="array" ref="AE133">IFERROR(IF($E133&lt;44348,"",IF(INDEX(Raw_매출!$B$2:$BI$155,MATCH($A133,Raw_매출!$A$2:$A$155,0),MATCH(EDATE($E133,AE$1-1),Raw_매출!$B$1:$BI$1,0))=0,"",INDEX(Raw_매출!$B$2:$BI$155,MATCH($A133,Raw_매출!$A$2:$A$155,0),MATCH(EDATE($E133,AE$1-1),Raw_매출!$B$1:$BI$1,0))/(INDEX(요약_월별시즈널리티!$F$7:$F$18,MONTH(EDATE($E133,AE$1-1)))/100))),"")</f>
        <v/>
      </c>
      <c r="AF133" t="str" cm="1">
        <f t="array" ref="AF133">IFERROR(IF($E133&lt;44348,"",IF(INDEX(Raw_매출!$B$2:$BI$155,MATCH($A133,Raw_매출!$A$2:$A$155,0),MATCH(EDATE($E133,AF$1-1),Raw_매출!$B$1:$BI$1,0))=0,"",INDEX(Raw_매출!$B$2:$BI$155,MATCH($A133,Raw_매출!$A$2:$A$155,0),MATCH(EDATE($E133,AF$1-1),Raw_매출!$B$1:$BI$1,0))/(INDEX(요약_월별시즈널리티!$F$7:$F$18,MONTH(EDATE($E133,AF$1-1)))/100))),"")</f>
        <v/>
      </c>
      <c r="AG133" t="str" cm="1">
        <f t="array" ref="AG133">IFERROR(IF($E133&lt;44348,"",IF(INDEX(Raw_매출!$B$2:$BI$155,MATCH($A133,Raw_매출!$A$2:$A$155,0),MATCH(EDATE($E133,AG$1-1),Raw_매출!$B$1:$BI$1,0))=0,"",INDEX(Raw_매출!$B$2:$BI$155,MATCH($A133,Raw_매출!$A$2:$A$155,0),MATCH(EDATE($E133,AG$1-1),Raw_매출!$B$1:$BI$1,0))/(INDEX(요약_월별시즈널리티!$F$7:$F$18,MONTH(EDATE($E133,AG$1-1)))/100))),"")</f>
        <v/>
      </c>
      <c r="AH133" t="str" cm="1">
        <f t="array" ref="AH133">IFERROR(IF($E133&lt;44348,"",IF(INDEX(Raw_매출!$B$2:$BI$155,MATCH($A133,Raw_매출!$A$2:$A$155,0),MATCH(EDATE($E133,AH$1-1),Raw_매출!$B$1:$BI$1,0))=0,"",INDEX(Raw_매출!$B$2:$BI$155,MATCH($A133,Raw_매출!$A$2:$A$155,0),MATCH(EDATE($E133,AH$1-1),Raw_매출!$B$1:$BI$1,0))/(INDEX(요약_월별시즈널리티!$F$7:$F$18,MONTH(EDATE($E133,AH$1-1)))/100))),"")</f>
        <v/>
      </c>
      <c r="AI133" t="str" cm="1">
        <f t="array" ref="AI133">IFERROR(IF($E133&lt;44348,"",IF(INDEX(Raw_매출!$B$2:$BI$155,MATCH($A133,Raw_매출!$A$2:$A$155,0),MATCH(EDATE($E133,AI$1-1),Raw_매출!$B$1:$BI$1,0))=0,"",INDEX(Raw_매출!$B$2:$BI$155,MATCH($A133,Raw_매출!$A$2:$A$155,0),MATCH(EDATE($E133,AI$1-1),Raw_매출!$B$1:$BI$1,0))/(INDEX(요약_월별시즈널리티!$F$7:$F$18,MONTH(EDATE($E133,AI$1-1)))/100))),"")</f>
        <v/>
      </c>
      <c r="AJ133" t="str" cm="1">
        <f t="array" ref="AJ133">IFERROR(IF($E133&lt;44348,"",IF(INDEX(Raw_매출!$B$2:$BI$155,MATCH($A133,Raw_매출!$A$2:$A$155,0),MATCH(EDATE($E133,AJ$1-1),Raw_매출!$B$1:$BI$1,0))=0,"",INDEX(Raw_매출!$B$2:$BI$155,MATCH($A133,Raw_매출!$A$2:$A$155,0),MATCH(EDATE($E133,AJ$1-1),Raw_매출!$B$1:$BI$1,0))/(INDEX(요약_월별시즈널리티!$F$7:$F$18,MONTH(EDATE($E133,AJ$1-1)))/100))),"")</f>
        <v/>
      </c>
      <c r="AK133" t="str" cm="1">
        <f t="array" ref="AK133">IFERROR(IF($E133&lt;44348,"",IF(INDEX(Raw_매출!$B$2:$BI$155,MATCH($A133,Raw_매출!$A$2:$A$155,0),MATCH(EDATE($E133,AK$1-1),Raw_매출!$B$1:$BI$1,0))=0,"",INDEX(Raw_매출!$B$2:$BI$155,MATCH($A133,Raw_매출!$A$2:$A$155,0),MATCH(EDATE($E133,AK$1-1),Raw_매출!$B$1:$BI$1,0))/(INDEX(요약_월별시즈널리티!$F$7:$F$18,MONTH(EDATE($E133,AK$1-1)))/100))),"")</f>
        <v/>
      </c>
      <c r="AL133" t="str" cm="1">
        <f t="array" ref="AL133">IFERROR(IF($E133&lt;44348,"",IF(INDEX(Raw_매출!$B$2:$BI$155,MATCH($A133,Raw_매출!$A$2:$A$155,0),MATCH(EDATE($E133,AL$1-1),Raw_매출!$B$1:$BI$1,0))=0,"",INDEX(Raw_매출!$B$2:$BI$155,MATCH($A133,Raw_매출!$A$2:$A$155,0),MATCH(EDATE($E133,AL$1-1),Raw_매출!$B$1:$BI$1,0))/(INDEX(요약_월별시즈널리티!$F$7:$F$18,MONTH(EDATE($E133,AL$1-1)))/100))),"")</f>
        <v/>
      </c>
      <c r="AM133" t="str" cm="1">
        <f t="array" ref="AM133">IFERROR(IF($E133&lt;44348,"",IF(INDEX(Raw_매출!$B$2:$BI$155,MATCH($A133,Raw_매출!$A$2:$A$155,0),MATCH(EDATE($E133,AM$1-1),Raw_매출!$B$1:$BI$1,0))=0,"",INDEX(Raw_매출!$B$2:$BI$155,MATCH($A133,Raw_매출!$A$2:$A$155,0),MATCH(EDATE($E133,AM$1-1),Raw_매출!$B$1:$BI$1,0))/(INDEX(요약_월별시즈널리티!$F$7:$F$18,MONTH(EDATE($E133,AM$1-1)))/100))),"")</f>
        <v/>
      </c>
      <c r="AN133" t="str" cm="1">
        <f t="array" ref="AN133">IFERROR(IF($E133&lt;44348,"",IF(INDEX(Raw_매출!$B$2:$BI$155,MATCH($A133,Raw_매출!$A$2:$A$155,0),MATCH(EDATE($E133,AN$1-1),Raw_매출!$B$1:$BI$1,0))=0,"",INDEX(Raw_매출!$B$2:$BI$155,MATCH($A133,Raw_매출!$A$2:$A$155,0),MATCH(EDATE($E133,AN$1-1),Raw_매출!$B$1:$BI$1,0))/(INDEX(요약_월별시즈널리티!$F$7:$F$18,MONTH(EDATE($E133,AN$1-1)))/100))),"")</f>
        <v/>
      </c>
      <c r="AO133" t="str" cm="1">
        <f t="array" ref="AO133">IFERROR(IF($E133&lt;44348,"",IF(INDEX(Raw_매출!$B$2:$BI$155,MATCH($A133,Raw_매출!$A$2:$A$155,0),MATCH(EDATE($E133,AO$1-1),Raw_매출!$B$1:$BI$1,0))=0,"",INDEX(Raw_매출!$B$2:$BI$155,MATCH($A133,Raw_매출!$A$2:$A$155,0),MATCH(EDATE($E133,AO$1-1),Raw_매출!$B$1:$BI$1,0))/(INDEX(요약_월별시즈널리티!$F$7:$F$18,MONTH(EDATE($E133,AO$1-1)))/100))),"")</f>
        <v/>
      </c>
      <c r="AP133" t="str" cm="1">
        <f t="array" ref="AP133">IFERROR(IF($E133&lt;44348,"",IF(INDEX(Raw_매출!$B$2:$BI$155,MATCH($A133,Raw_매출!$A$2:$A$155,0),MATCH(EDATE($E133,AP$1-1),Raw_매출!$B$1:$BI$1,0))=0,"",INDEX(Raw_매출!$B$2:$BI$155,MATCH($A133,Raw_매출!$A$2:$A$155,0),MATCH(EDATE($E133,AP$1-1),Raw_매출!$B$1:$BI$1,0))/(INDEX(요약_월별시즈널리티!$F$7:$F$18,MONTH(EDATE($E133,AP$1-1)))/100))),"")</f>
        <v/>
      </c>
      <c r="AQ133" t="str" cm="1">
        <f t="array" ref="AQ133">IFERROR(IF($E133&lt;44348,"",IF(INDEX(Raw_매출!$B$2:$BI$155,MATCH($A133,Raw_매출!$A$2:$A$155,0),MATCH(EDATE($E133,AQ$1-1),Raw_매출!$B$1:$BI$1,0))=0,"",INDEX(Raw_매출!$B$2:$BI$155,MATCH($A133,Raw_매출!$A$2:$A$155,0),MATCH(EDATE($E133,AQ$1-1),Raw_매출!$B$1:$BI$1,0))/(INDEX(요약_월별시즈널리티!$F$7:$F$18,MONTH(EDATE($E133,AQ$1-1)))/100))),"")</f>
        <v/>
      </c>
      <c r="AR133" t="str" cm="1">
        <f t="array" ref="AR133">IFERROR(IF($E133&lt;44348,"",IF(INDEX(Raw_매출!$B$2:$BI$155,MATCH($A133,Raw_매출!$A$2:$A$155,0),MATCH(EDATE($E133,AR$1-1),Raw_매출!$B$1:$BI$1,0))=0,"",INDEX(Raw_매출!$B$2:$BI$155,MATCH($A133,Raw_매출!$A$2:$A$155,0),MATCH(EDATE($E133,AR$1-1),Raw_매출!$B$1:$BI$1,0))/(INDEX(요약_월별시즈널리티!$F$7:$F$18,MONTH(EDATE($E133,AR$1-1)))/100))),"")</f>
        <v/>
      </c>
      <c r="AS133" t="str" cm="1">
        <f t="array" ref="AS133">IFERROR(IF($E133&lt;44348,"",IF(INDEX(Raw_매출!$B$2:$BI$155,MATCH($A133,Raw_매출!$A$2:$A$155,0),MATCH(EDATE($E133,AS$1-1),Raw_매출!$B$1:$BI$1,0))=0,"",INDEX(Raw_매출!$B$2:$BI$155,MATCH($A133,Raw_매출!$A$2:$A$155,0),MATCH(EDATE($E133,AS$1-1),Raw_매출!$B$1:$BI$1,0))/(INDEX(요약_월별시즈널리티!$F$7:$F$18,MONTH(EDATE($E133,AS$1-1)))/100))),"")</f>
        <v/>
      </c>
      <c r="AT133" t="str" cm="1">
        <f t="array" ref="AT133">IFERROR(IF($E133&lt;44348,"",IF(INDEX(Raw_매출!$B$2:$BI$155,MATCH($A133,Raw_매출!$A$2:$A$155,0),MATCH(EDATE($E133,AT$1-1),Raw_매출!$B$1:$BI$1,0))=0,"",INDEX(Raw_매출!$B$2:$BI$155,MATCH($A133,Raw_매출!$A$2:$A$155,0),MATCH(EDATE($E133,AT$1-1),Raw_매출!$B$1:$BI$1,0))/(INDEX(요약_월별시즈널리티!$F$7:$F$18,MONTH(EDATE($E133,AT$1-1)))/100))),"")</f>
        <v/>
      </c>
      <c r="AU133" t="str" cm="1">
        <f t="array" ref="AU133">IFERROR(IF($E133&lt;44348,"",IF(INDEX(Raw_매출!$B$2:$BI$155,MATCH($A133,Raw_매출!$A$2:$A$155,0),MATCH(EDATE($E133,AU$1-1),Raw_매출!$B$1:$BI$1,0))=0,"",INDEX(Raw_매출!$B$2:$BI$155,MATCH($A133,Raw_매출!$A$2:$A$155,0),MATCH(EDATE($E133,AU$1-1),Raw_매출!$B$1:$BI$1,0))/(INDEX(요약_월별시즈널리티!$F$7:$F$18,MONTH(EDATE($E133,AU$1-1)))/100))),"")</f>
        <v/>
      </c>
      <c r="AV133" t="str" cm="1">
        <f t="array" ref="AV133">IFERROR(IF($E133&lt;44348,"",IF(INDEX(Raw_매출!$B$2:$BI$155,MATCH($A133,Raw_매출!$A$2:$A$155,0),MATCH(EDATE($E133,AV$1-1),Raw_매출!$B$1:$BI$1,0))=0,"",INDEX(Raw_매출!$B$2:$BI$155,MATCH($A133,Raw_매출!$A$2:$A$155,0),MATCH(EDATE($E133,AV$1-1),Raw_매출!$B$1:$BI$1,0))/(INDEX(요약_월별시즈널리티!$F$7:$F$18,MONTH(EDATE($E133,AV$1-1)))/100))),"")</f>
        <v/>
      </c>
      <c r="AW133" t="str" cm="1">
        <f t="array" ref="AW133">IFERROR(IF($E133&lt;44348,"",IF(INDEX(Raw_매출!$B$2:$BI$155,MATCH($A133,Raw_매출!$A$2:$A$155,0),MATCH(EDATE($E133,AW$1-1),Raw_매출!$B$1:$BI$1,0))=0,"",INDEX(Raw_매출!$B$2:$BI$155,MATCH($A133,Raw_매출!$A$2:$A$155,0),MATCH(EDATE($E133,AW$1-1),Raw_매출!$B$1:$BI$1,0))/(INDEX(요약_월별시즈널리티!$F$7:$F$18,MONTH(EDATE($E133,AW$1-1)))/100))),"")</f>
        <v/>
      </c>
      <c r="AX133" t="str" cm="1">
        <f t="array" ref="AX133">IFERROR(IF($E133&lt;44348,"",IF(INDEX(Raw_매출!$B$2:$BI$155,MATCH($A133,Raw_매출!$A$2:$A$155,0),MATCH(EDATE($E133,AX$1-1),Raw_매출!$B$1:$BI$1,0))=0,"",INDEX(Raw_매출!$B$2:$BI$155,MATCH($A133,Raw_매출!$A$2:$A$155,0),MATCH(EDATE($E133,AX$1-1),Raw_매출!$B$1:$BI$1,0))/(INDEX(요약_월별시즈널리티!$F$7:$F$18,MONTH(EDATE($E133,AX$1-1)))/100))),"")</f>
        <v/>
      </c>
      <c r="AY133" t="str" cm="1">
        <f t="array" ref="AY133">IFERROR(IF($E133&lt;44348,"",IF(INDEX(Raw_매출!$B$2:$BI$155,MATCH($A133,Raw_매출!$A$2:$A$155,0),MATCH(EDATE($E133,AY$1-1),Raw_매출!$B$1:$BI$1,0))=0,"",INDEX(Raw_매출!$B$2:$BI$155,MATCH($A133,Raw_매출!$A$2:$A$155,0),MATCH(EDATE($E133,AY$1-1),Raw_매출!$B$1:$BI$1,0))/(INDEX(요약_월별시즈널리티!$F$7:$F$18,MONTH(EDATE($E133,AY$1-1)))/100))),"")</f>
        <v/>
      </c>
      <c r="AZ133" t="str" cm="1">
        <f t="array" ref="AZ133">IFERROR(IF($E133&lt;44348,"",IF(INDEX(Raw_매출!$B$2:$BI$155,MATCH($A133,Raw_매출!$A$2:$A$155,0),MATCH(EDATE($E133,AZ$1-1),Raw_매출!$B$1:$BI$1,0))=0,"",INDEX(Raw_매출!$B$2:$BI$155,MATCH($A133,Raw_매출!$A$2:$A$155,0),MATCH(EDATE($E133,AZ$1-1),Raw_매출!$B$1:$BI$1,0))/(INDEX(요약_월별시즈널리티!$F$7:$F$18,MONTH(EDATE($E133,AZ$1-1)))/100))),"")</f>
        <v/>
      </c>
      <c r="BA133" t="str" cm="1">
        <f t="array" ref="BA133">IFERROR(IF($E133&lt;44348,"",IF(INDEX(Raw_매출!$B$2:$BI$155,MATCH($A133,Raw_매출!$A$2:$A$155,0),MATCH(EDATE($E133,BA$1-1),Raw_매출!$B$1:$BI$1,0))=0,"",INDEX(Raw_매출!$B$2:$BI$155,MATCH($A133,Raw_매출!$A$2:$A$155,0),MATCH(EDATE($E133,BA$1-1),Raw_매출!$B$1:$BI$1,0))/(INDEX(요약_월별시즈널리티!$F$7:$F$18,MONTH(EDATE($E133,BA$1-1)))/100))),"")</f>
        <v/>
      </c>
      <c r="BB133" t="str" cm="1">
        <f t="array" ref="BB133">IFERROR(IF($E133&lt;44348,"",IF(INDEX(Raw_매출!$B$2:$BI$155,MATCH($A133,Raw_매출!$A$2:$A$155,0),MATCH(EDATE($E133,BB$1-1),Raw_매출!$B$1:$BI$1,0))=0,"",INDEX(Raw_매출!$B$2:$BI$155,MATCH($A133,Raw_매출!$A$2:$A$155,0),MATCH(EDATE($E133,BB$1-1),Raw_매출!$B$1:$BI$1,0))/(INDEX(요약_월별시즈널리티!$F$7:$F$18,MONTH(EDATE($E133,BB$1-1)))/100))),"")</f>
        <v/>
      </c>
      <c r="BC133" t="str" cm="1">
        <f t="array" ref="BC133">IFERROR(IF($E133&lt;44348,"",IF(INDEX(Raw_매출!$B$2:$BI$155,MATCH($A133,Raw_매출!$A$2:$A$155,0),MATCH(EDATE($E133,BC$1-1),Raw_매출!$B$1:$BI$1,0))=0,"",INDEX(Raw_매출!$B$2:$BI$155,MATCH($A133,Raw_매출!$A$2:$A$155,0),MATCH(EDATE($E133,BC$1-1),Raw_매출!$B$1:$BI$1,0))/(INDEX(요약_월별시즈널리티!$F$7:$F$18,MONTH(EDATE($E133,BC$1-1)))/100))),"")</f>
        <v/>
      </c>
      <c r="BD133" t="str" cm="1">
        <f t="array" ref="BD133">IFERROR(IF($E133&lt;44348,"",IF(INDEX(Raw_매출!$B$2:$BI$155,MATCH($A133,Raw_매출!$A$2:$A$155,0),MATCH(EDATE($E133,BD$1-1),Raw_매출!$B$1:$BI$1,0))=0,"",INDEX(Raw_매출!$B$2:$BI$155,MATCH($A133,Raw_매출!$A$2:$A$155,0),MATCH(EDATE($E133,BD$1-1),Raw_매출!$B$1:$BI$1,0))/(INDEX(요약_월별시즈널리티!$F$7:$F$18,MONTH(EDATE($E133,BD$1-1)))/100))),"")</f>
        <v/>
      </c>
      <c r="BE133" t="str" cm="1">
        <f t="array" ref="BE133">IFERROR(IF($E133&lt;44348,"",IF(INDEX(Raw_매출!$B$2:$BI$155,MATCH($A133,Raw_매출!$A$2:$A$155,0),MATCH(EDATE($E133,BE$1-1),Raw_매출!$B$1:$BI$1,0))=0,"",INDEX(Raw_매출!$B$2:$BI$155,MATCH($A133,Raw_매출!$A$2:$A$155,0),MATCH(EDATE($E133,BE$1-1),Raw_매출!$B$1:$BI$1,0))/(INDEX(요약_월별시즈널리티!$F$7:$F$18,MONTH(EDATE($E133,BE$1-1)))/100))),"")</f>
        <v/>
      </c>
      <c r="BF133" t="str" cm="1">
        <f t="array" ref="BF133">IFERROR(IF($E133&lt;44348,"",IF(INDEX(Raw_매출!$B$2:$BI$155,MATCH($A133,Raw_매출!$A$2:$A$155,0),MATCH(EDATE($E133,BF$1-1),Raw_매출!$B$1:$BI$1,0))=0,"",INDEX(Raw_매출!$B$2:$BI$155,MATCH($A133,Raw_매출!$A$2:$A$155,0),MATCH(EDATE($E133,BF$1-1),Raw_매출!$B$1:$BI$1,0))/(INDEX(요약_월별시즈널리티!$F$7:$F$18,MONTH(EDATE($E133,BF$1-1)))/100))),"")</f>
        <v/>
      </c>
      <c r="BG133" t="str" cm="1">
        <f t="array" ref="BG133">IFERROR(IF($E133&lt;44348,"",IF(INDEX(Raw_매출!$B$2:$BI$155,MATCH($A133,Raw_매출!$A$2:$A$155,0),MATCH(EDATE($E133,BG$1-1),Raw_매출!$B$1:$BI$1,0))=0,"",INDEX(Raw_매출!$B$2:$BI$155,MATCH($A133,Raw_매출!$A$2:$A$155,0),MATCH(EDATE($E133,BG$1-1),Raw_매출!$B$1:$BI$1,0))/(INDEX(요약_월별시즈널리티!$F$7:$F$18,MONTH(EDATE($E133,BG$1-1)))/100))),"")</f>
        <v/>
      </c>
      <c r="BH133" t="str" cm="1">
        <f t="array" ref="BH133">IFERROR(IF($E133&lt;44348,"",IF(INDEX(Raw_매출!$B$2:$BI$155,MATCH($A133,Raw_매출!$A$2:$A$155,0),MATCH(EDATE($E133,BH$1-1),Raw_매출!$B$1:$BI$1,0))=0,"",INDEX(Raw_매출!$B$2:$BI$155,MATCH($A133,Raw_매출!$A$2:$A$155,0),MATCH(EDATE($E133,BH$1-1),Raw_매출!$B$1:$BI$1,0))/(INDEX(요약_월별시즈널리티!$F$7:$F$18,MONTH(EDATE($E133,BH$1-1)))/100))),"")</f>
        <v/>
      </c>
      <c r="BI133" t="str" cm="1">
        <f t="array" ref="BI133">IFERROR(IF($E133&lt;44348,"",IF(INDEX(Raw_매출!$B$2:$BI$155,MATCH($A133,Raw_매출!$A$2:$A$155,0),MATCH(EDATE($E133,BI$1-1),Raw_매출!$B$1:$BI$1,0))=0,"",INDEX(Raw_매출!$B$2:$BI$155,MATCH($A133,Raw_매출!$A$2:$A$155,0),MATCH(EDATE($E133,BI$1-1),Raw_매출!$B$1:$BI$1,0))/(INDEX(요약_월별시즈널리티!$F$7:$F$18,MONTH(EDATE($E133,BI$1-1)))/100))),"")</f>
        <v/>
      </c>
      <c r="BJ133" t="str" cm="1">
        <f t="array" ref="BJ133">IFERROR(IF($E133&lt;44348,"",IF(INDEX(Raw_매출!$B$2:$BI$155,MATCH($A133,Raw_매출!$A$2:$A$155,0),MATCH(EDATE($E133,BJ$1-1),Raw_매출!$B$1:$BI$1,0))=0,"",INDEX(Raw_매출!$B$2:$BI$155,MATCH($A133,Raw_매출!$A$2:$A$155,0),MATCH(EDATE($E133,BJ$1-1),Raw_매출!$B$1:$BI$1,0))/(INDEX(요약_월별시즈널리티!$F$7:$F$18,MONTH(EDATE($E133,BJ$1-1)))/100))),"")</f>
        <v/>
      </c>
      <c r="BK133" t="str" cm="1">
        <f t="array" ref="BK133">IFERROR(IF($E133&lt;44348,"",IF(INDEX(Raw_매출!$B$2:$BI$155,MATCH($A133,Raw_매출!$A$2:$A$155,0),MATCH(EDATE($E133,BK$1-1),Raw_매출!$B$1:$BI$1,0))=0,"",INDEX(Raw_매출!$B$2:$BI$155,MATCH($A133,Raw_매출!$A$2:$A$155,0),MATCH(EDATE($E133,BK$1-1),Raw_매출!$B$1:$BI$1,0))/(INDEX(요약_월별시즈널리티!$F$7:$F$18,MONTH(EDATE($E133,BK$1-1)))/100))),"")</f>
        <v/>
      </c>
      <c r="BL133" t="str" cm="1">
        <f t="array" ref="BL133">IFERROR(IF($E133&lt;44348,"",IF(INDEX(Raw_매출!$B$2:$BI$155,MATCH($A133,Raw_매출!$A$2:$A$155,0),MATCH(EDATE($E133,BL$1-1),Raw_매출!$B$1:$BI$1,0))=0,"",INDEX(Raw_매출!$B$2:$BI$155,MATCH($A133,Raw_매출!$A$2:$A$155,0),MATCH(EDATE($E133,BL$1-1),Raw_매출!$B$1:$BI$1,0))/(INDEX(요약_월별시즈널리티!$F$7:$F$18,MONTH(EDATE($E133,BL$1-1)))/100))),"")</f>
        <v/>
      </c>
      <c r="BM133" t="str" cm="1">
        <f t="array" ref="BM133">IFERROR(IF($E133&lt;44348,"",IF(INDEX(Raw_매출!$B$2:$BI$155,MATCH($A133,Raw_매출!$A$2:$A$155,0),MATCH(EDATE($E133,BM$1-1),Raw_매출!$B$1:$BI$1,0))=0,"",INDEX(Raw_매출!$B$2:$BI$155,MATCH($A133,Raw_매출!$A$2:$A$155,0),MATCH(EDATE($E133,BM$1-1),Raw_매출!$B$1:$BI$1,0))/(INDEX(요약_월별시즈널리티!$F$7:$F$18,MONTH(EDATE($E133,BM$1-1)))/100))),"")</f>
        <v/>
      </c>
      <c r="BN133" t="str" cm="1">
        <f t="array" ref="BN133">IFERROR(IF($E133&lt;44348,"",IF(INDEX(Raw_매출!$B$2:$BI$155,MATCH($A133,Raw_매출!$A$2:$A$155,0),MATCH(EDATE($E133,BN$1-1),Raw_매출!$B$1:$BI$1,0))=0,"",INDEX(Raw_매출!$B$2:$BI$155,MATCH($A133,Raw_매출!$A$2:$A$155,0),MATCH(EDATE($E133,BN$1-1),Raw_매출!$B$1:$BI$1,0))/(INDEX(요약_월별시즈널리티!$F$7:$F$18,MONTH(EDATE($E133,BN$1-1)))/100))),"")</f>
        <v/>
      </c>
    </row>
    <row r="134" spans="1:66" x14ac:dyDescent="0.4">
      <c r="A134" t="str">
        <f>세팅!A135</f>
        <v>(1125) #불광역대조점</v>
      </c>
      <c r="B134" t="str">
        <f>세팅!B135</f>
        <v>150-1</v>
      </c>
      <c r="C134">
        <f t="shared" si="6"/>
        <v>1</v>
      </c>
      <c r="D134" t="str">
        <f t="shared" si="7"/>
        <v>1</v>
      </c>
      <c r="E134" s="1">
        <f>세팅!D135</f>
        <v>45689</v>
      </c>
      <c r="F134">
        <f t="shared" si="8"/>
        <v>5960454.5128217712</v>
      </c>
      <c r="G134" cm="1">
        <f t="array" ref="G134">IFERROR(IF($E134&lt;44348,"",IF(INDEX(Raw_매출!$B$2:$BI$155,MATCH($A134,Raw_매출!$A$2:$A$155,0),MATCH(EDATE($E134,G$1-1),Raw_매출!$B$1:$BI$1,0))=0,"",INDEX(Raw_매출!$B$2:$BI$155,MATCH($A134,Raw_매출!$A$2:$A$155,0),MATCH(EDATE($E134,G$1-1),Raw_매출!$B$1:$BI$1,0))/(INDEX(요약_월별시즈널리티!$F$7:$F$18,MONTH(EDATE($E134,G$1-1)))/100))),"")</f>
        <v>4700871.4253058312</v>
      </c>
      <c r="H134" cm="1">
        <f t="array" ref="H134">IFERROR(IF($E134&lt;44348,"",IF(INDEX(Raw_매출!$B$2:$BI$155,MATCH($A134,Raw_매출!$A$2:$A$155,0),MATCH(EDATE($E134,H$1-1),Raw_매출!$B$1:$BI$1,0))=0,"",INDEX(Raw_매출!$B$2:$BI$155,MATCH($A134,Raw_매출!$A$2:$A$155,0),MATCH(EDATE($E134,H$1-1),Raw_매출!$B$1:$BI$1,0))/(INDEX(요약_월별시즈널리티!$F$7:$F$18,MONTH(EDATE($E134,H$1-1)))/100))),"")</f>
        <v>5843909.0905871503</v>
      </c>
      <c r="I134" cm="1">
        <f t="array" ref="I134">IFERROR(IF($E134&lt;44348,"",IF(INDEX(Raw_매출!$B$2:$BI$155,MATCH($A134,Raw_매출!$A$2:$A$155,0),MATCH(EDATE($E134,I$1-1),Raw_매출!$B$1:$BI$1,0))=0,"",INDEX(Raw_매출!$B$2:$BI$155,MATCH($A134,Raw_매출!$A$2:$A$155,0),MATCH(EDATE($E134,I$1-1),Raw_매출!$B$1:$BI$1,0))/(INDEX(요약_월별시즈널리티!$F$7:$F$18,MONTH(EDATE($E134,I$1-1)))/100))),"")</f>
        <v>5680305.5269022286</v>
      </c>
      <c r="J134" s="30" cm="1">
        <f t="array" ref="J134">IFERROR(IF($E134&lt;44348,"",IF(INDEX(Raw_매출!$B$2:$BI$155,MATCH($A134,Raw_매출!$A$2:$A$155,0),MATCH(EDATE($E134,J$1-1),Raw_매출!$B$1:$BI$1,0))=0,"",INDEX(Raw_매출!$B$2:$BI$155,MATCH($A134,Raw_매출!$A$2:$A$155,0),MATCH(EDATE($E134,J$1-1),Raw_매출!$B$1:$BI$1,0))/(INDEX(요약_월별시즈널리티!$F$7:$F$18,MONTH(EDATE($E134,J$1-1)))/100))),"")</f>
        <v>5888430.1662246231</v>
      </c>
      <c r="K134" s="30" cm="1">
        <f t="array" ref="K134">IFERROR(IF($E134&lt;44348,"",IF(INDEX(Raw_매출!$B$2:$BI$155,MATCH($A134,Raw_매출!$A$2:$A$155,0),MATCH(EDATE($E134,K$1-1),Raw_매출!$B$1:$BI$1,0))=0,"",INDEX(Raw_매출!$B$2:$BI$155,MATCH($A134,Raw_매출!$A$2:$A$155,0),MATCH(EDATE($E134,K$1-1),Raw_매출!$B$1:$BI$1,0))/(INDEX(요약_월별시즈널리티!$F$7:$F$18,MONTH(EDATE($E134,K$1-1)))/100))),"")</f>
        <v>6000738.1869986355</v>
      </c>
      <c r="L134" s="30" cm="1">
        <f t="array" ref="L134">IFERROR(IF($E134&lt;44348,"",IF(INDEX(Raw_매출!$B$2:$BI$155,MATCH($A134,Raw_매출!$A$2:$A$155,0),MATCH(EDATE($E134,L$1-1),Raw_매출!$B$1:$BI$1,0))=0,"",INDEX(Raw_매출!$B$2:$BI$155,MATCH($A134,Raw_매출!$A$2:$A$155,0),MATCH(EDATE($E134,L$1-1),Raw_매출!$B$1:$BI$1,0))/(INDEX(요약_월별시즈널리티!$F$7:$F$18,MONTH(EDATE($E134,L$1-1)))/100))),"")</f>
        <v>5526666.6477987068</v>
      </c>
      <c r="M134" s="30" cm="1">
        <f t="array" ref="M134">IFERROR(IF($E134&lt;44348,"",IF(INDEX(Raw_매출!$B$2:$BI$155,MATCH($A134,Raw_매출!$A$2:$A$155,0),MATCH(EDATE($E134,M$1-1),Raw_매출!$B$1:$BI$1,0))=0,"",INDEX(Raw_매출!$B$2:$BI$155,MATCH($A134,Raw_매출!$A$2:$A$155,0),MATCH(EDATE($E134,M$1-1),Raw_매출!$B$1:$BI$1,0))/(INDEX(요약_월별시즈널리티!$F$7:$F$18,MONTH(EDATE($E134,M$1-1)))/100))),"")</f>
        <v>6213372.9994829195</v>
      </c>
      <c r="N134" s="30" cm="1">
        <f t="array" ref="N134">IFERROR(IF($E134&lt;44348,"",IF(INDEX(Raw_매출!$B$2:$BI$155,MATCH($A134,Raw_매출!$A$2:$A$155,0),MATCH(EDATE($E134,N$1-1),Raw_매출!$B$1:$BI$1,0))=0,"",INDEX(Raw_매출!$B$2:$BI$155,MATCH($A134,Raw_매출!$A$2:$A$155,0),MATCH(EDATE($E134,N$1-1),Raw_매출!$B$1:$BI$1,0))/(INDEX(요약_월별시즈널리티!$F$7:$F$18,MONTH(EDATE($E134,N$1-1)))/100))),"")</f>
        <v>5753599.6577350367</v>
      </c>
      <c r="O134" s="30" cm="1">
        <f t="array" ref="O134">IFERROR(IF($E134&lt;44348,"",IF(INDEX(Raw_매출!$B$2:$BI$155,MATCH($A134,Raw_매출!$A$2:$A$155,0),MATCH(EDATE($E134,O$1-1),Raw_매출!$B$1:$BI$1,0))=0,"",INDEX(Raw_매출!$B$2:$BI$155,MATCH($A134,Raw_매출!$A$2:$A$155,0),MATCH(EDATE($E134,O$1-1),Raw_매출!$B$1:$BI$1,0))/(INDEX(요약_월별시즈널리티!$F$7:$F$18,MONTH(EDATE($E134,O$1-1)))/100))),"")</f>
        <v>6379919.4186907047</v>
      </c>
      <c r="P134" cm="1">
        <f t="array" ref="P134">IFERROR(IF($E134&lt;44348,"",IF(INDEX(Raw_매출!$B$2:$BI$155,MATCH($A134,Raw_매출!$A$2:$A$155,0),MATCH(EDATE($E134,P$1-1),Raw_매출!$B$1:$BI$1,0))=0,"",INDEX(Raw_매출!$B$2:$BI$155,MATCH($A134,Raw_매출!$A$2:$A$155,0),MATCH(EDATE($E134,P$1-1),Raw_매출!$B$1:$BI$1,0))/(INDEX(요약_월별시즈널리티!$F$7:$F$18,MONTH(EDATE($E134,P$1-1)))/100))),"")</f>
        <v>6348554.7156013325</v>
      </c>
      <c r="Q134" cm="1">
        <f t="array" ref="Q134">IFERROR(IF($E134&lt;44348,"",IF(INDEX(Raw_매출!$B$2:$BI$155,MATCH($A134,Raw_매출!$A$2:$A$155,0),MATCH(EDATE($E134,Q$1-1),Raw_매출!$B$1:$BI$1,0))=0,"",INDEX(Raw_매출!$B$2:$BI$155,MATCH($A134,Raw_매출!$A$2:$A$155,0),MATCH(EDATE($E134,Q$1-1),Raw_매출!$B$1:$BI$1,0))/(INDEX(요약_월별시즈널리티!$F$7:$F$18,MONTH(EDATE($E134,Q$1-1)))/100))),"")</f>
        <v>6049577.6565910419</v>
      </c>
      <c r="R134" cm="1">
        <f t="array" ref="R134">IFERROR(IF($E134&lt;44348,"",IF(INDEX(Raw_매출!$B$2:$BI$155,MATCH($A134,Raw_매출!$A$2:$A$155,0),MATCH(EDATE($E134,R$1-1),Raw_매출!$B$1:$BI$1,0))=0,"",INDEX(Raw_매출!$B$2:$BI$155,MATCH($A134,Raw_매출!$A$2:$A$155,0),MATCH(EDATE($E134,R$1-1),Raw_매출!$B$1:$BI$1,0))/(INDEX(요약_월별시즈널리티!$F$7:$F$18,MONTH(EDATE($E134,R$1-1)))/100))),"")</f>
        <v>6826714.6883887853</v>
      </c>
      <c r="S134" cm="1">
        <f t="array" ref="S134">IFERROR(IF($E134&lt;44348,"",IF(INDEX(Raw_매출!$B$2:$BI$155,MATCH($A134,Raw_매출!$A$2:$A$155,0),MATCH(EDATE($E134,S$1-1),Raw_매출!$B$1:$BI$1,0))=0,"",INDEX(Raw_매출!$B$2:$BI$155,MATCH($A134,Raw_매출!$A$2:$A$155,0),MATCH(EDATE($E134,S$1-1),Raw_매출!$B$1:$BI$1,0))/(INDEX(요약_월별시즈널리티!$F$7:$F$18,MONTH(EDATE($E134,S$1-1)))/100))),"")</f>
        <v>7677163.0116967987</v>
      </c>
      <c r="T134" cm="1">
        <f t="array" ref="T134">IFERROR(IF($E134&lt;44348,"",IF(INDEX(Raw_매출!$B$2:$BI$155,MATCH($A134,Raw_매출!$A$2:$A$155,0),MATCH(EDATE($E134,T$1-1),Raw_매출!$B$1:$BI$1,0))=0,"",INDEX(Raw_매출!$B$2:$BI$155,MATCH($A134,Raw_매출!$A$2:$A$155,0),MATCH(EDATE($E134,T$1-1),Raw_매출!$B$1:$BI$1,0))/(INDEX(요약_월별시즈널리티!$F$7:$F$18,MONTH(EDATE($E134,T$1-1)))/100))),"")</f>
        <v>7437450.8154254891</v>
      </c>
      <c r="U134" cm="1">
        <f t="array" ref="U134">IFERROR(IF($E134&lt;44348,"",IF(INDEX(Raw_매출!$B$2:$BI$155,MATCH($A134,Raw_매출!$A$2:$A$155,0),MATCH(EDATE($E134,U$1-1),Raw_매출!$B$1:$BI$1,0))=0,"",INDEX(Raw_매출!$B$2:$BI$155,MATCH($A134,Raw_매출!$A$2:$A$155,0),MATCH(EDATE($E134,U$1-1),Raw_매출!$B$1:$BI$1,0))/(INDEX(요약_월별시즈널리티!$F$7:$F$18,MONTH(EDATE($E134,U$1-1)))/100))),"")</f>
        <v>7662856.4978696601</v>
      </c>
      <c r="V134" cm="1">
        <f t="array" ref="V134">IFERROR(IF($E134&lt;44348,"",IF(INDEX(Raw_매출!$B$2:$BI$155,MATCH($A134,Raw_매출!$A$2:$A$155,0),MATCH(EDATE($E134,V$1-1),Raw_매출!$B$1:$BI$1,0))=0,"",INDEX(Raw_매출!$B$2:$BI$155,MATCH($A134,Raw_매출!$A$2:$A$155,0),MATCH(EDATE($E134,V$1-1),Raw_매출!$B$1:$BI$1,0))/(INDEX(요약_월별시즈널리티!$F$7:$F$18,MONTH(EDATE($E134,V$1-1)))/100))),"")</f>
        <v>7361728.7832101658</v>
      </c>
      <c r="W134" t="str" cm="1">
        <f t="array" ref="W134">IFERROR(IF($E134&lt;44348,"",IF(INDEX(Raw_매출!$B$2:$BI$155,MATCH($A134,Raw_매출!$A$2:$A$155,0),MATCH(EDATE($E134,W$1-1),Raw_매출!$B$1:$BI$1,0))=0,"",INDEX(Raw_매출!$B$2:$BI$155,MATCH($A134,Raw_매출!$A$2:$A$155,0),MATCH(EDATE($E134,W$1-1),Raw_매출!$B$1:$BI$1,0))/(INDEX(요약_월별시즈널리티!$F$7:$F$18,MONTH(EDATE($E134,W$1-1)))/100))),"")</f>
        <v/>
      </c>
      <c r="X134" t="str" cm="1">
        <f t="array" ref="X134">IFERROR(IF($E134&lt;44348,"",IF(INDEX(Raw_매출!$B$2:$BI$155,MATCH($A134,Raw_매출!$A$2:$A$155,0),MATCH(EDATE($E134,X$1-1),Raw_매출!$B$1:$BI$1,0))=0,"",INDEX(Raw_매출!$B$2:$BI$155,MATCH($A134,Raw_매출!$A$2:$A$155,0),MATCH(EDATE($E134,X$1-1),Raw_매출!$B$1:$BI$1,0))/(INDEX(요약_월별시즈널리티!$F$7:$F$18,MONTH(EDATE($E134,X$1-1)))/100))),"")</f>
        <v/>
      </c>
      <c r="Y134" t="str" cm="1">
        <f t="array" ref="Y134">IFERROR(IF($E134&lt;44348,"",IF(INDEX(Raw_매출!$B$2:$BI$155,MATCH($A134,Raw_매출!$A$2:$A$155,0),MATCH(EDATE($E134,Y$1-1),Raw_매출!$B$1:$BI$1,0))=0,"",INDEX(Raw_매출!$B$2:$BI$155,MATCH($A134,Raw_매출!$A$2:$A$155,0),MATCH(EDATE($E134,Y$1-1),Raw_매출!$B$1:$BI$1,0))/(INDEX(요약_월별시즈널리티!$F$7:$F$18,MONTH(EDATE($E134,Y$1-1)))/100))),"")</f>
        <v/>
      </c>
      <c r="Z134" t="str" cm="1">
        <f t="array" ref="Z134">IFERROR(IF($E134&lt;44348,"",IF(INDEX(Raw_매출!$B$2:$BI$155,MATCH($A134,Raw_매출!$A$2:$A$155,0),MATCH(EDATE($E134,Z$1-1),Raw_매출!$B$1:$BI$1,0))=0,"",INDEX(Raw_매출!$B$2:$BI$155,MATCH($A134,Raw_매출!$A$2:$A$155,0),MATCH(EDATE($E134,Z$1-1),Raw_매출!$B$1:$BI$1,0))/(INDEX(요약_월별시즈널리티!$F$7:$F$18,MONTH(EDATE($E134,Z$1-1)))/100))),"")</f>
        <v/>
      </c>
      <c r="AA134" t="str" cm="1">
        <f t="array" ref="AA134">IFERROR(IF($E134&lt;44348,"",IF(INDEX(Raw_매출!$B$2:$BI$155,MATCH($A134,Raw_매출!$A$2:$A$155,0),MATCH(EDATE($E134,AA$1-1),Raw_매출!$B$1:$BI$1,0))=0,"",INDEX(Raw_매출!$B$2:$BI$155,MATCH($A134,Raw_매출!$A$2:$A$155,0),MATCH(EDATE($E134,AA$1-1),Raw_매출!$B$1:$BI$1,0))/(INDEX(요약_월별시즈널리티!$F$7:$F$18,MONTH(EDATE($E134,AA$1-1)))/100))),"")</f>
        <v/>
      </c>
      <c r="AB134" t="str" cm="1">
        <f t="array" ref="AB134">IFERROR(IF($E134&lt;44348,"",IF(INDEX(Raw_매출!$B$2:$BI$155,MATCH($A134,Raw_매출!$A$2:$A$155,0),MATCH(EDATE($E134,AB$1-1),Raw_매출!$B$1:$BI$1,0))=0,"",INDEX(Raw_매출!$B$2:$BI$155,MATCH($A134,Raw_매출!$A$2:$A$155,0),MATCH(EDATE($E134,AB$1-1),Raw_매출!$B$1:$BI$1,0))/(INDEX(요약_월별시즈널리티!$F$7:$F$18,MONTH(EDATE($E134,AB$1-1)))/100))),"")</f>
        <v/>
      </c>
      <c r="AC134" t="str" cm="1">
        <f t="array" ref="AC134">IFERROR(IF($E134&lt;44348,"",IF(INDEX(Raw_매출!$B$2:$BI$155,MATCH($A134,Raw_매출!$A$2:$A$155,0),MATCH(EDATE($E134,AC$1-1),Raw_매출!$B$1:$BI$1,0))=0,"",INDEX(Raw_매출!$B$2:$BI$155,MATCH($A134,Raw_매출!$A$2:$A$155,0),MATCH(EDATE($E134,AC$1-1),Raw_매출!$B$1:$BI$1,0))/(INDEX(요약_월별시즈널리티!$F$7:$F$18,MONTH(EDATE($E134,AC$1-1)))/100))),"")</f>
        <v/>
      </c>
      <c r="AD134" t="str" cm="1">
        <f t="array" ref="AD134">IFERROR(IF($E134&lt;44348,"",IF(INDEX(Raw_매출!$B$2:$BI$155,MATCH($A134,Raw_매출!$A$2:$A$155,0),MATCH(EDATE($E134,AD$1-1),Raw_매출!$B$1:$BI$1,0))=0,"",INDEX(Raw_매출!$B$2:$BI$155,MATCH($A134,Raw_매출!$A$2:$A$155,0),MATCH(EDATE($E134,AD$1-1),Raw_매출!$B$1:$BI$1,0))/(INDEX(요약_월별시즈널리티!$F$7:$F$18,MONTH(EDATE($E134,AD$1-1)))/100))),"")</f>
        <v/>
      </c>
      <c r="AE134" t="str" cm="1">
        <f t="array" ref="AE134">IFERROR(IF($E134&lt;44348,"",IF(INDEX(Raw_매출!$B$2:$BI$155,MATCH($A134,Raw_매출!$A$2:$A$155,0),MATCH(EDATE($E134,AE$1-1),Raw_매출!$B$1:$BI$1,0))=0,"",INDEX(Raw_매출!$B$2:$BI$155,MATCH($A134,Raw_매출!$A$2:$A$155,0),MATCH(EDATE($E134,AE$1-1),Raw_매출!$B$1:$BI$1,0))/(INDEX(요약_월별시즈널리티!$F$7:$F$18,MONTH(EDATE($E134,AE$1-1)))/100))),"")</f>
        <v/>
      </c>
      <c r="AF134" t="str" cm="1">
        <f t="array" ref="AF134">IFERROR(IF($E134&lt;44348,"",IF(INDEX(Raw_매출!$B$2:$BI$155,MATCH($A134,Raw_매출!$A$2:$A$155,0),MATCH(EDATE($E134,AF$1-1),Raw_매출!$B$1:$BI$1,0))=0,"",INDEX(Raw_매출!$B$2:$BI$155,MATCH($A134,Raw_매출!$A$2:$A$155,0),MATCH(EDATE($E134,AF$1-1),Raw_매출!$B$1:$BI$1,0))/(INDEX(요약_월별시즈널리티!$F$7:$F$18,MONTH(EDATE($E134,AF$1-1)))/100))),"")</f>
        <v/>
      </c>
      <c r="AG134" t="str" cm="1">
        <f t="array" ref="AG134">IFERROR(IF($E134&lt;44348,"",IF(INDEX(Raw_매출!$B$2:$BI$155,MATCH($A134,Raw_매출!$A$2:$A$155,0),MATCH(EDATE($E134,AG$1-1),Raw_매출!$B$1:$BI$1,0))=0,"",INDEX(Raw_매출!$B$2:$BI$155,MATCH($A134,Raw_매출!$A$2:$A$155,0),MATCH(EDATE($E134,AG$1-1),Raw_매출!$B$1:$BI$1,0))/(INDEX(요약_월별시즈널리티!$F$7:$F$18,MONTH(EDATE($E134,AG$1-1)))/100))),"")</f>
        <v/>
      </c>
      <c r="AH134" t="str" cm="1">
        <f t="array" ref="AH134">IFERROR(IF($E134&lt;44348,"",IF(INDEX(Raw_매출!$B$2:$BI$155,MATCH($A134,Raw_매출!$A$2:$A$155,0),MATCH(EDATE($E134,AH$1-1),Raw_매출!$B$1:$BI$1,0))=0,"",INDEX(Raw_매출!$B$2:$BI$155,MATCH($A134,Raw_매출!$A$2:$A$155,0),MATCH(EDATE($E134,AH$1-1),Raw_매출!$B$1:$BI$1,0))/(INDEX(요약_월별시즈널리티!$F$7:$F$18,MONTH(EDATE($E134,AH$1-1)))/100))),"")</f>
        <v/>
      </c>
      <c r="AI134" t="str" cm="1">
        <f t="array" ref="AI134">IFERROR(IF($E134&lt;44348,"",IF(INDEX(Raw_매출!$B$2:$BI$155,MATCH($A134,Raw_매출!$A$2:$A$155,0),MATCH(EDATE($E134,AI$1-1),Raw_매출!$B$1:$BI$1,0))=0,"",INDEX(Raw_매출!$B$2:$BI$155,MATCH($A134,Raw_매출!$A$2:$A$155,0),MATCH(EDATE($E134,AI$1-1),Raw_매출!$B$1:$BI$1,0))/(INDEX(요약_월별시즈널리티!$F$7:$F$18,MONTH(EDATE($E134,AI$1-1)))/100))),"")</f>
        <v/>
      </c>
      <c r="AJ134" t="str" cm="1">
        <f t="array" ref="AJ134">IFERROR(IF($E134&lt;44348,"",IF(INDEX(Raw_매출!$B$2:$BI$155,MATCH($A134,Raw_매출!$A$2:$A$155,0),MATCH(EDATE($E134,AJ$1-1),Raw_매출!$B$1:$BI$1,0))=0,"",INDEX(Raw_매출!$B$2:$BI$155,MATCH($A134,Raw_매출!$A$2:$A$155,0),MATCH(EDATE($E134,AJ$1-1),Raw_매출!$B$1:$BI$1,0))/(INDEX(요약_월별시즈널리티!$F$7:$F$18,MONTH(EDATE($E134,AJ$1-1)))/100))),"")</f>
        <v/>
      </c>
      <c r="AK134" t="str" cm="1">
        <f t="array" ref="AK134">IFERROR(IF($E134&lt;44348,"",IF(INDEX(Raw_매출!$B$2:$BI$155,MATCH($A134,Raw_매출!$A$2:$A$155,0),MATCH(EDATE($E134,AK$1-1),Raw_매출!$B$1:$BI$1,0))=0,"",INDEX(Raw_매출!$B$2:$BI$155,MATCH($A134,Raw_매출!$A$2:$A$155,0),MATCH(EDATE($E134,AK$1-1),Raw_매출!$B$1:$BI$1,0))/(INDEX(요약_월별시즈널리티!$F$7:$F$18,MONTH(EDATE($E134,AK$1-1)))/100))),"")</f>
        <v/>
      </c>
      <c r="AL134" t="str" cm="1">
        <f t="array" ref="AL134">IFERROR(IF($E134&lt;44348,"",IF(INDEX(Raw_매출!$B$2:$BI$155,MATCH($A134,Raw_매출!$A$2:$A$155,0),MATCH(EDATE($E134,AL$1-1),Raw_매출!$B$1:$BI$1,0))=0,"",INDEX(Raw_매출!$B$2:$BI$155,MATCH($A134,Raw_매출!$A$2:$A$155,0),MATCH(EDATE($E134,AL$1-1),Raw_매출!$B$1:$BI$1,0))/(INDEX(요약_월별시즈널리티!$F$7:$F$18,MONTH(EDATE($E134,AL$1-1)))/100))),"")</f>
        <v/>
      </c>
      <c r="AM134" t="str" cm="1">
        <f t="array" ref="AM134">IFERROR(IF($E134&lt;44348,"",IF(INDEX(Raw_매출!$B$2:$BI$155,MATCH($A134,Raw_매출!$A$2:$A$155,0),MATCH(EDATE($E134,AM$1-1),Raw_매출!$B$1:$BI$1,0))=0,"",INDEX(Raw_매출!$B$2:$BI$155,MATCH($A134,Raw_매출!$A$2:$A$155,0),MATCH(EDATE($E134,AM$1-1),Raw_매출!$B$1:$BI$1,0))/(INDEX(요약_월별시즈널리티!$F$7:$F$18,MONTH(EDATE($E134,AM$1-1)))/100))),"")</f>
        <v/>
      </c>
      <c r="AN134" t="str" cm="1">
        <f t="array" ref="AN134">IFERROR(IF($E134&lt;44348,"",IF(INDEX(Raw_매출!$B$2:$BI$155,MATCH($A134,Raw_매출!$A$2:$A$155,0),MATCH(EDATE($E134,AN$1-1),Raw_매출!$B$1:$BI$1,0))=0,"",INDEX(Raw_매출!$B$2:$BI$155,MATCH($A134,Raw_매출!$A$2:$A$155,0),MATCH(EDATE($E134,AN$1-1),Raw_매출!$B$1:$BI$1,0))/(INDEX(요약_월별시즈널리티!$F$7:$F$18,MONTH(EDATE($E134,AN$1-1)))/100))),"")</f>
        <v/>
      </c>
      <c r="AO134" t="str" cm="1">
        <f t="array" ref="AO134">IFERROR(IF($E134&lt;44348,"",IF(INDEX(Raw_매출!$B$2:$BI$155,MATCH($A134,Raw_매출!$A$2:$A$155,0),MATCH(EDATE($E134,AO$1-1),Raw_매출!$B$1:$BI$1,0))=0,"",INDEX(Raw_매출!$B$2:$BI$155,MATCH($A134,Raw_매출!$A$2:$A$155,0),MATCH(EDATE($E134,AO$1-1),Raw_매출!$B$1:$BI$1,0))/(INDEX(요약_월별시즈널리티!$F$7:$F$18,MONTH(EDATE($E134,AO$1-1)))/100))),"")</f>
        <v/>
      </c>
      <c r="AP134" t="str" cm="1">
        <f t="array" ref="AP134">IFERROR(IF($E134&lt;44348,"",IF(INDEX(Raw_매출!$B$2:$BI$155,MATCH($A134,Raw_매출!$A$2:$A$155,0),MATCH(EDATE($E134,AP$1-1),Raw_매출!$B$1:$BI$1,0))=0,"",INDEX(Raw_매출!$B$2:$BI$155,MATCH($A134,Raw_매출!$A$2:$A$155,0),MATCH(EDATE($E134,AP$1-1),Raw_매출!$B$1:$BI$1,0))/(INDEX(요약_월별시즈널리티!$F$7:$F$18,MONTH(EDATE($E134,AP$1-1)))/100))),"")</f>
        <v/>
      </c>
      <c r="AQ134" t="str" cm="1">
        <f t="array" ref="AQ134">IFERROR(IF($E134&lt;44348,"",IF(INDEX(Raw_매출!$B$2:$BI$155,MATCH($A134,Raw_매출!$A$2:$A$155,0),MATCH(EDATE($E134,AQ$1-1),Raw_매출!$B$1:$BI$1,0))=0,"",INDEX(Raw_매출!$B$2:$BI$155,MATCH($A134,Raw_매출!$A$2:$A$155,0),MATCH(EDATE($E134,AQ$1-1),Raw_매출!$B$1:$BI$1,0))/(INDEX(요약_월별시즈널리티!$F$7:$F$18,MONTH(EDATE($E134,AQ$1-1)))/100))),"")</f>
        <v/>
      </c>
      <c r="AR134" t="str" cm="1">
        <f t="array" ref="AR134">IFERROR(IF($E134&lt;44348,"",IF(INDEX(Raw_매출!$B$2:$BI$155,MATCH($A134,Raw_매출!$A$2:$A$155,0),MATCH(EDATE($E134,AR$1-1),Raw_매출!$B$1:$BI$1,0))=0,"",INDEX(Raw_매출!$B$2:$BI$155,MATCH($A134,Raw_매출!$A$2:$A$155,0),MATCH(EDATE($E134,AR$1-1),Raw_매출!$B$1:$BI$1,0))/(INDEX(요약_월별시즈널리티!$F$7:$F$18,MONTH(EDATE($E134,AR$1-1)))/100))),"")</f>
        <v/>
      </c>
      <c r="AS134" t="str" cm="1">
        <f t="array" ref="AS134">IFERROR(IF($E134&lt;44348,"",IF(INDEX(Raw_매출!$B$2:$BI$155,MATCH($A134,Raw_매출!$A$2:$A$155,0),MATCH(EDATE($E134,AS$1-1),Raw_매출!$B$1:$BI$1,0))=0,"",INDEX(Raw_매출!$B$2:$BI$155,MATCH($A134,Raw_매출!$A$2:$A$155,0),MATCH(EDATE($E134,AS$1-1),Raw_매출!$B$1:$BI$1,0))/(INDEX(요약_월별시즈널리티!$F$7:$F$18,MONTH(EDATE($E134,AS$1-1)))/100))),"")</f>
        <v/>
      </c>
      <c r="AT134" t="str" cm="1">
        <f t="array" ref="AT134">IFERROR(IF($E134&lt;44348,"",IF(INDEX(Raw_매출!$B$2:$BI$155,MATCH($A134,Raw_매출!$A$2:$A$155,0),MATCH(EDATE($E134,AT$1-1),Raw_매출!$B$1:$BI$1,0))=0,"",INDEX(Raw_매출!$B$2:$BI$155,MATCH($A134,Raw_매출!$A$2:$A$155,0),MATCH(EDATE($E134,AT$1-1),Raw_매출!$B$1:$BI$1,0))/(INDEX(요약_월별시즈널리티!$F$7:$F$18,MONTH(EDATE($E134,AT$1-1)))/100))),"")</f>
        <v/>
      </c>
      <c r="AU134" t="str" cm="1">
        <f t="array" ref="AU134">IFERROR(IF($E134&lt;44348,"",IF(INDEX(Raw_매출!$B$2:$BI$155,MATCH($A134,Raw_매출!$A$2:$A$155,0),MATCH(EDATE($E134,AU$1-1),Raw_매출!$B$1:$BI$1,0))=0,"",INDEX(Raw_매출!$B$2:$BI$155,MATCH($A134,Raw_매출!$A$2:$A$155,0),MATCH(EDATE($E134,AU$1-1),Raw_매출!$B$1:$BI$1,0))/(INDEX(요약_월별시즈널리티!$F$7:$F$18,MONTH(EDATE($E134,AU$1-1)))/100))),"")</f>
        <v/>
      </c>
      <c r="AV134" t="str" cm="1">
        <f t="array" ref="AV134">IFERROR(IF($E134&lt;44348,"",IF(INDEX(Raw_매출!$B$2:$BI$155,MATCH($A134,Raw_매출!$A$2:$A$155,0),MATCH(EDATE($E134,AV$1-1),Raw_매출!$B$1:$BI$1,0))=0,"",INDEX(Raw_매출!$B$2:$BI$155,MATCH($A134,Raw_매출!$A$2:$A$155,0),MATCH(EDATE($E134,AV$1-1),Raw_매출!$B$1:$BI$1,0))/(INDEX(요약_월별시즈널리티!$F$7:$F$18,MONTH(EDATE($E134,AV$1-1)))/100))),"")</f>
        <v/>
      </c>
      <c r="AW134" t="str" cm="1">
        <f t="array" ref="AW134">IFERROR(IF($E134&lt;44348,"",IF(INDEX(Raw_매출!$B$2:$BI$155,MATCH($A134,Raw_매출!$A$2:$A$155,0),MATCH(EDATE($E134,AW$1-1),Raw_매출!$B$1:$BI$1,0))=0,"",INDEX(Raw_매출!$B$2:$BI$155,MATCH($A134,Raw_매출!$A$2:$A$155,0),MATCH(EDATE($E134,AW$1-1),Raw_매출!$B$1:$BI$1,0))/(INDEX(요약_월별시즈널리티!$F$7:$F$18,MONTH(EDATE($E134,AW$1-1)))/100))),"")</f>
        <v/>
      </c>
      <c r="AX134" t="str" cm="1">
        <f t="array" ref="AX134">IFERROR(IF($E134&lt;44348,"",IF(INDEX(Raw_매출!$B$2:$BI$155,MATCH($A134,Raw_매출!$A$2:$A$155,0),MATCH(EDATE($E134,AX$1-1),Raw_매출!$B$1:$BI$1,0))=0,"",INDEX(Raw_매출!$B$2:$BI$155,MATCH($A134,Raw_매출!$A$2:$A$155,0),MATCH(EDATE($E134,AX$1-1),Raw_매출!$B$1:$BI$1,0))/(INDEX(요약_월별시즈널리티!$F$7:$F$18,MONTH(EDATE($E134,AX$1-1)))/100))),"")</f>
        <v/>
      </c>
      <c r="AY134" t="str" cm="1">
        <f t="array" ref="AY134">IFERROR(IF($E134&lt;44348,"",IF(INDEX(Raw_매출!$B$2:$BI$155,MATCH($A134,Raw_매출!$A$2:$A$155,0),MATCH(EDATE($E134,AY$1-1),Raw_매출!$B$1:$BI$1,0))=0,"",INDEX(Raw_매출!$B$2:$BI$155,MATCH($A134,Raw_매출!$A$2:$A$155,0),MATCH(EDATE($E134,AY$1-1),Raw_매출!$B$1:$BI$1,0))/(INDEX(요약_월별시즈널리티!$F$7:$F$18,MONTH(EDATE($E134,AY$1-1)))/100))),"")</f>
        <v/>
      </c>
      <c r="AZ134" t="str" cm="1">
        <f t="array" ref="AZ134">IFERROR(IF($E134&lt;44348,"",IF(INDEX(Raw_매출!$B$2:$BI$155,MATCH($A134,Raw_매출!$A$2:$A$155,0),MATCH(EDATE($E134,AZ$1-1),Raw_매출!$B$1:$BI$1,0))=0,"",INDEX(Raw_매출!$B$2:$BI$155,MATCH($A134,Raw_매출!$A$2:$A$155,0),MATCH(EDATE($E134,AZ$1-1),Raw_매출!$B$1:$BI$1,0))/(INDEX(요약_월별시즈널리티!$F$7:$F$18,MONTH(EDATE($E134,AZ$1-1)))/100))),"")</f>
        <v/>
      </c>
      <c r="BA134" t="str" cm="1">
        <f t="array" ref="BA134">IFERROR(IF($E134&lt;44348,"",IF(INDEX(Raw_매출!$B$2:$BI$155,MATCH($A134,Raw_매출!$A$2:$A$155,0),MATCH(EDATE($E134,BA$1-1),Raw_매출!$B$1:$BI$1,0))=0,"",INDEX(Raw_매출!$B$2:$BI$155,MATCH($A134,Raw_매출!$A$2:$A$155,0),MATCH(EDATE($E134,BA$1-1),Raw_매출!$B$1:$BI$1,0))/(INDEX(요약_월별시즈널리티!$F$7:$F$18,MONTH(EDATE($E134,BA$1-1)))/100))),"")</f>
        <v/>
      </c>
      <c r="BB134" t="str" cm="1">
        <f t="array" ref="BB134">IFERROR(IF($E134&lt;44348,"",IF(INDEX(Raw_매출!$B$2:$BI$155,MATCH($A134,Raw_매출!$A$2:$A$155,0),MATCH(EDATE($E134,BB$1-1),Raw_매출!$B$1:$BI$1,0))=0,"",INDEX(Raw_매출!$B$2:$BI$155,MATCH($A134,Raw_매출!$A$2:$A$155,0),MATCH(EDATE($E134,BB$1-1),Raw_매출!$B$1:$BI$1,0))/(INDEX(요약_월별시즈널리티!$F$7:$F$18,MONTH(EDATE($E134,BB$1-1)))/100))),"")</f>
        <v/>
      </c>
      <c r="BC134" t="str" cm="1">
        <f t="array" ref="BC134">IFERROR(IF($E134&lt;44348,"",IF(INDEX(Raw_매출!$B$2:$BI$155,MATCH($A134,Raw_매출!$A$2:$A$155,0),MATCH(EDATE($E134,BC$1-1),Raw_매출!$B$1:$BI$1,0))=0,"",INDEX(Raw_매출!$B$2:$BI$155,MATCH($A134,Raw_매출!$A$2:$A$155,0),MATCH(EDATE($E134,BC$1-1),Raw_매출!$B$1:$BI$1,0))/(INDEX(요약_월별시즈널리티!$F$7:$F$18,MONTH(EDATE($E134,BC$1-1)))/100))),"")</f>
        <v/>
      </c>
      <c r="BD134" t="str" cm="1">
        <f t="array" ref="BD134">IFERROR(IF($E134&lt;44348,"",IF(INDEX(Raw_매출!$B$2:$BI$155,MATCH($A134,Raw_매출!$A$2:$A$155,0),MATCH(EDATE($E134,BD$1-1),Raw_매출!$B$1:$BI$1,0))=0,"",INDEX(Raw_매출!$B$2:$BI$155,MATCH($A134,Raw_매출!$A$2:$A$155,0),MATCH(EDATE($E134,BD$1-1),Raw_매출!$B$1:$BI$1,0))/(INDEX(요약_월별시즈널리티!$F$7:$F$18,MONTH(EDATE($E134,BD$1-1)))/100))),"")</f>
        <v/>
      </c>
      <c r="BE134" t="str" cm="1">
        <f t="array" ref="BE134">IFERROR(IF($E134&lt;44348,"",IF(INDEX(Raw_매출!$B$2:$BI$155,MATCH($A134,Raw_매출!$A$2:$A$155,0),MATCH(EDATE($E134,BE$1-1),Raw_매출!$B$1:$BI$1,0))=0,"",INDEX(Raw_매출!$B$2:$BI$155,MATCH($A134,Raw_매출!$A$2:$A$155,0),MATCH(EDATE($E134,BE$1-1),Raw_매출!$B$1:$BI$1,0))/(INDEX(요약_월별시즈널리티!$F$7:$F$18,MONTH(EDATE($E134,BE$1-1)))/100))),"")</f>
        <v/>
      </c>
      <c r="BF134" t="str" cm="1">
        <f t="array" ref="BF134">IFERROR(IF($E134&lt;44348,"",IF(INDEX(Raw_매출!$B$2:$BI$155,MATCH($A134,Raw_매출!$A$2:$A$155,0),MATCH(EDATE($E134,BF$1-1),Raw_매출!$B$1:$BI$1,0))=0,"",INDEX(Raw_매출!$B$2:$BI$155,MATCH($A134,Raw_매출!$A$2:$A$155,0),MATCH(EDATE($E134,BF$1-1),Raw_매출!$B$1:$BI$1,0))/(INDEX(요약_월별시즈널리티!$F$7:$F$18,MONTH(EDATE($E134,BF$1-1)))/100))),"")</f>
        <v/>
      </c>
      <c r="BG134" t="str" cm="1">
        <f t="array" ref="BG134">IFERROR(IF($E134&lt;44348,"",IF(INDEX(Raw_매출!$B$2:$BI$155,MATCH($A134,Raw_매출!$A$2:$A$155,0),MATCH(EDATE($E134,BG$1-1),Raw_매출!$B$1:$BI$1,0))=0,"",INDEX(Raw_매출!$B$2:$BI$155,MATCH($A134,Raw_매출!$A$2:$A$155,0),MATCH(EDATE($E134,BG$1-1),Raw_매출!$B$1:$BI$1,0))/(INDEX(요약_월별시즈널리티!$F$7:$F$18,MONTH(EDATE($E134,BG$1-1)))/100))),"")</f>
        <v/>
      </c>
      <c r="BH134" t="str" cm="1">
        <f t="array" ref="BH134">IFERROR(IF($E134&lt;44348,"",IF(INDEX(Raw_매출!$B$2:$BI$155,MATCH($A134,Raw_매출!$A$2:$A$155,0),MATCH(EDATE($E134,BH$1-1),Raw_매출!$B$1:$BI$1,0))=0,"",INDEX(Raw_매출!$B$2:$BI$155,MATCH($A134,Raw_매출!$A$2:$A$155,0),MATCH(EDATE($E134,BH$1-1),Raw_매출!$B$1:$BI$1,0))/(INDEX(요약_월별시즈널리티!$F$7:$F$18,MONTH(EDATE($E134,BH$1-1)))/100))),"")</f>
        <v/>
      </c>
      <c r="BI134" t="str" cm="1">
        <f t="array" ref="BI134">IFERROR(IF($E134&lt;44348,"",IF(INDEX(Raw_매출!$B$2:$BI$155,MATCH($A134,Raw_매출!$A$2:$A$155,0),MATCH(EDATE($E134,BI$1-1),Raw_매출!$B$1:$BI$1,0))=0,"",INDEX(Raw_매출!$B$2:$BI$155,MATCH($A134,Raw_매출!$A$2:$A$155,0),MATCH(EDATE($E134,BI$1-1),Raw_매출!$B$1:$BI$1,0))/(INDEX(요약_월별시즈널리티!$F$7:$F$18,MONTH(EDATE($E134,BI$1-1)))/100))),"")</f>
        <v/>
      </c>
      <c r="BJ134" t="str" cm="1">
        <f t="array" ref="BJ134">IFERROR(IF($E134&lt;44348,"",IF(INDEX(Raw_매출!$B$2:$BI$155,MATCH($A134,Raw_매출!$A$2:$A$155,0),MATCH(EDATE($E134,BJ$1-1),Raw_매출!$B$1:$BI$1,0))=0,"",INDEX(Raw_매출!$B$2:$BI$155,MATCH($A134,Raw_매출!$A$2:$A$155,0),MATCH(EDATE($E134,BJ$1-1),Raw_매출!$B$1:$BI$1,0))/(INDEX(요약_월별시즈널리티!$F$7:$F$18,MONTH(EDATE($E134,BJ$1-1)))/100))),"")</f>
        <v/>
      </c>
      <c r="BK134" t="str" cm="1">
        <f t="array" ref="BK134">IFERROR(IF($E134&lt;44348,"",IF(INDEX(Raw_매출!$B$2:$BI$155,MATCH($A134,Raw_매출!$A$2:$A$155,0),MATCH(EDATE($E134,BK$1-1),Raw_매출!$B$1:$BI$1,0))=0,"",INDEX(Raw_매출!$B$2:$BI$155,MATCH($A134,Raw_매출!$A$2:$A$155,0),MATCH(EDATE($E134,BK$1-1),Raw_매출!$B$1:$BI$1,0))/(INDEX(요약_월별시즈널리티!$F$7:$F$18,MONTH(EDATE($E134,BK$1-1)))/100))),"")</f>
        <v/>
      </c>
      <c r="BL134" t="str" cm="1">
        <f t="array" ref="BL134">IFERROR(IF($E134&lt;44348,"",IF(INDEX(Raw_매출!$B$2:$BI$155,MATCH($A134,Raw_매출!$A$2:$A$155,0),MATCH(EDATE($E134,BL$1-1),Raw_매출!$B$1:$BI$1,0))=0,"",INDEX(Raw_매출!$B$2:$BI$155,MATCH($A134,Raw_매출!$A$2:$A$155,0),MATCH(EDATE($E134,BL$1-1),Raw_매출!$B$1:$BI$1,0))/(INDEX(요약_월별시즈널리티!$F$7:$F$18,MONTH(EDATE($E134,BL$1-1)))/100))),"")</f>
        <v/>
      </c>
      <c r="BM134" t="str" cm="1">
        <f t="array" ref="BM134">IFERROR(IF($E134&lt;44348,"",IF(INDEX(Raw_매출!$B$2:$BI$155,MATCH($A134,Raw_매출!$A$2:$A$155,0),MATCH(EDATE($E134,BM$1-1),Raw_매출!$B$1:$BI$1,0))=0,"",INDEX(Raw_매출!$B$2:$BI$155,MATCH($A134,Raw_매출!$A$2:$A$155,0),MATCH(EDATE($E134,BM$1-1),Raw_매출!$B$1:$BI$1,0))/(INDEX(요약_월별시즈널리티!$F$7:$F$18,MONTH(EDATE($E134,BM$1-1)))/100))),"")</f>
        <v/>
      </c>
      <c r="BN134" t="str" cm="1">
        <f t="array" ref="BN134">IFERROR(IF($E134&lt;44348,"",IF(INDEX(Raw_매출!$B$2:$BI$155,MATCH($A134,Raw_매출!$A$2:$A$155,0),MATCH(EDATE($E134,BN$1-1),Raw_매출!$B$1:$BI$1,0))=0,"",INDEX(Raw_매출!$B$2:$BI$155,MATCH($A134,Raw_매출!$A$2:$A$155,0),MATCH(EDATE($E134,BN$1-1),Raw_매출!$B$1:$BI$1,0))/(INDEX(요약_월별시즈널리티!$F$7:$F$18,MONTH(EDATE($E134,BN$1-1)))/100))),"")</f>
        <v/>
      </c>
    </row>
    <row r="135" spans="1:66" x14ac:dyDescent="0.4">
      <c r="A135" t="str">
        <f>세팅!A136</f>
        <v>(1126) #창천신촌로점</v>
      </c>
      <c r="B135" t="str">
        <f>세팅!B136</f>
        <v>150-2</v>
      </c>
      <c r="C135">
        <f t="shared" si="6"/>
        <v>2</v>
      </c>
      <c r="D135" t="str">
        <f t="shared" si="7"/>
        <v>2</v>
      </c>
      <c r="E135" s="1">
        <f>세팅!D136</f>
        <v>45778</v>
      </c>
      <c r="F135">
        <f t="shared" si="8"/>
        <v>7029597.8498775074</v>
      </c>
      <c r="G135" cm="1">
        <f t="array" ref="G135">IFERROR(IF($E135&lt;44348,"",IF(INDEX(Raw_매출!$B$2:$BI$155,MATCH($A135,Raw_매출!$A$2:$A$155,0),MATCH(EDATE($E135,G$1-1),Raw_매출!$B$1:$BI$1,0))=0,"",INDEX(Raw_매출!$B$2:$BI$155,MATCH($A135,Raw_매출!$A$2:$A$155,0),MATCH(EDATE($E135,G$1-1),Raw_매출!$B$1:$BI$1,0))/(INDEX(요약_월별시즈널리티!$F$7:$F$18,MONTH(EDATE($E135,G$1-1)))/100))),"")</f>
        <v>4022997.2497060527</v>
      </c>
      <c r="H135" cm="1">
        <f t="array" ref="H135">IFERROR(IF($E135&lt;44348,"",IF(INDEX(Raw_매출!$B$2:$BI$155,MATCH($A135,Raw_매출!$A$2:$A$155,0),MATCH(EDATE($E135,H$1-1),Raw_매출!$B$1:$BI$1,0))=0,"",INDEX(Raw_매출!$B$2:$BI$155,MATCH($A135,Raw_매출!$A$2:$A$155,0),MATCH(EDATE($E135,H$1-1),Raw_매출!$B$1:$BI$1,0))/(INDEX(요약_월별시즈널리티!$F$7:$F$18,MONTH(EDATE($E135,H$1-1)))/100))),"")</f>
        <v>5959817.6948741376</v>
      </c>
      <c r="I135" cm="1">
        <f t="array" ref="I135">IFERROR(IF($E135&lt;44348,"",IF(INDEX(Raw_매출!$B$2:$BI$155,MATCH($A135,Raw_매출!$A$2:$A$155,0),MATCH(EDATE($E135,I$1-1),Raw_매출!$B$1:$BI$1,0))=0,"",INDEX(Raw_매출!$B$2:$BI$155,MATCH($A135,Raw_매출!$A$2:$A$155,0),MATCH(EDATE($E135,I$1-1),Raw_매출!$B$1:$BI$1,0))/(INDEX(요약_월별시즈널리티!$F$7:$F$18,MONTH(EDATE($E135,I$1-1)))/100))),"")</f>
        <v>6057061.3400715105</v>
      </c>
      <c r="J135" s="30" cm="1">
        <f t="array" ref="J135">IFERROR(IF($E135&lt;44348,"",IF(INDEX(Raw_매출!$B$2:$BI$155,MATCH($A135,Raw_매출!$A$2:$A$155,0),MATCH(EDATE($E135,J$1-1),Raw_매출!$B$1:$BI$1,0))=0,"",INDEX(Raw_매출!$B$2:$BI$155,MATCH($A135,Raw_매출!$A$2:$A$155,0),MATCH(EDATE($E135,J$1-1),Raw_매출!$B$1:$BI$1,0))/(INDEX(요약_월별시즈널리티!$F$7:$F$18,MONTH(EDATE($E135,J$1-1)))/100))),"")</f>
        <v>6480607.4728971086</v>
      </c>
      <c r="K135" s="30" cm="1">
        <f t="array" ref="K135">IFERROR(IF($E135&lt;44348,"",IF(INDEX(Raw_매출!$B$2:$BI$155,MATCH($A135,Raw_매출!$A$2:$A$155,0),MATCH(EDATE($E135,K$1-1),Raw_매출!$B$1:$BI$1,0))=0,"",INDEX(Raw_매출!$B$2:$BI$155,MATCH($A135,Raw_매출!$A$2:$A$155,0),MATCH(EDATE($E135,K$1-1),Raw_매출!$B$1:$BI$1,0))/(INDEX(요약_월별시즈널리티!$F$7:$F$18,MONTH(EDATE($E135,K$1-1)))/100))),"")</f>
        <v>6285382.4764786363</v>
      </c>
      <c r="L135" s="30" cm="1">
        <f t="array" ref="L135">IFERROR(IF($E135&lt;44348,"",IF(INDEX(Raw_매출!$B$2:$BI$155,MATCH($A135,Raw_매출!$A$2:$A$155,0),MATCH(EDATE($E135,L$1-1),Raw_매출!$B$1:$BI$1,0))=0,"",INDEX(Raw_매출!$B$2:$BI$155,MATCH($A135,Raw_매출!$A$2:$A$155,0),MATCH(EDATE($E135,L$1-1),Raw_매출!$B$1:$BI$1,0))/(INDEX(요약_월별시즈널리티!$F$7:$F$18,MONTH(EDATE($E135,L$1-1)))/100))),"")</f>
        <v>7172612.4076288352</v>
      </c>
      <c r="M135" s="30" cm="1">
        <f t="array" ref="M135">IFERROR(IF($E135&lt;44348,"",IF(INDEX(Raw_매출!$B$2:$BI$155,MATCH($A135,Raw_매출!$A$2:$A$155,0),MATCH(EDATE($E135,M$1-1),Raw_매출!$B$1:$BI$1,0))=0,"",INDEX(Raw_매출!$B$2:$BI$155,MATCH($A135,Raw_매출!$A$2:$A$155,0),MATCH(EDATE($E135,M$1-1),Raw_매출!$B$1:$BI$1,0))/(INDEX(요약_월별시즈널리티!$F$7:$F$18,MONTH(EDATE($E135,M$1-1)))/100))),"")</f>
        <v>7190730.123064735</v>
      </c>
      <c r="N135" s="30" cm="1">
        <f t="array" ref="N135">IFERROR(IF($E135&lt;44348,"",IF(INDEX(Raw_매출!$B$2:$BI$155,MATCH($A135,Raw_매출!$A$2:$A$155,0),MATCH(EDATE($E135,N$1-1),Raw_매출!$B$1:$BI$1,0))=0,"",INDEX(Raw_매출!$B$2:$BI$155,MATCH($A135,Raw_매출!$A$2:$A$155,0),MATCH(EDATE($E135,N$1-1),Raw_매출!$B$1:$BI$1,0))/(INDEX(요약_월별시즈널리티!$F$7:$F$18,MONTH(EDATE($E135,N$1-1)))/100))),"")</f>
        <v>7212733.1580249146</v>
      </c>
      <c r="O135" s="30" cm="1">
        <f t="array" ref="O135">IFERROR(IF($E135&lt;44348,"",IF(INDEX(Raw_매출!$B$2:$BI$155,MATCH($A135,Raw_매출!$A$2:$A$155,0),MATCH(EDATE($E135,O$1-1),Raw_매출!$B$1:$BI$1,0))=0,"",INDEX(Raw_매출!$B$2:$BI$155,MATCH($A135,Raw_매출!$A$2:$A$155,0),MATCH(EDATE($E135,O$1-1),Raw_매출!$B$1:$BI$1,0))/(INDEX(요약_월별시즈널리티!$F$7:$F$18,MONTH(EDATE($E135,O$1-1)))/100))),"")</f>
        <v>7835521.4611708149</v>
      </c>
      <c r="P135" cm="1">
        <f t="array" ref="P135">IFERROR(IF($E135&lt;44348,"",IF(INDEX(Raw_매출!$B$2:$BI$155,MATCH($A135,Raw_매출!$A$2:$A$155,0),MATCH(EDATE($E135,P$1-1),Raw_매출!$B$1:$BI$1,0))=0,"",INDEX(Raw_매출!$B$2:$BI$155,MATCH($A135,Raw_매출!$A$2:$A$155,0),MATCH(EDATE($E135,P$1-1),Raw_매출!$B$1:$BI$1,0))/(INDEX(요약_월별시즈널리티!$F$7:$F$18,MONTH(EDATE($E135,P$1-1)))/100))),"")</f>
        <v>7301948.4631898301</v>
      </c>
      <c r="Q135" cm="1">
        <f t="array" ref="Q135">IFERROR(IF($E135&lt;44348,"",IF(INDEX(Raw_매출!$B$2:$BI$155,MATCH($A135,Raw_매출!$A$2:$A$155,0),MATCH(EDATE($E135,Q$1-1),Raw_매출!$B$1:$BI$1,0))=0,"",INDEX(Raw_매출!$B$2:$BI$155,MATCH($A135,Raw_매출!$A$2:$A$155,0),MATCH(EDATE($E135,Q$1-1),Raw_매출!$B$1:$BI$1,0))/(INDEX(요약_월별시즈널리티!$F$7:$F$18,MONTH(EDATE($E135,Q$1-1)))/100))),"")</f>
        <v>8267796.3023274383</v>
      </c>
      <c r="R135" cm="1">
        <f t="array" ref="R135">IFERROR(IF($E135&lt;44348,"",IF(INDEX(Raw_매출!$B$2:$BI$155,MATCH($A135,Raw_매출!$A$2:$A$155,0),MATCH(EDATE($E135,R$1-1),Raw_매출!$B$1:$BI$1,0))=0,"",INDEX(Raw_매출!$B$2:$BI$155,MATCH($A135,Raw_매출!$A$2:$A$155,0),MATCH(EDATE($E135,R$1-1),Raw_매출!$B$1:$BI$1,0))/(INDEX(요약_월별시즈널리티!$F$7:$F$18,MONTH(EDATE($E135,R$1-1)))/100))),"")</f>
        <v>9288609.2267591711</v>
      </c>
      <c r="S135" cm="1">
        <f t="array" ref="S135">IFERROR(IF($E135&lt;44348,"",IF(INDEX(Raw_매출!$B$2:$BI$155,MATCH($A135,Raw_매출!$A$2:$A$155,0),MATCH(EDATE($E135,S$1-1),Raw_매출!$B$1:$BI$1,0))=0,"",INDEX(Raw_매출!$B$2:$BI$155,MATCH($A135,Raw_매출!$A$2:$A$155,0),MATCH(EDATE($E135,S$1-1),Raw_매출!$B$1:$BI$1,0))/(INDEX(요약_월별시즈널리티!$F$7:$F$18,MONTH(EDATE($E135,S$1-1)))/100))),"")</f>
        <v>8408470.5462213643</v>
      </c>
      <c r="T135" t="str" cm="1">
        <f t="array" ref="T135">IFERROR(IF($E135&lt;44348,"",IF(INDEX(Raw_매출!$B$2:$BI$155,MATCH($A135,Raw_매출!$A$2:$A$155,0),MATCH(EDATE($E135,T$1-1),Raw_매출!$B$1:$BI$1,0))=0,"",INDEX(Raw_매출!$B$2:$BI$155,MATCH($A135,Raw_매출!$A$2:$A$155,0),MATCH(EDATE($E135,T$1-1),Raw_매출!$B$1:$BI$1,0))/(INDEX(요약_월별시즈널리티!$F$7:$F$18,MONTH(EDATE($E135,T$1-1)))/100))),"")</f>
        <v/>
      </c>
      <c r="U135" t="str" cm="1">
        <f t="array" ref="U135">IFERROR(IF($E135&lt;44348,"",IF(INDEX(Raw_매출!$B$2:$BI$155,MATCH($A135,Raw_매출!$A$2:$A$155,0),MATCH(EDATE($E135,U$1-1),Raw_매출!$B$1:$BI$1,0))=0,"",INDEX(Raw_매출!$B$2:$BI$155,MATCH($A135,Raw_매출!$A$2:$A$155,0),MATCH(EDATE($E135,U$1-1),Raw_매출!$B$1:$BI$1,0))/(INDEX(요약_월별시즈널리티!$F$7:$F$18,MONTH(EDATE($E135,U$1-1)))/100))),"")</f>
        <v/>
      </c>
      <c r="V135" t="str" cm="1">
        <f t="array" ref="V135">IFERROR(IF($E135&lt;44348,"",IF(INDEX(Raw_매출!$B$2:$BI$155,MATCH($A135,Raw_매출!$A$2:$A$155,0),MATCH(EDATE($E135,V$1-1),Raw_매출!$B$1:$BI$1,0))=0,"",INDEX(Raw_매출!$B$2:$BI$155,MATCH($A135,Raw_매출!$A$2:$A$155,0),MATCH(EDATE($E135,V$1-1),Raw_매출!$B$1:$BI$1,0))/(INDEX(요약_월별시즈널리티!$F$7:$F$18,MONTH(EDATE($E135,V$1-1)))/100))),"")</f>
        <v/>
      </c>
      <c r="W135" t="str" cm="1">
        <f t="array" ref="W135">IFERROR(IF($E135&lt;44348,"",IF(INDEX(Raw_매출!$B$2:$BI$155,MATCH($A135,Raw_매출!$A$2:$A$155,0),MATCH(EDATE($E135,W$1-1),Raw_매출!$B$1:$BI$1,0))=0,"",INDEX(Raw_매출!$B$2:$BI$155,MATCH($A135,Raw_매출!$A$2:$A$155,0),MATCH(EDATE($E135,W$1-1),Raw_매출!$B$1:$BI$1,0))/(INDEX(요약_월별시즈널리티!$F$7:$F$18,MONTH(EDATE($E135,W$1-1)))/100))),"")</f>
        <v/>
      </c>
      <c r="X135" t="str" cm="1">
        <f t="array" ref="X135">IFERROR(IF($E135&lt;44348,"",IF(INDEX(Raw_매출!$B$2:$BI$155,MATCH($A135,Raw_매출!$A$2:$A$155,0),MATCH(EDATE($E135,X$1-1),Raw_매출!$B$1:$BI$1,0))=0,"",INDEX(Raw_매출!$B$2:$BI$155,MATCH($A135,Raw_매출!$A$2:$A$155,0),MATCH(EDATE($E135,X$1-1),Raw_매출!$B$1:$BI$1,0))/(INDEX(요약_월별시즈널리티!$F$7:$F$18,MONTH(EDATE($E135,X$1-1)))/100))),"")</f>
        <v/>
      </c>
      <c r="Y135" t="str" cm="1">
        <f t="array" ref="Y135">IFERROR(IF($E135&lt;44348,"",IF(INDEX(Raw_매출!$B$2:$BI$155,MATCH($A135,Raw_매출!$A$2:$A$155,0),MATCH(EDATE($E135,Y$1-1),Raw_매출!$B$1:$BI$1,0))=0,"",INDEX(Raw_매출!$B$2:$BI$155,MATCH($A135,Raw_매출!$A$2:$A$155,0),MATCH(EDATE($E135,Y$1-1),Raw_매출!$B$1:$BI$1,0))/(INDEX(요약_월별시즈널리티!$F$7:$F$18,MONTH(EDATE($E135,Y$1-1)))/100))),"")</f>
        <v/>
      </c>
      <c r="Z135" t="str" cm="1">
        <f t="array" ref="Z135">IFERROR(IF($E135&lt;44348,"",IF(INDEX(Raw_매출!$B$2:$BI$155,MATCH($A135,Raw_매출!$A$2:$A$155,0),MATCH(EDATE($E135,Z$1-1),Raw_매출!$B$1:$BI$1,0))=0,"",INDEX(Raw_매출!$B$2:$BI$155,MATCH($A135,Raw_매출!$A$2:$A$155,0),MATCH(EDATE($E135,Z$1-1),Raw_매출!$B$1:$BI$1,0))/(INDEX(요약_월별시즈널리티!$F$7:$F$18,MONTH(EDATE($E135,Z$1-1)))/100))),"")</f>
        <v/>
      </c>
      <c r="AA135" t="str" cm="1">
        <f t="array" ref="AA135">IFERROR(IF($E135&lt;44348,"",IF(INDEX(Raw_매출!$B$2:$BI$155,MATCH($A135,Raw_매출!$A$2:$A$155,0),MATCH(EDATE($E135,AA$1-1),Raw_매출!$B$1:$BI$1,0))=0,"",INDEX(Raw_매출!$B$2:$BI$155,MATCH($A135,Raw_매출!$A$2:$A$155,0),MATCH(EDATE($E135,AA$1-1),Raw_매출!$B$1:$BI$1,0))/(INDEX(요약_월별시즈널리티!$F$7:$F$18,MONTH(EDATE($E135,AA$1-1)))/100))),"")</f>
        <v/>
      </c>
      <c r="AB135" t="str" cm="1">
        <f t="array" ref="AB135">IFERROR(IF($E135&lt;44348,"",IF(INDEX(Raw_매출!$B$2:$BI$155,MATCH($A135,Raw_매출!$A$2:$A$155,0),MATCH(EDATE($E135,AB$1-1),Raw_매출!$B$1:$BI$1,0))=0,"",INDEX(Raw_매출!$B$2:$BI$155,MATCH($A135,Raw_매출!$A$2:$A$155,0),MATCH(EDATE($E135,AB$1-1),Raw_매출!$B$1:$BI$1,0))/(INDEX(요약_월별시즈널리티!$F$7:$F$18,MONTH(EDATE($E135,AB$1-1)))/100))),"")</f>
        <v/>
      </c>
      <c r="AC135" t="str" cm="1">
        <f t="array" ref="AC135">IFERROR(IF($E135&lt;44348,"",IF(INDEX(Raw_매출!$B$2:$BI$155,MATCH($A135,Raw_매출!$A$2:$A$155,0),MATCH(EDATE($E135,AC$1-1),Raw_매출!$B$1:$BI$1,0))=0,"",INDEX(Raw_매출!$B$2:$BI$155,MATCH($A135,Raw_매출!$A$2:$A$155,0),MATCH(EDATE($E135,AC$1-1),Raw_매출!$B$1:$BI$1,0))/(INDEX(요약_월별시즈널리티!$F$7:$F$18,MONTH(EDATE($E135,AC$1-1)))/100))),"")</f>
        <v/>
      </c>
      <c r="AD135" t="str" cm="1">
        <f t="array" ref="AD135">IFERROR(IF($E135&lt;44348,"",IF(INDEX(Raw_매출!$B$2:$BI$155,MATCH($A135,Raw_매출!$A$2:$A$155,0),MATCH(EDATE($E135,AD$1-1),Raw_매출!$B$1:$BI$1,0))=0,"",INDEX(Raw_매출!$B$2:$BI$155,MATCH($A135,Raw_매출!$A$2:$A$155,0),MATCH(EDATE($E135,AD$1-1),Raw_매출!$B$1:$BI$1,0))/(INDEX(요약_월별시즈널리티!$F$7:$F$18,MONTH(EDATE($E135,AD$1-1)))/100))),"")</f>
        <v/>
      </c>
      <c r="AE135" t="str" cm="1">
        <f t="array" ref="AE135">IFERROR(IF($E135&lt;44348,"",IF(INDEX(Raw_매출!$B$2:$BI$155,MATCH($A135,Raw_매출!$A$2:$A$155,0),MATCH(EDATE($E135,AE$1-1),Raw_매출!$B$1:$BI$1,0))=0,"",INDEX(Raw_매출!$B$2:$BI$155,MATCH($A135,Raw_매출!$A$2:$A$155,0),MATCH(EDATE($E135,AE$1-1),Raw_매출!$B$1:$BI$1,0))/(INDEX(요약_월별시즈널리티!$F$7:$F$18,MONTH(EDATE($E135,AE$1-1)))/100))),"")</f>
        <v/>
      </c>
      <c r="AF135" t="str" cm="1">
        <f t="array" ref="AF135">IFERROR(IF($E135&lt;44348,"",IF(INDEX(Raw_매출!$B$2:$BI$155,MATCH($A135,Raw_매출!$A$2:$A$155,0),MATCH(EDATE($E135,AF$1-1),Raw_매출!$B$1:$BI$1,0))=0,"",INDEX(Raw_매출!$B$2:$BI$155,MATCH($A135,Raw_매출!$A$2:$A$155,0),MATCH(EDATE($E135,AF$1-1),Raw_매출!$B$1:$BI$1,0))/(INDEX(요약_월별시즈널리티!$F$7:$F$18,MONTH(EDATE($E135,AF$1-1)))/100))),"")</f>
        <v/>
      </c>
      <c r="AG135" t="str" cm="1">
        <f t="array" ref="AG135">IFERROR(IF($E135&lt;44348,"",IF(INDEX(Raw_매출!$B$2:$BI$155,MATCH($A135,Raw_매출!$A$2:$A$155,0),MATCH(EDATE($E135,AG$1-1),Raw_매출!$B$1:$BI$1,0))=0,"",INDEX(Raw_매출!$B$2:$BI$155,MATCH($A135,Raw_매출!$A$2:$A$155,0),MATCH(EDATE($E135,AG$1-1),Raw_매출!$B$1:$BI$1,0))/(INDEX(요약_월별시즈널리티!$F$7:$F$18,MONTH(EDATE($E135,AG$1-1)))/100))),"")</f>
        <v/>
      </c>
      <c r="AH135" t="str" cm="1">
        <f t="array" ref="AH135">IFERROR(IF($E135&lt;44348,"",IF(INDEX(Raw_매출!$B$2:$BI$155,MATCH($A135,Raw_매출!$A$2:$A$155,0),MATCH(EDATE($E135,AH$1-1),Raw_매출!$B$1:$BI$1,0))=0,"",INDEX(Raw_매출!$B$2:$BI$155,MATCH($A135,Raw_매출!$A$2:$A$155,0),MATCH(EDATE($E135,AH$1-1),Raw_매출!$B$1:$BI$1,0))/(INDEX(요약_월별시즈널리티!$F$7:$F$18,MONTH(EDATE($E135,AH$1-1)))/100))),"")</f>
        <v/>
      </c>
      <c r="AI135" t="str" cm="1">
        <f t="array" ref="AI135">IFERROR(IF($E135&lt;44348,"",IF(INDEX(Raw_매출!$B$2:$BI$155,MATCH($A135,Raw_매출!$A$2:$A$155,0),MATCH(EDATE($E135,AI$1-1),Raw_매출!$B$1:$BI$1,0))=0,"",INDEX(Raw_매출!$B$2:$BI$155,MATCH($A135,Raw_매출!$A$2:$A$155,0),MATCH(EDATE($E135,AI$1-1),Raw_매출!$B$1:$BI$1,0))/(INDEX(요약_월별시즈널리티!$F$7:$F$18,MONTH(EDATE($E135,AI$1-1)))/100))),"")</f>
        <v/>
      </c>
      <c r="AJ135" t="str" cm="1">
        <f t="array" ref="AJ135">IFERROR(IF($E135&lt;44348,"",IF(INDEX(Raw_매출!$B$2:$BI$155,MATCH($A135,Raw_매출!$A$2:$A$155,0),MATCH(EDATE($E135,AJ$1-1),Raw_매출!$B$1:$BI$1,0))=0,"",INDEX(Raw_매출!$B$2:$BI$155,MATCH($A135,Raw_매출!$A$2:$A$155,0),MATCH(EDATE($E135,AJ$1-1),Raw_매출!$B$1:$BI$1,0))/(INDEX(요약_월별시즈널리티!$F$7:$F$18,MONTH(EDATE($E135,AJ$1-1)))/100))),"")</f>
        <v/>
      </c>
      <c r="AK135" t="str" cm="1">
        <f t="array" ref="AK135">IFERROR(IF($E135&lt;44348,"",IF(INDEX(Raw_매출!$B$2:$BI$155,MATCH($A135,Raw_매출!$A$2:$A$155,0),MATCH(EDATE($E135,AK$1-1),Raw_매출!$B$1:$BI$1,0))=0,"",INDEX(Raw_매출!$B$2:$BI$155,MATCH($A135,Raw_매출!$A$2:$A$155,0),MATCH(EDATE($E135,AK$1-1),Raw_매출!$B$1:$BI$1,0))/(INDEX(요약_월별시즈널리티!$F$7:$F$18,MONTH(EDATE($E135,AK$1-1)))/100))),"")</f>
        <v/>
      </c>
      <c r="AL135" t="str" cm="1">
        <f t="array" ref="AL135">IFERROR(IF($E135&lt;44348,"",IF(INDEX(Raw_매출!$B$2:$BI$155,MATCH($A135,Raw_매출!$A$2:$A$155,0),MATCH(EDATE($E135,AL$1-1),Raw_매출!$B$1:$BI$1,0))=0,"",INDEX(Raw_매출!$B$2:$BI$155,MATCH($A135,Raw_매출!$A$2:$A$155,0),MATCH(EDATE($E135,AL$1-1),Raw_매출!$B$1:$BI$1,0))/(INDEX(요약_월별시즈널리티!$F$7:$F$18,MONTH(EDATE($E135,AL$1-1)))/100))),"")</f>
        <v/>
      </c>
      <c r="AM135" t="str" cm="1">
        <f t="array" ref="AM135">IFERROR(IF($E135&lt;44348,"",IF(INDEX(Raw_매출!$B$2:$BI$155,MATCH($A135,Raw_매출!$A$2:$A$155,0),MATCH(EDATE($E135,AM$1-1),Raw_매출!$B$1:$BI$1,0))=0,"",INDEX(Raw_매출!$B$2:$BI$155,MATCH($A135,Raw_매출!$A$2:$A$155,0),MATCH(EDATE($E135,AM$1-1),Raw_매출!$B$1:$BI$1,0))/(INDEX(요약_월별시즈널리티!$F$7:$F$18,MONTH(EDATE($E135,AM$1-1)))/100))),"")</f>
        <v/>
      </c>
      <c r="AN135" t="str" cm="1">
        <f t="array" ref="AN135">IFERROR(IF($E135&lt;44348,"",IF(INDEX(Raw_매출!$B$2:$BI$155,MATCH($A135,Raw_매출!$A$2:$A$155,0),MATCH(EDATE($E135,AN$1-1),Raw_매출!$B$1:$BI$1,0))=0,"",INDEX(Raw_매출!$B$2:$BI$155,MATCH($A135,Raw_매출!$A$2:$A$155,0),MATCH(EDATE($E135,AN$1-1),Raw_매출!$B$1:$BI$1,0))/(INDEX(요약_월별시즈널리티!$F$7:$F$18,MONTH(EDATE($E135,AN$1-1)))/100))),"")</f>
        <v/>
      </c>
      <c r="AO135" t="str" cm="1">
        <f t="array" ref="AO135">IFERROR(IF($E135&lt;44348,"",IF(INDEX(Raw_매출!$B$2:$BI$155,MATCH($A135,Raw_매출!$A$2:$A$155,0),MATCH(EDATE($E135,AO$1-1),Raw_매출!$B$1:$BI$1,0))=0,"",INDEX(Raw_매출!$B$2:$BI$155,MATCH($A135,Raw_매출!$A$2:$A$155,0),MATCH(EDATE($E135,AO$1-1),Raw_매출!$B$1:$BI$1,0))/(INDEX(요약_월별시즈널리티!$F$7:$F$18,MONTH(EDATE($E135,AO$1-1)))/100))),"")</f>
        <v/>
      </c>
      <c r="AP135" t="str" cm="1">
        <f t="array" ref="AP135">IFERROR(IF($E135&lt;44348,"",IF(INDEX(Raw_매출!$B$2:$BI$155,MATCH($A135,Raw_매출!$A$2:$A$155,0),MATCH(EDATE($E135,AP$1-1),Raw_매출!$B$1:$BI$1,0))=0,"",INDEX(Raw_매출!$B$2:$BI$155,MATCH($A135,Raw_매출!$A$2:$A$155,0),MATCH(EDATE($E135,AP$1-1),Raw_매출!$B$1:$BI$1,0))/(INDEX(요약_월별시즈널리티!$F$7:$F$18,MONTH(EDATE($E135,AP$1-1)))/100))),"")</f>
        <v/>
      </c>
      <c r="AQ135" t="str" cm="1">
        <f t="array" ref="AQ135">IFERROR(IF($E135&lt;44348,"",IF(INDEX(Raw_매출!$B$2:$BI$155,MATCH($A135,Raw_매출!$A$2:$A$155,0),MATCH(EDATE($E135,AQ$1-1),Raw_매출!$B$1:$BI$1,0))=0,"",INDEX(Raw_매출!$B$2:$BI$155,MATCH($A135,Raw_매출!$A$2:$A$155,0),MATCH(EDATE($E135,AQ$1-1),Raw_매출!$B$1:$BI$1,0))/(INDEX(요약_월별시즈널리티!$F$7:$F$18,MONTH(EDATE($E135,AQ$1-1)))/100))),"")</f>
        <v/>
      </c>
      <c r="AR135" t="str" cm="1">
        <f t="array" ref="AR135">IFERROR(IF($E135&lt;44348,"",IF(INDEX(Raw_매출!$B$2:$BI$155,MATCH($A135,Raw_매출!$A$2:$A$155,0),MATCH(EDATE($E135,AR$1-1),Raw_매출!$B$1:$BI$1,0))=0,"",INDEX(Raw_매출!$B$2:$BI$155,MATCH($A135,Raw_매출!$A$2:$A$155,0),MATCH(EDATE($E135,AR$1-1),Raw_매출!$B$1:$BI$1,0))/(INDEX(요약_월별시즈널리티!$F$7:$F$18,MONTH(EDATE($E135,AR$1-1)))/100))),"")</f>
        <v/>
      </c>
      <c r="AS135" t="str" cm="1">
        <f t="array" ref="AS135">IFERROR(IF($E135&lt;44348,"",IF(INDEX(Raw_매출!$B$2:$BI$155,MATCH($A135,Raw_매출!$A$2:$A$155,0),MATCH(EDATE($E135,AS$1-1),Raw_매출!$B$1:$BI$1,0))=0,"",INDEX(Raw_매출!$B$2:$BI$155,MATCH($A135,Raw_매출!$A$2:$A$155,0),MATCH(EDATE($E135,AS$1-1),Raw_매출!$B$1:$BI$1,0))/(INDEX(요약_월별시즈널리티!$F$7:$F$18,MONTH(EDATE($E135,AS$1-1)))/100))),"")</f>
        <v/>
      </c>
      <c r="AT135" t="str" cm="1">
        <f t="array" ref="AT135">IFERROR(IF($E135&lt;44348,"",IF(INDEX(Raw_매출!$B$2:$BI$155,MATCH($A135,Raw_매출!$A$2:$A$155,0),MATCH(EDATE($E135,AT$1-1),Raw_매출!$B$1:$BI$1,0))=0,"",INDEX(Raw_매출!$B$2:$BI$155,MATCH($A135,Raw_매출!$A$2:$A$155,0),MATCH(EDATE($E135,AT$1-1),Raw_매출!$B$1:$BI$1,0))/(INDEX(요약_월별시즈널리티!$F$7:$F$18,MONTH(EDATE($E135,AT$1-1)))/100))),"")</f>
        <v/>
      </c>
      <c r="AU135" t="str" cm="1">
        <f t="array" ref="AU135">IFERROR(IF($E135&lt;44348,"",IF(INDEX(Raw_매출!$B$2:$BI$155,MATCH($A135,Raw_매출!$A$2:$A$155,0),MATCH(EDATE($E135,AU$1-1),Raw_매출!$B$1:$BI$1,0))=0,"",INDEX(Raw_매출!$B$2:$BI$155,MATCH($A135,Raw_매출!$A$2:$A$155,0),MATCH(EDATE($E135,AU$1-1),Raw_매출!$B$1:$BI$1,0))/(INDEX(요약_월별시즈널리티!$F$7:$F$18,MONTH(EDATE($E135,AU$1-1)))/100))),"")</f>
        <v/>
      </c>
      <c r="AV135" t="str" cm="1">
        <f t="array" ref="AV135">IFERROR(IF($E135&lt;44348,"",IF(INDEX(Raw_매출!$B$2:$BI$155,MATCH($A135,Raw_매출!$A$2:$A$155,0),MATCH(EDATE($E135,AV$1-1),Raw_매출!$B$1:$BI$1,0))=0,"",INDEX(Raw_매출!$B$2:$BI$155,MATCH($A135,Raw_매출!$A$2:$A$155,0),MATCH(EDATE($E135,AV$1-1),Raw_매출!$B$1:$BI$1,0))/(INDEX(요약_월별시즈널리티!$F$7:$F$18,MONTH(EDATE($E135,AV$1-1)))/100))),"")</f>
        <v/>
      </c>
      <c r="AW135" t="str" cm="1">
        <f t="array" ref="AW135">IFERROR(IF($E135&lt;44348,"",IF(INDEX(Raw_매출!$B$2:$BI$155,MATCH($A135,Raw_매출!$A$2:$A$155,0),MATCH(EDATE($E135,AW$1-1),Raw_매출!$B$1:$BI$1,0))=0,"",INDEX(Raw_매출!$B$2:$BI$155,MATCH($A135,Raw_매출!$A$2:$A$155,0),MATCH(EDATE($E135,AW$1-1),Raw_매출!$B$1:$BI$1,0))/(INDEX(요약_월별시즈널리티!$F$7:$F$18,MONTH(EDATE($E135,AW$1-1)))/100))),"")</f>
        <v/>
      </c>
      <c r="AX135" t="str" cm="1">
        <f t="array" ref="AX135">IFERROR(IF($E135&lt;44348,"",IF(INDEX(Raw_매출!$B$2:$BI$155,MATCH($A135,Raw_매출!$A$2:$A$155,0),MATCH(EDATE($E135,AX$1-1),Raw_매출!$B$1:$BI$1,0))=0,"",INDEX(Raw_매출!$B$2:$BI$155,MATCH($A135,Raw_매출!$A$2:$A$155,0),MATCH(EDATE($E135,AX$1-1),Raw_매출!$B$1:$BI$1,0))/(INDEX(요약_월별시즈널리티!$F$7:$F$18,MONTH(EDATE($E135,AX$1-1)))/100))),"")</f>
        <v/>
      </c>
      <c r="AY135" t="str" cm="1">
        <f t="array" ref="AY135">IFERROR(IF($E135&lt;44348,"",IF(INDEX(Raw_매출!$B$2:$BI$155,MATCH($A135,Raw_매출!$A$2:$A$155,0),MATCH(EDATE($E135,AY$1-1),Raw_매출!$B$1:$BI$1,0))=0,"",INDEX(Raw_매출!$B$2:$BI$155,MATCH($A135,Raw_매출!$A$2:$A$155,0),MATCH(EDATE($E135,AY$1-1),Raw_매출!$B$1:$BI$1,0))/(INDEX(요약_월별시즈널리티!$F$7:$F$18,MONTH(EDATE($E135,AY$1-1)))/100))),"")</f>
        <v/>
      </c>
      <c r="AZ135" t="str" cm="1">
        <f t="array" ref="AZ135">IFERROR(IF($E135&lt;44348,"",IF(INDEX(Raw_매출!$B$2:$BI$155,MATCH($A135,Raw_매출!$A$2:$A$155,0),MATCH(EDATE($E135,AZ$1-1),Raw_매출!$B$1:$BI$1,0))=0,"",INDEX(Raw_매출!$B$2:$BI$155,MATCH($A135,Raw_매출!$A$2:$A$155,0),MATCH(EDATE($E135,AZ$1-1),Raw_매출!$B$1:$BI$1,0))/(INDEX(요약_월별시즈널리티!$F$7:$F$18,MONTH(EDATE($E135,AZ$1-1)))/100))),"")</f>
        <v/>
      </c>
      <c r="BA135" t="str" cm="1">
        <f t="array" ref="BA135">IFERROR(IF($E135&lt;44348,"",IF(INDEX(Raw_매출!$B$2:$BI$155,MATCH($A135,Raw_매출!$A$2:$A$155,0),MATCH(EDATE($E135,BA$1-1),Raw_매출!$B$1:$BI$1,0))=0,"",INDEX(Raw_매출!$B$2:$BI$155,MATCH($A135,Raw_매출!$A$2:$A$155,0),MATCH(EDATE($E135,BA$1-1),Raw_매출!$B$1:$BI$1,0))/(INDEX(요약_월별시즈널리티!$F$7:$F$18,MONTH(EDATE($E135,BA$1-1)))/100))),"")</f>
        <v/>
      </c>
      <c r="BB135" t="str" cm="1">
        <f t="array" ref="BB135">IFERROR(IF($E135&lt;44348,"",IF(INDEX(Raw_매출!$B$2:$BI$155,MATCH($A135,Raw_매출!$A$2:$A$155,0),MATCH(EDATE($E135,BB$1-1),Raw_매출!$B$1:$BI$1,0))=0,"",INDEX(Raw_매출!$B$2:$BI$155,MATCH($A135,Raw_매출!$A$2:$A$155,0),MATCH(EDATE($E135,BB$1-1),Raw_매출!$B$1:$BI$1,0))/(INDEX(요약_월별시즈널리티!$F$7:$F$18,MONTH(EDATE($E135,BB$1-1)))/100))),"")</f>
        <v/>
      </c>
      <c r="BC135" t="str" cm="1">
        <f t="array" ref="BC135">IFERROR(IF($E135&lt;44348,"",IF(INDEX(Raw_매출!$B$2:$BI$155,MATCH($A135,Raw_매출!$A$2:$A$155,0),MATCH(EDATE($E135,BC$1-1),Raw_매출!$B$1:$BI$1,0))=0,"",INDEX(Raw_매출!$B$2:$BI$155,MATCH($A135,Raw_매출!$A$2:$A$155,0),MATCH(EDATE($E135,BC$1-1),Raw_매출!$B$1:$BI$1,0))/(INDEX(요약_월별시즈널리티!$F$7:$F$18,MONTH(EDATE($E135,BC$1-1)))/100))),"")</f>
        <v/>
      </c>
      <c r="BD135" t="str" cm="1">
        <f t="array" ref="BD135">IFERROR(IF($E135&lt;44348,"",IF(INDEX(Raw_매출!$B$2:$BI$155,MATCH($A135,Raw_매출!$A$2:$A$155,0),MATCH(EDATE($E135,BD$1-1),Raw_매출!$B$1:$BI$1,0))=0,"",INDEX(Raw_매출!$B$2:$BI$155,MATCH($A135,Raw_매출!$A$2:$A$155,0),MATCH(EDATE($E135,BD$1-1),Raw_매출!$B$1:$BI$1,0))/(INDEX(요약_월별시즈널리티!$F$7:$F$18,MONTH(EDATE($E135,BD$1-1)))/100))),"")</f>
        <v/>
      </c>
      <c r="BE135" t="str" cm="1">
        <f t="array" ref="BE135">IFERROR(IF($E135&lt;44348,"",IF(INDEX(Raw_매출!$B$2:$BI$155,MATCH($A135,Raw_매출!$A$2:$A$155,0),MATCH(EDATE($E135,BE$1-1),Raw_매출!$B$1:$BI$1,0))=0,"",INDEX(Raw_매출!$B$2:$BI$155,MATCH($A135,Raw_매출!$A$2:$A$155,0),MATCH(EDATE($E135,BE$1-1),Raw_매출!$B$1:$BI$1,0))/(INDEX(요약_월별시즈널리티!$F$7:$F$18,MONTH(EDATE($E135,BE$1-1)))/100))),"")</f>
        <v/>
      </c>
      <c r="BF135" t="str" cm="1">
        <f t="array" ref="BF135">IFERROR(IF($E135&lt;44348,"",IF(INDEX(Raw_매출!$B$2:$BI$155,MATCH($A135,Raw_매출!$A$2:$A$155,0),MATCH(EDATE($E135,BF$1-1),Raw_매출!$B$1:$BI$1,0))=0,"",INDEX(Raw_매출!$B$2:$BI$155,MATCH($A135,Raw_매출!$A$2:$A$155,0),MATCH(EDATE($E135,BF$1-1),Raw_매출!$B$1:$BI$1,0))/(INDEX(요약_월별시즈널리티!$F$7:$F$18,MONTH(EDATE($E135,BF$1-1)))/100))),"")</f>
        <v/>
      </c>
      <c r="BG135" t="str" cm="1">
        <f t="array" ref="BG135">IFERROR(IF($E135&lt;44348,"",IF(INDEX(Raw_매출!$B$2:$BI$155,MATCH($A135,Raw_매출!$A$2:$A$155,0),MATCH(EDATE($E135,BG$1-1),Raw_매출!$B$1:$BI$1,0))=0,"",INDEX(Raw_매출!$B$2:$BI$155,MATCH($A135,Raw_매출!$A$2:$A$155,0),MATCH(EDATE($E135,BG$1-1),Raw_매출!$B$1:$BI$1,0))/(INDEX(요약_월별시즈널리티!$F$7:$F$18,MONTH(EDATE($E135,BG$1-1)))/100))),"")</f>
        <v/>
      </c>
      <c r="BH135" t="str" cm="1">
        <f t="array" ref="BH135">IFERROR(IF($E135&lt;44348,"",IF(INDEX(Raw_매출!$B$2:$BI$155,MATCH($A135,Raw_매출!$A$2:$A$155,0),MATCH(EDATE($E135,BH$1-1),Raw_매출!$B$1:$BI$1,0))=0,"",INDEX(Raw_매출!$B$2:$BI$155,MATCH($A135,Raw_매출!$A$2:$A$155,0),MATCH(EDATE($E135,BH$1-1),Raw_매출!$B$1:$BI$1,0))/(INDEX(요약_월별시즈널리티!$F$7:$F$18,MONTH(EDATE($E135,BH$1-1)))/100))),"")</f>
        <v/>
      </c>
      <c r="BI135" t="str" cm="1">
        <f t="array" ref="BI135">IFERROR(IF($E135&lt;44348,"",IF(INDEX(Raw_매출!$B$2:$BI$155,MATCH($A135,Raw_매출!$A$2:$A$155,0),MATCH(EDATE($E135,BI$1-1),Raw_매출!$B$1:$BI$1,0))=0,"",INDEX(Raw_매출!$B$2:$BI$155,MATCH($A135,Raw_매출!$A$2:$A$155,0),MATCH(EDATE($E135,BI$1-1),Raw_매출!$B$1:$BI$1,0))/(INDEX(요약_월별시즈널리티!$F$7:$F$18,MONTH(EDATE($E135,BI$1-1)))/100))),"")</f>
        <v/>
      </c>
      <c r="BJ135" t="str" cm="1">
        <f t="array" ref="BJ135">IFERROR(IF($E135&lt;44348,"",IF(INDEX(Raw_매출!$B$2:$BI$155,MATCH($A135,Raw_매출!$A$2:$A$155,0),MATCH(EDATE($E135,BJ$1-1),Raw_매출!$B$1:$BI$1,0))=0,"",INDEX(Raw_매출!$B$2:$BI$155,MATCH($A135,Raw_매출!$A$2:$A$155,0),MATCH(EDATE($E135,BJ$1-1),Raw_매출!$B$1:$BI$1,0))/(INDEX(요약_월별시즈널리티!$F$7:$F$18,MONTH(EDATE($E135,BJ$1-1)))/100))),"")</f>
        <v/>
      </c>
      <c r="BK135" t="str" cm="1">
        <f t="array" ref="BK135">IFERROR(IF($E135&lt;44348,"",IF(INDEX(Raw_매출!$B$2:$BI$155,MATCH($A135,Raw_매출!$A$2:$A$155,0),MATCH(EDATE($E135,BK$1-1),Raw_매출!$B$1:$BI$1,0))=0,"",INDEX(Raw_매출!$B$2:$BI$155,MATCH($A135,Raw_매출!$A$2:$A$155,0),MATCH(EDATE($E135,BK$1-1),Raw_매출!$B$1:$BI$1,0))/(INDEX(요약_월별시즈널리티!$F$7:$F$18,MONTH(EDATE($E135,BK$1-1)))/100))),"")</f>
        <v/>
      </c>
      <c r="BL135" t="str" cm="1">
        <f t="array" ref="BL135">IFERROR(IF($E135&lt;44348,"",IF(INDEX(Raw_매출!$B$2:$BI$155,MATCH($A135,Raw_매출!$A$2:$A$155,0),MATCH(EDATE($E135,BL$1-1),Raw_매출!$B$1:$BI$1,0))=0,"",INDEX(Raw_매출!$B$2:$BI$155,MATCH($A135,Raw_매출!$A$2:$A$155,0),MATCH(EDATE($E135,BL$1-1),Raw_매출!$B$1:$BI$1,0))/(INDEX(요약_월별시즈널리티!$F$7:$F$18,MONTH(EDATE($E135,BL$1-1)))/100))),"")</f>
        <v/>
      </c>
      <c r="BM135" t="str" cm="1">
        <f t="array" ref="BM135">IFERROR(IF($E135&lt;44348,"",IF(INDEX(Raw_매출!$B$2:$BI$155,MATCH($A135,Raw_매출!$A$2:$A$155,0),MATCH(EDATE($E135,BM$1-1),Raw_매출!$B$1:$BI$1,0))=0,"",INDEX(Raw_매출!$B$2:$BI$155,MATCH($A135,Raw_매출!$A$2:$A$155,0),MATCH(EDATE($E135,BM$1-1),Raw_매출!$B$1:$BI$1,0))/(INDEX(요약_월별시즈널리티!$F$7:$F$18,MONTH(EDATE($E135,BM$1-1)))/100))),"")</f>
        <v/>
      </c>
      <c r="BN135" t="str" cm="1">
        <f t="array" ref="BN135">IFERROR(IF($E135&lt;44348,"",IF(INDEX(Raw_매출!$B$2:$BI$155,MATCH($A135,Raw_매출!$A$2:$A$155,0),MATCH(EDATE($E135,BN$1-1),Raw_매출!$B$1:$BI$1,0))=0,"",INDEX(Raw_매출!$B$2:$BI$155,MATCH($A135,Raw_매출!$A$2:$A$155,0),MATCH(EDATE($E135,BN$1-1),Raw_매출!$B$1:$BI$1,0))/(INDEX(요약_월별시즈널리티!$F$7:$F$18,MONTH(EDATE($E135,BN$1-1)))/100))),"")</f>
        <v/>
      </c>
    </row>
    <row r="136" spans="1:66" x14ac:dyDescent="0.4">
      <c r="A136" t="str">
        <f>세팅!A137</f>
        <v>(1127) #수원시청뽀송점</v>
      </c>
      <c r="B136" t="str">
        <f>세팅!B137</f>
        <v>150-0</v>
      </c>
      <c r="C136">
        <f t="shared" si="6"/>
        <v>0</v>
      </c>
      <c r="D136" t="str">
        <f t="shared" si="7"/>
        <v>0</v>
      </c>
      <c r="E136" s="1">
        <f>세팅!D137</f>
        <v>45870</v>
      </c>
      <c r="F136">
        <f t="shared" si="8"/>
        <v>3470048.6201526392</v>
      </c>
      <c r="G136" cm="1">
        <f t="array" ref="G136">IFERROR(IF($E136&lt;44348,"",IF(INDEX(Raw_매출!$B$2:$BI$155,MATCH($A136,Raw_매출!$A$2:$A$155,0),MATCH(EDATE($E136,G$1-1),Raw_매출!$B$1:$BI$1,0))=0,"",INDEX(Raw_매출!$B$2:$BI$155,MATCH($A136,Raw_매출!$A$2:$A$155,0),MATCH(EDATE($E136,G$1-1),Raw_매출!$B$1:$BI$1,0))/(INDEX(요약_월별시즈널리티!$F$7:$F$18,MONTH(EDATE($E136,G$1-1)))/100))),"")</f>
        <v>2528486.9391393084</v>
      </c>
      <c r="H136" cm="1">
        <f t="array" ref="H136">IFERROR(IF($E136&lt;44348,"",IF(INDEX(Raw_매출!$B$2:$BI$155,MATCH($A136,Raw_매출!$A$2:$A$155,0),MATCH(EDATE($E136,H$1-1),Raw_매출!$B$1:$BI$1,0))=0,"",INDEX(Raw_매출!$B$2:$BI$155,MATCH($A136,Raw_매출!$A$2:$A$155,0),MATCH(EDATE($E136,H$1-1),Raw_매출!$B$1:$BI$1,0))/(INDEX(요약_월별시즈널리티!$F$7:$F$18,MONTH(EDATE($E136,H$1-1)))/100))),"")</f>
        <v>2533189.4651712249</v>
      </c>
      <c r="I136" cm="1">
        <f t="array" ref="I136">IFERROR(IF($E136&lt;44348,"",IF(INDEX(Raw_매출!$B$2:$BI$155,MATCH($A136,Raw_매출!$A$2:$A$155,0),MATCH(EDATE($E136,I$1-1),Raw_매출!$B$1:$BI$1,0))=0,"",INDEX(Raw_매출!$B$2:$BI$155,MATCH($A136,Raw_매출!$A$2:$A$155,0),MATCH(EDATE($E136,I$1-1),Raw_매출!$B$1:$BI$1,0))/(INDEX(요약_월별시즈널리티!$F$7:$F$18,MONTH(EDATE($E136,I$1-1)))/100))),"")</f>
        <v>3433898.5171950692</v>
      </c>
      <c r="J136" s="30" cm="1">
        <f t="array" ref="J136">IFERROR(IF($E136&lt;44348,"",IF(INDEX(Raw_매출!$B$2:$BI$155,MATCH($A136,Raw_매출!$A$2:$A$155,0),MATCH(EDATE($E136,J$1-1),Raw_매출!$B$1:$BI$1,0))=0,"",INDEX(Raw_매출!$B$2:$BI$155,MATCH($A136,Raw_매출!$A$2:$A$155,0),MATCH(EDATE($E136,J$1-1),Raw_매출!$B$1:$BI$1,0))/(INDEX(요약_월별시즈널리티!$F$7:$F$18,MONTH(EDATE($E136,J$1-1)))/100))),"")</f>
        <v>3004441.868301597</v>
      </c>
      <c r="K136" s="30" cm="1">
        <f t="array" ref="K136">IFERROR(IF($E136&lt;44348,"",IF(INDEX(Raw_매출!$B$2:$BI$155,MATCH($A136,Raw_매출!$A$2:$A$155,0),MATCH(EDATE($E136,K$1-1),Raw_매출!$B$1:$BI$1,0))=0,"",INDEX(Raw_매출!$B$2:$BI$155,MATCH($A136,Raw_매출!$A$2:$A$155,0),MATCH(EDATE($E136,K$1-1),Raw_매출!$B$1:$BI$1,0))/(INDEX(요약_월별시즈널리티!$F$7:$F$18,MONTH(EDATE($E136,K$1-1)))/100))),"")</f>
        <v>3121206.3492478854</v>
      </c>
      <c r="L136" s="30" cm="1">
        <f t="array" ref="L136">IFERROR(IF($E136&lt;44348,"",IF(INDEX(Raw_매출!$B$2:$BI$155,MATCH($A136,Raw_매출!$A$2:$A$155,0),MATCH(EDATE($E136,L$1-1),Raw_매출!$B$1:$BI$1,0))=0,"",INDEX(Raw_매출!$B$2:$BI$155,MATCH($A136,Raw_매출!$A$2:$A$155,0),MATCH(EDATE($E136,L$1-1),Raw_매출!$B$1:$BI$1,0))/(INDEX(요약_월별시즈널리티!$F$7:$F$18,MONTH(EDATE($E136,L$1-1)))/100))),"")</f>
        <v>3411390.9663268956</v>
      </c>
      <c r="M136" s="30" cm="1">
        <f t="array" ref="M136">IFERROR(IF($E136&lt;44348,"",IF(INDEX(Raw_매출!$B$2:$BI$155,MATCH($A136,Raw_매출!$A$2:$A$155,0),MATCH(EDATE($E136,M$1-1),Raw_매출!$B$1:$BI$1,0))=0,"",INDEX(Raw_매출!$B$2:$BI$155,MATCH($A136,Raw_매출!$A$2:$A$155,0),MATCH(EDATE($E136,M$1-1),Raw_매출!$B$1:$BI$1,0))/(INDEX(요약_월별시즈널리티!$F$7:$F$18,MONTH(EDATE($E136,M$1-1)))/100))),"")</f>
        <v>4153152.6228530165</v>
      </c>
      <c r="N136" s="30" cm="1">
        <f t="array" ref="N136">IFERROR(IF($E136&lt;44348,"",IF(INDEX(Raw_매출!$B$2:$BI$155,MATCH($A136,Raw_매출!$A$2:$A$155,0),MATCH(EDATE($E136,N$1-1),Raw_매출!$B$1:$BI$1,0))=0,"",INDEX(Raw_매출!$B$2:$BI$155,MATCH($A136,Raw_매출!$A$2:$A$155,0),MATCH(EDATE($E136,N$1-1),Raw_매출!$B$1:$BI$1,0))/(INDEX(요약_월별시즈널리티!$F$7:$F$18,MONTH(EDATE($E136,N$1-1)))/100))),"")</f>
        <v>3477765.0874209255</v>
      </c>
      <c r="O136" s="30" cm="1">
        <f t="array" ref="O136">IFERROR(IF($E136&lt;44348,"",IF(INDEX(Raw_매출!$B$2:$BI$155,MATCH($A136,Raw_매출!$A$2:$A$155,0),MATCH(EDATE($E136,O$1-1),Raw_매출!$B$1:$BI$1,0))=0,"",INDEX(Raw_매출!$B$2:$BI$155,MATCH($A136,Raw_매출!$A$2:$A$155,0),MATCH(EDATE($E136,O$1-1),Raw_매출!$B$1:$BI$1,0))/(INDEX(요약_월별시즈널리티!$F$7:$F$18,MONTH(EDATE($E136,O$1-1)))/100))),"")</f>
        <v>3652334.8267655154</v>
      </c>
      <c r="P136" cm="1">
        <f t="array" ref="P136">IFERROR(IF($E136&lt;44348,"",IF(INDEX(Raw_매출!$B$2:$BI$155,MATCH($A136,Raw_매출!$A$2:$A$155,0),MATCH(EDATE($E136,P$1-1),Raw_매출!$B$1:$BI$1,0))=0,"",INDEX(Raw_매출!$B$2:$BI$155,MATCH($A136,Raw_매출!$A$2:$A$155,0),MATCH(EDATE($E136,P$1-1),Raw_매출!$B$1:$BI$1,0))/(INDEX(요약_월별시즈널리티!$F$7:$F$18,MONTH(EDATE($E136,P$1-1)))/100))),"")</f>
        <v>3997173.2158944122</v>
      </c>
      <c r="Q136" t="str" cm="1">
        <f t="array" ref="Q136">IFERROR(IF($E136&lt;44348,"",IF(INDEX(Raw_매출!$B$2:$BI$155,MATCH($A136,Raw_매출!$A$2:$A$155,0),MATCH(EDATE($E136,Q$1-1),Raw_매출!$B$1:$BI$1,0))=0,"",INDEX(Raw_매출!$B$2:$BI$155,MATCH($A136,Raw_매출!$A$2:$A$155,0),MATCH(EDATE($E136,Q$1-1),Raw_매출!$B$1:$BI$1,0))/(INDEX(요약_월별시즈널리티!$F$7:$F$18,MONTH(EDATE($E136,Q$1-1)))/100))),"")</f>
        <v/>
      </c>
      <c r="R136" t="str" cm="1">
        <f t="array" ref="R136">IFERROR(IF($E136&lt;44348,"",IF(INDEX(Raw_매출!$B$2:$BI$155,MATCH($A136,Raw_매출!$A$2:$A$155,0),MATCH(EDATE($E136,R$1-1),Raw_매출!$B$1:$BI$1,0))=0,"",INDEX(Raw_매출!$B$2:$BI$155,MATCH($A136,Raw_매출!$A$2:$A$155,0),MATCH(EDATE($E136,R$1-1),Raw_매출!$B$1:$BI$1,0))/(INDEX(요약_월별시즈널리티!$F$7:$F$18,MONTH(EDATE($E136,R$1-1)))/100))),"")</f>
        <v/>
      </c>
      <c r="S136" t="str" cm="1">
        <f t="array" ref="S136">IFERROR(IF($E136&lt;44348,"",IF(INDEX(Raw_매출!$B$2:$BI$155,MATCH($A136,Raw_매출!$A$2:$A$155,0),MATCH(EDATE($E136,S$1-1),Raw_매출!$B$1:$BI$1,0))=0,"",INDEX(Raw_매출!$B$2:$BI$155,MATCH($A136,Raw_매출!$A$2:$A$155,0),MATCH(EDATE($E136,S$1-1),Raw_매출!$B$1:$BI$1,0))/(INDEX(요약_월별시즈널리티!$F$7:$F$18,MONTH(EDATE($E136,S$1-1)))/100))),"")</f>
        <v/>
      </c>
      <c r="T136" t="str" cm="1">
        <f t="array" ref="T136">IFERROR(IF($E136&lt;44348,"",IF(INDEX(Raw_매출!$B$2:$BI$155,MATCH($A136,Raw_매출!$A$2:$A$155,0),MATCH(EDATE($E136,T$1-1),Raw_매출!$B$1:$BI$1,0))=0,"",INDEX(Raw_매출!$B$2:$BI$155,MATCH($A136,Raw_매출!$A$2:$A$155,0),MATCH(EDATE($E136,T$1-1),Raw_매출!$B$1:$BI$1,0))/(INDEX(요약_월별시즈널리티!$F$7:$F$18,MONTH(EDATE($E136,T$1-1)))/100))),"")</f>
        <v/>
      </c>
      <c r="U136" t="str" cm="1">
        <f t="array" ref="U136">IFERROR(IF($E136&lt;44348,"",IF(INDEX(Raw_매출!$B$2:$BI$155,MATCH($A136,Raw_매출!$A$2:$A$155,0),MATCH(EDATE($E136,U$1-1),Raw_매출!$B$1:$BI$1,0))=0,"",INDEX(Raw_매출!$B$2:$BI$155,MATCH($A136,Raw_매출!$A$2:$A$155,0),MATCH(EDATE($E136,U$1-1),Raw_매출!$B$1:$BI$1,0))/(INDEX(요약_월별시즈널리티!$F$7:$F$18,MONTH(EDATE($E136,U$1-1)))/100))),"")</f>
        <v/>
      </c>
      <c r="V136" t="str" cm="1">
        <f t="array" ref="V136">IFERROR(IF($E136&lt;44348,"",IF(INDEX(Raw_매출!$B$2:$BI$155,MATCH($A136,Raw_매출!$A$2:$A$155,0),MATCH(EDATE($E136,V$1-1),Raw_매출!$B$1:$BI$1,0))=0,"",INDEX(Raw_매출!$B$2:$BI$155,MATCH($A136,Raw_매출!$A$2:$A$155,0),MATCH(EDATE($E136,V$1-1),Raw_매출!$B$1:$BI$1,0))/(INDEX(요약_월별시즈널리티!$F$7:$F$18,MONTH(EDATE($E136,V$1-1)))/100))),"")</f>
        <v/>
      </c>
      <c r="W136" t="str" cm="1">
        <f t="array" ref="W136">IFERROR(IF($E136&lt;44348,"",IF(INDEX(Raw_매출!$B$2:$BI$155,MATCH($A136,Raw_매출!$A$2:$A$155,0),MATCH(EDATE($E136,W$1-1),Raw_매출!$B$1:$BI$1,0))=0,"",INDEX(Raw_매출!$B$2:$BI$155,MATCH($A136,Raw_매출!$A$2:$A$155,0),MATCH(EDATE($E136,W$1-1),Raw_매출!$B$1:$BI$1,0))/(INDEX(요약_월별시즈널리티!$F$7:$F$18,MONTH(EDATE($E136,W$1-1)))/100))),"")</f>
        <v/>
      </c>
      <c r="X136" t="str" cm="1">
        <f t="array" ref="X136">IFERROR(IF($E136&lt;44348,"",IF(INDEX(Raw_매출!$B$2:$BI$155,MATCH($A136,Raw_매출!$A$2:$A$155,0),MATCH(EDATE($E136,X$1-1),Raw_매출!$B$1:$BI$1,0))=0,"",INDEX(Raw_매출!$B$2:$BI$155,MATCH($A136,Raw_매출!$A$2:$A$155,0),MATCH(EDATE($E136,X$1-1),Raw_매출!$B$1:$BI$1,0))/(INDEX(요약_월별시즈널리티!$F$7:$F$18,MONTH(EDATE($E136,X$1-1)))/100))),"")</f>
        <v/>
      </c>
      <c r="Y136" t="str" cm="1">
        <f t="array" ref="Y136">IFERROR(IF($E136&lt;44348,"",IF(INDEX(Raw_매출!$B$2:$BI$155,MATCH($A136,Raw_매출!$A$2:$A$155,0),MATCH(EDATE($E136,Y$1-1),Raw_매출!$B$1:$BI$1,0))=0,"",INDEX(Raw_매출!$B$2:$BI$155,MATCH($A136,Raw_매출!$A$2:$A$155,0),MATCH(EDATE($E136,Y$1-1),Raw_매출!$B$1:$BI$1,0))/(INDEX(요약_월별시즈널리티!$F$7:$F$18,MONTH(EDATE($E136,Y$1-1)))/100))),"")</f>
        <v/>
      </c>
      <c r="Z136" t="str" cm="1">
        <f t="array" ref="Z136">IFERROR(IF($E136&lt;44348,"",IF(INDEX(Raw_매출!$B$2:$BI$155,MATCH($A136,Raw_매출!$A$2:$A$155,0),MATCH(EDATE($E136,Z$1-1),Raw_매출!$B$1:$BI$1,0))=0,"",INDEX(Raw_매출!$B$2:$BI$155,MATCH($A136,Raw_매출!$A$2:$A$155,0),MATCH(EDATE($E136,Z$1-1),Raw_매출!$B$1:$BI$1,0))/(INDEX(요약_월별시즈널리티!$F$7:$F$18,MONTH(EDATE($E136,Z$1-1)))/100))),"")</f>
        <v/>
      </c>
      <c r="AA136" t="str" cm="1">
        <f t="array" ref="AA136">IFERROR(IF($E136&lt;44348,"",IF(INDEX(Raw_매출!$B$2:$BI$155,MATCH($A136,Raw_매출!$A$2:$A$155,0),MATCH(EDATE($E136,AA$1-1),Raw_매출!$B$1:$BI$1,0))=0,"",INDEX(Raw_매출!$B$2:$BI$155,MATCH($A136,Raw_매출!$A$2:$A$155,0),MATCH(EDATE($E136,AA$1-1),Raw_매출!$B$1:$BI$1,0))/(INDEX(요약_월별시즈널리티!$F$7:$F$18,MONTH(EDATE($E136,AA$1-1)))/100))),"")</f>
        <v/>
      </c>
      <c r="AB136" t="str" cm="1">
        <f t="array" ref="AB136">IFERROR(IF($E136&lt;44348,"",IF(INDEX(Raw_매출!$B$2:$BI$155,MATCH($A136,Raw_매출!$A$2:$A$155,0),MATCH(EDATE($E136,AB$1-1),Raw_매출!$B$1:$BI$1,0))=0,"",INDEX(Raw_매출!$B$2:$BI$155,MATCH($A136,Raw_매출!$A$2:$A$155,0),MATCH(EDATE($E136,AB$1-1),Raw_매출!$B$1:$BI$1,0))/(INDEX(요약_월별시즈널리티!$F$7:$F$18,MONTH(EDATE($E136,AB$1-1)))/100))),"")</f>
        <v/>
      </c>
      <c r="AC136" t="str" cm="1">
        <f t="array" ref="AC136">IFERROR(IF($E136&lt;44348,"",IF(INDEX(Raw_매출!$B$2:$BI$155,MATCH($A136,Raw_매출!$A$2:$A$155,0),MATCH(EDATE($E136,AC$1-1),Raw_매출!$B$1:$BI$1,0))=0,"",INDEX(Raw_매출!$B$2:$BI$155,MATCH($A136,Raw_매출!$A$2:$A$155,0),MATCH(EDATE($E136,AC$1-1),Raw_매출!$B$1:$BI$1,0))/(INDEX(요약_월별시즈널리티!$F$7:$F$18,MONTH(EDATE($E136,AC$1-1)))/100))),"")</f>
        <v/>
      </c>
      <c r="AD136" t="str" cm="1">
        <f t="array" ref="AD136">IFERROR(IF($E136&lt;44348,"",IF(INDEX(Raw_매출!$B$2:$BI$155,MATCH($A136,Raw_매출!$A$2:$A$155,0),MATCH(EDATE($E136,AD$1-1),Raw_매출!$B$1:$BI$1,0))=0,"",INDEX(Raw_매출!$B$2:$BI$155,MATCH($A136,Raw_매출!$A$2:$A$155,0),MATCH(EDATE($E136,AD$1-1),Raw_매출!$B$1:$BI$1,0))/(INDEX(요약_월별시즈널리티!$F$7:$F$18,MONTH(EDATE($E136,AD$1-1)))/100))),"")</f>
        <v/>
      </c>
      <c r="AE136" t="str" cm="1">
        <f t="array" ref="AE136">IFERROR(IF($E136&lt;44348,"",IF(INDEX(Raw_매출!$B$2:$BI$155,MATCH($A136,Raw_매출!$A$2:$A$155,0),MATCH(EDATE($E136,AE$1-1),Raw_매출!$B$1:$BI$1,0))=0,"",INDEX(Raw_매출!$B$2:$BI$155,MATCH($A136,Raw_매출!$A$2:$A$155,0),MATCH(EDATE($E136,AE$1-1),Raw_매출!$B$1:$BI$1,0))/(INDEX(요약_월별시즈널리티!$F$7:$F$18,MONTH(EDATE($E136,AE$1-1)))/100))),"")</f>
        <v/>
      </c>
      <c r="AF136" t="str" cm="1">
        <f t="array" ref="AF136">IFERROR(IF($E136&lt;44348,"",IF(INDEX(Raw_매출!$B$2:$BI$155,MATCH($A136,Raw_매출!$A$2:$A$155,0),MATCH(EDATE($E136,AF$1-1),Raw_매출!$B$1:$BI$1,0))=0,"",INDEX(Raw_매출!$B$2:$BI$155,MATCH($A136,Raw_매출!$A$2:$A$155,0),MATCH(EDATE($E136,AF$1-1),Raw_매출!$B$1:$BI$1,0))/(INDEX(요약_월별시즈널리티!$F$7:$F$18,MONTH(EDATE($E136,AF$1-1)))/100))),"")</f>
        <v/>
      </c>
      <c r="AG136" t="str" cm="1">
        <f t="array" ref="AG136">IFERROR(IF($E136&lt;44348,"",IF(INDEX(Raw_매출!$B$2:$BI$155,MATCH($A136,Raw_매출!$A$2:$A$155,0),MATCH(EDATE($E136,AG$1-1),Raw_매출!$B$1:$BI$1,0))=0,"",INDEX(Raw_매출!$B$2:$BI$155,MATCH($A136,Raw_매출!$A$2:$A$155,0),MATCH(EDATE($E136,AG$1-1),Raw_매출!$B$1:$BI$1,0))/(INDEX(요약_월별시즈널리티!$F$7:$F$18,MONTH(EDATE($E136,AG$1-1)))/100))),"")</f>
        <v/>
      </c>
      <c r="AH136" t="str" cm="1">
        <f t="array" ref="AH136">IFERROR(IF($E136&lt;44348,"",IF(INDEX(Raw_매출!$B$2:$BI$155,MATCH($A136,Raw_매출!$A$2:$A$155,0),MATCH(EDATE($E136,AH$1-1),Raw_매출!$B$1:$BI$1,0))=0,"",INDEX(Raw_매출!$B$2:$BI$155,MATCH($A136,Raw_매출!$A$2:$A$155,0),MATCH(EDATE($E136,AH$1-1),Raw_매출!$B$1:$BI$1,0))/(INDEX(요약_월별시즈널리티!$F$7:$F$18,MONTH(EDATE($E136,AH$1-1)))/100))),"")</f>
        <v/>
      </c>
      <c r="AI136" t="str" cm="1">
        <f t="array" ref="AI136">IFERROR(IF($E136&lt;44348,"",IF(INDEX(Raw_매출!$B$2:$BI$155,MATCH($A136,Raw_매출!$A$2:$A$155,0),MATCH(EDATE($E136,AI$1-1),Raw_매출!$B$1:$BI$1,0))=0,"",INDEX(Raw_매출!$B$2:$BI$155,MATCH($A136,Raw_매출!$A$2:$A$155,0),MATCH(EDATE($E136,AI$1-1),Raw_매출!$B$1:$BI$1,0))/(INDEX(요약_월별시즈널리티!$F$7:$F$18,MONTH(EDATE($E136,AI$1-1)))/100))),"")</f>
        <v/>
      </c>
      <c r="AJ136" t="str" cm="1">
        <f t="array" ref="AJ136">IFERROR(IF($E136&lt;44348,"",IF(INDEX(Raw_매출!$B$2:$BI$155,MATCH($A136,Raw_매출!$A$2:$A$155,0),MATCH(EDATE($E136,AJ$1-1),Raw_매출!$B$1:$BI$1,0))=0,"",INDEX(Raw_매출!$B$2:$BI$155,MATCH($A136,Raw_매출!$A$2:$A$155,0),MATCH(EDATE($E136,AJ$1-1),Raw_매출!$B$1:$BI$1,0))/(INDEX(요약_월별시즈널리티!$F$7:$F$18,MONTH(EDATE($E136,AJ$1-1)))/100))),"")</f>
        <v/>
      </c>
      <c r="AK136" t="str" cm="1">
        <f t="array" ref="AK136">IFERROR(IF($E136&lt;44348,"",IF(INDEX(Raw_매출!$B$2:$BI$155,MATCH($A136,Raw_매출!$A$2:$A$155,0),MATCH(EDATE($E136,AK$1-1),Raw_매출!$B$1:$BI$1,0))=0,"",INDEX(Raw_매출!$B$2:$BI$155,MATCH($A136,Raw_매출!$A$2:$A$155,0),MATCH(EDATE($E136,AK$1-1),Raw_매출!$B$1:$BI$1,0))/(INDEX(요약_월별시즈널리티!$F$7:$F$18,MONTH(EDATE($E136,AK$1-1)))/100))),"")</f>
        <v/>
      </c>
      <c r="AL136" t="str" cm="1">
        <f t="array" ref="AL136">IFERROR(IF($E136&lt;44348,"",IF(INDEX(Raw_매출!$B$2:$BI$155,MATCH($A136,Raw_매출!$A$2:$A$155,0),MATCH(EDATE($E136,AL$1-1),Raw_매출!$B$1:$BI$1,0))=0,"",INDEX(Raw_매출!$B$2:$BI$155,MATCH($A136,Raw_매출!$A$2:$A$155,0),MATCH(EDATE($E136,AL$1-1),Raw_매출!$B$1:$BI$1,0))/(INDEX(요약_월별시즈널리티!$F$7:$F$18,MONTH(EDATE($E136,AL$1-1)))/100))),"")</f>
        <v/>
      </c>
      <c r="AM136" t="str" cm="1">
        <f t="array" ref="AM136">IFERROR(IF($E136&lt;44348,"",IF(INDEX(Raw_매출!$B$2:$BI$155,MATCH($A136,Raw_매출!$A$2:$A$155,0),MATCH(EDATE($E136,AM$1-1),Raw_매출!$B$1:$BI$1,0))=0,"",INDEX(Raw_매출!$B$2:$BI$155,MATCH($A136,Raw_매출!$A$2:$A$155,0),MATCH(EDATE($E136,AM$1-1),Raw_매출!$B$1:$BI$1,0))/(INDEX(요약_월별시즈널리티!$F$7:$F$18,MONTH(EDATE($E136,AM$1-1)))/100))),"")</f>
        <v/>
      </c>
      <c r="AN136" t="str" cm="1">
        <f t="array" ref="AN136">IFERROR(IF($E136&lt;44348,"",IF(INDEX(Raw_매출!$B$2:$BI$155,MATCH($A136,Raw_매출!$A$2:$A$155,0),MATCH(EDATE($E136,AN$1-1),Raw_매출!$B$1:$BI$1,0))=0,"",INDEX(Raw_매출!$B$2:$BI$155,MATCH($A136,Raw_매출!$A$2:$A$155,0),MATCH(EDATE($E136,AN$1-1),Raw_매출!$B$1:$BI$1,0))/(INDEX(요약_월별시즈널리티!$F$7:$F$18,MONTH(EDATE($E136,AN$1-1)))/100))),"")</f>
        <v/>
      </c>
      <c r="AO136" t="str" cm="1">
        <f t="array" ref="AO136">IFERROR(IF($E136&lt;44348,"",IF(INDEX(Raw_매출!$B$2:$BI$155,MATCH($A136,Raw_매출!$A$2:$A$155,0),MATCH(EDATE($E136,AO$1-1),Raw_매출!$B$1:$BI$1,0))=0,"",INDEX(Raw_매출!$B$2:$BI$155,MATCH($A136,Raw_매출!$A$2:$A$155,0),MATCH(EDATE($E136,AO$1-1),Raw_매출!$B$1:$BI$1,0))/(INDEX(요약_월별시즈널리티!$F$7:$F$18,MONTH(EDATE($E136,AO$1-1)))/100))),"")</f>
        <v/>
      </c>
      <c r="AP136" t="str" cm="1">
        <f t="array" ref="AP136">IFERROR(IF($E136&lt;44348,"",IF(INDEX(Raw_매출!$B$2:$BI$155,MATCH($A136,Raw_매출!$A$2:$A$155,0),MATCH(EDATE($E136,AP$1-1),Raw_매출!$B$1:$BI$1,0))=0,"",INDEX(Raw_매출!$B$2:$BI$155,MATCH($A136,Raw_매출!$A$2:$A$155,0),MATCH(EDATE($E136,AP$1-1),Raw_매출!$B$1:$BI$1,0))/(INDEX(요약_월별시즈널리티!$F$7:$F$18,MONTH(EDATE($E136,AP$1-1)))/100))),"")</f>
        <v/>
      </c>
      <c r="AQ136" t="str" cm="1">
        <f t="array" ref="AQ136">IFERROR(IF($E136&lt;44348,"",IF(INDEX(Raw_매출!$B$2:$BI$155,MATCH($A136,Raw_매출!$A$2:$A$155,0),MATCH(EDATE($E136,AQ$1-1),Raw_매출!$B$1:$BI$1,0))=0,"",INDEX(Raw_매출!$B$2:$BI$155,MATCH($A136,Raw_매출!$A$2:$A$155,0),MATCH(EDATE($E136,AQ$1-1),Raw_매출!$B$1:$BI$1,0))/(INDEX(요약_월별시즈널리티!$F$7:$F$18,MONTH(EDATE($E136,AQ$1-1)))/100))),"")</f>
        <v/>
      </c>
      <c r="AR136" t="str" cm="1">
        <f t="array" ref="AR136">IFERROR(IF($E136&lt;44348,"",IF(INDEX(Raw_매출!$B$2:$BI$155,MATCH($A136,Raw_매출!$A$2:$A$155,0),MATCH(EDATE($E136,AR$1-1),Raw_매출!$B$1:$BI$1,0))=0,"",INDEX(Raw_매출!$B$2:$BI$155,MATCH($A136,Raw_매출!$A$2:$A$155,0),MATCH(EDATE($E136,AR$1-1),Raw_매출!$B$1:$BI$1,0))/(INDEX(요약_월별시즈널리티!$F$7:$F$18,MONTH(EDATE($E136,AR$1-1)))/100))),"")</f>
        <v/>
      </c>
      <c r="AS136" t="str" cm="1">
        <f t="array" ref="AS136">IFERROR(IF($E136&lt;44348,"",IF(INDEX(Raw_매출!$B$2:$BI$155,MATCH($A136,Raw_매출!$A$2:$A$155,0),MATCH(EDATE($E136,AS$1-1),Raw_매출!$B$1:$BI$1,0))=0,"",INDEX(Raw_매출!$B$2:$BI$155,MATCH($A136,Raw_매출!$A$2:$A$155,0),MATCH(EDATE($E136,AS$1-1),Raw_매출!$B$1:$BI$1,0))/(INDEX(요약_월별시즈널리티!$F$7:$F$18,MONTH(EDATE($E136,AS$1-1)))/100))),"")</f>
        <v/>
      </c>
      <c r="AT136" t="str" cm="1">
        <f t="array" ref="AT136">IFERROR(IF($E136&lt;44348,"",IF(INDEX(Raw_매출!$B$2:$BI$155,MATCH($A136,Raw_매출!$A$2:$A$155,0),MATCH(EDATE($E136,AT$1-1),Raw_매출!$B$1:$BI$1,0))=0,"",INDEX(Raw_매출!$B$2:$BI$155,MATCH($A136,Raw_매출!$A$2:$A$155,0),MATCH(EDATE($E136,AT$1-1),Raw_매출!$B$1:$BI$1,0))/(INDEX(요약_월별시즈널리티!$F$7:$F$18,MONTH(EDATE($E136,AT$1-1)))/100))),"")</f>
        <v/>
      </c>
      <c r="AU136" t="str" cm="1">
        <f t="array" ref="AU136">IFERROR(IF($E136&lt;44348,"",IF(INDEX(Raw_매출!$B$2:$BI$155,MATCH($A136,Raw_매출!$A$2:$A$155,0),MATCH(EDATE($E136,AU$1-1),Raw_매출!$B$1:$BI$1,0))=0,"",INDEX(Raw_매출!$B$2:$BI$155,MATCH($A136,Raw_매출!$A$2:$A$155,0),MATCH(EDATE($E136,AU$1-1),Raw_매출!$B$1:$BI$1,0))/(INDEX(요약_월별시즈널리티!$F$7:$F$18,MONTH(EDATE($E136,AU$1-1)))/100))),"")</f>
        <v/>
      </c>
      <c r="AV136" t="str" cm="1">
        <f t="array" ref="AV136">IFERROR(IF($E136&lt;44348,"",IF(INDEX(Raw_매출!$B$2:$BI$155,MATCH($A136,Raw_매출!$A$2:$A$155,0),MATCH(EDATE($E136,AV$1-1),Raw_매출!$B$1:$BI$1,0))=0,"",INDEX(Raw_매출!$B$2:$BI$155,MATCH($A136,Raw_매출!$A$2:$A$155,0),MATCH(EDATE($E136,AV$1-1),Raw_매출!$B$1:$BI$1,0))/(INDEX(요약_월별시즈널리티!$F$7:$F$18,MONTH(EDATE($E136,AV$1-1)))/100))),"")</f>
        <v/>
      </c>
      <c r="AW136" t="str" cm="1">
        <f t="array" ref="AW136">IFERROR(IF($E136&lt;44348,"",IF(INDEX(Raw_매출!$B$2:$BI$155,MATCH($A136,Raw_매출!$A$2:$A$155,0),MATCH(EDATE($E136,AW$1-1),Raw_매출!$B$1:$BI$1,0))=0,"",INDEX(Raw_매출!$B$2:$BI$155,MATCH($A136,Raw_매출!$A$2:$A$155,0),MATCH(EDATE($E136,AW$1-1),Raw_매출!$B$1:$BI$1,0))/(INDEX(요약_월별시즈널리티!$F$7:$F$18,MONTH(EDATE($E136,AW$1-1)))/100))),"")</f>
        <v/>
      </c>
      <c r="AX136" t="str" cm="1">
        <f t="array" ref="AX136">IFERROR(IF($E136&lt;44348,"",IF(INDEX(Raw_매출!$B$2:$BI$155,MATCH($A136,Raw_매출!$A$2:$A$155,0),MATCH(EDATE($E136,AX$1-1),Raw_매출!$B$1:$BI$1,0))=0,"",INDEX(Raw_매출!$B$2:$BI$155,MATCH($A136,Raw_매출!$A$2:$A$155,0),MATCH(EDATE($E136,AX$1-1),Raw_매출!$B$1:$BI$1,0))/(INDEX(요약_월별시즈널리티!$F$7:$F$18,MONTH(EDATE($E136,AX$1-1)))/100))),"")</f>
        <v/>
      </c>
      <c r="AY136" t="str" cm="1">
        <f t="array" ref="AY136">IFERROR(IF($E136&lt;44348,"",IF(INDEX(Raw_매출!$B$2:$BI$155,MATCH($A136,Raw_매출!$A$2:$A$155,0),MATCH(EDATE($E136,AY$1-1),Raw_매출!$B$1:$BI$1,0))=0,"",INDEX(Raw_매출!$B$2:$BI$155,MATCH($A136,Raw_매출!$A$2:$A$155,0),MATCH(EDATE($E136,AY$1-1),Raw_매출!$B$1:$BI$1,0))/(INDEX(요약_월별시즈널리티!$F$7:$F$18,MONTH(EDATE($E136,AY$1-1)))/100))),"")</f>
        <v/>
      </c>
      <c r="AZ136" t="str" cm="1">
        <f t="array" ref="AZ136">IFERROR(IF($E136&lt;44348,"",IF(INDEX(Raw_매출!$B$2:$BI$155,MATCH($A136,Raw_매출!$A$2:$A$155,0),MATCH(EDATE($E136,AZ$1-1),Raw_매출!$B$1:$BI$1,0))=0,"",INDEX(Raw_매출!$B$2:$BI$155,MATCH($A136,Raw_매출!$A$2:$A$155,0),MATCH(EDATE($E136,AZ$1-1),Raw_매출!$B$1:$BI$1,0))/(INDEX(요약_월별시즈널리티!$F$7:$F$18,MONTH(EDATE($E136,AZ$1-1)))/100))),"")</f>
        <v/>
      </c>
      <c r="BA136" t="str" cm="1">
        <f t="array" ref="BA136">IFERROR(IF($E136&lt;44348,"",IF(INDEX(Raw_매출!$B$2:$BI$155,MATCH($A136,Raw_매출!$A$2:$A$155,0),MATCH(EDATE($E136,BA$1-1),Raw_매출!$B$1:$BI$1,0))=0,"",INDEX(Raw_매출!$B$2:$BI$155,MATCH($A136,Raw_매출!$A$2:$A$155,0),MATCH(EDATE($E136,BA$1-1),Raw_매출!$B$1:$BI$1,0))/(INDEX(요약_월별시즈널리티!$F$7:$F$18,MONTH(EDATE($E136,BA$1-1)))/100))),"")</f>
        <v/>
      </c>
      <c r="BB136" t="str" cm="1">
        <f t="array" ref="BB136">IFERROR(IF($E136&lt;44348,"",IF(INDEX(Raw_매출!$B$2:$BI$155,MATCH($A136,Raw_매출!$A$2:$A$155,0),MATCH(EDATE($E136,BB$1-1),Raw_매출!$B$1:$BI$1,0))=0,"",INDEX(Raw_매출!$B$2:$BI$155,MATCH($A136,Raw_매출!$A$2:$A$155,0),MATCH(EDATE($E136,BB$1-1),Raw_매출!$B$1:$BI$1,0))/(INDEX(요약_월별시즈널리티!$F$7:$F$18,MONTH(EDATE($E136,BB$1-1)))/100))),"")</f>
        <v/>
      </c>
      <c r="BC136" t="str" cm="1">
        <f t="array" ref="BC136">IFERROR(IF($E136&lt;44348,"",IF(INDEX(Raw_매출!$B$2:$BI$155,MATCH($A136,Raw_매출!$A$2:$A$155,0),MATCH(EDATE($E136,BC$1-1),Raw_매출!$B$1:$BI$1,0))=0,"",INDEX(Raw_매출!$B$2:$BI$155,MATCH($A136,Raw_매출!$A$2:$A$155,0),MATCH(EDATE($E136,BC$1-1),Raw_매출!$B$1:$BI$1,0))/(INDEX(요약_월별시즈널리티!$F$7:$F$18,MONTH(EDATE($E136,BC$1-1)))/100))),"")</f>
        <v/>
      </c>
      <c r="BD136" t="str" cm="1">
        <f t="array" ref="BD136">IFERROR(IF($E136&lt;44348,"",IF(INDEX(Raw_매출!$B$2:$BI$155,MATCH($A136,Raw_매출!$A$2:$A$155,0),MATCH(EDATE($E136,BD$1-1),Raw_매출!$B$1:$BI$1,0))=0,"",INDEX(Raw_매출!$B$2:$BI$155,MATCH($A136,Raw_매출!$A$2:$A$155,0),MATCH(EDATE($E136,BD$1-1),Raw_매출!$B$1:$BI$1,0))/(INDEX(요약_월별시즈널리티!$F$7:$F$18,MONTH(EDATE($E136,BD$1-1)))/100))),"")</f>
        <v/>
      </c>
      <c r="BE136" t="str" cm="1">
        <f t="array" ref="BE136">IFERROR(IF($E136&lt;44348,"",IF(INDEX(Raw_매출!$B$2:$BI$155,MATCH($A136,Raw_매출!$A$2:$A$155,0),MATCH(EDATE($E136,BE$1-1),Raw_매출!$B$1:$BI$1,0))=0,"",INDEX(Raw_매출!$B$2:$BI$155,MATCH($A136,Raw_매출!$A$2:$A$155,0),MATCH(EDATE($E136,BE$1-1),Raw_매출!$B$1:$BI$1,0))/(INDEX(요약_월별시즈널리티!$F$7:$F$18,MONTH(EDATE($E136,BE$1-1)))/100))),"")</f>
        <v/>
      </c>
      <c r="BF136" t="str" cm="1">
        <f t="array" ref="BF136">IFERROR(IF($E136&lt;44348,"",IF(INDEX(Raw_매출!$B$2:$BI$155,MATCH($A136,Raw_매출!$A$2:$A$155,0),MATCH(EDATE($E136,BF$1-1),Raw_매출!$B$1:$BI$1,0))=0,"",INDEX(Raw_매출!$B$2:$BI$155,MATCH($A136,Raw_매출!$A$2:$A$155,0),MATCH(EDATE($E136,BF$1-1),Raw_매출!$B$1:$BI$1,0))/(INDEX(요약_월별시즈널리티!$F$7:$F$18,MONTH(EDATE($E136,BF$1-1)))/100))),"")</f>
        <v/>
      </c>
      <c r="BG136" t="str" cm="1">
        <f t="array" ref="BG136">IFERROR(IF($E136&lt;44348,"",IF(INDEX(Raw_매출!$B$2:$BI$155,MATCH($A136,Raw_매출!$A$2:$A$155,0),MATCH(EDATE($E136,BG$1-1),Raw_매출!$B$1:$BI$1,0))=0,"",INDEX(Raw_매출!$B$2:$BI$155,MATCH($A136,Raw_매출!$A$2:$A$155,0),MATCH(EDATE($E136,BG$1-1),Raw_매출!$B$1:$BI$1,0))/(INDEX(요약_월별시즈널리티!$F$7:$F$18,MONTH(EDATE($E136,BG$1-1)))/100))),"")</f>
        <v/>
      </c>
      <c r="BH136" t="str" cm="1">
        <f t="array" ref="BH136">IFERROR(IF($E136&lt;44348,"",IF(INDEX(Raw_매출!$B$2:$BI$155,MATCH($A136,Raw_매출!$A$2:$A$155,0),MATCH(EDATE($E136,BH$1-1),Raw_매출!$B$1:$BI$1,0))=0,"",INDEX(Raw_매출!$B$2:$BI$155,MATCH($A136,Raw_매출!$A$2:$A$155,0),MATCH(EDATE($E136,BH$1-1),Raw_매출!$B$1:$BI$1,0))/(INDEX(요약_월별시즈널리티!$F$7:$F$18,MONTH(EDATE($E136,BH$1-1)))/100))),"")</f>
        <v/>
      </c>
      <c r="BI136" t="str" cm="1">
        <f t="array" ref="BI136">IFERROR(IF($E136&lt;44348,"",IF(INDEX(Raw_매출!$B$2:$BI$155,MATCH($A136,Raw_매출!$A$2:$A$155,0),MATCH(EDATE($E136,BI$1-1),Raw_매출!$B$1:$BI$1,0))=0,"",INDEX(Raw_매출!$B$2:$BI$155,MATCH($A136,Raw_매출!$A$2:$A$155,0),MATCH(EDATE($E136,BI$1-1),Raw_매출!$B$1:$BI$1,0))/(INDEX(요약_월별시즈널리티!$F$7:$F$18,MONTH(EDATE($E136,BI$1-1)))/100))),"")</f>
        <v/>
      </c>
      <c r="BJ136" t="str" cm="1">
        <f t="array" ref="BJ136">IFERROR(IF($E136&lt;44348,"",IF(INDEX(Raw_매출!$B$2:$BI$155,MATCH($A136,Raw_매출!$A$2:$A$155,0),MATCH(EDATE($E136,BJ$1-1),Raw_매출!$B$1:$BI$1,0))=0,"",INDEX(Raw_매출!$B$2:$BI$155,MATCH($A136,Raw_매출!$A$2:$A$155,0),MATCH(EDATE($E136,BJ$1-1),Raw_매출!$B$1:$BI$1,0))/(INDEX(요약_월별시즈널리티!$F$7:$F$18,MONTH(EDATE($E136,BJ$1-1)))/100))),"")</f>
        <v/>
      </c>
      <c r="BK136" t="str" cm="1">
        <f t="array" ref="BK136">IFERROR(IF($E136&lt;44348,"",IF(INDEX(Raw_매출!$B$2:$BI$155,MATCH($A136,Raw_매출!$A$2:$A$155,0),MATCH(EDATE($E136,BK$1-1),Raw_매출!$B$1:$BI$1,0))=0,"",INDEX(Raw_매출!$B$2:$BI$155,MATCH($A136,Raw_매출!$A$2:$A$155,0),MATCH(EDATE($E136,BK$1-1),Raw_매출!$B$1:$BI$1,0))/(INDEX(요약_월별시즈널리티!$F$7:$F$18,MONTH(EDATE($E136,BK$1-1)))/100))),"")</f>
        <v/>
      </c>
      <c r="BL136" t="str" cm="1">
        <f t="array" ref="BL136">IFERROR(IF($E136&lt;44348,"",IF(INDEX(Raw_매출!$B$2:$BI$155,MATCH($A136,Raw_매출!$A$2:$A$155,0),MATCH(EDATE($E136,BL$1-1),Raw_매출!$B$1:$BI$1,0))=0,"",INDEX(Raw_매출!$B$2:$BI$155,MATCH($A136,Raw_매출!$A$2:$A$155,0),MATCH(EDATE($E136,BL$1-1),Raw_매출!$B$1:$BI$1,0))/(INDEX(요약_월별시즈널리티!$F$7:$F$18,MONTH(EDATE($E136,BL$1-1)))/100))),"")</f>
        <v/>
      </c>
      <c r="BM136" t="str" cm="1">
        <f t="array" ref="BM136">IFERROR(IF($E136&lt;44348,"",IF(INDEX(Raw_매출!$B$2:$BI$155,MATCH($A136,Raw_매출!$A$2:$A$155,0),MATCH(EDATE($E136,BM$1-1),Raw_매출!$B$1:$BI$1,0))=0,"",INDEX(Raw_매출!$B$2:$BI$155,MATCH($A136,Raw_매출!$A$2:$A$155,0),MATCH(EDATE($E136,BM$1-1),Raw_매출!$B$1:$BI$1,0))/(INDEX(요약_월별시즈널리티!$F$7:$F$18,MONTH(EDATE($E136,BM$1-1)))/100))),"")</f>
        <v/>
      </c>
      <c r="BN136" t="str" cm="1">
        <f t="array" ref="BN136">IFERROR(IF($E136&lt;44348,"",IF(INDEX(Raw_매출!$B$2:$BI$155,MATCH($A136,Raw_매출!$A$2:$A$155,0),MATCH(EDATE($E136,BN$1-1),Raw_매출!$B$1:$BI$1,0))=0,"",INDEX(Raw_매출!$B$2:$BI$155,MATCH($A136,Raw_매출!$A$2:$A$155,0),MATCH(EDATE($E136,BN$1-1),Raw_매출!$B$1:$BI$1,0))/(INDEX(요약_월별시즈널리티!$F$7:$F$18,MONTH(EDATE($E136,BN$1-1)))/100))),"")</f>
        <v/>
      </c>
    </row>
    <row r="137" spans="1:66" x14ac:dyDescent="0.4">
      <c r="A137" t="str">
        <f>세팅!A138</f>
        <v>(1128) #응암서부점</v>
      </c>
      <c r="B137" t="str">
        <f>세팅!B138</f>
        <v>150-0</v>
      </c>
      <c r="C137">
        <f t="shared" si="6"/>
        <v>0</v>
      </c>
      <c r="D137" t="str">
        <f t="shared" si="7"/>
        <v>0</v>
      </c>
      <c r="E137" s="1">
        <f>세팅!D138</f>
        <v>45870</v>
      </c>
      <c r="F137">
        <f t="shared" si="8"/>
        <v>4559893.6750896266</v>
      </c>
      <c r="G137" cm="1">
        <f t="array" ref="G137">IFERROR(IF($E137&lt;44348,"",IF(INDEX(Raw_매출!$B$2:$BI$155,MATCH($A137,Raw_매출!$A$2:$A$155,0),MATCH(EDATE($E137,G$1-1),Raw_매출!$B$1:$BI$1,0))=0,"",INDEX(Raw_매출!$B$2:$BI$155,MATCH($A137,Raw_매출!$A$2:$A$155,0),MATCH(EDATE($E137,G$1-1),Raw_매출!$B$1:$BI$1,0))/(INDEX(요약_월별시즈널리티!$F$7:$F$18,MONTH(EDATE($E137,G$1-1)))/100))),"")</f>
        <v>2612890.6985641862</v>
      </c>
      <c r="H137" cm="1">
        <f t="array" ref="H137">IFERROR(IF($E137&lt;44348,"",IF(INDEX(Raw_매출!$B$2:$BI$155,MATCH($A137,Raw_매출!$A$2:$A$155,0),MATCH(EDATE($E137,H$1-1),Raw_매출!$B$1:$BI$1,0))=0,"",INDEX(Raw_매출!$B$2:$BI$155,MATCH($A137,Raw_매출!$A$2:$A$155,0),MATCH(EDATE($E137,H$1-1),Raw_매출!$B$1:$BI$1,0))/(INDEX(요약_월별시즈널리티!$F$7:$F$18,MONTH(EDATE($E137,H$1-1)))/100))),"")</f>
        <v>2633405.6172873937</v>
      </c>
      <c r="I137" cm="1">
        <f t="array" ref="I137">IFERROR(IF($E137&lt;44348,"",IF(INDEX(Raw_매출!$B$2:$BI$155,MATCH($A137,Raw_매출!$A$2:$A$155,0),MATCH(EDATE($E137,I$1-1),Raw_매출!$B$1:$BI$1,0))=0,"",INDEX(Raw_매출!$B$2:$BI$155,MATCH($A137,Raw_매출!$A$2:$A$155,0),MATCH(EDATE($E137,I$1-1),Raw_매출!$B$1:$BI$1,0))/(INDEX(요약_월별시즈널리티!$F$7:$F$18,MONTH(EDATE($E137,I$1-1)))/100))),"")</f>
        <v>4049723.3265996343</v>
      </c>
      <c r="J137" s="30" cm="1">
        <f t="array" ref="J137">IFERROR(IF($E137&lt;44348,"",IF(INDEX(Raw_매출!$B$2:$BI$155,MATCH($A137,Raw_매출!$A$2:$A$155,0),MATCH(EDATE($E137,J$1-1),Raw_매출!$B$1:$BI$1,0))=0,"",INDEX(Raw_매출!$B$2:$BI$155,MATCH($A137,Raw_매출!$A$2:$A$155,0),MATCH(EDATE($E137,J$1-1),Raw_매출!$B$1:$BI$1,0))/(INDEX(요약_월별시즈널리티!$F$7:$F$18,MONTH(EDATE($E137,J$1-1)))/100))),"")</f>
        <v>3947316.0243176655</v>
      </c>
      <c r="K137" s="30" cm="1">
        <f t="array" ref="K137">IFERROR(IF($E137&lt;44348,"",IF(INDEX(Raw_매출!$B$2:$BI$155,MATCH($A137,Raw_매출!$A$2:$A$155,0),MATCH(EDATE($E137,K$1-1),Raw_매출!$B$1:$BI$1,0))=0,"",INDEX(Raw_매출!$B$2:$BI$155,MATCH($A137,Raw_매출!$A$2:$A$155,0),MATCH(EDATE($E137,K$1-1),Raw_매출!$B$1:$BI$1,0))/(INDEX(요약_월별시즈널리티!$F$7:$F$18,MONTH(EDATE($E137,K$1-1)))/100))),"")</f>
        <v>4510081.2382851867</v>
      </c>
      <c r="L137" s="30" cm="1">
        <f t="array" ref="L137">IFERROR(IF($E137&lt;44348,"",IF(INDEX(Raw_매출!$B$2:$BI$155,MATCH($A137,Raw_매출!$A$2:$A$155,0),MATCH(EDATE($E137,L$1-1),Raw_매출!$B$1:$BI$1,0))=0,"",INDEX(Raw_매출!$B$2:$BI$155,MATCH($A137,Raw_매출!$A$2:$A$155,0),MATCH(EDATE($E137,L$1-1),Raw_매출!$B$1:$BI$1,0))/(INDEX(요약_월별시즈널리티!$F$7:$F$18,MONTH(EDATE($E137,L$1-1)))/100))),"")</f>
        <v>4152748.3784269048</v>
      </c>
      <c r="M137" s="30" cm="1">
        <f t="array" ref="M137">IFERROR(IF($E137&lt;44348,"",IF(INDEX(Raw_매출!$B$2:$BI$155,MATCH($A137,Raw_매출!$A$2:$A$155,0),MATCH(EDATE($E137,M$1-1),Raw_매출!$B$1:$BI$1,0))=0,"",INDEX(Raw_매출!$B$2:$BI$155,MATCH($A137,Raw_매출!$A$2:$A$155,0),MATCH(EDATE($E137,M$1-1),Raw_매출!$B$1:$BI$1,0))/(INDEX(요약_월별시즈널리티!$F$7:$F$18,MONTH(EDATE($E137,M$1-1)))/100))),"")</f>
        <v>5110219.036990393</v>
      </c>
      <c r="N137" s="30" cm="1">
        <f t="array" ref="N137">IFERROR(IF($E137&lt;44348,"",IF(INDEX(Raw_매출!$B$2:$BI$155,MATCH($A137,Raw_매출!$A$2:$A$155,0),MATCH(EDATE($E137,N$1-1),Raw_매출!$B$1:$BI$1,0))=0,"",INDEX(Raw_매출!$B$2:$BI$155,MATCH($A137,Raw_매출!$A$2:$A$155,0),MATCH(EDATE($E137,N$1-1),Raw_매출!$B$1:$BI$1,0))/(INDEX(요약_월별시즈널리티!$F$7:$F$18,MONTH(EDATE($E137,N$1-1)))/100))),"")</f>
        <v>4968951.8037977368</v>
      </c>
      <c r="O137" s="30" cm="1">
        <f t="array" ref="O137">IFERROR(IF($E137&lt;44348,"",IF(INDEX(Raw_매출!$B$2:$BI$155,MATCH($A137,Raw_매출!$A$2:$A$155,0),MATCH(EDATE($E137,O$1-1),Raw_매출!$B$1:$BI$1,0))=0,"",INDEX(Raw_매출!$B$2:$BI$155,MATCH($A137,Raw_매출!$A$2:$A$155,0),MATCH(EDATE($E137,O$1-1),Raw_매출!$B$1:$BI$1,0))/(INDEX(요약_월별시즈널리티!$F$7:$F$18,MONTH(EDATE($E137,O$1-1)))/100))),"")</f>
        <v>4670045.568719876</v>
      </c>
      <c r="P137" cm="1">
        <f t="array" ref="P137">IFERROR(IF($E137&lt;44348,"",IF(INDEX(Raw_매출!$B$2:$BI$155,MATCH($A137,Raw_매출!$A$2:$A$155,0),MATCH(EDATE($E137,P$1-1),Raw_매출!$B$1:$BI$1,0))=0,"",INDEX(Raw_매출!$B$2:$BI$155,MATCH($A137,Raw_매출!$A$2:$A$155,0),MATCH(EDATE($E137,P$1-1),Raw_매출!$B$1:$BI$1,0))/(INDEX(요약_월별시즈널리티!$F$7:$F$18,MONTH(EDATE($E137,P$1-1)))/100))),"")</f>
        <v>4701616.0345893875</v>
      </c>
      <c r="Q137" t="str" cm="1">
        <f t="array" ref="Q137">IFERROR(IF($E137&lt;44348,"",IF(INDEX(Raw_매출!$B$2:$BI$155,MATCH($A137,Raw_매출!$A$2:$A$155,0),MATCH(EDATE($E137,Q$1-1),Raw_매출!$B$1:$BI$1,0))=0,"",INDEX(Raw_매출!$B$2:$BI$155,MATCH($A137,Raw_매출!$A$2:$A$155,0),MATCH(EDATE($E137,Q$1-1),Raw_매출!$B$1:$BI$1,0))/(INDEX(요약_월별시즈널리티!$F$7:$F$18,MONTH(EDATE($E137,Q$1-1)))/100))),"")</f>
        <v/>
      </c>
      <c r="R137" t="str" cm="1">
        <f t="array" ref="R137">IFERROR(IF($E137&lt;44348,"",IF(INDEX(Raw_매출!$B$2:$BI$155,MATCH($A137,Raw_매출!$A$2:$A$155,0),MATCH(EDATE($E137,R$1-1),Raw_매출!$B$1:$BI$1,0))=0,"",INDEX(Raw_매출!$B$2:$BI$155,MATCH($A137,Raw_매출!$A$2:$A$155,0),MATCH(EDATE($E137,R$1-1),Raw_매출!$B$1:$BI$1,0))/(INDEX(요약_월별시즈널리티!$F$7:$F$18,MONTH(EDATE($E137,R$1-1)))/100))),"")</f>
        <v/>
      </c>
      <c r="S137" t="str" cm="1">
        <f t="array" ref="S137">IFERROR(IF($E137&lt;44348,"",IF(INDEX(Raw_매출!$B$2:$BI$155,MATCH($A137,Raw_매출!$A$2:$A$155,0),MATCH(EDATE($E137,S$1-1),Raw_매출!$B$1:$BI$1,0))=0,"",INDEX(Raw_매출!$B$2:$BI$155,MATCH($A137,Raw_매출!$A$2:$A$155,0),MATCH(EDATE($E137,S$1-1),Raw_매출!$B$1:$BI$1,0))/(INDEX(요약_월별시즈널리티!$F$7:$F$18,MONTH(EDATE($E137,S$1-1)))/100))),"")</f>
        <v/>
      </c>
      <c r="T137" t="str" cm="1">
        <f t="array" ref="T137">IFERROR(IF($E137&lt;44348,"",IF(INDEX(Raw_매출!$B$2:$BI$155,MATCH($A137,Raw_매출!$A$2:$A$155,0),MATCH(EDATE($E137,T$1-1),Raw_매출!$B$1:$BI$1,0))=0,"",INDEX(Raw_매출!$B$2:$BI$155,MATCH($A137,Raw_매출!$A$2:$A$155,0),MATCH(EDATE($E137,T$1-1),Raw_매출!$B$1:$BI$1,0))/(INDEX(요약_월별시즈널리티!$F$7:$F$18,MONTH(EDATE($E137,T$1-1)))/100))),"")</f>
        <v/>
      </c>
      <c r="U137" t="str" cm="1">
        <f t="array" ref="U137">IFERROR(IF($E137&lt;44348,"",IF(INDEX(Raw_매출!$B$2:$BI$155,MATCH($A137,Raw_매출!$A$2:$A$155,0),MATCH(EDATE($E137,U$1-1),Raw_매출!$B$1:$BI$1,0))=0,"",INDEX(Raw_매출!$B$2:$BI$155,MATCH($A137,Raw_매출!$A$2:$A$155,0),MATCH(EDATE($E137,U$1-1),Raw_매출!$B$1:$BI$1,0))/(INDEX(요약_월별시즈널리티!$F$7:$F$18,MONTH(EDATE($E137,U$1-1)))/100))),"")</f>
        <v/>
      </c>
      <c r="V137" t="str" cm="1">
        <f t="array" ref="V137">IFERROR(IF($E137&lt;44348,"",IF(INDEX(Raw_매출!$B$2:$BI$155,MATCH($A137,Raw_매출!$A$2:$A$155,0),MATCH(EDATE($E137,V$1-1),Raw_매출!$B$1:$BI$1,0))=0,"",INDEX(Raw_매출!$B$2:$BI$155,MATCH($A137,Raw_매출!$A$2:$A$155,0),MATCH(EDATE($E137,V$1-1),Raw_매출!$B$1:$BI$1,0))/(INDEX(요약_월별시즈널리티!$F$7:$F$18,MONTH(EDATE($E137,V$1-1)))/100))),"")</f>
        <v/>
      </c>
      <c r="W137" t="str" cm="1">
        <f t="array" ref="W137">IFERROR(IF($E137&lt;44348,"",IF(INDEX(Raw_매출!$B$2:$BI$155,MATCH($A137,Raw_매출!$A$2:$A$155,0),MATCH(EDATE($E137,W$1-1),Raw_매출!$B$1:$BI$1,0))=0,"",INDEX(Raw_매출!$B$2:$BI$155,MATCH($A137,Raw_매출!$A$2:$A$155,0),MATCH(EDATE($E137,W$1-1),Raw_매출!$B$1:$BI$1,0))/(INDEX(요약_월별시즈널리티!$F$7:$F$18,MONTH(EDATE($E137,W$1-1)))/100))),"")</f>
        <v/>
      </c>
      <c r="X137" t="str" cm="1">
        <f t="array" ref="X137">IFERROR(IF($E137&lt;44348,"",IF(INDEX(Raw_매출!$B$2:$BI$155,MATCH($A137,Raw_매출!$A$2:$A$155,0),MATCH(EDATE($E137,X$1-1),Raw_매출!$B$1:$BI$1,0))=0,"",INDEX(Raw_매출!$B$2:$BI$155,MATCH($A137,Raw_매출!$A$2:$A$155,0),MATCH(EDATE($E137,X$1-1),Raw_매출!$B$1:$BI$1,0))/(INDEX(요약_월별시즈널리티!$F$7:$F$18,MONTH(EDATE($E137,X$1-1)))/100))),"")</f>
        <v/>
      </c>
      <c r="Y137" t="str" cm="1">
        <f t="array" ref="Y137">IFERROR(IF($E137&lt;44348,"",IF(INDEX(Raw_매출!$B$2:$BI$155,MATCH($A137,Raw_매출!$A$2:$A$155,0),MATCH(EDATE($E137,Y$1-1),Raw_매출!$B$1:$BI$1,0))=0,"",INDEX(Raw_매출!$B$2:$BI$155,MATCH($A137,Raw_매출!$A$2:$A$155,0),MATCH(EDATE($E137,Y$1-1),Raw_매출!$B$1:$BI$1,0))/(INDEX(요약_월별시즈널리티!$F$7:$F$18,MONTH(EDATE($E137,Y$1-1)))/100))),"")</f>
        <v/>
      </c>
      <c r="Z137" t="str" cm="1">
        <f t="array" ref="Z137">IFERROR(IF($E137&lt;44348,"",IF(INDEX(Raw_매출!$B$2:$BI$155,MATCH($A137,Raw_매출!$A$2:$A$155,0),MATCH(EDATE($E137,Z$1-1),Raw_매출!$B$1:$BI$1,0))=0,"",INDEX(Raw_매출!$B$2:$BI$155,MATCH($A137,Raw_매출!$A$2:$A$155,0),MATCH(EDATE($E137,Z$1-1),Raw_매출!$B$1:$BI$1,0))/(INDEX(요약_월별시즈널리티!$F$7:$F$18,MONTH(EDATE($E137,Z$1-1)))/100))),"")</f>
        <v/>
      </c>
      <c r="AA137" t="str" cm="1">
        <f t="array" ref="AA137">IFERROR(IF($E137&lt;44348,"",IF(INDEX(Raw_매출!$B$2:$BI$155,MATCH($A137,Raw_매출!$A$2:$A$155,0),MATCH(EDATE($E137,AA$1-1),Raw_매출!$B$1:$BI$1,0))=0,"",INDEX(Raw_매출!$B$2:$BI$155,MATCH($A137,Raw_매출!$A$2:$A$155,0),MATCH(EDATE($E137,AA$1-1),Raw_매출!$B$1:$BI$1,0))/(INDEX(요약_월별시즈널리티!$F$7:$F$18,MONTH(EDATE($E137,AA$1-1)))/100))),"")</f>
        <v/>
      </c>
      <c r="AB137" t="str" cm="1">
        <f t="array" ref="AB137">IFERROR(IF($E137&lt;44348,"",IF(INDEX(Raw_매출!$B$2:$BI$155,MATCH($A137,Raw_매출!$A$2:$A$155,0),MATCH(EDATE($E137,AB$1-1),Raw_매출!$B$1:$BI$1,0))=0,"",INDEX(Raw_매출!$B$2:$BI$155,MATCH($A137,Raw_매출!$A$2:$A$155,0),MATCH(EDATE($E137,AB$1-1),Raw_매출!$B$1:$BI$1,0))/(INDEX(요약_월별시즈널리티!$F$7:$F$18,MONTH(EDATE($E137,AB$1-1)))/100))),"")</f>
        <v/>
      </c>
      <c r="AC137" t="str" cm="1">
        <f t="array" ref="AC137">IFERROR(IF($E137&lt;44348,"",IF(INDEX(Raw_매출!$B$2:$BI$155,MATCH($A137,Raw_매출!$A$2:$A$155,0),MATCH(EDATE($E137,AC$1-1),Raw_매출!$B$1:$BI$1,0))=0,"",INDEX(Raw_매출!$B$2:$BI$155,MATCH($A137,Raw_매출!$A$2:$A$155,0),MATCH(EDATE($E137,AC$1-1),Raw_매출!$B$1:$BI$1,0))/(INDEX(요약_월별시즈널리티!$F$7:$F$18,MONTH(EDATE($E137,AC$1-1)))/100))),"")</f>
        <v/>
      </c>
      <c r="AD137" t="str" cm="1">
        <f t="array" ref="AD137">IFERROR(IF($E137&lt;44348,"",IF(INDEX(Raw_매출!$B$2:$BI$155,MATCH($A137,Raw_매출!$A$2:$A$155,0),MATCH(EDATE($E137,AD$1-1),Raw_매출!$B$1:$BI$1,0))=0,"",INDEX(Raw_매출!$B$2:$BI$155,MATCH($A137,Raw_매출!$A$2:$A$155,0),MATCH(EDATE($E137,AD$1-1),Raw_매출!$B$1:$BI$1,0))/(INDEX(요약_월별시즈널리티!$F$7:$F$18,MONTH(EDATE($E137,AD$1-1)))/100))),"")</f>
        <v/>
      </c>
      <c r="AE137" t="str" cm="1">
        <f t="array" ref="AE137">IFERROR(IF($E137&lt;44348,"",IF(INDEX(Raw_매출!$B$2:$BI$155,MATCH($A137,Raw_매출!$A$2:$A$155,0),MATCH(EDATE($E137,AE$1-1),Raw_매출!$B$1:$BI$1,0))=0,"",INDEX(Raw_매출!$B$2:$BI$155,MATCH($A137,Raw_매출!$A$2:$A$155,0),MATCH(EDATE($E137,AE$1-1),Raw_매출!$B$1:$BI$1,0))/(INDEX(요약_월별시즈널리티!$F$7:$F$18,MONTH(EDATE($E137,AE$1-1)))/100))),"")</f>
        <v/>
      </c>
      <c r="AF137" t="str" cm="1">
        <f t="array" ref="AF137">IFERROR(IF($E137&lt;44348,"",IF(INDEX(Raw_매출!$B$2:$BI$155,MATCH($A137,Raw_매출!$A$2:$A$155,0),MATCH(EDATE($E137,AF$1-1),Raw_매출!$B$1:$BI$1,0))=0,"",INDEX(Raw_매출!$B$2:$BI$155,MATCH($A137,Raw_매출!$A$2:$A$155,0),MATCH(EDATE($E137,AF$1-1),Raw_매출!$B$1:$BI$1,0))/(INDEX(요약_월별시즈널리티!$F$7:$F$18,MONTH(EDATE($E137,AF$1-1)))/100))),"")</f>
        <v/>
      </c>
      <c r="AG137" t="str" cm="1">
        <f t="array" ref="AG137">IFERROR(IF($E137&lt;44348,"",IF(INDEX(Raw_매출!$B$2:$BI$155,MATCH($A137,Raw_매출!$A$2:$A$155,0),MATCH(EDATE($E137,AG$1-1),Raw_매출!$B$1:$BI$1,0))=0,"",INDEX(Raw_매출!$B$2:$BI$155,MATCH($A137,Raw_매출!$A$2:$A$155,0),MATCH(EDATE($E137,AG$1-1),Raw_매출!$B$1:$BI$1,0))/(INDEX(요약_월별시즈널리티!$F$7:$F$18,MONTH(EDATE($E137,AG$1-1)))/100))),"")</f>
        <v/>
      </c>
      <c r="AH137" t="str" cm="1">
        <f t="array" ref="AH137">IFERROR(IF($E137&lt;44348,"",IF(INDEX(Raw_매출!$B$2:$BI$155,MATCH($A137,Raw_매출!$A$2:$A$155,0),MATCH(EDATE($E137,AH$1-1),Raw_매출!$B$1:$BI$1,0))=0,"",INDEX(Raw_매출!$B$2:$BI$155,MATCH($A137,Raw_매출!$A$2:$A$155,0),MATCH(EDATE($E137,AH$1-1),Raw_매출!$B$1:$BI$1,0))/(INDEX(요약_월별시즈널리티!$F$7:$F$18,MONTH(EDATE($E137,AH$1-1)))/100))),"")</f>
        <v/>
      </c>
      <c r="AI137" t="str" cm="1">
        <f t="array" ref="AI137">IFERROR(IF($E137&lt;44348,"",IF(INDEX(Raw_매출!$B$2:$BI$155,MATCH($A137,Raw_매출!$A$2:$A$155,0),MATCH(EDATE($E137,AI$1-1),Raw_매출!$B$1:$BI$1,0))=0,"",INDEX(Raw_매출!$B$2:$BI$155,MATCH($A137,Raw_매출!$A$2:$A$155,0),MATCH(EDATE($E137,AI$1-1),Raw_매출!$B$1:$BI$1,0))/(INDEX(요약_월별시즈널리티!$F$7:$F$18,MONTH(EDATE($E137,AI$1-1)))/100))),"")</f>
        <v/>
      </c>
      <c r="AJ137" t="str" cm="1">
        <f t="array" ref="AJ137">IFERROR(IF($E137&lt;44348,"",IF(INDEX(Raw_매출!$B$2:$BI$155,MATCH($A137,Raw_매출!$A$2:$A$155,0),MATCH(EDATE($E137,AJ$1-1),Raw_매출!$B$1:$BI$1,0))=0,"",INDEX(Raw_매출!$B$2:$BI$155,MATCH($A137,Raw_매출!$A$2:$A$155,0),MATCH(EDATE($E137,AJ$1-1),Raw_매출!$B$1:$BI$1,0))/(INDEX(요약_월별시즈널리티!$F$7:$F$18,MONTH(EDATE($E137,AJ$1-1)))/100))),"")</f>
        <v/>
      </c>
      <c r="AK137" t="str" cm="1">
        <f t="array" ref="AK137">IFERROR(IF($E137&lt;44348,"",IF(INDEX(Raw_매출!$B$2:$BI$155,MATCH($A137,Raw_매출!$A$2:$A$155,0),MATCH(EDATE($E137,AK$1-1),Raw_매출!$B$1:$BI$1,0))=0,"",INDEX(Raw_매출!$B$2:$BI$155,MATCH($A137,Raw_매출!$A$2:$A$155,0),MATCH(EDATE($E137,AK$1-1),Raw_매출!$B$1:$BI$1,0))/(INDEX(요약_월별시즈널리티!$F$7:$F$18,MONTH(EDATE($E137,AK$1-1)))/100))),"")</f>
        <v/>
      </c>
      <c r="AL137" t="str" cm="1">
        <f t="array" ref="AL137">IFERROR(IF($E137&lt;44348,"",IF(INDEX(Raw_매출!$B$2:$BI$155,MATCH($A137,Raw_매출!$A$2:$A$155,0),MATCH(EDATE($E137,AL$1-1),Raw_매출!$B$1:$BI$1,0))=0,"",INDEX(Raw_매출!$B$2:$BI$155,MATCH($A137,Raw_매출!$A$2:$A$155,0),MATCH(EDATE($E137,AL$1-1),Raw_매출!$B$1:$BI$1,0))/(INDEX(요약_월별시즈널리티!$F$7:$F$18,MONTH(EDATE($E137,AL$1-1)))/100))),"")</f>
        <v/>
      </c>
      <c r="AM137" t="str" cm="1">
        <f t="array" ref="AM137">IFERROR(IF($E137&lt;44348,"",IF(INDEX(Raw_매출!$B$2:$BI$155,MATCH($A137,Raw_매출!$A$2:$A$155,0),MATCH(EDATE($E137,AM$1-1),Raw_매출!$B$1:$BI$1,0))=0,"",INDEX(Raw_매출!$B$2:$BI$155,MATCH($A137,Raw_매출!$A$2:$A$155,0),MATCH(EDATE($E137,AM$1-1),Raw_매출!$B$1:$BI$1,0))/(INDEX(요약_월별시즈널리티!$F$7:$F$18,MONTH(EDATE($E137,AM$1-1)))/100))),"")</f>
        <v/>
      </c>
      <c r="AN137" t="str" cm="1">
        <f t="array" ref="AN137">IFERROR(IF($E137&lt;44348,"",IF(INDEX(Raw_매출!$B$2:$BI$155,MATCH($A137,Raw_매출!$A$2:$A$155,0),MATCH(EDATE($E137,AN$1-1),Raw_매출!$B$1:$BI$1,0))=0,"",INDEX(Raw_매출!$B$2:$BI$155,MATCH($A137,Raw_매출!$A$2:$A$155,0),MATCH(EDATE($E137,AN$1-1),Raw_매출!$B$1:$BI$1,0))/(INDEX(요약_월별시즈널리티!$F$7:$F$18,MONTH(EDATE($E137,AN$1-1)))/100))),"")</f>
        <v/>
      </c>
      <c r="AO137" t="str" cm="1">
        <f t="array" ref="AO137">IFERROR(IF($E137&lt;44348,"",IF(INDEX(Raw_매출!$B$2:$BI$155,MATCH($A137,Raw_매출!$A$2:$A$155,0),MATCH(EDATE($E137,AO$1-1),Raw_매출!$B$1:$BI$1,0))=0,"",INDEX(Raw_매출!$B$2:$BI$155,MATCH($A137,Raw_매출!$A$2:$A$155,0),MATCH(EDATE($E137,AO$1-1),Raw_매출!$B$1:$BI$1,0))/(INDEX(요약_월별시즈널리티!$F$7:$F$18,MONTH(EDATE($E137,AO$1-1)))/100))),"")</f>
        <v/>
      </c>
      <c r="AP137" t="str" cm="1">
        <f t="array" ref="AP137">IFERROR(IF($E137&lt;44348,"",IF(INDEX(Raw_매출!$B$2:$BI$155,MATCH($A137,Raw_매출!$A$2:$A$155,0),MATCH(EDATE($E137,AP$1-1),Raw_매출!$B$1:$BI$1,0))=0,"",INDEX(Raw_매출!$B$2:$BI$155,MATCH($A137,Raw_매출!$A$2:$A$155,0),MATCH(EDATE($E137,AP$1-1),Raw_매출!$B$1:$BI$1,0))/(INDEX(요약_월별시즈널리티!$F$7:$F$18,MONTH(EDATE($E137,AP$1-1)))/100))),"")</f>
        <v/>
      </c>
      <c r="AQ137" t="str" cm="1">
        <f t="array" ref="AQ137">IFERROR(IF($E137&lt;44348,"",IF(INDEX(Raw_매출!$B$2:$BI$155,MATCH($A137,Raw_매출!$A$2:$A$155,0),MATCH(EDATE($E137,AQ$1-1),Raw_매출!$B$1:$BI$1,0))=0,"",INDEX(Raw_매출!$B$2:$BI$155,MATCH($A137,Raw_매출!$A$2:$A$155,0),MATCH(EDATE($E137,AQ$1-1),Raw_매출!$B$1:$BI$1,0))/(INDEX(요약_월별시즈널리티!$F$7:$F$18,MONTH(EDATE($E137,AQ$1-1)))/100))),"")</f>
        <v/>
      </c>
      <c r="AR137" t="str" cm="1">
        <f t="array" ref="AR137">IFERROR(IF($E137&lt;44348,"",IF(INDEX(Raw_매출!$B$2:$BI$155,MATCH($A137,Raw_매출!$A$2:$A$155,0),MATCH(EDATE($E137,AR$1-1),Raw_매출!$B$1:$BI$1,0))=0,"",INDEX(Raw_매출!$B$2:$BI$155,MATCH($A137,Raw_매출!$A$2:$A$155,0),MATCH(EDATE($E137,AR$1-1),Raw_매출!$B$1:$BI$1,0))/(INDEX(요약_월별시즈널리티!$F$7:$F$18,MONTH(EDATE($E137,AR$1-1)))/100))),"")</f>
        <v/>
      </c>
      <c r="AS137" t="str" cm="1">
        <f t="array" ref="AS137">IFERROR(IF($E137&lt;44348,"",IF(INDEX(Raw_매출!$B$2:$BI$155,MATCH($A137,Raw_매출!$A$2:$A$155,0),MATCH(EDATE($E137,AS$1-1),Raw_매출!$B$1:$BI$1,0))=0,"",INDEX(Raw_매출!$B$2:$BI$155,MATCH($A137,Raw_매출!$A$2:$A$155,0),MATCH(EDATE($E137,AS$1-1),Raw_매출!$B$1:$BI$1,0))/(INDEX(요약_월별시즈널리티!$F$7:$F$18,MONTH(EDATE($E137,AS$1-1)))/100))),"")</f>
        <v/>
      </c>
      <c r="AT137" t="str" cm="1">
        <f t="array" ref="AT137">IFERROR(IF($E137&lt;44348,"",IF(INDEX(Raw_매출!$B$2:$BI$155,MATCH($A137,Raw_매출!$A$2:$A$155,0),MATCH(EDATE($E137,AT$1-1),Raw_매출!$B$1:$BI$1,0))=0,"",INDEX(Raw_매출!$B$2:$BI$155,MATCH($A137,Raw_매출!$A$2:$A$155,0),MATCH(EDATE($E137,AT$1-1),Raw_매출!$B$1:$BI$1,0))/(INDEX(요약_월별시즈널리티!$F$7:$F$18,MONTH(EDATE($E137,AT$1-1)))/100))),"")</f>
        <v/>
      </c>
      <c r="AU137" t="str" cm="1">
        <f t="array" ref="AU137">IFERROR(IF($E137&lt;44348,"",IF(INDEX(Raw_매출!$B$2:$BI$155,MATCH($A137,Raw_매출!$A$2:$A$155,0),MATCH(EDATE($E137,AU$1-1),Raw_매출!$B$1:$BI$1,0))=0,"",INDEX(Raw_매출!$B$2:$BI$155,MATCH($A137,Raw_매출!$A$2:$A$155,0),MATCH(EDATE($E137,AU$1-1),Raw_매출!$B$1:$BI$1,0))/(INDEX(요약_월별시즈널리티!$F$7:$F$18,MONTH(EDATE($E137,AU$1-1)))/100))),"")</f>
        <v/>
      </c>
      <c r="AV137" t="str" cm="1">
        <f t="array" ref="AV137">IFERROR(IF($E137&lt;44348,"",IF(INDEX(Raw_매출!$B$2:$BI$155,MATCH($A137,Raw_매출!$A$2:$A$155,0),MATCH(EDATE($E137,AV$1-1),Raw_매출!$B$1:$BI$1,0))=0,"",INDEX(Raw_매출!$B$2:$BI$155,MATCH($A137,Raw_매출!$A$2:$A$155,0),MATCH(EDATE($E137,AV$1-1),Raw_매출!$B$1:$BI$1,0))/(INDEX(요약_월별시즈널리티!$F$7:$F$18,MONTH(EDATE($E137,AV$1-1)))/100))),"")</f>
        <v/>
      </c>
      <c r="AW137" t="str" cm="1">
        <f t="array" ref="AW137">IFERROR(IF($E137&lt;44348,"",IF(INDEX(Raw_매출!$B$2:$BI$155,MATCH($A137,Raw_매출!$A$2:$A$155,0),MATCH(EDATE($E137,AW$1-1),Raw_매출!$B$1:$BI$1,0))=0,"",INDEX(Raw_매출!$B$2:$BI$155,MATCH($A137,Raw_매출!$A$2:$A$155,0),MATCH(EDATE($E137,AW$1-1),Raw_매출!$B$1:$BI$1,0))/(INDEX(요약_월별시즈널리티!$F$7:$F$18,MONTH(EDATE($E137,AW$1-1)))/100))),"")</f>
        <v/>
      </c>
      <c r="AX137" t="str" cm="1">
        <f t="array" ref="AX137">IFERROR(IF($E137&lt;44348,"",IF(INDEX(Raw_매출!$B$2:$BI$155,MATCH($A137,Raw_매출!$A$2:$A$155,0),MATCH(EDATE($E137,AX$1-1),Raw_매출!$B$1:$BI$1,0))=0,"",INDEX(Raw_매출!$B$2:$BI$155,MATCH($A137,Raw_매출!$A$2:$A$155,0),MATCH(EDATE($E137,AX$1-1),Raw_매출!$B$1:$BI$1,0))/(INDEX(요약_월별시즈널리티!$F$7:$F$18,MONTH(EDATE($E137,AX$1-1)))/100))),"")</f>
        <v/>
      </c>
      <c r="AY137" t="str" cm="1">
        <f t="array" ref="AY137">IFERROR(IF($E137&lt;44348,"",IF(INDEX(Raw_매출!$B$2:$BI$155,MATCH($A137,Raw_매출!$A$2:$A$155,0),MATCH(EDATE($E137,AY$1-1),Raw_매출!$B$1:$BI$1,0))=0,"",INDEX(Raw_매출!$B$2:$BI$155,MATCH($A137,Raw_매출!$A$2:$A$155,0),MATCH(EDATE($E137,AY$1-1),Raw_매출!$B$1:$BI$1,0))/(INDEX(요약_월별시즈널리티!$F$7:$F$18,MONTH(EDATE($E137,AY$1-1)))/100))),"")</f>
        <v/>
      </c>
      <c r="AZ137" t="str" cm="1">
        <f t="array" ref="AZ137">IFERROR(IF($E137&lt;44348,"",IF(INDEX(Raw_매출!$B$2:$BI$155,MATCH($A137,Raw_매출!$A$2:$A$155,0),MATCH(EDATE($E137,AZ$1-1),Raw_매출!$B$1:$BI$1,0))=0,"",INDEX(Raw_매출!$B$2:$BI$155,MATCH($A137,Raw_매출!$A$2:$A$155,0),MATCH(EDATE($E137,AZ$1-1),Raw_매출!$B$1:$BI$1,0))/(INDEX(요약_월별시즈널리티!$F$7:$F$18,MONTH(EDATE($E137,AZ$1-1)))/100))),"")</f>
        <v/>
      </c>
      <c r="BA137" t="str" cm="1">
        <f t="array" ref="BA137">IFERROR(IF($E137&lt;44348,"",IF(INDEX(Raw_매출!$B$2:$BI$155,MATCH($A137,Raw_매출!$A$2:$A$155,0),MATCH(EDATE($E137,BA$1-1),Raw_매출!$B$1:$BI$1,0))=0,"",INDEX(Raw_매출!$B$2:$BI$155,MATCH($A137,Raw_매출!$A$2:$A$155,0),MATCH(EDATE($E137,BA$1-1),Raw_매출!$B$1:$BI$1,0))/(INDEX(요약_월별시즈널리티!$F$7:$F$18,MONTH(EDATE($E137,BA$1-1)))/100))),"")</f>
        <v/>
      </c>
      <c r="BB137" t="str" cm="1">
        <f t="array" ref="BB137">IFERROR(IF($E137&lt;44348,"",IF(INDEX(Raw_매출!$B$2:$BI$155,MATCH($A137,Raw_매출!$A$2:$A$155,0),MATCH(EDATE($E137,BB$1-1),Raw_매출!$B$1:$BI$1,0))=0,"",INDEX(Raw_매출!$B$2:$BI$155,MATCH($A137,Raw_매출!$A$2:$A$155,0),MATCH(EDATE($E137,BB$1-1),Raw_매출!$B$1:$BI$1,0))/(INDEX(요약_월별시즈널리티!$F$7:$F$18,MONTH(EDATE($E137,BB$1-1)))/100))),"")</f>
        <v/>
      </c>
      <c r="BC137" t="str" cm="1">
        <f t="array" ref="BC137">IFERROR(IF($E137&lt;44348,"",IF(INDEX(Raw_매출!$B$2:$BI$155,MATCH($A137,Raw_매출!$A$2:$A$155,0),MATCH(EDATE($E137,BC$1-1),Raw_매출!$B$1:$BI$1,0))=0,"",INDEX(Raw_매출!$B$2:$BI$155,MATCH($A137,Raw_매출!$A$2:$A$155,0),MATCH(EDATE($E137,BC$1-1),Raw_매출!$B$1:$BI$1,0))/(INDEX(요약_월별시즈널리티!$F$7:$F$18,MONTH(EDATE($E137,BC$1-1)))/100))),"")</f>
        <v/>
      </c>
      <c r="BD137" t="str" cm="1">
        <f t="array" ref="BD137">IFERROR(IF($E137&lt;44348,"",IF(INDEX(Raw_매출!$B$2:$BI$155,MATCH($A137,Raw_매출!$A$2:$A$155,0),MATCH(EDATE($E137,BD$1-1),Raw_매출!$B$1:$BI$1,0))=0,"",INDEX(Raw_매출!$B$2:$BI$155,MATCH($A137,Raw_매출!$A$2:$A$155,0),MATCH(EDATE($E137,BD$1-1),Raw_매출!$B$1:$BI$1,0))/(INDEX(요약_월별시즈널리티!$F$7:$F$18,MONTH(EDATE($E137,BD$1-1)))/100))),"")</f>
        <v/>
      </c>
      <c r="BE137" t="str" cm="1">
        <f t="array" ref="BE137">IFERROR(IF($E137&lt;44348,"",IF(INDEX(Raw_매출!$B$2:$BI$155,MATCH($A137,Raw_매출!$A$2:$A$155,0),MATCH(EDATE($E137,BE$1-1),Raw_매출!$B$1:$BI$1,0))=0,"",INDEX(Raw_매출!$B$2:$BI$155,MATCH($A137,Raw_매출!$A$2:$A$155,0),MATCH(EDATE($E137,BE$1-1),Raw_매출!$B$1:$BI$1,0))/(INDEX(요약_월별시즈널리티!$F$7:$F$18,MONTH(EDATE($E137,BE$1-1)))/100))),"")</f>
        <v/>
      </c>
      <c r="BF137" t="str" cm="1">
        <f t="array" ref="BF137">IFERROR(IF($E137&lt;44348,"",IF(INDEX(Raw_매출!$B$2:$BI$155,MATCH($A137,Raw_매출!$A$2:$A$155,0),MATCH(EDATE($E137,BF$1-1),Raw_매출!$B$1:$BI$1,0))=0,"",INDEX(Raw_매출!$B$2:$BI$155,MATCH($A137,Raw_매출!$A$2:$A$155,0),MATCH(EDATE($E137,BF$1-1),Raw_매출!$B$1:$BI$1,0))/(INDEX(요약_월별시즈널리티!$F$7:$F$18,MONTH(EDATE($E137,BF$1-1)))/100))),"")</f>
        <v/>
      </c>
      <c r="BG137" t="str" cm="1">
        <f t="array" ref="BG137">IFERROR(IF($E137&lt;44348,"",IF(INDEX(Raw_매출!$B$2:$BI$155,MATCH($A137,Raw_매출!$A$2:$A$155,0),MATCH(EDATE($E137,BG$1-1),Raw_매출!$B$1:$BI$1,0))=0,"",INDEX(Raw_매출!$B$2:$BI$155,MATCH($A137,Raw_매출!$A$2:$A$155,0),MATCH(EDATE($E137,BG$1-1),Raw_매출!$B$1:$BI$1,0))/(INDEX(요약_월별시즈널리티!$F$7:$F$18,MONTH(EDATE($E137,BG$1-1)))/100))),"")</f>
        <v/>
      </c>
      <c r="BH137" t="str" cm="1">
        <f t="array" ref="BH137">IFERROR(IF($E137&lt;44348,"",IF(INDEX(Raw_매출!$B$2:$BI$155,MATCH($A137,Raw_매출!$A$2:$A$155,0),MATCH(EDATE($E137,BH$1-1),Raw_매출!$B$1:$BI$1,0))=0,"",INDEX(Raw_매출!$B$2:$BI$155,MATCH($A137,Raw_매출!$A$2:$A$155,0),MATCH(EDATE($E137,BH$1-1),Raw_매출!$B$1:$BI$1,0))/(INDEX(요약_월별시즈널리티!$F$7:$F$18,MONTH(EDATE($E137,BH$1-1)))/100))),"")</f>
        <v/>
      </c>
      <c r="BI137" t="str" cm="1">
        <f t="array" ref="BI137">IFERROR(IF($E137&lt;44348,"",IF(INDEX(Raw_매출!$B$2:$BI$155,MATCH($A137,Raw_매출!$A$2:$A$155,0),MATCH(EDATE($E137,BI$1-1),Raw_매출!$B$1:$BI$1,0))=0,"",INDEX(Raw_매출!$B$2:$BI$155,MATCH($A137,Raw_매출!$A$2:$A$155,0),MATCH(EDATE($E137,BI$1-1),Raw_매출!$B$1:$BI$1,0))/(INDEX(요약_월별시즈널리티!$F$7:$F$18,MONTH(EDATE($E137,BI$1-1)))/100))),"")</f>
        <v/>
      </c>
      <c r="BJ137" t="str" cm="1">
        <f t="array" ref="BJ137">IFERROR(IF($E137&lt;44348,"",IF(INDEX(Raw_매출!$B$2:$BI$155,MATCH($A137,Raw_매출!$A$2:$A$155,0),MATCH(EDATE($E137,BJ$1-1),Raw_매출!$B$1:$BI$1,0))=0,"",INDEX(Raw_매출!$B$2:$BI$155,MATCH($A137,Raw_매출!$A$2:$A$155,0),MATCH(EDATE($E137,BJ$1-1),Raw_매출!$B$1:$BI$1,0))/(INDEX(요약_월별시즈널리티!$F$7:$F$18,MONTH(EDATE($E137,BJ$1-1)))/100))),"")</f>
        <v/>
      </c>
      <c r="BK137" t="str" cm="1">
        <f t="array" ref="BK137">IFERROR(IF($E137&lt;44348,"",IF(INDEX(Raw_매출!$B$2:$BI$155,MATCH($A137,Raw_매출!$A$2:$A$155,0),MATCH(EDATE($E137,BK$1-1),Raw_매출!$B$1:$BI$1,0))=0,"",INDEX(Raw_매출!$B$2:$BI$155,MATCH($A137,Raw_매출!$A$2:$A$155,0),MATCH(EDATE($E137,BK$1-1),Raw_매출!$B$1:$BI$1,0))/(INDEX(요약_월별시즈널리티!$F$7:$F$18,MONTH(EDATE($E137,BK$1-1)))/100))),"")</f>
        <v/>
      </c>
      <c r="BL137" t="str" cm="1">
        <f t="array" ref="BL137">IFERROR(IF($E137&lt;44348,"",IF(INDEX(Raw_매출!$B$2:$BI$155,MATCH($A137,Raw_매출!$A$2:$A$155,0),MATCH(EDATE($E137,BL$1-1),Raw_매출!$B$1:$BI$1,0))=0,"",INDEX(Raw_매출!$B$2:$BI$155,MATCH($A137,Raw_매출!$A$2:$A$155,0),MATCH(EDATE($E137,BL$1-1),Raw_매출!$B$1:$BI$1,0))/(INDEX(요약_월별시즈널리티!$F$7:$F$18,MONTH(EDATE($E137,BL$1-1)))/100))),"")</f>
        <v/>
      </c>
      <c r="BM137" t="str" cm="1">
        <f t="array" ref="BM137">IFERROR(IF($E137&lt;44348,"",IF(INDEX(Raw_매출!$B$2:$BI$155,MATCH($A137,Raw_매출!$A$2:$A$155,0),MATCH(EDATE($E137,BM$1-1),Raw_매출!$B$1:$BI$1,0))=0,"",INDEX(Raw_매출!$B$2:$BI$155,MATCH($A137,Raw_매출!$A$2:$A$155,0),MATCH(EDATE($E137,BM$1-1),Raw_매출!$B$1:$BI$1,0))/(INDEX(요약_월별시즈널리티!$F$7:$F$18,MONTH(EDATE($E137,BM$1-1)))/100))),"")</f>
        <v/>
      </c>
      <c r="BN137" t="str" cm="1">
        <f t="array" ref="BN137">IFERROR(IF($E137&lt;44348,"",IF(INDEX(Raw_매출!$B$2:$BI$155,MATCH($A137,Raw_매출!$A$2:$A$155,0),MATCH(EDATE($E137,BN$1-1),Raw_매출!$B$1:$BI$1,0))=0,"",INDEX(Raw_매출!$B$2:$BI$155,MATCH($A137,Raw_매출!$A$2:$A$155,0),MATCH(EDATE($E137,BN$1-1),Raw_매출!$B$1:$BI$1,0))/(INDEX(요약_월별시즈널리티!$F$7:$F$18,MONTH(EDATE($E137,BN$1-1)))/100))),"")</f>
        <v/>
      </c>
    </row>
    <row r="138" spans="1:66" x14ac:dyDescent="0.4">
      <c r="A138" t="str">
        <f>세팅!A139</f>
        <v>(1129) #간석오거리점</v>
      </c>
      <c r="B138" t="str">
        <f>세팅!B139</f>
        <v>150-1</v>
      </c>
      <c r="C138">
        <f t="shared" si="6"/>
        <v>1</v>
      </c>
      <c r="D138" t="str">
        <f t="shared" si="7"/>
        <v>1</v>
      </c>
      <c r="E138" s="1">
        <f>세팅!D139</f>
        <v>45901</v>
      </c>
      <c r="F138">
        <f t="shared" si="8"/>
        <v>7249498.1787031004</v>
      </c>
      <c r="G138" cm="1">
        <f t="array" ref="G138">IFERROR(IF($E138&lt;44348,"",IF(INDEX(Raw_매출!$B$2:$BI$155,MATCH($A138,Raw_매출!$A$2:$A$155,0),MATCH(EDATE($E138,G$1-1),Raw_매출!$B$1:$BI$1,0))=0,"",INDEX(Raw_매출!$B$2:$BI$155,MATCH($A138,Raw_매출!$A$2:$A$155,0),MATCH(EDATE($E138,G$1-1),Raw_매출!$B$1:$BI$1,0))/(INDEX(요약_월별시즈널리티!$F$7:$F$18,MONTH(EDATE($E138,G$1-1)))/100))),"")</f>
        <v>5388191.2322494732</v>
      </c>
      <c r="H138" cm="1">
        <f t="array" ref="H138">IFERROR(IF($E138&lt;44348,"",IF(INDEX(Raw_매출!$B$2:$BI$155,MATCH($A138,Raw_매출!$A$2:$A$155,0),MATCH(EDATE($E138,H$1-1),Raw_매출!$B$1:$BI$1,0))=0,"",INDEX(Raw_매출!$B$2:$BI$155,MATCH($A138,Raw_매출!$A$2:$A$155,0),MATCH(EDATE($E138,H$1-1),Raw_매출!$B$1:$BI$1,0))/(INDEX(요약_월별시즈널리티!$F$7:$F$18,MONTH(EDATE($E138,H$1-1)))/100))),"")</f>
        <v>6796011.6514715999</v>
      </c>
      <c r="I138" cm="1">
        <f t="array" ref="I138">IFERROR(IF($E138&lt;44348,"",IF(INDEX(Raw_매출!$B$2:$BI$155,MATCH($A138,Raw_매출!$A$2:$A$155,0),MATCH(EDATE($E138,I$1-1),Raw_매출!$B$1:$BI$1,0))=0,"",INDEX(Raw_매출!$B$2:$BI$155,MATCH($A138,Raw_매출!$A$2:$A$155,0),MATCH(EDATE($E138,I$1-1),Raw_매출!$B$1:$BI$1,0))/(INDEX(요약_월별시즈널리티!$F$7:$F$18,MONTH(EDATE($E138,I$1-1)))/100))),"")</f>
        <v>7057230.3227849267</v>
      </c>
      <c r="J138" s="30" cm="1">
        <f t="array" ref="J138">IFERROR(IF($E138&lt;44348,"",IF(INDEX(Raw_매출!$B$2:$BI$155,MATCH($A138,Raw_매출!$A$2:$A$155,0),MATCH(EDATE($E138,J$1-1),Raw_매출!$B$1:$BI$1,0))=0,"",INDEX(Raw_매출!$B$2:$BI$155,MATCH($A138,Raw_매출!$A$2:$A$155,0),MATCH(EDATE($E138,J$1-1),Raw_매출!$B$1:$BI$1,0))/(INDEX(요약_월별시즈널리티!$F$7:$F$18,MONTH(EDATE($E138,J$1-1)))/100))),"")</f>
        <v>6862453.9077116707</v>
      </c>
      <c r="K138" s="30" cm="1">
        <f t="array" ref="K138">IFERROR(IF($E138&lt;44348,"",IF(INDEX(Raw_매출!$B$2:$BI$155,MATCH($A138,Raw_매출!$A$2:$A$155,0),MATCH(EDATE($E138,K$1-1),Raw_매출!$B$1:$BI$1,0))=0,"",INDEX(Raw_매출!$B$2:$BI$155,MATCH($A138,Raw_매출!$A$2:$A$155,0),MATCH(EDATE($E138,K$1-1),Raw_매출!$B$1:$BI$1,0))/(INDEX(요약_월별시즈널리티!$F$7:$F$18,MONTH(EDATE($E138,K$1-1)))/100))),"")</f>
        <v>7457427.6430506399</v>
      </c>
      <c r="L138" s="30" cm="1">
        <f t="array" ref="L138">IFERROR(IF($E138&lt;44348,"",IF(INDEX(Raw_매출!$B$2:$BI$155,MATCH($A138,Raw_매출!$A$2:$A$155,0),MATCH(EDATE($E138,L$1-1),Raw_매출!$B$1:$BI$1,0))=0,"",INDEX(Raw_매출!$B$2:$BI$155,MATCH($A138,Raw_매출!$A$2:$A$155,0),MATCH(EDATE($E138,L$1-1),Raw_매출!$B$1:$BI$1,0))/(INDEX(요약_월별시즈널리티!$F$7:$F$18,MONTH(EDATE($E138,L$1-1)))/100))),"")</f>
        <v>7573921.4698923454</v>
      </c>
      <c r="M138" s="30" cm="1">
        <f t="array" ref="M138">IFERROR(IF($E138&lt;44348,"",IF(INDEX(Raw_매출!$B$2:$BI$155,MATCH($A138,Raw_매출!$A$2:$A$155,0),MATCH(EDATE($E138,M$1-1),Raw_매출!$B$1:$BI$1,0))=0,"",INDEX(Raw_매출!$B$2:$BI$155,MATCH($A138,Raw_매출!$A$2:$A$155,0),MATCH(EDATE($E138,M$1-1),Raw_매출!$B$1:$BI$1,0))/(INDEX(요약_월별시즈널리티!$F$7:$F$18,MONTH(EDATE($E138,M$1-1)))/100))),"")</f>
        <v>7129500.7577940049</v>
      </c>
      <c r="N138" s="30" cm="1">
        <f t="array" ref="N138">IFERROR(IF($E138&lt;44348,"",IF(INDEX(Raw_매출!$B$2:$BI$155,MATCH($A138,Raw_매출!$A$2:$A$155,0),MATCH(EDATE($E138,N$1-1),Raw_매출!$B$1:$BI$1,0))=0,"",INDEX(Raw_매출!$B$2:$BI$155,MATCH($A138,Raw_매출!$A$2:$A$155,0),MATCH(EDATE($E138,N$1-1),Raw_매출!$B$1:$BI$1,0))/(INDEX(요약_월별시즈널리티!$F$7:$F$18,MONTH(EDATE($E138,N$1-1)))/100))),"")</f>
        <v>6995705.6505234726</v>
      </c>
      <c r="O138" s="30" cm="1">
        <f t="array" ref="O138">IFERROR(IF($E138&lt;44348,"",IF(INDEX(Raw_매출!$B$2:$BI$155,MATCH($A138,Raw_매출!$A$2:$A$155,0),MATCH(EDATE($E138,O$1-1),Raw_매출!$B$1:$BI$1,0))=0,"",INDEX(Raw_매출!$B$2:$BI$155,MATCH($A138,Raw_매출!$A$2:$A$155,0),MATCH(EDATE($E138,O$1-1),Raw_매출!$B$1:$BI$1,0))/(INDEX(요약_월별시즈널리티!$F$7:$F$18,MONTH(EDATE($E138,O$1-1)))/100))),"")</f>
        <v>7477979.643246471</v>
      </c>
      <c r="P138" t="str" cm="1">
        <f t="array" ref="P138">IFERROR(IF($E138&lt;44348,"",IF(INDEX(Raw_매출!$B$2:$BI$155,MATCH($A138,Raw_매출!$A$2:$A$155,0),MATCH(EDATE($E138,P$1-1),Raw_매출!$B$1:$BI$1,0))=0,"",INDEX(Raw_매출!$B$2:$BI$155,MATCH($A138,Raw_매출!$A$2:$A$155,0),MATCH(EDATE($E138,P$1-1),Raw_매출!$B$1:$BI$1,0))/(INDEX(요약_월별시즈널리티!$F$7:$F$18,MONTH(EDATE($E138,P$1-1)))/100))),"")</f>
        <v/>
      </c>
      <c r="Q138" t="str" cm="1">
        <f t="array" ref="Q138">IFERROR(IF($E138&lt;44348,"",IF(INDEX(Raw_매출!$B$2:$BI$155,MATCH($A138,Raw_매출!$A$2:$A$155,0),MATCH(EDATE($E138,Q$1-1),Raw_매출!$B$1:$BI$1,0))=0,"",INDEX(Raw_매출!$B$2:$BI$155,MATCH($A138,Raw_매출!$A$2:$A$155,0),MATCH(EDATE($E138,Q$1-1),Raw_매출!$B$1:$BI$1,0))/(INDEX(요약_월별시즈널리티!$F$7:$F$18,MONTH(EDATE($E138,Q$1-1)))/100))),"")</f>
        <v/>
      </c>
      <c r="R138" t="str" cm="1">
        <f t="array" ref="R138">IFERROR(IF($E138&lt;44348,"",IF(INDEX(Raw_매출!$B$2:$BI$155,MATCH($A138,Raw_매출!$A$2:$A$155,0),MATCH(EDATE($E138,R$1-1),Raw_매출!$B$1:$BI$1,0))=0,"",INDEX(Raw_매출!$B$2:$BI$155,MATCH($A138,Raw_매출!$A$2:$A$155,0),MATCH(EDATE($E138,R$1-1),Raw_매출!$B$1:$BI$1,0))/(INDEX(요약_월별시즈널리티!$F$7:$F$18,MONTH(EDATE($E138,R$1-1)))/100))),"")</f>
        <v/>
      </c>
      <c r="S138" t="str" cm="1">
        <f t="array" ref="S138">IFERROR(IF($E138&lt;44348,"",IF(INDEX(Raw_매출!$B$2:$BI$155,MATCH($A138,Raw_매출!$A$2:$A$155,0),MATCH(EDATE($E138,S$1-1),Raw_매출!$B$1:$BI$1,0))=0,"",INDEX(Raw_매출!$B$2:$BI$155,MATCH($A138,Raw_매출!$A$2:$A$155,0),MATCH(EDATE($E138,S$1-1),Raw_매출!$B$1:$BI$1,0))/(INDEX(요약_월별시즈널리티!$F$7:$F$18,MONTH(EDATE($E138,S$1-1)))/100))),"")</f>
        <v/>
      </c>
      <c r="T138" t="str" cm="1">
        <f t="array" ref="T138">IFERROR(IF($E138&lt;44348,"",IF(INDEX(Raw_매출!$B$2:$BI$155,MATCH($A138,Raw_매출!$A$2:$A$155,0),MATCH(EDATE($E138,T$1-1),Raw_매출!$B$1:$BI$1,0))=0,"",INDEX(Raw_매출!$B$2:$BI$155,MATCH($A138,Raw_매출!$A$2:$A$155,0),MATCH(EDATE($E138,T$1-1),Raw_매출!$B$1:$BI$1,0))/(INDEX(요약_월별시즈널리티!$F$7:$F$18,MONTH(EDATE($E138,T$1-1)))/100))),"")</f>
        <v/>
      </c>
      <c r="U138" t="str" cm="1">
        <f t="array" ref="U138">IFERROR(IF($E138&lt;44348,"",IF(INDEX(Raw_매출!$B$2:$BI$155,MATCH($A138,Raw_매출!$A$2:$A$155,0),MATCH(EDATE($E138,U$1-1),Raw_매출!$B$1:$BI$1,0))=0,"",INDEX(Raw_매출!$B$2:$BI$155,MATCH($A138,Raw_매출!$A$2:$A$155,0),MATCH(EDATE($E138,U$1-1),Raw_매출!$B$1:$BI$1,0))/(INDEX(요약_월별시즈널리티!$F$7:$F$18,MONTH(EDATE($E138,U$1-1)))/100))),"")</f>
        <v/>
      </c>
      <c r="V138" t="str" cm="1">
        <f t="array" ref="V138">IFERROR(IF($E138&lt;44348,"",IF(INDEX(Raw_매출!$B$2:$BI$155,MATCH($A138,Raw_매출!$A$2:$A$155,0),MATCH(EDATE($E138,V$1-1),Raw_매출!$B$1:$BI$1,0))=0,"",INDEX(Raw_매출!$B$2:$BI$155,MATCH($A138,Raw_매출!$A$2:$A$155,0),MATCH(EDATE($E138,V$1-1),Raw_매출!$B$1:$BI$1,0))/(INDEX(요약_월별시즈널리티!$F$7:$F$18,MONTH(EDATE($E138,V$1-1)))/100))),"")</f>
        <v/>
      </c>
      <c r="W138" t="str" cm="1">
        <f t="array" ref="W138">IFERROR(IF($E138&lt;44348,"",IF(INDEX(Raw_매출!$B$2:$BI$155,MATCH($A138,Raw_매출!$A$2:$A$155,0),MATCH(EDATE($E138,W$1-1),Raw_매출!$B$1:$BI$1,0))=0,"",INDEX(Raw_매출!$B$2:$BI$155,MATCH($A138,Raw_매출!$A$2:$A$155,0),MATCH(EDATE($E138,W$1-1),Raw_매출!$B$1:$BI$1,0))/(INDEX(요약_월별시즈널리티!$F$7:$F$18,MONTH(EDATE($E138,W$1-1)))/100))),"")</f>
        <v/>
      </c>
      <c r="X138" t="str" cm="1">
        <f t="array" ref="X138">IFERROR(IF($E138&lt;44348,"",IF(INDEX(Raw_매출!$B$2:$BI$155,MATCH($A138,Raw_매출!$A$2:$A$155,0),MATCH(EDATE($E138,X$1-1),Raw_매출!$B$1:$BI$1,0))=0,"",INDEX(Raw_매출!$B$2:$BI$155,MATCH($A138,Raw_매출!$A$2:$A$155,0),MATCH(EDATE($E138,X$1-1),Raw_매출!$B$1:$BI$1,0))/(INDEX(요약_월별시즈널리티!$F$7:$F$18,MONTH(EDATE($E138,X$1-1)))/100))),"")</f>
        <v/>
      </c>
      <c r="Y138" t="str" cm="1">
        <f t="array" ref="Y138">IFERROR(IF($E138&lt;44348,"",IF(INDEX(Raw_매출!$B$2:$BI$155,MATCH($A138,Raw_매출!$A$2:$A$155,0),MATCH(EDATE($E138,Y$1-1),Raw_매출!$B$1:$BI$1,0))=0,"",INDEX(Raw_매출!$B$2:$BI$155,MATCH($A138,Raw_매출!$A$2:$A$155,0),MATCH(EDATE($E138,Y$1-1),Raw_매출!$B$1:$BI$1,0))/(INDEX(요약_월별시즈널리티!$F$7:$F$18,MONTH(EDATE($E138,Y$1-1)))/100))),"")</f>
        <v/>
      </c>
      <c r="Z138" t="str" cm="1">
        <f t="array" ref="Z138">IFERROR(IF($E138&lt;44348,"",IF(INDEX(Raw_매출!$B$2:$BI$155,MATCH($A138,Raw_매출!$A$2:$A$155,0),MATCH(EDATE($E138,Z$1-1),Raw_매출!$B$1:$BI$1,0))=0,"",INDEX(Raw_매출!$B$2:$BI$155,MATCH($A138,Raw_매출!$A$2:$A$155,0),MATCH(EDATE($E138,Z$1-1),Raw_매출!$B$1:$BI$1,0))/(INDEX(요약_월별시즈널리티!$F$7:$F$18,MONTH(EDATE($E138,Z$1-1)))/100))),"")</f>
        <v/>
      </c>
      <c r="AA138" t="str" cm="1">
        <f t="array" ref="AA138">IFERROR(IF($E138&lt;44348,"",IF(INDEX(Raw_매출!$B$2:$BI$155,MATCH($A138,Raw_매출!$A$2:$A$155,0),MATCH(EDATE($E138,AA$1-1),Raw_매출!$B$1:$BI$1,0))=0,"",INDEX(Raw_매출!$B$2:$BI$155,MATCH($A138,Raw_매출!$A$2:$A$155,0),MATCH(EDATE($E138,AA$1-1),Raw_매출!$B$1:$BI$1,0))/(INDEX(요약_월별시즈널리티!$F$7:$F$18,MONTH(EDATE($E138,AA$1-1)))/100))),"")</f>
        <v/>
      </c>
      <c r="AB138" t="str" cm="1">
        <f t="array" ref="AB138">IFERROR(IF($E138&lt;44348,"",IF(INDEX(Raw_매출!$B$2:$BI$155,MATCH($A138,Raw_매출!$A$2:$A$155,0),MATCH(EDATE($E138,AB$1-1),Raw_매출!$B$1:$BI$1,0))=0,"",INDEX(Raw_매출!$B$2:$BI$155,MATCH($A138,Raw_매출!$A$2:$A$155,0),MATCH(EDATE($E138,AB$1-1),Raw_매출!$B$1:$BI$1,0))/(INDEX(요약_월별시즈널리티!$F$7:$F$18,MONTH(EDATE($E138,AB$1-1)))/100))),"")</f>
        <v/>
      </c>
      <c r="AC138" t="str" cm="1">
        <f t="array" ref="AC138">IFERROR(IF($E138&lt;44348,"",IF(INDEX(Raw_매출!$B$2:$BI$155,MATCH($A138,Raw_매출!$A$2:$A$155,0),MATCH(EDATE($E138,AC$1-1),Raw_매출!$B$1:$BI$1,0))=0,"",INDEX(Raw_매출!$B$2:$BI$155,MATCH($A138,Raw_매출!$A$2:$A$155,0),MATCH(EDATE($E138,AC$1-1),Raw_매출!$B$1:$BI$1,0))/(INDEX(요약_월별시즈널리티!$F$7:$F$18,MONTH(EDATE($E138,AC$1-1)))/100))),"")</f>
        <v/>
      </c>
      <c r="AD138" t="str" cm="1">
        <f t="array" ref="AD138">IFERROR(IF($E138&lt;44348,"",IF(INDEX(Raw_매출!$B$2:$BI$155,MATCH($A138,Raw_매출!$A$2:$A$155,0),MATCH(EDATE($E138,AD$1-1),Raw_매출!$B$1:$BI$1,0))=0,"",INDEX(Raw_매출!$B$2:$BI$155,MATCH($A138,Raw_매출!$A$2:$A$155,0),MATCH(EDATE($E138,AD$1-1),Raw_매출!$B$1:$BI$1,0))/(INDEX(요약_월별시즈널리티!$F$7:$F$18,MONTH(EDATE($E138,AD$1-1)))/100))),"")</f>
        <v/>
      </c>
      <c r="AE138" t="str" cm="1">
        <f t="array" ref="AE138">IFERROR(IF($E138&lt;44348,"",IF(INDEX(Raw_매출!$B$2:$BI$155,MATCH($A138,Raw_매출!$A$2:$A$155,0),MATCH(EDATE($E138,AE$1-1),Raw_매출!$B$1:$BI$1,0))=0,"",INDEX(Raw_매출!$B$2:$BI$155,MATCH($A138,Raw_매출!$A$2:$A$155,0),MATCH(EDATE($E138,AE$1-1),Raw_매출!$B$1:$BI$1,0))/(INDEX(요약_월별시즈널리티!$F$7:$F$18,MONTH(EDATE($E138,AE$1-1)))/100))),"")</f>
        <v/>
      </c>
      <c r="AF138" t="str" cm="1">
        <f t="array" ref="AF138">IFERROR(IF($E138&lt;44348,"",IF(INDEX(Raw_매출!$B$2:$BI$155,MATCH($A138,Raw_매출!$A$2:$A$155,0),MATCH(EDATE($E138,AF$1-1),Raw_매출!$B$1:$BI$1,0))=0,"",INDEX(Raw_매출!$B$2:$BI$155,MATCH($A138,Raw_매출!$A$2:$A$155,0),MATCH(EDATE($E138,AF$1-1),Raw_매출!$B$1:$BI$1,0))/(INDEX(요약_월별시즈널리티!$F$7:$F$18,MONTH(EDATE($E138,AF$1-1)))/100))),"")</f>
        <v/>
      </c>
      <c r="AG138" t="str" cm="1">
        <f t="array" ref="AG138">IFERROR(IF($E138&lt;44348,"",IF(INDEX(Raw_매출!$B$2:$BI$155,MATCH($A138,Raw_매출!$A$2:$A$155,0),MATCH(EDATE($E138,AG$1-1),Raw_매출!$B$1:$BI$1,0))=0,"",INDEX(Raw_매출!$B$2:$BI$155,MATCH($A138,Raw_매출!$A$2:$A$155,0),MATCH(EDATE($E138,AG$1-1),Raw_매출!$B$1:$BI$1,0))/(INDEX(요약_월별시즈널리티!$F$7:$F$18,MONTH(EDATE($E138,AG$1-1)))/100))),"")</f>
        <v/>
      </c>
      <c r="AH138" t="str" cm="1">
        <f t="array" ref="AH138">IFERROR(IF($E138&lt;44348,"",IF(INDEX(Raw_매출!$B$2:$BI$155,MATCH($A138,Raw_매출!$A$2:$A$155,0),MATCH(EDATE($E138,AH$1-1),Raw_매출!$B$1:$BI$1,0))=0,"",INDEX(Raw_매출!$B$2:$BI$155,MATCH($A138,Raw_매출!$A$2:$A$155,0),MATCH(EDATE($E138,AH$1-1),Raw_매출!$B$1:$BI$1,0))/(INDEX(요약_월별시즈널리티!$F$7:$F$18,MONTH(EDATE($E138,AH$1-1)))/100))),"")</f>
        <v/>
      </c>
      <c r="AI138" t="str" cm="1">
        <f t="array" ref="AI138">IFERROR(IF($E138&lt;44348,"",IF(INDEX(Raw_매출!$B$2:$BI$155,MATCH($A138,Raw_매출!$A$2:$A$155,0),MATCH(EDATE($E138,AI$1-1),Raw_매출!$B$1:$BI$1,0))=0,"",INDEX(Raw_매출!$B$2:$BI$155,MATCH($A138,Raw_매출!$A$2:$A$155,0),MATCH(EDATE($E138,AI$1-1),Raw_매출!$B$1:$BI$1,0))/(INDEX(요약_월별시즈널리티!$F$7:$F$18,MONTH(EDATE($E138,AI$1-1)))/100))),"")</f>
        <v/>
      </c>
      <c r="AJ138" t="str" cm="1">
        <f t="array" ref="AJ138">IFERROR(IF($E138&lt;44348,"",IF(INDEX(Raw_매출!$B$2:$BI$155,MATCH($A138,Raw_매출!$A$2:$A$155,0),MATCH(EDATE($E138,AJ$1-1),Raw_매출!$B$1:$BI$1,0))=0,"",INDEX(Raw_매출!$B$2:$BI$155,MATCH($A138,Raw_매출!$A$2:$A$155,0),MATCH(EDATE($E138,AJ$1-1),Raw_매출!$B$1:$BI$1,0))/(INDEX(요약_월별시즈널리티!$F$7:$F$18,MONTH(EDATE($E138,AJ$1-1)))/100))),"")</f>
        <v/>
      </c>
      <c r="AK138" t="str" cm="1">
        <f t="array" ref="AK138">IFERROR(IF($E138&lt;44348,"",IF(INDEX(Raw_매출!$B$2:$BI$155,MATCH($A138,Raw_매출!$A$2:$A$155,0),MATCH(EDATE($E138,AK$1-1),Raw_매출!$B$1:$BI$1,0))=0,"",INDEX(Raw_매출!$B$2:$BI$155,MATCH($A138,Raw_매출!$A$2:$A$155,0),MATCH(EDATE($E138,AK$1-1),Raw_매출!$B$1:$BI$1,0))/(INDEX(요약_월별시즈널리티!$F$7:$F$18,MONTH(EDATE($E138,AK$1-1)))/100))),"")</f>
        <v/>
      </c>
      <c r="AL138" t="str" cm="1">
        <f t="array" ref="AL138">IFERROR(IF($E138&lt;44348,"",IF(INDEX(Raw_매출!$B$2:$BI$155,MATCH($A138,Raw_매출!$A$2:$A$155,0),MATCH(EDATE($E138,AL$1-1),Raw_매출!$B$1:$BI$1,0))=0,"",INDEX(Raw_매출!$B$2:$BI$155,MATCH($A138,Raw_매출!$A$2:$A$155,0),MATCH(EDATE($E138,AL$1-1),Raw_매출!$B$1:$BI$1,0))/(INDEX(요약_월별시즈널리티!$F$7:$F$18,MONTH(EDATE($E138,AL$1-1)))/100))),"")</f>
        <v/>
      </c>
      <c r="AM138" t="str" cm="1">
        <f t="array" ref="AM138">IFERROR(IF($E138&lt;44348,"",IF(INDEX(Raw_매출!$B$2:$BI$155,MATCH($A138,Raw_매출!$A$2:$A$155,0),MATCH(EDATE($E138,AM$1-1),Raw_매출!$B$1:$BI$1,0))=0,"",INDEX(Raw_매출!$B$2:$BI$155,MATCH($A138,Raw_매출!$A$2:$A$155,0),MATCH(EDATE($E138,AM$1-1),Raw_매출!$B$1:$BI$1,0))/(INDEX(요약_월별시즈널리티!$F$7:$F$18,MONTH(EDATE($E138,AM$1-1)))/100))),"")</f>
        <v/>
      </c>
      <c r="AN138" t="str" cm="1">
        <f t="array" ref="AN138">IFERROR(IF($E138&lt;44348,"",IF(INDEX(Raw_매출!$B$2:$BI$155,MATCH($A138,Raw_매출!$A$2:$A$155,0),MATCH(EDATE($E138,AN$1-1),Raw_매출!$B$1:$BI$1,0))=0,"",INDEX(Raw_매출!$B$2:$BI$155,MATCH($A138,Raw_매출!$A$2:$A$155,0),MATCH(EDATE($E138,AN$1-1),Raw_매출!$B$1:$BI$1,0))/(INDEX(요약_월별시즈널리티!$F$7:$F$18,MONTH(EDATE($E138,AN$1-1)))/100))),"")</f>
        <v/>
      </c>
      <c r="AO138" t="str" cm="1">
        <f t="array" ref="AO138">IFERROR(IF($E138&lt;44348,"",IF(INDEX(Raw_매출!$B$2:$BI$155,MATCH($A138,Raw_매출!$A$2:$A$155,0),MATCH(EDATE($E138,AO$1-1),Raw_매출!$B$1:$BI$1,0))=0,"",INDEX(Raw_매출!$B$2:$BI$155,MATCH($A138,Raw_매출!$A$2:$A$155,0),MATCH(EDATE($E138,AO$1-1),Raw_매출!$B$1:$BI$1,0))/(INDEX(요약_월별시즈널리티!$F$7:$F$18,MONTH(EDATE($E138,AO$1-1)))/100))),"")</f>
        <v/>
      </c>
      <c r="AP138" t="str" cm="1">
        <f t="array" ref="AP138">IFERROR(IF($E138&lt;44348,"",IF(INDEX(Raw_매출!$B$2:$BI$155,MATCH($A138,Raw_매출!$A$2:$A$155,0),MATCH(EDATE($E138,AP$1-1),Raw_매출!$B$1:$BI$1,0))=0,"",INDEX(Raw_매출!$B$2:$BI$155,MATCH($A138,Raw_매출!$A$2:$A$155,0),MATCH(EDATE($E138,AP$1-1),Raw_매출!$B$1:$BI$1,0))/(INDEX(요약_월별시즈널리티!$F$7:$F$18,MONTH(EDATE($E138,AP$1-1)))/100))),"")</f>
        <v/>
      </c>
      <c r="AQ138" t="str" cm="1">
        <f t="array" ref="AQ138">IFERROR(IF($E138&lt;44348,"",IF(INDEX(Raw_매출!$B$2:$BI$155,MATCH($A138,Raw_매출!$A$2:$A$155,0),MATCH(EDATE($E138,AQ$1-1),Raw_매출!$B$1:$BI$1,0))=0,"",INDEX(Raw_매출!$B$2:$BI$155,MATCH($A138,Raw_매출!$A$2:$A$155,0),MATCH(EDATE($E138,AQ$1-1),Raw_매출!$B$1:$BI$1,0))/(INDEX(요약_월별시즈널리티!$F$7:$F$18,MONTH(EDATE($E138,AQ$1-1)))/100))),"")</f>
        <v/>
      </c>
      <c r="AR138" t="str" cm="1">
        <f t="array" ref="AR138">IFERROR(IF($E138&lt;44348,"",IF(INDEX(Raw_매출!$B$2:$BI$155,MATCH($A138,Raw_매출!$A$2:$A$155,0),MATCH(EDATE($E138,AR$1-1),Raw_매출!$B$1:$BI$1,0))=0,"",INDEX(Raw_매출!$B$2:$BI$155,MATCH($A138,Raw_매출!$A$2:$A$155,0),MATCH(EDATE($E138,AR$1-1),Raw_매출!$B$1:$BI$1,0))/(INDEX(요약_월별시즈널리티!$F$7:$F$18,MONTH(EDATE($E138,AR$1-1)))/100))),"")</f>
        <v/>
      </c>
      <c r="AS138" t="str" cm="1">
        <f t="array" ref="AS138">IFERROR(IF($E138&lt;44348,"",IF(INDEX(Raw_매출!$B$2:$BI$155,MATCH($A138,Raw_매출!$A$2:$A$155,0),MATCH(EDATE($E138,AS$1-1),Raw_매출!$B$1:$BI$1,0))=0,"",INDEX(Raw_매출!$B$2:$BI$155,MATCH($A138,Raw_매출!$A$2:$A$155,0),MATCH(EDATE($E138,AS$1-1),Raw_매출!$B$1:$BI$1,0))/(INDEX(요약_월별시즈널리티!$F$7:$F$18,MONTH(EDATE($E138,AS$1-1)))/100))),"")</f>
        <v/>
      </c>
      <c r="AT138" t="str" cm="1">
        <f t="array" ref="AT138">IFERROR(IF($E138&lt;44348,"",IF(INDEX(Raw_매출!$B$2:$BI$155,MATCH($A138,Raw_매출!$A$2:$A$155,0),MATCH(EDATE($E138,AT$1-1),Raw_매출!$B$1:$BI$1,0))=0,"",INDEX(Raw_매출!$B$2:$BI$155,MATCH($A138,Raw_매출!$A$2:$A$155,0),MATCH(EDATE($E138,AT$1-1),Raw_매출!$B$1:$BI$1,0))/(INDEX(요약_월별시즈널리티!$F$7:$F$18,MONTH(EDATE($E138,AT$1-1)))/100))),"")</f>
        <v/>
      </c>
      <c r="AU138" t="str" cm="1">
        <f t="array" ref="AU138">IFERROR(IF($E138&lt;44348,"",IF(INDEX(Raw_매출!$B$2:$BI$155,MATCH($A138,Raw_매출!$A$2:$A$155,0),MATCH(EDATE($E138,AU$1-1),Raw_매출!$B$1:$BI$1,0))=0,"",INDEX(Raw_매출!$B$2:$BI$155,MATCH($A138,Raw_매출!$A$2:$A$155,0),MATCH(EDATE($E138,AU$1-1),Raw_매출!$B$1:$BI$1,0))/(INDEX(요약_월별시즈널리티!$F$7:$F$18,MONTH(EDATE($E138,AU$1-1)))/100))),"")</f>
        <v/>
      </c>
      <c r="AV138" t="str" cm="1">
        <f t="array" ref="AV138">IFERROR(IF($E138&lt;44348,"",IF(INDEX(Raw_매출!$B$2:$BI$155,MATCH($A138,Raw_매출!$A$2:$A$155,0),MATCH(EDATE($E138,AV$1-1),Raw_매출!$B$1:$BI$1,0))=0,"",INDEX(Raw_매출!$B$2:$BI$155,MATCH($A138,Raw_매출!$A$2:$A$155,0),MATCH(EDATE($E138,AV$1-1),Raw_매출!$B$1:$BI$1,0))/(INDEX(요약_월별시즈널리티!$F$7:$F$18,MONTH(EDATE($E138,AV$1-1)))/100))),"")</f>
        <v/>
      </c>
      <c r="AW138" t="str" cm="1">
        <f t="array" ref="AW138">IFERROR(IF($E138&lt;44348,"",IF(INDEX(Raw_매출!$B$2:$BI$155,MATCH($A138,Raw_매출!$A$2:$A$155,0),MATCH(EDATE($E138,AW$1-1),Raw_매출!$B$1:$BI$1,0))=0,"",INDEX(Raw_매출!$B$2:$BI$155,MATCH($A138,Raw_매출!$A$2:$A$155,0),MATCH(EDATE($E138,AW$1-1),Raw_매출!$B$1:$BI$1,0))/(INDEX(요약_월별시즈널리티!$F$7:$F$18,MONTH(EDATE($E138,AW$1-1)))/100))),"")</f>
        <v/>
      </c>
      <c r="AX138" t="str" cm="1">
        <f t="array" ref="AX138">IFERROR(IF($E138&lt;44348,"",IF(INDEX(Raw_매출!$B$2:$BI$155,MATCH($A138,Raw_매출!$A$2:$A$155,0),MATCH(EDATE($E138,AX$1-1),Raw_매출!$B$1:$BI$1,0))=0,"",INDEX(Raw_매출!$B$2:$BI$155,MATCH($A138,Raw_매출!$A$2:$A$155,0),MATCH(EDATE($E138,AX$1-1),Raw_매출!$B$1:$BI$1,0))/(INDEX(요약_월별시즈널리티!$F$7:$F$18,MONTH(EDATE($E138,AX$1-1)))/100))),"")</f>
        <v/>
      </c>
      <c r="AY138" t="str" cm="1">
        <f t="array" ref="AY138">IFERROR(IF($E138&lt;44348,"",IF(INDEX(Raw_매출!$B$2:$BI$155,MATCH($A138,Raw_매출!$A$2:$A$155,0),MATCH(EDATE($E138,AY$1-1),Raw_매출!$B$1:$BI$1,0))=0,"",INDEX(Raw_매출!$B$2:$BI$155,MATCH($A138,Raw_매출!$A$2:$A$155,0),MATCH(EDATE($E138,AY$1-1),Raw_매출!$B$1:$BI$1,0))/(INDEX(요약_월별시즈널리티!$F$7:$F$18,MONTH(EDATE($E138,AY$1-1)))/100))),"")</f>
        <v/>
      </c>
      <c r="AZ138" t="str" cm="1">
        <f t="array" ref="AZ138">IFERROR(IF($E138&lt;44348,"",IF(INDEX(Raw_매출!$B$2:$BI$155,MATCH($A138,Raw_매출!$A$2:$A$155,0),MATCH(EDATE($E138,AZ$1-1),Raw_매출!$B$1:$BI$1,0))=0,"",INDEX(Raw_매출!$B$2:$BI$155,MATCH($A138,Raw_매출!$A$2:$A$155,0),MATCH(EDATE($E138,AZ$1-1),Raw_매출!$B$1:$BI$1,0))/(INDEX(요약_월별시즈널리티!$F$7:$F$18,MONTH(EDATE($E138,AZ$1-1)))/100))),"")</f>
        <v/>
      </c>
      <c r="BA138" t="str" cm="1">
        <f t="array" ref="BA138">IFERROR(IF($E138&lt;44348,"",IF(INDEX(Raw_매출!$B$2:$BI$155,MATCH($A138,Raw_매출!$A$2:$A$155,0),MATCH(EDATE($E138,BA$1-1),Raw_매출!$B$1:$BI$1,0))=0,"",INDEX(Raw_매출!$B$2:$BI$155,MATCH($A138,Raw_매출!$A$2:$A$155,0),MATCH(EDATE($E138,BA$1-1),Raw_매출!$B$1:$BI$1,0))/(INDEX(요약_월별시즈널리티!$F$7:$F$18,MONTH(EDATE($E138,BA$1-1)))/100))),"")</f>
        <v/>
      </c>
      <c r="BB138" t="str" cm="1">
        <f t="array" ref="BB138">IFERROR(IF($E138&lt;44348,"",IF(INDEX(Raw_매출!$B$2:$BI$155,MATCH($A138,Raw_매출!$A$2:$A$155,0),MATCH(EDATE($E138,BB$1-1),Raw_매출!$B$1:$BI$1,0))=0,"",INDEX(Raw_매출!$B$2:$BI$155,MATCH($A138,Raw_매출!$A$2:$A$155,0),MATCH(EDATE($E138,BB$1-1),Raw_매출!$B$1:$BI$1,0))/(INDEX(요약_월별시즈널리티!$F$7:$F$18,MONTH(EDATE($E138,BB$1-1)))/100))),"")</f>
        <v/>
      </c>
      <c r="BC138" t="str" cm="1">
        <f t="array" ref="BC138">IFERROR(IF($E138&lt;44348,"",IF(INDEX(Raw_매출!$B$2:$BI$155,MATCH($A138,Raw_매출!$A$2:$A$155,0),MATCH(EDATE($E138,BC$1-1),Raw_매출!$B$1:$BI$1,0))=0,"",INDEX(Raw_매출!$B$2:$BI$155,MATCH($A138,Raw_매출!$A$2:$A$155,0),MATCH(EDATE($E138,BC$1-1),Raw_매출!$B$1:$BI$1,0))/(INDEX(요약_월별시즈널리티!$F$7:$F$18,MONTH(EDATE($E138,BC$1-1)))/100))),"")</f>
        <v/>
      </c>
      <c r="BD138" t="str" cm="1">
        <f t="array" ref="BD138">IFERROR(IF($E138&lt;44348,"",IF(INDEX(Raw_매출!$B$2:$BI$155,MATCH($A138,Raw_매출!$A$2:$A$155,0),MATCH(EDATE($E138,BD$1-1),Raw_매출!$B$1:$BI$1,0))=0,"",INDEX(Raw_매출!$B$2:$BI$155,MATCH($A138,Raw_매출!$A$2:$A$155,0),MATCH(EDATE($E138,BD$1-1),Raw_매출!$B$1:$BI$1,0))/(INDEX(요약_월별시즈널리티!$F$7:$F$18,MONTH(EDATE($E138,BD$1-1)))/100))),"")</f>
        <v/>
      </c>
      <c r="BE138" t="str" cm="1">
        <f t="array" ref="BE138">IFERROR(IF($E138&lt;44348,"",IF(INDEX(Raw_매출!$B$2:$BI$155,MATCH($A138,Raw_매출!$A$2:$A$155,0),MATCH(EDATE($E138,BE$1-1),Raw_매출!$B$1:$BI$1,0))=0,"",INDEX(Raw_매출!$B$2:$BI$155,MATCH($A138,Raw_매출!$A$2:$A$155,0),MATCH(EDATE($E138,BE$1-1),Raw_매출!$B$1:$BI$1,0))/(INDEX(요약_월별시즈널리티!$F$7:$F$18,MONTH(EDATE($E138,BE$1-1)))/100))),"")</f>
        <v/>
      </c>
      <c r="BF138" t="str" cm="1">
        <f t="array" ref="BF138">IFERROR(IF($E138&lt;44348,"",IF(INDEX(Raw_매출!$B$2:$BI$155,MATCH($A138,Raw_매출!$A$2:$A$155,0),MATCH(EDATE($E138,BF$1-1),Raw_매출!$B$1:$BI$1,0))=0,"",INDEX(Raw_매출!$B$2:$BI$155,MATCH($A138,Raw_매출!$A$2:$A$155,0),MATCH(EDATE($E138,BF$1-1),Raw_매출!$B$1:$BI$1,0))/(INDEX(요약_월별시즈널리티!$F$7:$F$18,MONTH(EDATE($E138,BF$1-1)))/100))),"")</f>
        <v/>
      </c>
      <c r="BG138" t="str" cm="1">
        <f t="array" ref="BG138">IFERROR(IF($E138&lt;44348,"",IF(INDEX(Raw_매출!$B$2:$BI$155,MATCH($A138,Raw_매출!$A$2:$A$155,0),MATCH(EDATE($E138,BG$1-1),Raw_매출!$B$1:$BI$1,0))=0,"",INDEX(Raw_매출!$B$2:$BI$155,MATCH($A138,Raw_매출!$A$2:$A$155,0),MATCH(EDATE($E138,BG$1-1),Raw_매출!$B$1:$BI$1,0))/(INDEX(요약_월별시즈널리티!$F$7:$F$18,MONTH(EDATE($E138,BG$1-1)))/100))),"")</f>
        <v/>
      </c>
      <c r="BH138" t="str" cm="1">
        <f t="array" ref="BH138">IFERROR(IF($E138&lt;44348,"",IF(INDEX(Raw_매출!$B$2:$BI$155,MATCH($A138,Raw_매출!$A$2:$A$155,0),MATCH(EDATE($E138,BH$1-1),Raw_매출!$B$1:$BI$1,0))=0,"",INDEX(Raw_매출!$B$2:$BI$155,MATCH($A138,Raw_매출!$A$2:$A$155,0),MATCH(EDATE($E138,BH$1-1),Raw_매출!$B$1:$BI$1,0))/(INDEX(요약_월별시즈널리티!$F$7:$F$18,MONTH(EDATE($E138,BH$1-1)))/100))),"")</f>
        <v/>
      </c>
      <c r="BI138" t="str" cm="1">
        <f t="array" ref="BI138">IFERROR(IF($E138&lt;44348,"",IF(INDEX(Raw_매출!$B$2:$BI$155,MATCH($A138,Raw_매출!$A$2:$A$155,0),MATCH(EDATE($E138,BI$1-1),Raw_매출!$B$1:$BI$1,0))=0,"",INDEX(Raw_매출!$B$2:$BI$155,MATCH($A138,Raw_매출!$A$2:$A$155,0),MATCH(EDATE($E138,BI$1-1),Raw_매출!$B$1:$BI$1,0))/(INDEX(요약_월별시즈널리티!$F$7:$F$18,MONTH(EDATE($E138,BI$1-1)))/100))),"")</f>
        <v/>
      </c>
      <c r="BJ138" t="str" cm="1">
        <f t="array" ref="BJ138">IFERROR(IF($E138&lt;44348,"",IF(INDEX(Raw_매출!$B$2:$BI$155,MATCH($A138,Raw_매출!$A$2:$A$155,0),MATCH(EDATE($E138,BJ$1-1),Raw_매출!$B$1:$BI$1,0))=0,"",INDEX(Raw_매출!$B$2:$BI$155,MATCH($A138,Raw_매출!$A$2:$A$155,0),MATCH(EDATE($E138,BJ$1-1),Raw_매출!$B$1:$BI$1,0))/(INDEX(요약_월별시즈널리티!$F$7:$F$18,MONTH(EDATE($E138,BJ$1-1)))/100))),"")</f>
        <v/>
      </c>
      <c r="BK138" t="str" cm="1">
        <f t="array" ref="BK138">IFERROR(IF($E138&lt;44348,"",IF(INDEX(Raw_매출!$B$2:$BI$155,MATCH($A138,Raw_매출!$A$2:$A$155,0),MATCH(EDATE($E138,BK$1-1),Raw_매출!$B$1:$BI$1,0))=0,"",INDEX(Raw_매출!$B$2:$BI$155,MATCH($A138,Raw_매출!$A$2:$A$155,0),MATCH(EDATE($E138,BK$1-1),Raw_매출!$B$1:$BI$1,0))/(INDEX(요약_월별시즈널리티!$F$7:$F$18,MONTH(EDATE($E138,BK$1-1)))/100))),"")</f>
        <v/>
      </c>
      <c r="BL138" t="str" cm="1">
        <f t="array" ref="BL138">IFERROR(IF($E138&lt;44348,"",IF(INDEX(Raw_매출!$B$2:$BI$155,MATCH($A138,Raw_매출!$A$2:$A$155,0),MATCH(EDATE($E138,BL$1-1),Raw_매출!$B$1:$BI$1,0))=0,"",INDEX(Raw_매출!$B$2:$BI$155,MATCH($A138,Raw_매출!$A$2:$A$155,0),MATCH(EDATE($E138,BL$1-1),Raw_매출!$B$1:$BI$1,0))/(INDEX(요약_월별시즈널리티!$F$7:$F$18,MONTH(EDATE($E138,BL$1-1)))/100))),"")</f>
        <v/>
      </c>
      <c r="BM138" t="str" cm="1">
        <f t="array" ref="BM138">IFERROR(IF($E138&lt;44348,"",IF(INDEX(Raw_매출!$B$2:$BI$155,MATCH($A138,Raw_매출!$A$2:$A$155,0),MATCH(EDATE($E138,BM$1-1),Raw_매출!$B$1:$BI$1,0))=0,"",INDEX(Raw_매출!$B$2:$BI$155,MATCH($A138,Raw_매출!$A$2:$A$155,0),MATCH(EDATE($E138,BM$1-1),Raw_매출!$B$1:$BI$1,0))/(INDEX(요약_월별시즈널리티!$F$7:$F$18,MONTH(EDATE($E138,BM$1-1)))/100))),"")</f>
        <v/>
      </c>
      <c r="BN138" t="str" cm="1">
        <f t="array" ref="BN138">IFERROR(IF($E138&lt;44348,"",IF(INDEX(Raw_매출!$B$2:$BI$155,MATCH($A138,Raw_매출!$A$2:$A$155,0),MATCH(EDATE($E138,BN$1-1),Raw_매출!$B$1:$BI$1,0))=0,"",INDEX(Raw_매출!$B$2:$BI$155,MATCH($A138,Raw_매출!$A$2:$A$155,0),MATCH(EDATE($E138,BN$1-1),Raw_매출!$B$1:$BI$1,0))/(INDEX(요약_월별시즈널리티!$F$7:$F$18,MONTH(EDATE($E138,BN$1-1)))/100))),"")</f>
        <v/>
      </c>
    </row>
    <row r="139" spans="1:66" x14ac:dyDescent="0.4">
      <c r="A139" t="str">
        <f>세팅!A140</f>
        <v>(1130) #배재대정문점</v>
      </c>
      <c r="B139" t="str">
        <f>세팅!B140</f>
        <v>150-1</v>
      </c>
      <c r="C139">
        <f t="shared" si="6"/>
        <v>1</v>
      </c>
      <c r="D139" t="str">
        <f t="shared" si="7"/>
        <v>1</v>
      </c>
      <c r="E139" s="1">
        <f>세팅!D140</f>
        <v>45931</v>
      </c>
      <c r="F139">
        <f t="shared" si="8"/>
        <v>5542663.2679008301</v>
      </c>
      <c r="G139" cm="1">
        <f t="array" ref="G139">IFERROR(IF($E139&lt;44348,"",IF(INDEX(Raw_매출!$B$2:$BI$155,MATCH($A139,Raw_매출!$A$2:$A$155,0),MATCH(EDATE($E139,G$1-1),Raw_매출!$B$1:$BI$1,0))=0,"",INDEX(Raw_매출!$B$2:$BI$155,MATCH($A139,Raw_매출!$A$2:$A$155,0),MATCH(EDATE($E139,G$1-1),Raw_매출!$B$1:$BI$1,0))/(INDEX(요약_월별시즈널리티!$F$7:$F$18,MONTH(EDATE($E139,G$1-1)))/100))),"")</f>
        <v>3821987.7029155507</v>
      </c>
      <c r="H139" cm="1">
        <f t="array" ref="H139">IFERROR(IF($E139&lt;44348,"",IF(INDEX(Raw_매출!$B$2:$BI$155,MATCH($A139,Raw_매출!$A$2:$A$155,0),MATCH(EDATE($E139,H$1-1),Raw_매출!$B$1:$BI$1,0))=0,"",INDEX(Raw_매출!$B$2:$BI$155,MATCH($A139,Raw_매출!$A$2:$A$155,0),MATCH(EDATE($E139,H$1-1),Raw_매출!$B$1:$BI$1,0))/(INDEX(요약_월별시즈널리티!$F$7:$F$18,MONTH(EDATE($E139,H$1-1)))/100))),"")</f>
        <v>4237309.9785624286</v>
      </c>
      <c r="I139" cm="1">
        <f t="array" ref="I139">IFERROR(IF($E139&lt;44348,"",IF(INDEX(Raw_매출!$B$2:$BI$155,MATCH($A139,Raw_매출!$A$2:$A$155,0),MATCH(EDATE($E139,I$1-1),Raw_매출!$B$1:$BI$1,0))=0,"",INDEX(Raw_매출!$B$2:$BI$155,MATCH($A139,Raw_매출!$A$2:$A$155,0),MATCH(EDATE($E139,I$1-1),Raw_매출!$B$1:$BI$1,0))/(INDEX(요약_월별시즈널리티!$F$7:$F$18,MONTH(EDATE($E139,I$1-1)))/100))),"")</f>
        <v>4429534.9141974086</v>
      </c>
      <c r="J139" s="30" cm="1">
        <f t="array" ref="J139">IFERROR(IF($E139&lt;44348,"",IF(INDEX(Raw_매출!$B$2:$BI$155,MATCH($A139,Raw_매출!$A$2:$A$155,0),MATCH(EDATE($E139,J$1-1),Raw_매출!$B$1:$BI$1,0))=0,"",INDEX(Raw_매출!$B$2:$BI$155,MATCH($A139,Raw_매출!$A$2:$A$155,0),MATCH(EDATE($E139,J$1-1),Raw_매출!$B$1:$BI$1,0))/(INDEX(요약_월별시즈널리티!$F$7:$F$18,MONTH(EDATE($E139,J$1-1)))/100))),"")</f>
        <v>4743331.8451001197</v>
      </c>
      <c r="K139" s="30" cm="1">
        <f t="array" ref="K139">IFERROR(IF($E139&lt;44348,"",IF(INDEX(Raw_매출!$B$2:$BI$155,MATCH($A139,Raw_매출!$A$2:$A$155,0),MATCH(EDATE($E139,K$1-1),Raw_매출!$B$1:$BI$1,0))=0,"",INDEX(Raw_매출!$B$2:$BI$155,MATCH($A139,Raw_매출!$A$2:$A$155,0),MATCH(EDATE($E139,K$1-1),Raw_매출!$B$1:$BI$1,0))/(INDEX(요약_월별시즈널리티!$F$7:$F$18,MONTH(EDATE($E139,K$1-1)))/100))),"")</f>
        <v>6180599.6278428156</v>
      </c>
      <c r="L139" s="30" cm="1">
        <f t="array" ref="L139">IFERROR(IF($E139&lt;44348,"",IF(INDEX(Raw_매출!$B$2:$BI$155,MATCH($A139,Raw_매출!$A$2:$A$155,0),MATCH(EDATE($E139,L$1-1),Raw_매출!$B$1:$BI$1,0))=0,"",INDEX(Raw_매출!$B$2:$BI$155,MATCH($A139,Raw_매출!$A$2:$A$155,0),MATCH(EDATE($E139,L$1-1),Raw_매출!$B$1:$BI$1,0))/(INDEX(요약_월별시즈널리티!$F$7:$F$18,MONTH(EDATE($E139,L$1-1)))/100))),"")</f>
        <v>6057335.6460349299</v>
      </c>
      <c r="M139" s="30" cm="1">
        <f t="array" ref="M139">IFERROR(IF($E139&lt;44348,"",IF(INDEX(Raw_매출!$B$2:$BI$155,MATCH($A139,Raw_매출!$A$2:$A$155,0),MATCH(EDATE($E139,M$1-1),Raw_매출!$B$1:$BI$1,0))=0,"",INDEX(Raw_매출!$B$2:$BI$155,MATCH($A139,Raw_매출!$A$2:$A$155,0),MATCH(EDATE($E139,M$1-1),Raw_매출!$B$1:$BI$1,0))/(INDEX(요약_월별시즈널리티!$F$7:$F$18,MONTH(EDATE($E139,M$1-1)))/100))),"")</f>
        <v>5550937.5371807339</v>
      </c>
      <c r="N139" s="30" cm="1">
        <f t="array" ref="N139">IFERROR(IF($E139&lt;44348,"",IF(INDEX(Raw_매출!$B$2:$BI$155,MATCH($A139,Raw_매출!$A$2:$A$155,0),MATCH(EDATE($E139,N$1-1),Raw_매출!$B$1:$BI$1,0))=0,"",INDEX(Raw_매출!$B$2:$BI$155,MATCH($A139,Raw_매출!$A$2:$A$155,0),MATCH(EDATE($E139,N$1-1),Raw_매출!$B$1:$BI$1,0))/(INDEX(요약_월별시즈널리티!$F$7:$F$18,MONTH(EDATE($E139,N$1-1)))/100))),"")</f>
        <v>5181111.6833455507</v>
      </c>
      <c r="O139" s="30" t="str" cm="1">
        <f t="array" ref="O139">IFERROR(IF($E139&lt;44348,"",IF(INDEX(Raw_매출!$B$2:$BI$155,MATCH($A139,Raw_매출!$A$2:$A$155,0),MATCH(EDATE($E139,O$1-1),Raw_매출!$B$1:$BI$1,0))=0,"",INDEX(Raw_매출!$B$2:$BI$155,MATCH($A139,Raw_매출!$A$2:$A$155,0),MATCH(EDATE($E139,O$1-1),Raw_매출!$B$1:$BI$1,0))/(INDEX(요약_월별시즈널리티!$F$7:$F$18,MONTH(EDATE($E139,O$1-1)))/100))),"")</f>
        <v/>
      </c>
      <c r="P139" t="str" cm="1">
        <f t="array" ref="P139">IFERROR(IF($E139&lt;44348,"",IF(INDEX(Raw_매출!$B$2:$BI$155,MATCH($A139,Raw_매출!$A$2:$A$155,0),MATCH(EDATE($E139,P$1-1),Raw_매출!$B$1:$BI$1,0))=0,"",INDEX(Raw_매출!$B$2:$BI$155,MATCH($A139,Raw_매출!$A$2:$A$155,0),MATCH(EDATE($E139,P$1-1),Raw_매출!$B$1:$BI$1,0))/(INDEX(요약_월별시즈널리티!$F$7:$F$18,MONTH(EDATE($E139,P$1-1)))/100))),"")</f>
        <v/>
      </c>
      <c r="Q139" t="str" cm="1">
        <f t="array" ref="Q139">IFERROR(IF($E139&lt;44348,"",IF(INDEX(Raw_매출!$B$2:$BI$155,MATCH($A139,Raw_매출!$A$2:$A$155,0),MATCH(EDATE($E139,Q$1-1),Raw_매출!$B$1:$BI$1,0))=0,"",INDEX(Raw_매출!$B$2:$BI$155,MATCH($A139,Raw_매출!$A$2:$A$155,0),MATCH(EDATE($E139,Q$1-1),Raw_매출!$B$1:$BI$1,0))/(INDEX(요약_월별시즈널리티!$F$7:$F$18,MONTH(EDATE($E139,Q$1-1)))/100))),"")</f>
        <v/>
      </c>
      <c r="R139" t="str" cm="1">
        <f t="array" ref="R139">IFERROR(IF($E139&lt;44348,"",IF(INDEX(Raw_매출!$B$2:$BI$155,MATCH($A139,Raw_매출!$A$2:$A$155,0),MATCH(EDATE($E139,R$1-1),Raw_매출!$B$1:$BI$1,0))=0,"",INDEX(Raw_매출!$B$2:$BI$155,MATCH($A139,Raw_매출!$A$2:$A$155,0),MATCH(EDATE($E139,R$1-1),Raw_매출!$B$1:$BI$1,0))/(INDEX(요약_월별시즈널리티!$F$7:$F$18,MONTH(EDATE($E139,R$1-1)))/100))),"")</f>
        <v/>
      </c>
      <c r="S139" t="str" cm="1">
        <f t="array" ref="S139">IFERROR(IF($E139&lt;44348,"",IF(INDEX(Raw_매출!$B$2:$BI$155,MATCH($A139,Raw_매출!$A$2:$A$155,0),MATCH(EDATE($E139,S$1-1),Raw_매출!$B$1:$BI$1,0))=0,"",INDEX(Raw_매출!$B$2:$BI$155,MATCH($A139,Raw_매출!$A$2:$A$155,0),MATCH(EDATE($E139,S$1-1),Raw_매출!$B$1:$BI$1,0))/(INDEX(요약_월별시즈널리티!$F$7:$F$18,MONTH(EDATE($E139,S$1-1)))/100))),"")</f>
        <v/>
      </c>
      <c r="T139" t="str" cm="1">
        <f t="array" ref="T139">IFERROR(IF($E139&lt;44348,"",IF(INDEX(Raw_매출!$B$2:$BI$155,MATCH($A139,Raw_매출!$A$2:$A$155,0),MATCH(EDATE($E139,T$1-1),Raw_매출!$B$1:$BI$1,0))=0,"",INDEX(Raw_매출!$B$2:$BI$155,MATCH($A139,Raw_매출!$A$2:$A$155,0),MATCH(EDATE($E139,T$1-1),Raw_매출!$B$1:$BI$1,0))/(INDEX(요약_월별시즈널리티!$F$7:$F$18,MONTH(EDATE($E139,T$1-1)))/100))),"")</f>
        <v/>
      </c>
      <c r="U139" t="str" cm="1">
        <f t="array" ref="U139">IFERROR(IF($E139&lt;44348,"",IF(INDEX(Raw_매출!$B$2:$BI$155,MATCH($A139,Raw_매출!$A$2:$A$155,0),MATCH(EDATE($E139,U$1-1),Raw_매출!$B$1:$BI$1,0))=0,"",INDEX(Raw_매출!$B$2:$BI$155,MATCH($A139,Raw_매출!$A$2:$A$155,0),MATCH(EDATE($E139,U$1-1),Raw_매출!$B$1:$BI$1,0))/(INDEX(요약_월별시즈널리티!$F$7:$F$18,MONTH(EDATE($E139,U$1-1)))/100))),"")</f>
        <v/>
      </c>
      <c r="V139" t="str" cm="1">
        <f t="array" ref="V139">IFERROR(IF($E139&lt;44348,"",IF(INDEX(Raw_매출!$B$2:$BI$155,MATCH($A139,Raw_매출!$A$2:$A$155,0),MATCH(EDATE($E139,V$1-1),Raw_매출!$B$1:$BI$1,0))=0,"",INDEX(Raw_매출!$B$2:$BI$155,MATCH($A139,Raw_매출!$A$2:$A$155,0),MATCH(EDATE($E139,V$1-1),Raw_매출!$B$1:$BI$1,0))/(INDEX(요약_월별시즈널리티!$F$7:$F$18,MONTH(EDATE($E139,V$1-1)))/100))),"")</f>
        <v/>
      </c>
      <c r="W139" t="str" cm="1">
        <f t="array" ref="W139">IFERROR(IF($E139&lt;44348,"",IF(INDEX(Raw_매출!$B$2:$BI$155,MATCH($A139,Raw_매출!$A$2:$A$155,0),MATCH(EDATE($E139,W$1-1),Raw_매출!$B$1:$BI$1,0))=0,"",INDEX(Raw_매출!$B$2:$BI$155,MATCH($A139,Raw_매출!$A$2:$A$155,0),MATCH(EDATE($E139,W$1-1),Raw_매출!$B$1:$BI$1,0))/(INDEX(요약_월별시즈널리티!$F$7:$F$18,MONTH(EDATE($E139,W$1-1)))/100))),"")</f>
        <v/>
      </c>
      <c r="X139" t="str" cm="1">
        <f t="array" ref="X139">IFERROR(IF($E139&lt;44348,"",IF(INDEX(Raw_매출!$B$2:$BI$155,MATCH($A139,Raw_매출!$A$2:$A$155,0),MATCH(EDATE($E139,X$1-1),Raw_매출!$B$1:$BI$1,0))=0,"",INDEX(Raw_매출!$B$2:$BI$155,MATCH($A139,Raw_매출!$A$2:$A$155,0),MATCH(EDATE($E139,X$1-1),Raw_매출!$B$1:$BI$1,0))/(INDEX(요약_월별시즈널리티!$F$7:$F$18,MONTH(EDATE($E139,X$1-1)))/100))),"")</f>
        <v/>
      </c>
      <c r="Y139" t="str" cm="1">
        <f t="array" ref="Y139">IFERROR(IF($E139&lt;44348,"",IF(INDEX(Raw_매출!$B$2:$BI$155,MATCH($A139,Raw_매출!$A$2:$A$155,0),MATCH(EDATE($E139,Y$1-1),Raw_매출!$B$1:$BI$1,0))=0,"",INDEX(Raw_매출!$B$2:$BI$155,MATCH($A139,Raw_매출!$A$2:$A$155,0),MATCH(EDATE($E139,Y$1-1),Raw_매출!$B$1:$BI$1,0))/(INDEX(요약_월별시즈널리티!$F$7:$F$18,MONTH(EDATE($E139,Y$1-1)))/100))),"")</f>
        <v/>
      </c>
      <c r="Z139" t="str" cm="1">
        <f t="array" ref="Z139">IFERROR(IF($E139&lt;44348,"",IF(INDEX(Raw_매출!$B$2:$BI$155,MATCH($A139,Raw_매출!$A$2:$A$155,0),MATCH(EDATE($E139,Z$1-1),Raw_매출!$B$1:$BI$1,0))=0,"",INDEX(Raw_매출!$B$2:$BI$155,MATCH($A139,Raw_매출!$A$2:$A$155,0),MATCH(EDATE($E139,Z$1-1),Raw_매출!$B$1:$BI$1,0))/(INDEX(요약_월별시즈널리티!$F$7:$F$18,MONTH(EDATE($E139,Z$1-1)))/100))),"")</f>
        <v/>
      </c>
      <c r="AA139" t="str" cm="1">
        <f t="array" ref="AA139">IFERROR(IF($E139&lt;44348,"",IF(INDEX(Raw_매출!$B$2:$BI$155,MATCH($A139,Raw_매출!$A$2:$A$155,0),MATCH(EDATE($E139,AA$1-1),Raw_매출!$B$1:$BI$1,0))=0,"",INDEX(Raw_매출!$B$2:$BI$155,MATCH($A139,Raw_매출!$A$2:$A$155,0),MATCH(EDATE($E139,AA$1-1),Raw_매출!$B$1:$BI$1,0))/(INDEX(요약_월별시즈널리티!$F$7:$F$18,MONTH(EDATE($E139,AA$1-1)))/100))),"")</f>
        <v/>
      </c>
      <c r="AB139" t="str" cm="1">
        <f t="array" ref="AB139">IFERROR(IF($E139&lt;44348,"",IF(INDEX(Raw_매출!$B$2:$BI$155,MATCH($A139,Raw_매출!$A$2:$A$155,0),MATCH(EDATE($E139,AB$1-1),Raw_매출!$B$1:$BI$1,0))=0,"",INDEX(Raw_매출!$B$2:$BI$155,MATCH($A139,Raw_매출!$A$2:$A$155,0),MATCH(EDATE($E139,AB$1-1),Raw_매출!$B$1:$BI$1,0))/(INDEX(요약_월별시즈널리티!$F$7:$F$18,MONTH(EDATE($E139,AB$1-1)))/100))),"")</f>
        <v/>
      </c>
      <c r="AC139" t="str" cm="1">
        <f t="array" ref="AC139">IFERROR(IF($E139&lt;44348,"",IF(INDEX(Raw_매출!$B$2:$BI$155,MATCH($A139,Raw_매출!$A$2:$A$155,0),MATCH(EDATE($E139,AC$1-1),Raw_매출!$B$1:$BI$1,0))=0,"",INDEX(Raw_매출!$B$2:$BI$155,MATCH($A139,Raw_매출!$A$2:$A$155,0),MATCH(EDATE($E139,AC$1-1),Raw_매출!$B$1:$BI$1,0))/(INDEX(요약_월별시즈널리티!$F$7:$F$18,MONTH(EDATE($E139,AC$1-1)))/100))),"")</f>
        <v/>
      </c>
      <c r="AD139" t="str" cm="1">
        <f t="array" ref="AD139">IFERROR(IF($E139&lt;44348,"",IF(INDEX(Raw_매출!$B$2:$BI$155,MATCH($A139,Raw_매출!$A$2:$A$155,0),MATCH(EDATE($E139,AD$1-1),Raw_매출!$B$1:$BI$1,0))=0,"",INDEX(Raw_매출!$B$2:$BI$155,MATCH($A139,Raw_매출!$A$2:$A$155,0),MATCH(EDATE($E139,AD$1-1),Raw_매출!$B$1:$BI$1,0))/(INDEX(요약_월별시즈널리티!$F$7:$F$18,MONTH(EDATE($E139,AD$1-1)))/100))),"")</f>
        <v/>
      </c>
      <c r="AE139" t="str" cm="1">
        <f t="array" ref="AE139">IFERROR(IF($E139&lt;44348,"",IF(INDEX(Raw_매출!$B$2:$BI$155,MATCH($A139,Raw_매출!$A$2:$A$155,0),MATCH(EDATE($E139,AE$1-1),Raw_매출!$B$1:$BI$1,0))=0,"",INDEX(Raw_매출!$B$2:$BI$155,MATCH($A139,Raw_매출!$A$2:$A$155,0),MATCH(EDATE($E139,AE$1-1),Raw_매출!$B$1:$BI$1,0))/(INDEX(요약_월별시즈널리티!$F$7:$F$18,MONTH(EDATE($E139,AE$1-1)))/100))),"")</f>
        <v/>
      </c>
      <c r="AF139" t="str" cm="1">
        <f t="array" ref="AF139">IFERROR(IF($E139&lt;44348,"",IF(INDEX(Raw_매출!$B$2:$BI$155,MATCH($A139,Raw_매출!$A$2:$A$155,0),MATCH(EDATE($E139,AF$1-1),Raw_매출!$B$1:$BI$1,0))=0,"",INDEX(Raw_매출!$B$2:$BI$155,MATCH($A139,Raw_매출!$A$2:$A$155,0),MATCH(EDATE($E139,AF$1-1),Raw_매출!$B$1:$BI$1,0))/(INDEX(요약_월별시즈널리티!$F$7:$F$18,MONTH(EDATE($E139,AF$1-1)))/100))),"")</f>
        <v/>
      </c>
      <c r="AG139" t="str" cm="1">
        <f t="array" ref="AG139">IFERROR(IF($E139&lt;44348,"",IF(INDEX(Raw_매출!$B$2:$BI$155,MATCH($A139,Raw_매출!$A$2:$A$155,0),MATCH(EDATE($E139,AG$1-1),Raw_매출!$B$1:$BI$1,0))=0,"",INDEX(Raw_매출!$B$2:$BI$155,MATCH($A139,Raw_매출!$A$2:$A$155,0),MATCH(EDATE($E139,AG$1-1),Raw_매출!$B$1:$BI$1,0))/(INDEX(요약_월별시즈널리티!$F$7:$F$18,MONTH(EDATE($E139,AG$1-1)))/100))),"")</f>
        <v/>
      </c>
      <c r="AH139" t="str" cm="1">
        <f t="array" ref="AH139">IFERROR(IF($E139&lt;44348,"",IF(INDEX(Raw_매출!$B$2:$BI$155,MATCH($A139,Raw_매출!$A$2:$A$155,0),MATCH(EDATE($E139,AH$1-1),Raw_매출!$B$1:$BI$1,0))=0,"",INDEX(Raw_매출!$B$2:$BI$155,MATCH($A139,Raw_매출!$A$2:$A$155,0),MATCH(EDATE($E139,AH$1-1),Raw_매출!$B$1:$BI$1,0))/(INDEX(요약_월별시즈널리티!$F$7:$F$18,MONTH(EDATE($E139,AH$1-1)))/100))),"")</f>
        <v/>
      </c>
      <c r="AI139" t="str" cm="1">
        <f t="array" ref="AI139">IFERROR(IF($E139&lt;44348,"",IF(INDEX(Raw_매출!$B$2:$BI$155,MATCH($A139,Raw_매출!$A$2:$A$155,0),MATCH(EDATE($E139,AI$1-1),Raw_매출!$B$1:$BI$1,0))=0,"",INDEX(Raw_매출!$B$2:$BI$155,MATCH($A139,Raw_매출!$A$2:$A$155,0),MATCH(EDATE($E139,AI$1-1),Raw_매출!$B$1:$BI$1,0))/(INDEX(요약_월별시즈널리티!$F$7:$F$18,MONTH(EDATE($E139,AI$1-1)))/100))),"")</f>
        <v/>
      </c>
      <c r="AJ139" t="str" cm="1">
        <f t="array" ref="AJ139">IFERROR(IF($E139&lt;44348,"",IF(INDEX(Raw_매출!$B$2:$BI$155,MATCH($A139,Raw_매출!$A$2:$A$155,0),MATCH(EDATE($E139,AJ$1-1),Raw_매출!$B$1:$BI$1,0))=0,"",INDEX(Raw_매출!$B$2:$BI$155,MATCH($A139,Raw_매출!$A$2:$A$155,0),MATCH(EDATE($E139,AJ$1-1),Raw_매출!$B$1:$BI$1,0))/(INDEX(요약_월별시즈널리티!$F$7:$F$18,MONTH(EDATE($E139,AJ$1-1)))/100))),"")</f>
        <v/>
      </c>
      <c r="AK139" t="str" cm="1">
        <f t="array" ref="AK139">IFERROR(IF($E139&lt;44348,"",IF(INDEX(Raw_매출!$B$2:$BI$155,MATCH($A139,Raw_매출!$A$2:$A$155,0),MATCH(EDATE($E139,AK$1-1),Raw_매출!$B$1:$BI$1,0))=0,"",INDEX(Raw_매출!$B$2:$BI$155,MATCH($A139,Raw_매출!$A$2:$A$155,0),MATCH(EDATE($E139,AK$1-1),Raw_매출!$B$1:$BI$1,0))/(INDEX(요약_월별시즈널리티!$F$7:$F$18,MONTH(EDATE($E139,AK$1-1)))/100))),"")</f>
        <v/>
      </c>
      <c r="AL139" t="str" cm="1">
        <f t="array" ref="AL139">IFERROR(IF($E139&lt;44348,"",IF(INDEX(Raw_매출!$B$2:$BI$155,MATCH($A139,Raw_매출!$A$2:$A$155,0),MATCH(EDATE($E139,AL$1-1),Raw_매출!$B$1:$BI$1,0))=0,"",INDEX(Raw_매출!$B$2:$BI$155,MATCH($A139,Raw_매출!$A$2:$A$155,0),MATCH(EDATE($E139,AL$1-1),Raw_매출!$B$1:$BI$1,0))/(INDEX(요약_월별시즈널리티!$F$7:$F$18,MONTH(EDATE($E139,AL$1-1)))/100))),"")</f>
        <v/>
      </c>
      <c r="AM139" t="str" cm="1">
        <f t="array" ref="AM139">IFERROR(IF($E139&lt;44348,"",IF(INDEX(Raw_매출!$B$2:$BI$155,MATCH($A139,Raw_매출!$A$2:$A$155,0),MATCH(EDATE($E139,AM$1-1),Raw_매출!$B$1:$BI$1,0))=0,"",INDEX(Raw_매출!$B$2:$BI$155,MATCH($A139,Raw_매출!$A$2:$A$155,0),MATCH(EDATE($E139,AM$1-1),Raw_매출!$B$1:$BI$1,0))/(INDEX(요약_월별시즈널리티!$F$7:$F$18,MONTH(EDATE($E139,AM$1-1)))/100))),"")</f>
        <v/>
      </c>
      <c r="AN139" t="str" cm="1">
        <f t="array" ref="AN139">IFERROR(IF($E139&lt;44348,"",IF(INDEX(Raw_매출!$B$2:$BI$155,MATCH($A139,Raw_매출!$A$2:$A$155,0),MATCH(EDATE($E139,AN$1-1),Raw_매출!$B$1:$BI$1,0))=0,"",INDEX(Raw_매출!$B$2:$BI$155,MATCH($A139,Raw_매출!$A$2:$A$155,0),MATCH(EDATE($E139,AN$1-1),Raw_매출!$B$1:$BI$1,0))/(INDEX(요약_월별시즈널리티!$F$7:$F$18,MONTH(EDATE($E139,AN$1-1)))/100))),"")</f>
        <v/>
      </c>
      <c r="AO139" t="str" cm="1">
        <f t="array" ref="AO139">IFERROR(IF($E139&lt;44348,"",IF(INDEX(Raw_매출!$B$2:$BI$155,MATCH($A139,Raw_매출!$A$2:$A$155,0),MATCH(EDATE($E139,AO$1-1),Raw_매출!$B$1:$BI$1,0))=0,"",INDEX(Raw_매출!$B$2:$BI$155,MATCH($A139,Raw_매출!$A$2:$A$155,0),MATCH(EDATE($E139,AO$1-1),Raw_매출!$B$1:$BI$1,0))/(INDEX(요약_월별시즈널리티!$F$7:$F$18,MONTH(EDATE($E139,AO$1-1)))/100))),"")</f>
        <v/>
      </c>
      <c r="AP139" t="str" cm="1">
        <f t="array" ref="AP139">IFERROR(IF($E139&lt;44348,"",IF(INDEX(Raw_매출!$B$2:$BI$155,MATCH($A139,Raw_매출!$A$2:$A$155,0),MATCH(EDATE($E139,AP$1-1),Raw_매출!$B$1:$BI$1,0))=0,"",INDEX(Raw_매출!$B$2:$BI$155,MATCH($A139,Raw_매출!$A$2:$A$155,0),MATCH(EDATE($E139,AP$1-1),Raw_매출!$B$1:$BI$1,0))/(INDEX(요약_월별시즈널리티!$F$7:$F$18,MONTH(EDATE($E139,AP$1-1)))/100))),"")</f>
        <v/>
      </c>
      <c r="AQ139" t="str" cm="1">
        <f t="array" ref="AQ139">IFERROR(IF($E139&lt;44348,"",IF(INDEX(Raw_매출!$B$2:$BI$155,MATCH($A139,Raw_매출!$A$2:$A$155,0),MATCH(EDATE($E139,AQ$1-1),Raw_매출!$B$1:$BI$1,0))=0,"",INDEX(Raw_매출!$B$2:$BI$155,MATCH($A139,Raw_매출!$A$2:$A$155,0),MATCH(EDATE($E139,AQ$1-1),Raw_매출!$B$1:$BI$1,0))/(INDEX(요약_월별시즈널리티!$F$7:$F$18,MONTH(EDATE($E139,AQ$1-1)))/100))),"")</f>
        <v/>
      </c>
      <c r="AR139" t="str" cm="1">
        <f t="array" ref="AR139">IFERROR(IF($E139&lt;44348,"",IF(INDEX(Raw_매출!$B$2:$BI$155,MATCH($A139,Raw_매출!$A$2:$A$155,0),MATCH(EDATE($E139,AR$1-1),Raw_매출!$B$1:$BI$1,0))=0,"",INDEX(Raw_매출!$B$2:$BI$155,MATCH($A139,Raw_매출!$A$2:$A$155,0),MATCH(EDATE($E139,AR$1-1),Raw_매출!$B$1:$BI$1,0))/(INDEX(요약_월별시즈널리티!$F$7:$F$18,MONTH(EDATE($E139,AR$1-1)))/100))),"")</f>
        <v/>
      </c>
      <c r="AS139" t="str" cm="1">
        <f t="array" ref="AS139">IFERROR(IF($E139&lt;44348,"",IF(INDEX(Raw_매출!$B$2:$BI$155,MATCH($A139,Raw_매출!$A$2:$A$155,0),MATCH(EDATE($E139,AS$1-1),Raw_매출!$B$1:$BI$1,0))=0,"",INDEX(Raw_매출!$B$2:$BI$155,MATCH($A139,Raw_매출!$A$2:$A$155,0),MATCH(EDATE($E139,AS$1-1),Raw_매출!$B$1:$BI$1,0))/(INDEX(요약_월별시즈널리티!$F$7:$F$18,MONTH(EDATE($E139,AS$1-1)))/100))),"")</f>
        <v/>
      </c>
      <c r="AT139" t="str" cm="1">
        <f t="array" ref="AT139">IFERROR(IF($E139&lt;44348,"",IF(INDEX(Raw_매출!$B$2:$BI$155,MATCH($A139,Raw_매출!$A$2:$A$155,0),MATCH(EDATE($E139,AT$1-1),Raw_매출!$B$1:$BI$1,0))=0,"",INDEX(Raw_매출!$B$2:$BI$155,MATCH($A139,Raw_매출!$A$2:$A$155,0),MATCH(EDATE($E139,AT$1-1),Raw_매출!$B$1:$BI$1,0))/(INDEX(요약_월별시즈널리티!$F$7:$F$18,MONTH(EDATE($E139,AT$1-1)))/100))),"")</f>
        <v/>
      </c>
      <c r="AU139" t="str" cm="1">
        <f t="array" ref="AU139">IFERROR(IF($E139&lt;44348,"",IF(INDEX(Raw_매출!$B$2:$BI$155,MATCH($A139,Raw_매출!$A$2:$A$155,0),MATCH(EDATE($E139,AU$1-1),Raw_매출!$B$1:$BI$1,0))=0,"",INDEX(Raw_매출!$B$2:$BI$155,MATCH($A139,Raw_매출!$A$2:$A$155,0),MATCH(EDATE($E139,AU$1-1),Raw_매출!$B$1:$BI$1,0))/(INDEX(요약_월별시즈널리티!$F$7:$F$18,MONTH(EDATE($E139,AU$1-1)))/100))),"")</f>
        <v/>
      </c>
      <c r="AV139" t="str" cm="1">
        <f t="array" ref="AV139">IFERROR(IF($E139&lt;44348,"",IF(INDEX(Raw_매출!$B$2:$BI$155,MATCH($A139,Raw_매출!$A$2:$A$155,0),MATCH(EDATE($E139,AV$1-1),Raw_매출!$B$1:$BI$1,0))=0,"",INDEX(Raw_매출!$B$2:$BI$155,MATCH($A139,Raw_매출!$A$2:$A$155,0),MATCH(EDATE($E139,AV$1-1),Raw_매출!$B$1:$BI$1,0))/(INDEX(요약_월별시즈널리티!$F$7:$F$18,MONTH(EDATE($E139,AV$1-1)))/100))),"")</f>
        <v/>
      </c>
      <c r="AW139" t="str" cm="1">
        <f t="array" ref="AW139">IFERROR(IF($E139&lt;44348,"",IF(INDEX(Raw_매출!$B$2:$BI$155,MATCH($A139,Raw_매출!$A$2:$A$155,0),MATCH(EDATE($E139,AW$1-1),Raw_매출!$B$1:$BI$1,0))=0,"",INDEX(Raw_매출!$B$2:$BI$155,MATCH($A139,Raw_매출!$A$2:$A$155,0),MATCH(EDATE($E139,AW$1-1),Raw_매출!$B$1:$BI$1,0))/(INDEX(요약_월별시즈널리티!$F$7:$F$18,MONTH(EDATE($E139,AW$1-1)))/100))),"")</f>
        <v/>
      </c>
      <c r="AX139" t="str" cm="1">
        <f t="array" ref="AX139">IFERROR(IF($E139&lt;44348,"",IF(INDEX(Raw_매출!$B$2:$BI$155,MATCH($A139,Raw_매출!$A$2:$A$155,0),MATCH(EDATE($E139,AX$1-1),Raw_매출!$B$1:$BI$1,0))=0,"",INDEX(Raw_매출!$B$2:$BI$155,MATCH($A139,Raw_매출!$A$2:$A$155,0),MATCH(EDATE($E139,AX$1-1),Raw_매출!$B$1:$BI$1,0))/(INDEX(요약_월별시즈널리티!$F$7:$F$18,MONTH(EDATE($E139,AX$1-1)))/100))),"")</f>
        <v/>
      </c>
      <c r="AY139" t="str" cm="1">
        <f t="array" ref="AY139">IFERROR(IF($E139&lt;44348,"",IF(INDEX(Raw_매출!$B$2:$BI$155,MATCH($A139,Raw_매출!$A$2:$A$155,0),MATCH(EDATE($E139,AY$1-1),Raw_매출!$B$1:$BI$1,0))=0,"",INDEX(Raw_매출!$B$2:$BI$155,MATCH($A139,Raw_매출!$A$2:$A$155,0),MATCH(EDATE($E139,AY$1-1),Raw_매출!$B$1:$BI$1,0))/(INDEX(요약_월별시즈널리티!$F$7:$F$18,MONTH(EDATE($E139,AY$1-1)))/100))),"")</f>
        <v/>
      </c>
      <c r="AZ139" t="str" cm="1">
        <f t="array" ref="AZ139">IFERROR(IF($E139&lt;44348,"",IF(INDEX(Raw_매출!$B$2:$BI$155,MATCH($A139,Raw_매출!$A$2:$A$155,0),MATCH(EDATE($E139,AZ$1-1),Raw_매출!$B$1:$BI$1,0))=0,"",INDEX(Raw_매출!$B$2:$BI$155,MATCH($A139,Raw_매출!$A$2:$A$155,0),MATCH(EDATE($E139,AZ$1-1),Raw_매출!$B$1:$BI$1,0))/(INDEX(요약_월별시즈널리티!$F$7:$F$18,MONTH(EDATE($E139,AZ$1-1)))/100))),"")</f>
        <v/>
      </c>
      <c r="BA139" t="str" cm="1">
        <f t="array" ref="BA139">IFERROR(IF($E139&lt;44348,"",IF(INDEX(Raw_매출!$B$2:$BI$155,MATCH($A139,Raw_매출!$A$2:$A$155,0),MATCH(EDATE($E139,BA$1-1),Raw_매출!$B$1:$BI$1,0))=0,"",INDEX(Raw_매출!$B$2:$BI$155,MATCH($A139,Raw_매출!$A$2:$A$155,0),MATCH(EDATE($E139,BA$1-1),Raw_매출!$B$1:$BI$1,0))/(INDEX(요약_월별시즈널리티!$F$7:$F$18,MONTH(EDATE($E139,BA$1-1)))/100))),"")</f>
        <v/>
      </c>
      <c r="BB139" t="str" cm="1">
        <f t="array" ref="BB139">IFERROR(IF($E139&lt;44348,"",IF(INDEX(Raw_매출!$B$2:$BI$155,MATCH($A139,Raw_매출!$A$2:$A$155,0),MATCH(EDATE($E139,BB$1-1),Raw_매출!$B$1:$BI$1,0))=0,"",INDEX(Raw_매출!$B$2:$BI$155,MATCH($A139,Raw_매출!$A$2:$A$155,0),MATCH(EDATE($E139,BB$1-1),Raw_매출!$B$1:$BI$1,0))/(INDEX(요약_월별시즈널리티!$F$7:$F$18,MONTH(EDATE($E139,BB$1-1)))/100))),"")</f>
        <v/>
      </c>
      <c r="BC139" t="str" cm="1">
        <f t="array" ref="BC139">IFERROR(IF($E139&lt;44348,"",IF(INDEX(Raw_매출!$B$2:$BI$155,MATCH($A139,Raw_매출!$A$2:$A$155,0),MATCH(EDATE($E139,BC$1-1),Raw_매출!$B$1:$BI$1,0))=0,"",INDEX(Raw_매출!$B$2:$BI$155,MATCH($A139,Raw_매출!$A$2:$A$155,0),MATCH(EDATE($E139,BC$1-1),Raw_매출!$B$1:$BI$1,0))/(INDEX(요약_월별시즈널리티!$F$7:$F$18,MONTH(EDATE($E139,BC$1-1)))/100))),"")</f>
        <v/>
      </c>
      <c r="BD139" t="str" cm="1">
        <f t="array" ref="BD139">IFERROR(IF($E139&lt;44348,"",IF(INDEX(Raw_매출!$B$2:$BI$155,MATCH($A139,Raw_매출!$A$2:$A$155,0),MATCH(EDATE($E139,BD$1-1),Raw_매출!$B$1:$BI$1,0))=0,"",INDEX(Raw_매출!$B$2:$BI$155,MATCH($A139,Raw_매출!$A$2:$A$155,0),MATCH(EDATE($E139,BD$1-1),Raw_매출!$B$1:$BI$1,0))/(INDEX(요약_월별시즈널리티!$F$7:$F$18,MONTH(EDATE($E139,BD$1-1)))/100))),"")</f>
        <v/>
      </c>
      <c r="BE139" t="str" cm="1">
        <f t="array" ref="BE139">IFERROR(IF($E139&lt;44348,"",IF(INDEX(Raw_매출!$B$2:$BI$155,MATCH($A139,Raw_매출!$A$2:$A$155,0),MATCH(EDATE($E139,BE$1-1),Raw_매출!$B$1:$BI$1,0))=0,"",INDEX(Raw_매출!$B$2:$BI$155,MATCH($A139,Raw_매출!$A$2:$A$155,0),MATCH(EDATE($E139,BE$1-1),Raw_매출!$B$1:$BI$1,0))/(INDEX(요약_월별시즈널리티!$F$7:$F$18,MONTH(EDATE($E139,BE$1-1)))/100))),"")</f>
        <v/>
      </c>
      <c r="BF139" t="str" cm="1">
        <f t="array" ref="BF139">IFERROR(IF($E139&lt;44348,"",IF(INDEX(Raw_매출!$B$2:$BI$155,MATCH($A139,Raw_매출!$A$2:$A$155,0),MATCH(EDATE($E139,BF$1-1),Raw_매출!$B$1:$BI$1,0))=0,"",INDEX(Raw_매출!$B$2:$BI$155,MATCH($A139,Raw_매출!$A$2:$A$155,0),MATCH(EDATE($E139,BF$1-1),Raw_매출!$B$1:$BI$1,0))/(INDEX(요약_월별시즈널리티!$F$7:$F$18,MONTH(EDATE($E139,BF$1-1)))/100))),"")</f>
        <v/>
      </c>
      <c r="BG139" t="str" cm="1">
        <f t="array" ref="BG139">IFERROR(IF($E139&lt;44348,"",IF(INDEX(Raw_매출!$B$2:$BI$155,MATCH($A139,Raw_매출!$A$2:$A$155,0),MATCH(EDATE($E139,BG$1-1),Raw_매출!$B$1:$BI$1,0))=0,"",INDEX(Raw_매출!$B$2:$BI$155,MATCH($A139,Raw_매출!$A$2:$A$155,0),MATCH(EDATE($E139,BG$1-1),Raw_매출!$B$1:$BI$1,0))/(INDEX(요약_월별시즈널리티!$F$7:$F$18,MONTH(EDATE($E139,BG$1-1)))/100))),"")</f>
        <v/>
      </c>
      <c r="BH139" t="str" cm="1">
        <f t="array" ref="BH139">IFERROR(IF($E139&lt;44348,"",IF(INDEX(Raw_매출!$B$2:$BI$155,MATCH($A139,Raw_매출!$A$2:$A$155,0),MATCH(EDATE($E139,BH$1-1),Raw_매출!$B$1:$BI$1,0))=0,"",INDEX(Raw_매출!$B$2:$BI$155,MATCH($A139,Raw_매출!$A$2:$A$155,0),MATCH(EDATE($E139,BH$1-1),Raw_매출!$B$1:$BI$1,0))/(INDEX(요약_월별시즈널리티!$F$7:$F$18,MONTH(EDATE($E139,BH$1-1)))/100))),"")</f>
        <v/>
      </c>
      <c r="BI139" t="str" cm="1">
        <f t="array" ref="BI139">IFERROR(IF($E139&lt;44348,"",IF(INDEX(Raw_매출!$B$2:$BI$155,MATCH($A139,Raw_매출!$A$2:$A$155,0),MATCH(EDATE($E139,BI$1-1),Raw_매출!$B$1:$BI$1,0))=0,"",INDEX(Raw_매출!$B$2:$BI$155,MATCH($A139,Raw_매출!$A$2:$A$155,0),MATCH(EDATE($E139,BI$1-1),Raw_매출!$B$1:$BI$1,0))/(INDEX(요약_월별시즈널리티!$F$7:$F$18,MONTH(EDATE($E139,BI$1-1)))/100))),"")</f>
        <v/>
      </c>
      <c r="BJ139" t="str" cm="1">
        <f t="array" ref="BJ139">IFERROR(IF($E139&lt;44348,"",IF(INDEX(Raw_매출!$B$2:$BI$155,MATCH($A139,Raw_매출!$A$2:$A$155,0),MATCH(EDATE($E139,BJ$1-1),Raw_매출!$B$1:$BI$1,0))=0,"",INDEX(Raw_매출!$B$2:$BI$155,MATCH($A139,Raw_매출!$A$2:$A$155,0),MATCH(EDATE($E139,BJ$1-1),Raw_매출!$B$1:$BI$1,0))/(INDEX(요약_월별시즈널리티!$F$7:$F$18,MONTH(EDATE($E139,BJ$1-1)))/100))),"")</f>
        <v/>
      </c>
      <c r="BK139" t="str" cm="1">
        <f t="array" ref="BK139">IFERROR(IF($E139&lt;44348,"",IF(INDEX(Raw_매출!$B$2:$BI$155,MATCH($A139,Raw_매출!$A$2:$A$155,0),MATCH(EDATE($E139,BK$1-1),Raw_매출!$B$1:$BI$1,0))=0,"",INDEX(Raw_매출!$B$2:$BI$155,MATCH($A139,Raw_매출!$A$2:$A$155,0),MATCH(EDATE($E139,BK$1-1),Raw_매출!$B$1:$BI$1,0))/(INDEX(요약_월별시즈널리티!$F$7:$F$18,MONTH(EDATE($E139,BK$1-1)))/100))),"")</f>
        <v/>
      </c>
      <c r="BL139" t="str" cm="1">
        <f t="array" ref="BL139">IFERROR(IF($E139&lt;44348,"",IF(INDEX(Raw_매출!$B$2:$BI$155,MATCH($A139,Raw_매출!$A$2:$A$155,0),MATCH(EDATE($E139,BL$1-1),Raw_매출!$B$1:$BI$1,0))=0,"",INDEX(Raw_매출!$B$2:$BI$155,MATCH($A139,Raw_매출!$A$2:$A$155,0),MATCH(EDATE($E139,BL$1-1),Raw_매출!$B$1:$BI$1,0))/(INDEX(요약_월별시즈널리티!$F$7:$F$18,MONTH(EDATE($E139,BL$1-1)))/100))),"")</f>
        <v/>
      </c>
      <c r="BM139" t="str" cm="1">
        <f t="array" ref="BM139">IFERROR(IF($E139&lt;44348,"",IF(INDEX(Raw_매출!$B$2:$BI$155,MATCH($A139,Raw_매출!$A$2:$A$155,0),MATCH(EDATE($E139,BM$1-1),Raw_매출!$B$1:$BI$1,0))=0,"",INDEX(Raw_매출!$B$2:$BI$155,MATCH($A139,Raw_매출!$A$2:$A$155,0),MATCH(EDATE($E139,BM$1-1),Raw_매출!$B$1:$BI$1,0))/(INDEX(요약_월별시즈널리티!$F$7:$F$18,MONTH(EDATE($E139,BM$1-1)))/100))),"")</f>
        <v/>
      </c>
      <c r="BN139" t="str" cm="1">
        <f t="array" ref="BN139">IFERROR(IF($E139&lt;44348,"",IF(INDEX(Raw_매출!$B$2:$BI$155,MATCH($A139,Raw_매출!$A$2:$A$155,0),MATCH(EDATE($E139,BN$1-1),Raw_매출!$B$1:$BI$1,0))=0,"",INDEX(Raw_매출!$B$2:$BI$155,MATCH($A139,Raw_매출!$A$2:$A$155,0),MATCH(EDATE($E139,BN$1-1),Raw_매출!$B$1:$BI$1,0))/(INDEX(요약_월별시즈널리티!$F$7:$F$18,MONTH(EDATE($E139,BN$1-1)))/100))),"")</f>
        <v/>
      </c>
    </row>
    <row r="140" spans="1:66" x14ac:dyDescent="0.4">
      <c r="A140" t="str">
        <f>세팅!A141</f>
        <v>(1131) #대전백운초교점</v>
      </c>
      <c r="B140" t="str">
        <f>세팅!B141</f>
        <v>150-0</v>
      </c>
      <c r="C140">
        <f t="shared" si="6"/>
        <v>0</v>
      </c>
      <c r="D140" t="str">
        <f t="shared" si="7"/>
        <v>0</v>
      </c>
      <c r="E140" s="1">
        <f>세팅!D141</f>
        <v>45931</v>
      </c>
      <c r="F140">
        <f t="shared" si="8"/>
        <v>4951139.6019174671</v>
      </c>
      <c r="G140" cm="1">
        <f t="array" ref="G140">IFERROR(IF($E140&lt;44348,"",IF(INDEX(Raw_매출!$B$2:$BI$155,MATCH($A140,Raw_매출!$A$2:$A$155,0),MATCH(EDATE($E140,G$1-1),Raw_매출!$B$1:$BI$1,0))=0,"",INDEX(Raw_매출!$B$2:$BI$155,MATCH($A140,Raw_매출!$A$2:$A$155,0),MATCH(EDATE($E140,G$1-1),Raw_매출!$B$1:$BI$1,0))/(INDEX(요약_월별시즈널리티!$F$7:$F$18,MONTH(EDATE($E140,G$1-1)))/100))),"")</f>
        <v>3267022.1570482133</v>
      </c>
      <c r="H140" cm="1">
        <f t="array" ref="H140">IFERROR(IF($E140&lt;44348,"",IF(INDEX(Raw_매출!$B$2:$BI$155,MATCH($A140,Raw_매출!$A$2:$A$155,0),MATCH(EDATE($E140,H$1-1),Raw_매출!$B$1:$BI$1,0))=0,"",INDEX(Raw_매출!$B$2:$BI$155,MATCH($A140,Raw_매출!$A$2:$A$155,0),MATCH(EDATE($E140,H$1-1),Raw_매출!$B$1:$BI$1,0))/(INDEX(요약_월별시즈널리티!$F$7:$F$18,MONTH(EDATE($E140,H$1-1)))/100))),"")</f>
        <v>3615818.8945200536</v>
      </c>
      <c r="I140" cm="1">
        <f t="array" ref="I140">IFERROR(IF($E140&lt;44348,"",IF(INDEX(Raw_매출!$B$2:$BI$155,MATCH($A140,Raw_매출!$A$2:$A$155,0),MATCH(EDATE($E140,I$1-1),Raw_매출!$B$1:$BI$1,0))=0,"",INDEX(Raw_매출!$B$2:$BI$155,MATCH($A140,Raw_매출!$A$2:$A$155,0),MATCH(EDATE($E140,I$1-1),Raw_매출!$B$1:$BI$1,0))/(INDEX(요약_월별시즈널리티!$F$7:$F$18,MONTH(EDATE($E140,I$1-1)))/100))),"")</f>
        <v>4141424.3033098392</v>
      </c>
      <c r="J140" s="30" cm="1">
        <f t="array" ref="J140">IFERROR(IF($E140&lt;44348,"",IF(INDEX(Raw_매출!$B$2:$BI$155,MATCH($A140,Raw_매출!$A$2:$A$155,0),MATCH(EDATE($E140,J$1-1),Raw_매출!$B$1:$BI$1,0))=0,"",INDEX(Raw_매출!$B$2:$BI$155,MATCH($A140,Raw_매출!$A$2:$A$155,0),MATCH(EDATE($E140,J$1-1),Raw_매출!$B$1:$BI$1,0))/(INDEX(요약_월별시즈널리티!$F$7:$F$18,MONTH(EDATE($E140,J$1-1)))/100))),"")</f>
        <v>5437551.1151362769</v>
      </c>
      <c r="K140" s="30" cm="1">
        <f t="array" ref="K140">IFERROR(IF($E140&lt;44348,"",IF(INDEX(Raw_매출!$B$2:$BI$155,MATCH($A140,Raw_매출!$A$2:$A$155,0),MATCH(EDATE($E140,K$1-1),Raw_매출!$B$1:$BI$1,0))=0,"",INDEX(Raw_매출!$B$2:$BI$155,MATCH($A140,Raw_매출!$A$2:$A$155,0),MATCH(EDATE($E140,K$1-1),Raw_매출!$B$1:$BI$1,0))/(INDEX(요약_월별시즈널리티!$F$7:$F$18,MONTH(EDATE($E140,K$1-1)))/100))),"")</f>
        <v>5230687.2759564258</v>
      </c>
      <c r="L140" s="30" cm="1">
        <f t="array" ref="L140">IFERROR(IF($E140&lt;44348,"",IF(INDEX(Raw_매출!$B$2:$BI$155,MATCH($A140,Raw_매출!$A$2:$A$155,0),MATCH(EDATE($E140,L$1-1),Raw_매출!$B$1:$BI$1,0))=0,"",INDEX(Raw_매출!$B$2:$BI$155,MATCH($A140,Raw_매출!$A$2:$A$155,0),MATCH(EDATE($E140,L$1-1),Raw_매출!$B$1:$BI$1,0))/(INDEX(요약_월별시즈널리티!$F$7:$F$18,MONTH(EDATE($E140,L$1-1)))/100))),"")</f>
        <v>4569164.2139411699</v>
      </c>
      <c r="M140" s="30" cm="1">
        <f t="array" ref="M140">IFERROR(IF($E140&lt;44348,"",IF(INDEX(Raw_매출!$B$2:$BI$155,MATCH($A140,Raw_매출!$A$2:$A$155,0),MATCH(EDATE($E140,M$1-1),Raw_매출!$B$1:$BI$1,0))=0,"",INDEX(Raw_매출!$B$2:$BI$155,MATCH($A140,Raw_매출!$A$2:$A$155,0),MATCH(EDATE($E140,M$1-1),Raw_매출!$B$1:$BI$1,0))/(INDEX(요약_월별시즈널리티!$F$7:$F$18,MONTH(EDATE($E140,M$1-1)))/100))),"")</f>
        <v>4477237.1085502096</v>
      </c>
      <c r="N140" s="30" cm="1">
        <f t="array" ref="N140">IFERROR(IF($E140&lt;44348,"",IF(INDEX(Raw_매출!$B$2:$BI$155,MATCH($A140,Raw_매출!$A$2:$A$155,0),MATCH(EDATE($E140,N$1-1),Raw_매출!$B$1:$BI$1,0))=0,"",INDEX(Raw_매출!$B$2:$BI$155,MATCH($A140,Raw_매출!$A$2:$A$155,0),MATCH(EDATE($E140,N$1-1),Raw_매출!$B$1:$BI$1,0))/(INDEX(요약_월별시즈널리티!$F$7:$F$18,MONTH(EDATE($E140,N$1-1)))/100))),"")</f>
        <v>5041058.2960032569</v>
      </c>
      <c r="O140" s="30" t="str" cm="1">
        <f t="array" ref="O140">IFERROR(IF($E140&lt;44348,"",IF(INDEX(Raw_매출!$B$2:$BI$155,MATCH($A140,Raw_매출!$A$2:$A$155,0),MATCH(EDATE($E140,O$1-1),Raw_매출!$B$1:$BI$1,0))=0,"",INDEX(Raw_매출!$B$2:$BI$155,MATCH($A140,Raw_매출!$A$2:$A$155,0),MATCH(EDATE($E140,O$1-1),Raw_매출!$B$1:$BI$1,0))/(INDEX(요약_월별시즈널리티!$F$7:$F$18,MONTH(EDATE($E140,O$1-1)))/100))),"")</f>
        <v/>
      </c>
      <c r="P140" t="str" cm="1">
        <f t="array" ref="P140">IFERROR(IF($E140&lt;44348,"",IF(INDEX(Raw_매출!$B$2:$BI$155,MATCH($A140,Raw_매출!$A$2:$A$155,0),MATCH(EDATE($E140,P$1-1),Raw_매출!$B$1:$BI$1,0))=0,"",INDEX(Raw_매출!$B$2:$BI$155,MATCH($A140,Raw_매출!$A$2:$A$155,0),MATCH(EDATE($E140,P$1-1),Raw_매출!$B$1:$BI$1,0))/(INDEX(요약_월별시즈널리티!$F$7:$F$18,MONTH(EDATE($E140,P$1-1)))/100))),"")</f>
        <v/>
      </c>
      <c r="Q140" t="str" cm="1">
        <f t="array" ref="Q140">IFERROR(IF($E140&lt;44348,"",IF(INDEX(Raw_매출!$B$2:$BI$155,MATCH($A140,Raw_매출!$A$2:$A$155,0),MATCH(EDATE($E140,Q$1-1),Raw_매출!$B$1:$BI$1,0))=0,"",INDEX(Raw_매출!$B$2:$BI$155,MATCH($A140,Raw_매출!$A$2:$A$155,0),MATCH(EDATE($E140,Q$1-1),Raw_매출!$B$1:$BI$1,0))/(INDEX(요약_월별시즈널리티!$F$7:$F$18,MONTH(EDATE($E140,Q$1-1)))/100))),"")</f>
        <v/>
      </c>
      <c r="R140" t="str" cm="1">
        <f t="array" ref="R140">IFERROR(IF($E140&lt;44348,"",IF(INDEX(Raw_매출!$B$2:$BI$155,MATCH($A140,Raw_매출!$A$2:$A$155,0),MATCH(EDATE($E140,R$1-1),Raw_매출!$B$1:$BI$1,0))=0,"",INDEX(Raw_매출!$B$2:$BI$155,MATCH($A140,Raw_매출!$A$2:$A$155,0),MATCH(EDATE($E140,R$1-1),Raw_매출!$B$1:$BI$1,0))/(INDEX(요약_월별시즈널리티!$F$7:$F$18,MONTH(EDATE($E140,R$1-1)))/100))),"")</f>
        <v/>
      </c>
      <c r="S140" t="str" cm="1">
        <f t="array" ref="S140">IFERROR(IF($E140&lt;44348,"",IF(INDEX(Raw_매출!$B$2:$BI$155,MATCH($A140,Raw_매출!$A$2:$A$155,0),MATCH(EDATE($E140,S$1-1),Raw_매출!$B$1:$BI$1,0))=0,"",INDEX(Raw_매출!$B$2:$BI$155,MATCH($A140,Raw_매출!$A$2:$A$155,0),MATCH(EDATE($E140,S$1-1),Raw_매출!$B$1:$BI$1,0))/(INDEX(요약_월별시즈널리티!$F$7:$F$18,MONTH(EDATE($E140,S$1-1)))/100))),"")</f>
        <v/>
      </c>
      <c r="T140" t="str" cm="1">
        <f t="array" ref="T140">IFERROR(IF($E140&lt;44348,"",IF(INDEX(Raw_매출!$B$2:$BI$155,MATCH($A140,Raw_매출!$A$2:$A$155,0),MATCH(EDATE($E140,T$1-1),Raw_매출!$B$1:$BI$1,0))=0,"",INDEX(Raw_매출!$B$2:$BI$155,MATCH($A140,Raw_매출!$A$2:$A$155,0),MATCH(EDATE($E140,T$1-1),Raw_매출!$B$1:$BI$1,0))/(INDEX(요약_월별시즈널리티!$F$7:$F$18,MONTH(EDATE($E140,T$1-1)))/100))),"")</f>
        <v/>
      </c>
      <c r="U140" t="str" cm="1">
        <f t="array" ref="U140">IFERROR(IF($E140&lt;44348,"",IF(INDEX(Raw_매출!$B$2:$BI$155,MATCH($A140,Raw_매출!$A$2:$A$155,0),MATCH(EDATE($E140,U$1-1),Raw_매출!$B$1:$BI$1,0))=0,"",INDEX(Raw_매출!$B$2:$BI$155,MATCH($A140,Raw_매출!$A$2:$A$155,0),MATCH(EDATE($E140,U$1-1),Raw_매출!$B$1:$BI$1,0))/(INDEX(요약_월별시즈널리티!$F$7:$F$18,MONTH(EDATE($E140,U$1-1)))/100))),"")</f>
        <v/>
      </c>
      <c r="V140" t="str" cm="1">
        <f t="array" ref="V140">IFERROR(IF($E140&lt;44348,"",IF(INDEX(Raw_매출!$B$2:$BI$155,MATCH($A140,Raw_매출!$A$2:$A$155,0),MATCH(EDATE($E140,V$1-1),Raw_매출!$B$1:$BI$1,0))=0,"",INDEX(Raw_매출!$B$2:$BI$155,MATCH($A140,Raw_매출!$A$2:$A$155,0),MATCH(EDATE($E140,V$1-1),Raw_매출!$B$1:$BI$1,0))/(INDEX(요약_월별시즈널리티!$F$7:$F$18,MONTH(EDATE($E140,V$1-1)))/100))),"")</f>
        <v/>
      </c>
      <c r="W140" t="str" cm="1">
        <f t="array" ref="W140">IFERROR(IF($E140&lt;44348,"",IF(INDEX(Raw_매출!$B$2:$BI$155,MATCH($A140,Raw_매출!$A$2:$A$155,0),MATCH(EDATE($E140,W$1-1),Raw_매출!$B$1:$BI$1,0))=0,"",INDEX(Raw_매출!$B$2:$BI$155,MATCH($A140,Raw_매출!$A$2:$A$155,0),MATCH(EDATE($E140,W$1-1),Raw_매출!$B$1:$BI$1,0))/(INDEX(요약_월별시즈널리티!$F$7:$F$18,MONTH(EDATE($E140,W$1-1)))/100))),"")</f>
        <v/>
      </c>
      <c r="X140" t="str" cm="1">
        <f t="array" ref="X140">IFERROR(IF($E140&lt;44348,"",IF(INDEX(Raw_매출!$B$2:$BI$155,MATCH($A140,Raw_매출!$A$2:$A$155,0),MATCH(EDATE($E140,X$1-1),Raw_매출!$B$1:$BI$1,0))=0,"",INDEX(Raw_매출!$B$2:$BI$155,MATCH($A140,Raw_매출!$A$2:$A$155,0),MATCH(EDATE($E140,X$1-1),Raw_매출!$B$1:$BI$1,0))/(INDEX(요약_월별시즈널리티!$F$7:$F$18,MONTH(EDATE($E140,X$1-1)))/100))),"")</f>
        <v/>
      </c>
      <c r="Y140" t="str" cm="1">
        <f t="array" ref="Y140">IFERROR(IF($E140&lt;44348,"",IF(INDEX(Raw_매출!$B$2:$BI$155,MATCH($A140,Raw_매출!$A$2:$A$155,0),MATCH(EDATE($E140,Y$1-1),Raw_매출!$B$1:$BI$1,0))=0,"",INDEX(Raw_매출!$B$2:$BI$155,MATCH($A140,Raw_매출!$A$2:$A$155,0),MATCH(EDATE($E140,Y$1-1),Raw_매출!$B$1:$BI$1,0))/(INDEX(요약_월별시즈널리티!$F$7:$F$18,MONTH(EDATE($E140,Y$1-1)))/100))),"")</f>
        <v/>
      </c>
      <c r="Z140" t="str" cm="1">
        <f t="array" ref="Z140">IFERROR(IF($E140&lt;44348,"",IF(INDEX(Raw_매출!$B$2:$BI$155,MATCH($A140,Raw_매출!$A$2:$A$155,0),MATCH(EDATE($E140,Z$1-1),Raw_매출!$B$1:$BI$1,0))=0,"",INDEX(Raw_매출!$B$2:$BI$155,MATCH($A140,Raw_매출!$A$2:$A$155,0),MATCH(EDATE($E140,Z$1-1),Raw_매출!$B$1:$BI$1,0))/(INDEX(요약_월별시즈널리티!$F$7:$F$18,MONTH(EDATE($E140,Z$1-1)))/100))),"")</f>
        <v/>
      </c>
      <c r="AA140" t="str" cm="1">
        <f t="array" ref="AA140">IFERROR(IF($E140&lt;44348,"",IF(INDEX(Raw_매출!$B$2:$BI$155,MATCH($A140,Raw_매출!$A$2:$A$155,0),MATCH(EDATE($E140,AA$1-1),Raw_매출!$B$1:$BI$1,0))=0,"",INDEX(Raw_매출!$B$2:$BI$155,MATCH($A140,Raw_매출!$A$2:$A$155,0),MATCH(EDATE($E140,AA$1-1),Raw_매출!$B$1:$BI$1,0))/(INDEX(요약_월별시즈널리티!$F$7:$F$18,MONTH(EDATE($E140,AA$1-1)))/100))),"")</f>
        <v/>
      </c>
      <c r="AB140" t="str" cm="1">
        <f t="array" ref="AB140">IFERROR(IF($E140&lt;44348,"",IF(INDEX(Raw_매출!$B$2:$BI$155,MATCH($A140,Raw_매출!$A$2:$A$155,0),MATCH(EDATE($E140,AB$1-1),Raw_매출!$B$1:$BI$1,0))=0,"",INDEX(Raw_매출!$B$2:$BI$155,MATCH($A140,Raw_매출!$A$2:$A$155,0),MATCH(EDATE($E140,AB$1-1),Raw_매출!$B$1:$BI$1,0))/(INDEX(요약_월별시즈널리티!$F$7:$F$18,MONTH(EDATE($E140,AB$1-1)))/100))),"")</f>
        <v/>
      </c>
      <c r="AC140" t="str" cm="1">
        <f t="array" ref="AC140">IFERROR(IF($E140&lt;44348,"",IF(INDEX(Raw_매출!$B$2:$BI$155,MATCH($A140,Raw_매출!$A$2:$A$155,0),MATCH(EDATE($E140,AC$1-1),Raw_매출!$B$1:$BI$1,0))=0,"",INDEX(Raw_매출!$B$2:$BI$155,MATCH($A140,Raw_매출!$A$2:$A$155,0),MATCH(EDATE($E140,AC$1-1),Raw_매출!$B$1:$BI$1,0))/(INDEX(요약_월별시즈널리티!$F$7:$F$18,MONTH(EDATE($E140,AC$1-1)))/100))),"")</f>
        <v/>
      </c>
      <c r="AD140" t="str" cm="1">
        <f t="array" ref="AD140">IFERROR(IF($E140&lt;44348,"",IF(INDEX(Raw_매출!$B$2:$BI$155,MATCH($A140,Raw_매출!$A$2:$A$155,0),MATCH(EDATE($E140,AD$1-1),Raw_매출!$B$1:$BI$1,0))=0,"",INDEX(Raw_매출!$B$2:$BI$155,MATCH($A140,Raw_매출!$A$2:$A$155,0),MATCH(EDATE($E140,AD$1-1),Raw_매출!$B$1:$BI$1,0))/(INDEX(요약_월별시즈널리티!$F$7:$F$18,MONTH(EDATE($E140,AD$1-1)))/100))),"")</f>
        <v/>
      </c>
      <c r="AE140" t="str" cm="1">
        <f t="array" ref="AE140">IFERROR(IF($E140&lt;44348,"",IF(INDEX(Raw_매출!$B$2:$BI$155,MATCH($A140,Raw_매출!$A$2:$A$155,0),MATCH(EDATE($E140,AE$1-1),Raw_매출!$B$1:$BI$1,0))=0,"",INDEX(Raw_매출!$B$2:$BI$155,MATCH($A140,Raw_매출!$A$2:$A$155,0),MATCH(EDATE($E140,AE$1-1),Raw_매출!$B$1:$BI$1,0))/(INDEX(요약_월별시즈널리티!$F$7:$F$18,MONTH(EDATE($E140,AE$1-1)))/100))),"")</f>
        <v/>
      </c>
      <c r="AF140" t="str" cm="1">
        <f t="array" ref="AF140">IFERROR(IF($E140&lt;44348,"",IF(INDEX(Raw_매출!$B$2:$BI$155,MATCH($A140,Raw_매출!$A$2:$A$155,0),MATCH(EDATE($E140,AF$1-1),Raw_매출!$B$1:$BI$1,0))=0,"",INDEX(Raw_매출!$B$2:$BI$155,MATCH($A140,Raw_매출!$A$2:$A$155,0),MATCH(EDATE($E140,AF$1-1),Raw_매출!$B$1:$BI$1,0))/(INDEX(요약_월별시즈널리티!$F$7:$F$18,MONTH(EDATE($E140,AF$1-1)))/100))),"")</f>
        <v/>
      </c>
      <c r="AG140" t="str" cm="1">
        <f t="array" ref="AG140">IFERROR(IF($E140&lt;44348,"",IF(INDEX(Raw_매출!$B$2:$BI$155,MATCH($A140,Raw_매출!$A$2:$A$155,0),MATCH(EDATE($E140,AG$1-1),Raw_매출!$B$1:$BI$1,0))=0,"",INDEX(Raw_매출!$B$2:$BI$155,MATCH($A140,Raw_매출!$A$2:$A$155,0),MATCH(EDATE($E140,AG$1-1),Raw_매출!$B$1:$BI$1,0))/(INDEX(요약_월별시즈널리티!$F$7:$F$18,MONTH(EDATE($E140,AG$1-1)))/100))),"")</f>
        <v/>
      </c>
      <c r="AH140" t="str" cm="1">
        <f t="array" ref="AH140">IFERROR(IF($E140&lt;44348,"",IF(INDEX(Raw_매출!$B$2:$BI$155,MATCH($A140,Raw_매출!$A$2:$A$155,0),MATCH(EDATE($E140,AH$1-1),Raw_매출!$B$1:$BI$1,0))=0,"",INDEX(Raw_매출!$B$2:$BI$155,MATCH($A140,Raw_매출!$A$2:$A$155,0),MATCH(EDATE($E140,AH$1-1),Raw_매출!$B$1:$BI$1,0))/(INDEX(요약_월별시즈널리티!$F$7:$F$18,MONTH(EDATE($E140,AH$1-1)))/100))),"")</f>
        <v/>
      </c>
      <c r="AI140" t="str" cm="1">
        <f t="array" ref="AI140">IFERROR(IF($E140&lt;44348,"",IF(INDEX(Raw_매출!$B$2:$BI$155,MATCH($A140,Raw_매출!$A$2:$A$155,0),MATCH(EDATE($E140,AI$1-1),Raw_매출!$B$1:$BI$1,0))=0,"",INDEX(Raw_매출!$B$2:$BI$155,MATCH($A140,Raw_매출!$A$2:$A$155,0),MATCH(EDATE($E140,AI$1-1),Raw_매출!$B$1:$BI$1,0))/(INDEX(요약_월별시즈널리티!$F$7:$F$18,MONTH(EDATE($E140,AI$1-1)))/100))),"")</f>
        <v/>
      </c>
      <c r="AJ140" t="str" cm="1">
        <f t="array" ref="AJ140">IFERROR(IF($E140&lt;44348,"",IF(INDEX(Raw_매출!$B$2:$BI$155,MATCH($A140,Raw_매출!$A$2:$A$155,0),MATCH(EDATE($E140,AJ$1-1),Raw_매출!$B$1:$BI$1,0))=0,"",INDEX(Raw_매출!$B$2:$BI$155,MATCH($A140,Raw_매출!$A$2:$A$155,0),MATCH(EDATE($E140,AJ$1-1),Raw_매출!$B$1:$BI$1,0))/(INDEX(요약_월별시즈널리티!$F$7:$F$18,MONTH(EDATE($E140,AJ$1-1)))/100))),"")</f>
        <v/>
      </c>
      <c r="AK140" t="str" cm="1">
        <f t="array" ref="AK140">IFERROR(IF($E140&lt;44348,"",IF(INDEX(Raw_매출!$B$2:$BI$155,MATCH($A140,Raw_매출!$A$2:$A$155,0),MATCH(EDATE($E140,AK$1-1),Raw_매출!$B$1:$BI$1,0))=0,"",INDEX(Raw_매출!$B$2:$BI$155,MATCH($A140,Raw_매출!$A$2:$A$155,0),MATCH(EDATE($E140,AK$1-1),Raw_매출!$B$1:$BI$1,0))/(INDEX(요약_월별시즈널리티!$F$7:$F$18,MONTH(EDATE($E140,AK$1-1)))/100))),"")</f>
        <v/>
      </c>
      <c r="AL140" t="str" cm="1">
        <f t="array" ref="AL140">IFERROR(IF($E140&lt;44348,"",IF(INDEX(Raw_매출!$B$2:$BI$155,MATCH($A140,Raw_매출!$A$2:$A$155,0),MATCH(EDATE($E140,AL$1-1),Raw_매출!$B$1:$BI$1,0))=0,"",INDEX(Raw_매출!$B$2:$BI$155,MATCH($A140,Raw_매출!$A$2:$A$155,0),MATCH(EDATE($E140,AL$1-1),Raw_매출!$B$1:$BI$1,0))/(INDEX(요약_월별시즈널리티!$F$7:$F$18,MONTH(EDATE($E140,AL$1-1)))/100))),"")</f>
        <v/>
      </c>
      <c r="AM140" t="str" cm="1">
        <f t="array" ref="AM140">IFERROR(IF($E140&lt;44348,"",IF(INDEX(Raw_매출!$B$2:$BI$155,MATCH($A140,Raw_매출!$A$2:$A$155,0),MATCH(EDATE($E140,AM$1-1),Raw_매출!$B$1:$BI$1,0))=0,"",INDEX(Raw_매출!$B$2:$BI$155,MATCH($A140,Raw_매출!$A$2:$A$155,0),MATCH(EDATE($E140,AM$1-1),Raw_매출!$B$1:$BI$1,0))/(INDEX(요약_월별시즈널리티!$F$7:$F$18,MONTH(EDATE($E140,AM$1-1)))/100))),"")</f>
        <v/>
      </c>
      <c r="AN140" t="str" cm="1">
        <f t="array" ref="AN140">IFERROR(IF($E140&lt;44348,"",IF(INDEX(Raw_매출!$B$2:$BI$155,MATCH($A140,Raw_매출!$A$2:$A$155,0),MATCH(EDATE($E140,AN$1-1),Raw_매출!$B$1:$BI$1,0))=0,"",INDEX(Raw_매출!$B$2:$BI$155,MATCH($A140,Raw_매출!$A$2:$A$155,0),MATCH(EDATE($E140,AN$1-1),Raw_매출!$B$1:$BI$1,0))/(INDEX(요약_월별시즈널리티!$F$7:$F$18,MONTH(EDATE($E140,AN$1-1)))/100))),"")</f>
        <v/>
      </c>
      <c r="AO140" t="str" cm="1">
        <f t="array" ref="AO140">IFERROR(IF($E140&lt;44348,"",IF(INDEX(Raw_매출!$B$2:$BI$155,MATCH($A140,Raw_매출!$A$2:$A$155,0),MATCH(EDATE($E140,AO$1-1),Raw_매출!$B$1:$BI$1,0))=0,"",INDEX(Raw_매출!$B$2:$BI$155,MATCH($A140,Raw_매출!$A$2:$A$155,0),MATCH(EDATE($E140,AO$1-1),Raw_매출!$B$1:$BI$1,0))/(INDEX(요약_월별시즈널리티!$F$7:$F$18,MONTH(EDATE($E140,AO$1-1)))/100))),"")</f>
        <v/>
      </c>
      <c r="AP140" t="str" cm="1">
        <f t="array" ref="AP140">IFERROR(IF($E140&lt;44348,"",IF(INDEX(Raw_매출!$B$2:$BI$155,MATCH($A140,Raw_매출!$A$2:$A$155,0),MATCH(EDATE($E140,AP$1-1),Raw_매출!$B$1:$BI$1,0))=0,"",INDEX(Raw_매출!$B$2:$BI$155,MATCH($A140,Raw_매출!$A$2:$A$155,0),MATCH(EDATE($E140,AP$1-1),Raw_매출!$B$1:$BI$1,0))/(INDEX(요약_월별시즈널리티!$F$7:$F$18,MONTH(EDATE($E140,AP$1-1)))/100))),"")</f>
        <v/>
      </c>
      <c r="AQ140" t="str" cm="1">
        <f t="array" ref="AQ140">IFERROR(IF($E140&lt;44348,"",IF(INDEX(Raw_매출!$B$2:$BI$155,MATCH($A140,Raw_매출!$A$2:$A$155,0),MATCH(EDATE($E140,AQ$1-1),Raw_매출!$B$1:$BI$1,0))=0,"",INDEX(Raw_매출!$B$2:$BI$155,MATCH($A140,Raw_매출!$A$2:$A$155,0),MATCH(EDATE($E140,AQ$1-1),Raw_매출!$B$1:$BI$1,0))/(INDEX(요약_월별시즈널리티!$F$7:$F$18,MONTH(EDATE($E140,AQ$1-1)))/100))),"")</f>
        <v/>
      </c>
      <c r="AR140" t="str" cm="1">
        <f t="array" ref="AR140">IFERROR(IF($E140&lt;44348,"",IF(INDEX(Raw_매출!$B$2:$BI$155,MATCH($A140,Raw_매출!$A$2:$A$155,0),MATCH(EDATE($E140,AR$1-1),Raw_매출!$B$1:$BI$1,0))=0,"",INDEX(Raw_매출!$B$2:$BI$155,MATCH($A140,Raw_매출!$A$2:$A$155,0),MATCH(EDATE($E140,AR$1-1),Raw_매출!$B$1:$BI$1,0))/(INDEX(요약_월별시즈널리티!$F$7:$F$18,MONTH(EDATE($E140,AR$1-1)))/100))),"")</f>
        <v/>
      </c>
      <c r="AS140" t="str" cm="1">
        <f t="array" ref="AS140">IFERROR(IF($E140&lt;44348,"",IF(INDEX(Raw_매출!$B$2:$BI$155,MATCH($A140,Raw_매출!$A$2:$A$155,0),MATCH(EDATE($E140,AS$1-1),Raw_매출!$B$1:$BI$1,0))=0,"",INDEX(Raw_매출!$B$2:$BI$155,MATCH($A140,Raw_매출!$A$2:$A$155,0),MATCH(EDATE($E140,AS$1-1),Raw_매출!$B$1:$BI$1,0))/(INDEX(요약_월별시즈널리티!$F$7:$F$18,MONTH(EDATE($E140,AS$1-1)))/100))),"")</f>
        <v/>
      </c>
      <c r="AT140" t="str" cm="1">
        <f t="array" ref="AT140">IFERROR(IF($E140&lt;44348,"",IF(INDEX(Raw_매출!$B$2:$BI$155,MATCH($A140,Raw_매출!$A$2:$A$155,0),MATCH(EDATE($E140,AT$1-1),Raw_매출!$B$1:$BI$1,0))=0,"",INDEX(Raw_매출!$B$2:$BI$155,MATCH($A140,Raw_매출!$A$2:$A$155,0),MATCH(EDATE($E140,AT$1-1),Raw_매출!$B$1:$BI$1,0))/(INDEX(요약_월별시즈널리티!$F$7:$F$18,MONTH(EDATE($E140,AT$1-1)))/100))),"")</f>
        <v/>
      </c>
      <c r="AU140" t="str" cm="1">
        <f t="array" ref="AU140">IFERROR(IF($E140&lt;44348,"",IF(INDEX(Raw_매출!$B$2:$BI$155,MATCH($A140,Raw_매출!$A$2:$A$155,0),MATCH(EDATE($E140,AU$1-1),Raw_매출!$B$1:$BI$1,0))=0,"",INDEX(Raw_매출!$B$2:$BI$155,MATCH($A140,Raw_매출!$A$2:$A$155,0),MATCH(EDATE($E140,AU$1-1),Raw_매출!$B$1:$BI$1,0))/(INDEX(요약_월별시즈널리티!$F$7:$F$18,MONTH(EDATE($E140,AU$1-1)))/100))),"")</f>
        <v/>
      </c>
      <c r="AV140" t="str" cm="1">
        <f t="array" ref="AV140">IFERROR(IF($E140&lt;44348,"",IF(INDEX(Raw_매출!$B$2:$BI$155,MATCH($A140,Raw_매출!$A$2:$A$155,0),MATCH(EDATE($E140,AV$1-1),Raw_매출!$B$1:$BI$1,0))=0,"",INDEX(Raw_매출!$B$2:$BI$155,MATCH($A140,Raw_매출!$A$2:$A$155,0),MATCH(EDATE($E140,AV$1-1),Raw_매출!$B$1:$BI$1,0))/(INDEX(요약_월별시즈널리티!$F$7:$F$18,MONTH(EDATE($E140,AV$1-1)))/100))),"")</f>
        <v/>
      </c>
      <c r="AW140" t="str" cm="1">
        <f t="array" ref="AW140">IFERROR(IF($E140&lt;44348,"",IF(INDEX(Raw_매출!$B$2:$BI$155,MATCH($A140,Raw_매출!$A$2:$A$155,0),MATCH(EDATE($E140,AW$1-1),Raw_매출!$B$1:$BI$1,0))=0,"",INDEX(Raw_매출!$B$2:$BI$155,MATCH($A140,Raw_매출!$A$2:$A$155,0),MATCH(EDATE($E140,AW$1-1),Raw_매출!$B$1:$BI$1,0))/(INDEX(요약_월별시즈널리티!$F$7:$F$18,MONTH(EDATE($E140,AW$1-1)))/100))),"")</f>
        <v/>
      </c>
      <c r="AX140" t="str" cm="1">
        <f t="array" ref="AX140">IFERROR(IF($E140&lt;44348,"",IF(INDEX(Raw_매출!$B$2:$BI$155,MATCH($A140,Raw_매출!$A$2:$A$155,0),MATCH(EDATE($E140,AX$1-1),Raw_매출!$B$1:$BI$1,0))=0,"",INDEX(Raw_매출!$B$2:$BI$155,MATCH($A140,Raw_매출!$A$2:$A$155,0),MATCH(EDATE($E140,AX$1-1),Raw_매출!$B$1:$BI$1,0))/(INDEX(요약_월별시즈널리티!$F$7:$F$18,MONTH(EDATE($E140,AX$1-1)))/100))),"")</f>
        <v/>
      </c>
      <c r="AY140" t="str" cm="1">
        <f t="array" ref="AY140">IFERROR(IF($E140&lt;44348,"",IF(INDEX(Raw_매출!$B$2:$BI$155,MATCH($A140,Raw_매출!$A$2:$A$155,0),MATCH(EDATE($E140,AY$1-1),Raw_매출!$B$1:$BI$1,0))=0,"",INDEX(Raw_매출!$B$2:$BI$155,MATCH($A140,Raw_매출!$A$2:$A$155,0),MATCH(EDATE($E140,AY$1-1),Raw_매출!$B$1:$BI$1,0))/(INDEX(요약_월별시즈널리티!$F$7:$F$18,MONTH(EDATE($E140,AY$1-1)))/100))),"")</f>
        <v/>
      </c>
      <c r="AZ140" t="str" cm="1">
        <f t="array" ref="AZ140">IFERROR(IF($E140&lt;44348,"",IF(INDEX(Raw_매출!$B$2:$BI$155,MATCH($A140,Raw_매출!$A$2:$A$155,0),MATCH(EDATE($E140,AZ$1-1),Raw_매출!$B$1:$BI$1,0))=0,"",INDEX(Raw_매출!$B$2:$BI$155,MATCH($A140,Raw_매출!$A$2:$A$155,0),MATCH(EDATE($E140,AZ$1-1),Raw_매출!$B$1:$BI$1,0))/(INDEX(요약_월별시즈널리티!$F$7:$F$18,MONTH(EDATE($E140,AZ$1-1)))/100))),"")</f>
        <v/>
      </c>
      <c r="BA140" t="str" cm="1">
        <f t="array" ref="BA140">IFERROR(IF($E140&lt;44348,"",IF(INDEX(Raw_매출!$B$2:$BI$155,MATCH($A140,Raw_매출!$A$2:$A$155,0),MATCH(EDATE($E140,BA$1-1),Raw_매출!$B$1:$BI$1,0))=0,"",INDEX(Raw_매출!$B$2:$BI$155,MATCH($A140,Raw_매출!$A$2:$A$155,0),MATCH(EDATE($E140,BA$1-1),Raw_매출!$B$1:$BI$1,0))/(INDEX(요약_월별시즈널리티!$F$7:$F$18,MONTH(EDATE($E140,BA$1-1)))/100))),"")</f>
        <v/>
      </c>
      <c r="BB140" t="str" cm="1">
        <f t="array" ref="BB140">IFERROR(IF($E140&lt;44348,"",IF(INDEX(Raw_매출!$B$2:$BI$155,MATCH($A140,Raw_매출!$A$2:$A$155,0),MATCH(EDATE($E140,BB$1-1),Raw_매출!$B$1:$BI$1,0))=0,"",INDEX(Raw_매출!$B$2:$BI$155,MATCH($A140,Raw_매출!$A$2:$A$155,0),MATCH(EDATE($E140,BB$1-1),Raw_매출!$B$1:$BI$1,0))/(INDEX(요약_월별시즈널리티!$F$7:$F$18,MONTH(EDATE($E140,BB$1-1)))/100))),"")</f>
        <v/>
      </c>
      <c r="BC140" t="str" cm="1">
        <f t="array" ref="BC140">IFERROR(IF($E140&lt;44348,"",IF(INDEX(Raw_매출!$B$2:$BI$155,MATCH($A140,Raw_매출!$A$2:$A$155,0),MATCH(EDATE($E140,BC$1-1),Raw_매출!$B$1:$BI$1,0))=0,"",INDEX(Raw_매출!$B$2:$BI$155,MATCH($A140,Raw_매출!$A$2:$A$155,0),MATCH(EDATE($E140,BC$1-1),Raw_매출!$B$1:$BI$1,0))/(INDEX(요약_월별시즈널리티!$F$7:$F$18,MONTH(EDATE($E140,BC$1-1)))/100))),"")</f>
        <v/>
      </c>
      <c r="BD140" t="str" cm="1">
        <f t="array" ref="BD140">IFERROR(IF($E140&lt;44348,"",IF(INDEX(Raw_매출!$B$2:$BI$155,MATCH($A140,Raw_매출!$A$2:$A$155,0),MATCH(EDATE($E140,BD$1-1),Raw_매출!$B$1:$BI$1,0))=0,"",INDEX(Raw_매출!$B$2:$BI$155,MATCH($A140,Raw_매출!$A$2:$A$155,0),MATCH(EDATE($E140,BD$1-1),Raw_매출!$B$1:$BI$1,0))/(INDEX(요약_월별시즈널리티!$F$7:$F$18,MONTH(EDATE($E140,BD$1-1)))/100))),"")</f>
        <v/>
      </c>
      <c r="BE140" t="str" cm="1">
        <f t="array" ref="BE140">IFERROR(IF($E140&lt;44348,"",IF(INDEX(Raw_매출!$B$2:$BI$155,MATCH($A140,Raw_매출!$A$2:$A$155,0),MATCH(EDATE($E140,BE$1-1),Raw_매출!$B$1:$BI$1,0))=0,"",INDEX(Raw_매출!$B$2:$BI$155,MATCH($A140,Raw_매출!$A$2:$A$155,0),MATCH(EDATE($E140,BE$1-1),Raw_매출!$B$1:$BI$1,0))/(INDEX(요약_월별시즈널리티!$F$7:$F$18,MONTH(EDATE($E140,BE$1-1)))/100))),"")</f>
        <v/>
      </c>
      <c r="BF140" t="str" cm="1">
        <f t="array" ref="BF140">IFERROR(IF($E140&lt;44348,"",IF(INDEX(Raw_매출!$B$2:$BI$155,MATCH($A140,Raw_매출!$A$2:$A$155,0),MATCH(EDATE($E140,BF$1-1),Raw_매출!$B$1:$BI$1,0))=0,"",INDEX(Raw_매출!$B$2:$BI$155,MATCH($A140,Raw_매출!$A$2:$A$155,0),MATCH(EDATE($E140,BF$1-1),Raw_매출!$B$1:$BI$1,0))/(INDEX(요약_월별시즈널리티!$F$7:$F$18,MONTH(EDATE($E140,BF$1-1)))/100))),"")</f>
        <v/>
      </c>
      <c r="BG140" t="str" cm="1">
        <f t="array" ref="BG140">IFERROR(IF($E140&lt;44348,"",IF(INDEX(Raw_매출!$B$2:$BI$155,MATCH($A140,Raw_매출!$A$2:$A$155,0),MATCH(EDATE($E140,BG$1-1),Raw_매출!$B$1:$BI$1,0))=0,"",INDEX(Raw_매출!$B$2:$BI$155,MATCH($A140,Raw_매출!$A$2:$A$155,0),MATCH(EDATE($E140,BG$1-1),Raw_매출!$B$1:$BI$1,0))/(INDEX(요약_월별시즈널리티!$F$7:$F$18,MONTH(EDATE($E140,BG$1-1)))/100))),"")</f>
        <v/>
      </c>
      <c r="BH140" t="str" cm="1">
        <f t="array" ref="BH140">IFERROR(IF($E140&lt;44348,"",IF(INDEX(Raw_매출!$B$2:$BI$155,MATCH($A140,Raw_매출!$A$2:$A$155,0),MATCH(EDATE($E140,BH$1-1),Raw_매출!$B$1:$BI$1,0))=0,"",INDEX(Raw_매출!$B$2:$BI$155,MATCH($A140,Raw_매출!$A$2:$A$155,0),MATCH(EDATE($E140,BH$1-1),Raw_매출!$B$1:$BI$1,0))/(INDEX(요약_월별시즈널리티!$F$7:$F$18,MONTH(EDATE($E140,BH$1-1)))/100))),"")</f>
        <v/>
      </c>
      <c r="BI140" t="str" cm="1">
        <f t="array" ref="BI140">IFERROR(IF($E140&lt;44348,"",IF(INDEX(Raw_매출!$B$2:$BI$155,MATCH($A140,Raw_매출!$A$2:$A$155,0),MATCH(EDATE($E140,BI$1-1),Raw_매출!$B$1:$BI$1,0))=0,"",INDEX(Raw_매출!$B$2:$BI$155,MATCH($A140,Raw_매출!$A$2:$A$155,0),MATCH(EDATE($E140,BI$1-1),Raw_매출!$B$1:$BI$1,0))/(INDEX(요약_월별시즈널리티!$F$7:$F$18,MONTH(EDATE($E140,BI$1-1)))/100))),"")</f>
        <v/>
      </c>
      <c r="BJ140" t="str" cm="1">
        <f t="array" ref="BJ140">IFERROR(IF($E140&lt;44348,"",IF(INDEX(Raw_매출!$B$2:$BI$155,MATCH($A140,Raw_매출!$A$2:$A$155,0),MATCH(EDATE($E140,BJ$1-1),Raw_매출!$B$1:$BI$1,0))=0,"",INDEX(Raw_매출!$B$2:$BI$155,MATCH($A140,Raw_매출!$A$2:$A$155,0),MATCH(EDATE($E140,BJ$1-1),Raw_매출!$B$1:$BI$1,0))/(INDEX(요약_월별시즈널리티!$F$7:$F$18,MONTH(EDATE($E140,BJ$1-1)))/100))),"")</f>
        <v/>
      </c>
      <c r="BK140" t="str" cm="1">
        <f t="array" ref="BK140">IFERROR(IF($E140&lt;44348,"",IF(INDEX(Raw_매출!$B$2:$BI$155,MATCH($A140,Raw_매출!$A$2:$A$155,0),MATCH(EDATE($E140,BK$1-1),Raw_매출!$B$1:$BI$1,0))=0,"",INDEX(Raw_매출!$B$2:$BI$155,MATCH($A140,Raw_매출!$A$2:$A$155,0),MATCH(EDATE($E140,BK$1-1),Raw_매출!$B$1:$BI$1,0))/(INDEX(요약_월별시즈널리티!$F$7:$F$18,MONTH(EDATE($E140,BK$1-1)))/100))),"")</f>
        <v/>
      </c>
      <c r="BL140" t="str" cm="1">
        <f t="array" ref="BL140">IFERROR(IF($E140&lt;44348,"",IF(INDEX(Raw_매출!$B$2:$BI$155,MATCH($A140,Raw_매출!$A$2:$A$155,0),MATCH(EDATE($E140,BL$1-1),Raw_매출!$B$1:$BI$1,0))=0,"",INDEX(Raw_매출!$B$2:$BI$155,MATCH($A140,Raw_매출!$A$2:$A$155,0),MATCH(EDATE($E140,BL$1-1),Raw_매출!$B$1:$BI$1,0))/(INDEX(요약_월별시즈널리티!$F$7:$F$18,MONTH(EDATE($E140,BL$1-1)))/100))),"")</f>
        <v/>
      </c>
      <c r="BM140" t="str" cm="1">
        <f t="array" ref="BM140">IFERROR(IF($E140&lt;44348,"",IF(INDEX(Raw_매출!$B$2:$BI$155,MATCH($A140,Raw_매출!$A$2:$A$155,0),MATCH(EDATE($E140,BM$1-1),Raw_매출!$B$1:$BI$1,0))=0,"",INDEX(Raw_매출!$B$2:$BI$155,MATCH($A140,Raw_매출!$A$2:$A$155,0),MATCH(EDATE($E140,BM$1-1),Raw_매출!$B$1:$BI$1,0))/(INDEX(요약_월별시즈널리티!$F$7:$F$18,MONTH(EDATE($E140,BM$1-1)))/100))),"")</f>
        <v/>
      </c>
      <c r="BN140" t="str" cm="1">
        <f t="array" ref="BN140">IFERROR(IF($E140&lt;44348,"",IF(INDEX(Raw_매출!$B$2:$BI$155,MATCH($A140,Raw_매출!$A$2:$A$155,0),MATCH(EDATE($E140,BN$1-1),Raw_매출!$B$1:$BI$1,0))=0,"",INDEX(Raw_매출!$B$2:$BI$155,MATCH($A140,Raw_매출!$A$2:$A$155,0),MATCH(EDATE($E140,BN$1-1),Raw_매출!$B$1:$BI$1,0))/(INDEX(요약_월별시즈널리티!$F$7:$F$18,MONTH(EDATE($E140,BN$1-1)))/100))),"")</f>
        <v/>
      </c>
    </row>
    <row r="141" spans="1:66" x14ac:dyDescent="0.4">
      <c r="A141" t="str">
        <f>세팅!A142</f>
        <v>(1132) #한남대정문점</v>
      </c>
      <c r="B141" t="str">
        <f>세팅!B142</f>
        <v>150-2</v>
      </c>
      <c r="C141">
        <f t="shared" si="6"/>
        <v>2</v>
      </c>
      <c r="D141" t="str">
        <f t="shared" si="7"/>
        <v>2</v>
      </c>
      <c r="E141" s="1">
        <f>세팅!D142</f>
        <v>45931</v>
      </c>
      <c r="F141">
        <f t="shared" si="8"/>
        <v>4981639.5943424394</v>
      </c>
      <c r="G141" cm="1">
        <f t="array" ref="G141">IFERROR(IF($E141&lt;44348,"",IF(INDEX(Raw_매출!$B$2:$BI$155,MATCH($A141,Raw_매출!$A$2:$A$155,0),MATCH(EDATE($E141,G$1-1),Raw_매출!$B$1:$BI$1,0))=0,"",INDEX(Raw_매출!$B$2:$BI$155,MATCH($A141,Raw_매출!$A$2:$A$155,0),MATCH(EDATE($E141,G$1-1),Raw_매출!$B$1:$BI$1,0))/(INDEX(요약_월별시즈널리티!$F$7:$F$18,MONTH(EDATE($E141,G$1-1)))/100))),"")</f>
        <v>3307716.1123686284</v>
      </c>
      <c r="H141" cm="1">
        <f t="array" ref="H141">IFERROR(IF($E141&lt;44348,"",IF(INDEX(Raw_매출!$B$2:$BI$155,MATCH($A141,Raw_매출!$A$2:$A$155,0),MATCH(EDATE($E141,H$1-1),Raw_매출!$B$1:$BI$1,0))=0,"",INDEX(Raw_매출!$B$2:$BI$155,MATCH($A141,Raw_매출!$A$2:$A$155,0),MATCH(EDATE($E141,H$1-1),Raw_매출!$B$1:$BI$1,0))/(INDEX(요약_월별시즈널리티!$F$7:$F$18,MONTH(EDATE($E141,H$1-1)))/100))),"")</f>
        <v>3568552.7230561404</v>
      </c>
      <c r="I141" cm="1">
        <f t="array" ref="I141">IFERROR(IF($E141&lt;44348,"",IF(INDEX(Raw_매출!$B$2:$BI$155,MATCH($A141,Raw_매출!$A$2:$A$155,0),MATCH(EDATE($E141,I$1-1),Raw_매출!$B$1:$BI$1,0))=0,"",INDEX(Raw_매출!$B$2:$BI$155,MATCH($A141,Raw_매출!$A$2:$A$155,0),MATCH(EDATE($E141,I$1-1),Raw_매출!$B$1:$BI$1,0))/(INDEX(요약_월별시즈널리티!$F$7:$F$18,MONTH(EDATE($E141,I$1-1)))/100))),"")</f>
        <v>3504534.4637639117</v>
      </c>
      <c r="J141" s="30" cm="1">
        <f t="array" ref="J141">IFERROR(IF($E141&lt;44348,"",IF(INDEX(Raw_매출!$B$2:$BI$155,MATCH($A141,Raw_매출!$A$2:$A$155,0),MATCH(EDATE($E141,J$1-1),Raw_매출!$B$1:$BI$1,0))=0,"",INDEX(Raw_매출!$B$2:$BI$155,MATCH($A141,Raw_매출!$A$2:$A$155,0),MATCH(EDATE($E141,J$1-1),Raw_매출!$B$1:$BI$1,0))/(INDEX(요약_월별시즈널리티!$F$7:$F$18,MONTH(EDATE($E141,J$1-1)))/100))),"")</f>
        <v>3930393.8844827344</v>
      </c>
      <c r="K141" s="30" cm="1">
        <f t="array" ref="K141">IFERROR(IF($E141&lt;44348,"",IF(INDEX(Raw_매출!$B$2:$BI$155,MATCH($A141,Raw_매출!$A$2:$A$155,0),MATCH(EDATE($E141,K$1-1),Raw_매출!$B$1:$BI$1,0))=0,"",INDEX(Raw_매출!$B$2:$BI$155,MATCH($A141,Raw_매출!$A$2:$A$155,0),MATCH(EDATE($E141,K$1-1),Raw_매출!$B$1:$BI$1,0))/(INDEX(요약_월별시즈널리티!$F$7:$F$18,MONTH(EDATE($E141,K$1-1)))/100))),"")</f>
        <v>4772079.8525536284</v>
      </c>
      <c r="L141" s="30" cm="1">
        <f t="array" ref="L141">IFERROR(IF($E141&lt;44348,"",IF(INDEX(Raw_매출!$B$2:$BI$155,MATCH($A141,Raw_매출!$A$2:$A$155,0),MATCH(EDATE($E141,L$1-1),Raw_매출!$B$1:$BI$1,0))=0,"",INDEX(Raw_매출!$B$2:$BI$155,MATCH($A141,Raw_매출!$A$2:$A$155,0),MATCH(EDATE($E141,L$1-1),Raw_매출!$B$1:$BI$1,0))/(INDEX(요약_월별시즈널리티!$F$7:$F$18,MONTH(EDATE($E141,L$1-1)))/100))),"")</f>
        <v>5301857.7125773411</v>
      </c>
      <c r="M141" s="30" cm="1">
        <f t="array" ref="M141">IFERROR(IF($E141&lt;44348,"",IF(INDEX(Raw_매출!$B$2:$BI$155,MATCH($A141,Raw_매출!$A$2:$A$155,0),MATCH(EDATE($E141,M$1-1),Raw_매출!$B$1:$BI$1,0))=0,"",INDEX(Raw_매출!$B$2:$BI$155,MATCH($A141,Raw_매출!$A$2:$A$155,0),MATCH(EDATE($E141,M$1-1),Raw_매출!$B$1:$BI$1,0))/(INDEX(요약_월별시즈널리티!$F$7:$F$18,MONTH(EDATE($E141,M$1-1)))/100))),"")</f>
        <v>5092709.1538504912</v>
      </c>
      <c r="N141" s="30" cm="1">
        <f t="array" ref="N141">IFERROR(IF($E141&lt;44348,"",IF(INDEX(Raw_매출!$B$2:$BI$155,MATCH($A141,Raw_매출!$A$2:$A$155,0),MATCH(EDATE($E141,N$1-1),Raw_매출!$B$1:$BI$1,0))=0,"",INDEX(Raw_매출!$B$2:$BI$155,MATCH($A141,Raw_매출!$A$2:$A$155,0),MATCH(EDATE($E141,N$1-1),Raw_매출!$B$1:$BI$1,0))/(INDEX(요약_월별시즈널리티!$F$7:$F$18,MONTH(EDATE($E141,N$1-1)))/100))),"")</f>
        <v>5811157.3682480045</v>
      </c>
      <c r="O141" s="30" t="str" cm="1">
        <f t="array" ref="O141">IFERROR(IF($E141&lt;44348,"",IF(INDEX(Raw_매출!$B$2:$BI$155,MATCH($A141,Raw_매출!$A$2:$A$155,0),MATCH(EDATE($E141,O$1-1),Raw_매출!$B$1:$BI$1,0))=0,"",INDEX(Raw_매출!$B$2:$BI$155,MATCH($A141,Raw_매출!$A$2:$A$155,0),MATCH(EDATE($E141,O$1-1),Raw_매출!$B$1:$BI$1,0))/(INDEX(요약_월별시즈널리티!$F$7:$F$18,MONTH(EDATE($E141,O$1-1)))/100))),"")</f>
        <v/>
      </c>
      <c r="P141" t="str" cm="1">
        <f t="array" ref="P141">IFERROR(IF($E141&lt;44348,"",IF(INDEX(Raw_매출!$B$2:$BI$155,MATCH($A141,Raw_매출!$A$2:$A$155,0),MATCH(EDATE($E141,P$1-1),Raw_매출!$B$1:$BI$1,0))=0,"",INDEX(Raw_매출!$B$2:$BI$155,MATCH($A141,Raw_매출!$A$2:$A$155,0),MATCH(EDATE($E141,P$1-1),Raw_매출!$B$1:$BI$1,0))/(INDEX(요약_월별시즈널리티!$F$7:$F$18,MONTH(EDATE($E141,P$1-1)))/100))),"")</f>
        <v/>
      </c>
      <c r="Q141" t="str" cm="1">
        <f t="array" ref="Q141">IFERROR(IF($E141&lt;44348,"",IF(INDEX(Raw_매출!$B$2:$BI$155,MATCH($A141,Raw_매출!$A$2:$A$155,0),MATCH(EDATE($E141,Q$1-1),Raw_매출!$B$1:$BI$1,0))=0,"",INDEX(Raw_매출!$B$2:$BI$155,MATCH($A141,Raw_매출!$A$2:$A$155,0),MATCH(EDATE($E141,Q$1-1),Raw_매출!$B$1:$BI$1,0))/(INDEX(요약_월별시즈널리티!$F$7:$F$18,MONTH(EDATE($E141,Q$1-1)))/100))),"")</f>
        <v/>
      </c>
      <c r="R141" t="str" cm="1">
        <f t="array" ref="R141">IFERROR(IF($E141&lt;44348,"",IF(INDEX(Raw_매출!$B$2:$BI$155,MATCH($A141,Raw_매출!$A$2:$A$155,0),MATCH(EDATE($E141,R$1-1),Raw_매출!$B$1:$BI$1,0))=0,"",INDEX(Raw_매출!$B$2:$BI$155,MATCH($A141,Raw_매출!$A$2:$A$155,0),MATCH(EDATE($E141,R$1-1),Raw_매출!$B$1:$BI$1,0))/(INDEX(요약_월별시즈널리티!$F$7:$F$18,MONTH(EDATE($E141,R$1-1)))/100))),"")</f>
        <v/>
      </c>
      <c r="S141" t="str" cm="1">
        <f t="array" ref="S141">IFERROR(IF($E141&lt;44348,"",IF(INDEX(Raw_매출!$B$2:$BI$155,MATCH($A141,Raw_매출!$A$2:$A$155,0),MATCH(EDATE($E141,S$1-1),Raw_매출!$B$1:$BI$1,0))=0,"",INDEX(Raw_매출!$B$2:$BI$155,MATCH($A141,Raw_매출!$A$2:$A$155,0),MATCH(EDATE($E141,S$1-1),Raw_매출!$B$1:$BI$1,0))/(INDEX(요약_월별시즈널리티!$F$7:$F$18,MONTH(EDATE($E141,S$1-1)))/100))),"")</f>
        <v/>
      </c>
      <c r="T141" t="str" cm="1">
        <f t="array" ref="T141">IFERROR(IF($E141&lt;44348,"",IF(INDEX(Raw_매출!$B$2:$BI$155,MATCH($A141,Raw_매출!$A$2:$A$155,0),MATCH(EDATE($E141,T$1-1),Raw_매출!$B$1:$BI$1,0))=0,"",INDEX(Raw_매출!$B$2:$BI$155,MATCH($A141,Raw_매출!$A$2:$A$155,0),MATCH(EDATE($E141,T$1-1),Raw_매출!$B$1:$BI$1,0))/(INDEX(요약_월별시즈널리티!$F$7:$F$18,MONTH(EDATE($E141,T$1-1)))/100))),"")</f>
        <v/>
      </c>
      <c r="U141" t="str" cm="1">
        <f t="array" ref="U141">IFERROR(IF($E141&lt;44348,"",IF(INDEX(Raw_매출!$B$2:$BI$155,MATCH($A141,Raw_매출!$A$2:$A$155,0),MATCH(EDATE($E141,U$1-1),Raw_매출!$B$1:$BI$1,0))=0,"",INDEX(Raw_매출!$B$2:$BI$155,MATCH($A141,Raw_매출!$A$2:$A$155,0),MATCH(EDATE($E141,U$1-1),Raw_매출!$B$1:$BI$1,0))/(INDEX(요약_월별시즈널리티!$F$7:$F$18,MONTH(EDATE($E141,U$1-1)))/100))),"")</f>
        <v/>
      </c>
      <c r="V141" t="str" cm="1">
        <f t="array" ref="V141">IFERROR(IF($E141&lt;44348,"",IF(INDEX(Raw_매출!$B$2:$BI$155,MATCH($A141,Raw_매출!$A$2:$A$155,0),MATCH(EDATE($E141,V$1-1),Raw_매출!$B$1:$BI$1,0))=0,"",INDEX(Raw_매출!$B$2:$BI$155,MATCH($A141,Raw_매출!$A$2:$A$155,0),MATCH(EDATE($E141,V$1-1),Raw_매출!$B$1:$BI$1,0))/(INDEX(요약_월별시즈널리티!$F$7:$F$18,MONTH(EDATE($E141,V$1-1)))/100))),"")</f>
        <v/>
      </c>
      <c r="W141" t="str" cm="1">
        <f t="array" ref="W141">IFERROR(IF($E141&lt;44348,"",IF(INDEX(Raw_매출!$B$2:$BI$155,MATCH($A141,Raw_매출!$A$2:$A$155,0),MATCH(EDATE($E141,W$1-1),Raw_매출!$B$1:$BI$1,0))=0,"",INDEX(Raw_매출!$B$2:$BI$155,MATCH($A141,Raw_매출!$A$2:$A$155,0),MATCH(EDATE($E141,W$1-1),Raw_매출!$B$1:$BI$1,0))/(INDEX(요약_월별시즈널리티!$F$7:$F$18,MONTH(EDATE($E141,W$1-1)))/100))),"")</f>
        <v/>
      </c>
      <c r="X141" t="str" cm="1">
        <f t="array" ref="X141">IFERROR(IF($E141&lt;44348,"",IF(INDEX(Raw_매출!$B$2:$BI$155,MATCH($A141,Raw_매출!$A$2:$A$155,0),MATCH(EDATE($E141,X$1-1),Raw_매출!$B$1:$BI$1,0))=0,"",INDEX(Raw_매출!$B$2:$BI$155,MATCH($A141,Raw_매출!$A$2:$A$155,0),MATCH(EDATE($E141,X$1-1),Raw_매출!$B$1:$BI$1,0))/(INDEX(요약_월별시즈널리티!$F$7:$F$18,MONTH(EDATE($E141,X$1-1)))/100))),"")</f>
        <v/>
      </c>
      <c r="Y141" t="str" cm="1">
        <f t="array" ref="Y141">IFERROR(IF($E141&lt;44348,"",IF(INDEX(Raw_매출!$B$2:$BI$155,MATCH($A141,Raw_매출!$A$2:$A$155,0),MATCH(EDATE($E141,Y$1-1),Raw_매출!$B$1:$BI$1,0))=0,"",INDEX(Raw_매출!$B$2:$BI$155,MATCH($A141,Raw_매출!$A$2:$A$155,0),MATCH(EDATE($E141,Y$1-1),Raw_매출!$B$1:$BI$1,0))/(INDEX(요약_월별시즈널리티!$F$7:$F$18,MONTH(EDATE($E141,Y$1-1)))/100))),"")</f>
        <v/>
      </c>
      <c r="Z141" t="str" cm="1">
        <f t="array" ref="Z141">IFERROR(IF($E141&lt;44348,"",IF(INDEX(Raw_매출!$B$2:$BI$155,MATCH($A141,Raw_매출!$A$2:$A$155,0),MATCH(EDATE($E141,Z$1-1),Raw_매출!$B$1:$BI$1,0))=0,"",INDEX(Raw_매출!$B$2:$BI$155,MATCH($A141,Raw_매출!$A$2:$A$155,0),MATCH(EDATE($E141,Z$1-1),Raw_매출!$B$1:$BI$1,0))/(INDEX(요약_월별시즈널리티!$F$7:$F$18,MONTH(EDATE($E141,Z$1-1)))/100))),"")</f>
        <v/>
      </c>
      <c r="AA141" t="str" cm="1">
        <f t="array" ref="AA141">IFERROR(IF($E141&lt;44348,"",IF(INDEX(Raw_매출!$B$2:$BI$155,MATCH($A141,Raw_매출!$A$2:$A$155,0),MATCH(EDATE($E141,AA$1-1),Raw_매출!$B$1:$BI$1,0))=0,"",INDEX(Raw_매출!$B$2:$BI$155,MATCH($A141,Raw_매출!$A$2:$A$155,0),MATCH(EDATE($E141,AA$1-1),Raw_매출!$B$1:$BI$1,0))/(INDEX(요약_월별시즈널리티!$F$7:$F$18,MONTH(EDATE($E141,AA$1-1)))/100))),"")</f>
        <v/>
      </c>
      <c r="AB141" t="str" cm="1">
        <f t="array" ref="AB141">IFERROR(IF($E141&lt;44348,"",IF(INDEX(Raw_매출!$B$2:$BI$155,MATCH($A141,Raw_매출!$A$2:$A$155,0),MATCH(EDATE($E141,AB$1-1),Raw_매출!$B$1:$BI$1,0))=0,"",INDEX(Raw_매출!$B$2:$BI$155,MATCH($A141,Raw_매출!$A$2:$A$155,0),MATCH(EDATE($E141,AB$1-1),Raw_매출!$B$1:$BI$1,0))/(INDEX(요약_월별시즈널리티!$F$7:$F$18,MONTH(EDATE($E141,AB$1-1)))/100))),"")</f>
        <v/>
      </c>
      <c r="AC141" t="str" cm="1">
        <f t="array" ref="AC141">IFERROR(IF($E141&lt;44348,"",IF(INDEX(Raw_매출!$B$2:$BI$155,MATCH($A141,Raw_매출!$A$2:$A$155,0),MATCH(EDATE($E141,AC$1-1),Raw_매출!$B$1:$BI$1,0))=0,"",INDEX(Raw_매출!$B$2:$BI$155,MATCH($A141,Raw_매출!$A$2:$A$155,0),MATCH(EDATE($E141,AC$1-1),Raw_매출!$B$1:$BI$1,0))/(INDEX(요약_월별시즈널리티!$F$7:$F$18,MONTH(EDATE($E141,AC$1-1)))/100))),"")</f>
        <v/>
      </c>
      <c r="AD141" t="str" cm="1">
        <f t="array" ref="AD141">IFERROR(IF($E141&lt;44348,"",IF(INDEX(Raw_매출!$B$2:$BI$155,MATCH($A141,Raw_매출!$A$2:$A$155,0),MATCH(EDATE($E141,AD$1-1),Raw_매출!$B$1:$BI$1,0))=0,"",INDEX(Raw_매출!$B$2:$BI$155,MATCH($A141,Raw_매출!$A$2:$A$155,0),MATCH(EDATE($E141,AD$1-1),Raw_매출!$B$1:$BI$1,0))/(INDEX(요약_월별시즈널리티!$F$7:$F$18,MONTH(EDATE($E141,AD$1-1)))/100))),"")</f>
        <v/>
      </c>
      <c r="AE141" t="str" cm="1">
        <f t="array" ref="AE141">IFERROR(IF($E141&lt;44348,"",IF(INDEX(Raw_매출!$B$2:$BI$155,MATCH($A141,Raw_매출!$A$2:$A$155,0),MATCH(EDATE($E141,AE$1-1),Raw_매출!$B$1:$BI$1,0))=0,"",INDEX(Raw_매출!$B$2:$BI$155,MATCH($A141,Raw_매출!$A$2:$A$155,0),MATCH(EDATE($E141,AE$1-1),Raw_매출!$B$1:$BI$1,0))/(INDEX(요약_월별시즈널리티!$F$7:$F$18,MONTH(EDATE($E141,AE$1-1)))/100))),"")</f>
        <v/>
      </c>
      <c r="AF141" t="str" cm="1">
        <f t="array" ref="AF141">IFERROR(IF($E141&lt;44348,"",IF(INDEX(Raw_매출!$B$2:$BI$155,MATCH($A141,Raw_매출!$A$2:$A$155,0),MATCH(EDATE($E141,AF$1-1),Raw_매출!$B$1:$BI$1,0))=0,"",INDEX(Raw_매출!$B$2:$BI$155,MATCH($A141,Raw_매출!$A$2:$A$155,0),MATCH(EDATE($E141,AF$1-1),Raw_매출!$B$1:$BI$1,0))/(INDEX(요약_월별시즈널리티!$F$7:$F$18,MONTH(EDATE($E141,AF$1-1)))/100))),"")</f>
        <v/>
      </c>
      <c r="AG141" t="str" cm="1">
        <f t="array" ref="AG141">IFERROR(IF($E141&lt;44348,"",IF(INDEX(Raw_매출!$B$2:$BI$155,MATCH($A141,Raw_매출!$A$2:$A$155,0),MATCH(EDATE($E141,AG$1-1),Raw_매출!$B$1:$BI$1,0))=0,"",INDEX(Raw_매출!$B$2:$BI$155,MATCH($A141,Raw_매출!$A$2:$A$155,0),MATCH(EDATE($E141,AG$1-1),Raw_매출!$B$1:$BI$1,0))/(INDEX(요약_월별시즈널리티!$F$7:$F$18,MONTH(EDATE($E141,AG$1-1)))/100))),"")</f>
        <v/>
      </c>
      <c r="AH141" t="str" cm="1">
        <f t="array" ref="AH141">IFERROR(IF($E141&lt;44348,"",IF(INDEX(Raw_매출!$B$2:$BI$155,MATCH($A141,Raw_매출!$A$2:$A$155,0),MATCH(EDATE($E141,AH$1-1),Raw_매출!$B$1:$BI$1,0))=0,"",INDEX(Raw_매출!$B$2:$BI$155,MATCH($A141,Raw_매출!$A$2:$A$155,0),MATCH(EDATE($E141,AH$1-1),Raw_매출!$B$1:$BI$1,0))/(INDEX(요약_월별시즈널리티!$F$7:$F$18,MONTH(EDATE($E141,AH$1-1)))/100))),"")</f>
        <v/>
      </c>
      <c r="AI141" t="str" cm="1">
        <f t="array" ref="AI141">IFERROR(IF($E141&lt;44348,"",IF(INDEX(Raw_매출!$B$2:$BI$155,MATCH($A141,Raw_매출!$A$2:$A$155,0),MATCH(EDATE($E141,AI$1-1),Raw_매출!$B$1:$BI$1,0))=0,"",INDEX(Raw_매출!$B$2:$BI$155,MATCH($A141,Raw_매출!$A$2:$A$155,0),MATCH(EDATE($E141,AI$1-1),Raw_매출!$B$1:$BI$1,0))/(INDEX(요약_월별시즈널리티!$F$7:$F$18,MONTH(EDATE($E141,AI$1-1)))/100))),"")</f>
        <v/>
      </c>
      <c r="AJ141" t="str" cm="1">
        <f t="array" ref="AJ141">IFERROR(IF($E141&lt;44348,"",IF(INDEX(Raw_매출!$B$2:$BI$155,MATCH($A141,Raw_매출!$A$2:$A$155,0),MATCH(EDATE($E141,AJ$1-1),Raw_매출!$B$1:$BI$1,0))=0,"",INDEX(Raw_매출!$B$2:$BI$155,MATCH($A141,Raw_매출!$A$2:$A$155,0),MATCH(EDATE($E141,AJ$1-1),Raw_매출!$B$1:$BI$1,0))/(INDEX(요약_월별시즈널리티!$F$7:$F$18,MONTH(EDATE($E141,AJ$1-1)))/100))),"")</f>
        <v/>
      </c>
      <c r="AK141" t="str" cm="1">
        <f t="array" ref="AK141">IFERROR(IF($E141&lt;44348,"",IF(INDEX(Raw_매출!$B$2:$BI$155,MATCH($A141,Raw_매출!$A$2:$A$155,0),MATCH(EDATE($E141,AK$1-1),Raw_매출!$B$1:$BI$1,0))=0,"",INDEX(Raw_매출!$B$2:$BI$155,MATCH($A141,Raw_매출!$A$2:$A$155,0),MATCH(EDATE($E141,AK$1-1),Raw_매출!$B$1:$BI$1,0))/(INDEX(요약_월별시즈널리티!$F$7:$F$18,MONTH(EDATE($E141,AK$1-1)))/100))),"")</f>
        <v/>
      </c>
      <c r="AL141" t="str" cm="1">
        <f t="array" ref="AL141">IFERROR(IF($E141&lt;44348,"",IF(INDEX(Raw_매출!$B$2:$BI$155,MATCH($A141,Raw_매출!$A$2:$A$155,0),MATCH(EDATE($E141,AL$1-1),Raw_매출!$B$1:$BI$1,0))=0,"",INDEX(Raw_매출!$B$2:$BI$155,MATCH($A141,Raw_매출!$A$2:$A$155,0),MATCH(EDATE($E141,AL$1-1),Raw_매출!$B$1:$BI$1,0))/(INDEX(요약_월별시즈널리티!$F$7:$F$18,MONTH(EDATE($E141,AL$1-1)))/100))),"")</f>
        <v/>
      </c>
      <c r="AM141" t="str" cm="1">
        <f t="array" ref="AM141">IFERROR(IF($E141&lt;44348,"",IF(INDEX(Raw_매출!$B$2:$BI$155,MATCH($A141,Raw_매출!$A$2:$A$155,0),MATCH(EDATE($E141,AM$1-1),Raw_매출!$B$1:$BI$1,0))=0,"",INDEX(Raw_매출!$B$2:$BI$155,MATCH($A141,Raw_매출!$A$2:$A$155,0),MATCH(EDATE($E141,AM$1-1),Raw_매출!$B$1:$BI$1,0))/(INDEX(요약_월별시즈널리티!$F$7:$F$18,MONTH(EDATE($E141,AM$1-1)))/100))),"")</f>
        <v/>
      </c>
      <c r="AN141" t="str" cm="1">
        <f t="array" ref="AN141">IFERROR(IF($E141&lt;44348,"",IF(INDEX(Raw_매출!$B$2:$BI$155,MATCH($A141,Raw_매출!$A$2:$A$155,0),MATCH(EDATE($E141,AN$1-1),Raw_매출!$B$1:$BI$1,0))=0,"",INDEX(Raw_매출!$B$2:$BI$155,MATCH($A141,Raw_매출!$A$2:$A$155,0),MATCH(EDATE($E141,AN$1-1),Raw_매출!$B$1:$BI$1,0))/(INDEX(요약_월별시즈널리티!$F$7:$F$18,MONTH(EDATE($E141,AN$1-1)))/100))),"")</f>
        <v/>
      </c>
      <c r="AO141" t="str" cm="1">
        <f t="array" ref="AO141">IFERROR(IF($E141&lt;44348,"",IF(INDEX(Raw_매출!$B$2:$BI$155,MATCH($A141,Raw_매출!$A$2:$A$155,0),MATCH(EDATE($E141,AO$1-1),Raw_매출!$B$1:$BI$1,0))=0,"",INDEX(Raw_매출!$B$2:$BI$155,MATCH($A141,Raw_매출!$A$2:$A$155,0),MATCH(EDATE($E141,AO$1-1),Raw_매출!$B$1:$BI$1,0))/(INDEX(요약_월별시즈널리티!$F$7:$F$18,MONTH(EDATE($E141,AO$1-1)))/100))),"")</f>
        <v/>
      </c>
      <c r="AP141" t="str" cm="1">
        <f t="array" ref="AP141">IFERROR(IF($E141&lt;44348,"",IF(INDEX(Raw_매출!$B$2:$BI$155,MATCH($A141,Raw_매출!$A$2:$A$155,0),MATCH(EDATE($E141,AP$1-1),Raw_매출!$B$1:$BI$1,0))=0,"",INDEX(Raw_매출!$B$2:$BI$155,MATCH($A141,Raw_매출!$A$2:$A$155,0),MATCH(EDATE($E141,AP$1-1),Raw_매출!$B$1:$BI$1,0))/(INDEX(요약_월별시즈널리티!$F$7:$F$18,MONTH(EDATE($E141,AP$1-1)))/100))),"")</f>
        <v/>
      </c>
      <c r="AQ141" t="str" cm="1">
        <f t="array" ref="AQ141">IFERROR(IF($E141&lt;44348,"",IF(INDEX(Raw_매출!$B$2:$BI$155,MATCH($A141,Raw_매출!$A$2:$A$155,0),MATCH(EDATE($E141,AQ$1-1),Raw_매출!$B$1:$BI$1,0))=0,"",INDEX(Raw_매출!$B$2:$BI$155,MATCH($A141,Raw_매출!$A$2:$A$155,0),MATCH(EDATE($E141,AQ$1-1),Raw_매출!$B$1:$BI$1,0))/(INDEX(요약_월별시즈널리티!$F$7:$F$18,MONTH(EDATE($E141,AQ$1-1)))/100))),"")</f>
        <v/>
      </c>
      <c r="AR141" t="str" cm="1">
        <f t="array" ref="AR141">IFERROR(IF($E141&lt;44348,"",IF(INDEX(Raw_매출!$B$2:$BI$155,MATCH($A141,Raw_매출!$A$2:$A$155,0),MATCH(EDATE($E141,AR$1-1),Raw_매출!$B$1:$BI$1,0))=0,"",INDEX(Raw_매출!$B$2:$BI$155,MATCH($A141,Raw_매출!$A$2:$A$155,0),MATCH(EDATE($E141,AR$1-1),Raw_매출!$B$1:$BI$1,0))/(INDEX(요약_월별시즈널리티!$F$7:$F$18,MONTH(EDATE($E141,AR$1-1)))/100))),"")</f>
        <v/>
      </c>
      <c r="AS141" t="str" cm="1">
        <f t="array" ref="AS141">IFERROR(IF($E141&lt;44348,"",IF(INDEX(Raw_매출!$B$2:$BI$155,MATCH($A141,Raw_매출!$A$2:$A$155,0),MATCH(EDATE($E141,AS$1-1),Raw_매출!$B$1:$BI$1,0))=0,"",INDEX(Raw_매출!$B$2:$BI$155,MATCH($A141,Raw_매출!$A$2:$A$155,0),MATCH(EDATE($E141,AS$1-1),Raw_매출!$B$1:$BI$1,0))/(INDEX(요약_월별시즈널리티!$F$7:$F$18,MONTH(EDATE($E141,AS$1-1)))/100))),"")</f>
        <v/>
      </c>
      <c r="AT141" t="str" cm="1">
        <f t="array" ref="AT141">IFERROR(IF($E141&lt;44348,"",IF(INDEX(Raw_매출!$B$2:$BI$155,MATCH($A141,Raw_매출!$A$2:$A$155,0),MATCH(EDATE($E141,AT$1-1),Raw_매출!$B$1:$BI$1,0))=0,"",INDEX(Raw_매출!$B$2:$BI$155,MATCH($A141,Raw_매출!$A$2:$A$155,0),MATCH(EDATE($E141,AT$1-1),Raw_매출!$B$1:$BI$1,0))/(INDEX(요약_월별시즈널리티!$F$7:$F$18,MONTH(EDATE($E141,AT$1-1)))/100))),"")</f>
        <v/>
      </c>
      <c r="AU141" t="str" cm="1">
        <f t="array" ref="AU141">IFERROR(IF($E141&lt;44348,"",IF(INDEX(Raw_매출!$B$2:$BI$155,MATCH($A141,Raw_매출!$A$2:$A$155,0),MATCH(EDATE($E141,AU$1-1),Raw_매출!$B$1:$BI$1,0))=0,"",INDEX(Raw_매출!$B$2:$BI$155,MATCH($A141,Raw_매출!$A$2:$A$155,0),MATCH(EDATE($E141,AU$1-1),Raw_매출!$B$1:$BI$1,0))/(INDEX(요약_월별시즈널리티!$F$7:$F$18,MONTH(EDATE($E141,AU$1-1)))/100))),"")</f>
        <v/>
      </c>
      <c r="AV141" t="str" cm="1">
        <f t="array" ref="AV141">IFERROR(IF($E141&lt;44348,"",IF(INDEX(Raw_매출!$B$2:$BI$155,MATCH($A141,Raw_매출!$A$2:$A$155,0),MATCH(EDATE($E141,AV$1-1),Raw_매출!$B$1:$BI$1,0))=0,"",INDEX(Raw_매출!$B$2:$BI$155,MATCH($A141,Raw_매출!$A$2:$A$155,0),MATCH(EDATE($E141,AV$1-1),Raw_매출!$B$1:$BI$1,0))/(INDEX(요약_월별시즈널리티!$F$7:$F$18,MONTH(EDATE($E141,AV$1-1)))/100))),"")</f>
        <v/>
      </c>
      <c r="AW141" t="str" cm="1">
        <f t="array" ref="AW141">IFERROR(IF($E141&lt;44348,"",IF(INDEX(Raw_매출!$B$2:$BI$155,MATCH($A141,Raw_매출!$A$2:$A$155,0),MATCH(EDATE($E141,AW$1-1),Raw_매출!$B$1:$BI$1,0))=0,"",INDEX(Raw_매출!$B$2:$BI$155,MATCH($A141,Raw_매출!$A$2:$A$155,0),MATCH(EDATE($E141,AW$1-1),Raw_매출!$B$1:$BI$1,0))/(INDEX(요약_월별시즈널리티!$F$7:$F$18,MONTH(EDATE($E141,AW$1-1)))/100))),"")</f>
        <v/>
      </c>
      <c r="AX141" t="str" cm="1">
        <f t="array" ref="AX141">IFERROR(IF($E141&lt;44348,"",IF(INDEX(Raw_매출!$B$2:$BI$155,MATCH($A141,Raw_매출!$A$2:$A$155,0),MATCH(EDATE($E141,AX$1-1),Raw_매출!$B$1:$BI$1,0))=0,"",INDEX(Raw_매출!$B$2:$BI$155,MATCH($A141,Raw_매출!$A$2:$A$155,0),MATCH(EDATE($E141,AX$1-1),Raw_매출!$B$1:$BI$1,0))/(INDEX(요약_월별시즈널리티!$F$7:$F$18,MONTH(EDATE($E141,AX$1-1)))/100))),"")</f>
        <v/>
      </c>
      <c r="AY141" t="str" cm="1">
        <f t="array" ref="AY141">IFERROR(IF($E141&lt;44348,"",IF(INDEX(Raw_매출!$B$2:$BI$155,MATCH($A141,Raw_매출!$A$2:$A$155,0),MATCH(EDATE($E141,AY$1-1),Raw_매출!$B$1:$BI$1,0))=0,"",INDEX(Raw_매출!$B$2:$BI$155,MATCH($A141,Raw_매출!$A$2:$A$155,0),MATCH(EDATE($E141,AY$1-1),Raw_매출!$B$1:$BI$1,0))/(INDEX(요약_월별시즈널리티!$F$7:$F$18,MONTH(EDATE($E141,AY$1-1)))/100))),"")</f>
        <v/>
      </c>
      <c r="AZ141" t="str" cm="1">
        <f t="array" ref="AZ141">IFERROR(IF($E141&lt;44348,"",IF(INDEX(Raw_매출!$B$2:$BI$155,MATCH($A141,Raw_매출!$A$2:$A$155,0),MATCH(EDATE($E141,AZ$1-1),Raw_매출!$B$1:$BI$1,0))=0,"",INDEX(Raw_매출!$B$2:$BI$155,MATCH($A141,Raw_매출!$A$2:$A$155,0),MATCH(EDATE($E141,AZ$1-1),Raw_매출!$B$1:$BI$1,0))/(INDEX(요약_월별시즈널리티!$F$7:$F$18,MONTH(EDATE($E141,AZ$1-1)))/100))),"")</f>
        <v/>
      </c>
      <c r="BA141" t="str" cm="1">
        <f t="array" ref="BA141">IFERROR(IF($E141&lt;44348,"",IF(INDEX(Raw_매출!$B$2:$BI$155,MATCH($A141,Raw_매출!$A$2:$A$155,0),MATCH(EDATE($E141,BA$1-1),Raw_매출!$B$1:$BI$1,0))=0,"",INDEX(Raw_매출!$B$2:$BI$155,MATCH($A141,Raw_매출!$A$2:$A$155,0),MATCH(EDATE($E141,BA$1-1),Raw_매출!$B$1:$BI$1,0))/(INDEX(요약_월별시즈널리티!$F$7:$F$18,MONTH(EDATE($E141,BA$1-1)))/100))),"")</f>
        <v/>
      </c>
      <c r="BB141" t="str" cm="1">
        <f t="array" ref="BB141">IFERROR(IF($E141&lt;44348,"",IF(INDEX(Raw_매출!$B$2:$BI$155,MATCH($A141,Raw_매출!$A$2:$A$155,0),MATCH(EDATE($E141,BB$1-1),Raw_매출!$B$1:$BI$1,0))=0,"",INDEX(Raw_매출!$B$2:$BI$155,MATCH($A141,Raw_매출!$A$2:$A$155,0),MATCH(EDATE($E141,BB$1-1),Raw_매출!$B$1:$BI$1,0))/(INDEX(요약_월별시즈널리티!$F$7:$F$18,MONTH(EDATE($E141,BB$1-1)))/100))),"")</f>
        <v/>
      </c>
      <c r="BC141" t="str" cm="1">
        <f t="array" ref="BC141">IFERROR(IF($E141&lt;44348,"",IF(INDEX(Raw_매출!$B$2:$BI$155,MATCH($A141,Raw_매출!$A$2:$A$155,0),MATCH(EDATE($E141,BC$1-1),Raw_매출!$B$1:$BI$1,0))=0,"",INDEX(Raw_매출!$B$2:$BI$155,MATCH($A141,Raw_매출!$A$2:$A$155,0),MATCH(EDATE($E141,BC$1-1),Raw_매출!$B$1:$BI$1,0))/(INDEX(요약_월별시즈널리티!$F$7:$F$18,MONTH(EDATE($E141,BC$1-1)))/100))),"")</f>
        <v/>
      </c>
      <c r="BD141" t="str" cm="1">
        <f t="array" ref="BD141">IFERROR(IF($E141&lt;44348,"",IF(INDEX(Raw_매출!$B$2:$BI$155,MATCH($A141,Raw_매출!$A$2:$A$155,0),MATCH(EDATE($E141,BD$1-1),Raw_매출!$B$1:$BI$1,0))=0,"",INDEX(Raw_매출!$B$2:$BI$155,MATCH($A141,Raw_매출!$A$2:$A$155,0),MATCH(EDATE($E141,BD$1-1),Raw_매출!$B$1:$BI$1,0))/(INDEX(요약_월별시즈널리티!$F$7:$F$18,MONTH(EDATE($E141,BD$1-1)))/100))),"")</f>
        <v/>
      </c>
      <c r="BE141" t="str" cm="1">
        <f t="array" ref="BE141">IFERROR(IF($E141&lt;44348,"",IF(INDEX(Raw_매출!$B$2:$BI$155,MATCH($A141,Raw_매출!$A$2:$A$155,0),MATCH(EDATE($E141,BE$1-1),Raw_매출!$B$1:$BI$1,0))=0,"",INDEX(Raw_매출!$B$2:$BI$155,MATCH($A141,Raw_매출!$A$2:$A$155,0),MATCH(EDATE($E141,BE$1-1),Raw_매출!$B$1:$BI$1,0))/(INDEX(요약_월별시즈널리티!$F$7:$F$18,MONTH(EDATE($E141,BE$1-1)))/100))),"")</f>
        <v/>
      </c>
      <c r="BF141" t="str" cm="1">
        <f t="array" ref="BF141">IFERROR(IF($E141&lt;44348,"",IF(INDEX(Raw_매출!$B$2:$BI$155,MATCH($A141,Raw_매출!$A$2:$A$155,0),MATCH(EDATE($E141,BF$1-1),Raw_매출!$B$1:$BI$1,0))=0,"",INDEX(Raw_매출!$B$2:$BI$155,MATCH($A141,Raw_매출!$A$2:$A$155,0),MATCH(EDATE($E141,BF$1-1),Raw_매출!$B$1:$BI$1,0))/(INDEX(요약_월별시즈널리티!$F$7:$F$18,MONTH(EDATE($E141,BF$1-1)))/100))),"")</f>
        <v/>
      </c>
      <c r="BG141" t="str" cm="1">
        <f t="array" ref="BG141">IFERROR(IF($E141&lt;44348,"",IF(INDEX(Raw_매출!$B$2:$BI$155,MATCH($A141,Raw_매출!$A$2:$A$155,0),MATCH(EDATE($E141,BG$1-1),Raw_매출!$B$1:$BI$1,0))=0,"",INDEX(Raw_매출!$B$2:$BI$155,MATCH($A141,Raw_매출!$A$2:$A$155,0),MATCH(EDATE($E141,BG$1-1),Raw_매출!$B$1:$BI$1,0))/(INDEX(요약_월별시즈널리티!$F$7:$F$18,MONTH(EDATE($E141,BG$1-1)))/100))),"")</f>
        <v/>
      </c>
      <c r="BH141" t="str" cm="1">
        <f t="array" ref="BH141">IFERROR(IF($E141&lt;44348,"",IF(INDEX(Raw_매출!$B$2:$BI$155,MATCH($A141,Raw_매출!$A$2:$A$155,0),MATCH(EDATE($E141,BH$1-1),Raw_매출!$B$1:$BI$1,0))=0,"",INDEX(Raw_매출!$B$2:$BI$155,MATCH($A141,Raw_매출!$A$2:$A$155,0),MATCH(EDATE($E141,BH$1-1),Raw_매출!$B$1:$BI$1,0))/(INDEX(요약_월별시즈널리티!$F$7:$F$18,MONTH(EDATE($E141,BH$1-1)))/100))),"")</f>
        <v/>
      </c>
      <c r="BI141" t="str" cm="1">
        <f t="array" ref="BI141">IFERROR(IF($E141&lt;44348,"",IF(INDEX(Raw_매출!$B$2:$BI$155,MATCH($A141,Raw_매출!$A$2:$A$155,0),MATCH(EDATE($E141,BI$1-1),Raw_매출!$B$1:$BI$1,0))=0,"",INDEX(Raw_매출!$B$2:$BI$155,MATCH($A141,Raw_매출!$A$2:$A$155,0),MATCH(EDATE($E141,BI$1-1),Raw_매출!$B$1:$BI$1,0))/(INDEX(요약_월별시즈널리티!$F$7:$F$18,MONTH(EDATE($E141,BI$1-1)))/100))),"")</f>
        <v/>
      </c>
      <c r="BJ141" t="str" cm="1">
        <f t="array" ref="BJ141">IFERROR(IF($E141&lt;44348,"",IF(INDEX(Raw_매출!$B$2:$BI$155,MATCH($A141,Raw_매출!$A$2:$A$155,0),MATCH(EDATE($E141,BJ$1-1),Raw_매출!$B$1:$BI$1,0))=0,"",INDEX(Raw_매출!$B$2:$BI$155,MATCH($A141,Raw_매출!$A$2:$A$155,0),MATCH(EDATE($E141,BJ$1-1),Raw_매출!$B$1:$BI$1,0))/(INDEX(요약_월별시즈널리티!$F$7:$F$18,MONTH(EDATE($E141,BJ$1-1)))/100))),"")</f>
        <v/>
      </c>
      <c r="BK141" t="str" cm="1">
        <f t="array" ref="BK141">IFERROR(IF($E141&lt;44348,"",IF(INDEX(Raw_매출!$B$2:$BI$155,MATCH($A141,Raw_매출!$A$2:$A$155,0),MATCH(EDATE($E141,BK$1-1),Raw_매출!$B$1:$BI$1,0))=0,"",INDEX(Raw_매출!$B$2:$BI$155,MATCH($A141,Raw_매출!$A$2:$A$155,0),MATCH(EDATE($E141,BK$1-1),Raw_매출!$B$1:$BI$1,0))/(INDEX(요약_월별시즈널리티!$F$7:$F$18,MONTH(EDATE($E141,BK$1-1)))/100))),"")</f>
        <v/>
      </c>
      <c r="BL141" t="str" cm="1">
        <f t="array" ref="BL141">IFERROR(IF($E141&lt;44348,"",IF(INDEX(Raw_매출!$B$2:$BI$155,MATCH($A141,Raw_매출!$A$2:$A$155,0),MATCH(EDATE($E141,BL$1-1),Raw_매출!$B$1:$BI$1,0))=0,"",INDEX(Raw_매출!$B$2:$BI$155,MATCH($A141,Raw_매출!$A$2:$A$155,0),MATCH(EDATE($E141,BL$1-1),Raw_매출!$B$1:$BI$1,0))/(INDEX(요약_월별시즈널리티!$F$7:$F$18,MONTH(EDATE($E141,BL$1-1)))/100))),"")</f>
        <v/>
      </c>
      <c r="BM141" t="str" cm="1">
        <f t="array" ref="BM141">IFERROR(IF($E141&lt;44348,"",IF(INDEX(Raw_매출!$B$2:$BI$155,MATCH($A141,Raw_매출!$A$2:$A$155,0),MATCH(EDATE($E141,BM$1-1),Raw_매출!$B$1:$BI$1,0))=0,"",INDEX(Raw_매출!$B$2:$BI$155,MATCH($A141,Raw_매출!$A$2:$A$155,0),MATCH(EDATE($E141,BM$1-1),Raw_매출!$B$1:$BI$1,0))/(INDEX(요약_월별시즈널리티!$F$7:$F$18,MONTH(EDATE($E141,BM$1-1)))/100))),"")</f>
        <v/>
      </c>
      <c r="BN141" t="str" cm="1">
        <f t="array" ref="BN141">IFERROR(IF($E141&lt;44348,"",IF(INDEX(Raw_매출!$B$2:$BI$155,MATCH($A141,Raw_매출!$A$2:$A$155,0),MATCH(EDATE($E141,BN$1-1),Raw_매출!$B$1:$BI$1,0))=0,"",INDEX(Raw_매출!$B$2:$BI$155,MATCH($A141,Raw_매출!$A$2:$A$155,0),MATCH(EDATE($E141,BN$1-1),Raw_매출!$B$1:$BI$1,0))/(INDEX(요약_월별시즈널리티!$F$7:$F$18,MONTH(EDATE($E141,BN$1-1)))/100))),"")</f>
        <v/>
      </c>
    </row>
    <row r="142" spans="1:66" x14ac:dyDescent="0.4">
      <c r="A142" t="str">
        <f>세팅!A143</f>
        <v>(1133) #원천제이씨점</v>
      </c>
      <c r="B142" t="str">
        <f>세팅!B143</f>
        <v>150-1</v>
      </c>
      <c r="C142">
        <f t="shared" si="6"/>
        <v>1</v>
      </c>
      <c r="D142" t="str">
        <f t="shared" si="7"/>
        <v>1</v>
      </c>
      <c r="E142" s="1">
        <f>세팅!D143</f>
        <v>45962</v>
      </c>
      <c r="F142">
        <f t="shared" si="8"/>
        <v>2736620.5338753406</v>
      </c>
      <c r="G142" cm="1">
        <f t="array" ref="G142">IFERROR(IF($E142&lt;44348,"",IF(INDEX(Raw_매출!$B$2:$BI$155,MATCH($A142,Raw_매출!$A$2:$A$155,0),MATCH(EDATE($E142,G$1-1),Raw_매출!$B$1:$BI$1,0))=0,"",INDEX(Raw_매출!$B$2:$BI$155,MATCH($A142,Raw_매출!$A$2:$A$155,0),MATCH(EDATE($E142,G$1-1),Raw_매출!$B$1:$BI$1,0))/(INDEX(요약_월별시즈널리티!$F$7:$F$18,MONTH(EDATE($E142,G$1-1)))/100))),"")</f>
        <v>2228838.6686041737</v>
      </c>
      <c r="H142" cm="1">
        <f t="array" ref="H142">IFERROR(IF($E142&lt;44348,"",IF(INDEX(Raw_매출!$B$2:$BI$155,MATCH($A142,Raw_매출!$A$2:$A$155,0),MATCH(EDATE($E142,H$1-1),Raw_매출!$B$1:$BI$1,0))=0,"",INDEX(Raw_매출!$B$2:$BI$155,MATCH($A142,Raw_매출!$A$2:$A$155,0),MATCH(EDATE($E142,H$1-1),Raw_매출!$B$1:$BI$1,0))/(INDEX(요약_월별시즈널리티!$F$7:$F$18,MONTH(EDATE($E142,H$1-1)))/100))),"")</f>
        <v>2170231.3302872237</v>
      </c>
      <c r="I142" cm="1">
        <f t="array" ref="I142">IFERROR(IF($E142&lt;44348,"",IF(INDEX(Raw_매출!$B$2:$BI$155,MATCH($A142,Raw_매출!$A$2:$A$155,0),MATCH(EDATE($E142,I$1-1),Raw_매출!$B$1:$BI$1,0))=0,"",INDEX(Raw_매출!$B$2:$BI$155,MATCH($A142,Raw_매출!$A$2:$A$155,0),MATCH(EDATE($E142,I$1-1),Raw_매출!$B$1:$BI$1,0))/(INDEX(요약_월별시즈널리티!$F$7:$F$18,MONTH(EDATE($E142,I$1-1)))/100))),"")</f>
        <v>2721587.8074791953</v>
      </c>
      <c r="J142" s="30" cm="1">
        <f t="array" ref="J142">IFERROR(IF($E142&lt;44348,"",IF(INDEX(Raw_매출!$B$2:$BI$155,MATCH($A142,Raw_매출!$A$2:$A$155,0),MATCH(EDATE($E142,J$1-1),Raw_매출!$B$1:$BI$1,0))=0,"",INDEX(Raw_매출!$B$2:$BI$155,MATCH($A142,Raw_매출!$A$2:$A$155,0),MATCH(EDATE($E142,J$1-1),Raw_매출!$B$1:$BI$1,0))/(INDEX(요약_월별시즈널리티!$F$7:$F$18,MONTH(EDATE($E142,J$1-1)))/100))),"")</f>
        <v>2512855.467571666</v>
      </c>
      <c r="K142" s="30" cm="1">
        <f t="array" ref="K142">IFERROR(IF($E142&lt;44348,"",IF(INDEX(Raw_매출!$B$2:$BI$155,MATCH($A142,Raw_매출!$A$2:$A$155,0),MATCH(EDATE($E142,K$1-1),Raw_매출!$B$1:$BI$1,0))=0,"",INDEX(Raw_매출!$B$2:$BI$155,MATCH($A142,Raw_매출!$A$2:$A$155,0),MATCH(EDATE($E142,K$1-1),Raw_매출!$B$1:$BI$1,0))/(INDEX(요약_월별시즈널리티!$F$7:$F$18,MONTH(EDATE($E142,K$1-1)))/100))),"")</f>
        <v>2522743.255504759</v>
      </c>
      <c r="L142" s="30" cm="1">
        <f t="array" ref="L142">IFERROR(IF($E142&lt;44348,"",IF(INDEX(Raw_매출!$B$2:$BI$155,MATCH($A142,Raw_매출!$A$2:$A$155,0),MATCH(EDATE($E142,L$1-1),Raw_매출!$B$1:$BI$1,0))=0,"",INDEX(Raw_매출!$B$2:$BI$155,MATCH($A142,Raw_매출!$A$2:$A$155,0),MATCH(EDATE($E142,L$1-1),Raw_매출!$B$1:$BI$1,0))/(INDEX(요약_월별시즈널리티!$F$7:$F$18,MONTH(EDATE($E142,L$1-1)))/100))),"")</f>
        <v>2726593.0778244724</v>
      </c>
      <c r="M142" s="30" cm="1">
        <f t="array" ref="M142">IFERROR(IF($E142&lt;44348,"",IF(INDEX(Raw_매출!$B$2:$BI$155,MATCH($A142,Raw_매출!$A$2:$A$155,0),MATCH(EDATE($E142,M$1-1),Raw_매출!$B$1:$BI$1,0))=0,"",INDEX(Raw_매출!$B$2:$BI$155,MATCH($A142,Raw_매출!$A$2:$A$155,0),MATCH(EDATE($E142,M$1-1),Raw_매출!$B$1:$BI$1,0))/(INDEX(요약_월별시즈널리티!$F$7:$F$18,MONTH(EDATE($E142,M$1-1)))/100))),"")</f>
        <v>3184290.3346004635</v>
      </c>
      <c r="N142" s="30" t="str" cm="1">
        <f t="array" ref="N142">IFERROR(IF($E142&lt;44348,"",IF(INDEX(Raw_매출!$B$2:$BI$155,MATCH($A142,Raw_매출!$A$2:$A$155,0),MATCH(EDATE($E142,N$1-1),Raw_매출!$B$1:$BI$1,0))=0,"",INDEX(Raw_매출!$B$2:$BI$155,MATCH($A142,Raw_매출!$A$2:$A$155,0),MATCH(EDATE($E142,N$1-1),Raw_매출!$B$1:$BI$1,0))/(INDEX(요약_월별시즈널리티!$F$7:$F$18,MONTH(EDATE($E142,N$1-1)))/100))),"")</f>
        <v/>
      </c>
      <c r="O142" s="30" t="str" cm="1">
        <f t="array" ref="O142">IFERROR(IF($E142&lt;44348,"",IF(INDEX(Raw_매출!$B$2:$BI$155,MATCH($A142,Raw_매출!$A$2:$A$155,0),MATCH(EDATE($E142,O$1-1),Raw_매출!$B$1:$BI$1,0))=0,"",INDEX(Raw_매출!$B$2:$BI$155,MATCH($A142,Raw_매출!$A$2:$A$155,0),MATCH(EDATE($E142,O$1-1),Raw_매출!$B$1:$BI$1,0))/(INDEX(요약_월별시즈널리티!$F$7:$F$18,MONTH(EDATE($E142,O$1-1)))/100))),"")</f>
        <v/>
      </c>
      <c r="P142" t="str" cm="1">
        <f t="array" ref="P142">IFERROR(IF($E142&lt;44348,"",IF(INDEX(Raw_매출!$B$2:$BI$155,MATCH($A142,Raw_매출!$A$2:$A$155,0),MATCH(EDATE($E142,P$1-1),Raw_매출!$B$1:$BI$1,0))=0,"",INDEX(Raw_매출!$B$2:$BI$155,MATCH($A142,Raw_매출!$A$2:$A$155,0),MATCH(EDATE($E142,P$1-1),Raw_매출!$B$1:$BI$1,0))/(INDEX(요약_월별시즈널리티!$F$7:$F$18,MONTH(EDATE($E142,P$1-1)))/100))),"")</f>
        <v/>
      </c>
      <c r="Q142" t="str" cm="1">
        <f t="array" ref="Q142">IFERROR(IF($E142&lt;44348,"",IF(INDEX(Raw_매출!$B$2:$BI$155,MATCH($A142,Raw_매출!$A$2:$A$155,0),MATCH(EDATE($E142,Q$1-1),Raw_매출!$B$1:$BI$1,0))=0,"",INDEX(Raw_매출!$B$2:$BI$155,MATCH($A142,Raw_매출!$A$2:$A$155,0),MATCH(EDATE($E142,Q$1-1),Raw_매출!$B$1:$BI$1,0))/(INDEX(요약_월별시즈널리티!$F$7:$F$18,MONTH(EDATE($E142,Q$1-1)))/100))),"")</f>
        <v/>
      </c>
      <c r="R142" t="str" cm="1">
        <f t="array" ref="R142">IFERROR(IF($E142&lt;44348,"",IF(INDEX(Raw_매출!$B$2:$BI$155,MATCH($A142,Raw_매출!$A$2:$A$155,0),MATCH(EDATE($E142,R$1-1),Raw_매출!$B$1:$BI$1,0))=0,"",INDEX(Raw_매출!$B$2:$BI$155,MATCH($A142,Raw_매출!$A$2:$A$155,0),MATCH(EDATE($E142,R$1-1),Raw_매출!$B$1:$BI$1,0))/(INDEX(요약_월별시즈널리티!$F$7:$F$18,MONTH(EDATE($E142,R$1-1)))/100))),"")</f>
        <v/>
      </c>
      <c r="S142" t="str" cm="1">
        <f t="array" ref="S142">IFERROR(IF($E142&lt;44348,"",IF(INDEX(Raw_매출!$B$2:$BI$155,MATCH($A142,Raw_매출!$A$2:$A$155,0),MATCH(EDATE($E142,S$1-1),Raw_매출!$B$1:$BI$1,0))=0,"",INDEX(Raw_매출!$B$2:$BI$155,MATCH($A142,Raw_매출!$A$2:$A$155,0),MATCH(EDATE($E142,S$1-1),Raw_매출!$B$1:$BI$1,0))/(INDEX(요약_월별시즈널리티!$F$7:$F$18,MONTH(EDATE($E142,S$1-1)))/100))),"")</f>
        <v/>
      </c>
      <c r="T142" t="str" cm="1">
        <f t="array" ref="T142">IFERROR(IF($E142&lt;44348,"",IF(INDEX(Raw_매출!$B$2:$BI$155,MATCH($A142,Raw_매출!$A$2:$A$155,0),MATCH(EDATE($E142,T$1-1),Raw_매출!$B$1:$BI$1,0))=0,"",INDEX(Raw_매출!$B$2:$BI$155,MATCH($A142,Raw_매출!$A$2:$A$155,0),MATCH(EDATE($E142,T$1-1),Raw_매출!$B$1:$BI$1,0))/(INDEX(요약_월별시즈널리티!$F$7:$F$18,MONTH(EDATE($E142,T$1-1)))/100))),"")</f>
        <v/>
      </c>
      <c r="U142" t="str" cm="1">
        <f t="array" ref="U142">IFERROR(IF($E142&lt;44348,"",IF(INDEX(Raw_매출!$B$2:$BI$155,MATCH($A142,Raw_매출!$A$2:$A$155,0),MATCH(EDATE($E142,U$1-1),Raw_매출!$B$1:$BI$1,0))=0,"",INDEX(Raw_매출!$B$2:$BI$155,MATCH($A142,Raw_매출!$A$2:$A$155,0),MATCH(EDATE($E142,U$1-1),Raw_매출!$B$1:$BI$1,0))/(INDEX(요약_월별시즈널리티!$F$7:$F$18,MONTH(EDATE($E142,U$1-1)))/100))),"")</f>
        <v/>
      </c>
      <c r="V142" t="str" cm="1">
        <f t="array" ref="V142">IFERROR(IF($E142&lt;44348,"",IF(INDEX(Raw_매출!$B$2:$BI$155,MATCH($A142,Raw_매출!$A$2:$A$155,0),MATCH(EDATE($E142,V$1-1),Raw_매출!$B$1:$BI$1,0))=0,"",INDEX(Raw_매출!$B$2:$BI$155,MATCH($A142,Raw_매출!$A$2:$A$155,0),MATCH(EDATE($E142,V$1-1),Raw_매출!$B$1:$BI$1,0))/(INDEX(요약_월별시즈널리티!$F$7:$F$18,MONTH(EDATE($E142,V$1-1)))/100))),"")</f>
        <v/>
      </c>
      <c r="W142" t="str" cm="1">
        <f t="array" ref="W142">IFERROR(IF($E142&lt;44348,"",IF(INDEX(Raw_매출!$B$2:$BI$155,MATCH($A142,Raw_매출!$A$2:$A$155,0),MATCH(EDATE($E142,W$1-1),Raw_매출!$B$1:$BI$1,0))=0,"",INDEX(Raw_매출!$B$2:$BI$155,MATCH($A142,Raw_매출!$A$2:$A$155,0),MATCH(EDATE($E142,W$1-1),Raw_매출!$B$1:$BI$1,0))/(INDEX(요약_월별시즈널리티!$F$7:$F$18,MONTH(EDATE($E142,W$1-1)))/100))),"")</f>
        <v/>
      </c>
      <c r="X142" t="str" cm="1">
        <f t="array" ref="X142">IFERROR(IF($E142&lt;44348,"",IF(INDEX(Raw_매출!$B$2:$BI$155,MATCH($A142,Raw_매출!$A$2:$A$155,0),MATCH(EDATE($E142,X$1-1),Raw_매출!$B$1:$BI$1,0))=0,"",INDEX(Raw_매출!$B$2:$BI$155,MATCH($A142,Raw_매출!$A$2:$A$155,0),MATCH(EDATE($E142,X$1-1),Raw_매출!$B$1:$BI$1,0))/(INDEX(요약_월별시즈널리티!$F$7:$F$18,MONTH(EDATE($E142,X$1-1)))/100))),"")</f>
        <v/>
      </c>
      <c r="Y142" t="str" cm="1">
        <f t="array" ref="Y142">IFERROR(IF($E142&lt;44348,"",IF(INDEX(Raw_매출!$B$2:$BI$155,MATCH($A142,Raw_매출!$A$2:$A$155,0),MATCH(EDATE($E142,Y$1-1),Raw_매출!$B$1:$BI$1,0))=0,"",INDEX(Raw_매출!$B$2:$BI$155,MATCH($A142,Raw_매출!$A$2:$A$155,0),MATCH(EDATE($E142,Y$1-1),Raw_매출!$B$1:$BI$1,0))/(INDEX(요약_월별시즈널리티!$F$7:$F$18,MONTH(EDATE($E142,Y$1-1)))/100))),"")</f>
        <v/>
      </c>
      <c r="Z142" t="str" cm="1">
        <f t="array" ref="Z142">IFERROR(IF($E142&lt;44348,"",IF(INDEX(Raw_매출!$B$2:$BI$155,MATCH($A142,Raw_매출!$A$2:$A$155,0),MATCH(EDATE($E142,Z$1-1),Raw_매출!$B$1:$BI$1,0))=0,"",INDEX(Raw_매출!$B$2:$BI$155,MATCH($A142,Raw_매출!$A$2:$A$155,0),MATCH(EDATE($E142,Z$1-1),Raw_매출!$B$1:$BI$1,0))/(INDEX(요약_월별시즈널리티!$F$7:$F$18,MONTH(EDATE($E142,Z$1-1)))/100))),"")</f>
        <v/>
      </c>
      <c r="AA142" t="str" cm="1">
        <f t="array" ref="AA142">IFERROR(IF($E142&lt;44348,"",IF(INDEX(Raw_매출!$B$2:$BI$155,MATCH($A142,Raw_매출!$A$2:$A$155,0),MATCH(EDATE($E142,AA$1-1),Raw_매출!$B$1:$BI$1,0))=0,"",INDEX(Raw_매출!$B$2:$BI$155,MATCH($A142,Raw_매출!$A$2:$A$155,0),MATCH(EDATE($E142,AA$1-1),Raw_매출!$B$1:$BI$1,0))/(INDEX(요약_월별시즈널리티!$F$7:$F$18,MONTH(EDATE($E142,AA$1-1)))/100))),"")</f>
        <v/>
      </c>
      <c r="AB142" t="str" cm="1">
        <f t="array" ref="AB142">IFERROR(IF($E142&lt;44348,"",IF(INDEX(Raw_매출!$B$2:$BI$155,MATCH($A142,Raw_매출!$A$2:$A$155,0),MATCH(EDATE($E142,AB$1-1),Raw_매출!$B$1:$BI$1,0))=0,"",INDEX(Raw_매출!$B$2:$BI$155,MATCH($A142,Raw_매출!$A$2:$A$155,0),MATCH(EDATE($E142,AB$1-1),Raw_매출!$B$1:$BI$1,0))/(INDEX(요약_월별시즈널리티!$F$7:$F$18,MONTH(EDATE($E142,AB$1-1)))/100))),"")</f>
        <v/>
      </c>
      <c r="AC142" t="str" cm="1">
        <f t="array" ref="AC142">IFERROR(IF($E142&lt;44348,"",IF(INDEX(Raw_매출!$B$2:$BI$155,MATCH($A142,Raw_매출!$A$2:$A$155,0),MATCH(EDATE($E142,AC$1-1),Raw_매출!$B$1:$BI$1,0))=0,"",INDEX(Raw_매출!$B$2:$BI$155,MATCH($A142,Raw_매출!$A$2:$A$155,0),MATCH(EDATE($E142,AC$1-1),Raw_매출!$B$1:$BI$1,0))/(INDEX(요약_월별시즈널리티!$F$7:$F$18,MONTH(EDATE($E142,AC$1-1)))/100))),"")</f>
        <v/>
      </c>
      <c r="AD142" t="str" cm="1">
        <f t="array" ref="AD142">IFERROR(IF($E142&lt;44348,"",IF(INDEX(Raw_매출!$B$2:$BI$155,MATCH($A142,Raw_매출!$A$2:$A$155,0),MATCH(EDATE($E142,AD$1-1),Raw_매출!$B$1:$BI$1,0))=0,"",INDEX(Raw_매출!$B$2:$BI$155,MATCH($A142,Raw_매출!$A$2:$A$155,0),MATCH(EDATE($E142,AD$1-1),Raw_매출!$B$1:$BI$1,0))/(INDEX(요약_월별시즈널리티!$F$7:$F$18,MONTH(EDATE($E142,AD$1-1)))/100))),"")</f>
        <v/>
      </c>
      <c r="AE142" t="str" cm="1">
        <f t="array" ref="AE142">IFERROR(IF($E142&lt;44348,"",IF(INDEX(Raw_매출!$B$2:$BI$155,MATCH($A142,Raw_매출!$A$2:$A$155,0),MATCH(EDATE($E142,AE$1-1),Raw_매출!$B$1:$BI$1,0))=0,"",INDEX(Raw_매출!$B$2:$BI$155,MATCH($A142,Raw_매출!$A$2:$A$155,0),MATCH(EDATE($E142,AE$1-1),Raw_매출!$B$1:$BI$1,0))/(INDEX(요약_월별시즈널리티!$F$7:$F$18,MONTH(EDATE($E142,AE$1-1)))/100))),"")</f>
        <v/>
      </c>
      <c r="AF142" t="str" cm="1">
        <f t="array" ref="AF142">IFERROR(IF($E142&lt;44348,"",IF(INDEX(Raw_매출!$B$2:$BI$155,MATCH($A142,Raw_매출!$A$2:$A$155,0),MATCH(EDATE($E142,AF$1-1),Raw_매출!$B$1:$BI$1,0))=0,"",INDEX(Raw_매출!$B$2:$BI$155,MATCH($A142,Raw_매출!$A$2:$A$155,0),MATCH(EDATE($E142,AF$1-1),Raw_매출!$B$1:$BI$1,0))/(INDEX(요약_월별시즈널리티!$F$7:$F$18,MONTH(EDATE($E142,AF$1-1)))/100))),"")</f>
        <v/>
      </c>
      <c r="AG142" t="str" cm="1">
        <f t="array" ref="AG142">IFERROR(IF($E142&lt;44348,"",IF(INDEX(Raw_매출!$B$2:$BI$155,MATCH($A142,Raw_매출!$A$2:$A$155,0),MATCH(EDATE($E142,AG$1-1),Raw_매출!$B$1:$BI$1,0))=0,"",INDEX(Raw_매출!$B$2:$BI$155,MATCH($A142,Raw_매출!$A$2:$A$155,0),MATCH(EDATE($E142,AG$1-1),Raw_매출!$B$1:$BI$1,0))/(INDEX(요약_월별시즈널리티!$F$7:$F$18,MONTH(EDATE($E142,AG$1-1)))/100))),"")</f>
        <v/>
      </c>
      <c r="AH142" t="str" cm="1">
        <f t="array" ref="AH142">IFERROR(IF($E142&lt;44348,"",IF(INDEX(Raw_매출!$B$2:$BI$155,MATCH($A142,Raw_매출!$A$2:$A$155,0),MATCH(EDATE($E142,AH$1-1),Raw_매출!$B$1:$BI$1,0))=0,"",INDEX(Raw_매출!$B$2:$BI$155,MATCH($A142,Raw_매출!$A$2:$A$155,0),MATCH(EDATE($E142,AH$1-1),Raw_매출!$B$1:$BI$1,0))/(INDEX(요약_월별시즈널리티!$F$7:$F$18,MONTH(EDATE($E142,AH$1-1)))/100))),"")</f>
        <v/>
      </c>
      <c r="AI142" t="str" cm="1">
        <f t="array" ref="AI142">IFERROR(IF($E142&lt;44348,"",IF(INDEX(Raw_매출!$B$2:$BI$155,MATCH($A142,Raw_매출!$A$2:$A$155,0),MATCH(EDATE($E142,AI$1-1),Raw_매출!$B$1:$BI$1,0))=0,"",INDEX(Raw_매출!$B$2:$BI$155,MATCH($A142,Raw_매출!$A$2:$A$155,0),MATCH(EDATE($E142,AI$1-1),Raw_매출!$B$1:$BI$1,0))/(INDEX(요약_월별시즈널리티!$F$7:$F$18,MONTH(EDATE($E142,AI$1-1)))/100))),"")</f>
        <v/>
      </c>
      <c r="AJ142" t="str" cm="1">
        <f t="array" ref="AJ142">IFERROR(IF($E142&lt;44348,"",IF(INDEX(Raw_매출!$B$2:$BI$155,MATCH($A142,Raw_매출!$A$2:$A$155,0),MATCH(EDATE($E142,AJ$1-1),Raw_매출!$B$1:$BI$1,0))=0,"",INDEX(Raw_매출!$B$2:$BI$155,MATCH($A142,Raw_매출!$A$2:$A$155,0),MATCH(EDATE($E142,AJ$1-1),Raw_매출!$B$1:$BI$1,0))/(INDEX(요약_월별시즈널리티!$F$7:$F$18,MONTH(EDATE($E142,AJ$1-1)))/100))),"")</f>
        <v/>
      </c>
      <c r="AK142" t="str" cm="1">
        <f t="array" ref="AK142">IFERROR(IF($E142&lt;44348,"",IF(INDEX(Raw_매출!$B$2:$BI$155,MATCH($A142,Raw_매출!$A$2:$A$155,0),MATCH(EDATE($E142,AK$1-1),Raw_매출!$B$1:$BI$1,0))=0,"",INDEX(Raw_매출!$B$2:$BI$155,MATCH($A142,Raw_매출!$A$2:$A$155,0),MATCH(EDATE($E142,AK$1-1),Raw_매출!$B$1:$BI$1,0))/(INDEX(요약_월별시즈널리티!$F$7:$F$18,MONTH(EDATE($E142,AK$1-1)))/100))),"")</f>
        <v/>
      </c>
      <c r="AL142" t="str" cm="1">
        <f t="array" ref="AL142">IFERROR(IF($E142&lt;44348,"",IF(INDEX(Raw_매출!$B$2:$BI$155,MATCH($A142,Raw_매출!$A$2:$A$155,0),MATCH(EDATE($E142,AL$1-1),Raw_매출!$B$1:$BI$1,0))=0,"",INDEX(Raw_매출!$B$2:$BI$155,MATCH($A142,Raw_매출!$A$2:$A$155,0),MATCH(EDATE($E142,AL$1-1),Raw_매출!$B$1:$BI$1,0))/(INDEX(요약_월별시즈널리티!$F$7:$F$18,MONTH(EDATE($E142,AL$1-1)))/100))),"")</f>
        <v/>
      </c>
      <c r="AM142" t="str" cm="1">
        <f t="array" ref="AM142">IFERROR(IF($E142&lt;44348,"",IF(INDEX(Raw_매출!$B$2:$BI$155,MATCH($A142,Raw_매출!$A$2:$A$155,0),MATCH(EDATE($E142,AM$1-1),Raw_매출!$B$1:$BI$1,0))=0,"",INDEX(Raw_매출!$B$2:$BI$155,MATCH($A142,Raw_매출!$A$2:$A$155,0),MATCH(EDATE($E142,AM$1-1),Raw_매출!$B$1:$BI$1,0))/(INDEX(요약_월별시즈널리티!$F$7:$F$18,MONTH(EDATE($E142,AM$1-1)))/100))),"")</f>
        <v/>
      </c>
      <c r="AN142" t="str" cm="1">
        <f t="array" ref="AN142">IFERROR(IF($E142&lt;44348,"",IF(INDEX(Raw_매출!$B$2:$BI$155,MATCH($A142,Raw_매출!$A$2:$A$155,0),MATCH(EDATE($E142,AN$1-1),Raw_매출!$B$1:$BI$1,0))=0,"",INDEX(Raw_매출!$B$2:$BI$155,MATCH($A142,Raw_매출!$A$2:$A$155,0),MATCH(EDATE($E142,AN$1-1),Raw_매출!$B$1:$BI$1,0))/(INDEX(요약_월별시즈널리티!$F$7:$F$18,MONTH(EDATE($E142,AN$1-1)))/100))),"")</f>
        <v/>
      </c>
      <c r="AO142" t="str" cm="1">
        <f t="array" ref="AO142">IFERROR(IF($E142&lt;44348,"",IF(INDEX(Raw_매출!$B$2:$BI$155,MATCH($A142,Raw_매출!$A$2:$A$155,0),MATCH(EDATE($E142,AO$1-1),Raw_매출!$B$1:$BI$1,0))=0,"",INDEX(Raw_매출!$B$2:$BI$155,MATCH($A142,Raw_매출!$A$2:$A$155,0),MATCH(EDATE($E142,AO$1-1),Raw_매출!$B$1:$BI$1,0))/(INDEX(요약_월별시즈널리티!$F$7:$F$18,MONTH(EDATE($E142,AO$1-1)))/100))),"")</f>
        <v/>
      </c>
      <c r="AP142" t="str" cm="1">
        <f t="array" ref="AP142">IFERROR(IF($E142&lt;44348,"",IF(INDEX(Raw_매출!$B$2:$BI$155,MATCH($A142,Raw_매출!$A$2:$A$155,0),MATCH(EDATE($E142,AP$1-1),Raw_매출!$B$1:$BI$1,0))=0,"",INDEX(Raw_매출!$B$2:$BI$155,MATCH($A142,Raw_매출!$A$2:$A$155,0),MATCH(EDATE($E142,AP$1-1),Raw_매출!$B$1:$BI$1,0))/(INDEX(요약_월별시즈널리티!$F$7:$F$18,MONTH(EDATE($E142,AP$1-1)))/100))),"")</f>
        <v/>
      </c>
      <c r="AQ142" t="str" cm="1">
        <f t="array" ref="AQ142">IFERROR(IF($E142&lt;44348,"",IF(INDEX(Raw_매출!$B$2:$BI$155,MATCH($A142,Raw_매출!$A$2:$A$155,0),MATCH(EDATE($E142,AQ$1-1),Raw_매출!$B$1:$BI$1,0))=0,"",INDEX(Raw_매출!$B$2:$BI$155,MATCH($A142,Raw_매출!$A$2:$A$155,0),MATCH(EDATE($E142,AQ$1-1),Raw_매출!$B$1:$BI$1,0))/(INDEX(요약_월별시즈널리티!$F$7:$F$18,MONTH(EDATE($E142,AQ$1-1)))/100))),"")</f>
        <v/>
      </c>
      <c r="AR142" t="str" cm="1">
        <f t="array" ref="AR142">IFERROR(IF($E142&lt;44348,"",IF(INDEX(Raw_매출!$B$2:$BI$155,MATCH($A142,Raw_매출!$A$2:$A$155,0),MATCH(EDATE($E142,AR$1-1),Raw_매출!$B$1:$BI$1,0))=0,"",INDEX(Raw_매출!$B$2:$BI$155,MATCH($A142,Raw_매출!$A$2:$A$155,0),MATCH(EDATE($E142,AR$1-1),Raw_매출!$B$1:$BI$1,0))/(INDEX(요약_월별시즈널리티!$F$7:$F$18,MONTH(EDATE($E142,AR$1-1)))/100))),"")</f>
        <v/>
      </c>
      <c r="AS142" t="str" cm="1">
        <f t="array" ref="AS142">IFERROR(IF($E142&lt;44348,"",IF(INDEX(Raw_매출!$B$2:$BI$155,MATCH($A142,Raw_매출!$A$2:$A$155,0),MATCH(EDATE($E142,AS$1-1),Raw_매출!$B$1:$BI$1,0))=0,"",INDEX(Raw_매출!$B$2:$BI$155,MATCH($A142,Raw_매출!$A$2:$A$155,0),MATCH(EDATE($E142,AS$1-1),Raw_매출!$B$1:$BI$1,0))/(INDEX(요약_월별시즈널리티!$F$7:$F$18,MONTH(EDATE($E142,AS$1-1)))/100))),"")</f>
        <v/>
      </c>
      <c r="AT142" t="str" cm="1">
        <f t="array" ref="AT142">IFERROR(IF($E142&lt;44348,"",IF(INDEX(Raw_매출!$B$2:$BI$155,MATCH($A142,Raw_매출!$A$2:$A$155,0),MATCH(EDATE($E142,AT$1-1),Raw_매출!$B$1:$BI$1,0))=0,"",INDEX(Raw_매출!$B$2:$BI$155,MATCH($A142,Raw_매출!$A$2:$A$155,0),MATCH(EDATE($E142,AT$1-1),Raw_매출!$B$1:$BI$1,0))/(INDEX(요약_월별시즈널리티!$F$7:$F$18,MONTH(EDATE($E142,AT$1-1)))/100))),"")</f>
        <v/>
      </c>
      <c r="AU142" t="str" cm="1">
        <f t="array" ref="AU142">IFERROR(IF($E142&lt;44348,"",IF(INDEX(Raw_매출!$B$2:$BI$155,MATCH($A142,Raw_매출!$A$2:$A$155,0),MATCH(EDATE($E142,AU$1-1),Raw_매출!$B$1:$BI$1,0))=0,"",INDEX(Raw_매출!$B$2:$BI$155,MATCH($A142,Raw_매출!$A$2:$A$155,0),MATCH(EDATE($E142,AU$1-1),Raw_매출!$B$1:$BI$1,0))/(INDEX(요약_월별시즈널리티!$F$7:$F$18,MONTH(EDATE($E142,AU$1-1)))/100))),"")</f>
        <v/>
      </c>
      <c r="AV142" t="str" cm="1">
        <f t="array" ref="AV142">IFERROR(IF($E142&lt;44348,"",IF(INDEX(Raw_매출!$B$2:$BI$155,MATCH($A142,Raw_매출!$A$2:$A$155,0),MATCH(EDATE($E142,AV$1-1),Raw_매출!$B$1:$BI$1,0))=0,"",INDEX(Raw_매출!$B$2:$BI$155,MATCH($A142,Raw_매출!$A$2:$A$155,0),MATCH(EDATE($E142,AV$1-1),Raw_매출!$B$1:$BI$1,0))/(INDEX(요약_월별시즈널리티!$F$7:$F$18,MONTH(EDATE($E142,AV$1-1)))/100))),"")</f>
        <v/>
      </c>
      <c r="AW142" t="str" cm="1">
        <f t="array" ref="AW142">IFERROR(IF($E142&lt;44348,"",IF(INDEX(Raw_매출!$B$2:$BI$155,MATCH($A142,Raw_매출!$A$2:$A$155,0),MATCH(EDATE($E142,AW$1-1),Raw_매출!$B$1:$BI$1,0))=0,"",INDEX(Raw_매출!$B$2:$BI$155,MATCH($A142,Raw_매출!$A$2:$A$155,0),MATCH(EDATE($E142,AW$1-1),Raw_매출!$B$1:$BI$1,0))/(INDEX(요약_월별시즈널리티!$F$7:$F$18,MONTH(EDATE($E142,AW$1-1)))/100))),"")</f>
        <v/>
      </c>
      <c r="AX142" t="str" cm="1">
        <f t="array" ref="AX142">IFERROR(IF($E142&lt;44348,"",IF(INDEX(Raw_매출!$B$2:$BI$155,MATCH($A142,Raw_매출!$A$2:$A$155,0),MATCH(EDATE($E142,AX$1-1),Raw_매출!$B$1:$BI$1,0))=0,"",INDEX(Raw_매출!$B$2:$BI$155,MATCH($A142,Raw_매출!$A$2:$A$155,0),MATCH(EDATE($E142,AX$1-1),Raw_매출!$B$1:$BI$1,0))/(INDEX(요약_월별시즈널리티!$F$7:$F$18,MONTH(EDATE($E142,AX$1-1)))/100))),"")</f>
        <v/>
      </c>
      <c r="AY142" t="str" cm="1">
        <f t="array" ref="AY142">IFERROR(IF($E142&lt;44348,"",IF(INDEX(Raw_매출!$B$2:$BI$155,MATCH($A142,Raw_매출!$A$2:$A$155,0),MATCH(EDATE($E142,AY$1-1),Raw_매출!$B$1:$BI$1,0))=0,"",INDEX(Raw_매출!$B$2:$BI$155,MATCH($A142,Raw_매출!$A$2:$A$155,0),MATCH(EDATE($E142,AY$1-1),Raw_매출!$B$1:$BI$1,0))/(INDEX(요약_월별시즈널리티!$F$7:$F$18,MONTH(EDATE($E142,AY$1-1)))/100))),"")</f>
        <v/>
      </c>
      <c r="AZ142" t="str" cm="1">
        <f t="array" ref="AZ142">IFERROR(IF($E142&lt;44348,"",IF(INDEX(Raw_매출!$B$2:$BI$155,MATCH($A142,Raw_매출!$A$2:$A$155,0),MATCH(EDATE($E142,AZ$1-1),Raw_매출!$B$1:$BI$1,0))=0,"",INDEX(Raw_매출!$B$2:$BI$155,MATCH($A142,Raw_매출!$A$2:$A$155,0),MATCH(EDATE($E142,AZ$1-1),Raw_매출!$B$1:$BI$1,0))/(INDEX(요약_월별시즈널리티!$F$7:$F$18,MONTH(EDATE($E142,AZ$1-1)))/100))),"")</f>
        <v/>
      </c>
      <c r="BA142" t="str" cm="1">
        <f t="array" ref="BA142">IFERROR(IF($E142&lt;44348,"",IF(INDEX(Raw_매출!$B$2:$BI$155,MATCH($A142,Raw_매출!$A$2:$A$155,0),MATCH(EDATE($E142,BA$1-1),Raw_매출!$B$1:$BI$1,0))=0,"",INDEX(Raw_매출!$B$2:$BI$155,MATCH($A142,Raw_매출!$A$2:$A$155,0),MATCH(EDATE($E142,BA$1-1),Raw_매출!$B$1:$BI$1,0))/(INDEX(요약_월별시즈널리티!$F$7:$F$18,MONTH(EDATE($E142,BA$1-1)))/100))),"")</f>
        <v/>
      </c>
      <c r="BB142" t="str" cm="1">
        <f t="array" ref="BB142">IFERROR(IF($E142&lt;44348,"",IF(INDEX(Raw_매출!$B$2:$BI$155,MATCH($A142,Raw_매출!$A$2:$A$155,0),MATCH(EDATE($E142,BB$1-1),Raw_매출!$B$1:$BI$1,0))=0,"",INDEX(Raw_매출!$B$2:$BI$155,MATCH($A142,Raw_매출!$A$2:$A$155,0),MATCH(EDATE($E142,BB$1-1),Raw_매출!$B$1:$BI$1,0))/(INDEX(요약_월별시즈널리티!$F$7:$F$18,MONTH(EDATE($E142,BB$1-1)))/100))),"")</f>
        <v/>
      </c>
      <c r="BC142" t="str" cm="1">
        <f t="array" ref="BC142">IFERROR(IF($E142&lt;44348,"",IF(INDEX(Raw_매출!$B$2:$BI$155,MATCH($A142,Raw_매출!$A$2:$A$155,0),MATCH(EDATE($E142,BC$1-1),Raw_매출!$B$1:$BI$1,0))=0,"",INDEX(Raw_매출!$B$2:$BI$155,MATCH($A142,Raw_매출!$A$2:$A$155,0),MATCH(EDATE($E142,BC$1-1),Raw_매출!$B$1:$BI$1,0))/(INDEX(요약_월별시즈널리티!$F$7:$F$18,MONTH(EDATE($E142,BC$1-1)))/100))),"")</f>
        <v/>
      </c>
      <c r="BD142" t="str" cm="1">
        <f t="array" ref="BD142">IFERROR(IF($E142&lt;44348,"",IF(INDEX(Raw_매출!$B$2:$BI$155,MATCH($A142,Raw_매출!$A$2:$A$155,0),MATCH(EDATE($E142,BD$1-1),Raw_매출!$B$1:$BI$1,0))=0,"",INDEX(Raw_매출!$B$2:$BI$155,MATCH($A142,Raw_매출!$A$2:$A$155,0),MATCH(EDATE($E142,BD$1-1),Raw_매출!$B$1:$BI$1,0))/(INDEX(요약_월별시즈널리티!$F$7:$F$18,MONTH(EDATE($E142,BD$1-1)))/100))),"")</f>
        <v/>
      </c>
      <c r="BE142" t="str" cm="1">
        <f t="array" ref="BE142">IFERROR(IF($E142&lt;44348,"",IF(INDEX(Raw_매출!$B$2:$BI$155,MATCH($A142,Raw_매출!$A$2:$A$155,0),MATCH(EDATE($E142,BE$1-1),Raw_매출!$B$1:$BI$1,0))=0,"",INDEX(Raw_매출!$B$2:$BI$155,MATCH($A142,Raw_매출!$A$2:$A$155,0),MATCH(EDATE($E142,BE$1-1),Raw_매출!$B$1:$BI$1,0))/(INDEX(요약_월별시즈널리티!$F$7:$F$18,MONTH(EDATE($E142,BE$1-1)))/100))),"")</f>
        <v/>
      </c>
      <c r="BF142" t="str" cm="1">
        <f t="array" ref="BF142">IFERROR(IF($E142&lt;44348,"",IF(INDEX(Raw_매출!$B$2:$BI$155,MATCH($A142,Raw_매출!$A$2:$A$155,0),MATCH(EDATE($E142,BF$1-1),Raw_매출!$B$1:$BI$1,0))=0,"",INDEX(Raw_매출!$B$2:$BI$155,MATCH($A142,Raw_매출!$A$2:$A$155,0),MATCH(EDATE($E142,BF$1-1),Raw_매출!$B$1:$BI$1,0))/(INDEX(요약_월별시즈널리티!$F$7:$F$18,MONTH(EDATE($E142,BF$1-1)))/100))),"")</f>
        <v/>
      </c>
      <c r="BG142" t="str" cm="1">
        <f t="array" ref="BG142">IFERROR(IF($E142&lt;44348,"",IF(INDEX(Raw_매출!$B$2:$BI$155,MATCH($A142,Raw_매출!$A$2:$A$155,0),MATCH(EDATE($E142,BG$1-1),Raw_매출!$B$1:$BI$1,0))=0,"",INDEX(Raw_매출!$B$2:$BI$155,MATCH($A142,Raw_매출!$A$2:$A$155,0),MATCH(EDATE($E142,BG$1-1),Raw_매출!$B$1:$BI$1,0))/(INDEX(요약_월별시즈널리티!$F$7:$F$18,MONTH(EDATE($E142,BG$1-1)))/100))),"")</f>
        <v/>
      </c>
      <c r="BH142" t="str" cm="1">
        <f t="array" ref="BH142">IFERROR(IF($E142&lt;44348,"",IF(INDEX(Raw_매출!$B$2:$BI$155,MATCH($A142,Raw_매출!$A$2:$A$155,0),MATCH(EDATE($E142,BH$1-1),Raw_매출!$B$1:$BI$1,0))=0,"",INDEX(Raw_매출!$B$2:$BI$155,MATCH($A142,Raw_매출!$A$2:$A$155,0),MATCH(EDATE($E142,BH$1-1),Raw_매출!$B$1:$BI$1,0))/(INDEX(요약_월별시즈널리티!$F$7:$F$18,MONTH(EDATE($E142,BH$1-1)))/100))),"")</f>
        <v/>
      </c>
      <c r="BI142" t="str" cm="1">
        <f t="array" ref="BI142">IFERROR(IF($E142&lt;44348,"",IF(INDEX(Raw_매출!$B$2:$BI$155,MATCH($A142,Raw_매출!$A$2:$A$155,0),MATCH(EDATE($E142,BI$1-1),Raw_매출!$B$1:$BI$1,0))=0,"",INDEX(Raw_매출!$B$2:$BI$155,MATCH($A142,Raw_매출!$A$2:$A$155,0),MATCH(EDATE($E142,BI$1-1),Raw_매출!$B$1:$BI$1,0))/(INDEX(요약_월별시즈널리티!$F$7:$F$18,MONTH(EDATE($E142,BI$1-1)))/100))),"")</f>
        <v/>
      </c>
      <c r="BJ142" t="str" cm="1">
        <f t="array" ref="BJ142">IFERROR(IF($E142&lt;44348,"",IF(INDEX(Raw_매출!$B$2:$BI$155,MATCH($A142,Raw_매출!$A$2:$A$155,0),MATCH(EDATE($E142,BJ$1-1),Raw_매출!$B$1:$BI$1,0))=0,"",INDEX(Raw_매출!$B$2:$BI$155,MATCH($A142,Raw_매출!$A$2:$A$155,0),MATCH(EDATE($E142,BJ$1-1),Raw_매출!$B$1:$BI$1,0))/(INDEX(요약_월별시즈널리티!$F$7:$F$18,MONTH(EDATE($E142,BJ$1-1)))/100))),"")</f>
        <v/>
      </c>
      <c r="BK142" t="str" cm="1">
        <f t="array" ref="BK142">IFERROR(IF($E142&lt;44348,"",IF(INDEX(Raw_매출!$B$2:$BI$155,MATCH($A142,Raw_매출!$A$2:$A$155,0),MATCH(EDATE($E142,BK$1-1),Raw_매출!$B$1:$BI$1,0))=0,"",INDEX(Raw_매출!$B$2:$BI$155,MATCH($A142,Raw_매출!$A$2:$A$155,0),MATCH(EDATE($E142,BK$1-1),Raw_매출!$B$1:$BI$1,0))/(INDEX(요약_월별시즈널리티!$F$7:$F$18,MONTH(EDATE($E142,BK$1-1)))/100))),"")</f>
        <v/>
      </c>
      <c r="BL142" t="str" cm="1">
        <f t="array" ref="BL142">IFERROR(IF($E142&lt;44348,"",IF(INDEX(Raw_매출!$B$2:$BI$155,MATCH($A142,Raw_매출!$A$2:$A$155,0),MATCH(EDATE($E142,BL$1-1),Raw_매출!$B$1:$BI$1,0))=0,"",INDEX(Raw_매출!$B$2:$BI$155,MATCH($A142,Raw_매출!$A$2:$A$155,0),MATCH(EDATE($E142,BL$1-1),Raw_매출!$B$1:$BI$1,0))/(INDEX(요약_월별시즈널리티!$F$7:$F$18,MONTH(EDATE($E142,BL$1-1)))/100))),"")</f>
        <v/>
      </c>
      <c r="BM142" t="str" cm="1">
        <f t="array" ref="BM142">IFERROR(IF($E142&lt;44348,"",IF(INDEX(Raw_매출!$B$2:$BI$155,MATCH($A142,Raw_매출!$A$2:$A$155,0),MATCH(EDATE($E142,BM$1-1),Raw_매출!$B$1:$BI$1,0))=0,"",INDEX(Raw_매출!$B$2:$BI$155,MATCH($A142,Raw_매출!$A$2:$A$155,0),MATCH(EDATE($E142,BM$1-1),Raw_매출!$B$1:$BI$1,0))/(INDEX(요약_월별시즈널리티!$F$7:$F$18,MONTH(EDATE($E142,BM$1-1)))/100))),"")</f>
        <v/>
      </c>
      <c r="BN142" t="str" cm="1">
        <f t="array" ref="BN142">IFERROR(IF($E142&lt;44348,"",IF(INDEX(Raw_매출!$B$2:$BI$155,MATCH($A142,Raw_매출!$A$2:$A$155,0),MATCH(EDATE($E142,BN$1-1),Raw_매출!$B$1:$BI$1,0))=0,"",INDEX(Raw_매출!$B$2:$BI$155,MATCH($A142,Raw_매출!$A$2:$A$155,0),MATCH(EDATE($E142,BN$1-1),Raw_매출!$B$1:$BI$1,0))/(INDEX(요약_월별시즈널리티!$F$7:$F$18,MONTH(EDATE($E142,BN$1-1)))/100))),"")</f>
        <v/>
      </c>
    </row>
    <row r="143" spans="1:66" x14ac:dyDescent="0.4">
      <c r="A143" t="str">
        <f>세팅!A144</f>
        <v>(1134) #인하문화점</v>
      </c>
      <c r="B143" t="str">
        <f>세팅!B144</f>
        <v>150-1</v>
      </c>
      <c r="C143">
        <f t="shared" si="6"/>
        <v>1</v>
      </c>
      <c r="D143" t="str">
        <f t="shared" si="7"/>
        <v>1</v>
      </c>
      <c r="E143" s="1">
        <f>세팅!D144</f>
        <v>45962</v>
      </c>
      <c r="F143">
        <f t="shared" si="8"/>
        <v>4502968.5991658196</v>
      </c>
      <c r="G143" cm="1">
        <f t="array" ref="G143">IFERROR(IF($E143&lt;44348,"",IF(INDEX(Raw_매출!$B$2:$BI$155,MATCH($A143,Raw_매출!$A$2:$A$155,0),MATCH(EDATE($E143,G$1-1),Raw_매출!$B$1:$BI$1,0))=0,"",INDEX(Raw_매출!$B$2:$BI$155,MATCH($A143,Raw_매출!$A$2:$A$155,0),MATCH(EDATE($E143,G$1-1),Raw_매출!$B$1:$BI$1,0))/(INDEX(요약_월별시즈널리티!$F$7:$F$18,MONTH(EDATE($E143,G$1-1)))/100))),"")</f>
        <v>2986413.2960931505</v>
      </c>
      <c r="H143" cm="1">
        <f t="array" ref="H143">IFERROR(IF($E143&lt;44348,"",IF(INDEX(Raw_매출!$B$2:$BI$155,MATCH($A143,Raw_매출!$A$2:$A$155,0),MATCH(EDATE($E143,H$1-1),Raw_매출!$B$1:$BI$1,0))=0,"",INDEX(Raw_매출!$B$2:$BI$155,MATCH($A143,Raw_매출!$A$2:$A$155,0),MATCH(EDATE($E143,H$1-1),Raw_매출!$B$1:$BI$1,0))/(INDEX(요약_월별시즈널리티!$F$7:$F$18,MONTH(EDATE($E143,H$1-1)))/100))),"")</f>
        <v>3136816.2520177504</v>
      </c>
      <c r="I143" cm="1">
        <f t="array" ref="I143">IFERROR(IF($E143&lt;44348,"",IF(INDEX(Raw_매출!$B$2:$BI$155,MATCH($A143,Raw_매출!$A$2:$A$155,0),MATCH(EDATE($E143,I$1-1),Raw_매출!$B$1:$BI$1,0))=0,"",INDEX(Raw_매출!$B$2:$BI$155,MATCH($A143,Raw_매출!$A$2:$A$155,0),MATCH(EDATE($E143,I$1-1),Raw_매출!$B$1:$BI$1,0))/(INDEX(요약_월별시즈널리티!$F$7:$F$18,MONTH(EDATE($E143,I$1-1)))/100))),"")</f>
        <v>3821353.2883219793</v>
      </c>
      <c r="J143" s="30" cm="1">
        <f t="array" ref="J143">IFERROR(IF($E143&lt;44348,"",IF(INDEX(Raw_매출!$B$2:$BI$155,MATCH($A143,Raw_매출!$A$2:$A$155,0),MATCH(EDATE($E143,J$1-1),Raw_매출!$B$1:$BI$1,0))=0,"",INDEX(Raw_매출!$B$2:$BI$155,MATCH($A143,Raw_매출!$A$2:$A$155,0),MATCH(EDATE($E143,J$1-1),Raw_매출!$B$1:$BI$1,0))/(INDEX(요약_월별시즈널리티!$F$7:$F$18,MONTH(EDATE($E143,J$1-1)))/100))),"")</f>
        <v>4556971.556247429</v>
      </c>
      <c r="K143" s="30" cm="1">
        <f t="array" ref="K143">IFERROR(IF($E143&lt;44348,"",IF(INDEX(Raw_매출!$B$2:$BI$155,MATCH($A143,Raw_매출!$A$2:$A$155,0),MATCH(EDATE($E143,K$1-1),Raw_매출!$B$1:$BI$1,0))=0,"",INDEX(Raw_매출!$B$2:$BI$155,MATCH($A143,Raw_매출!$A$2:$A$155,0),MATCH(EDATE($E143,K$1-1),Raw_매출!$B$1:$BI$1,0))/(INDEX(요약_월별시즈널리티!$F$7:$F$18,MONTH(EDATE($E143,K$1-1)))/100))),"")</f>
        <v>4576614.9505313719</v>
      </c>
      <c r="L143" s="30" cm="1">
        <f t="array" ref="L143">IFERROR(IF($E143&lt;44348,"",IF(INDEX(Raw_매출!$B$2:$BI$155,MATCH($A143,Raw_매출!$A$2:$A$155,0),MATCH(EDATE($E143,L$1-1),Raw_매출!$B$1:$BI$1,0))=0,"",INDEX(Raw_매출!$B$2:$BI$155,MATCH($A143,Raw_매출!$A$2:$A$155,0),MATCH(EDATE($E143,L$1-1),Raw_매출!$B$1:$BI$1,0))/(INDEX(요약_월별시즈널리티!$F$7:$F$18,MONTH(EDATE($E143,L$1-1)))/100))),"")</f>
        <v>4327734.3860484473</v>
      </c>
      <c r="M143" s="30" cm="1">
        <f t="array" ref="M143">IFERROR(IF($E143&lt;44348,"",IF(INDEX(Raw_매출!$B$2:$BI$155,MATCH($A143,Raw_매출!$A$2:$A$155,0),MATCH(EDATE($E143,M$1-1),Raw_매출!$B$1:$BI$1,0))=0,"",INDEX(Raw_매출!$B$2:$BI$155,MATCH($A143,Raw_매출!$A$2:$A$155,0),MATCH(EDATE($E143,M$1-1),Raw_매출!$B$1:$BI$1,0))/(INDEX(요약_월별시즈널리티!$F$7:$F$18,MONTH(EDATE($E143,M$1-1)))/100))),"")</f>
        <v>4550553.5038360301</v>
      </c>
      <c r="N143" s="30" t="str" cm="1">
        <f t="array" ref="N143">IFERROR(IF($E143&lt;44348,"",IF(INDEX(Raw_매출!$B$2:$BI$155,MATCH($A143,Raw_매출!$A$2:$A$155,0),MATCH(EDATE($E143,N$1-1),Raw_매출!$B$1:$BI$1,0))=0,"",INDEX(Raw_매출!$B$2:$BI$155,MATCH($A143,Raw_매출!$A$2:$A$155,0),MATCH(EDATE($E143,N$1-1),Raw_매출!$B$1:$BI$1,0))/(INDEX(요약_월별시즈널리티!$F$7:$F$18,MONTH(EDATE($E143,N$1-1)))/100))),"")</f>
        <v/>
      </c>
      <c r="O143" s="30" t="str" cm="1">
        <f t="array" ref="O143">IFERROR(IF($E143&lt;44348,"",IF(INDEX(Raw_매출!$B$2:$BI$155,MATCH($A143,Raw_매출!$A$2:$A$155,0),MATCH(EDATE($E143,O$1-1),Raw_매출!$B$1:$BI$1,0))=0,"",INDEX(Raw_매출!$B$2:$BI$155,MATCH($A143,Raw_매출!$A$2:$A$155,0),MATCH(EDATE($E143,O$1-1),Raw_매출!$B$1:$BI$1,0))/(INDEX(요약_월별시즈널리티!$F$7:$F$18,MONTH(EDATE($E143,O$1-1)))/100))),"")</f>
        <v/>
      </c>
      <c r="P143" t="str" cm="1">
        <f t="array" ref="P143">IFERROR(IF($E143&lt;44348,"",IF(INDEX(Raw_매출!$B$2:$BI$155,MATCH($A143,Raw_매출!$A$2:$A$155,0),MATCH(EDATE($E143,P$1-1),Raw_매출!$B$1:$BI$1,0))=0,"",INDEX(Raw_매출!$B$2:$BI$155,MATCH($A143,Raw_매출!$A$2:$A$155,0),MATCH(EDATE($E143,P$1-1),Raw_매출!$B$1:$BI$1,0))/(INDEX(요약_월별시즈널리티!$F$7:$F$18,MONTH(EDATE($E143,P$1-1)))/100))),"")</f>
        <v/>
      </c>
      <c r="Q143" t="str" cm="1">
        <f t="array" ref="Q143">IFERROR(IF($E143&lt;44348,"",IF(INDEX(Raw_매출!$B$2:$BI$155,MATCH($A143,Raw_매출!$A$2:$A$155,0),MATCH(EDATE($E143,Q$1-1),Raw_매출!$B$1:$BI$1,0))=0,"",INDEX(Raw_매출!$B$2:$BI$155,MATCH($A143,Raw_매출!$A$2:$A$155,0),MATCH(EDATE($E143,Q$1-1),Raw_매출!$B$1:$BI$1,0))/(INDEX(요약_월별시즈널리티!$F$7:$F$18,MONTH(EDATE($E143,Q$1-1)))/100))),"")</f>
        <v/>
      </c>
      <c r="R143" t="str" cm="1">
        <f t="array" ref="R143">IFERROR(IF($E143&lt;44348,"",IF(INDEX(Raw_매출!$B$2:$BI$155,MATCH($A143,Raw_매출!$A$2:$A$155,0),MATCH(EDATE($E143,R$1-1),Raw_매출!$B$1:$BI$1,0))=0,"",INDEX(Raw_매출!$B$2:$BI$155,MATCH($A143,Raw_매출!$A$2:$A$155,0),MATCH(EDATE($E143,R$1-1),Raw_매출!$B$1:$BI$1,0))/(INDEX(요약_월별시즈널리티!$F$7:$F$18,MONTH(EDATE($E143,R$1-1)))/100))),"")</f>
        <v/>
      </c>
      <c r="S143" t="str" cm="1">
        <f t="array" ref="S143">IFERROR(IF($E143&lt;44348,"",IF(INDEX(Raw_매출!$B$2:$BI$155,MATCH($A143,Raw_매출!$A$2:$A$155,0),MATCH(EDATE($E143,S$1-1),Raw_매출!$B$1:$BI$1,0))=0,"",INDEX(Raw_매출!$B$2:$BI$155,MATCH($A143,Raw_매출!$A$2:$A$155,0),MATCH(EDATE($E143,S$1-1),Raw_매출!$B$1:$BI$1,0))/(INDEX(요약_월별시즈널리티!$F$7:$F$18,MONTH(EDATE($E143,S$1-1)))/100))),"")</f>
        <v/>
      </c>
      <c r="T143" t="str" cm="1">
        <f t="array" ref="T143">IFERROR(IF($E143&lt;44348,"",IF(INDEX(Raw_매출!$B$2:$BI$155,MATCH($A143,Raw_매출!$A$2:$A$155,0),MATCH(EDATE($E143,T$1-1),Raw_매출!$B$1:$BI$1,0))=0,"",INDEX(Raw_매출!$B$2:$BI$155,MATCH($A143,Raw_매출!$A$2:$A$155,0),MATCH(EDATE($E143,T$1-1),Raw_매출!$B$1:$BI$1,0))/(INDEX(요약_월별시즈널리티!$F$7:$F$18,MONTH(EDATE($E143,T$1-1)))/100))),"")</f>
        <v/>
      </c>
      <c r="U143" t="str" cm="1">
        <f t="array" ref="U143">IFERROR(IF($E143&lt;44348,"",IF(INDEX(Raw_매출!$B$2:$BI$155,MATCH($A143,Raw_매출!$A$2:$A$155,0),MATCH(EDATE($E143,U$1-1),Raw_매출!$B$1:$BI$1,0))=0,"",INDEX(Raw_매출!$B$2:$BI$155,MATCH($A143,Raw_매출!$A$2:$A$155,0),MATCH(EDATE($E143,U$1-1),Raw_매출!$B$1:$BI$1,0))/(INDEX(요약_월별시즈널리티!$F$7:$F$18,MONTH(EDATE($E143,U$1-1)))/100))),"")</f>
        <v/>
      </c>
      <c r="V143" t="str" cm="1">
        <f t="array" ref="V143">IFERROR(IF($E143&lt;44348,"",IF(INDEX(Raw_매출!$B$2:$BI$155,MATCH($A143,Raw_매출!$A$2:$A$155,0),MATCH(EDATE($E143,V$1-1),Raw_매출!$B$1:$BI$1,0))=0,"",INDEX(Raw_매출!$B$2:$BI$155,MATCH($A143,Raw_매출!$A$2:$A$155,0),MATCH(EDATE($E143,V$1-1),Raw_매출!$B$1:$BI$1,0))/(INDEX(요약_월별시즈널리티!$F$7:$F$18,MONTH(EDATE($E143,V$1-1)))/100))),"")</f>
        <v/>
      </c>
      <c r="W143" t="str" cm="1">
        <f t="array" ref="W143">IFERROR(IF($E143&lt;44348,"",IF(INDEX(Raw_매출!$B$2:$BI$155,MATCH($A143,Raw_매출!$A$2:$A$155,0),MATCH(EDATE($E143,W$1-1),Raw_매출!$B$1:$BI$1,0))=0,"",INDEX(Raw_매출!$B$2:$BI$155,MATCH($A143,Raw_매출!$A$2:$A$155,0),MATCH(EDATE($E143,W$1-1),Raw_매출!$B$1:$BI$1,0))/(INDEX(요약_월별시즈널리티!$F$7:$F$18,MONTH(EDATE($E143,W$1-1)))/100))),"")</f>
        <v/>
      </c>
      <c r="X143" t="str" cm="1">
        <f t="array" ref="X143">IFERROR(IF($E143&lt;44348,"",IF(INDEX(Raw_매출!$B$2:$BI$155,MATCH($A143,Raw_매출!$A$2:$A$155,0),MATCH(EDATE($E143,X$1-1),Raw_매출!$B$1:$BI$1,0))=0,"",INDEX(Raw_매출!$B$2:$BI$155,MATCH($A143,Raw_매출!$A$2:$A$155,0),MATCH(EDATE($E143,X$1-1),Raw_매출!$B$1:$BI$1,0))/(INDEX(요약_월별시즈널리티!$F$7:$F$18,MONTH(EDATE($E143,X$1-1)))/100))),"")</f>
        <v/>
      </c>
      <c r="Y143" t="str" cm="1">
        <f t="array" ref="Y143">IFERROR(IF($E143&lt;44348,"",IF(INDEX(Raw_매출!$B$2:$BI$155,MATCH($A143,Raw_매출!$A$2:$A$155,0),MATCH(EDATE($E143,Y$1-1),Raw_매출!$B$1:$BI$1,0))=0,"",INDEX(Raw_매출!$B$2:$BI$155,MATCH($A143,Raw_매출!$A$2:$A$155,0),MATCH(EDATE($E143,Y$1-1),Raw_매출!$B$1:$BI$1,0))/(INDEX(요약_월별시즈널리티!$F$7:$F$18,MONTH(EDATE($E143,Y$1-1)))/100))),"")</f>
        <v/>
      </c>
      <c r="Z143" t="str" cm="1">
        <f t="array" ref="Z143">IFERROR(IF($E143&lt;44348,"",IF(INDEX(Raw_매출!$B$2:$BI$155,MATCH($A143,Raw_매출!$A$2:$A$155,0),MATCH(EDATE($E143,Z$1-1),Raw_매출!$B$1:$BI$1,0))=0,"",INDEX(Raw_매출!$B$2:$BI$155,MATCH($A143,Raw_매출!$A$2:$A$155,0),MATCH(EDATE($E143,Z$1-1),Raw_매출!$B$1:$BI$1,0))/(INDEX(요약_월별시즈널리티!$F$7:$F$18,MONTH(EDATE($E143,Z$1-1)))/100))),"")</f>
        <v/>
      </c>
      <c r="AA143" t="str" cm="1">
        <f t="array" ref="AA143">IFERROR(IF($E143&lt;44348,"",IF(INDEX(Raw_매출!$B$2:$BI$155,MATCH($A143,Raw_매출!$A$2:$A$155,0),MATCH(EDATE($E143,AA$1-1),Raw_매출!$B$1:$BI$1,0))=0,"",INDEX(Raw_매출!$B$2:$BI$155,MATCH($A143,Raw_매출!$A$2:$A$155,0),MATCH(EDATE($E143,AA$1-1),Raw_매출!$B$1:$BI$1,0))/(INDEX(요약_월별시즈널리티!$F$7:$F$18,MONTH(EDATE($E143,AA$1-1)))/100))),"")</f>
        <v/>
      </c>
      <c r="AB143" t="str" cm="1">
        <f t="array" ref="AB143">IFERROR(IF($E143&lt;44348,"",IF(INDEX(Raw_매출!$B$2:$BI$155,MATCH($A143,Raw_매출!$A$2:$A$155,0),MATCH(EDATE($E143,AB$1-1),Raw_매출!$B$1:$BI$1,0))=0,"",INDEX(Raw_매출!$B$2:$BI$155,MATCH($A143,Raw_매출!$A$2:$A$155,0),MATCH(EDATE($E143,AB$1-1),Raw_매출!$B$1:$BI$1,0))/(INDEX(요약_월별시즈널리티!$F$7:$F$18,MONTH(EDATE($E143,AB$1-1)))/100))),"")</f>
        <v/>
      </c>
      <c r="AC143" t="str" cm="1">
        <f t="array" ref="AC143">IFERROR(IF($E143&lt;44348,"",IF(INDEX(Raw_매출!$B$2:$BI$155,MATCH($A143,Raw_매출!$A$2:$A$155,0),MATCH(EDATE($E143,AC$1-1),Raw_매출!$B$1:$BI$1,0))=0,"",INDEX(Raw_매출!$B$2:$BI$155,MATCH($A143,Raw_매출!$A$2:$A$155,0),MATCH(EDATE($E143,AC$1-1),Raw_매출!$B$1:$BI$1,0))/(INDEX(요약_월별시즈널리티!$F$7:$F$18,MONTH(EDATE($E143,AC$1-1)))/100))),"")</f>
        <v/>
      </c>
      <c r="AD143" t="str" cm="1">
        <f t="array" ref="AD143">IFERROR(IF($E143&lt;44348,"",IF(INDEX(Raw_매출!$B$2:$BI$155,MATCH($A143,Raw_매출!$A$2:$A$155,0),MATCH(EDATE($E143,AD$1-1),Raw_매출!$B$1:$BI$1,0))=0,"",INDEX(Raw_매출!$B$2:$BI$155,MATCH($A143,Raw_매출!$A$2:$A$155,0),MATCH(EDATE($E143,AD$1-1),Raw_매출!$B$1:$BI$1,0))/(INDEX(요약_월별시즈널리티!$F$7:$F$18,MONTH(EDATE($E143,AD$1-1)))/100))),"")</f>
        <v/>
      </c>
      <c r="AE143" t="str" cm="1">
        <f t="array" ref="AE143">IFERROR(IF($E143&lt;44348,"",IF(INDEX(Raw_매출!$B$2:$BI$155,MATCH($A143,Raw_매출!$A$2:$A$155,0),MATCH(EDATE($E143,AE$1-1),Raw_매출!$B$1:$BI$1,0))=0,"",INDEX(Raw_매출!$B$2:$BI$155,MATCH($A143,Raw_매출!$A$2:$A$155,0),MATCH(EDATE($E143,AE$1-1),Raw_매출!$B$1:$BI$1,0))/(INDEX(요약_월별시즈널리티!$F$7:$F$18,MONTH(EDATE($E143,AE$1-1)))/100))),"")</f>
        <v/>
      </c>
      <c r="AF143" t="str" cm="1">
        <f t="array" ref="AF143">IFERROR(IF($E143&lt;44348,"",IF(INDEX(Raw_매출!$B$2:$BI$155,MATCH($A143,Raw_매출!$A$2:$A$155,0),MATCH(EDATE($E143,AF$1-1),Raw_매출!$B$1:$BI$1,0))=0,"",INDEX(Raw_매출!$B$2:$BI$155,MATCH($A143,Raw_매출!$A$2:$A$155,0),MATCH(EDATE($E143,AF$1-1),Raw_매출!$B$1:$BI$1,0))/(INDEX(요약_월별시즈널리티!$F$7:$F$18,MONTH(EDATE($E143,AF$1-1)))/100))),"")</f>
        <v/>
      </c>
      <c r="AG143" t="str" cm="1">
        <f t="array" ref="AG143">IFERROR(IF($E143&lt;44348,"",IF(INDEX(Raw_매출!$B$2:$BI$155,MATCH($A143,Raw_매출!$A$2:$A$155,0),MATCH(EDATE($E143,AG$1-1),Raw_매출!$B$1:$BI$1,0))=0,"",INDEX(Raw_매출!$B$2:$BI$155,MATCH($A143,Raw_매출!$A$2:$A$155,0),MATCH(EDATE($E143,AG$1-1),Raw_매출!$B$1:$BI$1,0))/(INDEX(요약_월별시즈널리티!$F$7:$F$18,MONTH(EDATE($E143,AG$1-1)))/100))),"")</f>
        <v/>
      </c>
      <c r="AH143" t="str" cm="1">
        <f t="array" ref="AH143">IFERROR(IF($E143&lt;44348,"",IF(INDEX(Raw_매출!$B$2:$BI$155,MATCH($A143,Raw_매출!$A$2:$A$155,0),MATCH(EDATE($E143,AH$1-1),Raw_매출!$B$1:$BI$1,0))=0,"",INDEX(Raw_매출!$B$2:$BI$155,MATCH($A143,Raw_매출!$A$2:$A$155,0),MATCH(EDATE($E143,AH$1-1),Raw_매출!$B$1:$BI$1,0))/(INDEX(요약_월별시즈널리티!$F$7:$F$18,MONTH(EDATE($E143,AH$1-1)))/100))),"")</f>
        <v/>
      </c>
      <c r="AI143" t="str" cm="1">
        <f t="array" ref="AI143">IFERROR(IF($E143&lt;44348,"",IF(INDEX(Raw_매출!$B$2:$BI$155,MATCH($A143,Raw_매출!$A$2:$A$155,0),MATCH(EDATE($E143,AI$1-1),Raw_매출!$B$1:$BI$1,0))=0,"",INDEX(Raw_매출!$B$2:$BI$155,MATCH($A143,Raw_매출!$A$2:$A$155,0),MATCH(EDATE($E143,AI$1-1),Raw_매출!$B$1:$BI$1,0))/(INDEX(요약_월별시즈널리티!$F$7:$F$18,MONTH(EDATE($E143,AI$1-1)))/100))),"")</f>
        <v/>
      </c>
      <c r="AJ143" t="str" cm="1">
        <f t="array" ref="AJ143">IFERROR(IF($E143&lt;44348,"",IF(INDEX(Raw_매출!$B$2:$BI$155,MATCH($A143,Raw_매출!$A$2:$A$155,0),MATCH(EDATE($E143,AJ$1-1),Raw_매출!$B$1:$BI$1,0))=0,"",INDEX(Raw_매출!$B$2:$BI$155,MATCH($A143,Raw_매출!$A$2:$A$155,0),MATCH(EDATE($E143,AJ$1-1),Raw_매출!$B$1:$BI$1,0))/(INDEX(요약_월별시즈널리티!$F$7:$F$18,MONTH(EDATE($E143,AJ$1-1)))/100))),"")</f>
        <v/>
      </c>
      <c r="AK143" t="str" cm="1">
        <f t="array" ref="AK143">IFERROR(IF($E143&lt;44348,"",IF(INDEX(Raw_매출!$B$2:$BI$155,MATCH($A143,Raw_매출!$A$2:$A$155,0),MATCH(EDATE($E143,AK$1-1),Raw_매출!$B$1:$BI$1,0))=0,"",INDEX(Raw_매출!$B$2:$BI$155,MATCH($A143,Raw_매출!$A$2:$A$155,0),MATCH(EDATE($E143,AK$1-1),Raw_매출!$B$1:$BI$1,0))/(INDEX(요약_월별시즈널리티!$F$7:$F$18,MONTH(EDATE($E143,AK$1-1)))/100))),"")</f>
        <v/>
      </c>
      <c r="AL143" t="str" cm="1">
        <f t="array" ref="AL143">IFERROR(IF($E143&lt;44348,"",IF(INDEX(Raw_매출!$B$2:$BI$155,MATCH($A143,Raw_매출!$A$2:$A$155,0),MATCH(EDATE($E143,AL$1-1),Raw_매출!$B$1:$BI$1,0))=0,"",INDEX(Raw_매출!$B$2:$BI$155,MATCH($A143,Raw_매출!$A$2:$A$155,0),MATCH(EDATE($E143,AL$1-1),Raw_매출!$B$1:$BI$1,0))/(INDEX(요약_월별시즈널리티!$F$7:$F$18,MONTH(EDATE($E143,AL$1-1)))/100))),"")</f>
        <v/>
      </c>
      <c r="AM143" t="str" cm="1">
        <f t="array" ref="AM143">IFERROR(IF($E143&lt;44348,"",IF(INDEX(Raw_매출!$B$2:$BI$155,MATCH($A143,Raw_매출!$A$2:$A$155,0),MATCH(EDATE($E143,AM$1-1),Raw_매출!$B$1:$BI$1,0))=0,"",INDEX(Raw_매출!$B$2:$BI$155,MATCH($A143,Raw_매출!$A$2:$A$155,0),MATCH(EDATE($E143,AM$1-1),Raw_매출!$B$1:$BI$1,0))/(INDEX(요약_월별시즈널리티!$F$7:$F$18,MONTH(EDATE($E143,AM$1-1)))/100))),"")</f>
        <v/>
      </c>
      <c r="AN143" t="str" cm="1">
        <f t="array" ref="AN143">IFERROR(IF($E143&lt;44348,"",IF(INDEX(Raw_매출!$B$2:$BI$155,MATCH($A143,Raw_매출!$A$2:$A$155,0),MATCH(EDATE($E143,AN$1-1),Raw_매출!$B$1:$BI$1,0))=0,"",INDEX(Raw_매출!$B$2:$BI$155,MATCH($A143,Raw_매출!$A$2:$A$155,0),MATCH(EDATE($E143,AN$1-1),Raw_매출!$B$1:$BI$1,0))/(INDEX(요약_월별시즈널리티!$F$7:$F$18,MONTH(EDATE($E143,AN$1-1)))/100))),"")</f>
        <v/>
      </c>
      <c r="AO143" t="str" cm="1">
        <f t="array" ref="AO143">IFERROR(IF($E143&lt;44348,"",IF(INDEX(Raw_매출!$B$2:$BI$155,MATCH($A143,Raw_매출!$A$2:$A$155,0),MATCH(EDATE($E143,AO$1-1),Raw_매출!$B$1:$BI$1,0))=0,"",INDEX(Raw_매출!$B$2:$BI$155,MATCH($A143,Raw_매출!$A$2:$A$155,0),MATCH(EDATE($E143,AO$1-1),Raw_매출!$B$1:$BI$1,0))/(INDEX(요약_월별시즈널리티!$F$7:$F$18,MONTH(EDATE($E143,AO$1-1)))/100))),"")</f>
        <v/>
      </c>
      <c r="AP143" t="str" cm="1">
        <f t="array" ref="AP143">IFERROR(IF($E143&lt;44348,"",IF(INDEX(Raw_매출!$B$2:$BI$155,MATCH($A143,Raw_매출!$A$2:$A$155,0),MATCH(EDATE($E143,AP$1-1),Raw_매출!$B$1:$BI$1,0))=0,"",INDEX(Raw_매출!$B$2:$BI$155,MATCH($A143,Raw_매출!$A$2:$A$155,0),MATCH(EDATE($E143,AP$1-1),Raw_매출!$B$1:$BI$1,0))/(INDEX(요약_월별시즈널리티!$F$7:$F$18,MONTH(EDATE($E143,AP$1-1)))/100))),"")</f>
        <v/>
      </c>
      <c r="AQ143" t="str" cm="1">
        <f t="array" ref="AQ143">IFERROR(IF($E143&lt;44348,"",IF(INDEX(Raw_매출!$B$2:$BI$155,MATCH($A143,Raw_매출!$A$2:$A$155,0),MATCH(EDATE($E143,AQ$1-1),Raw_매출!$B$1:$BI$1,0))=0,"",INDEX(Raw_매출!$B$2:$BI$155,MATCH($A143,Raw_매출!$A$2:$A$155,0),MATCH(EDATE($E143,AQ$1-1),Raw_매출!$B$1:$BI$1,0))/(INDEX(요약_월별시즈널리티!$F$7:$F$18,MONTH(EDATE($E143,AQ$1-1)))/100))),"")</f>
        <v/>
      </c>
      <c r="AR143" t="str" cm="1">
        <f t="array" ref="AR143">IFERROR(IF($E143&lt;44348,"",IF(INDEX(Raw_매출!$B$2:$BI$155,MATCH($A143,Raw_매출!$A$2:$A$155,0),MATCH(EDATE($E143,AR$1-1),Raw_매출!$B$1:$BI$1,0))=0,"",INDEX(Raw_매출!$B$2:$BI$155,MATCH($A143,Raw_매출!$A$2:$A$155,0),MATCH(EDATE($E143,AR$1-1),Raw_매출!$B$1:$BI$1,0))/(INDEX(요약_월별시즈널리티!$F$7:$F$18,MONTH(EDATE($E143,AR$1-1)))/100))),"")</f>
        <v/>
      </c>
      <c r="AS143" t="str" cm="1">
        <f t="array" ref="AS143">IFERROR(IF($E143&lt;44348,"",IF(INDEX(Raw_매출!$B$2:$BI$155,MATCH($A143,Raw_매출!$A$2:$A$155,0),MATCH(EDATE($E143,AS$1-1),Raw_매출!$B$1:$BI$1,0))=0,"",INDEX(Raw_매출!$B$2:$BI$155,MATCH($A143,Raw_매출!$A$2:$A$155,0),MATCH(EDATE($E143,AS$1-1),Raw_매출!$B$1:$BI$1,0))/(INDEX(요약_월별시즈널리티!$F$7:$F$18,MONTH(EDATE($E143,AS$1-1)))/100))),"")</f>
        <v/>
      </c>
      <c r="AT143" t="str" cm="1">
        <f t="array" ref="AT143">IFERROR(IF($E143&lt;44348,"",IF(INDEX(Raw_매출!$B$2:$BI$155,MATCH($A143,Raw_매출!$A$2:$A$155,0),MATCH(EDATE($E143,AT$1-1),Raw_매출!$B$1:$BI$1,0))=0,"",INDEX(Raw_매출!$B$2:$BI$155,MATCH($A143,Raw_매출!$A$2:$A$155,0),MATCH(EDATE($E143,AT$1-1),Raw_매출!$B$1:$BI$1,0))/(INDEX(요약_월별시즈널리티!$F$7:$F$18,MONTH(EDATE($E143,AT$1-1)))/100))),"")</f>
        <v/>
      </c>
      <c r="AU143" t="str" cm="1">
        <f t="array" ref="AU143">IFERROR(IF($E143&lt;44348,"",IF(INDEX(Raw_매출!$B$2:$BI$155,MATCH($A143,Raw_매출!$A$2:$A$155,0),MATCH(EDATE($E143,AU$1-1),Raw_매출!$B$1:$BI$1,0))=0,"",INDEX(Raw_매출!$B$2:$BI$155,MATCH($A143,Raw_매출!$A$2:$A$155,0),MATCH(EDATE($E143,AU$1-1),Raw_매출!$B$1:$BI$1,0))/(INDEX(요약_월별시즈널리티!$F$7:$F$18,MONTH(EDATE($E143,AU$1-1)))/100))),"")</f>
        <v/>
      </c>
      <c r="AV143" t="str" cm="1">
        <f t="array" ref="AV143">IFERROR(IF($E143&lt;44348,"",IF(INDEX(Raw_매출!$B$2:$BI$155,MATCH($A143,Raw_매출!$A$2:$A$155,0),MATCH(EDATE($E143,AV$1-1),Raw_매출!$B$1:$BI$1,0))=0,"",INDEX(Raw_매출!$B$2:$BI$155,MATCH($A143,Raw_매출!$A$2:$A$155,0),MATCH(EDATE($E143,AV$1-1),Raw_매출!$B$1:$BI$1,0))/(INDEX(요약_월별시즈널리티!$F$7:$F$18,MONTH(EDATE($E143,AV$1-1)))/100))),"")</f>
        <v/>
      </c>
      <c r="AW143" t="str" cm="1">
        <f t="array" ref="AW143">IFERROR(IF($E143&lt;44348,"",IF(INDEX(Raw_매출!$B$2:$BI$155,MATCH($A143,Raw_매출!$A$2:$A$155,0),MATCH(EDATE($E143,AW$1-1),Raw_매출!$B$1:$BI$1,0))=0,"",INDEX(Raw_매출!$B$2:$BI$155,MATCH($A143,Raw_매출!$A$2:$A$155,0),MATCH(EDATE($E143,AW$1-1),Raw_매출!$B$1:$BI$1,0))/(INDEX(요약_월별시즈널리티!$F$7:$F$18,MONTH(EDATE($E143,AW$1-1)))/100))),"")</f>
        <v/>
      </c>
      <c r="AX143" t="str" cm="1">
        <f t="array" ref="AX143">IFERROR(IF($E143&lt;44348,"",IF(INDEX(Raw_매출!$B$2:$BI$155,MATCH($A143,Raw_매출!$A$2:$A$155,0),MATCH(EDATE($E143,AX$1-1),Raw_매출!$B$1:$BI$1,0))=0,"",INDEX(Raw_매출!$B$2:$BI$155,MATCH($A143,Raw_매출!$A$2:$A$155,0),MATCH(EDATE($E143,AX$1-1),Raw_매출!$B$1:$BI$1,0))/(INDEX(요약_월별시즈널리티!$F$7:$F$18,MONTH(EDATE($E143,AX$1-1)))/100))),"")</f>
        <v/>
      </c>
      <c r="AY143" t="str" cm="1">
        <f t="array" ref="AY143">IFERROR(IF($E143&lt;44348,"",IF(INDEX(Raw_매출!$B$2:$BI$155,MATCH($A143,Raw_매출!$A$2:$A$155,0),MATCH(EDATE($E143,AY$1-1),Raw_매출!$B$1:$BI$1,0))=0,"",INDEX(Raw_매출!$B$2:$BI$155,MATCH($A143,Raw_매출!$A$2:$A$155,0),MATCH(EDATE($E143,AY$1-1),Raw_매출!$B$1:$BI$1,0))/(INDEX(요약_월별시즈널리티!$F$7:$F$18,MONTH(EDATE($E143,AY$1-1)))/100))),"")</f>
        <v/>
      </c>
      <c r="AZ143" t="str" cm="1">
        <f t="array" ref="AZ143">IFERROR(IF($E143&lt;44348,"",IF(INDEX(Raw_매출!$B$2:$BI$155,MATCH($A143,Raw_매출!$A$2:$A$155,0),MATCH(EDATE($E143,AZ$1-1),Raw_매출!$B$1:$BI$1,0))=0,"",INDEX(Raw_매출!$B$2:$BI$155,MATCH($A143,Raw_매출!$A$2:$A$155,0),MATCH(EDATE($E143,AZ$1-1),Raw_매출!$B$1:$BI$1,0))/(INDEX(요약_월별시즈널리티!$F$7:$F$18,MONTH(EDATE($E143,AZ$1-1)))/100))),"")</f>
        <v/>
      </c>
      <c r="BA143" t="str" cm="1">
        <f t="array" ref="BA143">IFERROR(IF($E143&lt;44348,"",IF(INDEX(Raw_매출!$B$2:$BI$155,MATCH($A143,Raw_매출!$A$2:$A$155,0),MATCH(EDATE($E143,BA$1-1),Raw_매출!$B$1:$BI$1,0))=0,"",INDEX(Raw_매출!$B$2:$BI$155,MATCH($A143,Raw_매출!$A$2:$A$155,0),MATCH(EDATE($E143,BA$1-1),Raw_매출!$B$1:$BI$1,0))/(INDEX(요약_월별시즈널리티!$F$7:$F$18,MONTH(EDATE($E143,BA$1-1)))/100))),"")</f>
        <v/>
      </c>
      <c r="BB143" t="str" cm="1">
        <f t="array" ref="BB143">IFERROR(IF($E143&lt;44348,"",IF(INDEX(Raw_매출!$B$2:$BI$155,MATCH($A143,Raw_매출!$A$2:$A$155,0),MATCH(EDATE($E143,BB$1-1),Raw_매출!$B$1:$BI$1,0))=0,"",INDEX(Raw_매출!$B$2:$BI$155,MATCH($A143,Raw_매출!$A$2:$A$155,0),MATCH(EDATE($E143,BB$1-1),Raw_매출!$B$1:$BI$1,0))/(INDEX(요약_월별시즈널리티!$F$7:$F$18,MONTH(EDATE($E143,BB$1-1)))/100))),"")</f>
        <v/>
      </c>
      <c r="BC143" t="str" cm="1">
        <f t="array" ref="BC143">IFERROR(IF($E143&lt;44348,"",IF(INDEX(Raw_매출!$B$2:$BI$155,MATCH($A143,Raw_매출!$A$2:$A$155,0),MATCH(EDATE($E143,BC$1-1),Raw_매출!$B$1:$BI$1,0))=0,"",INDEX(Raw_매출!$B$2:$BI$155,MATCH($A143,Raw_매출!$A$2:$A$155,0),MATCH(EDATE($E143,BC$1-1),Raw_매출!$B$1:$BI$1,0))/(INDEX(요약_월별시즈널리티!$F$7:$F$18,MONTH(EDATE($E143,BC$1-1)))/100))),"")</f>
        <v/>
      </c>
      <c r="BD143" t="str" cm="1">
        <f t="array" ref="BD143">IFERROR(IF($E143&lt;44348,"",IF(INDEX(Raw_매출!$B$2:$BI$155,MATCH($A143,Raw_매출!$A$2:$A$155,0),MATCH(EDATE($E143,BD$1-1),Raw_매출!$B$1:$BI$1,0))=0,"",INDEX(Raw_매출!$B$2:$BI$155,MATCH($A143,Raw_매출!$A$2:$A$155,0),MATCH(EDATE($E143,BD$1-1),Raw_매출!$B$1:$BI$1,0))/(INDEX(요약_월별시즈널리티!$F$7:$F$18,MONTH(EDATE($E143,BD$1-1)))/100))),"")</f>
        <v/>
      </c>
      <c r="BE143" t="str" cm="1">
        <f t="array" ref="BE143">IFERROR(IF($E143&lt;44348,"",IF(INDEX(Raw_매출!$B$2:$BI$155,MATCH($A143,Raw_매출!$A$2:$A$155,0),MATCH(EDATE($E143,BE$1-1),Raw_매출!$B$1:$BI$1,0))=0,"",INDEX(Raw_매출!$B$2:$BI$155,MATCH($A143,Raw_매출!$A$2:$A$155,0),MATCH(EDATE($E143,BE$1-1),Raw_매출!$B$1:$BI$1,0))/(INDEX(요약_월별시즈널리티!$F$7:$F$18,MONTH(EDATE($E143,BE$1-1)))/100))),"")</f>
        <v/>
      </c>
      <c r="BF143" t="str" cm="1">
        <f t="array" ref="BF143">IFERROR(IF($E143&lt;44348,"",IF(INDEX(Raw_매출!$B$2:$BI$155,MATCH($A143,Raw_매출!$A$2:$A$155,0),MATCH(EDATE($E143,BF$1-1),Raw_매출!$B$1:$BI$1,0))=0,"",INDEX(Raw_매출!$B$2:$BI$155,MATCH($A143,Raw_매출!$A$2:$A$155,0),MATCH(EDATE($E143,BF$1-1),Raw_매출!$B$1:$BI$1,0))/(INDEX(요약_월별시즈널리티!$F$7:$F$18,MONTH(EDATE($E143,BF$1-1)))/100))),"")</f>
        <v/>
      </c>
      <c r="BG143" t="str" cm="1">
        <f t="array" ref="BG143">IFERROR(IF($E143&lt;44348,"",IF(INDEX(Raw_매출!$B$2:$BI$155,MATCH($A143,Raw_매출!$A$2:$A$155,0),MATCH(EDATE($E143,BG$1-1),Raw_매출!$B$1:$BI$1,0))=0,"",INDEX(Raw_매출!$B$2:$BI$155,MATCH($A143,Raw_매출!$A$2:$A$155,0),MATCH(EDATE($E143,BG$1-1),Raw_매출!$B$1:$BI$1,0))/(INDEX(요약_월별시즈널리티!$F$7:$F$18,MONTH(EDATE($E143,BG$1-1)))/100))),"")</f>
        <v/>
      </c>
      <c r="BH143" t="str" cm="1">
        <f t="array" ref="BH143">IFERROR(IF($E143&lt;44348,"",IF(INDEX(Raw_매출!$B$2:$BI$155,MATCH($A143,Raw_매출!$A$2:$A$155,0),MATCH(EDATE($E143,BH$1-1),Raw_매출!$B$1:$BI$1,0))=0,"",INDEX(Raw_매출!$B$2:$BI$155,MATCH($A143,Raw_매출!$A$2:$A$155,0),MATCH(EDATE($E143,BH$1-1),Raw_매출!$B$1:$BI$1,0))/(INDEX(요약_월별시즈널리티!$F$7:$F$18,MONTH(EDATE($E143,BH$1-1)))/100))),"")</f>
        <v/>
      </c>
      <c r="BI143" t="str" cm="1">
        <f t="array" ref="BI143">IFERROR(IF($E143&lt;44348,"",IF(INDEX(Raw_매출!$B$2:$BI$155,MATCH($A143,Raw_매출!$A$2:$A$155,0),MATCH(EDATE($E143,BI$1-1),Raw_매출!$B$1:$BI$1,0))=0,"",INDEX(Raw_매출!$B$2:$BI$155,MATCH($A143,Raw_매출!$A$2:$A$155,0),MATCH(EDATE($E143,BI$1-1),Raw_매출!$B$1:$BI$1,0))/(INDEX(요약_월별시즈널리티!$F$7:$F$18,MONTH(EDATE($E143,BI$1-1)))/100))),"")</f>
        <v/>
      </c>
      <c r="BJ143" t="str" cm="1">
        <f t="array" ref="BJ143">IFERROR(IF($E143&lt;44348,"",IF(INDEX(Raw_매출!$B$2:$BI$155,MATCH($A143,Raw_매출!$A$2:$A$155,0),MATCH(EDATE($E143,BJ$1-1),Raw_매출!$B$1:$BI$1,0))=0,"",INDEX(Raw_매출!$B$2:$BI$155,MATCH($A143,Raw_매출!$A$2:$A$155,0),MATCH(EDATE($E143,BJ$1-1),Raw_매출!$B$1:$BI$1,0))/(INDEX(요약_월별시즈널리티!$F$7:$F$18,MONTH(EDATE($E143,BJ$1-1)))/100))),"")</f>
        <v/>
      </c>
      <c r="BK143" t="str" cm="1">
        <f t="array" ref="BK143">IFERROR(IF($E143&lt;44348,"",IF(INDEX(Raw_매출!$B$2:$BI$155,MATCH($A143,Raw_매출!$A$2:$A$155,0),MATCH(EDATE($E143,BK$1-1),Raw_매출!$B$1:$BI$1,0))=0,"",INDEX(Raw_매출!$B$2:$BI$155,MATCH($A143,Raw_매출!$A$2:$A$155,0),MATCH(EDATE($E143,BK$1-1),Raw_매출!$B$1:$BI$1,0))/(INDEX(요약_월별시즈널리티!$F$7:$F$18,MONTH(EDATE($E143,BK$1-1)))/100))),"")</f>
        <v/>
      </c>
      <c r="BL143" t="str" cm="1">
        <f t="array" ref="BL143">IFERROR(IF($E143&lt;44348,"",IF(INDEX(Raw_매출!$B$2:$BI$155,MATCH($A143,Raw_매출!$A$2:$A$155,0),MATCH(EDATE($E143,BL$1-1),Raw_매출!$B$1:$BI$1,0))=0,"",INDEX(Raw_매출!$B$2:$BI$155,MATCH($A143,Raw_매출!$A$2:$A$155,0),MATCH(EDATE($E143,BL$1-1),Raw_매출!$B$1:$BI$1,0))/(INDEX(요약_월별시즈널리티!$F$7:$F$18,MONTH(EDATE($E143,BL$1-1)))/100))),"")</f>
        <v/>
      </c>
      <c r="BM143" t="str" cm="1">
        <f t="array" ref="BM143">IFERROR(IF($E143&lt;44348,"",IF(INDEX(Raw_매출!$B$2:$BI$155,MATCH($A143,Raw_매출!$A$2:$A$155,0),MATCH(EDATE($E143,BM$1-1),Raw_매출!$B$1:$BI$1,0))=0,"",INDEX(Raw_매출!$B$2:$BI$155,MATCH($A143,Raw_매출!$A$2:$A$155,0),MATCH(EDATE($E143,BM$1-1),Raw_매출!$B$1:$BI$1,0))/(INDEX(요약_월별시즈널리티!$F$7:$F$18,MONTH(EDATE($E143,BM$1-1)))/100))),"")</f>
        <v/>
      </c>
      <c r="BN143" t="str" cm="1">
        <f t="array" ref="BN143">IFERROR(IF($E143&lt;44348,"",IF(INDEX(Raw_매출!$B$2:$BI$155,MATCH($A143,Raw_매출!$A$2:$A$155,0),MATCH(EDATE($E143,BN$1-1),Raw_매출!$B$1:$BI$1,0))=0,"",INDEX(Raw_매출!$B$2:$BI$155,MATCH($A143,Raw_매출!$A$2:$A$155,0),MATCH(EDATE($E143,BN$1-1),Raw_매출!$B$1:$BI$1,0))/(INDEX(요약_월별시즈널리티!$F$7:$F$18,MONTH(EDATE($E143,BN$1-1)))/100))),"")</f>
        <v/>
      </c>
    </row>
    <row r="144" spans="1:66" x14ac:dyDescent="0.4">
      <c r="A144" t="str">
        <f>세팅!A145</f>
        <v>(1135) #관악미성점</v>
      </c>
      <c r="B144" t="str">
        <f>세팅!B145</f>
        <v>150-2</v>
      </c>
      <c r="C144">
        <f t="shared" si="6"/>
        <v>2</v>
      </c>
      <c r="D144" t="str">
        <f t="shared" si="7"/>
        <v>2</v>
      </c>
      <c r="E144" s="1">
        <f>세팅!D145</f>
        <v>45992</v>
      </c>
      <c r="F144" t="str">
        <f t="shared" si="8"/>
        <v/>
      </c>
      <c r="G144" cm="1">
        <f t="array" ref="G144">IFERROR(IF($E144&lt;44348,"",IF(INDEX(Raw_매출!$B$2:$BI$155,MATCH($A144,Raw_매출!$A$2:$A$155,0),MATCH(EDATE($E144,G$1-1),Raw_매출!$B$1:$BI$1,0))=0,"",INDEX(Raw_매출!$B$2:$BI$155,MATCH($A144,Raw_매출!$A$2:$A$155,0),MATCH(EDATE($E144,G$1-1),Raw_매출!$B$1:$BI$1,0))/(INDEX(요약_월별시즈널리티!$F$7:$F$18,MONTH(EDATE($E144,G$1-1)))/100))),"")</f>
        <v>1705021.3885326188</v>
      </c>
      <c r="H144" cm="1">
        <f t="array" ref="H144">IFERROR(IF($E144&lt;44348,"",IF(INDEX(Raw_매출!$B$2:$BI$155,MATCH($A144,Raw_매출!$A$2:$A$155,0),MATCH(EDATE($E144,H$1-1),Raw_매출!$B$1:$BI$1,0))=0,"",INDEX(Raw_매출!$B$2:$BI$155,MATCH($A144,Raw_매출!$A$2:$A$155,0),MATCH(EDATE($E144,H$1-1),Raw_매출!$B$1:$BI$1,0))/(INDEX(요약_월별시즈널리티!$F$7:$F$18,MONTH(EDATE($E144,H$1-1)))/100))),"")</f>
        <v>2682293.2061829008</v>
      </c>
      <c r="I144" cm="1">
        <f t="array" ref="I144">IFERROR(IF($E144&lt;44348,"",IF(INDEX(Raw_매출!$B$2:$BI$155,MATCH($A144,Raw_매출!$A$2:$A$155,0),MATCH(EDATE($E144,I$1-1),Raw_매출!$B$1:$BI$1,0))=0,"",INDEX(Raw_매출!$B$2:$BI$155,MATCH($A144,Raw_매출!$A$2:$A$155,0),MATCH(EDATE($E144,I$1-1),Raw_매출!$B$1:$BI$1,0))/(INDEX(요약_월별시즈널리티!$F$7:$F$18,MONTH(EDATE($E144,I$1-1)))/100))),"")</f>
        <v>3392069.5492198649</v>
      </c>
      <c r="J144" s="30" cm="1">
        <f t="array" ref="J144">IFERROR(IF($E144&lt;44348,"",IF(INDEX(Raw_매출!$B$2:$BI$155,MATCH($A144,Raw_매출!$A$2:$A$155,0),MATCH(EDATE($E144,J$1-1),Raw_매출!$B$1:$BI$1,0))=0,"",INDEX(Raw_매출!$B$2:$BI$155,MATCH($A144,Raw_매출!$A$2:$A$155,0),MATCH(EDATE($E144,J$1-1),Raw_매출!$B$1:$BI$1,0))/(INDEX(요약_월별시즈널리티!$F$7:$F$18,MONTH(EDATE($E144,J$1-1)))/100))),"")</f>
        <v>3302765.3972049323</v>
      </c>
      <c r="K144" s="30" cm="1">
        <f t="array" ref="K144">IFERROR(IF($E144&lt;44348,"",IF(INDEX(Raw_매출!$B$2:$BI$155,MATCH($A144,Raw_매출!$A$2:$A$155,0),MATCH(EDATE($E144,K$1-1),Raw_매출!$B$1:$BI$1,0))=0,"",INDEX(Raw_매출!$B$2:$BI$155,MATCH($A144,Raw_매출!$A$2:$A$155,0),MATCH(EDATE($E144,K$1-1),Raw_매출!$B$1:$BI$1,0))/(INDEX(요약_월별시즈널리티!$F$7:$F$18,MONTH(EDATE($E144,K$1-1)))/100))),"")</f>
        <v>3377464.1180693731</v>
      </c>
      <c r="L144" s="30" cm="1">
        <f t="array" ref="L144">IFERROR(IF($E144&lt;44348,"",IF(INDEX(Raw_매출!$B$2:$BI$155,MATCH($A144,Raw_매출!$A$2:$A$155,0),MATCH(EDATE($E144,L$1-1),Raw_매출!$B$1:$BI$1,0))=0,"",INDEX(Raw_매출!$B$2:$BI$155,MATCH($A144,Raw_매출!$A$2:$A$155,0),MATCH(EDATE($E144,L$1-1),Raw_매출!$B$1:$BI$1,0))/(INDEX(요약_월별시즈널리티!$F$7:$F$18,MONTH(EDATE($E144,L$1-1)))/100))),"")</f>
        <v>4199134.0536421938</v>
      </c>
      <c r="M144" s="30" t="str" cm="1">
        <f t="array" ref="M144">IFERROR(IF($E144&lt;44348,"",IF(INDEX(Raw_매출!$B$2:$BI$155,MATCH($A144,Raw_매출!$A$2:$A$155,0),MATCH(EDATE($E144,M$1-1),Raw_매출!$B$1:$BI$1,0))=0,"",INDEX(Raw_매출!$B$2:$BI$155,MATCH($A144,Raw_매출!$A$2:$A$155,0),MATCH(EDATE($E144,M$1-1),Raw_매출!$B$1:$BI$1,0))/(INDEX(요약_월별시즈널리티!$F$7:$F$18,MONTH(EDATE($E144,M$1-1)))/100))),"")</f>
        <v/>
      </c>
      <c r="N144" s="30" t="str" cm="1">
        <f t="array" ref="N144">IFERROR(IF($E144&lt;44348,"",IF(INDEX(Raw_매출!$B$2:$BI$155,MATCH($A144,Raw_매출!$A$2:$A$155,0),MATCH(EDATE($E144,N$1-1),Raw_매출!$B$1:$BI$1,0))=0,"",INDEX(Raw_매출!$B$2:$BI$155,MATCH($A144,Raw_매출!$A$2:$A$155,0),MATCH(EDATE($E144,N$1-1),Raw_매출!$B$1:$BI$1,0))/(INDEX(요약_월별시즈널리티!$F$7:$F$18,MONTH(EDATE($E144,N$1-1)))/100))),"")</f>
        <v/>
      </c>
      <c r="O144" s="30" t="str" cm="1">
        <f t="array" ref="O144">IFERROR(IF($E144&lt;44348,"",IF(INDEX(Raw_매출!$B$2:$BI$155,MATCH($A144,Raw_매출!$A$2:$A$155,0),MATCH(EDATE($E144,O$1-1),Raw_매출!$B$1:$BI$1,0))=0,"",INDEX(Raw_매출!$B$2:$BI$155,MATCH($A144,Raw_매출!$A$2:$A$155,0),MATCH(EDATE($E144,O$1-1),Raw_매출!$B$1:$BI$1,0))/(INDEX(요약_월별시즈널리티!$F$7:$F$18,MONTH(EDATE($E144,O$1-1)))/100))),"")</f>
        <v/>
      </c>
      <c r="P144" t="str" cm="1">
        <f t="array" ref="P144">IFERROR(IF($E144&lt;44348,"",IF(INDEX(Raw_매출!$B$2:$BI$155,MATCH($A144,Raw_매출!$A$2:$A$155,0),MATCH(EDATE($E144,P$1-1),Raw_매출!$B$1:$BI$1,0))=0,"",INDEX(Raw_매출!$B$2:$BI$155,MATCH($A144,Raw_매출!$A$2:$A$155,0),MATCH(EDATE($E144,P$1-1),Raw_매출!$B$1:$BI$1,0))/(INDEX(요약_월별시즈널리티!$F$7:$F$18,MONTH(EDATE($E144,P$1-1)))/100))),"")</f>
        <v/>
      </c>
      <c r="Q144" t="str" cm="1">
        <f t="array" ref="Q144">IFERROR(IF($E144&lt;44348,"",IF(INDEX(Raw_매출!$B$2:$BI$155,MATCH($A144,Raw_매출!$A$2:$A$155,0),MATCH(EDATE($E144,Q$1-1),Raw_매출!$B$1:$BI$1,0))=0,"",INDEX(Raw_매출!$B$2:$BI$155,MATCH($A144,Raw_매출!$A$2:$A$155,0),MATCH(EDATE($E144,Q$1-1),Raw_매출!$B$1:$BI$1,0))/(INDEX(요약_월별시즈널리티!$F$7:$F$18,MONTH(EDATE($E144,Q$1-1)))/100))),"")</f>
        <v/>
      </c>
      <c r="R144" t="str" cm="1">
        <f t="array" ref="R144">IFERROR(IF($E144&lt;44348,"",IF(INDEX(Raw_매출!$B$2:$BI$155,MATCH($A144,Raw_매출!$A$2:$A$155,0),MATCH(EDATE($E144,R$1-1),Raw_매출!$B$1:$BI$1,0))=0,"",INDEX(Raw_매출!$B$2:$BI$155,MATCH($A144,Raw_매출!$A$2:$A$155,0),MATCH(EDATE($E144,R$1-1),Raw_매출!$B$1:$BI$1,0))/(INDEX(요약_월별시즈널리티!$F$7:$F$18,MONTH(EDATE($E144,R$1-1)))/100))),"")</f>
        <v/>
      </c>
      <c r="S144" t="str" cm="1">
        <f t="array" ref="S144">IFERROR(IF($E144&lt;44348,"",IF(INDEX(Raw_매출!$B$2:$BI$155,MATCH($A144,Raw_매출!$A$2:$A$155,0),MATCH(EDATE($E144,S$1-1),Raw_매출!$B$1:$BI$1,0))=0,"",INDEX(Raw_매출!$B$2:$BI$155,MATCH($A144,Raw_매출!$A$2:$A$155,0),MATCH(EDATE($E144,S$1-1),Raw_매출!$B$1:$BI$1,0))/(INDEX(요약_월별시즈널리티!$F$7:$F$18,MONTH(EDATE($E144,S$1-1)))/100))),"")</f>
        <v/>
      </c>
      <c r="T144" t="str" cm="1">
        <f t="array" ref="T144">IFERROR(IF($E144&lt;44348,"",IF(INDEX(Raw_매출!$B$2:$BI$155,MATCH($A144,Raw_매출!$A$2:$A$155,0),MATCH(EDATE($E144,T$1-1),Raw_매출!$B$1:$BI$1,0))=0,"",INDEX(Raw_매출!$B$2:$BI$155,MATCH($A144,Raw_매출!$A$2:$A$155,0),MATCH(EDATE($E144,T$1-1),Raw_매출!$B$1:$BI$1,0))/(INDEX(요약_월별시즈널리티!$F$7:$F$18,MONTH(EDATE($E144,T$1-1)))/100))),"")</f>
        <v/>
      </c>
      <c r="U144" t="str" cm="1">
        <f t="array" ref="U144">IFERROR(IF($E144&lt;44348,"",IF(INDEX(Raw_매출!$B$2:$BI$155,MATCH($A144,Raw_매출!$A$2:$A$155,0),MATCH(EDATE($E144,U$1-1),Raw_매출!$B$1:$BI$1,0))=0,"",INDEX(Raw_매출!$B$2:$BI$155,MATCH($A144,Raw_매출!$A$2:$A$155,0),MATCH(EDATE($E144,U$1-1),Raw_매출!$B$1:$BI$1,0))/(INDEX(요약_월별시즈널리티!$F$7:$F$18,MONTH(EDATE($E144,U$1-1)))/100))),"")</f>
        <v/>
      </c>
      <c r="V144" t="str" cm="1">
        <f t="array" ref="V144">IFERROR(IF($E144&lt;44348,"",IF(INDEX(Raw_매출!$B$2:$BI$155,MATCH($A144,Raw_매출!$A$2:$A$155,0),MATCH(EDATE($E144,V$1-1),Raw_매출!$B$1:$BI$1,0))=0,"",INDEX(Raw_매출!$B$2:$BI$155,MATCH($A144,Raw_매출!$A$2:$A$155,0),MATCH(EDATE($E144,V$1-1),Raw_매출!$B$1:$BI$1,0))/(INDEX(요약_월별시즈널리티!$F$7:$F$18,MONTH(EDATE($E144,V$1-1)))/100))),"")</f>
        <v/>
      </c>
      <c r="W144" t="str" cm="1">
        <f t="array" ref="W144">IFERROR(IF($E144&lt;44348,"",IF(INDEX(Raw_매출!$B$2:$BI$155,MATCH($A144,Raw_매출!$A$2:$A$155,0),MATCH(EDATE($E144,W$1-1),Raw_매출!$B$1:$BI$1,0))=0,"",INDEX(Raw_매출!$B$2:$BI$155,MATCH($A144,Raw_매출!$A$2:$A$155,0),MATCH(EDATE($E144,W$1-1),Raw_매출!$B$1:$BI$1,0))/(INDEX(요약_월별시즈널리티!$F$7:$F$18,MONTH(EDATE($E144,W$1-1)))/100))),"")</f>
        <v/>
      </c>
      <c r="X144" t="str" cm="1">
        <f t="array" ref="X144">IFERROR(IF($E144&lt;44348,"",IF(INDEX(Raw_매출!$B$2:$BI$155,MATCH($A144,Raw_매출!$A$2:$A$155,0),MATCH(EDATE($E144,X$1-1),Raw_매출!$B$1:$BI$1,0))=0,"",INDEX(Raw_매출!$B$2:$BI$155,MATCH($A144,Raw_매출!$A$2:$A$155,0),MATCH(EDATE($E144,X$1-1),Raw_매출!$B$1:$BI$1,0))/(INDEX(요약_월별시즈널리티!$F$7:$F$18,MONTH(EDATE($E144,X$1-1)))/100))),"")</f>
        <v/>
      </c>
      <c r="Y144" t="str" cm="1">
        <f t="array" ref="Y144">IFERROR(IF($E144&lt;44348,"",IF(INDEX(Raw_매출!$B$2:$BI$155,MATCH($A144,Raw_매출!$A$2:$A$155,0),MATCH(EDATE($E144,Y$1-1),Raw_매출!$B$1:$BI$1,0))=0,"",INDEX(Raw_매출!$B$2:$BI$155,MATCH($A144,Raw_매출!$A$2:$A$155,0),MATCH(EDATE($E144,Y$1-1),Raw_매출!$B$1:$BI$1,0))/(INDEX(요약_월별시즈널리티!$F$7:$F$18,MONTH(EDATE($E144,Y$1-1)))/100))),"")</f>
        <v/>
      </c>
      <c r="Z144" t="str" cm="1">
        <f t="array" ref="Z144">IFERROR(IF($E144&lt;44348,"",IF(INDEX(Raw_매출!$B$2:$BI$155,MATCH($A144,Raw_매출!$A$2:$A$155,0),MATCH(EDATE($E144,Z$1-1),Raw_매출!$B$1:$BI$1,0))=0,"",INDEX(Raw_매출!$B$2:$BI$155,MATCH($A144,Raw_매출!$A$2:$A$155,0),MATCH(EDATE($E144,Z$1-1),Raw_매출!$B$1:$BI$1,0))/(INDEX(요약_월별시즈널리티!$F$7:$F$18,MONTH(EDATE($E144,Z$1-1)))/100))),"")</f>
        <v/>
      </c>
      <c r="AA144" t="str" cm="1">
        <f t="array" ref="AA144">IFERROR(IF($E144&lt;44348,"",IF(INDEX(Raw_매출!$B$2:$BI$155,MATCH($A144,Raw_매출!$A$2:$A$155,0),MATCH(EDATE($E144,AA$1-1),Raw_매출!$B$1:$BI$1,0))=0,"",INDEX(Raw_매출!$B$2:$BI$155,MATCH($A144,Raw_매출!$A$2:$A$155,0),MATCH(EDATE($E144,AA$1-1),Raw_매출!$B$1:$BI$1,0))/(INDEX(요약_월별시즈널리티!$F$7:$F$18,MONTH(EDATE($E144,AA$1-1)))/100))),"")</f>
        <v/>
      </c>
      <c r="AB144" t="str" cm="1">
        <f t="array" ref="AB144">IFERROR(IF($E144&lt;44348,"",IF(INDEX(Raw_매출!$B$2:$BI$155,MATCH($A144,Raw_매출!$A$2:$A$155,0),MATCH(EDATE($E144,AB$1-1),Raw_매출!$B$1:$BI$1,0))=0,"",INDEX(Raw_매출!$B$2:$BI$155,MATCH($A144,Raw_매출!$A$2:$A$155,0),MATCH(EDATE($E144,AB$1-1),Raw_매출!$B$1:$BI$1,0))/(INDEX(요약_월별시즈널리티!$F$7:$F$18,MONTH(EDATE($E144,AB$1-1)))/100))),"")</f>
        <v/>
      </c>
      <c r="AC144" t="str" cm="1">
        <f t="array" ref="AC144">IFERROR(IF($E144&lt;44348,"",IF(INDEX(Raw_매출!$B$2:$BI$155,MATCH($A144,Raw_매출!$A$2:$A$155,0),MATCH(EDATE($E144,AC$1-1),Raw_매출!$B$1:$BI$1,0))=0,"",INDEX(Raw_매출!$B$2:$BI$155,MATCH($A144,Raw_매출!$A$2:$A$155,0),MATCH(EDATE($E144,AC$1-1),Raw_매출!$B$1:$BI$1,0))/(INDEX(요약_월별시즈널리티!$F$7:$F$18,MONTH(EDATE($E144,AC$1-1)))/100))),"")</f>
        <v/>
      </c>
      <c r="AD144" t="str" cm="1">
        <f t="array" ref="AD144">IFERROR(IF($E144&lt;44348,"",IF(INDEX(Raw_매출!$B$2:$BI$155,MATCH($A144,Raw_매출!$A$2:$A$155,0),MATCH(EDATE($E144,AD$1-1),Raw_매출!$B$1:$BI$1,0))=0,"",INDEX(Raw_매출!$B$2:$BI$155,MATCH($A144,Raw_매출!$A$2:$A$155,0),MATCH(EDATE($E144,AD$1-1),Raw_매출!$B$1:$BI$1,0))/(INDEX(요약_월별시즈널리티!$F$7:$F$18,MONTH(EDATE($E144,AD$1-1)))/100))),"")</f>
        <v/>
      </c>
      <c r="AE144" t="str" cm="1">
        <f t="array" ref="AE144">IFERROR(IF($E144&lt;44348,"",IF(INDEX(Raw_매출!$B$2:$BI$155,MATCH($A144,Raw_매출!$A$2:$A$155,0),MATCH(EDATE($E144,AE$1-1),Raw_매출!$B$1:$BI$1,0))=0,"",INDEX(Raw_매출!$B$2:$BI$155,MATCH($A144,Raw_매출!$A$2:$A$155,0),MATCH(EDATE($E144,AE$1-1),Raw_매출!$B$1:$BI$1,0))/(INDEX(요약_월별시즈널리티!$F$7:$F$18,MONTH(EDATE($E144,AE$1-1)))/100))),"")</f>
        <v/>
      </c>
      <c r="AF144" t="str" cm="1">
        <f t="array" ref="AF144">IFERROR(IF($E144&lt;44348,"",IF(INDEX(Raw_매출!$B$2:$BI$155,MATCH($A144,Raw_매출!$A$2:$A$155,0),MATCH(EDATE($E144,AF$1-1),Raw_매출!$B$1:$BI$1,0))=0,"",INDEX(Raw_매출!$B$2:$BI$155,MATCH($A144,Raw_매출!$A$2:$A$155,0),MATCH(EDATE($E144,AF$1-1),Raw_매출!$B$1:$BI$1,0))/(INDEX(요약_월별시즈널리티!$F$7:$F$18,MONTH(EDATE($E144,AF$1-1)))/100))),"")</f>
        <v/>
      </c>
      <c r="AG144" t="str" cm="1">
        <f t="array" ref="AG144">IFERROR(IF($E144&lt;44348,"",IF(INDEX(Raw_매출!$B$2:$BI$155,MATCH($A144,Raw_매출!$A$2:$A$155,0),MATCH(EDATE($E144,AG$1-1),Raw_매출!$B$1:$BI$1,0))=0,"",INDEX(Raw_매출!$B$2:$BI$155,MATCH($A144,Raw_매출!$A$2:$A$155,0),MATCH(EDATE($E144,AG$1-1),Raw_매출!$B$1:$BI$1,0))/(INDEX(요약_월별시즈널리티!$F$7:$F$18,MONTH(EDATE($E144,AG$1-1)))/100))),"")</f>
        <v/>
      </c>
      <c r="AH144" t="str" cm="1">
        <f t="array" ref="AH144">IFERROR(IF($E144&lt;44348,"",IF(INDEX(Raw_매출!$B$2:$BI$155,MATCH($A144,Raw_매출!$A$2:$A$155,0),MATCH(EDATE($E144,AH$1-1),Raw_매출!$B$1:$BI$1,0))=0,"",INDEX(Raw_매출!$B$2:$BI$155,MATCH($A144,Raw_매출!$A$2:$A$155,0),MATCH(EDATE($E144,AH$1-1),Raw_매출!$B$1:$BI$1,0))/(INDEX(요약_월별시즈널리티!$F$7:$F$18,MONTH(EDATE($E144,AH$1-1)))/100))),"")</f>
        <v/>
      </c>
      <c r="AI144" t="str" cm="1">
        <f t="array" ref="AI144">IFERROR(IF($E144&lt;44348,"",IF(INDEX(Raw_매출!$B$2:$BI$155,MATCH($A144,Raw_매출!$A$2:$A$155,0),MATCH(EDATE($E144,AI$1-1),Raw_매출!$B$1:$BI$1,0))=0,"",INDEX(Raw_매출!$B$2:$BI$155,MATCH($A144,Raw_매출!$A$2:$A$155,0),MATCH(EDATE($E144,AI$1-1),Raw_매출!$B$1:$BI$1,0))/(INDEX(요약_월별시즈널리티!$F$7:$F$18,MONTH(EDATE($E144,AI$1-1)))/100))),"")</f>
        <v/>
      </c>
      <c r="AJ144" t="str" cm="1">
        <f t="array" ref="AJ144">IFERROR(IF($E144&lt;44348,"",IF(INDEX(Raw_매출!$B$2:$BI$155,MATCH($A144,Raw_매출!$A$2:$A$155,0),MATCH(EDATE($E144,AJ$1-1),Raw_매출!$B$1:$BI$1,0))=0,"",INDEX(Raw_매출!$B$2:$BI$155,MATCH($A144,Raw_매출!$A$2:$A$155,0),MATCH(EDATE($E144,AJ$1-1),Raw_매출!$B$1:$BI$1,0))/(INDEX(요약_월별시즈널리티!$F$7:$F$18,MONTH(EDATE($E144,AJ$1-1)))/100))),"")</f>
        <v/>
      </c>
      <c r="AK144" t="str" cm="1">
        <f t="array" ref="AK144">IFERROR(IF($E144&lt;44348,"",IF(INDEX(Raw_매출!$B$2:$BI$155,MATCH($A144,Raw_매출!$A$2:$A$155,0),MATCH(EDATE($E144,AK$1-1),Raw_매출!$B$1:$BI$1,0))=0,"",INDEX(Raw_매출!$B$2:$BI$155,MATCH($A144,Raw_매출!$A$2:$A$155,0),MATCH(EDATE($E144,AK$1-1),Raw_매출!$B$1:$BI$1,0))/(INDEX(요약_월별시즈널리티!$F$7:$F$18,MONTH(EDATE($E144,AK$1-1)))/100))),"")</f>
        <v/>
      </c>
      <c r="AL144" t="str" cm="1">
        <f t="array" ref="AL144">IFERROR(IF($E144&lt;44348,"",IF(INDEX(Raw_매출!$B$2:$BI$155,MATCH($A144,Raw_매출!$A$2:$A$155,0),MATCH(EDATE($E144,AL$1-1),Raw_매출!$B$1:$BI$1,0))=0,"",INDEX(Raw_매출!$B$2:$BI$155,MATCH($A144,Raw_매출!$A$2:$A$155,0),MATCH(EDATE($E144,AL$1-1),Raw_매출!$B$1:$BI$1,0))/(INDEX(요약_월별시즈널리티!$F$7:$F$18,MONTH(EDATE($E144,AL$1-1)))/100))),"")</f>
        <v/>
      </c>
      <c r="AM144" t="str" cm="1">
        <f t="array" ref="AM144">IFERROR(IF($E144&lt;44348,"",IF(INDEX(Raw_매출!$B$2:$BI$155,MATCH($A144,Raw_매출!$A$2:$A$155,0),MATCH(EDATE($E144,AM$1-1),Raw_매출!$B$1:$BI$1,0))=0,"",INDEX(Raw_매출!$B$2:$BI$155,MATCH($A144,Raw_매출!$A$2:$A$155,0),MATCH(EDATE($E144,AM$1-1),Raw_매출!$B$1:$BI$1,0))/(INDEX(요약_월별시즈널리티!$F$7:$F$18,MONTH(EDATE($E144,AM$1-1)))/100))),"")</f>
        <v/>
      </c>
      <c r="AN144" t="str" cm="1">
        <f t="array" ref="AN144">IFERROR(IF($E144&lt;44348,"",IF(INDEX(Raw_매출!$B$2:$BI$155,MATCH($A144,Raw_매출!$A$2:$A$155,0),MATCH(EDATE($E144,AN$1-1),Raw_매출!$B$1:$BI$1,0))=0,"",INDEX(Raw_매출!$B$2:$BI$155,MATCH($A144,Raw_매출!$A$2:$A$155,0),MATCH(EDATE($E144,AN$1-1),Raw_매출!$B$1:$BI$1,0))/(INDEX(요약_월별시즈널리티!$F$7:$F$18,MONTH(EDATE($E144,AN$1-1)))/100))),"")</f>
        <v/>
      </c>
      <c r="AO144" t="str" cm="1">
        <f t="array" ref="AO144">IFERROR(IF($E144&lt;44348,"",IF(INDEX(Raw_매출!$B$2:$BI$155,MATCH($A144,Raw_매출!$A$2:$A$155,0),MATCH(EDATE($E144,AO$1-1),Raw_매출!$B$1:$BI$1,0))=0,"",INDEX(Raw_매출!$B$2:$BI$155,MATCH($A144,Raw_매출!$A$2:$A$155,0),MATCH(EDATE($E144,AO$1-1),Raw_매출!$B$1:$BI$1,0))/(INDEX(요약_월별시즈널리티!$F$7:$F$18,MONTH(EDATE($E144,AO$1-1)))/100))),"")</f>
        <v/>
      </c>
      <c r="AP144" t="str" cm="1">
        <f t="array" ref="AP144">IFERROR(IF($E144&lt;44348,"",IF(INDEX(Raw_매출!$B$2:$BI$155,MATCH($A144,Raw_매출!$A$2:$A$155,0),MATCH(EDATE($E144,AP$1-1),Raw_매출!$B$1:$BI$1,0))=0,"",INDEX(Raw_매출!$B$2:$BI$155,MATCH($A144,Raw_매출!$A$2:$A$155,0),MATCH(EDATE($E144,AP$1-1),Raw_매출!$B$1:$BI$1,0))/(INDEX(요약_월별시즈널리티!$F$7:$F$18,MONTH(EDATE($E144,AP$1-1)))/100))),"")</f>
        <v/>
      </c>
      <c r="AQ144" t="str" cm="1">
        <f t="array" ref="AQ144">IFERROR(IF($E144&lt;44348,"",IF(INDEX(Raw_매출!$B$2:$BI$155,MATCH($A144,Raw_매출!$A$2:$A$155,0),MATCH(EDATE($E144,AQ$1-1),Raw_매출!$B$1:$BI$1,0))=0,"",INDEX(Raw_매출!$B$2:$BI$155,MATCH($A144,Raw_매출!$A$2:$A$155,0),MATCH(EDATE($E144,AQ$1-1),Raw_매출!$B$1:$BI$1,0))/(INDEX(요약_월별시즈널리티!$F$7:$F$18,MONTH(EDATE($E144,AQ$1-1)))/100))),"")</f>
        <v/>
      </c>
      <c r="AR144" t="str" cm="1">
        <f t="array" ref="AR144">IFERROR(IF($E144&lt;44348,"",IF(INDEX(Raw_매출!$B$2:$BI$155,MATCH($A144,Raw_매출!$A$2:$A$155,0),MATCH(EDATE($E144,AR$1-1),Raw_매출!$B$1:$BI$1,0))=0,"",INDEX(Raw_매출!$B$2:$BI$155,MATCH($A144,Raw_매출!$A$2:$A$155,0),MATCH(EDATE($E144,AR$1-1),Raw_매출!$B$1:$BI$1,0))/(INDEX(요약_월별시즈널리티!$F$7:$F$18,MONTH(EDATE($E144,AR$1-1)))/100))),"")</f>
        <v/>
      </c>
      <c r="AS144" t="str" cm="1">
        <f t="array" ref="AS144">IFERROR(IF($E144&lt;44348,"",IF(INDEX(Raw_매출!$B$2:$BI$155,MATCH($A144,Raw_매출!$A$2:$A$155,0),MATCH(EDATE($E144,AS$1-1),Raw_매출!$B$1:$BI$1,0))=0,"",INDEX(Raw_매출!$B$2:$BI$155,MATCH($A144,Raw_매출!$A$2:$A$155,0),MATCH(EDATE($E144,AS$1-1),Raw_매출!$B$1:$BI$1,0))/(INDEX(요약_월별시즈널리티!$F$7:$F$18,MONTH(EDATE($E144,AS$1-1)))/100))),"")</f>
        <v/>
      </c>
      <c r="AT144" t="str" cm="1">
        <f t="array" ref="AT144">IFERROR(IF($E144&lt;44348,"",IF(INDEX(Raw_매출!$B$2:$BI$155,MATCH($A144,Raw_매출!$A$2:$A$155,0),MATCH(EDATE($E144,AT$1-1),Raw_매출!$B$1:$BI$1,0))=0,"",INDEX(Raw_매출!$B$2:$BI$155,MATCH($A144,Raw_매출!$A$2:$A$155,0),MATCH(EDATE($E144,AT$1-1),Raw_매출!$B$1:$BI$1,0))/(INDEX(요약_월별시즈널리티!$F$7:$F$18,MONTH(EDATE($E144,AT$1-1)))/100))),"")</f>
        <v/>
      </c>
      <c r="AU144" t="str" cm="1">
        <f t="array" ref="AU144">IFERROR(IF($E144&lt;44348,"",IF(INDEX(Raw_매출!$B$2:$BI$155,MATCH($A144,Raw_매출!$A$2:$A$155,0),MATCH(EDATE($E144,AU$1-1),Raw_매출!$B$1:$BI$1,0))=0,"",INDEX(Raw_매출!$B$2:$BI$155,MATCH($A144,Raw_매출!$A$2:$A$155,0),MATCH(EDATE($E144,AU$1-1),Raw_매출!$B$1:$BI$1,0))/(INDEX(요약_월별시즈널리티!$F$7:$F$18,MONTH(EDATE($E144,AU$1-1)))/100))),"")</f>
        <v/>
      </c>
      <c r="AV144" t="str" cm="1">
        <f t="array" ref="AV144">IFERROR(IF($E144&lt;44348,"",IF(INDEX(Raw_매출!$B$2:$BI$155,MATCH($A144,Raw_매출!$A$2:$A$155,0),MATCH(EDATE($E144,AV$1-1),Raw_매출!$B$1:$BI$1,0))=0,"",INDEX(Raw_매출!$B$2:$BI$155,MATCH($A144,Raw_매출!$A$2:$A$155,0),MATCH(EDATE($E144,AV$1-1),Raw_매출!$B$1:$BI$1,0))/(INDEX(요약_월별시즈널리티!$F$7:$F$18,MONTH(EDATE($E144,AV$1-1)))/100))),"")</f>
        <v/>
      </c>
      <c r="AW144" t="str" cm="1">
        <f t="array" ref="AW144">IFERROR(IF($E144&lt;44348,"",IF(INDEX(Raw_매출!$B$2:$BI$155,MATCH($A144,Raw_매출!$A$2:$A$155,0),MATCH(EDATE($E144,AW$1-1),Raw_매출!$B$1:$BI$1,0))=0,"",INDEX(Raw_매출!$B$2:$BI$155,MATCH($A144,Raw_매출!$A$2:$A$155,0),MATCH(EDATE($E144,AW$1-1),Raw_매출!$B$1:$BI$1,0))/(INDEX(요약_월별시즈널리티!$F$7:$F$18,MONTH(EDATE($E144,AW$1-1)))/100))),"")</f>
        <v/>
      </c>
      <c r="AX144" t="str" cm="1">
        <f t="array" ref="AX144">IFERROR(IF($E144&lt;44348,"",IF(INDEX(Raw_매출!$B$2:$BI$155,MATCH($A144,Raw_매출!$A$2:$A$155,0),MATCH(EDATE($E144,AX$1-1),Raw_매출!$B$1:$BI$1,0))=0,"",INDEX(Raw_매출!$B$2:$BI$155,MATCH($A144,Raw_매출!$A$2:$A$155,0),MATCH(EDATE($E144,AX$1-1),Raw_매출!$B$1:$BI$1,0))/(INDEX(요약_월별시즈널리티!$F$7:$F$18,MONTH(EDATE($E144,AX$1-1)))/100))),"")</f>
        <v/>
      </c>
      <c r="AY144" t="str" cm="1">
        <f t="array" ref="AY144">IFERROR(IF($E144&lt;44348,"",IF(INDEX(Raw_매출!$B$2:$BI$155,MATCH($A144,Raw_매출!$A$2:$A$155,0),MATCH(EDATE($E144,AY$1-1),Raw_매출!$B$1:$BI$1,0))=0,"",INDEX(Raw_매출!$B$2:$BI$155,MATCH($A144,Raw_매출!$A$2:$A$155,0),MATCH(EDATE($E144,AY$1-1),Raw_매출!$B$1:$BI$1,0))/(INDEX(요약_월별시즈널리티!$F$7:$F$18,MONTH(EDATE($E144,AY$1-1)))/100))),"")</f>
        <v/>
      </c>
      <c r="AZ144" t="str" cm="1">
        <f t="array" ref="AZ144">IFERROR(IF($E144&lt;44348,"",IF(INDEX(Raw_매출!$B$2:$BI$155,MATCH($A144,Raw_매출!$A$2:$A$155,0),MATCH(EDATE($E144,AZ$1-1),Raw_매출!$B$1:$BI$1,0))=0,"",INDEX(Raw_매출!$B$2:$BI$155,MATCH($A144,Raw_매출!$A$2:$A$155,0),MATCH(EDATE($E144,AZ$1-1),Raw_매출!$B$1:$BI$1,0))/(INDEX(요약_월별시즈널리티!$F$7:$F$18,MONTH(EDATE($E144,AZ$1-1)))/100))),"")</f>
        <v/>
      </c>
      <c r="BA144" t="str" cm="1">
        <f t="array" ref="BA144">IFERROR(IF($E144&lt;44348,"",IF(INDEX(Raw_매출!$B$2:$BI$155,MATCH($A144,Raw_매출!$A$2:$A$155,0),MATCH(EDATE($E144,BA$1-1),Raw_매출!$B$1:$BI$1,0))=0,"",INDEX(Raw_매출!$B$2:$BI$155,MATCH($A144,Raw_매출!$A$2:$A$155,0),MATCH(EDATE($E144,BA$1-1),Raw_매출!$B$1:$BI$1,0))/(INDEX(요약_월별시즈널리티!$F$7:$F$18,MONTH(EDATE($E144,BA$1-1)))/100))),"")</f>
        <v/>
      </c>
      <c r="BB144" t="str" cm="1">
        <f t="array" ref="BB144">IFERROR(IF($E144&lt;44348,"",IF(INDEX(Raw_매출!$B$2:$BI$155,MATCH($A144,Raw_매출!$A$2:$A$155,0),MATCH(EDATE($E144,BB$1-1),Raw_매출!$B$1:$BI$1,0))=0,"",INDEX(Raw_매출!$B$2:$BI$155,MATCH($A144,Raw_매출!$A$2:$A$155,0),MATCH(EDATE($E144,BB$1-1),Raw_매출!$B$1:$BI$1,0))/(INDEX(요약_월별시즈널리티!$F$7:$F$18,MONTH(EDATE($E144,BB$1-1)))/100))),"")</f>
        <v/>
      </c>
      <c r="BC144" t="str" cm="1">
        <f t="array" ref="BC144">IFERROR(IF($E144&lt;44348,"",IF(INDEX(Raw_매출!$B$2:$BI$155,MATCH($A144,Raw_매출!$A$2:$A$155,0),MATCH(EDATE($E144,BC$1-1),Raw_매출!$B$1:$BI$1,0))=0,"",INDEX(Raw_매출!$B$2:$BI$155,MATCH($A144,Raw_매출!$A$2:$A$155,0),MATCH(EDATE($E144,BC$1-1),Raw_매출!$B$1:$BI$1,0))/(INDEX(요약_월별시즈널리티!$F$7:$F$18,MONTH(EDATE($E144,BC$1-1)))/100))),"")</f>
        <v/>
      </c>
      <c r="BD144" t="str" cm="1">
        <f t="array" ref="BD144">IFERROR(IF($E144&lt;44348,"",IF(INDEX(Raw_매출!$B$2:$BI$155,MATCH($A144,Raw_매출!$A$2:$A$155,0),MATCH(EDATE($E144,BD$1-1),Raw_매출!$B$1:$BI$1,0))=0,"",INDEX(Raw_매출!$B$2:$BI$155,MATCH($A144,Raw_매출!$A$2:$A$155,0),MATCH(EDATE($E144,BD$1-1),Raw_매출!$B$1:$BI$1,0))/(INDEX(요약_월별시즈널리티!$F$7:$F$18,MONTH(EDATE($E144,BD$1-1)))/100))),"")</f>
        <v/>
      </c>
      <c r="BE144" t="str" cm="1">
        <f t="array" ref="BE144">IFERROR(IF($E144&lt;44348,"",IF(INDEX(Raw_매출!$B$2:$BI$155,MATCH($A144,Raw_매출!$A$2:$A$155,0),MATCH(EDATE($E144,BE$1-1),Raw_매출!$B$1:$BI$1,0))=0,"",INDEX(Raw_매출!$B$2:$BI$155,MATCH($A144,Raw_매출!$A$2:$A$155,0),MATCH(EDATE($E144,BE$1-1),Raw_매출!$B$1:$BI$1,0))/(INDEX(요약_월별시즈널리티!$F$7:$F$18,MONTH(EDATE($E144,BE$1-1)))/100))),"")</f>
        <v/>
      </c>
      <c r="BF144" t="str" cm="1">
        <f t="array" ref="BF144">IFERROR(IF($E144&lt;44348,"",IF(INDEX(Raw_매출!$B$2:$BI$155,MATCH($A144,Raw_매출!$A$2:$A$155,0),MATCH(EDATE($E144,BF$1-1),Raw_매출!$B$1:$BI$1,0))=0,"",INDEX(Raw_매출!$B$2:$BI$155,MATCH($A144,Raw_매출!$A$2:$A$155,0),MATCH(EDATE($E144,BF$1-1),Raw_매출!$B$1:$BI$1,0))/(INDEX(요약_월별시즈널리티!$F$7:$F$18,MONTH(EDATE($E144,BF$1-1)))/100))),"")</f>
        <v/>
      </c>
      <c r="BG144" t="str" cm="1">
        <f t="array" ref="BG144">IFERROR(IF($E144&lt;44348,"",IF(INDEX(Raw_매출!$B$2:$BI$155,MATCH($A144,Raw_매출!$A$2:$A$155,0),MATCH(EDATE($E144,BG$1-1),Raw_매출!$B$1:$BI$1,0))=0,"",INDEX(Raw_매출!$B$2:$BI$155,MATCH($A144,Raw_매출!$A$2:$A$155,0),MATCH(EDATE($E144,BG$1-1),Raw_매출!$B$1:$BI$1,0))/(INDEX(요약_월별시즈널리티!$F$7:$F$18,MONTH(EDATE($E144,BG$1-1)))/100))),"")</f>
        <v/>
      </c>
      <c r="BH144" t="str" cm="1">
        <f t="array" ref="BH144">IFERROR(IF($E144&lt;44348,"",IF(INDEX(Raw_매출!$B$2:$BI$155,MATCH($A144,Raw_매출!$A$2:$A$155,0),MATCH(EDATE($E144,BH$1-1),Raw_매출!$B$1:$BI$1,0))=0,"",INDEX(Raw_매출!$B$2:$BI$155,MATCH($A144,Raw_매출!$A$2:$A$155,0),MATCH(EDATE($E144,BH$1-1),Raw_매출!$B$1:$BI$1,0))/(INDEX(요약_월별시즈널리티!$F$7:$F$18,MONTH(EDATE($E144,BH$1-1)))/100))),"")</f>
        <v/>
      </c>
      <c r="BI144" t="str" cm="1">
        <f t="array" ref="BI144">IFERROR(IF($E144&lt;44348,"",IF(INDEX(Raw_매출!$B$2:$BI$155,MATCH($A144,Raw_매출!$A$2:$A$155,0),MATCH(EDATE($E144,BI$1-1),Raw_매출!$B$1:$BI$1,0))=0,"",INDEX(Raw_매출!$B$2:$BI$155,MATCH($A144,Raw_매출!$A$2:$A$155,0),MATCH(EDATE($E144,BI$1-1),Raw_매출!$B$1:$BI$1,0))/(INDEX(요약_월별시즈널리티!$F$7:$F$18,MONTH(EDATE($E144,BI$1-1)))/100))),"")</f>
        <v/>
      </c>
      <c r="BJ144" t="str" cm="1">
        <f t="array" ref="BJ144">IFERROR(IF($E144&lt;44348,"",IF(INDEX(Raw_매출!$B$2:$BI$155,MATCH($A144,Raw_매출!$A$2:$A$155,0),MATCH(EDATE($E144,BJ$1-1),Raw_매출!$B$1:$BI$1,0))=0,"",INDEX(Raw_매출!$B$2:$BI$155,MATCH($A144,Raw_매출!$A$2:$A$155,0),MATCH(EDATE($E144,BJ$1-1),Raw_매출!$B$1:$BI$1,0))/(INDEX(요약_월별시즈널리티!$F$7:$F$18,MONTH(EDATE($E144,BJ$1-1)))/100))),"")</f>
        <v/>
      </c>
      <c r="BK144" t="str" cm="1">
        <f t="array" ref="BK144">IFERROR(IF($E144&lt;44348,"",IF(INDEX(Raw_매출!$B$2:$BI$155,MATCH($A144,Raw_매출!$A$2:$A$155,0),MATCH(EDATE($E144,BK$1-1),Raw_매출!$B$1:$BI$1,0))=0,"",INDEX(Raw_매출!$B$2:$BI$155,MATCH($A144,Raw_매출!$A$2:$A$155,0),MATCH(EDATE($E144,BK$1-1),Raw_매출!$B$1:$BI$1,0))/(INDEX(요약_월별시즈널리티!$F$7:$F$18,MONTH(EDATE($E144,BK$1-1)))/100))),"")</f>
        <v/>
      </c>
      <c r="BL144" t="str" cm="1">
        <f t="array" ref="BL144">IFERROR(IF($E144&lt;44348,"",IF(INDEX(Raw_매출!$B$2:$BI$155,MATCH($A144,Raw_매출!$A$2:$A$155,0),MATCH(EDATE($E144,BL$1-1),Raw_매출!$B$1:$BI$1,0))=0,"",INDEX(Raw_매출!$B$2:$BI$155,MATCH($A144,Raw_매출!$A$2:$A$155,0),MATCH(EDATE($E144,BL$1-1),Raw_매출!$B$1:$BI$1,0))/(INDEX(요약_월별시즈널리티!$F$7:$F$18,MONTH(EDATE($E144,BL$1-1)))/100))),"")</f>
        <v/>
      </c>
      <c r="BM144" t="str" cm="1">
        <f t="array" ref="BM144">IFERROR(IF($E144&lt;44348,"",IF(INDEX(Raw_매출!$B$2:$BI$155,MATCH($A144,Raw_매출!$A$2:$A$155,0),MATCH(EDATE($E144,BM$1-1),Raw_매출!$B$1:$BI$1,0))=0,"",INDEX(Raw_매출!$B$2:$BI$155,MATCH($A144,Raw_매출!$A$2:$A$155,0),MATCH(EDATE($E144,BM$1-1),Raw_매출!$B$1:$BI$1,0))/(INDEX(요약_월별시즈널리티!$F$7:$F$18,MONTH(EDATE($E144,BM$1-1)))/100))),"")</f>
        <v/>
      </c>
      <c r="BN144" t="str" cm="1">
        <f t="array" ref="BN144">IFERROR(IF($E144&lt;44348,"",IF(INDEX(Raw_매출!$B$2:$BI$155,MATCH($A144,Raw_매출!$A$2:$A$155,0),MATCH(EDATE($E144,BN$1-1),Raw_매출!$B$1:$BI$1,0))=0,"",INDEX(Raw_매출!$B$2:$BI$155,MATCH($A144,Raw_매출!$A$2:$A$155,0),MATCH(EDATE($E144,BN$1-1),Raw_매출!$B$1:$BI$1,0))/(INDEX(요약_월별시즈널리티!$F$7:$F$18,MONTH(EDATE($E144,BN$1-1)))/100))),"")</f>
        <v/>
      </c>
    </row>
    <row r="145" spans="1:66" x14ac:dyDescent="0.4">
      <c r="A145" t="str">
        <f>세팅!A146</f>
        <v>(1136) #주안역삼거리점</v>
      </c>
      <c r="B145" t="str">
        <f>세팅!B146</f>
        <v>150-0</v>
      </c>
      <c r="C145">
        <f t="shared" si="6"/>
        <v>0</v>
      </c>
      <c r="D145" t="str">
        <f t="shared" si="7"/>
        <v>0</v>
      </c>
      <c r="E145" s="1">
        <f>세팅!D146</f>
        <v>45992</v>
      </c>
      <c r="F145" t="str">
        <f t="shared" si="8"/>
        <v/>
      </c>
      <c r="G145" cm="1">
        <f t="array" ref="G145">IFERROR(IF($E145&lt;44348,"",IF(INDEX(Raw_매출!$B$2:$BI$155,MATCH($A145,Raw_매출!$A$2:$A$155,0),MATCH(EDATE($E145,G$1-1),Raw_매출!$B$1:$BI$1,0))=0,"",INDEX(Raw_매출!$B$2:$BI$155,MATCH($A145,Raw_매출!$A$2:$A$155,0),MATCH(EDATE($E145,G$1-1),Raw_매출!$B$1:$BI$1,0))/(INDEX(요약_월별시즈널리티!$F$7:$F$18,MONTH(EDATE($E145,G$1-1)))/100))),"")</f>
        <v>2616937.7791118952</v>
      </c>
      <c r="H145" cm="1">
        <f t="array" ref="H145">IFERROR(IF($E145&lt;44348,"",IF(INDEX(Raw_매출!$B$2:$BI$155,MATCH($A145,Raw_매출!$A$2:$A$155,0),MATCH(EDATE($E145,H$1-1),Raw_매출!$B$1:$BI$1,0))=0,"",INDEX(Raw_매출!$B$2:$BI$155,MATCH($A145,Raw_매출!$A$2:$A$155,0),MATCH(EDATE($E145,H$1-1),Raw_매출!$B$1:$BI$1,0))/(INDEX(요약_월별시즈널리티!$F$7:$F$18,MONTH(EDATE($E145,H$1-1)))/100))),"")</f>
        <v>3783574.6654933644</v>
      </c>
      <c r="I145" cm="1">
        <f t="array" ref="I145">IFERROR(IF($E145&lt;44348,"",IF(INDEX(Raw_매출!$B$2:$BI$155,MATCH($A145,Raw_매출!$A$2:$A$155,0),MATCH(EDATE($E145,I$1-1),Raw_매출!$B$1:$BI$1,0))=0,"",INDEX(Raw_매출!$B$2:$BI$155,MATCH($A145,Raw_매출!$A$2:$A$155,0),MATCH(EDATE($E145,I$1-1),Raw_매출!$B$1:$BI$1,0))/(INDEX(요약_월별시즈널리티!$F$7:$F$18,MONTH(EDATE($E145,I$1-1)))/100))),"")</f>
        <v>4963163.3129423354</v>
      </c>
      <c r="J145" s="30" cm="1">
        <f t="array" ref="J145">IFERROR(IF($E145&lt;44348,"",IF(INDEX(Raw_매출!$B$2:$BI$155,MATCH($A145,Raw_매출!$A$2:$A$155,0),MATCH(EDATE($E145,J$1-1),Raw_매출!$B$1:$BI$1,0))=0,"",INDEX(Raw_매출!$B$2:$BI$155,MATCH($A145,Raw_매출!$A$2:$A$155,0),MATCH(EDATE($E145,J$1-1),Raw_매출!$B$1:$BI$1,0))/(INDEX(요약_월별시즈널리티!$F$7:$F$18,MONTH(EDATE($E145,J$1-1)))/100))),"")</f>
        <v>4450755.1321637388</v>
      </c>
      <c r="K145" s="30" cm="1">
        <f t="array" ref="K145">IFERROR(IF($E145&lt;44348,"",IF(INDEX(Raw_매출!$B$2:$BI$155,MATCH($A145,Raw_매출!$A$2:$A$155,0),MATCH(EDATE($E145,K$1-1),Raw_매출!$B$1:$BI$1,0))=0,"",INDEX(Raw_매출!$B$2:$BI$155,MATCH($A145,Raw_매출!$A$2:$A$155,0),MATCH(EDATE($E145,K$1-1),Raw_매출!$B$1:$BI$1,0))/(INDEX(요약_월별시즈널리티!$F$7:$F$18,MONTH(EDATE($E145,K$1-1)))/100))),"")</f>
        <v>4629247.6052839961</v>
      </c>
      <c r="L145" s="30" cm="1">
        <f t="array" ref="L145">IFERROR(IF($E145&lt;44348,"",IF(INDEX(Raw_매출!$B$2:$BI$155,MATCH($A145,Raw_매출!$A$2:$A$155,0),MATCH(EDATE($E145,L$1-1),Raw_매출!$B$1:$BI$1,0))=0,"",INDEX(Raw_매출!$B$2:$BI$155,MATCH($A145,Raw_매출!$A$2:$A$155,0),MATCH(EDATE($E145,L$1-1),Raw_매출!$B$1:$BI$1,0))/(INDEX(요약_월별시즈널리티!$F$7:$F$18,MONTH(EDATE($E145,L$1-1)))/100))),"")</f>
        <v>5091425.1271088719</v>
      </c>
      <c r="M145" s="30" t="str" cm="1">
        <f t="array" ref="M145">IFERROR(IF($E145&lt;44348,"",IF(INDEX(Raw_매출!$B$2:$BI$155,MATCH($A145,Raw_매출!$A$2:$A$155,0),MATCH(EDATE($E145,M$1-1),Raw_매출!$B$1:$BI$1,0))=0,"",INDEX(Raw_매출!$B$2:$BI$155,MATCH($A145,Raw_매출!$A$2:$A$155,0),MATCH(EDATE($E145,M$1-1),Raw_매출!$B$1:$BI$1,0))/(INDEX(요약_월별시즈널리티!$F$7:$F$18,MONTH(EDATE($E145,M$1-1)))/100))),"")</f>
        <v/>
      </c>
      <c r="N145" s="30" t="str" cm="1">
        <f t="array" ref="N145">IFERROR(IF($E145&lt;44348,"",IF(INDEX(Raw_매출!$B$2:$BI$155,MATCH($A145,Raw_매출!$A$2:$A$155,0),MATCH(EDATE($E145,N$1-1),Raw_매출!$B$1:$BI$1,0))=0,"",INDEX(Raw_매출!$B$2:$BI$155,MATCH($A145,Raw_매출!$A$2:$A$155,0),MATCH(EDATE($E145,N$1-1),Raw_매출!$B$1:$BI$1,0))/(INDEX(요약_월별시즈널리티!$F$7:$F$18,MONTH(EDATE($E145,N$1-1)))/100))),"")</f>
        <v/>
      </c>
      <c r="O145" s="30" t="str" cm="1">
        <f t="array" ref="O145">IFERROR(IF($E145&lt;44348,"",IF(INDEX(Raw_매출!$B$2:$BI$155,MATCH($A145,Raw_매출!$A$2:$A$155,0),MATCH(EDATE($E145,O$1-1),Raw_매출!$B$1:$BI$1,0))=0,"",INDEX(Raw_매출!$B$2:$BI$155,MATCH($A145,Raw_매출!$A$2:$A$155,0),MATCH(EDATE($E145,O$1-1),Raw_매출!$B$1:$BI$1,0))/(INDEX(요약_월별시즈널리티!$F$7:$F$18,MONTH(EDATE($E145,O$1-1)))/100))),"")</f>
        <v/>
      </c>
      <c r="P145" t="str" cm="1">
        <f t="array" ref="P145">IFERROR(IF($E145&lt;44348,"",IF(INDEX(Raw_매출!$B$2:$BI$155,MATCH($A145,Raw_매출!$A$2:$A$155,0),MATCH(EDATE($E145,P$1-1),Raw_매출!$B$1:$BI$1,0))=0,"",INDEX(Raw_매출!$B$2:$BI$155,MATCH($A145,Raw_매출!$A$2:$A$155,0),MATCH(EDATE($E145,P$1-1),Raw_매출!$B$1:$BI$1,0))/(INDEX(요약_월별시즈널리티!$F$7:$F$18,MONTH(EDATE($E145,P$1-1)))/100))),"")</f>
        <v/>
      </c>
      <c r="Q145" t="str" cm="1">
        <f t="array" ref="Q145">IFERROR(IF($E145&lt;44348,"",IF(INDEX(Raw_매출!$B$2:$BI$155,MATCH($A145,Raw_매출!$A$2:$A$155,0),MATCH(EDATE($E145,Q$1-1),Raw_매출!$B$1:$BI$1,0))=0,"",INDEX(Raw_매출!$B$2:$BI$155,MATCH($A145,Raw_매출!$A$2:$A$155,0),MATCH(EDATE($E145,Q$1-1),Raw_매출!$B$1:$BI$1,0))/(INDEX(요약_월별시즈널리티!$F$7:$F$18,MONTH(EDATE($E145,Q$1-1)))/100))),"")</f>
        <v/>
      </c>
      <c r="R145" t="str" cm="1">
        <f t="array" ref="R145">IFERROR(IF($E145&lt;44348,"",IF(INDEX(Raw_매출!$B$2:$BI$155,MATCH($A145,Raw_매출!$A$2:$A$155,0),MATCH(EDATE($E145,R$1-1),Raw_매출!$B$1:$BI$1,0))=0,"",INDEX(Raw_매출!$B$2:$BI$155,MATCH($A145,Raw_매출!$A$2:$A$155,0),MATCH(EDATE($E145,R$1-1),Raw_매출!$B$1:$BI$1,0))/(INDEX(요약_월별시즈널리티!$F$7:$F$18,MONTH(EDATE($E145,R$1-1)))/100))),"")</f>
        <v/>
      </c>
      <c r="S145" t="str" cm="1">
        <f t="array" ref="S145">IFERROR(IF($E145&lt;44348,"",IF(INDEX(Raw_매출!$B$2:$BI$155,MATCH($A145,Raw_매출!$A$2:$A$155,0),MATCH(EDATE($E145,S$1-1),Raw_매출!$B$1:$BI$1,0))=0,"",INDEX(Raw_매출!$B$2:$BI$155,MATCH($A145,Raw_매출!$A$2:$A$155,0),MATCH(EDATE($E145,S$1-1),Raw_매출!$B$1:$BI$1,0))/(INDEX(요약_월별시즈널리티!$F$7:$F$18,MONTH(EDATE($E145,S$1-1)))/100))),"")</f>
        <v/>
      </c>
      <c r="T145" t="str" cm="1">
        <f t="array" ref="T145">IFERROR(IF($E145&lt;44348,"",IF(INDEX(Raw_매출!$B$2:$BI$155,MATCH($A145,Raw_매출!$A$2:$A$155,0),MATCH(EDATE($E145,T$1-1),Raw_매출!$B$1:$BI$1,0))=0,"",INDEX(Raw_매출!$B$2:$BI$155,MATCH($A145,Raw_매출!$A$2:$A$155,0),MATCH(EDATE($E145,T$1-1),Raw_매출!$B$1:$BI$1,0))/(INDEX(요약_월별시즈널리티!$F$7:$F$18,MONTH(EDATE($E145,T$1-1)))/100))),"")</f>
        <v/>
      </c>
      <c r="U145" t="str" cm="1">
        <f t="array" ref="U145">IFERROR(IF($E145&lt;44348,"",IF(INDEX(Raw_매출!$B$2:$BI$155,MATCH($A145,Raw_매출!$A$2:$A$155,0),MATCH(EDATE($E145,U$1-1),Raw_매출!$B$1:$BI$1,0))=0,"",INDEX(Raw_매출!$B$2:$BI$155,MATCH($A145,Raw_매출!$A$2:$A$155,0),MATCH(EDATE($E145,U$1-1),Raw_매출!$B$1:$BI$1,0))/(INDEX(요약_월별시즈널리티!$F$7:$F$18,MONTH(EDATE($E145,U$1-1)))/100))),"")</f>
        <v/>
      </c>
      <c r="V145" t="str" cm="1">
        <f t="array" ref="V145">IFERROR(IF($E145&lt;44348,"",IF(INDEX(Raw_매출!$B$2:$BI$155,MATCH($A145,Raw_매출!$A$2:$A$155,0),MATCH(EDATE($E145,V$1-1),Raw_매출!$B$1:$BI$1,0))=0,"",INDEX(Raw_매출!$B$2:$BI$155,MATCH($A145,Raw_매출!$A$2:$A$155,0),MATCH(EDATE($E145,V$1-1),Raw_매출!$B$1:$BI$1,0))/(INDEX(요약_월별시즈널리티!$F$7:$F$18,MONTH(EDATE($E145,V$1-1)))/100))),"")</f>
        <v/>
      </c>
      <c r="W145" t="str" cm="1">
        <f t="array" ref="W145">IFERROR(IF($E145&lt;44348,"",IF(INDEX(Raw_매출!$B$2:$BI$155,MATCH($A145,Raw_매출!$A$2:$A$155,0),MATCH(EDATE($E145,W$1-1),Raw_매출!$B$1:$BI$1,0))=0,"",INDEX(Raw_매출!$B$2:$BI$155,MATCH($A145,Raw_매출!$A$2:$A$155,0),MATCH(EDATE($E145,W$1-1),Raw_매출!$B$1:$BI$1,0))/(INDEX(요약_월별시즈널리티!$F$7:$F$18,MONTH(EDATE($E145,W$1-1)))/100))),"")</f>
        <v/>
      </c>
      <c r="X145" t="str" cm="1">
        <f t="array" ref="X145">IFERROR(IF($E145&lt;44348,"",IF(INDEX(Raw_매출!$B$2:$BI$155,MATCH($A145,Raw_매출!$A$2:$A$155,0),MATCH(EDATE($E145,X$1-1),Raw_매출!$B$1:$BI$1,0))=0,"",INDEX(Raw_매출!$B$2:$BI$155,MATCH($A145,Raw_매출!$A$2:$A$155,0),MATCH(EDATE($E145,X$1-1),Raw_매출!$B$1:$BI$1,0))/(INDEX(요약_월별시즈널리티!$F$7:$F$18,MONTH(EDATE($E145,X$1-1)))/100))),"")</f>
        <v/>
      </c>
      <c r="Y145" t="str" cm="1">
        <f t="array" ref="Y145">IFERROR(IF($E145&lt;44348,"",IF(INDEX(Raw_매출!$B$2:$BI$155,MATCH($A145,Raw_매출!$A$2:$A$155,0),MATCH(EDATE($E145,Y$1-1),Raw_매출!$B$1:$BI$1,0))=0,"",INDEX(Raw_매출!$B$2:$BI$155,MATCH($A145,Raw_매출!$A$2:$A$155,0),MATCH(EDATE($E145,Y$1-1),Raw_매출!$B$1:$BI$1,0))/(INDEX(요약_월별시즈널리티!$F$7:$F$18,MONTH(EDATE($E145,Y$1-1)))/100))),"")</f>
        <v/>
      </c>
      <c r="Z145" t="str" cm="1">
        <f t="array" ref="Z145">IFERROR(IF($E145&lt;44348,"",IF(INDEX(Raw_매출!$B$2:$BI$155,MATCH($A145,Raw_매출!$A$2:$A$155,0),MATCH(EDATE($E145,Z$1-1),Raw_매출!$B$1:$BI$1,0))=0,"",INDEX(Raw_매출!$B$2:$BI$155,MATCH($A145,Raw_매출!$A$2:$A$155,0),MATCH(EDATE($E145,Z$1-1),Raw_매출!$B$1:$BI$1,0))/(INDEX(요약_월별시즈널리티!$F$7:$F$18,MONTH(EDATE($E145,Z$1-1)))/100))),"")</f>
        <v/>
      </c>
      <c r="AA145" t="str" cm="1">
        <f t="array" ref="AA145">IFERROR(IF($E145&lt;44348,"",IF(INDEX(Raw_매출!$B$2:$BI$155,MATCH($A145,Raw_매출!$A$2:$A$155,0),MATCH(EDATE($E145,AA$1-1),Raw_매출!$B$1:$BI$1,0))=0,"",INDEX(Raw_매출!$B$2:$BI$155,MATCH($A145,Raw_매출!$A$2:$A$155,0),MATCH(EDATE($E145,AA$1-1),Raw_매출!$B$1:$BI$1,0))/(INDEX(요약_월별시즈널리티!$F$7:$F$18,MONTH(EDATE($E145,AA$1-1)))/100))),"")</f>
        <v/>
      </c>
      <c r="AB145" t="str" cm="1">
        <f t="array" ref="AB145">IFERROR(IF($E145&lt;44348,"",IF(INDEX(Raw_매출!$B$2:$BI$155,MATCH($A145,Raw_매출!$A$2:$A$155,0),MATCH(EDATE($E145,AB$1-1),Raw_매출!$B$1:$BI$1,0))=0,"",INDEX(Raw_매출!$B$2:$BI$155,MATCH($A145,Raw_매출!$A$2:$A$155,0),MATCH(EDATE($E145,AB$1-1),Raw_매출!$B$1:$BI$1,0))/(INDEX(요약_월별시즈널리티!$F$7:$F$18,MONTH(EDATE($E145,AB$1-1)))/100))),"")</f>
        <v/>
      </c>
      <c r="AC145" t="str" cm="1">
        <f t="array" ref="AC145">IFERROR(IF($E145&lt;44348,"",IF(INDEX(Raw_매출!$B$2:$BI$155,MATCH($A145,Raw_매출!$A$2:$A$155,0),MATCH(EDATE($E145,AC$1-1),Raw_매출!$B$1:$BI$1,0))=0,"",INDEX(Raw_매출!$B$2:$BI$155,MATCH($A145,Raw_매출!$A$2:$A$155,0),MATCH(EDATE($E145,AC$1-1),Raw_매출!$B$1:$BI$1,0))/(INDEX(요약_월별시즈널리티!$F$7:$F$18,MONTH(EDATE($E145,AC$1-1)))/100))),"")</f>
        <v/>
      </c>
      <c r="AD145" t="str" cm="1">
        <f t="array" ref="AD145">IFERROR(IF($E145&lt;44348,"",IF(INDEX(Raw_매출!$B$2:$BI$155,MATCH($A145,Raw_매출!$A$2:$A$155,0),MATCH(EDATE($E145,AD$1-1),Raw_매출!$B$1:$BI$1,0))=0,"",INDEX(Raw_매출!$B$2:$BI$155,MATCH($A145,Raw_매출!$A$2:$A$155,0),MATCH(EDATE($E145,AD$1-1),Raw_매출!$B$1:$BI$1,0))/(INDEX(요약_월별시즈널리티!$F$7:$F$18,MONTH(EDATE($E145,AD$1-1)))/100))),"")</f>
        <v/>
      </c>
      <c r="AE145" t="str" cm="1">
        <f t="array" ref="AE145">IFERROR(IF($E145&lt;44348,"",IF(INDEX(Raw_매출!$B$2:$BI$155,MATCH($A145,Raw_매출!$A$2:$A$155,0),MATCH(EDATE($E145,AE$1-1),Raw_매출!$B$1:$BI$1,0))=0,"",INDEX(Raw_매출!$B$2:$BI$155,MATCH($A145,Raw_매출!$A$2:$A$155,0),MATCH(EDATE($E145,AE$1-1),Raw_매출!$B$1:$BI$1,0))/(INDEX(요약_월별시즈널리티!$F$7:$F$18,MONTH(EDATE($E145,AE$1-1)))/100))),"")</f>
        <v/>
      </c>
      <c r="AF145" t="str" cm="1">
        <f t="array" ref="AF145">IFERROR(IF($E145&lt;44348,"",IF(INDEX(Raw_매출!$B$2:$BI$155,MATCH($A145,Raw_매출!$A$2:$A$155,0),MATCH(EDATE($E145,AF$1-1),Raw_매출!$B$1:$BI$1,0))=0,"",INDEX(Raw_매출!$B$2:$BI$155,MATCH($A145,Raw_매출!$A$2:$A$155,0),MATCH(EDATE($E145,AF$1-1),Raw_매출!$B$1:$BI$1,0))/(INDEX(요약_월별시즈널리티!$F$7:$F$18,MONTH(EDATE($E145,AF$1-1)))/100))),"")</f>
        <v/>
      </c>
      <c r="AG145" t="str" cm="1">
        <f t="array" ref="AG145">IFERROR(IF($E145&lt;44348,"",IF(INDEX(Raw_매출!$B$2:$BI$155,MATCH($A145,Raw_매출!$A$2:$A$155,0),MATCH(EDATE($E145,AG$1-1),Raw_매출!$B$1:$BI$1,0))=0,"",INDEX(Raw_매출!$B$2:$BI$155,MATCH($A145,Raw_매출!$A$2:$A$155,0),MATCH(EDATE($E145,AG$1-1),Raw_매출!$B$1:$BI$1,0))/(INDEX(요약_월별시즈널리티!$F$7:$F$18,MONTH(EDATE($E145,AG$1-1)))/100))),"")</f>
        <v/>
      </c>
      <c r="AH145" t="str" cm="1">
        <f t="array" ref="AH145">IFERROR(IF($E145&lt;44348,"",IF(INDEX(Raw_매출!$B$2:$BI$155,MATCH($A145,Raw_매출!$A$2:$A$155,0),MATCH(EDATE($E145,AH$1-1),Raw_매출!$B$1:$BI$1,0))=0,"",INDEX(Raw_매출!$B$2:$BI$155,MATCH($A145,Raw_매출!$A$2:$A$155,0),MATCH(EDATE($E145,AH$1-1),Raw_매출!$B$1:$BI$1,0))/(INDEX(요약_월별시즈널리티!$F$7:$F$18,MONTH(EDATE($E145,AH$1-1)))/100))),"")</f>
        <v/>
      </c>
      <c r="AI145" t="str" cm="1">
        <f t="array" ref="AI145">IFERROR(IF($E145&lt;44348,"",IF(INDEX(Raw_매출!$B$2:$BI$155,MATCH($A145,Raw_매출!$A$2:$A$155,0),MATCH(EDATE($E145,AI$1-1),Raw_매출!$B$1:$BI$1,0))=0,"",INDEX(Raw_매출!$B$2:$BI$155,MATCH($A145,Raw_매출!$A$2:$A$155,0),MATCH(EDATE($E145,AI$1-1),Raw_매출!$B$1:$BI$1,0))/(INDEX(요약_월별시즈널리티!$F$7:$F$18,MONTH(EDATE($E145,AI$1-1)))/100))),"")</f>
        <v/>
      </c>
      <c r="AJ145" t="str" cm="1">
        <f t="array" ref="AJ145">IFERROR(IF($E145&lt;44348,"",IF(INDEX(Raw_매출!$B$2:$BI$155,MATCH($A145,Raw_매출!$A$2:$A$155,0),MATCH(EDATE($E145,AJ$1-1),Raw_매출!$B$1:$BI$1,0))=0,"",INDEX(Raw_매출!$B$2:$BI$155,MATCH($A145,Raw_매출!$A$2:$A$155,0),MATCH(EDATE($E145,AJ$1-1),Raw_매출!$B$1:$BI$1,0))/(INDEX(요약_월별시즈널리티!$F$7:$F$18,MONTH(EDATE($E145,AJ$1-1)))/100))),"")</f>
        <v/>
      </c>
      <c r="AK145" t="str" cm="1">
        <f t="array" ref="AK145">IFERROR(IF($E145&lt;44348,"",IF(INDEX(Raw_매출!$B$2:$BI$155,MATCH($A145,Raw_매출!$A$2:$A$155,0),MATCH(EDATE($E145,AK$1-1),Raw_매출!$B$1:$BI$1,0))=0,"",INDEX(Raw_매출!$B$2:$BI$155,MATCH($A145,Raw_매출!$A$2:$A$155,0),MATCH(EDATE($E145,AK$1-1),Raw_매출!$B$1:$BI$1,0))/(INDEX(요약_월별시즈널리티!$F$7:$F$18,MONTH(EDATE($E145,AK$1-1)))/100))),"")</f>
        <v/>
      </c>
      <c r="AL145" t="str" cm="1">
        <f t="array" ref="AL145">IFERROR(IF($E145&lt;44348,"",IF(INDEX(Raw_매출!$B$2:$BI$155,MATCH($A145,Raw_매출!$A$2:$A$155,0),MATCH(EDATE($E145,AL$1-1),Raw_매출!$B$1:$BI$1,0))=0,"",INDEX(Raw_매출!$B$2:$BI$155,MATCH($A145,Raw_매출!$A$2:$A$155,0),MATCH(EDATE($E145,AL$1-1),Raw_매출!$B$1:$BI$1,0))/(INDEX(요약_월별시즈널리티!$F$7:$F$18,MONTH(EDATE($E145,AL$1-1)))/100))),"")</f>
        <v/>
      </c>
      <c r="AM145" t="str" cm="1">
        <f t="array" ref="AM145">IFERROR(IF($E145&lt;44348,"",IF(INDEX(Raw_매출!$B$2:$BI$155,MATCH($A145,Raw_매출!$A$2:$A$155,0),MATCH(EDATE($E145,AM$1-1),Raw_매출!$B$1:$BI$1,0))=0,"",INDEX(Raw_매출!$B$2:$BI$155,MATCH($A145,Raw_매출!$A$2:$A$155,0),MATCH(EDATE($E145,AM$1-1),Raw_매출!$B$1:$BI$1,0))/(INDEX(요약_월별시즈널리티!$F$7:$F$18,MONTH(EDATE($E145,AM$1-1)))/100))),"")</f>
        <v/>
      </c>
      <c r="AN145" t="str" cm="1">
        <f t="array" ref="AN145">IFERROR(IF($E145&lt;44348,"",IF(INDEX(Raw_매출!$B$2:$BI$155,MATCH($A145,Raw_매출!$A$2:$A$155,0),MATCH(EDATE($E145,AN$1-1),Raw_매출!$B$1:$BI$1,0))=0,"",INDEX(Raw_매출!$B$2:$BI$155,MATCH($A145,Raw_매출!$A$2:$A$155,0),MATCH(EDATE($E145,AN$1-1),Raw_매출!$B$1:$BI$1,0))/(INDEX(요약_월별시즈널리티!$F$7:$F$18,MONTH(EDATE($E145,AN$1-1)))/100))),"")</f>
        <v/>
      </c>
      <c r="AO145" t="str" cm="1">
        <f t="array" ref="AO145">IFERROR(IF($E145&lt;44348,"",IF(INDEX(Raw_매출!$B$2:$BI$155,MATCH($A145,Raw_매출!$A$2:$A$155,0),MATCH(EDATE($E145,AO$1-1),Raw_매출!$B$1:$BI$1,0))=0,"",INDEX(Raw_매출!$B$2:$BI$155,MATCH($A145,Raw_매출!$A$2:$A$155,0),MATCH(EDATE($E145,AO$1-1),Raw_매출!$B$1:$BI$1,0))/(INDEX(요약_월별시즈널리티!$F$7:$F$18,MONTH(EDATE($E145,AO$1-1)))/100))),"")</f>
        <v/>
      </c>
      <c r="AP145" t="str" cm="1">
        <f t="array" ref="AP145">IFERROR(IF($E145&lt;44348,"",IF(INDEX(Raw_매출!$B$2:$BI$155,MATCH($A145,Raw_매출!$A$2:$A$155,0),MATCH(EDATE($E145,AP$1-1),Raw_매출!$B$1:$BI$1,0))=0,"",INDEX(Raw_매출!$B$2:$BI$155,MATCH($A145,Raw_매출!$A$2:$A$155,0),MATCH(EDATE($E145,AP$1-1),Raw_매출!$B$1:$BI$1,0))/(INDEX(요약_월별시즈널리티!$F$7:$F$18,MONTH(EDATE($E145,AP$1-1)))/100))),"")</f>
        <v/>
      </c>
      <c r="AQ145" t="str" cm="1">
        <f t="array" ref="AQ145">IFERROR(IF($E145&lt;44348,"",IF(INDEX(Raw_매출!$B$2:$BI$155,MATCH($A145,Raw_매출!$A$2:$A$155,0),MATCH(EDATE($E145,AQ$1-1),Raw_매출!$B$1:$BI$1,0))=0,"",INDEX(Raw_매출!$B$2:$BI$155,MATCH($A145,Raw_매출!$A$2:$A$155,0),MATCH(EDATE($E145,AQ$1-1),Raw_매출!$B$1:$BI$1,0))/(INDEX(요약_월별시즈널리티!$F$7:$F$18,MONTH(EDATE($E145,AQ$1-1)))/100))),"")</f>
        <v/>
      </c>
      <c r="AR145" t="str" cm="1">
        <f t="array" ref="AR145">IFERROR(IF($E145&lt;44348,"",IF(INDEX(Raw_매출!$B$2:$BI$155,MATCH($A145,Raw_매출!$A$2:$A$155,0),MATCH(EDATE($E145,AR$1-1),Raw_매출!$B$1:$BI$1,0))=0,"",INDEX(Raw_매출!$B$2:$BI$155,MATCH($A145,Raw_매출!$A$2:$A$155,0),MATCH(EDATE($E145,AR$1-1),Raw_매출!$B$1:$BI$1,0))/(INDEX(요약_월별시즈널리티!$F$7:$F$18,MONTH(EDATE($E145,AR$1-1)))/100))),"")</f>
        <v/>
      </c>
      <c r="AS145" t="str" cm="1">
        <f t="array" ref="AS145">IFERROR(IF($E145&lt;44348,"",IF(INDEX(Raw_매출!$B$2:$BI$155,MATCH($A145,Raw_매출!$A$2:$A$155,0),MATCH(EDATE($E145,AS$1-1),Raw_매출!$B$1:$BI$1,0))=0,"",INDEX(Raw_매출!$B$2:$BI$155,MATCH($A145,Raw_매출!$A$2:$A$155,0),MATCH(EDATE($E145,AS$1-1),Raw_매출!$B$1:$BI$1,0))/(INDEX(요약_월별시즈널리티!$F$7:$F$18,MONTH(EDATE($E145,AS$1-1)))/100))),"")</f>
        <v/>
      </c>
      <c r="AT145" t="str" cm="1">
        <f t="array" ref="AT145">IFERROR(IF($E145&lt;44348,"",IF(INDEX(Raw_매출!$B$2:$BI$155,MATCH($A145,Raw_매출!$A$2:$A$155,0),MATCH(EDATE($E145,AT$1-1),Raw_매출!$B$1:$BI$1,0))=0,"",INDEX(Raw_매출!$B$2:$BI$155,MATCH($A145,Raw_매출!$A$2:$A$155,0),MATCH(EDATE($E145,AT$1-1),Raw_매출!$B$1:$BI$1,0))/(INDEX(요약_월별시즈널리티!$F$7:$F$18,MONTH(EDATE($E145,AT$1-1)))/100))),"")</f>
        <v/>
      </c>
      <c r="AU145" t="str" cm="1">
        <f t="array" ref="AU145">IFERROR(IF($E145&lt;44348,"",IF(INDEX(Raw_매출!$B$2:$BI$155,MATCH($A145,Raw_매출!$A$2:$A$155,0),MATCH(EDATE($E145,AU$1-1),Raw_매출!$B$1:$BI$1,0))=0,"",INDEX(Raw_매출!$B$2:$BI$155,MATCH($A145,Raw_매출!$A$2:$A$155,0),MATCH(EDATE($E145,AU$1-1),Raw_매출!$B$1:$BI$1,0))/(INDEX(요약_월별시즈널리티!$F$7:$F$18,MONTH(EDATE($E145,AU$1-1)))/100))),"")</f>
        <v/>
      </c>
      <c r="AV145" t="str" cm="1">
        <f t="array" ref="AV145">IFERROR(IF($E145&lt;44348,"",IF(INDEX(Raw_매출!$B$2:$BI$155,MATCH($A145,Raw_매출!$A$2:$A$155,0),MATCH(EDATE($E145,AV$1-1),Raw_매출!$B$1:$BI$1,0))=0,"",INDEX(Raw_매출!$B$2:$BI$155,MATCH($A145,Raw_매출!$A$2:$A$155,0),MATCH(EDATE($E145,AV$1-1),Raw_매출!$B$1:$BI$1,0))/(INDEX(요약_월별시즈널리티!$F$7:$F$18,MONTH(EDATE($E145,AV$1-1)))/100))),"")</f>
        <v/>
      </c>
      <c r="AW145" t="str" cm="1">
        <f t="array" ref="AW145">IFERROR(IF($E145&lt;44348,"",IF(INDEX(Raw_매출!$B$2:$BI$155,MATCH($A145,Raw_매출!$A$2:$A$155,0),MATCH(EDATE($E145,AW$1-1),Raw_매출!$B$1:$BI$1,0))=0,"",INDEX(Raw_매출!$B$2:$BI$155,MATCH($A145,Raw_매출!$A$2:$A$155,0),MATCH(EDATE($E145,AW$1-1),Raw_매출!$B$1:$BI$1,0))/(INDEX(요약_월별시즈널리티!$F$7:$F$18,MONTH(EDATE($E145,AW$1-1)))/100))),"")</f>
        <v/>
      </c>
      <c r="AX145" t="str" cm="1">
        <f t="array" ref="AX145">IFERROR(IF($E145&lt;44348,"",IF(INDEX(Raw_매출!$B$2:$BI$155,MATCH($A145,Raw_매출!$A$2:$A$155,0),MATCH(EDATE($E145,AX$1-1),Raw_매출!$B$1:$BI$1,0))=0,"",INDEX(Raw_매출!$B$2:$BI$155,MATCH($A145,Raw_매출!$A$2:$A$155,0),MATCH(EDATE($E145,AX$1-1),Raw_매출!$B$1:$BI$1,0))/(INDEX(요약_월별시즈널리티!$F$7:$F$18,MONTH(EDATE($E145,AX$1-1)))/100))),"")</f>
        <v/>
      </c>
      <c r="AY145" t="str" cm="1">
        <f t="array" ref="AY145">IFERROR(IF($E145&lt;44348,"",IF(INDEX(Raw_매출!$B$2:$BI$155,MATCH($A145,Raw_매출!$A$2:$A$155,0),MATCH(EDATE($E145,AY$1-1),Raw_매출!$B$1:$BI$1,0))=0,"",INDEX(Raw_매출!$B$2:$BI$155,MATCH($A145,Raw_매출!$A$2:$A$155,0),MATCH(EDATE($E145,AY$1-1),Raw_매출!$B$1:$BI$1,0))/(INDEX(요약_월별시즈널리티!$F$7:$F$18,MONTH(EDATE($E145,AY$1-1)))/100))),"")</f>
        <v/>
      </c>
      <c r="AZ145" t="str" cm="1">
        <f t="array" ref="AZ145">IFERROR(IF($E145&lt;44348,"",IF(INDEX(Raw_매출!$B$2:$BI$155,MATCH($A145,Raw_매출!$A$2:$A$155,0),MATCH(EDATE($E145,AZ$1-1),Raw_매출!$B$1:$BI$1,0))=0,"",INDEX(Raw_매출!$B$2:$BI$155,MATCH($A145,Raw_매출!$A$2:$A$155,0),MATCH(EDATE($E145,AZ$1-1),Raw_매출!$B$1:$BI$1,0))/(INDEX(요약_월별시즈널리티!$F$7:$F$18,MONTH(EDATE($E145,AZ$1-1)))/100))),"")</f>
        <v/>
      </c>
      <c r="BA145" t="str" cm="1">
        <f t="array" ref="BA145">IFERROR(IF($E145&lt;44348,"",IF(INDEX(Raw_매출!$B$2:$BI$155,MATCH($A145,Raw_매출!$A$2:$A$155,0),MATCH(EDATE($E145,BA$1-1),Raw_매출!$B$1:$BI$1,0))=0,"",INDEX(Raw_매출!$B$2:$BI$155,MATCH($A145,Raw_매출!$A$2:$A$155,0),MATCH(EDATE($E145,BA$1-1),Raw_매출!$B$1:$BI$1,0))/(INDEX(요약_월별시즈널리티!$F$7:$F$18,MONTH(EDATE($E145,BA$1-1)))/100))),"")</f>
        <v/>
      </c>
      <c r="BB145" t="str" cm="1">
        <f t="array" ref="BB145">IFERROR(IF($E145&lt;44348,"",IF(INDEX(Raw_매출!$B$2:$BI$155,MATCH($A145,Raw_매출!$A$2:$A$155,0),MATCH(EDATE($E145,BB$1-1),Raw_매출!$B$1:$BI$1,0))=0,"",INDEX(Raw_매출!$B$2:$BI$155,MATCH($A145,Raw_매출!$A$2:$A$155,0),MATCH(EDATE($E145,BB$1-1),Raw_매출!$B$1:$BI$1,0))/(INDEX(요약_월별시즈널리티!$F$7:$F$18,MONTH(EDATE($E145,BB$1-1)))/100))),"")</f>
        <v/>
      </c>
      <c r="BC145" t="str" cm="1">
        <f t="array" ref="BC145">IFERROR(IF($E145&lt;44348,"",IF(INDEX(Raw_매출!$B$2:$BI$155,MATCH($A145,Raw_매출!$A$2:$A$155,0),MATCH(EDATE($E145,BC$1-1),Raw_매출!$B$1:$BI$1,0))=0,"",INDEX(Raw_매출!$B$2:$BI$155,MATCH($A145,Raw_매출!$A$2:$A$155,0),MATCH(EDATE($E145,BC$1-1),Raw_매출!$B$1:$BI$1,0))/(INDEX(요약_월별시즈널리티!$F$7:$F$18,MONTH(EDATE($E145,BC$1-1)))/100))),"")</f>
        <v/>
      </c>
      <c r="BD145" t="str" cm="1">
        <f t="array" ref="BD145">IFERROR(IF($E145&lt;44348,"",IF(INDEX(Raw_매출!$B$2:$BI$155,MATCH($A145,Raw_매출!$A$2:$A$155,0),MATCH(EDATE($E145,BD$1-1),Raw_매출!$B$1:$BI$1,0))=0,"",INDEX(Raw_매출!$B$2:$BI$155,MATCH($A145,Raw_매출!$A$2:$A$155,0),MATCH(EDATE($E145,BD$1-1),Raw_매출!$B$1:$BI$1,0))/(INDEX(요약_월별시즈널리티!$F$7:$F$18,MONTH(EDATE($E145,BD$1-1)))/100))),"")</f>
        <v/>
      </c>
      <c r="BE145" t="str" cm="1">
        <f t="array" ref="BE145">IFERROR(IF($E145&lt;44348,"",IF(INDEX(Raw_매출!$B$2:$BI$155,MATCH($A145,Raw_매출!$A$2:$A$155,0),MATCH(EDATE($E145,BE$1-1),Raw_매출!$B$1:$BI$1,0))=0,"",INDEX(Raw_매출!$B$2:$BI$155,MATCH($A145,Raw_매출!$A$2:$A$155,0),MATCH(EDATE($E145,BE$1-1),Raw_매출!$B$1:$BI$1,0))/(INDEX(요약_월별시즈널리티!$F$7:$F$18,MONTH(EDATE($E145,BE$1-1)))/100))),"")</f>
        <v/>
      </c>
      <c r="BF145" t="str" cm="1">
        <f t="array" ref="BF145">IFERROR(IF($E145&lt;44348,"",IF(INDEX(Raw_매출!$B$2:$BI$155,MATCH($A145,Raw_매출!$A$2:$A$155,0),MATCH(EDATE($E145,BF$1-1),Raw_매출!$B$1:$BI$1,0))=0,"",INDEX(Raw_매출!$B$2:$BI$155,MATCH($A145,Raw_매출!$A$2:$A$155,0),MATCH(EDATE($E145,BF$1-1),Raw_매출!$B$1:$BI$1,0))/(INDEX(요약_월별시즈널리티!$F$7:$F$18,MONTH(EDATE($E145,BF$1-1)))/100))),"")</f>
        <v/>
      </c>
      <c r="BG145" t="str" cm="1">
        <f t="array" ref="BG145">IFERROR(IF($E145&lt;44348,"",IF(INDEX(Raw_매출!$B$2:$BI$155,MATCH($A145,Raw_매출!$A$2:$A$155,0),MATCH(EDATE($E145,BG$1-1),Raw_매출!$B$1:$BI$1,0))=0,"",INDEX(Raw_매출!$B$2:$BI$155,MATCH($A145,Raw_매출!$A$2:$A$155,0),MATCH(EDATE($E145,BG$1-1),Raw_매출!$B$1:$BI$1,0))/(INDEX(요약_월별시즈널리티!$F$7:$F$18,MONTH(EDATE($E145,BG$1-1)))/100))),"")</f>
        <v/>
      </c>
      <c r="BH145" t="str" cm="1">
        <f t="array" ref="BH145">IFERROR(IF($E145&lt;44348,"",IF(INDEX(Raw_매출!$B$2:$BI$155,MATCH($A145,Raw_매출!$A$2:$A$155,0),MATCH(EDATE($E145,BH$1-1),Raw_매출!$B$1:$BI$1,0))=0,"",INDEX(Raw_매출!$B$2:$BI$155,MATCH($A145,Raw_매출!$A$2:$A$155,0),MATCH(EDATE($E145,BH$1-1),Raw_매출!$B$1:$BI$1,0))/(INDEX(요약_월별시즈널리티!$F$7:$F$18,MONTH(EDATE($E145,BH$1-1)))/100))),"")</f>
        <v/>
      </c>
      <c r="BI145" t="str" cm="1">
        <f t="array" ref="BI145">IFERROR(IF($E145&lt;44348,"",IF(INDEX(Raw_매출!$B$2:$BI$155,MATCH($A145,Raw_매출!$A$2:$A$155,0),MATCH(EDATE($E145,BI$1-1),Raw_매출!$B$1:$BI$1,0))=0,"",INDEX(Raw_매출!$B$2:$BI$155,MATCH($A145,Raw_매출!$A$2:$A$155,0),MATCH(EDATE($E145,BI$1-1),Raw_매출!$B$1:$BI$1,0))/(INDEX(요약_월별시즈널리티!$F$7:$F$18,MONTH(EDATE($E145,BI$1-1)))/100))),"")</f>
        <v/>
      </c>
      <c r="BJ145" t="str" cm="1">
        <f t="array" ref="BJ145">IFERROR(IF($E145&lt;44348,"",IF(INDEX(Raw_매출!$B$2:$BI$155,MATCH($A145,Raw_매출!$A$2:$A$155,0),MATCH(EDATE($E145,BJ$1-1),Raw_매출!$B$1:$BI$1,0))=0,"",INDEX(Raw_매출!$B$2:$BI$155,MATCH($A145,Raw_매출!$A$2:$A$155,0),MATCH(EDATE($E145,BJ$1-1),Raw_매출!$B$1:$BI$1,0))/(INDEX(요약_월별시즈널리티!$F$7:$F$18,MONTH(EDATE($E145,BJ$1-1)))/100))),"")</f>
        <v/>
      </c>
      <c r="BK145" t="str" cm="1">
        <f t="array" ref="BK145">IFERROR(IF($E145&lt;44348,"",IF(INDEX(Raw_매출!$B$2:$BI$155,MATCH($A145,Raw_매출!$A$2:$A$155,0),MATCH(EDATE($E145,BK$1-1),Raw_매출!$B$1:$BI$1,0))=0,"",INDEX(Raw_매출!$B$2:$BI$155,MATCH($A145,Raw_매출!$A$2:$A$155,0),MATCH(EDATE($E145,BK$1-1),Raw_매출!$B$1:$BI$1,0))/(INDEX(요약_월별시즈널리티!$F$7:$F$18,MONTH(EDATE($E145,BK$1-1)))/100))),"")</f>
        <v/>
      </c>
      <c r="BL145" t="str" cm="1">
        <f t="array" ref="BL145">IFERROR(IF($E145&lt;44348,"",IF(INDEX(Raw_매출!$B$2:$BI$155,MATCH($A145,Raw_매출!$A$2:$A$155,0),MATCH(EDATE($E145,BL$1-1),Raw_매출!$B$1:$BI$1,0))=0,"",INDEX(Raw_매출!$B$2:$BI$155,MATCH($A145,Raw_매출!$A$2:$A$155,0),MATCH(EDATE($E145,BL$1-1),Raw_매출!$B$1:$BI$1,0))/(INDEX(요약_월별시즈널리티!$F$7:$F$18,MONTH(EDATE($E145,BL$1-1)))/100))),"")</f>
        <v/>
      </c>
      <c r="BM145" t="str" cm="1">
        <f t="array" ref="BM145">IFERROR(IF($E145&lt;44348,"",IF(INDEX(Raw_매출!$B$2:$BI$155,MATCH($A145,Raw_매출!$A$2:$A$155,0),MATCH(EDATE($E145,BM$1-1),Raw_매출!$B$1:$BI$1,0))=0,"",INDEX(Raw_매출!$B$2:$BI$155,MATCH($A145,Raw_매출!$A$2:$A$155,0),MATCH(EDATE($E145,BM$1-1),Raw_매출!$B$1:$BI$1,0))/(INDEX(요약_월별시즈널리티!$F$7:$F$18,MONTH(EDATE($E145,BM$1-1)))/100))),"")</f>
        <v/>
      </c>
      <c r="BN145" t="str" cm="1">
        <f t="array" ref="BN145">IFERROR(IF($E145&lt;44348,"",IF(INDEX(Raw_매출!$B$2:$BI$155,MATCH($A145,Raw_매출!$A$2:$A$155,0),MATCH(EDATE($E145,BN$1-1),Raw_매출!$B$1:$BI$1,0))=0,"",INDEX(Raw_매출!$B$2:$BI$155,MATCH($A145,Raw_매출!$A$2:$A$155,0),MATCH(EDATE($E145,BN$1-1),Raw_매출!$B$1:$BI$1,0))/(INDEX(요약_월별시즈널리티!$F$7:$F$18,MONTH(EDATE($E145,BN$1-1)))/100))),"")</f>
        <v/>
      </c>
    </row>
    <row r="146" spans="1:66" x14ac:dyDescent="0.4">
      <c r="A146" t="str">
        <f>세팅!A147</f>
        <v>(1137) #서울예대점</v>
      </c>
      <c r="B146" t="str">
        <f>세팅!B147</f>
        <v>150-0</v>
      </c>
      <c r="C146">
        <f t="shared" si="6"/>
        <v>0</v>
      </c>
      <c r="D146" t="str">
        <f t="shared" si="7"/>
        <v>0</v>
      </c>
      <c r="E146" s="1">
        <f>세팅!D147</f>
        <v>46054</v>
      </c>
      <c r="F146" t="str">
        <f t="shared" si="8"/>
        <v/>
      </c>
      <c r="G146" cm="1">
        <f t="array" ref="G146">IFERROR(IF($E146&lt;44348,"",IF(INDEX(Raw_매출!$B$2:$BI$155,MATCH($A146,Raw_매출!$A$2:$A$155,0),MATCH(EDATE($E146,G$1-1),Raw_매출!$B$1:$BI$1,0))=0,"",INDEX(Raw_매출!$B$2:$BI$155,MATCH($A146,Raw_매출!$A$2:$A$155,0),MATCH(EDATE($E146,G$1-1),Raw_매출!$B$1:$BI$1,0))/(INDEX(요약_월별시즈널리티!$F$7:$F$18,MONTH(EDATE($E146,G$1-1)))/100))),"")</f>
        <v>2589058.6878670012</v>
      </c>
      <c r="H146" cm="1">
        <f t="array" ref="H146">IFERROR(IF($E146&lt;44348,"",IF(INDEX(Raw_매출!$B$2:$BI$155,MATCH($A146,Raw_매출!$A$2:$A$155,0),MATCH(EDATE($E146,H$1-1),Raw_매출!$B$1:$BI$1,0))=0,"",INDEX(Raw_매출!$B$2:$BI$155,MATCH($A146,Raw_매출!$A$2:$A$155,0),MATCH(EDATE($E146,H$1-1),Raw_매출!$B$1:$BI$1,0))/(INDEX(요약_월별시즈널리티!$F$7:$F$18,MONTH(EDATE($E146,H$1-1)))/100))),"")</f>
        <v>3228432.9795377683</v>
      </c>
      <c r="I146" cm="1">
        <f t="array" ref="I146">IFERROR(IF($E146&lt;44348,"",IF(INDEX(Raw_매출!$B$2:$BI$155,MATCH($A146,Raw_매출!$A$2:$A$155,0),MATCH(EDATE($E146,I$1-1),Raw_매출!$B$1:$BI$1,0))=0,"",INDEX(Raw_매출!$B$2:$BI$155,MATCH($A146,Raw_매출!$A$2:$A$155,0),MATCH(EDATE($E146,I$1-1),Raw_매출!$B$1:$BI$1,0))/(INDEX(요약_월별시즈널리티!$F$7:$F$18,MONTH(EDATE($E146,I$1-1)))/100))),"")</f>
        <v>3771288.2995316987</v>
      </c>
      <c r="J146" s="30" cm="1">
        <f t="array" ref="J146">IFERROR(IF($E146&lt;44348,"",IF(INDEX(Raw_매출!$B$2:$BI$155,MATCH($A146,Raw_매출!$A$2:$A$155,0),MATCH(EDATE($E146,J$1-1),Raw_매출!$B$1:$BI$1,0))=0,"",INDEX(Raw_매출!$B$2:$BI$155,MATCH($A146,Raw_매출!$A$2:$A$155,0),MATCH(EDATE($E146,J$1-1),Raw_매출!$B$1:$BI$1,0))/(INDEX(요약_월별시즈널리티!$F$7:$F$18,MONTH(EDATE($E146,J$1-1)))/100))),"")</f>
        <v>4177941.4525758969</v>
      </c>
      <c r="K146" s="30" t="str" cm="1">
        <f t="array" ref="K146">IFERROR(IF($E146&lt;44348,"",IF(INDEX(Raw_매출!$B$2:$BI$155,MATCH($A146,Raw_매출!$A$2:$A$155,0),MATCH(EDATE($E146,K$1-1),Raw_매출!$B$1:$BI$1,0))=0,"",INDEX(Raw_매출!$B$2:$BI$155,MATCH($A146,Raw_매출!$A$2:$A$155,0),MATCH(EDATE($E146,K$1-1),Raw_매출!$B$1:$BI$1,0))/(INDEX(요약_월별시즈널리티!$F$7:$F$18,MONTH(EDATE($E146,K$1-1)))/100))),"")</f>
        <v/>
      </c>
      <c r="L146" s="30" t="str" cm="1">
        <f t="array" ref="L146">IFERROR(IF($E146&lt;44348,"",IF(INDEX(Raw_매출!$B$2:$BI$155,MATCH($A146,Raw_매출!$A$2:$A$155,0),MATCH(EDATE($E146,L$1-1),Raw_매출!$B$1:$BI$1,0))=0,"",INDEX(Raw_매출!$B$2:$BI$155,MATCH($A146,Raw_매출!$A$2:$A$155,0),MATCH(EDATE($E146,L$1-1),Raw_매출!$B$1:$BI$1,0))/(INDEX(요약_월별시즈널리티!$F$7:$F$18,MONTH(EDATE($E146,L$1-1)))/100))),"")</f>
        <v/>
      </c>
      <c r="M146" s="30" t="str" cm="1">
        <f t="array" ref="M146">IFERROR(IF($E146&lt;44348,"",IF(INDEX(Raw_매출!$B$2:$BI$155,MATCH($A146,Raw_매출!$A$2:$A$155,0),MATCH(EDATE($E146,M$1-1),Raw_매출!$B$1:$BI$1,0))=0,"",INDEX(Raw_매출!$B$2:$BI$155,MATCH($A146,Raw_매출!$A$2:$A$155,0),MATCH(EDATE($E146,M$1-1),Raw_매출!$B$1:$BI$1,0))/(INDEX(요약_월별시즈널리티!$F$7:$F$18,MONTH(EDATE($E146,M$1-1)))/100))),"")</f>
        <v/>
      </c>
      <c r="N146" s="30" t="str" cm="1">
        <f t="array" ref="N146">IFERROR(IF($E146&lt;44348,"",IF(INDEX(Raw_매출!$B$2:$BI$155,MATCH($A146,Raw_매출!$A$2:$A$155,0),MATCH(EDATE($E146,N$1-1),Raw_매출!$B$1:$BI$1,0))=0,"",INDEX(Raw_매출!$B$2:$BI$155,MATCH($A146,Raw_매출!$A$2:$A$155,0),MATCH(EDATE($E146,N$1-1),Raw_매출!$B$1:$BI$1,0))/(INDEX(요약_월별시즈널리티!$F$7:$F$18,MONTH(EDATE($E146,N$1-1)))/100))),"")</f>
        <v/>
      </c>
      <c r="O146" s="30" t="str" cm="1">
        <f t="array" ref="O146">IFERROR(IF($E146&lt;44348,"",IF(INDEX(Raw_매출!$B$2:$BI$155,MATCH($A146,Raw_매출!$A$2:$A$155,0),MATCH(EDATE($E146,O$1-1),Raw_매출!$B$1:$BI$1,0))=0,"",INDEX(Raw_매출!$B$2:$BI$155,MATCH($A146,Raw_매출!$A$2:$A$155,0),MATCH(EDATE($E146,O$1-1),Raw_매출!$B$1:$BI$1,0))/(INDEX(요약_월별시즈널리티!$F$7:$F$18,MONTH(EDATE($E146,O$1-1)))/100))),"")</f>
        <v/>
      </c>
      <c r="P146" t="str" cm="1">
        <f t="array" ref="P146">IFERROR(IF($E146&lt;44348,"",IF(INDEX(Raw_매출!$B$2:$BI$155,MATCH($A146,Raw_매출!$A$2:$A$155,0),MATCH(EDATE($E146,P$1-1),Raw_매출!$B$1:$BI$1,0))=0,"",INDEX(Raw_매출!$B$2:$BI$155,MATCH($A146,Raw_매출!$A$2:$A$155,0),MATCH(EDATE($E146,P$1-1),Raw_매출!$B$1:$BI$1,0))/(INDEX(요약_월별시즈널리티!$F$7:$F$18,MONTH(EDATE($E146,P$1-1)))/100))),"")</f>
        <v/>
      </c>
      <c r="Q146" t="str" cm="1">
        <f t="array" ref="Q146">IFERROR(IF($E146&lt;44348,"",IF(INDEX(Raw_매출!$B$2:$BI$155,MATCH($A146,Raw_매출!$A$2:$A$155,0),MATCH(EDATE($E146,Q$1-1),Raw_매출!$B$1:$BI$1,0))=0,"",INDEX(Raw_매출!$B$2:$BI$155,MATCH($A146,Raw_매출!$A$2:$A$155,0),MATCH(EDATE($E146,Q$1-1),Raw_매출!$B$1:$BI$1,0))/(INDEX(요약_월별시즈널리티!$F$7:$F$18,MONTH(EDATE($E146,Q$1-1)))/100))),"")</f>
        <v/>
      </c>
      <c r="R146" t="str" cm="1">
        <f t="array" ref="R146">IFERROR(IF($E146&lt;44348,"",IF(INDEX(Raw_매출!$B$2:$BI$155,MATCH($A146,Raw_매출!$A$2:$A$155,0),MATCH(EDATE($E146,R$1-1),Raw_매출!$B$1:$BI$1,0))=0,"",INDEX(Raw_매출!$B$2:$BI$155,MATCH($A146,Raw_매출!$A$2:$A$155,0),MATCH(EDATE($E146,R$1-1),Raw_매출!$B$1:$BI$1,0))/(INDEX(요약_월별시즈널리티!$F$7:$F$18,MONTH(EDATE($E146,R$1-1)))/100))),"")</f>
        <v/>
      </c>
      <c r="S146" t="str" cm="1">
        <f t="array" ref="S146">IFERROR(IF($E146&lt;44348,"",IF(INDEX(Raw_매출!$B$2:$BI$155,MATCH($A146,Raw_매출!$A$2:$A$155,0),MATCH(EDATE($E146,S$1-1),Raw_매출!$B$1:$BI$1,0))=0,"",INDEX(Raw_매출!$B$2:$BI$155,MATCH($A146,Raw_매출!$A$2:$A$155,0),MATCH(EDATE($E146,S$1-1),Raw_매출!$B$1:$BI$1,0))/(INDEX(요약_월별시즈널리티!$F$7:$F$18,MONTH(EDATE($E146,S$1-1)))/100))),"")</f>
        <v/>
      </c>
      <c r="T146" t="str" cm="1">
        <f t="array" ref="T146">IFERROR(IF($E146&lt;44348,"",IF(INDEX(Raw_매출!$B$2:$BI$155,MATCH($A146,Raw_매출!$A$2:$A$155,0),MATCH(EDATE($E146,T$1-1),Raw_매출!$B$1:$BI$1,0))=0,"",INDEX(Raw_매출!$B$2:$BI$155,MATCH($A146,Raw_매출!$A$2:$A$155,0),MATCH(EDATE($E146,T$1-1),Raw_매출!$B$1:$BI$1,0))/(INDEX(요약_월별시즈널리티!$F$7:$F$18,MONTH(EDATE($E146,T$1-1)))/100))),"")</f>
        <v/>
      </c>
      <c r="U146" t="str" cm="1">
        <f t="array" ref="U146">IFERROR(IF($E146&lt;44348,"",IF(INDEX(Raw_매출!$B$2:$BI$155,MATCH($A146,Raw_매출!$A$2:$A$155,0),MATCH(EDATE($E146,U$1-1),Raw_매출!$B$1:$BI$1,0))=0,"",INDEX(Raw_매출!$B$2:$BI$155,MATCH($A146,Raw_매출!$A$2:$A$155,0),MATCH(EDATE($E146,U$1-1),Raw_매출!$B$1:$BI$1,0))/(INDEX(요약_월별시즈널리티!$F$7:$F$18,MONTH(EDATE($E146,U$1-1)))/100))),"")</f>
        <v/>
      </c>
      <c r="V146" t="str" cm="1">
        <f t="array" ref="V146">IFERROR(IF($E146&lt;44348,"",IF(INDEX(Raw_매출!$B$2:$BI$155,MATCH($A146,Raw_매출!$A$2:$A$155,0),MATCH(EDATE($E146,V$1-1),Raw_매출!$B$1:$BI$1,0))=0,"",INDEX(Raw_매출!$B$2:$BI$155,MATCH($A146,Raw_매출!$A$2:$A$155,0),MATCH(EDATE($E146,V$1-1),Raw_매출!$B$1:$BI$1,0))/(INDEX(요약_월별시즈널리티!$F$7:$F$18,MONTH(EDATE($E146,V$1-1)))/100))),"")</f>
        <v/>
      </c>
      <c r="W146" t="str" cm="1">
        <f t="array" ref="W146">IFERROR(IF($E146&lt;44348,"",IF(INDEX(Raw_매출!$B$2:$BI$155,MATCH($A146,Raw_매출!$A$2:$A$155,0),MATCH(EDATE($E146,W$1-1),Raw_매출!$B$1:$BI$1,0))=0,"",INDEX(Raw_매출!$B$2:$BI$155,MATCH($A146,Raw_매출!$A$2:$A$155,0),MATCH(EDATE($E146,W$1-1),Raw_매출!$B$1:$BI$1,0))/(INDEX(요약_월별시즈널리티!$F$7:$F$18,MONTH(EDATE($E146,W$1-1)))/100))),"")</f>
        <v/>
      </c>
      <c r="X146" t="str" cm="1">
        <f t="array" ref="X146">IFERROR(IF($E146&lt;44348,"",IF(INDEX(Raw_매출!$B$2:$BI$155,MATCH($A146,Raw_매출!$A$2:$A$155,0),MATCH(EDATE($E146,X$1-1),Raw_매출!$B$1:$BI$1,0))=0,"",INDEX(Raw_매출!$B$2:$BI$155,MATCH($A146,Raw_매출!$A$2:$A$155,0),MATCH(EDATE($E146,X$1-1),Raw_매출!$B$1:$BI$1,0))/(INDEX(요약_월별시즈널리티!$F$7:$F$18,MONTH(EDATE($E146,X$1-1)))/100))),"")</f>
        <v/>
      </c>
      <c r="Y146" t="str" cm="1">
        <f t="array" ref="Y146">IFERROR(IF($E146&lt;44348,"",IF(INDEX(Raw_매출!$B$2:$BI$155,MATCH($A146,Raw_매출!$A$2:$A$155,0),MATCH(EDATE($E146,Y$1-1),Raw_매출!$B$1:$BI$1,0))=0,"",INDEX(Raw_매출!$B$2:$BI$155,MATCH($A146,Raw_매출!$A$2:$A$155,0),MATCH(EDATE($E146,Y$1-1),Raw_매출!$B$1:$BI$1,0))/(INDEX(요약_월별시즈널리티!$F$7:$F$18,MONTH(EDATE($E146,Y$1-1)))/100))),"")</f>
        <v/>
      </c>
      <c r="Z146" t="str" cm="1">
        <f t="array" ref="Z146">IFERROR(IF($E146&lt;44348,"",IF(INDEX(Raw_매출!$B$2:$BI$155,MATCH($A146,Raw_매출!$A$2:$A$155,0),MATCH(EDATE($E146,Z$1-1),Raw_매출!$B$1:$BI$1,0))=0,"",INDEX(Raw_매출!$B$2:$BI$155,MATCH($A146,Raw_매출!$A$2:$A$155,0),MATCH(EDATE($E146,Z$1-1),Raw_매출!$B$1:$BI$1,0))/(INDEX(요약_월별시즈널리티!$F$7:$F$18,MONTH(EDATE($E146,Z$1-1)))/100))),"")</f>
        <v/>
      </c>
      <c r="AA146" t="str" cm="1">
        <f t="array" ref="AA146">IFERROR(IF($E146&lt;44348,"",IF(INDEX(Raw_매출!$B$2:$BI$155,MATCH($A146,Raw_매출!$A$2:$A$155,0),MATCH(EDATE($E146,AA$1-1),Raw_매출!$B$1:$BI$1,0))=0,"",INDEX(Raw_매출!$B$2:$BI$155,MATCH($A146,Raw_매출!$A$2:$A$155,0),MATCH(EDATE($E146,AA$1-1),Raw_매출!$B$1:$BI$1,0))/(INDEX(요약_월별시즈널리티!$F$7:$F$18,MONTH(EDATE($E146,AA$1-1)))/100))),"")</f>
        <v/>
      </c>
      <c r="AB146" t="str" cm="1">
        <f t="array" ref="AB146">IFERROR(IF($E146&lt;44348,"",IF(INDEX(Raw_매출!$B$2:$BI$155,MATCH($A146,Raw_매출!$A$2:$A$155,0),MATCH(EDATE($E146,AB$1-1),Raw_매출!$B$1:$BI$1,0))=0,"",INDEX(Raw_매출!$B$2:$BI$155,MATCH($A146,Raw_매출!$A$2:$A$155,0),MATCH(EDATE($E146,AB$1-1),Raw_매출!$B$1:$BI$1,0))/(INDEX(요약_월별시즈널리티!$F$7:$F$18,MONTH(EDATE($E146,AB$1-1)))/100))),"")</f>
        <v/>
      </c>
      <c r="AC146" t="str" cm="1">
        <f t="array" ref="AC146">IFERROR(IF($E146&lt;44348,"",IF(INDEX(Raw_매출!$B$2:$BI$155,MATCH($A146,Raw_매출!$A$2:$A$155,0),MATCH(EDATE($E146,AC$1-1),Raw_매출!$B$1:$BI$1,0))=0,"",INDEX(Raw_매출!$B$2:$BI$155,MATCH($A146,Raw_매출!$A$2:$A$155,0),MATCH(EDATE($E146,AC$1-1),Raw_매출!$B$1:$BI$1,0))/(INDEX(요약_월별시즈널리티!$F$7:$F$18,MONTH(EDATE($E146,AC$1-1)))/100))),"")</f>
        <v/>
      </c>
      <c r="AD146" t="str" cm="1">
        <f t="array" ref="AD146">IFERROR(IF($E146&lt;44348,"",IF(INDEX(Raw_매출!$B$2:$BI$155,MATCH($A146,Raw_매출!$A$2:$A$155,0),MATCH(EDATE($E146,AD$1-1),Raw_매출!$B$1:$BI$1,0))=0,"",INDEX(Raw_매출!$B$2:$BI$155,MATCH($A146,Raw_매출!$A$2:$A$155,0),MATCH(EDATE($E146,AD$1-1),Raw_매출!$B$1:$BI$1,0))/(INDEX(요약_월별시즈널리티!$F$7:$F$18,MONTH(EDATE($E146,AD$1-1)))/100))),"")</f>
        <v/>
      </c>
      <c r="AE146" t="str" cm="1">
        <f t="array" ref="AE146">IFERROR(IF($E146&lt;44348,"",IF(INDEX(Raw_매출!$B$2:$BI$155,MATCH($A146,Raw_매출!$A$2:$A$155,0),MATCH(EDATE($E146,AE$1-1),Raw_매출!$B$1:$BI$1,0))=0,"",INDEX(Raw_매출!$B$2:$BI$155,MATCH($A146,Raw_매출!$A$2:$A$155,0),MATCH(EDATE($E146,AE$1-1),Raw_매출!$B$1:$BI$1,0))/(INDEX(요약_월별시즈널리티!$F$7:$F$18,MONTH(EDATE($E146,AE$1-1)))/100))),"")</f>
        <v/>
      </c>
      <c r="AF146" t="str" cm="1">
        <f t="array" ref="AF146">IFERROR(IF($E146&lt;44348,"",IF(INDEX(Raw_매출!$B$2:$BI$155,MATCH($A146,Raw_매출!$A$2:$A$155,0),MATCH(EDATE($E146,AF$1-1),Raw_매출!$B$1:$BI$1,0))=0,"",INDEX(Raw_매출!$B$2:$BI$155,MATCH($A146,Raw_매출!$A$2:$A$155,0),MATCH(EDATE($E146,AF$1-1),Raw_매출!$B$1:$BI$1,0))/(INDEX(요약_월별시즈널리티!$F$7:$F$18,MONTH(EDATE($E146,AF$1-1)))/100))),"")</f>
        <v/>
      </c>
      <c r="AG146" t="str" cm="1">
        <f t="array" ref="AG146">IFERROR(IF($E146&lt;44348,"",IF(INDEX(Raw_매출!$B$2:$BI$155,MATCH($A146,Raw_매출!$A$2:$A$155,0),MATCH(EDATE($E146,AG$1-1),Raw_매출!$B$1:$BI$1,0))=0,"",INDEX(Raw_매출!$B$2:$BI$155,MATCH($A146,Raw_매출!$A$2:$A$155,0),MATCH(EDATE($E146,AG$1-1),Raw_매출!$B$1:$BI$1,0))/(INDEX(요약_월별시즈널리티!$F$7:$F$18,MONTH(EDATE($E146,AG$1-1)))/100))),"")</f>
        <v/>
      </c>
      <c r="AH146" t="str" cm="1">
        <f t="array" ref="AH146">IFERROR(IF($E146&lt;44348,"",IF(INDEX(Raw_매출!$B$2:$BI$155,MATCH($A146,Raw_매출!$A$2:$A$155,0),MATCH(EDATE($E146,AH$1-1),Raw_매출!$B$1:$BI$1,0))=0,"",INDEX(Raw_매출!$B$2:$BI$155,MATCH($A146,Raw_매출!$A$2:$A$155,0),MATCH(EDATE($E146,AH$1-1),Raw_매출!$B$1:$BI$1,0))/(INDEX(요약_월별시즈널리티!$F$7:$F$18,MONTH(EDATE($E146,AH$1-1)))/100))),"")</f>
        <v/>
      </c>
      <c r="AI146" t="str" cm="1">
        <f t="array" ref="AI146">IFERROR(IF($E146&lt;44348,"",IF(INDEX(Raw_매출!$B$2:$BI$155,MATCH($A146,Raw_매출!$A$2:$A$155,0),MATCH(EDATE($E146,AI$1-1),Raw_매출!$B$1:$BI$1,0))=0,"",INDEX(Raw_매출!$B$2:$BI$155,MATCH($A146,Raw_매출!$A$2:$A$155,0),MATCH(EDATE($E146,AI$1-1),Raw_매출!$B$1:$BI$1,0))/(INDEX(요약_월별시즈널리티!$F$7:$F$18,MONTH(EDATE($E146,AI$1-1)))/100))),"")</f>
        <v/>
      </c>
      <c r="AJ146" t="str" cm="1">
        <f t="array" ref="AJ146">IFERROR(IF($E146&lt;44348,"",IF(INDEX(Raw_매출!$B$2:$BI$155,MATCH($A146,Raw_매출!$A$2:$A$155,0),MATCH(EDATE($E146,AJ$1-1),Raw_매출!$B$1:$BI$1,0))=0,"",INDEX(Raw_매출!$B$2:$BI$155,MATCH($A146,Raw_매출!$A$2:$A$155,0),MATCH(EDATE($E146,AJ$1-1),Raw_매출!$B$1:$BI$1,0))/(INDEX(요약_월별시즈널리티!$F$7:$F$18,MONTH(EDATE($E146,AJ$1-1)))/100))),"")</f>
        <v/>
      </c>
      <c r="AK146" t="str" cm="1">
        <f t="array" ref="AK146">IFERROR(IF($E146&lt;44348,"",IF(INDEX(Raw_매출!$B$2:$BI$155,MATCH($A146,Raw_매출!$A$2:$A$155,0),MATCH(EDATE($E146,AK$1-1),Raw_매출!$B$1:$BI$1,0))=0,"",INDEX(Raw_매출!$B$2:$BI$155,MATCH($A146,Raw_매출!$A$2:$A$155,0),MATCH(EDATE($E146,AK$1-1),Raw_매출!$B$1:$BI$1,0))/(INDEX(요약_월별시즈널리티!$F$7:$F$18,MONTH(EDATE($E146,AK$1-1)))/100))),"")</f>
        <v/>
      </c>
      <c r="AL146" t="str" cm="1">
        <f t="array" ref="AL146">IFERROR(IF($E146&lt;44348,"",IF(INDEX(Raw_매출!$B$2:$BI$155,MATCH($A146,Raw_매출!$A$2:$A$155,0),MATCH(EDATE($E146,AL$1-1),Raw_매출!$B$1:$BI$1,0))=0,"",INDEX(Raw_매출!$B$2:$BI$155,MATCH($A146,Raw_매출!$A$2:$A$155,0),MATCH(EDATE($E146,AL$1-1),Raw_매출!$B$1:$BI$1,0))/(INDEX(요약_월별시즈널리티!$F$7:$F$18,MONTH(EDATE($E146,AL$1-1)))/100))),"")</f>
        <v/>
      </c>
      <c r="AM146" t="str" cm="1">
        <f t="array" ref="AM146">IFERROR(IF($E146&lt;44348,"",IF(INDEX(Raw_매출!$B$2:$BI$155,MATCH($A146,Raw_매출!$A$2:$A$155,0),MATCH(EDATE($E146,AM$1-1),Raw_매출!$B$1:$BI$1,0))=0,"",INDEX(Raw_매출!$B$2:$BI$155,MATCH($A146,Raw_매출!$A$2:$A$155,0),MATCH(EDATE($E146,AM$1-1),Raw_매출!$B$1:$BI$1,0))/(INDEX(요약_월별시즈널리티!$F$7:$F$18,MONTH(EDATE($E146,AM$1-1)))/100))),"")</f>
        <v/>
      </c>
      <c r="AN146" t="str" cm="1">
        <f t="array" ref="AN146">IFERROR(IF($E146&lt;44348,"",IF(INDEX(Raw_매출!$B$2:$BI$155,MATCH($A146,Raw_매출!$A$2:$A$155,0),MATCH(EDATE($E146,AN$1-1),Raw_매출!$B$1:$BI$1,0))=0,"",INDEX(Raw_매출!$B$2:$BI$155,MATCH($A146,Raw_매출!$A$2:$A$155,0),MATCH(EDATE($E146,AN$1-1),Raw_매출!$B$1:$BI$1,0))/(INDEX(요약_월별시즈널리티!$F$7:$F$18,MONTH(EDATE($E146,AN$1-1)))/100))),"")</f>
        <v/>
      </c>
      <c r="AO146" t="str" cm="1">
        <f t="array" ref="AO146">IFERROR(IF($E146&lt;44348,"",IF(INDEX(Raw_매출!$B$2:$BI$155,MATCH($A146,Raw_매출!$A$2:$A$155,0),MATCH(EDATE($E146,AO$1-1),Raw_매출!$B$1:$BI$1,0))=0,"",INDEX(Raw_매출!$B$2:$BI$155,MATCH($A146,Raw_매출!$A$2:$A$155,0),MATCH(EDATE($E146,AO$1-1),Raw_매출!$B$1:$BI$1,0))/(INDEX(요약_월별시즈널리티!$F$7:$F$18,MONTH(EDATE($E146,AO$1-1)))/100))),"")</f>
        <v/>
      </c>
      <c r="AP146" t="str" cm="1">
        <f t="array" ref="AP146">IFERROR(IF($E146&lt;44348,"",IF(INDEX(Raw_매출!$B$2:$BI$155,MATCH($A146,Raw_매출!$A$2:$A$155,0),MATCH(EDATE($E146,AP$1-1),Raw_매출!$B$1:$BI$1,0))=0,"",INDEX(Raw_매출!$B$2:$BI$155,MATCH($A146,Raw_매출!$A$2:$A$155,0),MATCH(EDATE($E146,AP$1-1),Raw_매출!$B$1:$BI$1,0))/(INDEX(요약_월별시즈널리티!$F$7:$F$18,MONTH(EDATE($E146,AP$1-1)))/100))),"")</f>
        <v/>
      </c>
      <c r="AQ146" t="str" cm="1">
        <f t="array" ref="AQ146">IFERROR(IF($E146&lt;44348,"",IF(INDEX(Raw_매출!$B$2:$BI$155,MATCH($A146,Raw_매출!$A$2:$A$155,0),MATCH(EDATE($E146,AQ$1-1),Raw_매출!$B$1:$BI$1,0))=0,"",INDEX(Raw_매출!$B$2:$BI$155,MATCH($A146,Raw_매출!$A$2:$A$155,0),MATCH(EDATE($E146,AQ$1-1),Raw_매출!$B$1:$BI$1,0))/(INDEX(요약_월별시즈널리티!$F$7:$F$18,MONTH(EDATE($E146,AQ$1-1)))/100))),"")</f>
        <v/>
      </c>
      <c r="AR146" t="str" cm="1">
        <f t="array" ref="AR146">IFERROR(IF($E146&lt;44348,"",IF(INDEX(Raw_매출!$B$2:$BI$155,MATCH($A146,Raw_매출!$A$2:$A$155,0),MATCH(EDATE($E146,AR$1-1),Raw_매출!$B$1:$BI$1,0))=0,"",INDEX(Raw_매출!$B$2:$BI$155,MATCH($A146,Raw_매출!$A$2:$A$155,0),MATCH(EDATE($E146,AR$1-1),Raw_매출!$B$1:$BI$1,0))/(INDEX(요약_월별시즈널리티!$F$7:$F$18,MONTH(EDATE($E146,AR$1-1)))/100))),"")</f>
        <v/>
      </c>
      <c r="AS146" t="str" cm="1">
        <f t="array" ref="AS146">IFERROR(IF($E146&lt;44348,"",IF(INDEX(Raw_매출!$B$2:$BI$155,MATCH($A146,Raw_매출!$A$2:$A$155,0),MATCH(EDATE($E146,AS$1-1),Raw_매출!$B$1:$BI$1,0))=0,"",INDEX(Raw_매출!$B$2:$BI$155,MATCH($A146,Raw_매출!$A$2:$A$155,0),MATCH(EDATE($E146,AS$1-1),Raw_매출!$B$1:$BI$1,0))/(INDEX(요약_월별시즈널리티!$F$7:$F$18,MONTH(EDATE($E146,AS$1-1)))/100))),"")</f>
        <v/>
      </c>
      <c r="AT146" t="str" cm="1">
        <f t="array" ref="AT146">IFERROR(IF($E146&lt;44348,"",IF(INDEX(Raw_매출!$B$2:$BI$155,MATCH($A146,Raw_매출!$A$2:$A$155,0),MATCH(EDATE($E146,AT$1-1),Raw_매출!$B$1:$BI$1,0))=0,"",INDEX(Raw_매출!$B$2:$BI$155,MATCH($A146,Raw_매출!$A$2:$A$155,0),MATCH(EDATE($E146,AT$1-1),Raw_매출!$B$1:$BI$1,0))/(INDEX(요약_월별시즈널리티!$F$7:$F$18,MONTH(EDATE($E146,AT$1-1)))/100))),"")</f>
        <v/>
      </c>
      <c r="AU146" t="str" cm="1">
        <f t="array" ref="AU146">IFERROR(IF($E146&lt;44348,"",IF(INDEX(Raw_매출!$B$2:$BI$155,MATCH($A146,Raw_매출!$A$2:$A$155,0),MATCH(EDATE($E146,AU$1-1),Raw_매출!$B$1:$BI$1,0))=0,"",INDEX(Raw_매출!$B$2:$BI$155,MATCH($A146,Raw_매출!$A$2:$A$155,0),MATCH(EDATE($E146,AU$1-1),Raw_매출!$B$1:$BI$1,0))/(INDEX(요약_월별시즈널리티!$F$7:$F$18,MONTH(EDATE($E146,AU$1-1)))/100))),"")</f>
        <v/>
      </c>
      <c r="AV146" t="str" cm="1">
        <f t="array" ref="AV146">IFERROR(IF($E146&lt;44348,"",IF(INDEX(Raw_매출!$B$2:$BI$155,MATCH($A146,Raw_매출!$A$2:$A$155,0),MATCH(EDATE($E146,AV$1-1),Raw_매출!$B$1:$BI$1,0))=0,"",INDEX(Raw_매출!$B$2:$BI$155,MATCH($A146,Raw_매출!$A$2:$A$155,0),MATCH(EDATE($E146,AV$1-1),Raw_매출!$B$1:$BI$1,0))/(INDEX(요약_월별시즈널리티!$F$7:$F$18,MONTH(EDATE($E146,AV$1-1)))/100))),"")</f>
        <v/>
      </c>
      <c r="AW146" t="str" cm="1">
        <f t="array" ref="AW146">IFERROR(IF($E146&lt;44348,"",IF(INDEX(Raw_매출!$B$2:$BI$155,MATCH($A146,Raw_매출!$A$2:$A$155,0),MATCH(EDATE($E146,AW$1-1),Raw_매출!$B$1:$BI$1,0))=0,"",INDEX(Raw_매출!$B$2:$BI$155,MATCH($A146,Raw_매출!$A$2:$A$155,0),MATCH(EDATE($E146,AW$1-1),Raw_매출!$B$1:$BI$1,0))/(INDEX(요약_월별시즈널리티!$F$7:$F$18,MONTH(EDATE($E146,AW$1-1)))/100))),"")</f>
        <v/>
      </c>
      <c r="AX146" t="str" cm="1">
        <f t="array" ref="AX146">IFERROR(IF($E146&lt;44348,"",IF(INDEX(Raw_매출!$B$2:$BI$155,MATCH($A146,Raw_매출!$A$2:$A$155,0),MATCH(EDATE($E146,AX$1-1),Raw_매출!$B$1:$BI$1,0))=0,"",INDEX(Raw_매출!$B$2:$BI$155,MATCH($A146,Raw_매출!$A$2:$A$155,0),MATCH(EDATE($E146,AX$1-1),Raw_매출!$B$1:$BI$1,0))/(INDEX(요약_월별시즈널리티!$F$7:$F$18,MONTH(EDATE($E146,AX$1-1)))/100))),"")</f>
        <v/>
      </c>
      <c r="AY146" t="str" cm="1">
        <f t="array" ref="AY146">IFERROR(IF($E146&lt;44348,"",IF(INDEX(Raw_매출!$B$2:$BI$155,MATCH($A146,Raw_매출!$A$2:$A$155,0),MATCH(EDATE($E146,AY$1-1),Raw_매출!$B$1:$BI$1,0))=0,"",INDEX(Raw_매출!$B$2:$BI$155,MATCH($A146,Raw_매출!$A$2:$A$155,0),MATCH(EDATE($E146,AY$1-1),Raw_매출!$B$1:$BI$1,0))/(INDEX(요약_월별시즈널리티!$F$7:$F$18,MONTH(EDATE($E146,AY$1-1)))/100))),"")</f>
        <v/>
      </c>
      <c r="AZ146" t="str" cm="1">
        <f t="array" ref="AZ146">IFERROR(IF($E146&lt;44348,"",IF(INDEX(Raw_매출!$B$2:$BI$155,MATCH($A146,Raw_매출!$A$2:$A$155,0),MATCH(EDATE($E146,AZ$1-1),Raw_매출!$B$1:$BI$1,0))=0,"",INDEX(Raw_매출!$B$2:$BI$155,MATCH($A146,Raw_매출!$A$2:$A$155,0),MATCH(EDATE($E146,AZ$1-1),Raw_매출!$B$1:$BI$1,0))/(INDEX(요약_월별시즈널리티!$F$7:$F$18,MONTH(EDATE($E146,AZ$1-1)))/100))),"")</f>
        <v/>
      </c>
      <c r="BA146" t="str" cm="1">
        <f t="array" ref="BA146">IFERROR(IF($E146&lt;44348,"",IF(INDEX(Raw_매출!$B$2:$BI$155,MATCH($A146,Raw_매출!$A$2:$A$155,0),MATCH(EDATE($E146,BA$1-1),Raw_매출!$B$1:$BI$1,0))=0,"",INDEX(Raw_매출!$B$2:$BI$155,MATCH($A146,Raw_매출!$A$2:$A$155,0),MATCH(EDATE($E146,BA$1-1),Raw_매출!$B$1:$BI$1,0))/(INDEX(요약_월별시즈널리티!$F$7:$F$18,MONTH(EDATE($E146,BA$1-1)))/100))),"")</f>
        <v/>
      </c>
      <c r="BB146" t="str" cm="1">
        <f t="array" ref="BB146">IFERROR(IF($E146&lt;44348,"",IF(INDEX(Raw_매출!$B$2:$BI$155,MATCH($A146,Raw_매출!$A$2:$A$155,0),MATCH(EDATE($E146,BB$1-1),Raw_매출!$B$1:$BI$1,0))=0,"",INDEX(Raw_매출!$B$2:$BI$155,MATCH($A146,Raw_매출!$A$2:$A$155,0),MATCH(EDATE($E146,BB$1-1),Raw_매출!$B$1:$BI$1,0))/(INDEX(요약_월별시즈널리티!$F$7:$F$18,MONTH(EDATE($E146,BB$1-1)))/100))),"")</f>
        <v/>
      </c>
      <c r="BC146" t="str" cm="1">
        <f t="array" ref="BC146">IFERROR(IF($E146&lt;44348,"",IF(INDEX(Raw_매출!$B$2:$BI$155,MATCH($A146,Raw_매출!$A$2:$A$155,0),MATCH(EDATE($E146,BC$1-1),Raw_매출!$B$1:$BI$1,0))=0,"",INDEX(Raw_매출!$B$2:$BI$155,MATCH($A146,Raw_매출!$A$2:$A$155,0),MATCH(EDATE($E146,BC$1-1),Raw_매출!$B$1:$BI$1,0))/(INDEX(요약_월별시즈널리티!$F$7:$F$18,MONTH(EDATE($E146,BC$1-1)))/100))),"")</f>
        <v/>
      </c>
      <c r="BD146" t="str" cm="1">
        <f t="array" ref="BD146">IFERROR(IF($E146&lt;44348,"",IF(INDEX(Raw_매출!$B$2:$BI$155,MATCH($A146,Raw_매출!$A$2:$A$155,0),MATCH(EDATE($E146,BD$1-1),Raw_매출!$B$1:$BI$1,0))=0,"",INDEX(Raw_매출!$B$2:$BI$155,MATCH($A146,Raw_매출!$A$2:$A$155,0),MATCH(EDATE($E146,BD$1-1),Raw_매출!$B$1:$BI$1,0))/(INDEX(요약_월별시즈널리티!$F$7:$F$18,MONTH(EDATE($E146,BD$1-1)))/100))),"")</f>
        <v/>
      </c>
      <c r="BE146" t="str" cm="1">
        <f t="array" ref="BE146">IFERROR(IF($E146&lt;44348,"",IF(INDEX(Raw_매출!$B$2:$BI$155,MATCH($A146,Raw_매출!$A$2:$A$155,0),MATCH(EDATE($E146,BE$1-1),Raw_매출!$B$1:$BI$1,0))=0,"",INDEX(Raw_매출!$B$2:$BI$155,MATCH($A146,Raw_매출!$A$2:$A$155,0),MATCH(EDATE($E146,BE$1-1),Raw_매출!$B$1:$BI$1,0))/(INDEX(요약_월별시즈널리티!$F$7:$F$18,MONTH(EDATE($E146,BE$1-1)))/100))),"")</f>
        <v/>
      </c>
      <c r="BF146" t="str" cm="1">
        <f t="array" ref="BF146">IFERROR(IF($E146&lt;44348,"",IF(INDEX(Raw_매출!$B$2:$BI$155,MATCH($A146,Raw_매출!$A$2:$A$155,0),MATCH(EDATE($E146,BF$1-1),Raw_매출!$B$1:$BI$1,0))=0,"",INDEX(Raw_매출!$B$2:$BI$155,MATCH($A146,Raw_매출!$A$2:$A$155,0),MATCH(EDATE($E146,BF$1-1),Raw_매출!$B$1:$BI$1,0))/(INDEX(요약_월별시즈널리티!$F$7:$F$18,MONTH(EDATE($E146,BF$1-1)))/100))),"")</f>
        <v/>
      </c>
      <c r="BG146" t="str" cm="1">
        <f t="array" ref="BG146">IFERROR(IF($E146&lt;44348,"",IF(INDEX(Raw_매출!$B$2:$BI$155,MATCH($A146,Raw_매출!$A$2:$A$155,0),MATCH(EDATE($E146,BG$1-1),Raw_매출!$B$1:$BI$1,0))=0,"",INDEX(Raw_매출!$B$2:$BI$155,MATCH($A146,Raw_매출!$A$2:$A$155,0),MATCH(EDATE($E146,BG$1-1),Raw_매출!$B$1:$BI$1,0))/(INDEX(요약_월별시즈널리티!$F$7:$F$18,MONTH(EDATE($E146,BG$1-1)))/100))),"")</f>
        <v/>
      </c>
      <c r="BH146" t="str" cm="1">
        <f t="array" ref="BH146">IFERROR(IF($E146&lt;44348,"",IF(INDEX(Raw_매출!$B$2:$BI$155,MATCH($A146,Raw_매출!$A$2:$A$155,0),MATCH(EDATE($E146,BH$1-1),Raw_매출!$B$1:$BI$1,0))=0,"",INDEX(Raw_매출!$B$2:$BI$155,MATCH($A146,Raw_매출!$A$2:$A$155,0),MATCH(EDATE($E146,BH$1-1),Raw_매출!$B$1:$BI$1,0))/(INDEX(요약_월별시즈널리티!$F$7:$F$18,MONTH(EDATE($E146,BH$1-1)))/100))),"")</f>
        <v/>
      </c>
      <c r="BI146" t="str" cm="1">
        <f t="array" ref="BI146">IFERROR(IF($E146&lt;44348,"",IF(INDEX(Raw_매출!$B$2:$BI$155,MATCH($A146,Raw_매출!$A$2:$A$155,0),MATCH(EDATE($E146,BI$1-1),Raw_매출!$B$1:$BI$1,0))=0,"",INDEX(Raw_매출!$B$2:$BI$155,MATCH($A146,Raw_매출!$A$2:$A$155,0),MATCH(EDATE($E146,BI$1-1),Raw_매출!$B$1:$BI$1,0))/(INDEX(요약_월별시즈널리티!$F$7:$F$18,MONTH(EDATE($E146,BI$1-1)))/100))),"")</f>
        <v/>
      </c>
      <c r="BJ146" t="str" cm="1">
        <f t="array" ref="BJ146">IFERROR(IF($E146&lt;44348,"",IF(INDEX(Raw_매출!$B$2:$BI$155,MATCH($A146,Raw_매출!$A$2:$A$155,0),MATCH(EDATE($E146,BJ$1-1),Raw_매출!$B$1:$BI$1,0))=0,"",INDEX(Raw_매출!$B$2:$BI$155,MATCH($A146,Raw_매출!$A$2:$A$155,0),MATCH(EDATE($E146,BJ$1-1),Raw_매출!$B$1:$BI$1,0))/(INDEX(요약_월별시즈널리티!$F$7:$F$18,MONTH(EDATE($E146,BJ$1-1)))/100))),"")</f>
        <v/>
      </c>
      <c r="BK146" t="str" cm="1">
        <f t="array" ref="BK146">IFERROR(IF($E146&lt;44348,"",IF(INDEX(Raw_매출!$B$2:$BI$155,MATCH($A146,Raw_매출!$A$2:$A$155,0),MATCH(EDATE($E146,BK$1-1),Raw_매출!$B$1:$BI$1,0))=0,"",INDEX(Raw_매출!$B$2:$BI$155,MATCH($A146,Raw_매출!$A$2:$A$155,0),MATCH(EDATE($E146,BK$1-1),Raw_매출!$B$1:$BI$1,0))/(INDEX(요약_월별시즈널리티!$F$7:$F$18,MONTH(EDATE($E146,BK$1-1)))/100))),"")</f>
        <v/>
      </c>
      <c r="BL146" t="str" cm="1">
        <f t="array" ref="BL146">IFERROR(IF($E146&lt;44348,"",IF(INDEX(Raw_매출!$B$2:$BI$155,MATCH($A146,Raw_매출!$A$2:$A$155,0),MATCH(EDATE($E146,BL$1-1),Raw_매출!$B$1:$BI$1,0))=0,"",INDEX(Raw_매출!$B$2:$BI$155,MATCH($A146,Raw_매출!$A$2:$A$155,0),MATCH(EDATE($E146,BL$1-1),Raw_매출!$B$1:$BI$1,0))/(INDEX(요약_월별시즈널리티!$F$7:$F$18,MONTH(EDATE($E146,BL$1-1)))/100))),"")</f>
        <v/>
      </c>
      <c r="BM146" t="str" cm="1">
        <f t="array" ref="BM146">IFERROR(IF($E146&lt;44348,"",IF(INDEX(Raw_매출!$B$2:$BI$155,MATCH($A146,Raw_매출!$A$2:$A$155,0),MATCH(EDATE($E146,BM$1-1),Raw_매출!$B$1:$BI$1,0))=0,"",INDEX(Raw_매출!$B$2:$BI$155,MATCH($A146,Raw_매출!$A$2:$A$155,0),MATCH(EDATE($E146,BM$1-1),Raw_매출!$B$1:$BI$1,0))/(INDEX(요약_월별시즈널리티!$F$7:$F$18,MONTH(EDATE($E146,BM$1-1)))/100))),"")</f>
        <v/>
      </c>
      <c r="BN146" t="str" cm="1">
        <f t="array" ref="BN146">IFERROR(IF($E146&lt;44348,"",IF(INDEX(Raw_매출!$B$2:$BI$155,MATCH($A146,Raw_매출!$A$2:$A$155,0),MATCH(EDATE($E146,BN$1-1),Raw_매출!$B$1:$BI$1,0))=0,"",INDEX(Raw_매출!$B$2:$BI$155,MATCH($A146,Raw_매출!$A$2:$A$155,0),MATCH(EDATE($E146,BN$1-1),Raw_매출!$B$1:$BI$1,0))/(INDEX(요약_월별시즈널리티!$F$7:$F$18,MONTH(EDATE($E146,BN$1-1)))/100))),"")</f>
        <v/>
      </c>
    </row>
    <row r="147" spans="1:66" x14ac:dyDescent="0.4">
      <c r="A147" t="str">
        <f>세팅!A148</f>
        <v>(0015) 부평더갤러리점</v>
      </c>
      <c r="B147" t="str">
        <f>세팅!B148</f>
        <v>150-0</v>
      </c>
      <c r="C147">
        <f t="shared" si="6"/>
        <v>0</v>
      </c>
      <c r="D147" t="str">
        <f t="shared" si="7"/>
        <v>0</v>
      </c>
      <c r="E147" s="1">
        <f>세팅!D148</f>
        <v>46113</v>
      </c>
      <c r="F147" t="str">
        <f t="shared" si="8"/>
        <v/>
      </c>
      <c r="G147" cm="1">
        <f t="array" ref="G147">IFERROR(IF($E147&lt;44348,"",IF(INDEX(Raw_매출!$B$2:$BI$155,MATCH($A147,Raw_매출!$A$2:$A$155,0),MATCH(EDATE($E147,G$1-1),Raw_매출!$B$1:$BI$1,0))=0,"",INDEX(Raw_매출!$B$2:$BI$155,MATCH($A147,Raw_매출!$A$2:$A$155,0),MATCH(EDATE($E147,G$1-1),Raw_매출!$B$1:$BI$1,0))/(INDEX(요약_월별시즈널리티!$F$7:$F$18,MONTH(EDATE($E147,G$1-1)))/100))),"")</f>
        <v>1663939.2910589837</v>
      </c>
      <c r="H147" cm="1">
        <f t="array" ref="H147">IFERROR(IF($E147&lt;44348,"",IF(INDEX(Raw_매출!$B$2:$BI$155,MATCH($A147,Raw_매출!$A$2:$A$155,0),MATCH(EDATE($E147,H$1-1),Raw_매출!$B$1:$BI$1,0))=0,"",INDEX(Raw_매출!$B$2:$BI$155,MATCH($A147,Raw_매출!$A$2:$A$155,0),MATCH(EDATE($E147,H$1-1),Raw_매출!$B$1:$BI$1,0))/(INDEX(요약_월별시즈널리티!$F$7:$F$18,MONTH(EDATE($E147,H$1-1)))/100))),"")</f>
        <v>1417617.0269918283</v>
      </c>
      <c r="I147" t="str" cm="1">
        <f t="array" ref="I147">IFERROR(IF($E147&lt;44348,"",IF(INDEX(Raw_매출!$B$2:$BI$155,MATCH($A147,Raw_매출!$A$2:$A$155,0),MATCH(EDATE($E147,I$1-1),Raw_매출!$B$1:$BI$1,0))=0,"",INDEX(Raw_매출!$B$2:$BI$155,MATCH($A147,Raw_매출!$A$2:$A$155,0),MATCH(EDATE($E147,I$1-1),Raw_매출!$B$1:$BI$1,0))/(INDEX(요약_월별시즈널리티!$F$7:$F$18,MONTH(EDATE($E147,I$1-1)))/100))),"")</f>
        <v/>
      </c>
      <c r="J147" s="30" t="str" cm="1">
        <f t="array" ref="J147">IFERROR(IF($E147&lt;44348,"",IF(INDEX(Raw_매출!$B$2:$BI$155,MATCH($A147,Raw_매출!$A$2:$A$155,0),MATCH(EDATE($E147,J$1-1),Raw_매출!$B$1:$BI$1,0))=0,"",INDEX(Raw_매출!$B$2:$BI$155,MATCH($A147,Raw_매출!$A$2:$A$155,0),MATCH(EDATE($E147,J$1-1),Raw_매출!$B$1:$BI$1,0))/(INDEX(요약_월별시즈널리티!$F$7:$F$18,MONTH(EDATE($E147,J$1-1)))/100))),"")</f>
        <v/>
      </c>
      <c r="K147" s="30" t="str" cm="1">
        <f t="array" ref="K147">IFERROR(IF($E147&lt;44348,"",IF(INDEX(Raw_매출!$B$2:$BI$155,MATCH($A147,Raw_매출!$A$2:$A$155,0),MATCH(EDATE($E147,K$1-1),Raw_매출!$B$1:$BI$1,0))=0,"",INDEX(Raw_매출!$B$2:$BI$155,MATCH($A147,Raw_매출!$A$2:$A$155,0),MATCH(EDATE($E147,K$1-1),Raw_매출!$B$1:$BI$1,0))/(INDEX(요약_월별시즈널리티!$F$7:$F$18,MONTH(EDATE($E147,K$1-1)))/100))),"")</f>
        <v/>
      </c>
      <c r="L147" s="30" t="str" cm="1">
        <f t="array" ref="L147">IFERROR(IF($E147&lt;44348,"",IF(INDEX(Raw_매출!$B$2:$BI$155,MATCH($A147,Raw_매출!$A$2:$A$155,0),MATCH(EDATE($E147,L$1-1),Raw_매출!$B$1:$BI$1,0))=0,"",INDEX(Raw_매출!$B$2:$BI$155,MATCH($A147,Raw_매출!$A$2:$A$155,0),MATCH(EDATE($E147,L$1-1),Raw_매출!$B$1:$BI$1,0))/(INDEX(요약_월별시즈널리티!$F$7:$F$18,MONTH(EDATE($E147,L$1-1)))/100))),"")</f>
        <v/>
      </c>
      <c r="M147" s="30" t="str" cm="1">
        <f t="array" ref="M147">IFERROR(IF($E147&lt;44348,"",IF(INDEX(Raw_매출!$B$2:$BI$155,MATCH($A147,Raw_매출!$A$2:$A$155,0),MATCH(EDATE($E147,M$1-1),Raw_매출!$B$1:$BI$1,0))=0,"",INDEX(Raw_매출!$B$2:$BI$155,MATCH($A147,Raw_매출!$A$2:$A$155,0),MATCH(EDATE($E147,M$1-1),Raw_매출!$B$1:$BI$1,0))/(INDEX(요약_월별시즈널리티!$F$7:$F$18,MONTH(EDATE($E147,M$1-1)))/100))),"")</f>
        <v/>
      </c>
      <c r="N147" s="30" t="str" cm="1">
        <f t="array" ref="N147">IFERROR(IF($E147&lt;44348,"",IF(INDEX(Raw_매출!$B$2:$BI$155,MATCH($A147,Raw_매출!$A$2:$A$155,0),MATCH(EDATE($E147,N$1-1),Raw_매출!$B$1:$BI$1,0))=0,"",INDEX(Raw_매출!$B$2:$BI$155,MATCH($A147,Raw_매출!$A$2:$A$155,0),MATCH(EDATE($E147,N$1-1),Raw_매출!$B$1:$BI$1,0))/(INDEX(요약_월별시즈널리티!$F$7:$F$18,MONTH(EDATE($E147,N$1-1)))/100))),"")</f>
        <v/>
      </c>
      <c r="O147" s="30" t="str" cm="1">
        <f t="array" ref="O147">IFERROR(IF($E147&lt;44348,"",IF(INDEX(Raw_매출!$B$2:$BI$155,MATCH($A147,Raw_매출!$A$2:$A$155,0),MATCH(EDATE($E147,O$1-1),Raw_매출!$B$1:$BI$1,0))=0,"",INDEX(Raw_매출!$B$2:$BI$155,MATCH($A147,Raw_매출!$A$2:$A$155,0),MATCH(EDATE($E147,O$1-1),Raw_매출!$B$1:$BI$1,0))/(INDEX(요약_월별시즈널리티!$F$7:$F$18,MONTH(EDATE($E147,O$1-1)))/100))),"")</f>
        <v/>
      </c>
      <c r="P147" t="str" cm="1">
        <f t="array" ref="P147">IFERROR(IF($E147&lt;44348,"",IF(INDEX(Raw_매출!$B$2:$BI$155,MATCH($A147,Raw_매출!$A$2:$A$155,0),MATCH(EDATE($E147,P$1-1),Raw_매출!$B$1:$BI$1,0))=0,"",INDEX(Raw_매출!$B$2:$BI$155,MATCH($A147,Raw_매출!$A$2:$A$155,0),MATCH(EDATE($E147,P$1-1),Raw_매출!$B$1:$BI$1,0))/(INDEX(요약_월별시즈널리티!$F$7:$F$18,MONTH(EDATE($E147,P$1-1)))/100))),"")</f>
        <v/>
      </c>
      <c r="Q147" t="str" cm="1">
        <f t="array" ref="Q147">IFERROR(IF($E147&lt;44348,"",IF(INDEX(Raw_매출!$B$2:$BI$155,MATCH($A147,Raw_매출!$A$2:$A$155,0),MATCH(EDATE($E147,Q$1-1),Raw_매출!$B$1:$BI$1,0))=0,"",INDEX(Raw_매출!$B$2:$BI$155,MATCH($A147,Raw_매출!$A$2:$A$155,0),MATCH(EDATE($E147,Q$1-1),Raw_매출!$B$1:$BI$1,0))/(INDEX(요약_월별시즈널리티!$F$7:$F$18,MONTH(EDATE($E147,Q$1-1)))/100))),"")</f>
        <v/>
      </c>
      <c r="R147" t="str" cm="1">
        <f t="array" ref="R147">IFERROR(IF($E147&lt;44348,"",IF(INDEX(Raw_매출!$B$2:$BI$155,MATCH($A147,Raw_매출!$A$2:$A$155,0),MATCH(EDATE($E147,R$1-1),Raw_매출!$B$1:$BI$1,0))=0,"",INDEX(Raw_매출!$B$2:$BI$155,MATCH($A147,Raw_매출!$A$2:$A$155,0),MATCH(EDATE($E147,R$1-1),Raw_매출!$B$1:$BI$1,0))/(INDEX(요약_월별시즈널리티!$F$7:$F$18,MONTH(EDATE($E147,R$1-1)))/100))),"")</f>
        <v/>
      </c>
      <c r="S147" t="str" cm="1">
        <f t="array" ref="S147">IFERROR(IF($E147&lt;44348,"",IF(INDEX(Raw_매출!$B$2:$BI$155,MATCH($A147,Raw_매출!$A$2:$A$155,0),MATCH(EDATE($E147,S$1-1),Raw_매출!$B$1:$BI$1,0))=0,"",INDEX(Raw_매출!$B$2:$BI$155,MATCH($A147,Raw_매출!$A$2:$A$155,0),MATCH(EDATE($E147,S$1-1),Raw_매출!$B$1:$BI$1,0))/(INDEX(요약_월별시즈널리티!$F$7:$F$18,MONTH(EDATE($E147,S$1-1)))/100))),"")</f>
        <v/>
      </c>
      <c r="T147" t="str" cm="1">
        <f t="array" ref="T147">IFERROR(IF($E147&lt;44348,"",IF(INDEX(Raw_매출!$B$2:$BI$155,MATCH($A147,Raw_매출!$A$2:$A$155,0),MATCH(EDATE($E147,T$1-1),Raw_매출!$B$1:$BI$1,0))=0,"",INDEX(Raw_매출!$B$2:$BI$155,MATCH($A147,Raw_매출!$A$2:$A$155,0),MATCH(EDATE($E147,T$1-1),Raw_매출!$B$1:$BI$1,0))/(INDEX(요약_월별시즈널리티!$F$7:$F$18,MONTH(EDATE($E147,T$1-1)))/100))),"")</f>
        <v/>
      </c>
      <c r="U147" t="str" cm="1">
        <f t="array" ref="U147">IFERROR(IF($E147&lt;44348,"",IF(INDEX(Raw_매출!$B$2:$BI$155,MATCH($A147,Raw_매출!$A$2:$A$155,0),MATCH(EDATE($E147,U$1-1),Raw_매출!$B$1:$BI$1,0))=0,"",INDEX(Raw_매출!$B$2:$BI$155,MATCH($A147,Raw_매출!$A$2:$A$155,0),MATCH(EDATE($E147,U$1-1),Raw_매출!$B$1:$BI$1,0))/(INDEX(요약_월별시즈널리티!$F$7:$F$18,MONTH(EDATE($E147,U$1-1)))/100))),"")</f>
        <v/>
      </c>
      <c r="V147" t="str" cm="1">
        <f t="array" ref="V147">IFERROR(IF($E147&lt;44348,"",IF(INDEX(Raw_매출!$B$2:$BI$155,MATCH($A147,Raw_매출!$A$2:$A$155,0),MATCH(EDATE($E147,V$1-1),Raw_매출!$B$1:$BI$1,0))=0,"",INDEX(Raw_매출!$B$2:$BI$155,MATCH($A147,Raw_매출!$A$2:$A$155,0),MATCH(EDATE($E147,V$1-1),Raw_매출!$B$1:$BI$1,0))/(INDEX(요약_월별시즈널리티!$F$7:$F$18,MONTH(EDATE($E147,V$1-1)))/100))),"")</f>
        <v/>
      </c>
      <c r="W147" t="str" cm="1">
        <f t="array" ref="W147">IFERROR(IF($E147&lt;44348,"",IF(INDEX(Raw_매출!$B$2:$BI$155,MATCH($A147,Raw_매출!$A$2:$A$155,0),MATCH(EDATE($E147,W$1-1),Raw_매출!$B$1:$BI$1,0))=0,"",INDEX(Raw_매출!$B$2:$BI$155,MATCH($A147,Raw_매출!$A$2:$A$155,0),MATCH(EDATE($E147,W$1-1),Raw_매출!$B$1:$BI$1,0))/(INDEX(요약_월별시즈널리티!$F$7:$F$18,MONTH(EDATE($E147,W$1-1)))/100))),"")</f>
        <v/>
      </c>
      <c r="X147" t="str" cm="1">
        <f t="array" ref="X147">IFERROR(IF($E147&lt;44348,"",IF(INDEX(Raw_매출!$B$2:$BI$155,MATCH($A147,Raw_매출!$A$2:$A$155,0),MATCH(EDATE($E147,X$1-1),Raw_매출!$B$1:$BI$1,0))=0,"",INDEX(Raw_매출!$B$2:$BI$155,MATCH($A147,Raw_매출!$A$2:$A$155,0),MATCH(EDATE($E147,X$1-1),Raw_매출!$B$1:$BI$1,0))/(INDEX(요약_월별시즈널리티!$F$7:$F$18,MONTH(EDATE($E147,X$1-1)))/100))),"")</f>
        <v/>
      </c>
      <c r="Y147" t="str" cm="1">
        <f t="array" ref="Y147">IFERROR(IF($E147&lt;44348,"",IF(INDEX(Raw_매출!$B$2:$BI$155,MATCH($A147,Raw_매출!$A$2:$A$155,0),MATCH(EDATE($E147,Y$1-1),Raw_매출!$B$1:$BI$1,0))=0,"",INDEX(Raw_매출!$B$2:$BI$155,MATCH($A147,Raw_매출!$A$2:$A$155,0),MATCH(EDATE($E147,Y$1-1),Raw_매출!$B$1:$BI$1,0))/(INDEX(요약_월별시즈널리티!$F$7:$F$18,MONTH(EDATE($E147,Y$1-1)))/100))),"")</f>
        <v/>
      </c>
      <c r="Z147" t="str" cm="1">
        <f t="array" ref="Z147">IFERROR(IF($E147&lt;44348,"",IF(INDEX(Raw_매출!$B$2:$BI$155,MATCH($A147,Raw_매출!$A$2:$A$155,0),MATCH(EDATE($E147,Z$1-1),Raw_매출!$B$1:$BI$1,0))=0,"",INDEX(Raw_매출!$B$2:$BI$155,MATCH($A147,Raw_매출!$A$2:$A$155,0),MATCH(EDATE($E147,Z$1-1),Raw_매출!$B$1:$BI$1,0))/(INDEX(요약_월별시즈널리티!$F$7:$F$18,MONTH(EDATE($E147,Z$1-1)))/100))),"")</f>
        <v/>
      </c>
      <c r="AA147" t="str" cm="1">
        <f t="array" ref="AA147">IFERROR(IF($E147&lt;44348,"",IF(INDEX(Raw_매출!$B$2:$BI$155,MATCH($A147,Raw_매출!$A$2:$A$155,0),MATCH(EDATE($E147,AA$1-1),Raw_매출!$B$1:$BI$1,0))=0,"",INDEX(Raw_매출!$B$2:$BI$155,MATCH($A147,Raw_매출!$A$2:$A$155,0),MATCH(EDATE($E147,AA$1-1),Raw_매출!$B$1:$BI$1,0))/(INDEX(요약_월별시즈널리티!$F$7:$F$18,MONTH(EDATE($E147,AA$1-1)))/100))),"")</f>
        <v/>
      </c>
      <c r="AB147" t="str" cm="1">
        <f t="array" ref="AB147">IFERROR(IF($E147&lt;44348,"",IF(INDEX(Raw_매출!$B$2:$BI$155,MATCH($A147,Raw_매출!$A$2:$A$155,0),MATCH(EDATE($E147,AB$1-1),Raw_매출!$B$1:$BI$1,0))=0,"",INDEX(Raw_매출!$B$2:$BI$155,MATCH($A147,Raw_매출!$A$2:$A$155,0),MATCH(EDATE($E147,AB$1-1),Raw_매출!$B$1:$BI$1,0))/(INDEX(요약_월별시즈널리티!$F$7:$F$18,MONTH(EDATE($E147,AB$1-1)))/100))),"")</f>
        <v/>
      </c>
      <c r="AC147" t="str" cm="1">
        <f t="array" ref="AC147">IFERROR(IF($E147&lt;44348,"",IF(INDEX(Raw_매출!$B$2:$BI$155,MATCH($A147,Raw_매출!$A$2:$A$155,0),MATCH(EDATE($E147,AC$1-1),Raw_매출!$B$1:$BI$1,0))=0,"",INDEX(Raw_매출!$B$2:$BI$155,MATCH($A147,Raw_매출!$A$2:$A$155,0),MATCH(EDATE($E147,AC$1-1),Raw_매출!$B$1:$BI$1,0))/(INDEX(요약_월별시즈널리티!$F$7:$F$18,MONTH(EDATE($E147,AC$1-1)))/100))),"")</f>
        <v/>
      </c>
      <c r="AD147" t="str" cm="1">
        <f t="array" ref="AD147">IFERROR(IF($E147&lt;44348,"",IF(INDEX(Raw_매출!$B$2:$BI$155,MATCH($A147,Raw_매출!$A$2:$A$155,0),MATCH(EDATE($E147,AD$1-1),Raw_매출!$B$1:$BI$1,0))=0,"",INDEX(Raw_매출!$B$2:$BI$155,MATCH($A147,Raw_매출!$A$2:$A$155,0),MATCH(EDATE($E147,AD$1-1),Raw_매출!$B$1:$BI$1,0))/(INDEX(요약_월별시즈널리티!$F$7:$F$18,MONTH(EDATE($E147,AD$1-1)))/100))),"")</f>
        <v/>
      </c>
      <c r="AE147" t="str" cm="1">
        <f t="array" ref="AE147">IFERROR(IF($E147&lt;44348,"",IF(INDEX(Raw_매출!$B$2:$BI$155,MATCH($A147,Raw_매출!$A$2:$A$155,0),MATCH(EDATE($E147,AE$1-1),Raw_매출!$B$1:$BI$1,0))=0,"",INDEX(Raw_매출!$B$2:$BI$155,MATCH($A147,Raw_매출!$A$2:$A$155,0),MATCH(EDATE($E147,AE$1-1),Raw_매출!$B$1:$BI$1,0))/(INDEX(요약_월별시즈널리티!$F$7:$F$18,MONTH(EDATE($E147,AE$1-1)))/100))),"")</f>
        <v/>
      </c>
      <c r="AF147" t="str" cm="1">
        <f t="array" ref="AF147">IFERROR(IF($E147&lt;44348,"",IF(INDEX(Raw_매출!$B$2:$BI$155,MATCH($A147,Raw_매출!$A$2:$A$155,0),MATCH(EDATE($E147,AF$1-1),Raw_매출!$B$1:$BI$1,0))=0,"",INDEX(Raw_매출!$B$2:$BI$155,MATCH($A147,Raw_매출!$A$2:$A$155,0),MATCH(EDATE($E147,AF$1-1),Raw_매출!$B$1:$BI$1,0))/(INDEX(요약_월별시즈널리티!$F$7:$F$18,MONTH(EDATE($E147,AF$1-1)))/100))),"")</f>
        <v/>
      </c>
      <c r="AG147" t="str" cm="1">
        <f t="array" ref="AG147">IFERROR(IF($E147&lt;44348,"",IF(INDEX(Raw_매출!$B$2:$BI$155,MATCH($A147,Raw_매출!$A$2:$A$155,0),MATCH(EDATE($E147,AG$1-1),Raw_매출!$B$1:$BI$1,0))=0,"",INDEX(Raw_매출!$B$2:$BI$155,MATCH($A147,Raw_매출!$A$2:$A$155,0),MATCH(EDATE($E147,AG$1-1),Raw_매출!$B$1:$BI$1,0))/(INDEX(요약_월별시즈널리티!$F$7:$F$18,MONTH(EDATE($E147,AG$1-1)))/100))),"")</f>
        <v/>
      </c>
      <c r="AH147" t="str" cm="1">
        <f t="array" ref="AH147">IFERROR(IF($E147&lt;44348,"",IF(INDEX(Raw_매출!$B$2:$BI$155,MATCH($A147,Raw_매출!$A$2:$A$155,0),MATCH(EDATE($E147,AH$1-1),Raw_매출!$B$1:$BI$1,0))=0,"",INDEX(Raw_매출!$B$2:$BI$155,MATCH($A147,Raw_매출!$A$2:$A$155,0),MATCH(EDATE($E147,AH$1-1),Raw_매출!$B$1:$BI$1,0))/(INDEX(요약_월별시즈널리티!$F$7:$F$18,MONTH(EDATE($E147,AH$1-1)))/100))),"")</f>
        <v/>
      </c>
      <c r="AI147" t="str" cm="1">
        <f t="array" ref="AI147">IFERROR(IF($E147&lt;44348,"",IF(INDEX(Raw_매출!$B$2:$BI$155,MATCH($A147,Raw_매출!$A$2:$A$155,0),MATCH(EDATE($E147,AI$1-1),Raw_매출!$B$1:$BI$1,0))=0,"",INDEX(Raw_매출!$B$2:$BI$155,MATCH($A147,Raw_매출!$A$2:$A$155,0),MATCH(EDATE($E147,AI$1-1),Raw_매출!$B$1:$BI$1,0))/(INDEX(요약_월별시즈널리티!$F$7:$F$18,MONTH(EDATE($E147,AI$1-1)))/100))),"")</f>
        <v/>
      </c>
      <c r="AJ147" t="str" cm="1">
        <f t="array" ref="AJ147">IFERROR(IF($E147&lt;44348,"",IF(INDEX(Raw_매출!$B$2:$BI$155,MATCH($A147,Raw_매출!$A$2:$A$155,0),MATCH(EDATE($E147,AJ$1-1),Raw_매출!$B$1:$BI$1,0))=0,"",INDEX(Raw_매출!$B$2:$BI$155,MATCH($A147,Raw_매출!$A$2:$A$155,0),MATCH(EDATE($E147,AJ$1-1),Raw_매출!$B$1:$BI$1,0))/(INDEX(요약_월별시즈널리티!$F$7:$F$18,MONTH(EDATE($E147,AJ$1-1)))/100))),"")</f>
        <v/>
      </c>
      <c r="AK147" t="str" cm="1">
        <f t="array" ref="AK147">IFERROR(IF($E147&lt;44348,"",IF(INDEX(Raw_매출!$B$2:$BI$155,MATCH($A147,Raw_매출!$A$2:$A$155,0),MATCH(EDATE($E147,AK$1-1),Raw_매출!$B$1:$BI$1,0))=0,"",INDEX(Raw_매출!$B$2:$BI$155,MATCH($A147,Raw_매출!$A$2:$A$155,0),MATCH(EDATE($E147,AK$1-1),Raw_매출!$B$1:$BI$1,0))/(INDEX(요약_월별시즈널리티!$F$7:$F$18,MONTH(EDATE($E147,AK$1-1)))/100))),"")</f>
        <v/>
      </c>
      <c r="AL147" t="str" cm="1">
        <f t="array" ref="AL147">IFERROR(IF($E147&lt;44348,"",IF(INDEX(Raw_매출!$B$2:$BI$155,MATCH($A147,Raw_매출!$A$2:$A$155,0),MATCH(EDATE($E147,AL$1-1),Raw_매출!$B$1:$BI$1,0))=0,"",INDEX(Raw_매출!$B$2:$BI$155,MATCH($A147,Raw_매출!$A$2:$A$155,0),MATCH(EDATE($E147,AL$1-1),Raw_매출!$B$1:$BI$1,0))/(INDEX(요약_월별시즈널리티!$F$7:$F$18,MONTH(EDATE($E147,AL$1-1)))/100))),"")</f>
        <v/>
      </c>
      <c r="AM147" t="str" cm="1">
        <f t="array" ref="AM147">IFERROR(IF($E147&lt;44348,"",IF(INDEX(Raw_매출!$B$2:$BI$155,MATCH($A147,Raw_매출!$A$2:$A$155,0),MATCH(EDATE($E147,AM$1-1),Raw_매출!$B$1:$BI$1,0))=0,"",INDEX(Raw_매출!$B$2:$BI$155,MATCH($A147,Raw_매출!$A$2:$A$155,0),MATCH(EDATE($E147,AM$1-1),Raw_매출!$B$1:$BI$1,0))/(INDEX(요약_월별시즈널리티!$F$7:$F$18,MONTH(EDATE($E147,AM$1-1)))/100))),"")</f>
        <v/>
      </c>
      <c r="AN147" t="str" cm="1">
        <f t="array" ref="AN147">IFERROR(IF($E147&lt;44348,"",IF(INDEX(Raw_매출!$B$2:$BI$155,MATCH($A147,Raw_매출!$A$2:$A$155,0),MATCH(EDATE($E147,AN$1-1),Raw_매출!$B$1:$BI$1,0))=0,"",INDEX(Raw_매출!$B$2:$BI$155,MATCH($A147,Raw_매출!$A$2:$A$155,0),MATCH(EDATE($E147,AN$1-1),Raw_매출!$B$1:$BI$1,0))/(INDEX(요약_월별시즈널리티!$F$7:$F$18,MONTH(EDATE($E147,AN$1-1)))/100))),"")</f>
        <v/>
      </c>
      <c r="AO147" t="str" cm="1">
        <f t="array" ref="AO147">IFERROR(IF($E147&lt;44348,"",IF(INDEX(Raw_매출!$B$2:$BI$155,MATCH($A147,Raw_매출!$A$2:$A$155,0),MATCH(EDATE($E147,AO$1-1),Raw_매출!$B$1:$BI$1,0))=0,"",INDEX(Raw_매출!$B$2:$BI$155,MATCH($A147,Raw_매출!$A$2:$A$155,0),MATCH(EDATE($E147,AO$1-1),Raw_매출!$B$1:$BI$1,0))/(INDEX(요약_월별시즈널리티!$F$7:$F$18,MONTH(EDATE($E147,AO$1-1)))/100))),"")</f>
        <v/>
      </c>
      <c r="AP147" t="str" cm="1">
        <f t="array" ref="AP147">IFERROR(IF($E147&lt;44348,"",IF(INDEX(Raw_매출!$B$2:$BI$155,MATCH($A147,Raw_매출!$A$2:$A$155,0),MATCH(EDATE($E147,AP$1-1),Raw_매출!$B$1:$BI$1,0))=0,"",INDEX(Raw_매출!$B$2:$BI$155,MATCH($A147,Raw_매출!$A$2:$A$155,0),MATCH(EDATE($E147,AP$1-1),Raw_매출!$B$1:$BI$1,0))/(INDEX(요약_월별시즈널리티!$F$7:$F$18,MONTH(EDATE($E147,AP$1-1)))/100))),"")</f>
        <v/>
      </c>
      <c r="AQ147" t="str" cm="1">
        <f t="array" ref="AQ147">IFERROR(IF($E147&lt;44348,"",IF(INDEX(Raw_매출!$B$2:$BI$155,MATCH($A147,Raw_매출!$A$2:$A$155,0),MATCH(EDATE($E147,AQ$1-1),Raw_매출!$B$1:$BI$1,0))=0,"",INDEX(Raw_매출!$B$2:$BI$155,MATCH($A147,Raw_매출!$A$2:$A$155,0),MATCH(EDATE($E147,AQ$1-1),Raw_매출!$B$1:$BI$1,0))/(INDEX(요약_월별시즈널리티!$F$7:$F$18,MONTH(EDATE($E147,AQ$1-1)))/100))),"")</f>
        <v/>
      </c>
      <c r="AR147" t="str" cm="1">
        <f t="array" ref="AR147">IFERROR(IF($E147&lt;44348,"",IF(INDEX(Raw_매출!$B$2:$BI$155,MATCH($A147,Raw_매출!$A$2:$A$155,0),MATCH(EDATE($E147,AR$1-1),Raw_매출!$B$1:$BI$1,0))=0,"",INDEX(Raw_매출!$B$2:$BI$155,MATCH($A147,Raw_매출!$A$2:$A$155,0),MATCH(EDATE($E147,AR$1-1),Raw_매출!$B$1:$BI$1,0))/(INDEX(요약_월별시즈널리티!$F$7:$F$18,MONTH(EDATE($E147,AR$1-1)))/100))),"")</f>
        <v/>
      </c>
      <c r="AS147" t="str" cm="1">
        <f t="array" ref="AS147">IFERROR(IF($E147&lt;44348,"",IF(INDEX(Raw_매출!$B$2:$BI$155,MATCH($A147,Raw_매출!$A$2:$A$155,0),MATCH(EDATE($E147,AS$1-1),Raw_매출!$B$1:$BI$1,0))=0,"",INDEX(Raw_매출!$B$2:$BI$155,MATCH($A147,Raw_매출!$A$2:$A$155,0),MATCH(EDATE($E147,AS$1-1),Raw_매출!$B$1:$BI$1,0))/(INDEX(요약_월별시즈널리티!$F$7:$F$18,MONTH(EDATE($E147,AS$1-1)))/100))),"")</f>
        <v/>
      </c>
      <c r="AT147" t="str" cm="1">
        <f t="array" ref="AT147">IFERROR(IF($E147&lt;44348,"",IF(INDEX(Raw_매출!$B$2:$BI$155,MATCH($A147,Raw_매출!$A$2:$A$155,0),MATCH(EDATE($E147,AT$1-1),Raw_매출!$B$1:$BI$1,0))=0,"",INDEX(Raw_매출!$B$2:$BI$155,MATCH($A147,Raw_매출!$A$2:$A$155,0),MATCH(EDATE($E147,AT$1-1),Raw_매출!$B$1:$BI$1,0))/(INDEX(요약_월별시즈널리티!$F$7:$F$18,MONTH(EDATE($E147,AT$1-1)))/100))),"")</f>
        <v/>
      </c>
      <c r="AU147" t="str" cm="1">
        <f t="array" ref="AU147">IFERROR(IF($E147&lt;44348,"",IF(INDEX(Raw_매출!$B$2:$BI$155,MATCH($A147,Raw_매출!$A$2:$A$155,0),MATCH(EDATE($E147,AU$1-1),Raw_매출!$B$1:$BI$1,0))=0,"",INDEX(Raw_매출!$B$2:$BI$155,MATCH($A147,Raw_매출!$A$2:$A$155,0),MATCH(EDATE($E147,AU$1-1),Raw_매출!$B$1:$BI$1,0))/(INDEX(요약_월별시즈널리티!$F$7:$F$18,MONTH(EDATE($E147,AU$1-1)))/100))),"")</f>
        <v/>
      </c>
      <c r="AV147" t="str" cm="1">
        <f t="array" ref="AV147">IFERROR(IF($E147&lt;44348,"",IF(INDEX(Raw_매출!$B$2:$BI$155,MATCH($A147,Raw_매출!$A$2:$A$155,0),MATCH(EDATE($E147,AV$1-1),Raw_매출!$B$1:$BI$1,0))=0,"",INDEX(Raw_매출!$B$2:$BI$155,MATCH($A147,Raw_매출!$A$2:$A$155,0),MATCH(EDATE($E147,AV$1-1),Raw_매출!$B$1:$BI$1,0))/(INDEX(요약_월별시즈널리티!$F$7:$F$18,MONTH(EDATE($E147,AV$1-1)))/100))),"")</f>
        <v/>
      </c>
      <c r="AW147" t="str" cm="1">
        <f t="array" ref="AW147">IFERROR(IF($E147&lt;44348,"",IF(INDEX(Raw_매출!$B$2:$BI$155,MATCH($A147,Raw_매출!$A$2:$A$155,0),MATCH(EDATE($E147,AW$1-1),Raw_매출!$B$1:$BI$1,0))=0,"",INDEX(Raw_매출!$B$2:$BI$155,MATCH($A147,Raw_매출!$A$2:$A$155,0),MATCH(EDATE($E147,AW$1-1),Raw_매출!$B$1:$BI$1,0))/(INDEX(요약_월별시즈널리티!$F$7:$F$18,MONTH(EDATE($E147,AW$1-1)))/100))),"")</f>
        <v/>
      </c>
      <c r="AX147" t="str" cm="1">
        <f t="array" ref="AX147">IFERROR(IF($E147&lt;44348,"",IF(INDEX(Raw_매출!$B$2:$BI$155,MATCH($A147,Raw_매출!$A$2:$A$155,0),MATCH(EDATE($E147,AX$1-1),Raw_매출!$B$1:$BI$1,0))=0,"",INDEX(Raw_매출!$B$2:$BI$155,MATCH($A147,Raw_매출!$A$2:$A$155,0),MATCH(EDATE($E147,AX$1-1),Raw_매출!$B$1:$BI$1,0))/(INDEX(요약_월별시즈널리티!$F$7:$F$18,MONTH(EDATE($E147,AX$1-1)))/100))),"")</f>
        <v/>
      </c>
      <c r="AY147" t="str" cm="1">
        <f t="array" ref="AY147">IFERROR(IF($E147&lt;44348,"",IF(INDEX(Raw_매출!$B$2:$BI$155,MATCH($A147,Raw_매출!$A$2:$A$155,0),MATCH(EDATE($E147,AY$1-1),Raw_매출!$B$1:$BI$1,0))=0,"",INDEX(Raw_매출!$B$2:$BI$155,MATCH($A147,Raw_매출!$A$2:$A$155,0),MATCH(EDATE($E147,AY$1-1),Raw_매출!$B$1:$BI$1,0))/(INDEX(요약_월별시즈널리티!$F$7:$F$18,MONTH(EDATE($E147,AY$1-1)))/100))),"")</f>
        <v/>
      </c>
      <c r="AZ147" t="str" cm="1">
        <f t="array" ref="AZ147">IFERROR(IF($E147&lt;44348,"",IF(INDEX(Raw_매출!$B$2:$BI$155,MATCH($A147,Raw_매출!$A$2:$A$155,0),MATCH(EDATE($E147,AZ$1-1),Raw_매출!$B$1:$BI$1,0))=0,"",INDEX(Raw_매출!$B$2:$BI$155,MATCH($A147,Raw_매출!$A$2:$A$155,0),MATCH(EDATE($E147,AZ$1-1),Raw_매출!$B$1:$BI$1,0))/(INDEX(요약_월별시즈널리티!$F$7:$F$18,MONTH(EDATE($E147,AZ$1-1)))/100))),"")</f>
        <v/>
      </c>
      <c r="BA147" t="str" cm="1">
        <f t="array" ref="BA147">IFERROR(IF($E147&lt;44348,"",IF(INDEX(Raw_매출!$B$2:$BI$155,MATCH($A147,Raw_매출!$A$2:$A$155,0),MATCH(EDATE($E147,BA$1-1),Raw_매출!$B$1:$BI$1,0))=0,"",INDEX(Raw_매출!$B$2:$BI$155,MATCH($A147,Raw_매출!$A$2:$A$155,0),MATCH(EDATE($E147,BA$1-1),Raw_매출!$B$1:$BI$1,0))/(INDEX(요약_월별시즈널리티!$F$7:$F$18,MONTH(EDATE($E147,BA$1-1)))/100))),"")</f>
        <v/>
      </c>
      <c r="BB147" t="str" cm="1">
        <f t="array" ref="BB147">IFERROR(IF($E147&lt;44348,"",IF(INDEX(Raw_매출!$B$2:$BI$155,MATCH($A147,Raw_매출!$A$2:$A$155,0),MATCH(EDATE($E147,BB$1-1),Raw_매출!$B$1:$BI$1,0))=0,"",INDEX(Raw_매출!$B$2:$BI$155,MATCH($A147,Raw_매출!$A$2:$A$155,0),MATCH(EDATE($E147,BB$1-1),Raw_매출!$B$1:$BI$1,0))/(INDEX(요약_월별시즈널리티!$F$7:$F$18,MONTH(EDATE($E147,BB$1-1)))/100))),"")</f>
        <v/>
      </c>
      <c r="BC147" t="str" cm="1">
        <f t="array" ref="BC147">IFERROR(IF($E147&lt;44348,"",IF(INDEX(Raw_매출!$B$2:$BI$155,MATCH($A147,Raw_매출!$A$2:$A$155,0),MATCH(EDATE($E147,BC$1-1),Raw_매출!$B$1:$BI$1,0))=0,"",INDEX(Raw_매출!$B$2:$BI$155,MATCH($A147,Raw_매출!$A$2:$A$155,0),MATCH(EDATE($E147,BC$1-1),Raw_매출!$B$1:$BI$1,0))/(INDEX(요약_월별시즈널리티!$F$7:$F$18,MONTH(EDATE($E147,BC$1-1)))/100))),"")</f>
        <v/>
      </c>
      <c r="BD147" t="str" cm="1">
        <f t="array" ref="BD147">IFERROR(IF($E147&lt;44348,"",IF(INDEX(Raw_매출!$B$2:$BI$155,MATCH($A147,Raw_매출!$A$2:$A$155,0),MATCH(EDATE($E147,BD$1-1),Raw_매출!$B$1:$BI$1,0))=0,"",INDEX(Raw_매출!$B$2:$BI$155,MATCH($A147,Raw_매출!$A$2:$A$155,0),MATCH(EDATE($E147,BD$1-1),Raw_매출!$B$1:$BI$1,0))/(INDEX(요약_월별시즈널리티!$F$7:$F$18,MONTH(EDATE($E147,BD$1-1)))/100))),"")</f>
        <v/>
      </c>
      <c r="BE147" t="str" cm="1">
        <f t="array" ref="BE147">IFERROR(IF($E147&lt;44348,"",IF(INDEX(Raw_매출!$B$2:$BI$155,MATCH($A147,Raw_매출!$A$2:$A$155,0),MATCH(EDATE($E147,BE$1-1),Raw_매출!$B$1:$BI$1,0))=0,"",INDEX(Raw_매출!$B$2:$BI$155,MATCH($A147,Raw_매출!$A$2:$A$155,0),MATCH(EDATE($E147,BE$1-1),Raw_매출!$B$1:$BI$1,0))/(INDEX(요약_월별시즈널리티!$F$7:$F$18,MONTH(EDATE($E147,BE$1-1)))/100))),"")</f>
        <v/>
      </c>
      <c r="BF147" t="str" cm="1">
        <f t="array" ref="BF147">IFERROR(IF($E147&lt;44348,"",IF(INDEX(Raw_매출!$B$2:$BI$155,MATCH($A147,Raw_매출!$A$2:$A$155,0),MATCH(EDATE($E147,BF$1-1),Raw_매출!$B$1:$BI$1,0))=0,"",INDEX(Raw_매출!$B$2:$BI$155,MATCH($A147,Raw_매출!$A$2:$A$155,0),MATCH(EDATE($E147,BF$1-1),Raw_매출!$B$1:$BI$1,0))/(INDEX(요약_월별시즈널리티!$F$7:$F$18,MONTH(EDATE($E147,BF$1-1)))/100))),"")</f>
        <v/>
      </c>
      <c r="BG147" t="str" cm="1">
        <f t="array" ref="BG147">IFERROR(IF($E147&lt;44348,"",IF(INDEX(Raw_매출!$B$2:$BI$155,MATCH($A147,Raw_매출!$A$2:$A$155,0),MATCH(EDATE($E147,BG$1-1),Raw_매출!$B$1:$BI$1,0))=0,"",INDEX(Raw_매출!$B$2:$BI$155,MATCH($A147,Raw_매출!$A$2:$A$155,0),MATCH(EDATE($E147,BG$1-1),Raw_매출!$B$1:$BI$1,0))/(INDEX(요약_월별시즈널리티!$F$7:$F$18,MONTH(EDATE($E147,BG$1-1)))/100))),"")</f>
        <v/>
      </c>
      <c r="BH147" t="str" cm="1">
        <f t="array" ref="BH147">IFERROR(IF($E147&lt;44348,"",IF(INDEX(Raw_매출!$B$2:$BI$155,MATCH($A147,Raw_매출!$A$2:$A$155,0),MATCH(EDATE($E147,BH$1-1),Raw_매출!$B$1:$BI$1,0))=0,"",INDEX(Raw_매출!$B$2:$BI$155,MATCH($A147,Raw_매출!$A$2:$A$155,0),MATCH(EDATE($E147,BH$1-1),Raw_매출!$B$1:$BI$1,0))/(INDEX(요약_월별시즈널리티!$F$7:$F$18,MONTH(EDATE($E147,BH$1-1)))/100))),"")</f>
        <v/>
      </c>
      <c r="BI147" t="str" cm="1">
        <f t="array" ref="BI147">IFERROR(IF($E147&lt;44348,"",IF(INDEX(Raw_매출!$B$2:$BI$155,MATCH($A147,Raw_매출!$A$2:$A$155,0),MATCH(EDATE($E147,BI$1-1),Raw_매출!$B$1:$BI$1,0))=0,"",INDEX(Raw_매출!$B$2:$BI$155,MATCH($A147,Raw_매출!$A$2:$A$155,0),MATCH(EDATE($E147,BI$1-1),Raw_매출!$B$1:$BI$1,0))/(INDEX(요약_월별시즈널리티!$F$7:$F$18,MONTH(EDATE($E147,BI$1-1)))/100))),"")</f>
        <v/>
      </c>
      <c r="BJ147" t="str" cm="1">
        <f t="array" ref="BJ147">IFERROR(IF($E147&lt;44348,"",IF(INDEX(Raw_매출!$B$2:$BI$155,MATCH($A147,Raw_매출!$A$2:$A$155,0),MATCH(EDATE($E147,BJ$1-1),Raw_매출!$B$1:$BI$1,0))=0,"",INDEX(Raw_매출!$B$2:$BI$155,MATCH($A147,Raw_매출!$A$2:$A$155,0),MATCH(EDATE($E147,BJ$1-1),Raw_매출!$B$1:$BI$1,0))/(INDEX(요약_월별시즈널리티!$F$7:$F$18,MONTH(EDATE($E147,BJ$1-1)))/100))),"")</f>
        <v/>
      </c>
      <c r="BK147" t="str" cm="1">
        <f t="array" ref="BK147">IFERROR(IF($E147&lt;44348,"",IF(INDEX(Raw_매출!$B$2:$BI$155,MATCH($A147,Raw_매출!$A$2:$A$155,0),MATCH(EDATE($E147,BK$1-1),Raw_매출!$B$1:$BI$1,0))=0,"",INDEX(Raw_매출!$B$2:$BI$155,MATCH($A147,Raw_매출!$A$2:$A$155,0),MATCH(EDATE($E147,BK$1-1),Raw_매출!$B$1:$BI$1,0))/(INDEX(요약_월별시즈널리티!$F$7:$F$18,MONTH(EDATE($E147,BK$1-1)))/100))),"")</f>
        <v/>
      </c>
      <c r="BL147" t="str" cm="1">
        <f t="array" ref="BL147">IFERROR(IF($E147&lt;44348,"",IF(INDEX(Raw_매출!$B$2:$BI$155,MATCH($A147,Raw_매출!$A$2:$A$155,0),MATCH(EDATE($E147,BL$1-1),Raw_매출!$B$1:$BI$1,0))=0,"",INDEX(Raw_매출!$B$2:$BI$155,MATCH($A147,Raw_매출!$A$2:$A$155,0),MATCH(EDATE($E147,BL$1-1),Raw_매출!$B$1:$BI$1,0))/(INDEX(요약_월별시즈널리티!$F$7:$F$18,MONTH(EDATE($E147,BL$1-1)))/100))),"")</f>
        <v/>
      </c>
      <c r="BM147" t="str" cm="1">
        <f t="array" ref="BM147">IFERROR(IF($E147&lt;44348,"",IF(INDEX(Raw_매출!$B$2:$BI$155,MATCH($A147,Raw_매출!$A$2:$A$155,0),MATCH(EDATE($E147,BM$1-1),Raw_매출!$B$1:$BI$1,0))=0,"",INDEX(Raw_매출!$B$2:$BI$155,MATCH($A147,Raw_매출!$A$2:$A$155,0),MATCH(EDATE($E147,BM$1-1),Raw_매출!$B$1:$BI$1,0))/(INDEX(요약_월별시즈널리티!$F$7:$F$18,MONTH(EDATE($E147,BM$1-1)))/100))),"")</f>
        <v/>
      </c>
      <c r="BN147" t="str" cm="1">
        <f t="array" ref="BN147">IFERROR(IF($E147&lt;44348,"",IF(INDEX(Raw_매출!$B$2:$BI$155,MATCH($A147,Raw_매출!$A$2:$A$155,0),MATCH(EDATE($E147,BN$1-1),Raw_매출!$B$1:$BI$1,0))=0,"",INDEX(Raw_매출!$B$2:$BI$155,MATCH($A147,Raw_매출!$A$2:$A$155,0),MATCH(EDATE($E147,BN$1-1),Raw_매출!$B$1:$BI$1,0))/(INDEX(요약_월별시즈널리티!$F$7:$F$18,MONTH(EDATE($E147,BN$1-1)))/100))),"")</f>
        <v/>
      </c>
    </row>
    <row r="148" spans="1:66" x14ac:dyDescent="0.4">
      <c r="A148" t="str">
        <f>세팅!A149</f>
        <v>(1138) #강원대공대점</v>
      </c>
      <c r="B148" t="str">
        <f>세팅!B149</f>
        <v>150-1</v>
      </c>
      <c r="C148">
        <f t="shared" si="6"/>
        <v>1</v>
      </c>
      <c r="D148" t="str">
        <f t="shared" si="7"/>
        <v>1</v>
      </c>
      <c r="E148" s="1">
        <f>세팅!D149</f>
        <v>46143</v>
      </c>
      <c r="F148" t="str">
        <f t="shared" si="8"/>
        <v/>
      </c>
      <c r="G148" cm="1">
        <f t="array" ref="G148">IFERROR(IF($E148&lt;44348,"",IF(INDEX(Raw_매출!$B$2:$BI$155,MATCH($A148,Raw_매출!$A$2:$A$155,0),MATCH(EDATE($E148,G$1-1),Raw_매출!$B$1:$BI$1,0))=0,"",INDEX(Raw_매출!$B$2:$BI$155,MATCH($A148,Raw_매출!$A$2:$A$155,0),MATCH(EDATE($E148,G$1-1),Raw_매출!$B$1:$BI$1,0))/(INDEX(요약_월별시즈널리티!$F$7:$F$18,MONTH(EDATE($E148,G$1-1)))/100))),"")</f>
        <v>4244518.2982902145</v>
      </c>
      <c r="H148" t="str" cm="1">
        <f t="array" ref="H148">IFERROR(IF($E148&lt;44348,"",IF(INDEX(Raw_매출!$B$2:$BI$155,MATCH($A148,Raw_매출!$A$2:$A$155,0),MATCH(EDATE($E148,H$1-1),Raw_매출!$B$1:$BI$1,0))=0,"",INDEX(Raw_매출!$B$2:$BI$155,MATCH($A148,Raw_매출!$A$2:$A$155,0),MATCH(EDATE($E148,H$1-1),Raw_매출!$B$1:$BI$1,0))/(INDEX(요약_월별시즈널리티!$F$7:$F$18,MONTH(EDATE($E148,H$1-1)))/100))),"")</f>
        <v/>
      </c>
      <c r="I148" t="str" cm="1">
        <f t="array" ref="I148">IFERROR(IF($E148&lt;44348,"",IF(INDEX(Raw_매출!$B$2:$BI$155,MATCH($A148,Raw_매출!$A$2:$A$155,0),MATCH(EDATE($E148,I$1-1),Raw_매출!$B$1:$BI$1,0))=0,"",INDEX(Raw_매출!$B$2:$BI$155,MATCH($A148,Raw_매출!$A$2:$A$155,0),MATCH(EDATE($E148,I$1-1),Raw_매출!$B$1:$BI$1,0))/(INDEX(요약_월별시즈널리티!$F$7:$F$18,MONTH(EDATE($E148,I$1-1)))/100))),"")</f>
        <v/>
      </c>
      <c r="J148" s="30" t="str" cm="1">
        <f t="array" ref="J148">IFERROR(IF($E148&lt;44348,"",IF(INDEX(Raw_매출!$B$2:$BI$155,MATCH($A148,Raw_매출!$A$2:$A$155,0),MATCH(EDATE($E148,J$1-1),Raw_매출!$B$1:$BI$1,0))=0,"",INDEX(Raw_매출!$B$2:$BI$155,MATCH($A148,Raw_매출!$A$2:$A$155,0),MATCH(EDATE($E148,J$1-1),Raw_매출!$B$1:$BI$1,0))/(INDEX(요약_월별시즈널리티!$F$7:$F$18,MONTH(EDATE($E148,J$1-1)))/100))),"")</f>
        <v/>
      </c>
      <c r="K148" s="30" t="str" cm="1">
        <f t="array" ref="K148">IFERROR(IF($E148&lt;44348,"",IF(INDEX(Raw_매출!$B$2:$BI$155,MATCH($A148,Raw_매출!$A$2:$A$155,0),MATCH(EDATE($E148,K$1-1),Raw_매출!$B$1:$BI$1,0))=0,"",INDEX(Raw_매출!$B$2:$BI$155,MATCH($A148,Raw_매출!$A$2:$A$155,0),MATCH(EDATE($E148,K$1-1),Raw_매출!$B$1:$BI$1,0))/(INDEX(요약_월별시즈널리티!$F$7:$F$18,MONTH(EDATE($E148,K$1-1)))/100))),"")</f>
        <v/>
      </c>
      <c r="L148" s="30" t="str" cm="1">
        <f t="array" ref="L148">IFERROR(IF($E148&lt;44348,"",IF(INDEX(Raw_매출!$B$2:$BI$155,MATCH($A148,Raw_매출!$A$2:$A$155,0),MATCH(EDATE($E148,L$1-1),Raw_매출!$B$1:$BI$1,0))=0,"",INDEX(Raw_매출!$B$2:$BI$155,MATCH($A148,Raw_매출!$A$2:$A$155,0),MATCH(EDATE($E148,L$1-1),Raw_매출!$B$1:$BI$1,0))/(INDEX(요약_월별시즈널리티!$F$7:$F$18,MONTH(EDATE($E148,L$1-1)))/100))),"")</f>
        <v/>
      </c>
      <c r="M148" s="30" t="str" cm="1">
        <f t="array" ref="M148">IFERROR(IF($E148&lt;44348,"",IF(INDEX(Raw_매출!$B$2:$BI$155,MATCH($A148,Raw_매출!$A$2:$A$155,0),MATCH(EDATE($E148,M$1-1),Raw_매출!$B$1:$BI$1,0))=0,"",INDEX(Raw_매출!$B$2:$BI$155,MATCH($A148,Raw_매출!$A$2:$A$155,0),MATCH(EDATE($E148,M$1-1),Raw_매출!$B$1:$BI$1,0))/(INDEX(요약_월별시즈널리티!$F$7:$F$18,MONTH(EDATE($E148,M$1-1)))/100))),"")</f>
        <v/>
      </c>
      <c r="N148" s="30" t="str" cm="1">
        <f t="array" ref="N148">IFERROR(IF($E148&lt;44348,"",IF(INDEX(Raw_매출!$B$2:$BI$155,MATCH($A148,Raw_매출!$A$2:$A$155,0),MATCH(EDATE($E148,N$1-1),Raw_매출!$B$1:$BI$1,0))=0,"",INDEX(Raw_매출!$B$2:$BI$155,MATCH($A148,Raw_매출!$A$2:$A$155,0),MATCH(EDATE($E148,N$1-1),Raw_매출!$B$1:$BI$1,0))/(INDEX(요약_월별시즈널리티!$F$7:$F$18,MONTH(EDATE($E148,N$1-1)))/100))),"")</f>
        <v/>
      </c>
      <c r="O148" s="30" t="str" cm="1">
        <f t="array" ref="O148">IFERROR(IF($E148&lt;44348,"",IF(INDEX(Raw_매출!$B$2:$BI$155,MATCH($A148,Raw_매출!$A$2:$A$155,0),MATCH(EDATE($E148,O$1-1),Raw_매출!$B$1:$BI$1,0))=0,"",INDEX(Raw_매출!$B$2:$BI$155,MATCH($A148,Raw_매출!$A$2:$A$155,0),MATCH(EDATE($E148,O$1-1),Raw_매출!$B$1:$BI$1,0))/(INDEX(요약_월별시즈널리티!$F$7:$F$18,MONTH(EDATE($E148,O$1-1)))/100))),"")</f>
        <v/>
      </c>
      <c r="P148" t="str" cm="1">
        <f t="array" ref="P148">IFERROR(IF($E148&lt;44348,"",IF(INDEX(Raw_매출!$B$2:$BI$155,MATCH($A148,Raw_매출!$A$2:$A$155,0),MATCH(EDATE($E148,P$1-1),Raw_매출!$B$1:$BI$1,0))=0,"",INDEX(Raw_매출!$B$2:$BI$155,MATCH($A148,Raw_매출!$A$2:$A$155,0),MATCH(EDATE($E148,P$1-1),Raw_매출!$B$1:$BI$1,0))/(INDEX(요약_월별시즈널리티!$F$7:$F$18,MONTH(EDATE($E148,P$1-1)))/100))),"")</f>
        <v/>
      </c>
      <c r="Q148" t="str" cm="1">
        <f t="array" ref="Q148">IFERROR(IF($E148&lt;44348,"",IF(INDEX(Raw_매출!$B$2:$BI$155,MATCH($A148,Raw_매출!$A$2:$A$155,0),MATCH(EDATE($E148,Q$1-1),Raw_매출!$B$1:$BI$1,0))=0,"",INDEX(Raw_매출!$B$2:$BI$155,MATCH($A148,Raw_매출!$A$2:$A$155,0),MATCH(EDATE($E148,Q$1-1),Raw_매출!$B$1:$BI$1,0))/(INDEX(요약_월별시즈널리티!$F$7:$F$18,MONTH(EDATE($E148,Q$1-1)))/100))),"")</f>
        <v/>
      </c>
      <c r="R148" t="str" cm="1">
        <f t="array" ref="R148">IFERROR(IF($E148&lt;44348,"",IF(INDEX(Raw_매출!$B$2:$BI$155,MATCH($A148,Raw_매출!$A$2:$A$155,0),MATCH(EDATE($E148,R$1-1),Raw_매출!$B$1:$BI$1,0))=0,"",INDEX(Raw_매출!$B$2:$BI$155,MATCH($A148,Raw_매출!$A$2:$A$155,0),MATCH(EDATE($E148,R$1-1),Raw_매출!$B$1:$BI$1,0))/(INDEX(요약_월별시즈널리티!$F$7:$F$18,MONTH(EDATE($E148,R$1-1)))/100))),"")</f>
        <v/>
      </c>
      <c r="S148" t="str" cm="1">
        <f t="array" ref="S148">IFERROR(IF($E148&lt;44348,"",IF(INDEX(Raw_매출!$B$2:$BI$155,MATCH($A148,Raw_매출!$A$2:$A$155,0),MATCH(EDATE($E148,S$1-1),Raw_매출!$B$1:$BI$1,0))=0,"",INDEX(Raw_매출!$B$2:$BI$155,MATCH($A148,Raw_매출!$A$2:$A$155,0),MATCH(EDATE($E148,S$1-1),Raw_매출!$B$1:$BI$1,0))/(INDEX(요약_월별시즈널리티!$F$7:$F$18,MONTH(EDATE($E148,S$1-1)))/100))),"")</f>
        <v/>
      </c>
      <c r="T148" t="str" cm="1">
        <f t="array" ref="T148">IFERROR(IF($E148&lt;44348,"",IF(INDEX(Raw_매출!$B$2:$BI$155,MATCH($A148,Raw_매출!$A$2:$A$155,0),MATCH(EDATE($E148,T$1-1),Raw_매출!$B$1:$BI$1,0))=0,"",INDEX(Raw_매출!$B$2:$BI$155,MATCH($A148,Raw_매출!$A$2:$A$155,0),MATCH(EDATE($E148,T$1-1),Raw_매출!$B$1:$BI$1,0))/(INDEX(요약_월별시즈널리티!$F$7:$F$18,MONTH(EDATE($E148,T$1-1)))/100))),"")</f>
        <v/>
      </c>
      <c r="U148" t="str" cm="1">
        <f t="array" ref="U148">IFERROR(IF($E148&lt;44348,"",IF(INDEX(Raw_매출!$B$2:$BI$155,MATCH($A148,Raw_매출!$A$2:$A$155,0),MATCH(EDATE($E148,U$1-1),Raw_매출!$B$1:$BI$1,0))=0,"",INDEX(Raw_매출!$B$2:$BI$155,MATCH($A148,Raw_매출!$A$2:$A$155,0),MATCH(EDATE($E148,U$1-1),Raw_매출!$B$1:$BI$1,0))/(INDEX(요약_월별시즈널리티!$F$7:$F$18,MONTH(EDATE($E148,U$1-1)))/100))),"")</f>
        <v/>
      </c>
      <c r="V148" t="str" cm="1">
        <f t="array" ref="V148">IFERROR(IF($E148&lt;44348,"",IF(INDEX(Raw_매출!$B$2:$BI$155,MATCH($A148,Raw_매출!$A$2:$A$155,0),MATCH(EDATE($E148,V$1-1),Raw_매출!$B$1:$BI$1,0))=0,"",INDEX(Raw_매출!$B$2:$BI$155,MATCH($A148,Raw_매출!$A$2:$A$155,0),MATCH(EDATE($E148,V$1-1),Raw_매출!$B$1:$BI$1,0))/(INDEX(요약_월별시즈널리티!$F$7:$F$18,MONTH(EDATE($E148,V$1-1)))/100))),"")</f>
        <v/>
      </c>
      <c r="W148" t="str" cm="1">
        <f t="array" ref="W148">IFERROR(IF($E148&lt;44348,"",IF(INDEX(Raw_매출!$B$2:$BI$155,MATCH($A148,Raw_매출!$A$2:$A$155,0),MATCH(EDATE($E148,W$1-1),Raw_매출!$B$1:$BI$1,0))=0,"",INDEX(Raw_매출!$B$2:$BI$155,MATCH($A148,Raw_매출!$A$2:$A$155,0),MATCH(EDATE($E148,W$1-1),Raw_매출!$B$1:$BI$1,0))/(INDEX(요약_월별시즈널리티!$F$7:$F$18,MONTH(EDATE($E148,W$1-1)))/100))),"")</f>
        <v/>
      </c>
      <c r="X148" t="str" cm="1">
        <f t="array" ref="X148">IFERROR(IF($E148&lt;44348,"",IF(INDEX(Raw_매출!$B$2:$BI$155,MATCH($A148,Raw_매출!$A$2:$A$155,0),MATCH(EDATE($E148,X$1-1),Raw_매출!$B$1:$BI$1,0))=0,"",INDEX(Raw_매출!$B$2:$BI$155,MATCH($A148,Raw_매출!$A$2:$A$155,0),MATCH(EDATE($E148,X$1-1),Raw_매출!$B$1:$BI$1,0))/(INDEX(요약_월별시즈널리티!$F$7:$F$18,MONTH(EDATE($E148,X$1-1)))/100))),"")</f>
        <v/>
      </c>
      <c r="Y148" t="str" cm="1">
        <f t="array" ref="Y148">IFERROR(IF($E148&lt;44348,"",IF(INDEX(Raw_매출!$B$2:$BI$155,MATCH($A148,Raw_매출!$A$2:$A$155,0),MATCH(EDATE($E148,Y$1-1),Raw_매출!$B$1:$BI$1,0))=0,"",INDEX(Raw_매출!$B$2:$BI$155,MATCH($A148,Raw_매출!$A$2:$A$155,0),MATCH(EDATE($E148,Y$1-1),Raw_매출!$B$1:$BI$1,0))/(INDEX(요약_월별시즈널리티!$F$7:$F$18,MONTH(EDATE($E148,Y$1-1)))/100))),"")</f>
        <v/>
      </c>
      <c r="Z148" t="str" cm="1">
        <f t="array" ref="Z148">IFERROR(IF($E148&lt;44348,"",IF(INDEX(Raw_매출!$B$2:$BI$155,MATCH($A148,Raw_매출!$A$2:$A$155,0),MATCH(EDATE($E148,Z$1-1),Raw_매출!$B$1:$BI$1,0))=0,"",INDEX(Raw_매출!$B$2:$BI$155,MATCH($A148,Raw_매출!$A$2:$A$155,0),MATCH(EDATE($E148,Z$1-1),Raw_매출!$B$1:$BI$1,0))/(INDEX(요약_월별시즈널리티!$F$7:$F$18,MONTH(EDATE($E148,Z$1-1)))/100))),"")</f>
        <v/>
      </c>
      <c r="AA148" t="str" cm="1">
        <f t="array" ref="AA148">IFERROR(IF($E148&lt;44348,"",IF(INDEX(Raw_매출!$B$2:$BI$155,MATCH($A148,Raw_매출!$A$2:$A$155,0),MATCH(EDATE($E148,AA$1-1),Raw_매출!$B$1:$BI$1,0))=0,"",INDEX(Raw_매출!$B$2:$BI$155,MATCH($A148,Raw_매출!$A$2:$A$155,0),MATCH(EDATE($E148,AA$1-1),Raw_매출!$B$1:$BI$1,0))/(INDEX(요약_월별시즈널리티!$F$7:$F$18,MONTH(EDATE($E148,AA$1-1)))/100))),"")</f>
        <v/>
      </c>
      <c r="AB148" t="str" cm="1">
        <f t="array" ref="AB148">IFERROR(IF($E148&lt;44348,"",IF(INDEX(Raw_매출!$B$2:$BI$155,MATCH($A148,Raw_매출!$A$2:$A$155,0),MATCH(EDATE($E148,AB$1-1),Raw_매출!$B$1:$BI$1,0))=0,"",INDEX(Raw_매출!$B$2:$BI$155,MATCH($A148,Raw_매출!$A$2:$A$155,0),MATCH(EDATE($E148,AB$1-1),Raw_매출!$B$1:$BI$1,0))/(INDEX(요약_월별시즈널리티!$F$7:$F$18,MONTH(EDATE($E148,AB$1-1)))/100))),"")</f>
        <v/>
      </c>
      <c r="AC148" t="str" cm="1">
        <f t="array" ref="AC148">IFERROR(IF($E148&lt;44348,"",IF(INDEX(Raw_매출!$B$2:$BI$155,MATCH($A148,Raw_매출!$A$2:$A$155,0),MATCH(EDATE($E148,AC$1-1),Raw_매출!$B$1:$BI$1,0))=0,"",INDEX(Raw_매출!$B$2:$BI$155,MATCH($A148,Raw_매출!$A$2:$A$155,0),MATCH(EDATE($E148,AC$1-1),Raw_매출!$B$1:$BI$1,0))/(INDEX(요약_월별시즈널리티!$F$7:$F$18,MONTH(EDATE($E148,AC$1-1)))/100))),"")</f>
        <v/>
      </c>
      <c r="AD148" t="str" cm="1">
        <f t="array" ref="AD148">IFERROR(IF($E148&lt;44348,"",IF(INDEX(Raw_매출!$B$2:$BI$155,MATCH($A148,Raw_매출!$A$2:$A$155,0),MATCH(EDATE($E148,AD$1-1),Raw_매출!$B$1:$BI$1,0))=0,"",INDEX(Raw_매출!$B$2:$BI$155,MATCH($A148,Raw_매출!$A$2:$A$155,0),MATCH(EDATE($E148,AD$1-1),Raw_매출!$B$1:$BI$1,0))/(INDEX(요약_월별시즈널리티!$F$7:$F$18,MONTH(EDATE($E148,AD$1-1)))/100))),"")</f>
        <v/>
      </c>
      <c r="AE148" t="str" cm="1">
        <f t="array" ref="AE148">IFERROR(IF($E148&lt;44348,"",IF(INDEX(Raw_매출!$B$2:$BI$155,MATCH($A148,Raw_매출!$A$2:$A$155,0),MATCH(EDATE($E148,AE$1-1),Raw_매출!$B$1:$BI$1,0))=0,"",INDEX(Raw_매출!$B$2:$BI$155,MATCH($A148,Raw_매출!$A$2:$A$155,0),MATCH(EDATE($E148,AE$1-1),Raw_매출!$B$1:$BI$1,0))/(INDEX(요약_월별시즈널리티!$F$7:$F$18,MONTH(EDATE($E148,AE$1-1)))/100))),"")</f>
        <v/>
      </c>
      <c r="AF148" t="str" cm="1">
        <f t="array" ref="AF148">IFERROR(IF($E148&lt;44348,"",IF(INDEX(Raw_매출!$B$2:$BI$155,MATCH($A148,Raw_매출!$A$2:$A$155,0),MATCH(EDATE($E148,AF$1-1),Raw_매출!$B$1:$BI$1,0))=0,"",INDEX(Raw_매출!$B$2:$BI$155,MATCH($A148,Raw_매출!$A$2:$A$155,0),MATCH(EDATE($E148,AF$1-1),Raw_매출!$B$1:$BI$1,0))/(INDEX(요약_월별시즈널리티!$F$7:$F$18,MONTH(EDATE($E148,AF$1-1)))/100))),"")</f>
        <v/>
      </c>
      <c r="AG148" t="str" cm="1">
        <f t="array" ref="AG148">IFERROR(IF($E148&lt;44348,"",IF(INDEX(Raw_매출!$B$2:$BI$155,MATCH($A148,Raw_매출!$A$2:$A$155,0),MATCH(EDATE($E148,AG$1-1),Raw_매출!$B$1:$BI$1,0))=0,"",INDEX(Raw_매출!$B$2:$BI$155,MATCH($A148,Raw_매출!$A$2:$A$155,0),MATCH(EDATE($E148,AG$1-1),Raw_매출!$B$1:$BI$1,0))/(INDEX(요약_월별시즈널리티!$F$7:$F$18,MONTH(EDATE($E148,AG$1-1)))/100))),"")</f>
        <v/>
      </c>
      <c r="AH148" t="str" cm="1">
        <f t="array" ref="AH148">IFERROR(IF($E148&lt;44348,"",IF(INDEX(Raw_매출!$B$2:$BI$155,MATCH($A148,Raw_매출!$A$2:$A$155,0),MATCH(EDATE($E148,AH$1-1),Raw_매출!$B$1:$BI$1,0))=0,"",INDEX(Raw_매출!$B$2:$BI$155,MATCH($A148,Raw_매출!$A$2:$A$155,0),MATCH(EDATE($E148,AH$1-1),Raw_매출!$B$1:$BI$1,0))/(INDEX(요약_월별시즈널리티!$F$7:$F$18,MONTH(EDATE($E148,AH$1-1)))/100))),"")</f>
        <v/>
      </c>
      <c r="AI148" t="str" cm="1">
        <f t="array" ref="AI148">IFERROR(IF($E148&lt;44348,"",IF(INDEX(Raw_매출!$B$2:$BI$155,MATCH($A148,Raw_매출!$A$2:$A$155,0),MATCH(EDATE($E148,AI$1-1),Raw_매출!$B$1:$BI$1,0))=0,"",INDEX(Raw_매출!$B$2:$BI$155,MATCH($A148,Raw_매출!$A$2:$A$155,0),MATCH(EDATE($E148,AI$1-1),Raw_매출!$B$1:$BI$1,0))/(INDEX(요약_월별시즈널리티!$F$7:$F$18,MONTH(EDATE($E148,AI$1-1)))/100))),"")</f>
        <v/>
      </c>
      <c r="AJ148" t="str" cm="1">
        <f t="array" ref="AJ148">IFERROR(IF($E148&lt;44348,"",IF(INDEX(Raw_매출!$B$2:$BI$155,MATCH($A148,Raw_매출!$A$2:$A$155,0),MATCH(EDATE($E148,AJ$1-1),Raw_매출!$B$1:$BI$1,0))=0,"",INDEX(Raw_매출!$B$2:$BI$155,MATCH($A148,Raw_매출!$A$2:$A$155,0),MATCH(EDATE($E148,AJ$1-1),Raw_매출!$B$1:$BI$1,0))/(INDEX(요약_월별시즈널리티!$F$7:$F$18,MONTH(EDATE($E148,AJ$1-1)))/100))),"")</f>
        <v/>
      </c>
      <c r="AK148" t="str" cm="1">
        <f t="array" ref="AK148">IFERROR(IF($E148&lt;44348,"",IF(INDEX(Raw_매출!$B$2:$BI$155,MATCH($A148,Raw_매출!$A$2:$A$155,0),MATCH(EDATE($E148,AK$1-1),Raw_매출!$B$1:$BI$1,0))=0,"",INDEX(Raw_매출!$B$2:$BI$155,MATCH($A148,Raw_매출!$A$2:$A$155,0),MATCH(EDATE($E148,AK$1-1),Raw_매출!$B$1:$BI$1,0))/(INDEX(요약_월별시즈널리티!$F$7:$F$18,MONTH(EDATE($E148,AK$1-1)))/100))),"")</f>
        <v/>
      </c>
      <c r="AL148" t="str" cm="1">
        <f t="array" ref="AL148">IFERROR(IF($E148&lt;44348,"",IF(INDEX(Raw_매출!$B$2:$BI$155,MATCH($A148,Raw_매출!$A$2:$A$155,0),MATCH(EDATE($E148,AL$1-1),Raw_매출!$B$1:$BI$1,0))=0,"",INDEX(Raw_매출!$B$2:$BI$155,MATCH($A148,Raw_매출!$A$2:$A$155,0),MATCH(EDATE($E148,AL$1-1),Raw_매출!$B$1:$BI$1,0))/(INDEX(요약_월별시즈널리티!$F$7:$F$18,MONTH(EDATE($E148,AL$1-1)))/100))),"")</f>
        <v/>
      </c>
      <c r="AM148" t="str" cm="1">
        <f t="array" ref="AM148">IFERROR(IF($E148&lt;44348,"",IF(INDEX(Raw_매출!$B$2:$BI$155,MATCH($A148,Raw_매출!$A$2:$A$155,0),MATCH(EDATE($E148,AM$1-1),Raw_매출!$B$1:$BI$1,0))=0,"",INDEX(Raw_매출!$B$2:$BI$155,MATCH($A148,Raw_매출!$A$2:$A$155,0),MATCH(EDATE($E148,AM$1-1),Raw_매출!$B$1:$BI$1,0))/(INDEX(요약_월별시즈널리티!$F$7:$F$18,MONTH(EDATE($E148,AM$1-1)))/100))),"")</f>
        <v/>
      </c>
      <c r="AN148" t="str" cm="1">
        <f t="array" ref="AN148">IFERROR(IF($E148&lt;44348,"",IF(INDEX(Raw_매출!$B$2:$BI$155,MATCH($A148,Raw_매출!$A$2:$A$155,0),MATCH(EDATE($E148,AN$1-1),Raw_매출!$B$1:$BI$1,0))=0,"",INDEX(Raw_매출!$B$2:$BI$155,MATCH($A148,Raw_매출!$A$2:$A$155,0),MATCH(EDATE($E148,AN$1-1),Raw_매출!$B$1:$BI$1,0))/(INDEX(요약_월별시즈널리티!$F$7:$F$18,MONTH(EDATE($E148,AN$1-1)))/100))),"")</f>
        <v/>
      </c>
      <c r="AO148" t="str" cm="1">
        <f t="array" ref="AO148">IFERROR(IF($E148&lt;44348,"",IF(INDEX(Raw_매출!$B$2:$BI$155,MATCH($A148,Raw_매출!$A$2:$A$155,0),MATCH(EDATE($E148,AO$1-1),Raw_매출!$B$1:$BI$1,0))=0,"",INDEX(Raw_매출!$B$2:$BI$155,MATCH($A148,Raw_매출!$A$2:$A$155,0),MATCH(EDATE($E148,AO$1-1),Raw_매출!$B$1:$BI$1,0))/(INDEX(요약_월별시즈널리티!$F$7:$F$18,MONTH(EDATE($E148,AO$1-1)))/100))),"")</f>
        <v/>
      </c>
      <c r="AP148" t="str" cm="1">
        <f t="array" ref="AP148">IFERROR(IF($E148&lt;44348,"",IF(INDEX(Raw_매출!$B$2:$BI$155,MATCH($A148,Raw_매출!$A$2:$A$155,0),MATCH(EDATE($E148,AP$1-1),Raw_매출!$B$1:$BI$1,0))=0,"",INDEX(Raw_매출!$B$2:$BI$155,MATCH($A148,Raw_매출!$A$2:$A$155,0),MATCH(EDATE($E148,AP$1-1),Raw_매출!$B$1:$BI$1,0))/(INDEX(요약_월별시즈널리티!$F$7:$F$18,MONTH(EDATE($E148,AP$1-1)))/100))),"")</f>
        <v/>
      </c>
      <c r="AQ148" t="str" cm="1">
        <f t="array" ref="AQ148">IFERROR(IF($E148&lt;44348,"",IF(INDEX(Raw_매출!$B$2:$BI$155,MATCH($A148,Raw_매출!$A$2:$A$155,0),MATCH(EDATE($E148,AQ$1-1),Raw_매출!$B$1:$BI$1,0))=0,"",INDEX(Raw_매출!$B$2:$BI$155,MATCH($A148,Raw_매출!$A$2:$A$155,0),MATCH(EDATE($E148,AQ$1-1),Raw_매출!$B$1:$BI$1,0))/(INDEX(요약_월별시즈널리티!$F$7:$F$18,MONTH(EDATE($E148,AQ$1-1)))/100))),"")</f>
        <v/>
      </c>
      <c r="AR148" t="str" cm="1">
        <f t="array" ref="AR148">IFERROR(IF($E148&lt;44348,"",IF(INDEX(Raw_매출!$B$2:$BI$155,MATCH($A148,Raw_매출!$A$2:$A$155,0),MATCH(EDATE($E148,AR$1-1),Raw_매출!$B$1:$BI$1,0))=0,"",INDEX(Raw_매출!$B$2:$BI$155,MATCH($A148,Raw_매출!$A$2:$A$155,0),MATCH(EDATE($E148,AR$1-1),Raw_매출!$B$1:$BI$1,0))/(INDEX(요약_월별시즈널리티!$F$7:$F$18,MONTH(EDATE($E148,AR$1-1)))/100))),"")</f>
        <v/>
      </c>
      <c r="AS148" t="str" cm="1">
        <f t="array" ref="AS148">IFERROR(IF($E148&lt;44348,"",IF(INDEX(Raw_매출!$B$2:$BI$155,MATCH($A148,Raw_매출!$A$2:$A$155,0),MATCH(EDATE($E148,AS$1-1),Raw_매출!$B$1:$BI$1,0))=0,"",INDEX(Raw_매출!$B$2:$BI$155,MATCH($A148,Raw_매출!$A$2:$A$155,0),MATCH(EDATE($E148,AS$1-1),Raw_매출!$B$1:$BI$1,0))/(INDEX(요약_월별시즈널리티!$F$7:$F$18,MONTH(EDATE($E148,AS$1-1)))/100))),"")</f>
        <v/>
      </c>
      <c r="AT148" t="str" cm="1">
        <f t="array" ref="AT148">IFERROR(IF($E148&lt;44348,"",IF(INDEX(Raw_매출!$B$2:$BI$155,MATCH($A148,Raw_매출!$A$2:$A$155,0),MATCH(EDATE($E148,AT$1-1),Raw_매출!$B$1:$BI$1,0))=0,"",INDEX(Raw_매출!$B$2:$BI$155,MATCH($A148,Raw_매출!$A$2:$A$155,0),MATCH(EDATE($E148,AT$1-1),Raw_매출!$B$1:$BI$1,0))/(INDEX(요약_월별시즈널리티!$F$7:$F$18,MONTH(EDATE($E148,AT$1-1)))/100))),"")</f>
        <v/>
      </c>
      <c r="AU148" t="str" cm="1">
        <f t="array" ref="AU148">IFERROR(IF($E148&lt;44348,"",IF(INDEX(Raw_매출!$B$2:$BI$155,MATCH($A148,Raw_매출!$A$2:$A$155,0),MATCH(EDATE($E148,AU$1-1),Raw_매출!$B$1:$BI$1,0))=0,"",INDEX(Raw_매출!$B$2:$BI$155,MATCH($A148,Raw_매출!$A$2:$A$155,0),MATCH(EDATE($E148,AU$1-1),Raw_매출!$B$1:$BI$1,0))/(INDEX(요약_월별시즈널리티!$F$7:$F$18,MONTH(EDATE($E148,AU$1-1)))/100))),"")</f>
        <v/>
      </c>
      <c r="AV148" t="str" cm="1">
        <f t="array" ref="AV148">IFERROR(IF($E148&lt;44348,"",IF(INDEX(Raw_매출!$B$2:$BI$155,MATCH($A148,Raw_매출!$A$2:$A$155,0),MATCH(EDATE($E148,AV$1-1),Raw_매출!$B$1:$BI$1,0))=0,"",INDEX(Raw_매출!$B$2:$BI$155,MATCH($A148,Raw_매출!$A$2:$A$155,0),MATCH(EDATE($E148,AV$1-1),Raw_매출!$B$1:$BI$1,0))/(INDEX(요약_월별시즈널리티!$F$7:$F$18,MONTH(EDATE($E148,AV$1-1)))/100))),"")</f>
        <v/>
      </c>
      <c r="AW148" t="str" cm="1">
        <f t="array" ref="AW148">IFERROR(IF($E148&lt;44348,"",IF(INDEX(Raw_매출!$B$2:$BI$155,MATCH($A148,Raw_매출!$A$2:$A$155,0),MATCH(EDATE($E148,AW$1-1),Raw_매출!$B$1:$BI$1,0))=0,"",INDEX(Raw_매출!$B$2:$BI$155,MATCH($A148,Raw_매출!$A$2:$A$155,0),MATCH(EDATE($E148,AW$1-1),Raw_매출!$B$1:$BI$1,0))/(INDEX(요약_월별시즈널리티!$F$7:$F$18,MONTH(EDATE($E148,AW$1-1)))/100))),"")</f>
        <v/>
      </c>
      <c r="AX148" t="str" cm="1">
        <f t="array" ref="AX148">IFERROR(IF($E148&lt;44348,"",IF(INDEX(Raw_매출!$B$2:$BI$155,MATCH($A148,Raw_매출!$A$2:$A$155,0),MATCH(EDATE($E148,AX$1-1),Raw_매출!$B$1:$BI$1,0))=0,"",INDEX(Raw_매출!$B$2:$BI$155,MATCH($A148,Raw_매출!$A$2:$A$155,0),MATCH(EDATE($E148,AX$1-1),Raw_매출!$B$1:$BI$1,0))/(INDEX(요약_월별시즈널리티!$F$7:$F$18,MONTH(EDATE($E148,AX$1-1)))/100))),"")</f>
        <v/>
      </c>
      <c r="AY148" t="str" cm="1">
        <f t="array" ref="AY148">IFERROR(IF($E148&lt;44348,"",IF(INDEX(Raw_매출!$B$2:$BI$155,MATCH($A148,Raw_매출!$A$2:$A$155,0),MATCH(EDATE($E148,AY$1-1),Raw_매출!$B$1:$BI$1,0))=0,"",INDEX(Raw_매출!$B$2:$BI$155,MATCH($A148,Raw_매출!$A$2:$A$155,0),MATCH(EDATE($E148,AY$1-1),Raw_매출!$B$1:$BI$1,0))/(INDEX(요약_월별시즈널리티!$F$7:$F$18,MONTH(EDATE($E148,AY$1-1)))/100))),"")</f>
        <v/>
      </c>
      <c r="AZ148" t="str" cm="1">
        <f t="array" ref="AZ148">IFERROR(IF($E148&lt;44348,"",IF(INDEX(Raw_매출!$B$2:$BI$155,MATCH($A148,Raw_매출!$A$2:$A$155,0),MATCH(EDATE($E148,AZ$1-1),Raw_매출!$B$1:$BI$1,0))=0,"",INDEX(Raw_매출!$B$2:$BI$155,MATCH($A148,Raw_매출!$A$2:$A$155,0),MATCH(EDATE($E148,AZ$1-1),Raw_매출!$B$1:$BI$1,0))/(INDEX(요약_월별시즈널리티!$F$7:$F$18,MONTH(EDATE($E148,AZ$1-1)))/100))),"")</f>
        <v/>
      </c>
      <c r="BA148" t="str" cm="1">
        <f t="array" ref="BA148">IFERROR(IF($E148&lt;44348,"",IF(INDEX(Raw_매출!$B$2:$BI$155,MATCH($A148,Raw_매출!$A$2:$A$155,0),MATCH(EDATE($E148,BA$1-1),Raw_매출!$B$1:$BI$1,0))=0,"",INDEX(Raw_매출!$B$2:$BI$155,MATCH($A148,Raw_매출!$A$2:$A$155,0),MATCH(EDATE($E148,BA$1-1),Raw_매출!$B$1:$BI$1,0))/(INDEX(요약_월별시즈널리티!$F$7:$F$18,MONTH(EDATE($E148,BA$1-1)))/100))),"")</f>
        <v/>
      </c>
      <c r="BB148" t="str" cm="1">
        <f t="array" ref="BB148">IFERROR(IF($E148&lt;44348,"",IF(INDEX(Raw_매출!$B$2:$BI$155,MATCH($A148,Raw_매출!$A$2:$A$155,0),MATCH(EDATE($E148,BB$1-1),Raw_매출!$B$1:$BI$1,0))=0,"",INDEX(Raw_매출!$B$2:$BI$155,MATCH($A148,Raw_매출!$A$2:$A$155,0),MATCH(EDATE($E148,BB$1-1),Raw_매출!$B$1:$BI$1,0))/(INDEX(요약_월별시즈널리티!$F$7:$F$18,MONTH(EDATE($E148,BB$1-1)))/100))),"")</f>
        <v/>
      </c>
      <c r="BC148" t="str" cm="1">
        <f t="array" ref="BC148">IFERROR(IF($E148&lt;44348,"",IF(INDEX(Raw_매출!$B$2:$BI$155,MATCH($A148,Raw_매출!$A$2:$A$155,0),MATCH(EDATE($E148,BC$1-1),Raw_매출!$B$1:$BI$1,0))=0,"",INDEX(Raw_매출!$B$2:$BI$155,MATCH($A148,Raw_매출!$A$2:$A$155,0),MATCH(EDATE($E148,BC$1-1),Raw_매출!$B$1:$BI$1,0))/(INDEX(요약_월별시즈널리티!$F$7:$F$18,MONTH(EDATE($E148,BC$1-1)))/100))),"")</f>
        <v/>
      </c>
      <c r="BD148" t="str" cm="1">
        <f t="array" ref="BD148">IFERROR(IF($E148&lt;44348,"",IF(INDEX(Raw_매출!$B$2:$BI$155,MATCH($A148,Raw_매출!$A$2:$A$155,0),MATCH(EDATE($E148,BD$1-1),Raw_매출!$B$1:$BI$1,0))=0,"",INDEX(Raw_매출!$B$2:$BI$155,MATCH($A148,Raw_매출!$A$2:$A$155,0),MATCH(EDATE($E148,BD$1-1),Raw_매출!$B$1:$BI$1,0))/(INDEX(요약_월별시즈널리티!$F$7:$F$18,MONTH(EDATE($E148,BD$1-1)))/100))),"")</f>
        <v/>
      </c>
      <c r="BE148" t="str" cm="1">
        <f t="array" ref="BE148">IFERROR(IF($E148&lt;44348,"",IF(INDEX(Raw_매출!$B$2:$BI$155,MATCH($A148,Raw_매출!$A$2:$A$155,0),MATCH(EDATE($E148,BE$1-1),Raw_매출!$B$1:$BI$1,0))=0,"",INDEX(Raw_매출!$B$2:$BI$155,MATCH($A148,Raw_매출!$A$2:$A$155,0),MATCH(EDATE($E148,BE$1-1),Raw_매출!$B$1:$BI$1,0))/(INDEX(요약_월별시즈널리티!$F$7:$F$18,MONTH(EDATE($E148,BE$1-1)))/100))),"")</f>
        <v/>
      </c>
      <c r="BF148" t="str" cm="1">
        <f t="array" ref="BF148">IFERROR(IF($E148&lt;44348,"",IF(INDEX(Raw_매출!$B$2:$BI$155,MATCH($A148,Raw_매출!$A$2:$A$155,0),MATCH(EDATE($E148,BF$1-1),Raw_매출!$B$1:$BI$1,0))=0,"",INDEX(Raw_매출!$B$2:$BI$155,MATCH($A148,Raw_매출!$A$2:$A$155,0),MATCH(EDATE($E148,BF$1-1),Raw_매출!$B$1:$BI$1,0))/(INDEX(요약_월별시즈널리티!$F$7:$F$18,MONTH(EDATE($E148,BF$1-1)))/100))),"")</f>
        <v/>
      </c>
      <c r="BG148" t="str" cm="1">
        <f t="array" ref="BG148">IFERROR(IF($E148&lt;44348,"",IF(INDEX(Raw_매출!$B$2:$BI$155,MATCH($A148,Raw_매출!$A$2:$A$155,0),MATCH(EDATE($E148,BG$1-1),Raw_매출!$B$1:$BI$1,0))=0,"",INDEX(Raw_매출!$B$2:$BI$155,MATCH($A148,Raw_매출!$A$2:$A$155,0),MATCH(EDATE($E148,BG$1-1),Raw_매출!$B$1:$BI$1,0))/(INDEX(요약_월별시즈널리티!$F$7:$F$18,MONTH(EDATE($E148,BG$1-1)))/100))),"")</f>
        <v/>
      </c>
      <c r="BH148" t="str" cm="1">
        <f t="array" ref="BH148">IFERROR(IF($E148&lt;44348,"",IF(INDEX(Raw_매출!$B$2:$BI$155,MATCH($A148,Raw_매출!$A$2:$A$155,0),MATCH(EDATE($E148,BH$1-1),Raw_매출!$B$1:$BI$1,0))=0,"",INDEX(Raw_매출!$B$2:$BI$155,MATCH($A148,Raw_매출!$A$2:$A$155,0),MATCH(EDATE($E148,BH$1-1),Raw_매출!$B$1:$BI$1,0))/(INDEX(요약_월별시즈널리티!$F$7:$F$18,MONTH(EDATE($E148,BH$1-1)))/100))),"")</f>
        <v/>
      </c>
      <c r="BI148" t="str" cm="1">
        <f t="array" ref="BI148">IFERROR(IF($E148&lt;44348,"",IF(INDEX(Raw_매출!$B$2:$BI$155,MATCH($A148,Raw_매출!$A$2:$A$155,0),MATCH(EDATE($E148,BI$1-1),Raw_매출!$B$1:$BI$1,0))=0,"",INDEX(Raw_매출!$B$2:$BI$155,MATCH($A148,Raw_매출!$A$2:$A$155,0),MATCH(EDATE($E148,BI$1-1),Raw_매출!$B$1:$BI$1,0))/(INDEX(요약_월별시즈널리티!$F$7:$F$18,MONTH(EDATE($E148,BI$1-1)))/100))),"")</f>
        <v/>
      </c>
      <c r="BJ148" t="str" cm="1">
        <f t="array" ref="BJ148">IFERROR(IF($E148&lt;44348,"",IF(INDEX(Raw_매출!$B$2:$BI$155,MATCH($A148,Raw_매출!$A$2:$A$155,0),MATCH(EDATE($E148,BJ$1-1),Raw_매출!$B$1:$BI$1,0))=0,"",INDEX(Raw_매출!$B$2:$BI$155,MATCH($A148,Raw_매출!$A$2:$A$155,0),MATCH(EDATE($E148,BJ$1-1),Raw_매출!$B$1:$BI$1,0))/(INDEX(요약_월별시즈널리티!$F$7:$F$18,MONTH(EDATE($E148,BJ$1-1)))/100))),"")</f>
        <v/>
      </c>
      <c r="BK148" t="str" cm="1">
        <f t="array" ref="BK148">IFERROR(IF($E148&lt;44348,"",IF(INDEX(Raw_매출!$B$2:$BI$155,MATCH($A148,Raw_매출!$A$2:$A$155,0),MATCH(EDATE($E148,BK$1-1),Raw_매출!$B$1:$BI$1,0))=0,"",INDEX(Raw_매출!$B$2:$BI$155,MATCH($A148,Raw_매출!$A$2:$A$155,0),MATCH(EDATE($E148,BK$1-1),Raw_매출!$B$1:$BI$1,0))/(INDEX(요약_월별시즈널리티!$F$7:$F$18,MONTH(EDATE($E148,BK$1-1)))/100))),"")</f>
        <v/>
      </c>
      <c r="BL148" t="str" cm="1">
        <f t="array" ref="BL148">IFERROR(IF($E148&lt;44348,"",IF(INDEX(Raw_매출!$B$2:$BI$155,MATCH($A148,Raw_매출!$A$2:$A$155,0),MATCH(EDATE($E148,BL$1-1),Raw_매출!$B$1:$BI$1,0))=0,"",INDEX(Raw_매출!$B$2:$BI$155,MATCH($A148,Raw_매출!$A$2:$A$155,0),MATCH(EDATE($E148,BL$1-1),Raw_매출!$B$1:$BI$1,0))/(INDEX(요약_월별시즈널리티!$F$7:$F$18,MONTH(EDATE($E148,BL$1-1)))/100))),"")</f>
        <v/>
      </c>
      <c r="BM148" t="str" cm="1">
        <f t="array" ref="BM148">IFERROR(IF($E148&lt;44348,"",IF(INDEX(Raw_매출!$B$2:$BI$155,MATCH($A148,Raw_매출!$A$2:$A$155,0),MATCH(EDATE($E148,BM$1-1),Raw_매출!$B$1:$BI$1,0))=0,"",INDEX(Raw_매출!$B$2:$BI$155,MATCH($A148,Raw_매출!$A$2:$A$155,0),MATCH(EDATE($E148,BM$1-1),Raw_매출!$B$1:$BI$1,0))/(INDEX(요약_월별시즈널리티!$F$7:$F$18,MONTH(EDATE($E148,BM$1-1)))/100))),"")</f>
        <v/>
      </c>
      <c r="BN148" t="str" cm="1">
        <f t="array" ref="BN148">IFERROR(IF($E148&lt;44348,"",IF(INDEX(Raw_매출!$B$2:$BI$155,MATCH($A148,Raw_매출!$A$2:$A$155,0),MATCH(EDATE($E148,BN$1-1),Raw_매출!$B$1:$BI$1,0))=0,"",INDEX(Raw_매출!$B$2:$BI$155,MATCH($A148,Raw_매출!$A$2:$A$155,0),MATCH(EDATE($E148,BN$1-1),Raw_매출!$B$1:$BI$1,0))/(INDEX(요약_월별시즈널리티!$F$7:$F$18,MONTH(EDATE($E148,BN$1-1)))/100))),"")</f>
        <v/>
      </c>
    </row>
    <row r="149" spans="1:66" x14ac:dyDescent="0.4">
      <c r="A149" t="str">
        <f>세팅!A150</f>
        <v>(1139) #두정메트로점</v>
      </c>
      <c r="B149" t="str">
        <f>세팅!B150</f>
        <v>150-0</v>
      </c>
      <c r="C149">
        <f t="shared" si="6"/>
        <v>0</v>
      </c>
      <c r="D149" t="str">
        <f t="shared" si="7"/>
        <v>0</v>
      </c>
      <c r="E149" s="1">
        <f>세팅!D150</f>
        <v>46143</v>
      </c>
      <c r="F149" t="str">
        <f t="shared" si="8"/>
        <v/>
      </c>
      <c r="G149" cm="1">
        <f t="array" ref="G149">IFERROR(IF($E149&lt;44348,"",IF(INDEX(Raw_매출!$B$2:$BI$155,MATCH($A149,Raw_매출!$A$2:$A$155,0),MATCH(EDATE($E149,G$1-1),Raw_매출!$B$1:$BI$1,0))=0,"",INDEX(Raw_매출!$B$2:$BI$155,MATCH($A149,Raw_매출!$A$2:$A$155,0),MATCH(EDATE($E149,G$1-1),Raw_매출!$B$1:$BI$1,0))/(INDEX(요약_월별시즈널리티!$F$7:$F$18,MONTH(EDATE($E149,G$1-1)))/100))),"")</f>
        <v>4245723.6096809087</v>
      </c>
      <c r="H149" t="str" cm="1">
        <f t="array" ref="H149">IFERROR(IF($E149&lt;44348,"",IF(INDEX(Raw_매출!$B$2:$BI$155,MATCH($A149,Raw_매출!$A$2:$A$155,0),MATCH(EDATE($E149,H$1-1),Raw_매출!$B$1:$BI$1,0))=0,"",INDEX(Raw_매출!$B$2:$BI$155,MATCH($A149,Raw_매출!$A$2:$A$155,0),MATCH(EDATE($E149,H$1-1),Raw_매출!$B$1:$BI$1,0))/(INDEX(요약_월별시즈널리티!$F$7:$F$18,MONTH(EDATE($E149,H$1-1)))/100))),"")</f>
        <v/>
      </c>
      <c r="I149" t="str" cm="1">
        <f t="array" ref="I149">IFERROR(IF($E149&lt;44348,"",IF(INDEX(Raw_매출!$B$2:$BI$155,MATCH($A149,Raw_매출!$A$2:$A$155,0),MATCH(EDATE($E149,I$1-1),Raw_매출!$B$1:$BI$1,0))=0,"",INDEX(Raw_매출!$B$2:$BI$155,MATCH($A149,Raw_매출!$A$2:$A$155,0),MATCH(EDATE($E149,I$1-1),Raw_매출!$B$1:$BI$1,0))/(INDEX(요약_월별시즈널리티!$F$7:$F$18,MONTH(EDATE($E149,I$1-1)))/100))),"")</f>
        <v/>
      </c>
      <c r="J149" s="30" t="str" cm="1">
        <f t="array" ref="J149">IFERROR(IF($E149&lt;44348,"",IF(INDEX(Raw_매출!$B$2:$BI$155,MATCH($A149,Raw_매출!$A$2:$A$155,0),MATCH(EDATE($E149,J$1-1),Raw_매출!$B$1:$BI$1,0))=0,"",INDEX(Raw_매출!$B$2:$BI$155,MATCH($A149,Raw_매출!$A$2:$A$155,0),MATCH(EDATE($E149,J$1-1),Raw_매출!$B$1:$BI$1,0))/(INDEX(요약_월별시즈널리티!$F$7:$F$18,MONTH(EDATE($E149,J$1-1)))/100))),"")</f>
        <v/>
      </c>
      <c r="K149" s="30" t="str" cm="1">
        <f t="array" ref="K149">IFERROR(IF($E149&lt;44348,"",IF(INDEX(Raw_매출!$B$2:$BI$155,MATCH($A149,Raw_매출!$A$2:$A$155,0),MATCH(EDATE($E149,K$1-1),Raw_매출!$B$1:$BI$1,0))=0,"",INDEX(Raw_매출!$B$2:$BI$155,MATCH($A149,Raw_매출!$A$2:$A$155,0),MATCH(EDATE($E149,K$1-1),Raw_매출!$B$1:$BI$1,0))/(INDEX(요약_월별시즈널리티!$F$7:$F$18,MONTH(EDATE($E149,K$1-1)))/100))),"")</f>
        <v/>
      </c>
      <c r="L149" s="30" t="str" cm="1">
        <f t="array" ref="L149">IFERROR(IF($E149&lt;44348,"",IF(INDEX(Raw_매출!$B$2:$BI$155,MATCH($A149,Raw_매출!$A$2:$A$155,0),MATCH(EDATE($E149,L$1-1),Raw_매출!$B$1:$BI$1,0))=0,"",INDEX(Raw_매출!$B$2:$BI$155,MATCH($A149,Raw_매출!$A$2:$A$155,0),MATCH(EDATE($E149,L$1-1),Raw_매출!$B$1:$BI$1,0))/(INDEX(요약_월별시즈널리티!$F$7:$F$18,MONTH(EDATE($E149,L$1-1)))/100))),"")</f>
        <v/>
      </c>
      <c r="M149" s="30" t="str" cm="1">
        <f t="array" ref="M149">IFERROR(IF($E149&lt;44348,"",IF(INDEX(Raw_매출!$B$2:$BI$155,MATCH($A149,Raw_매출!$A$2:$A$155,0),MATCH(EDATE($E149,M$1-1),Raw_매출!$B$1:$BI$1,0))=0,"",INDEX(Raw_매출!$B$2:$BI$155,MATCH($A149,Raw_매출!$A$2:$A$155,0),MATCH(EDATE($E149,M$1-1),Raw_매출!$B$1:$BI$1,0))/(INDEX(요약_월별시즈널리티!$F$7:$F$18,MONTH(EDATE($E149,M$1-1)))/100))),"")</f>
        <v/>
      </c>
      <c r="N149" s="30" t="str" cm="1">
        <f t="array" ref="N149">IFERROR(IF($E149&lt;44348,"",IF(INDEX(Raw_매출!$B$2:$BI$155,MATCH($A149,Raw_매출!$A$2:$A$155,0),MATCH(EDATE($E149,N$1-1),Raw_매출!$B$1:$BI$1,0))=0,"",INDEX(Raw_매출!$B$2:$BI$155,MATCH($A149,Raw_매출!$A$2:$A$155,0),MATCH(EDATE($E149,N$1-1),Raw_매출!$B$1:$BI$1,0))/(INDEX(요약_월별시즈널리티!$F$7:$F$18,MONTH(EDATE($E149,N$1-1)))/100))),"")</f>
        <v/>
      </c>
      <c r="O149" s="30" t="str" cm="1">
        <f t="array" ref="O149">IFERROR(IF($E149&lt;44348,"",IF(INDEX(Raw_매출!$B$2:$BI$155,MATCH($A149,Raw_매출!$A$2:$A$155,0),MATCH(EDATE($E149,O$1-1),Raw_매출!$B$1:$BI$1,0))=0,"",INDEX(Raw_매출!$B$2:$BI$155,MATCH($A149,Raw_매출!$A$2:$A$155,0),MATCH(EDATE($E149,O$1-1),Raw_매출!$B$1:$BI$1,0))/(INDEX(요약_월별시즈널리티!$F$7:$F$18,MONTH(EDATE($E149,O$1-1)))/100))),"")</f>
        <v/>
      </c>
      <c r="P149" t="str" cm="1">
        <f t="array" ref="P149">IFERROR(IF($E149&lt;44348,"",IF(INDEX(Raw_매출!$B$2:$BI$155,MATCH($A149,Raw_매출!$A$2:$A$155,0),MATCH(EDATE($E149,P$1-1),Raw_매출!$B$1:$BI$1,0))=0,"",INDEX(Raw_매출!$B$2:$BI$155,MATCH($A149,Raw_매출!$A$2:$A$155,0),MATCH(EDATE($E149,P$1-1),Raw_매출!$B$1:$BI$1,0))/(INDEX(요약_월별시즈널리티!$F$7:$F$18,MONTH(EDATE($E149,P$1-1)))/100))),"")</f>
        <v/>
      </c>
      <c r="Q149" t="str" cm="1">
        <f t="array" ref="Q149">IFERROR(IF($E149&lt;44348,"",IF(INDEX(Raw_매출!$B$2:$BI$155,MATCH($A149,Raw_매출!$A$2:$A$155,0),MATCH(EDATE($E149,Q$1-1),Raw_매출!$B$1:$BI$1,0))=0,"",INDEX(Raw_매출!$B$2:$BI$155,MATCH($A149,Raw_매출!$A$2:$A$155,0),MATCH(EDATE($E149,Q$1-1),Raw_매출!$B$1:$BI$1,0))/(INDEX(요약_월별시즈널리티!$F$7:$F$18,MONTH(EDATE($E149,Q$1-1)))/100))),"")</f>
        <v/>
      </c>
      <c r="R149" t="str" cm="1">
        <f t="array" ref="R149">IFERROR(IF($E149&lt;44348,"",IF(INDEX(Raw_매출!$B$2:$BI$155,MATCH($A149,Raw_매출!$A$2:$A$155,0),MATCH(EDATE($E149,R$1-1),Raw_매출!$B$1:$BI$1,0))=0,"",INDEX(Raw_매출!$B$2:$BI$155,MATCH($A149,Raw_매출!$A$2:$A$155,0),MATCH(EDATE($E149,R$1-1),Raw_매출!$B$1:$BI$1,0))/(INDEX(요약_월별시즈널리티!$F$7:$F$18,MONTH(EDATE($E149,R$1-1)))/100))),"")</f>
        <v/>
      </c>
      <c r="S149" t="str" cm="1">
        <f t="array" ref="S149">IFERROR(IF($E149&lt;44348,"",IF(INDEX(Raw_매출!$B$2:$BI$155,MATCH($A149,Raw_매출!$A$2:$A$155,0),MATCH(EDATE($E149,S$1-1),Raw_매출!$B$1:$BI$1,0))=0,"",INDEX(Raw_매출!$B$2:$BI$155,MATCH($A149,Raw_매출!$A$2:$A$155,0),MATCH(EDATE($E149,S$1-1),Raw_매출!$B$1:$BI$1,0))/(INDEX(요약_월별시즈널리티!$F$7:$F$18,MONTH(EDATE($E149,S$1-1)))/100))),"")</f>
        <v/>
      </c>
      <c r="T149" t="str" cm="1">
        <f t="array" ref="T149">IFERROR(IF($E149&lt;44348,"",IF(INDEX(Raw_매출!$B$2:$BI$155,MATCH($A149,Raw_매출!$A$2:$A$155,0),MATCH(EDATE($E149,T$1-1),Raw_매출!$B$1:$BI$1,0))=0,"",INDEX(Raw_매출!$B$2:$BI$155,MATCH($A149,Raw_매출!$A$2:$A$155,0),MATCH(EDATE($E149,T$1-1),Raw_매출!$B$1:$BI$1,0))/(INDEX(요약_월별시즈널리티!$F$7:$F$18,MONTH(EDATE($E149,T$1-1)))/100))),"")</f>
        <v/>
      </c>
      <c r="U149" t="str" cm="1">
        <f t="array" ref="U149">IFERROR(IF($E149&lt;44348,"",IF(INDEX(Raw_매출!$B$2:$BI$155,MATCH($A149,Raw_매출!$A$2:$A$155,0),MATCH(EDATE($E149,U$1-1),Raw_매출!$B$1:$BI$1,0))=0,"",INDEX(Raw_매출!$B$2:$BI$155,MATCH($A149,Raw_매출!$A$2:$A$155,0),MATCH(EDATE($E149,U$1-1),Raw_매출!$B$1:$BI$1,0))/(INDEX(요약_월별시즈널리티!$F$7:$F$18,MONTH(EDATE($E149,U$1-1)))/100))),"")</f>
        <v/>
      </c>
      <c r="V149" t="str" cm="1">
        <f t="array" ref="V149">IFERROR(IF($E149&lt;44348,"",IF(INDEX(Raw_매출!$B$2:$BI$155,MATCH($A149,Raw_매출!$A$2:$A$155,0),MATCH(EDATE($E149,V$1-1),Raw_매출!$B$1:$BI$1,0))=0,"",INDEX(Raw_매출!$B$2:$BI$155,MATCH($A149,Raw_매출!$A$2:$A$155,0),MATCH(EDATE($E149,V$1-1),Raw_매출!$B$1:$BI$1,0))/(INDEX(요약_월별시즈널리티!$F$7:$F$18,MONTH(EDATE($E149,V$1-1)))/100))),"")</f>
        <v/>
      </c>
      <c r="W149" t="str" cm="1">
        <f t="array" ref="W149">IFERROR(IF($E149&lt;44348,"",IF(INDEX(Raw_매출!$B$2:$BI$155,MATCH($A149,Raw_매출!$A$2:$A$155,0),MATCH(EDATE($E149,W$1-1),Raw_매출!$B$1:$BI$1,0))=0,"",INDEX(Raw_매출!$B$2:$BI$155,MATCH($A149,Raw_매출!$A$2:$A$155,0),MATCH(EDATE($E149,W$1-1),Raw_매출!$B$1:$BI$1,0))/(INDEX(요약_월별시즈널리티!$F$7:$F$18,MONTH(EDATE($E149,W$1-1)))/100))),"")</f>
        <v/>
      </c>
      <c r="X149" t="str" cm="1">
        <f t="array" ref="X149">IFERROR(IF($E149&lt;44348,"",IF(INDEX(Raw_매출!$B$2:$BI$155,MATCH($A149,Raw_매출!$A$2:$A$155,0),MATCH(EDATE($E149,X$1-1),Raw_매출!$B$1:$BI$1,0))=0,"",INDEX(Raw_매출!$B$2:$BI$155,MATCH($A149,Raw_매출!$A$2:$A$155,0),MATCH(EDATE($E149,X$1-1),Raw_매출!$B$1:$BI$1,0))/(INDEX(요약_월별시즈널리티!$F$7:$F$18,MONTH(EDATE($E149,X$1-1)))/100))),"")</f>
        <v/>
      </c>
      <c r="Y149" t="str" cm="1">
        <f t="array" ref="Y149">IFERROR(IF($E149&lt;44348,"",IF(INDEX(Raw_매출!$B$2:$BI$155,MATCH($A149,Raw_매출!$A$2:$A$155,0),MATCH(EDATE($E149,Y$1-1),Raw_매출!$B$1:$BI$1,0))=0,"",INDEX(Raw_매출!$B$2:$BI$155,MATCH($A149,Raw_매출!$A$2:$A$155,0),MATCH(EDATE($E149,Y$1-1),Raw_매출!$B$1:$BI$1,0))/(INDEX(요약_월별시즈널리티!$F$7:$F$18,MONTH(EDATE($E149,Y$1-1)))/100))),"")</f>
        <v/>
      </c>
      <c r="Z149" t="str" cm="1">
        <f t="array" ref="Z149">IFERROR(IF($E149&lt;44348,"",IF(INDEX(Raw_매출!$B$2:$BI$155,MATCH($A149,Raw_매출!$A$2:$A$155,0),MATCH(EDATE($E149,Z$1-1),Raw_매출!$B$1:$BI$1,0))=0,"",INDEX(Raw_매출!$B$2:$BI$155,MATCH($A149,Raw_매출!$A$2:$A$155,0),MATCH(EDATE($E149,Z$1-1),Raw_매출!$B$1:$BI$1,0))/(INDEX(요약_월별시즈널리티!$F$7:$F$18,MONTH(EDATE($E149,Z$1-1)))/100))),"")</f>
        <v/>
      </c>
      <c r="AA149" t="str" cm="1">
        <f t="array" ref="AA149">IFERROR(IF($E149&lt;44348,"",IF(INDEX(Raw_매출!$B$2:$BI$155,MATCH($A149,Raw_매출!$A$2:$A$155,0),MATCH(EDATE($E149,AA$1-1),Raw_매출!$B$1:$BI$1,0))=0,"",INDEX(Raw_매출!$B$2:$BI$155,MATCH($A149,Raw_매출!$A$2:$A$155,0),MATCH(EDATE($E149,AA$1-1),Raw_매출!$B$1:$BI$1,0))/(INDEX(요약_월별시즈널리티!$F$7:$F$18,MONTH(EDATE($E149,AA$1-1)))/100))),"")</f>
        <v/>
      </c>
      <c r="AB149" t="str" cm="1">
        <f t="array" ref="AB149">IFERROR(IF($E149&lt;44348,"",IF(INDEX(Raw_매출!$B$2:$BI$155,MATCH($A149,Raw_매출!$A$2:$A$155,0),MATCH(EDATE($E149,AB$1-1),Raw_매출!$B$1:$BI$1,0))=0,"",INDEX(Raw_매출!$B$2:$BI$155,MATCH($A149,Raw_매출!$A$2:$A$155,0),MATCH(EDATE($E149,AB$1-1),Raw_매출!$B$1:$BI$1,0))/(INDEX(요약_월별시즈널리티!$F$7:$F$18,MONTH(EDATE($E149,AB$1-1)))/100))),"")</f>
        <v/>
      </c>
      <c r="AC149" t="str" cm="1">
        <f t="array" ref="AC149">IFERROR(IF($E149&lt;44348,"",IF(INDEX(Raw_매출!$B$2:$BI$155,MATCH($A149,Raw_매출!$A$2:$A$155,0),MATCH(EDATE($E149,AC$1-1),Raw_매출!$B$1:$BI$1,0))=0,"",INDEX(Raw_매출!$B$2:$BI$155,MATCH($A149,Raw_매출!$A$2:$A$155,0),MATCH(EDATE($E149,AC$1-1),Raw_매출!$B$1:$BI$1,0))/(INDEX(요약_월별시즈널리티!$F$7:$F$18,MONTH(EDATE($E149,AC$1-1)))/100))),"")</f>
        <v/>
      </c>
      <c r="AD149" t="str" cm="1">
        <f t="array" ref="AD149">IFERROR(IF($E149&lt;44348,"",IF(INDEX(Raw_매출!$B$2:$BI$155,MATCH($A149,Raw_매출!$A$2:$A$155,0),MATCH(EDATE($E149,AD$1-1),Raw_매출!$B$1:$BI$1,0))=0,"",INDEX(Raw_매출!$B$2:$BI$155,MATCH($A149,Raw_매출!$A$2:$A$155,0),MATCH(EDATE($E149,AD$1-1),Raw_매출!$B$1:$BI$1,0))/(INDEX(요약_월별시즈널리티!$F$7:$F$18,MONTH(EDATE($E149,AD$1-1)))/100))),"")</f>
        <v/>
      </c>
      <c r="AE149" t="str" cm="1">
        <f t="array" ref="AE149">IFERROR(IF($E149&lt;44348,"",IF(INDEX(Raw_매출!$B$2:$BI$155,MATCH($A149,Raw_매출!$A$2:$A$155,0),MATCH(EDATE($E149,AE$1-1),Raw_매출!$B$1:$BI$1,0))=0,"",INDEX(Raw_매출!$B$2:$BI$155,MATCH($A149,Raw_매출!$A$2:$A$155,0),MATCH(EDATE($E149,AE$1-1),Raw_매출!$B$1:$BI$1,0))/(INDEX(요약_월별시즈널리티!$F$7:$F$18,MONTH(EDATE($E149,AE$1-1)))/100))),"")</f>
        <v/>
      </c>
      <c r="AF149" t="str" cm="1">
        <f t="array" ref="AF149">IFERROR(IF($E149&lt;44348,"",IF(INDEX(Raw_매출!$B$2:$BI$155,MATCH($A149,Raw_매출!$A$2:$A$155,0),MATCH(EDATE($E149,AF$1-1),Raw_매출!$B$1:$BI$1,0))=0,"",INDEX(Raw_매출!$B$2:$BI$155,MATCH($A149,Raw_매출!$A$2:$A$155,0),MATCH(EDATE($E149,AF$1-1),Raw_매출!$B$1:$BI$1,0))/(INDEX(요약_월별시즈널리티!$F$7:$F$18,MONTH(EDATE($E149,AF$1-1)))/100))),"")</f>
        <v/>
      </c>
      <c r="AG149" t="str" cm="1">
        <f t="array" ref="AG149">IFERROR(IF($E149&lt;44348,"",IF(INDEX(Raw_매출!$B$2:$BI$155,MATCH($A149,Raw_매출!$A$2:$A$155,0),MATCH(EDATE($E149,AG$1-1),Raw_매출!$B$1:$BI$1,0))=0,"",INDEX(Raw_매출!$B$2:$BI$155,MATCH($A149,Raw_매출!$A$2:$A$155,0),MATCH(EDATE($E149,AG$1-1),Raw_매출!$B$1:$BI$1,0))/(INDEX(요약_월별시즈널리티!$F$7:$F$18,MONTH(EDATE($E149,AG$1-1)))/100))),"")</f>
        <v/>
      </c>
      <c r="AH149" t="str" cm="1">
        <f t="array" ref="AH149">IFERROR(IF($E149&lt;44348,"",IF(INDEX(Raw_매출!$B$2:$BI$155,MATCH($A149,Raw_매출!$A$2:$A$155,0),MATCH(EDATE($E149,AH$1-1),Raw_매출!$B$1:$BI$1,0))=0,"",INDEX(Raw_매출!$B$2:$BI$155,MATCH($A149,Raw_매출!$A$2:$A$155,0),MATCH(EDATE($E149,AH$1-1),Raw_매출!$B$1:$BI$1,0))/(INDEX(요약_월별시즈널리티!$F$7:$F$18,MONTH(EDATE($E149,AH$1-1)))/100))),"")</f>
        <v/>
      </c>
      <c r="AI149" t="str" cm="1">
        <f t="array" ref="AI149">IFERROR(IF($E149&lt;44348,"",IF(INDEX(Raw_매출!$B$2:$BI$155,MATCH($A149,Raw_매출!$A$2:$A$155,0),MATCH(EDATE($E149,AI$1-1),Raw_매출!$B$1:$BI$1,0))=0,"",INDEX(Raw_매출!$B$2:$BI$155,MATCH($A149,Raw_매출!$A$2:$A$155,0),MATCH(EDATE($E149,AI$1-1),Raw_매출!$B$1:$BI$1,0))/(INDEX(요약_월별시즈널리티!$F$7:$F$18,MONTH(EDATE($E149,AI$1-1)))/100))),"")</f>
        <v/>
      </c>
      <c r="AJ149" t="str" cm="1">
        <f t="array" ref="AJ149">IFERROR(IF($E149&lt;44348,"",IF(INDEX(Raw_매출!$B$2:$BI$155,MATCH($A149,Raw_매출!$A$2:$A$155,0),MATCH(EDATE($E149,AJ$1-1),Raw_매출!$B$1:$BI$1,0))=0,"",INDEX(Raw_매출!$B$2:$BI$155,MATCH($A149,Raw_매출!$A$2:$A$155,0),MATCH(EDATE($E149,AJ$1-1),Raw_매출!$B$1:$BI$1,0))/(INDEX(요약_월별시즈널리티!$F$7:$F$18,MONTH(EDATE($E149,AJ$1-1)))/100))),"")</f>
        <v/>
      </c>
      <c r="AK149" t="str" cm="1">
        <f t="array" ref="AK149">IFERROR(IF($E149&lt;44348,"",IF(INDEX(Raw_매출!$B$2:$BI$155,MATCH($A149,Raw_매출!$A$2:$A$155,0),MATCH(EDATE($E149,AK$1-1),Raw_매출!$B$1:$BI$1,0))=0,"",INDEX(Raw_매출!$B$2:$BI$155,MATCH($A149,Raw_매출!$A$2:$A$155,0),MATCH(EDATE($E149,AK$1-1),Raw_매출!$B$1:$BI$1,0))/(INDEX(요약_월별시즈널리티!$F$7:$F$18,MONTH(EDATE($E149,AK$1-1)))/100))),"")</f>
        <v/>
      </c>
      <c r="AL149" t="str" cm="1">
        <f t="array" ref="AL149">IFERROR(IF($E149&lt;44348,"",IF(INDEX(Raw_매출!$B$2:$BI$155,MATCH($A149,Raw_매출!$A$2:$A$155,0),MATCH(EDATE($E149,AL$1-1),Raw_매출!$B$1:$BI$1,0))=0,"",INDEX(Raw_매출!$B$2:$BI$155,MATCH($A149,Raw_매출!$A$2:$A$155,0),MATCH(EDATE($E149,AL$1-1),Raw_매출!$B$1:$BI$1,0))/(INDEX(요약_월별시즈널리티!$F$7:$F$18,MONTH(EDATE($E149,AL$1-1)))/100))),"")</f>
        <v/>
      </c>
      <c r="AM149" t="str" cm="1">
        <f t="array" ref="AM149">IFERROR(IF($E149&lt;44348,"",IF(INDEX(Raw_매출!$B$2:$BI$155,MATCH($A149,Raw_매출!$A$2:$A$155,0),MATCH(EDATE($E149,AM$1-1),Raw_매출!$B$1:$BI$1,0))=0,"",INDEX(Raw_매출!$B$2:$BI$155,MATCH($A149,Raw_매출!$A$2:$A$155,0),MATCH(EDATE($E149,AM$1-1),Raw_매출!$B$1:$BI$1,0))/(INDEX(요약_월별시즈널리티!$F$7:$F$18,MONTH(EDATE($E149,AM$1-1)))/100))),"")</f>
        <v/>
      </c>
      <c r="AN149" t="str" cm="1">
        <f t="array" ref="AN149">IFERROR(IF($E149&lt;44348,"",IF(INDEX(Raw_매출!$B$2:$BI$155,MATCH($A149,Raw_매출!$A$2:$A$155,0),MATCH(EDATE($E149,AN$1-1),Raw_매출!$B$1:$BI$1,0))=0,"",INDEX(Raw_매출!$B$2:$BI$155,MATCH($A149,Raw_매출!$A$2:$A$155,0),MATCH(EDATE($E149,AN$1-1),Raw_매출!$B$1:$BI$1,0))/(INDEX(요약_월별시즈널리티!$F$7:$F$18,MONTH(EDATE($E149,AN$1-1)))/100))),"")</f>
        <v/>
      </c>
      <c r="AO149" t="str" cm="1">
        <f t="array" ref="AO149">IFERROR(IF($E149&lt;44348,"",IF(INDEX(Raw_매출!$B$2:$BI$155,MATCH($A149,Raw_매출!$A$2:$A$155,0),MATCH(EDATE($E149,AO$1-1),Raw_매출!$B$1:$BI$1,0))=0,"",INDEX(Raw_매출!$B$2:$BI$155,MATCH($A149,Raw_매출!$A$2:$A$155,0),MATCH(EDATE($E149,AO$1-1),Raw_매출!$B$1:$BI$1,0))/(INDEX(요약_월별시즈널리티!$F$7:$F$18,MONTH(EDATE($E149,AO$1-1)))/100))),"")</f>
        <v/>
      </c>
      <c r="AP149" t="str" cm="1">
        <f t="array" ref="AP149">IFERROR(IF($E149&lt;44348,"",IF(INDEX(Raw_매출!$B$2:$BI$155,MATCH($A149,Raw_매출!$A$2:$A$155,0),MATCH(EDATE($E149,AP$1-1),Raw_매출!$B$1:$BI$1,0))=0,"",INDEX(Raw_매출!$B$2:$BI$155,MATCH($A149,Raw_매출!$A$2:$A$155,0),MATCH(EDATE($E149,AP$1-1),Raw_매출!$B$1:$BI$1,0))/(INDEX(요약_월별시즈널리티!$F$7:$F$18,MONTH(EDATE($E149,AP$1-1)))/100))),"")</f>
        <v/>
      </c>
      <c r="AQ149" t="str" cm="1">
        <f t="array" ref="AQ149">IFERROR(IF($E149&lt;44348,"",IF(INDEX(Raw_매출!$B$2:$BI$155,MATCH($A149,Raw_매출!$A$2:$A$155,0),MATCH(EDATE($E149,AQ$1-1),Raw_매출!$B$1:$BI$1,0))=0,"",INDEX(Raw_매출!$B$2:$BI$155,MATCH($A149,Raw_매출!$A$2:$A$155,0),MATCH(EDATE($E149,AQ$1-1),Raw_매출!$B$1:$BI$1,0))/(INDEX(요약_월별시즈널리티!$F$7:$F$18,MONTH(EDATE($E149,AQ$1-1)))/100))),"")</f>
        <v/>
      </c>
      <c r="AR149" t="str" cm="1">
        <f t="array" ref="AR149">IFERROR(IF($E149&lt;44348,"",IF(INDEX(Raw_매출!$B$2:$BI$155,MATCH($A149,Raw_매출!$A$2:$A$155,0),MATCH(EDATE($E149,AR$1-1),Raw_매출!$B$1:$BI$1,0))=0,"",INDEX(Raw_매출!$B$2:$BI$155,MATCH($A149,Raw_매출!$A$2:$A$155,0),MATCH(EDATE($E149,AR$1-1),Raw_매출!$B$1:$BI$1,0))/(INDEX(요약_월별시즈널리티!$F$7:$F$18,MONTH(EDATE($E149,AR$1-1)))/100))),"")</f>
        <v/>
      </c>
      <c r="AS149" t="str" cm="1">
        <f t="array" ref="AS149">IFERROR(IF($E149&lt;44348,"",IF(INDEX(Raw_매출!$B$2:$BI$155,MATCH($A149,Raw_매출!$A$2:$A$155,0),MATCH(EDATE($E149,AS$1-1),Raw_매출!$B$1:$BI$1,0))=0,"",INDEX(Raw_매출!$B$2:$BI$155,MATCH($A149,Raw_매출!$A$2:$A$155,0),MATCH(EDATE($E149,AS$1-1),Raw_매출!$B$1:$BI$1,0))/(INDEX(요약_월별시즈널리티!$F$7:$F$18,MONTH(EDATE($E149,AS$1-1)))/100))),"")</f>
        <v/>
      </c>
      <c r="AT149" t="str" cm="1">
        <f t="array" ref="AT149">IFERROR(IF($E149&lt;44348,"",IF(INDEX(Raw_매출!$B$2:$BI$155,MATCH($A149,Raw_매출!$A$2:$A$155,0),MATCH(EDATE($E149,AT$1-1),Raw_매출!$B$1:$BI$1,0))=0,"",INDEX(Raw_매출!$B$2:$BI$155,MATCH($A149,Raw_매출!$A$2:$A$155,0),MATCH(EDATE($E149,AT$1-1),Raw_매출!$B$1:$BI$1,0))/(INDEX(요약_월별시즈널리티!$F$7:$F$18,MONTH(EDATE($E149,AT$1-1)))/100))),"")</f>
        <v/>
      </c>
      <c r="AU149" t="str" cm="1">
        <f t="array" ref="AU149">IFERROR(IF($E149&lt;44348,"",IF(INDEX(Raw_매출!$B$2:$BI$155,MATCH($A149,Raw_매출!$A$2:$A$155,0),MATCH(EDATE($E149,AU$1-1),Raw_매출!$B$1:$BI$1,0))=0,"",INDEX(Raw_매출!$B$2:$BI$155,MATCH($A149,Raw_매출!$A$2:$A$155,0),MATCH(EDATE($E149,AU$1-1),Raw_매출!$B$1:$BI$1,0))/(INDEX(요약_월별시즈널리티!$F$7:$F$18,MONTH(EDATE($E149,AU$1-1)))/100))),"")</f>
        <v/>
      </c>
      <c r="AV149" t="str" cm="1">
        <f t="array" ref="AV149">IFERROR(IF($E149&lt;44348,"",IF(INDEX(Raw_매출!$B$2:$BI$155,MATCH($A149,Raw_매출!$A$2:$A$155,0),MATCH(EDATE($E149,AV$1-1),Raw_매출!$B$1:$BI$1,0))=0,"",INDEX(Raw_매출!$B$2:$BI$155,MATCH($A149,Raw_매출!$A$2:$A$155,0),MATCH(EDATE($E149,AV$1-1),Raw_매출!$B$1:$BI$1,0))/(INDEX(요약_월별시즈널리티!$F$7:$F$18,MONTH(EDATE($E149,AV$1-1)))/100))),"")</f>
        <v/>
      </c>
      <c r="AW149" t="str" cm="1">
        <f t="array" ref="AW149">IFERROR(IF($E149&lt;44348,"",IF(INDEX(Raw_매출!$B$2:$BI$155,MATCH($A149,Raw_매출!$A$2:$A$155,0),MATCH(EDATE($E149,AW$1-1),Raw_매출!$B$1:$BI$1,0))=0,"",INDEX(Raw_매출!$B$2:$BI$155,MATCH($A149,Raw_매출!$A$2:$A$155,0),MATCH(EDATE($E149,AW$1-1),Raw_매출!$B$1:$BI$1,0))/(INDEX(요약_월별시즈널리티!$F$7:$F$18,MONTH(EDATE($E149,AW$1-1)))/100))),"")</f>
        <v/>
      </c>
      <c r="AX149" t="str" cm="1">
        <f t="array" ref="AX149">IFERROR(IF($E149&lt;44348,"",IF(INDEX(Raw_매출!$B$2:$BI$155,MATCH($A149,Raw_매출!$A$2:$A$155,0),MATCH(EDATE($E149,AX$1-1),Raw_매출!$B$1:$BI$1,0))=0,"",INDEX(Raw_매출!$B$2:$BI$155,MATCH($A149,Raw_매출!$A$2:$A$155,0),MATCH(EDATE($E149,AX$1-1),Raw_매출!$B$1:$BI$1,0))/(INDEX(요약_월별시즈널리티!$F$7:$F$18,MONTH(EDATE($E149,AX$1-1)))/100))),"")</f>
        <v/>
      </c>
      <c r="AY149" t="str" cm="1">
        <f t="array" ref="AY149">IFERROR(IF($E149&lt;44348,"",IF(INDEX(Raw_매출!$B$2:$BI$155,MATCH($A149,Raw_매출!$A$2:$A$155,0),MATCH(EDATE($E149,AY$1-1),Raw_매출!$B$1:$BI$1,0))=0,"",INDEX(Raw_매출!$B$2:$BI$155,MATCH($A149,Raw_매출!$A$2:$A$155,0),MATCH(EDATE($E149,AY$1-1),Raw_매출!$B$1:$BI$1,0))/(INDEX(요약_월별시즈널리티!$F$7:$F$18,MONTH(EDATE($E149,AY$1-1)))/100))),"")</f>
        <v/>
      </c>
      <c r="AZ149" t="str" cm="1">
        <f t="array" ref="AZ149">IFERROR(IF($E149&lt;44348,"",IF(INDEX(Raw_매출!$B$2:$BI$155,MATCH($A149,Raw_매출!$A$2:$A$155,0),MATCH(EDATE($E149,AZ$1-1),Raw_매출!$B$1:$BI$1,0))=0,"",INDEX(Raw_매출!$B$2:$BI$155,MATCH($A149,Raw_매출!$A$2:$A$155,0),MATCH(EDATE($E149,AZ$1-1),Raw_매출!$B$1:$BI$1,0))/(INDEX(요약_월별시즈널리티!$F$7:$F$18,MONTH(EDATE($E149,AZ$1-1)))/100))),"")</f>
        <v/>
      </c>
      <c r="BA149" t="str" cm="1">
        <f t="array" ref="BA149">IFERROR(IF($E149&lt;44348,"",IF(INDEX(Raw_매출!$B$2:$BI$155,MATCH($A149,Raw_매출!$A$2:$A$155,0),MATCH(EDATE($E149,BA$1-1),Raw_매출!$B$1:$BI$1,0))=0,"",INDEX(Raw_매출!$B$2:$BI$155,MATCH($A149,Raw_매출!$A$2:$A$155,0),MATCH(EDATE($E149,BA$1-1),Raw_매출!$B$1:$BI$1,0))/(INDEX(요약_월별시즈널리티!$F$7:$F$18,MONTH(EDATE($E149,BA$1-1)))/100))),"")</f>
        <v/>
      </c>
      <c r="BB149" t="str" cm="1">
        <f t="array" ref="BB149">IFERROR(IF($E149&lt;44348,"",IF(INDEX(Raw_매출!$B$2:$BI$155,MATCH($A149,Raw_매출!$A$2:$A$155,0),MATCH(EDATE($E149,BB$1-1),Raw_매출!$B$1:$BI$1,0))=0,"",INDEX(Raw_매출!$B$2:$BI$155,MATCH($A149,Raw_매출!$A$2:$A$155,0),MATCH(EDATE($E149,BB$1-1),Raw_매출!$B$1:$BI$1,0))/(INDEX(요약_월별시즈널리티!$F$7:$F$18,MONTH(EDATE($E149,BB$1-1)))/100))),"")</f>
        <v/>
      </c>
      <c r="BC149" t="str" cm="1">
        <f t="array" ref="BC149">IFERROR(IF($E149&lt;44348,"",IF(INDEX(Raw_매출!$B$2:$BI$155,MATCH($A149,Raw_매출!$A$2:$A$155,0),MATCH(EDATE($E149,BC$1-1),Raw_매출!$B$1:$BI$1,0))=0,"",INDEX(Raw_매출!$B$2:$BI$155,MATCH($A149,Raw_매출!$A$2:$A$155,0),MATCH(EDATE($E149,BC$1-1),Raw_매출!$B$1:$BI$1,0))/(INDEX(요약_월별시즈널리티!$F$7:$F$18,MONTH(EDATE($E149,BC$1-1)))/100))),"")</f>
        <v/>
      </c>
      <c r="BD149" t="str" cm="1">
        <f t="array" ref="BD149">IFERROR(IF($E149&lt;44348,"",IF(INDEX(Raw_매출!$B$2:$BI$155,MATCH($A149,Raw_매출!$A$2:$A$155,0),MATCH(EDATE($E149,BD$1-1),Raw_매출!$B$1:$BI$1,0))=0,"",INDEX(Raw_매출!$B$2:$BI$155,MATCH($A149,Raw_매출!$A$2:$A$155,0),MATCH(EDATE($E149,BD$1-1),Raw_매출!$B$1:$BI$1,0))/(INDEX(요약_월별시즈널리티!$F$7:$F$18,MONTH(EDATE($E149,BD$1-1)))/100))),"")</f>
        <v/>
      </c>
      <c r="BE149" t="str" cm="1">
        <f t="array" ref="BE149">IFERROR(IF($E149&lt;44348,"",IF(INDEX(Raw_매출!$B$2:$BI$155,MATCH($A149,Raw_매출!$A$2:$A$155,0),MATCH(EDATE($E149,BE$1-1),Raw_매출!$B$1:$BI$1,0))=0,"",INDEX(Raw_매출!$B$2:$BI$155,MATCH($A149,Raw_매출!$A$2:$A$155,0),MATCH(EDATE($E149,BE$1-1),Raw_매출!$B$1:$BI$1,0))/(INDEX(요약_월별시즈널리티!$F$7:$F$18,MONTH(EDATE($E149,BE$1-1)))/100))),"")</f>
        <v/>
      </c>
      <c r="BF149" t="str" cm="1">
        <f t="array" ref="BF149">IFERROR(IF($E149&lt;44348,"",IF(INDEX(Raw_매출!$B$2:$BI$155,MATCH($A149,Raw_매출!$A$2:$A$155,0),MATCH(EDATE($E149,BF$1-1),Raw_매출!$B$1:$BI$1,0))=0,"",INDEX(Raw_매출!$B$2:$BI$155,MATCH($A149,Raw_매출!$A$2:$A$155,0),MATCH(EDATE($E149,BF$1-1),Raw_매출!$B$1:$BI$1,0))/(INDEX(요약_월별시즈널리티!$F$7:$F$18,MONTH(EDATE($E149,BF$1-1)))/100))),"")</f>
        <v/>
      </c>
      <c r="BG149" t="str" cm="1">
        <f t="array" ref="BG149">IFERROR(IF($E149&lt;44348,"",IF(INDEX(Raw_매출!$B$2:$BI$155,MATCH($A149,Raw_매출!$A$2:$A$155,0),MATCH(EDATE($E149,BG$1-1),Raw_매출!$B$1:$BI$1,0))=0,"",INDEX(Raw_매출!$B$2:$BI$155,MATCH($A149,Raw_매출!$A$2:$A$155,0),MATCH(EDATE($E149,BG$1-1),Raw_매출!$B$1:$BI$1,0))/(INDEX(요약_월별시즈널리티!$F$7:$F$18,MONTH(EDATE($E149,BG$1-1)))/100))),"")</f>
        <v/>
      </c>
      <c r="BH149" t="str" cm="1">
        <f t="array" ref="BH149">IFERROR(IF($E149&lt;44348,"",IF(INDEX(Raw_매출!$B$2:$BI$155,MATCH($A149,Raw_매출!$A$2:$A$155,0),MATCH(EDATE($E149,BH$1-1),Raw_매출!$B$1:$BI$1,0))=0,"",INDEX(Raw_매출!$B$2:$BI$155,MATCH($A149,Raw_매출!$A$2:$A$155,0),MATCH(EDATE($E149,BH$1-1),Raw_매출!$B$1:$BI$1,0))/(INDEX(요약_월별시즈널리티!$F$7:$F$18,MONTH(EDATE($E149,BH$1-1)))/100))),"")</f>
        <v/>
      </c>
      <c r="BI149" t="str" cm="1">
        <f t="array" ref="BI149">IFERROR(IF($E149&lt;44348,"",IF(INDEX(Raw_매출!$B$2:$BI$155,MATCH($A149,Raw_매출!$A$2:$A$155,0),MATCH(EDATE($E149,BI$1-1),Raw_매출!$B$1:$BI$1,0))=0,"",INDEX(Raw_매출!$B$2:$BI$155,MATCH($A149,Raw_매출!$A$2:$A$155,0),MATCH(EDATE($E149,BI$1-1),Raw_매출!$B$1:$BI$1,0))/(INDEX(요약_월별시즈널리티!$F$7:$F$18,MONTH(EDATE($E149,BI$1-1)))/100))),"")</f>
        <v/>
      </c>
      <c r="BJ149" t="str" cm="1">
        <f t="array" ref="BJ149">IFERROR(IF($E149&lt;44348,"",IF(INDEX(Raw_매출!$B$2:$BI$155,MATCH($A149,Raw_매출!$A$2:$A$155,0),MATCH(EDATE($E149,BJ$1-1),Raw_매출!$B$1:$BI$1,0))=0,"",INDEX(Raw_매출!$B$2:$BI$155,MATCH($A149,Raw_매출!$A$2:$A$155,0),MATCH(EDATE($E149,BJ$1-1),Raw_매출!$B$1:$BI$1,0))/(INDEX(요약_월별시즈널리티!$F$7:$F$18,MONTH(EDATE($E149,BJ$1-1)))/100))),"")</f>
        <v/>
      </c>
      <c r="BK149" t="str" cm="1">
        <f t="array" ref="BK149">IFERROR(IF($E149&lt;44348,"",IF(INDEX(Raw_매출!$B$2:$BI$155,MATCH($A149,Raw_매출!$A$2:$A$155,0),MATCH(EDATE($E149,BK$1-1),Raw_매출!$B$1:$BI$1,0))=0,"",INDEX(Raw_매출!$B$2:$BI$155,MATCH($A149,Raw_매출!$A$2:$A$155,0),MATCH(EDATE($E149,BK$1-1),Raw_매출!$B$1:$BI$1,0))/(INDEX(요약_월별시즈널리티!$F$7:$F$18,MONTH(EDATE($E149,BK$1-1)))/100))),"")</f>
        <v/>
      </c>
      <c r="BL149" t="str" cm="1">
        <f t="array" ref="BL149">IFERROR(IF($E149&lt;44348,"",IF(INDEX(Raw_매출!$B$2:$BI$155,MATCH($A149,Raw_매출!$A$2:$A$155,0),MATCH(EDATE($E149,BL$1-1),Raw_매출!$B$1:$BI$1,0))=0,"",INDEX(Raw_매출!$B$2:$BI$155,MATCH($A149,Raw_매출!$A$2:$A$155,0),MATCH(EDATE($E149,BL$1-1),Raw_매출!$B$1:$BI$1,0))/(INDEX(요약_월별시즈널리티!$F$7:$F$18,MONTH(EDATE($E149,BL$1-1)))/100))),"")</f>
        <v/>
      </c>
      <c r="BM149" t="str" cm="1">
        <f t="array" ref="BM149">IFERROR(IF($E149&lt;44348,"",IF(INDEX(Raw_매출!$B$2:$BI$155,MATCH($A149,Raw_매출!$A$2:$A$155,0),MATCH(EDATE($E149,BM$1-1),Raw_매출!$B$1:$BI$1,0))=0,"",INDEX(Raw_매출!$B$2:$BI$155,MATCH($A149,Raw_매출!$A$2:$A$155,0),MATCH(EDATE($E149,BM$1-1),Raw_매출!$B$1:$BI$1,0))/(INDEX(요약_월별시즈널리티!$F$7:$F$18,MONTH(EDATE($E149,BM$1-1)))/100))),"")</f>
        <v/>
      </c>
      <c r="BN149" t="str" cm="1">
        <f t="array" ref="BN149">IFERROR(IF($E149&lt;44348,"",IF(INDEX(Raw_매출!$B$2:$BI$155,MATCH($A149,Raw_매출!$A$2:$A$155,0),MATCH(EDATE($E149,BN$1-1),Raw_매출!$B$1:$BI$1,0))=0,"",INDEX(Raw_매출!$B$2:$BI$155,MATCH($A149,Raw_매출!$A$2:$A$155,0),MATCH(EDATE($E149,BN$1-1),Raw_매출!$B$1:$BI$1,0))/(INDEX(요약_월별시즈널리티!$F$7:$F$18,MONTH(EDATE($E149,BN$1-1)))/100))),"")</f>
        <v/>
      </c>
    </row>
    <row r="150" spans="1:66" x14ac:dyDescent="0.4">
      <c r="A150" t="str">
        <f>세팅!A151</f>
        <v>(1140) #대전보건대점</v>
      </c>
      <c r="B150" t="str">
        <f>세팅!B151</f>
        <v>150-1</v>
      </c>
      <c r="C150">
        <f t="shared" si="6"/>
        <v>1</v>
      </c>
      <c r="D150" t="str">
        <f t="shared" si="7"/>
        <v>1</v>
      </c>
      <c r="E150" s="1">
        <f>세팅!D151</f>
        <v>46143</v>
      </c>
      <c r="F150" t="str">
        <f t="shared" si="8"/>
        <v/>
      </c>
      <c r="G150" cm="1">
        <f t="array" ref="G150">IFERROR(IF($E150&lt;44348,"",IF(INDEX(Raw_매출!$B$2:$BI$155,MATCH($A150,Raw_매출!$A$2:$A$155,0),MATCH(EDATE($E150,G$1-1),Raw_매출!$B$1:$BI$1,0))=0,"",INDEX(Raw_매출!$B$2:$BI$155,MATCH($A150,Raw_매출!$A$2:$A$155,0),MATCH(EDATE($E150,G$1-1),Raw_매출!$B$1:$BI$1,0))/(INDEX(요약_월별시즈널리티!$F$7:$F$18,MONTH(EDATE($E150,G$1-1)))/100))),"")</f>
        <v>4129918.8097655689</v>
      </c>
      <c r="H150" t="str" cm="1">
        <f t="array" ref="H150">IFERROR(IF($E150&lt;44348,"",IF(INDEX(Raw_매출!$B$2:$BI$155,MATCH($A150,Raw_매출!$A$2:$A$155,0),MATCH(EDATE($E150,H$1-1),Raw_매출!$B$1:$BI$1,0))=0,"",INDEX(Raw_매출!$B$2:$BI$155,MATCH($A150,Raw_매출!$A$2:$A$155,0),MATCH(EDATE($E150,H$1-1),Raw_매출!$B$1:$BI$1,0))/(INDEX(요약_월별시즈널리티!$F$7:$F$18,MONTH(EDATE($E150,H$1-1)))/100))),"")</f>
        <v/>
      </c>
      <c r="I150" t="str" cm="1">
        <f t="array" ref="I150">IFERROR(IF($E150&lt;44348,"",IF(INDEX(Raw_매출!$B$2:$BI$155,MATCH($A150,Raw_매출!$A$2:$A$155,0),MATCH(EDATE($E150,I$1-1),Raw_매출!$B$1:$BI$1,0))=0,"",INDEX(Raw_매출!$B$2:$BI$155,MATCH($A150,Raw_매출!$A$2:$A$155,0),MATCH(EDATE($E150,I$1-1),Raw_매출!$B$1:$BI$1,0))/(INDEX(요약_월별시즈널리티!$F$7:$F$18,MONTH(EDATE($E150,I$1-1)))/100))),"")</f>
        <v/>
      </c>
      <c r="J150" s="30" t="str" cm="1">
        <f t="array" ref="J150">IFERROR(IF($E150&lt;44348,"",IF(INDEX(Raw_매출!$B$2:$BI$155,MATCH($A150,Raw_매출!$A$2:$A$155,0),MATCH(EDATE($E150,J$1-1),Raw_매출!$B$1:$BI$1,0))=0,"",INDEX(Raw_매출!$B$2:$BI$155,MATCH($A150,Raw_매출!$A$2:$A$155,0),MATCH(EDATE($E150,J$1-1),Raw_매출!$B$1:$BI$1,0))/(INDEX(요약_월별시즈널리티!$F$7:$F$18,MONTH(EDATE($E150,J$1-1)))/100))),"")</f>
        <v/>
      </c>
      <c r="K150" s="30" t="str" cm="1">
        <f t="array" ref="K150">IFERROR(IF($E150&lt;44348,"",IF(INDEX(Raw_매출!$B$2:$BI$155,MATCH($A150,Raw_매출!$A$2:$A$155,0),MATCH(EDATE($E150,K$1-1),Raw_매출!$B$1:$BI$1,0))=0,"",INDEX(Raw_매출!$B$2:$BI$155,MATCH($A150,Raw_매출!$A$2:$A$155,0),MATCH(EDATE($E150,K$1-1),Raw_매출!$B$1:$BI$1,0))/(INDEX(요약_월별시즈널리티!$F$7:$F$18,MONTH(EDATE($E150,K$1-1)))/100))),"")</f>
        <v/>
      </c>
      <c r="L150" s="30" t="str" cm="1">
        <f t="array" ref="L150">IFERROR(IF($E150&lt;44348,"",IF(INDEX(Raw_매출!$B$2:$BI$155,MATCH($A150,Raw_매출!$A$2:$A$155,0),MATCH(EDATE($E150,L$1-1),Raw_매출!$B$1:$BI$1,0))=0,"",INDEX(Raw_매출!$B$2:$BI$155,MATCH($A150,Raw_매출!$A$2:$A$155,0),MATCH(EDATE($E150,L$1-1),Raw_매출!$B$1:$BI$1,0))/(INDEX(요약_월별시즈널리티!$F$7:$F$18,MONTH(EDATE($E150,L$1-1)))/100))),"")</f>
        <v/>
      </c>
      <c r="M150" s="30" t="str" cm="1">
        <f t="array" ref="M150">IFERROR(IF($E150&lt;44348,"",IF(INDEX(Raw_매출!$B$2:$BI$155,MATCH($A150,Raw_매출!$A$2:$A$155,0),MATCH(EDATE($E150,M$1-1),Raw_매출!$B$1:$BI$1,0))=0,"",INDEX(Raw_매출!$B$2:$BI$155,MATCH($A150,Raw_매출!$A$2:$A$155,0),MATCH(EDATE($E150,M$1-1),Raw_매출!$B$1:$BI$1,0))/(INDEX(요약_월별시즈널리티!$F$7:$F$18,MONTH(EDATE($E150,M$1-1)))/100))),"")</f>
        <v/>
      </c>
      <c r="N150" s="30" t="str" cm="1">
        <f t="array" ref="N150">IFERROR(IF($E150&lt;44348,"",IF(INDEX(Raw_매출!$B$2:$BI$155,MATCH($A150,Raw_매출!$A$2:$A$155,0),MATCH(EDATE($E150,N$1-1),Raw_매출!$B$1:$BI$1,0))=0,"",INDEX(Raw_매출!$B$2:$BI$155,MATCH($A150,Raw_매출!$A$2:$A$155,0),MATCH(EDATE($E150,N$1-1),Raw_매출!$B$1:$BI$1,0))/(INDEX(요약_월별시즈널리티!$F$7:$F$18,MONTH(EDATE($E150,N$1-1)))/100))),"")</f>
        <v/>
      </c>
      <c r="O150" s="30" t="str" cm="1">
        <f t="array" ref="O150">IFERROR(IF($E150&lt;44348,"",IF(INDEX(Raw_매출!$B$2:$BI$155,MATCH($A150,Raw_매출!$A$2:$A$155,0),MATCH(EDATE($E150,O$1-1),Raw_매출!$B$1:$BI$1,0))=0,"",INDEX(Raw_매출!$B$2:$BI$155,MATCH($A150,Raw_매출!$A$2:$A$155,0),MATCH(EDATE($E150,O$1-1),Raw_매출!$B$1:$BI$1,0))/(INDEX(요약_월별시즈널리티!$F$7:$F$18,MONTH(EDATE($E150,O$1-1)))/100))),"")</f>
        <v/>
      </c>
      <c r="P150" t="str" cm="1">
        <f t="array" ref="P150">IFERROR(IF($E150&lt;44348,"",IF(INDEX(Raw_매출!$B$2:$BI$155,MATCH($A150,Raw_매출!$A$2:$A$155,0),MATCH(EDATE($E150,P$1-1),Raw_매출!$B$1:$BI$1,0))=0,"",INDEX(Raw_매출!$B$2:$BI$155,MATCH($A150,Raw_매출!$A$2:$A$155,0),MATCH(EDATE($E150,P$1-1),Raw_매출!$B$1:$BI$1,0))/(INDEX(요약_월별시즈널리티!$F$7:$F$18,MONTH(EDATE($E150,P$1-1)))/100))),"")</f>
        <v/>
      </c>
      <c r="Q150" t="str" cm="1">
        <f t="array" ref="Q150">IFERROR(IF($E150&lt;44348,"",IF(INDEX(Raw_매출!$B$2:$BI$155,MATCH($A150,Raw_매출!$A$2:$A$155,0),MATCH(EDATE($E150,Q$1-1),Raw_매출!$B$1:$BI$1,0))=0,"",INDEX(Raw_매출!$B$2:$BI$155,MATCH($A150,Raw_매출!$A$2:$A$155,0),MATCH(EDATE($E150,Q$1-1),Raw_매출!$B$1:$BI$1,0))/(INDEX(요약_월별시즈널리티!$F$7:$F$18,MONTH(EDATE($E150,Q$1-1)))/100))),"")</f>
        <v/>
      </c>
      <c r="R150" t="str" cm="1">
        <f t="array" ref="R150">IFERROR(IF($E150&lt;44348,"",IF(INDEX(Raw_매출!$B$2:$BI$155,MATCH($A150,Raw_매출!$A$2:$A$155,0),MATCH(EDATE($E150,R$1-1),Raw_매출!$B$1:$BI$1,0))=0,"",INDEX(Raw_매출!$B$2:$BI$155,MATCH($A150,Raw_매출!$A$2:$A$155,0),MATCH(EDATE($E150,R$1-1),Raw_매출!$B$1:$BI$1,0))/(INDEX(요약_월별시즈널리티!$F$7:$F$18,MONTH(EDATE($E150,R$1-1)))/100))),"")</f>
        <v/>
      </c>
      <c r="S150" t="str" cm="1">
        <f t="array" ref="S150">IFERROR(IF($E150&lt;44348,"",IF(INDEX(Raw_매출!$B$2:$BI$155,MATCH($A150,Raw_매출!$A$2:$A$155,0),MATCH(EDATE($E150,S$1-1),Raw_매출!$B$1:$BI$1,0))=0,"",INDEX(Raw_매출!$B$2:$BI$155,MATCH($A150,Raw_매출!$A$2:$A$155,0),MATCH(EDATE($E150,S$1-1),Raw_매출!$B$1:$BI$1,0))/(INDEX(요약_월별시즈널리티!$F$7:$F$18,MONTH(EDATE($E150,S$1-1)))/100))),"")</f>
        <v/>
      </c>
      <c r="T150" t="str" cm="1">
        <f t="array" ref="T150">IFERROR(IF($E150&lt;44348,"",IF(INDEX(Raw_매출!$B$2:$BI$155,MATCH($A150,Raw_매출!$A$2:$A$155,0),MATCH(EDATE($E150,T$1-1),Raw_매출!$B$1:$BI$1,0))=0,"",INDEX(Raw_매출!$B$2:$BI$155,MATCH($A150,Raw_매출!$A$2:$A$155,0),MATCH(EDATE($E150,T$1-1),Raw_매출!$B$1:$BI$1,0))/(INDEX(요약_월별시즈널리티!$F$7:$F$18,MONTH(EDATE($E150,T$1-1)))/100))),"")</f>
        <v/>
      </c>
      <c r="U150" t="str" cm="1">
        <f t="array" ref="U150">IFERROR(IF($E150&lt;44348,"",IF(INDEX(Raw_매출!$B$2:$BI$155,MATCH($A150,Raw_매출!$A$2:$A$155,0),MATCH(EDATE($E150,U$1-1),Raw_매출!$B$1:$BI$1,0))=0,"",INDEX(Raw_매출!$B$2:$BI$155,MATCH($A150,Raw_매출!$A$2:$A$155,0),MATCH(EDATE($E150,U$1-1),Raw_매출!$B$1:$BI$1,0))/(INDEX(요약_월별시즈널리티!$F$7:$F$18,MONTH(EDATE($E150,U$1-1)))/100))),"")</f>
        <v/>
      </c>
      <c r="V150" t="str" cm="1">
        <f t="array" ref="V150">IFERROR(IF($E150&lt;44348,"",IF(INDEX(Raw_매출!$B$2:$BI$155,MATCH($A150,Raw_매출!$A$2:$A$155,0),MATCH(EDATE($E150,V$1-1),Raw_매출!$B$1:$BI$1,0))=0,"",INDEX(Raw_매출!$B$2:$BI$155,MATCH($A150,Raw_매출!$A$2:$A$155,0),MATCH(EDATE($E150,V$1-1),Raw_매출!$B$1:$BI$1,0))/(INDEX(요약_월별시즈널리티!$F$7:$F$18,MONTH(EDATE($E150,V$1-1)))/100))),"")</f>
        <v/>
      </c>
      <c r="W150" t="str" cm="1">
        <f t="array" ref="W150">IFERROR(IF($E150&lt;44348,"",IF(INDEX(Raw_매출!$B$2:$BI$155,MATCH($A150,Raw_매출!$A$2:$A$155,0),MATCH(EDATE($E150,W$1-1),Raw_매출!$B$1:$BI$1,0))=0,"",INDEX(Raw_매출!$B$2:$BI$155,MATCH($A150,Raw_매출!$A$2:$A$155,0),MATCH(EDATE($E150,W$1-1),Raw_매출!$B$1:$BI$1,0))/(INDEX(요약_월별시즈널리티!$F$7:$F$18,MONTH(EDATE($E150,W$1-1)))/100))),"")</f>
        <v/>
      </c>
      <c r="X150" t="str" cm="1">
        <f t="array" ref="X150">IFERROR(IF($E150&lt;44348,"",IF(INDEX(Raw_매출!$B$2:$BI$155,MATCH($A150,Raw_매출!$A$2:$A$155,0),MATCH(EDATE($E150,X$1-1),Raw_매출!$B$1:$BI$1,0))=0,"",INDEX(Raw_매출!$B$2:$BI$155,MATCH($A150,Raw_매출!$A$2:$A$155,0),MATCH(EDATE($E150,X$1-1),Raw_매출!$B$1:$BI$1,0))/(INDEX(요약_월별시즈널리티!$F$7:$F$18,MONTH(EDATE($E150,X$1-1)))/100))),"")</f>
        <v/>
      </c>
      <c r="Y150" t="str" cm="1">
        <f t="array" ref="Y150">IFERROR(IF($E150&lt;44348,"",IF(INDEX(Raw_매출!$B$2:$BI$155,MATCH($A150,Raw_매출!$A$2:$A$155,0),MATCH(EDATE($E150,Y$1-1),Raw_매출!$B$1:$BI$1,0))=0,"",INDEX(Raw_매출!$B$2:$BI$155,MATCH($A150,Raw_매출!$A$2:$A$155,0),MATCH(EDATE($E150,Y$1-1),Raw_매출!$B$1:$BI$1,0))/(INDEX(요약_월별시즈널리티!$F$7:$F$18,MONTH(EDATE($E150,Y$1-1)))/100))),"")</f>
        <v/>
      </c>
      <c r="Z150" t="str" cm="1">
        <f t="array" ref="Z150">IFERROR(IF($E150&lt;44348,"",IF(INDEX(Raw_매출!$B$2:$BI$155,MATCH($A150,Raw_매출!$A$2:$A$155,0),MATCH(EDATE($E150,Z$1-1),Raw_매출!$B$1:$BI$1,0))=0,"",INDEX(Raw_매출!$B$2:$BI$155,MATCH($A150,Raw_매출!$A$2:$A$155,0),MATCH(EDATE($E150,Z$1-1),Raw_매출!$B$1:$BI$1,0))/(INDEX(요약_월별시즈널리티!$F$7:$F$18,MONTH(EDATE($E150,Z$1-1)))/100))),"")</f>
        <v/>
      </c>
      <c r="AA150" t="str" cm="1">
        <f t="array" ref="AA150">IFERROR(IF($E150&lt;44348,"",IF(INDEX(Raw_매출!$B$2:$BI$155,MATCH($A150,Raw_매출!$A$2:$A$155,0),MATCH(EDATE($E150,AA$1-1),Raw_매출!$B$1:$BI$1,0))=0,"",INDEX(Raw_매출!$B$2:$BI$155,MATCH($A150,Raw_매출!$A$2:$A$155,0),MATCH(EDATE($E150,AA$1-1),Raw_매출!$B$1:$BI$1,0))/(INDEX(요약_월별시즈널리티!$F$7:$F$18,MONTH(EDATE($E150,AA$1-1)))/100))),"")</f>
        <v/>
      </c>
      <c r="AB150" t="str" cm="1">
        <f t="array" ref="AB150">IFERROR(IF($E150&lt;44348,"",IF(INDEX(Raw_매출!$B$2:$BI$155,MATCH($A150,Raw_매출!$A$2:$A$155,0),MATCH(EDATE($E150,AB$1-1),Raw_매출!$B$1:$BI$1,0))=0,"",INDEX(Raw_매출!$B$2:$BI$155,MATCH($A150,Raw_매출!$A$2:$A$155,0),MATCH(EDATE($E150,AB$1-1),Raw_매출!$B$1:$BI$1,0))/(INDEX(요약_월별시즈널리티!$F$7:$F$18,MONTH(EDATE($E150,AB$1-1)))/100))),"")</f>
        <v/>
      </c>
      <c r="AC150" t="str" cm="1">
        <f t="array" ref="AC150">IFERROR(IF($E150&lt;44348,"",IF(INDEX(Raw_매출!$B$2:$BI$155,MATCH($A150,Raw_매출!$A$2:$A$155,0),MATCH(EDATE($E150,AC$1-1),Raw_매출!$B$1:$BI$1,0))=0,"",INDEX(Raw_매출!$B$2:$BI$155,MATCH($A150,Raw_매출!$A$2:$A$155,0),MATCH(EDATE($E150,AC$1-1),Raw_매출!$B$1:$BI$1,0))/(INDEX(요약_월별시즈널리티!$F$7:$F$18,MONTH(EDATE($E150,AC$1-1)))/100))),"")</f>
        <v/>
      </c>
      <c r="AD150" t="str" cm="1">
        <f t="array" ref="AD150">IFERROR(IF($E150&lt;44348,"",IF(INDEX(Raw_매출!$B$2:$BI$155,MATCH($A150,Raw_매출!$A$2:$A$155,0),MATCH(EDATE($E150,AD$1-1),Raw_매출!$B$1:$BI$1,0))=0,"",INDEX(Raw_매출!$B$2:$BI$155,MATCH($A150,Raw_매출!$A$2:$A$155,0),MATCH(EDATE($E150,AD$1-1),Raw_매출!$B$1:$BI$1,0))/(INDEX(요약_월별시즈널리티!$F$7:$F$18,MONTH(EDATE($E150,AD$1-1)))/100))),"")</f>
        <v/>
      </c>
      <c r="AE150" t="str" cm="1">
        <f t="array" ref="AE150">IFERROR(IF($E150&lt;44348,"",IF(INDEX(Raw_매출!$B$2:$BI$155,MATCH($A150,Raw_매출!$A$2:$A$155,0),MATCH(EDATE($E150,AE$1-1),Raw_매출!$B$1:$BI$1,0))=0,"",INDEX(Raw_매출!$B$2:$BI$155,MATCH($A150,Raw_매출!$A$2:$A$155,0),MATCH(EDATE($E150,AE$1-1),Raw_매출!$B$1:$BI$1,0))/(INDEX(요약_월별시즈널리티!$F$7:$F$18,MONTH(EDATE($E150,AE$1-1)))/100))),"")</f>
        <v/>
      </c>
      <c r="AF150" t="str" cm="1">
        <f t="array" ref="AF150">IFERROR(IF($E150&lt;44348,"",IF(INDEX(Raw_매출!$B$2:$BI$155,MATCH($A150,Raw_매출!$A$2:$A$155,0),MATCH(EDATE($E150,AF$1-1),Raw_매출!$B$1:$BI$1,0))=0,"",INDEX(Raw_매출!$B$2:$BI$155,MATCH($A150,Raw_매출!$A$2:$A$155,0),MATCH(EDATE($E150,AF$1-1),Raw_매출!$B$1:$BI$1,0))/(INDEX(요약_월별시즈널리티!$F$7:$F$18,MONTH(EDATE($E150,AF$1-1)))/100))),"")</f>
        <v/>
      </c>
      <c r="AG150" t="str" cm="1">
        <f t="array" ref="AG150">IFERROR(IF($E150&lt;44348,"",IF(INDEX(Raw_매출!$B$2:$BI$155,MATCH($A150,Raw_매출!$A$2:$A$155,0),MATCH(EDATE($E150,AG$1-1),Raw_매출!$B$1:$BI$1,0))=0,"",INDEX(Raw_매출!$B$2:$BI$155,MATCH($A150,Raw_매출!$A$2:$A$155,0),MATCH(EDATE($E150,AG$1-1),Raw_매출!$B$1:$BI$1,0))/(INDEX(요약_월별시즈널리티!$F$7:$F$18,MONTH(EDATE($E150,AG$1-1)))/100))),"")</f>
        <v/>
      </c>
      <c r="AH150" t="str" cm="1">
        <f t="array" ref="AH150">IFERROR(IF($E150&lt;44348,"",IF(INDEX(Raw_매출!$B$2:$BI$155,MATCH($A150,Raw_매출!$A$2:$A$155,0),MATCH(EDATE($E150,AH$1-1),Raw_매출!$B$1:$BI$1,0))=0,"",INDEX(Raw_매출!$B$2:$BI$155,MATCH($A150,Raw_매출!$A$2:$A$155,0),MATCH(EDATE($E150,AH$1-1),Raw_매출!$B$1:$BI$1,0))/(INDEX(요약_월별시즈널리티!$F$7:$F$18,MONTH(EDATE($E150,AH$1-1)))/100))),"")</f>
        <v/>
      </c>
      <c r="AI150" t="str" cm="1">
        <f t="array" ref="AI150">IFERROR(IF($E150&lt;44348,"",IF(INDEX(Raw_매출!$B$2:$BI$155,MATCH($A150,Raw_매출!$A$2:$A$155,0),MATCH(EDATE($E150,AI$1-1),Raw_매출!$B$1:$BI$1,0))=0,"",INDEX(Raw_매출!$B$2:$BI$155,MATCH($A150,Raw_매출!$A$2:$A$155,0),MATCH(EDATE($E150,AI$1-1),Raw_매출!$B$1:$BI$1,0))/(INDEX(요약_월별시즈널리티!$F$7:$F$18,MONTH(EDATE($E150,AI$1-1)))/100))),"")</f>
        <v/>
      </c>
      <c r="AJ150" t="str" cm="1">
        <f t="array" ref="AJ150">IFERROR(IF($E150&lt;44348,"",IF(INDEX(Raw_매출!$B$2:$BI$155,MATCH($A150,Raw_매출!$A$2:$A$155,0),MATCH(EDATE($E150,AJ$1-1),Raw_매출!$B$1:$BI$1,0))=0,"",INDEX(Raw_매출!$B$2:$BI$155,MATCH($A150,Raw_매출!$A$2:$A$155,0),MATCH(EDATE($E150,AJ$1-1),Raw_매출!$B$1:$BI$1,0))/(INDEX(요약_월별시즈널리티!$F$7:$F$18,MONTH(EDATE($E150,AJ$1-1)))/100))),"")</f>
        <v/>
      </c>
      <c r="AK150" t="str" cm="1">
        <f t="array" ref="AK150">IFERROR(IF($E150&lt;44348,"",IF(INDEX(Raw_매출!$B$2:$BI$155,MATCH($A150,Raw_매출!$A$2:$A$155,0),MATCH(EDATE($E150,AK$1-1),Raw_매출!$B$1:$BI$1,0))=0,"",INDEX(Raw_매출!$B$2:$BI$155,MATCH($A150,Raw_매출!$A$2:$A$155,0),MATCH(EDATE($E150,AK$1-1),Raw_매출!$B$1:$BI$1,0))/(INDEX(요약_월별시즈널리티!$F$7:$F$18,MONTH(EDATE($E150,AK$1-1)))/100))),"")</f>
        <v/>
      </c>
      <c r="AL150" t="str" cm="1">
        <f t="array" ref="AL150">IFERROR(IF($E150&lt;44348,"",IF(INDEX(Raw_매출!$B$2:$BI$155,MATCH($A150,Raw_매출!$A$2:$A$155,0),MATCH(EDATE($E150,AL$1-1),Raw_매출!$B$1:$BI$1,0))=0,"",INDEX(Raw_매출!$B$2:$BI$155,MATCH($A150,Raw_매출!$A$2:$A$155,0),MATCH(EDATE($E150,AL$1-1),Raw_매출!$B$1:$BI$1,0))/(INDEX(요약_월별시즈널리티!$F$7:$F$18,MONTH(EDATE($E150,AL$1-1)))/100))),"")</f>
        <v/>
      </c>
      <c r="AM150" t="str" cm="1">
        <f t="array" ref="AM150">IFERROR(IF($E150&lt;44348,"",IF(INDEX(Raw_매출!$B$2:$BI$155,MATCH($A150,Raw_매출!$A$2:$A$155,0),MATCH(EDATE($E150,AM$1-1),Raw_매출!$B$1:$BI$1,0))=0,"",INDEX(Raw_매출!$B$2:$BI$155,MATCH($A150,Raw_매출!$A$2:$A$155,0),MATCH(EDATE($E150,AM$1-1),Raw_매출!$B$1:$BI$1,0))/(INDEX(요약_월별시즈널리티!$F$7:$F$18,MONTH(EDATE($E150,AM$1-1)))/100))),"")</f>
        <v/>
      </c>
      <c r="AN150" t="str" cm="1">
        <f t="array" ref="AN150">IFERROR(IF($E150&lt;44348,"",IF(INDEX(Raw_매출!$B$2:$BI$155,MATCH($A150,Raw_매출!$A$2:$A$155,0),MATCH(EDATE($E150,AN$1-1),Raw_매출!$B$1:$BI$1,0))=0,"",INDEX(Raw_매출!$B$2:$BI$155,MATCH($A150,Raw_매출!$A$2:$A$155,0),MATCH(EDATE($E150,AN$1-1),Raw_매출!$B$1:$BI$1,0))/(INDEX(요약_월별시즈널리티!$F$7:$F$18,MONTH(EDATE($E150,AN$1-1)))/100))),"")</f>
        <v/>
      </c>
      <c r="AO150" t="str" cm="1">
        <f t="array" ref="AO150">IFERROR(IF($E150&lt;44348,"",IF(INDEX(Raw_매출!$B$2:$BI$155,MATCH($A150,Raw_매출!$A$2:$A$155,0),MATCH(EDATE($E150,AO$1-1),Raw_매출!$B$1:$BI$1,0))=0,"",INDEX(Raw_매출!$B$2:$BI$155,MATCH($A150,Raw_매출!$A$2:$A$155,0),MATCH(EDATE($E150,AO$1-1),Raw_매출!$B$1:$BI$1,0))/(INDEX(요약_월별시즈널리티!$F$7:$F$18,MONTH(EDATE($E150,AO$1-1)))/100))),"")</f>
        <v/>
      </c>
      <c r="AP150" t="str" cm="1">
        <f t="array" ref="AP150">IFERROR(IF($E150&lt;44348,"",IF(INDEX(Raw_매출!$B$2:$BI$155,MATCH($A150,Raw_매출!$A$2:$A$155,0),MATCH(EDATE($E150,AP$1-1),Raw_매출!$B$1:$BI$1,0))=0,"",INDEX(Raw_매출!$B$2:$BI$155,MATCH($A150,Raw_매출!$A$2:$A$155,0),MATCH(EDATE($E150,AP$1-1),Raw_매출!$B$1:$BI$1,0))/(INDEX(요약_월별시즈널리티!$F$7:$F$18,MONTH(EDATE($E150,AP$1-1)))/100))),"")</f>
        <v/>
      </c>
      <c r="AQ150" t="str" cm="1">
        <f t="array" ref="AQ150">IFERROR(IF($E150&lt;44348,"",IF(INDEX(Raw_매출!$B$2:$BI$155,MATCH($A150,Raw_매출!$A$2:$A$155,0),MATCH(EDATE($E150,AQ$1-1),Raw_매출!$B$1:$BI$1,0))=0,"",INDEX(Raw_매출!$B$2:$BI$155,MATCH($A150,Raw_매출!$A$2:$A$155,0),MATCH(EDATE($E150,AQ$1-1),Raw_매출!$B$1:$BI$1,0))/(INDEX(요약_월별시즈널리티!$F$7:$F$18,MONTH(EDATE($E150,AQ$1-1)))/100))),"")</f>
        <v/>
      </c>
      <c r="AR150" t="str" cm="1">
        <f t="array" ref="AR150">IFERROR(IF($E150&lt;44348,"",IF(INDEX(Raw_매출!$B$2:$BI$155,MATCH($A150,Raw_매출!$A$2:$A$155,0),MATCH(EDATE($E150,AR$1-1),Raw_매출!$B$1:$BI$1,0))=0,"",INDEX(Raw_매출!$B$2:$BI$155,MATCH($A150,Raw_매출!$A$2:$A$155,0),MATCH(EDATE($E150,AR$1-1),Raw_매출!$B$1:$BI$1,0))/(INDEX(요약_월별시즈널리티!$F$7:$F$18,MONTH(EDATE($E150,AR$1-1)))/100))),"")</f>
        <v/>
      </c>
      <c r="AS150" t="str" cm="1">
        <f t="array" ref="AS150">IFERROR(IF($E150&lt;44348,"",IF(INDEX(Raw_매출!$B$2:$BI$155,MATCH($A150,Raw_매출!$A$2:$A$155,0),MATCH(EDATE($E150,AS$1-1),Raw_매출!$B$1:$BI$1,0))=0,"",INDEX(Raw_매출!$B$2:$BI$155,MATCH($A150,Raw_매출!$A$2:$A$155,0),MATCH(EDATE($E150,AS$1-1),Raw_매출!$B$1:$BI$1,0))/(INDEX(요약_월별시즈널리티!$F$7:$F$18,MONTH(EDATE($E150,AS$1-1)))/100))),"")</f>
        <v/>
      </c>
      <c r="AT150" t="str" cm="1">
        <f t="array" ref="AT150">IFERROR(IF($E150&lt;44348,"",IF(INDEX(Raw_매출!$B$2:$BI$155,MATCH($A150,Raw_매출!$A$2:$A$155,0),MATCH(EDATE($E150,AT$1-1),Raw_매출!$B$1:$BI$1,0))=0,"",INDEX(Raw_매출!$B$2:$BI$155,MATCH($A150,Raw_매출!$A$2:$A$155,0),MATCH(EDATE($E150,AT$1-1),Raw_매출!$B$1:$BI$1,0))/(INDEX(요약_월별시즈널리티!$F$7:$F$18,MONTH(EDATE($E150,AT$1-1)))/100))),"")</f>
        <v/>
      </c>
      <c r="AU150" t="str" cm="1">
        <f t="array" ref="AU150">IFERROR(IF($E150&lt;44348,"",IF(INDEX(Raw_매출!$B$2:$BI$155,MATCH($A150,Raw_매출!$A$2:$A$155,0),MATCH(EDATE($E150,AU$1-1),Raw_매출!$B$1:$BI$1,0))=0,"",INDEX(Raw_매출!$B$2:$BI$155,MATCH($A150,Raw_매출!$A$2:$A$155,0),MATCH(EDATE($E150,AU$1-1),Raw_매출!$B$1:$BI$1,0))/(INDEX(요약_월별시즈널리티!$F$7:$F$18,MONTH(EDATE($E150,AU$1-1)))/100))),"")</f>
        <v/>
      </c>
      <c r="AV150" t="str" cm="1">
        <f t="array" ref="AV150">IFERROR(IF($E150&lt;44348,"",IF(INDEX(Raw_매출!$B$2:$BI$155,MATCH($A150,Raw_매출!$A$2:$A$155,0),MATCH(EDATE($E150,AV$1-1),Raw_매출!$B$1:$BI$1,0))=0,"",INDEX(Raw_매출!$B$2:$BI$155,MATCH($A150,Raw_매출!$A$2:$A$155,0),MATCH(EDATE($E150,AV$1-1),Raw_매출!$B$1:$BI$1,0))/(INDEX(요약_월별시즈널리티!$F$7:$F$18,MONTH(EDATE($E150,AV$1-1)))/100))),"")</f>
        <v/>
      </c>
      <c r="AW150" t="str" cm="1">
        <f t="array" ref="AW150">IFERROR(IF($E150&lt;44348,"",IF(INDEX(Raw_매출!$B$2:$BI$155,MATCH($A150,Raw_매출!$A$2:$A$155,0),MATCH(EDATE($E150,AW$1-1),Raw_매출!$B$1:$BI$1,0))=0,"",INDEX(Raw_매출!$B$2:$BI$155,MATCH($A150,Raw_매출!$A$2:$A$155,0),MATCH(EDATE($E150,AW$1-1),Raw_매출!$B$1:$BI$1,0))/(INDEX(요약_월별시즈널리티!$F$7:$F$18,MONTH(EDATE($E150,AW$1-1)))/100))),"")</f>
        <v/>
      </c>
      <c r="AX150" t="str" cm="1">
        <f t="array" ref="AX150">IFERROR(IF($E150&lt;44348,"",IF(INDEX(Raw_매출!$B$2:$BI$155,MATCH($A150,Raw_매출!$A$2:$A$155,0),MATCH(EDATE($E150,AX$1-1),Raw_매출!$B$1:$BI$1,0))=0,"",INDEX(Raw_매출!$B$2:$BI$155,MATCH($A150,Raw_매출!$A$2:$A$155,0),MATCH(EDATE($E150,AX$1-1),Raw_매출!$B$1:$BI$1,0))/(INDEX(요약_월별시즈널리티!$F$7:$F$18,MONTH(EDATE($E150,AX$1-1)))/100))),"")</f>
        <v/>
      </c>
      <c r="AY150" t="str" cm="1">
        <f t="array" ref="AY150">IFERROR(IF($E150&lt;44348,"",IF(INDEX(Raw_매출!$B$2:$BI$155,MATCH($A150,Raw_매출!$A$2:$A$155,0),MATCH(EDATE($E150,AY$1-1),Raw_매출!$B$1:$BI$1,0))=0,"",INDEX(Raw_매출!$B$2:$BI$155,MATCH($A150,Raw_매출!$A$2:$A$155,0),MATCH(EDATE($E150,AY$1-1),Raw_매출!$B$1:$BI$1,0))/(INDEX(요약_월별시즈널리티!$F$7:$F$18,MONTH(EDATE($E150,AY$1-1)))/100))),"")</f>
        <v/>
      </c>
      <c r="AZ150" t="str" cm="1">
        <f t="array" ref="AZ150">IFERROR(IF($E150&lt;44348,"",IF(INDEX(Raw_매출!$B$2:$BI$155,MATCH($A150,Raw_매출!$A$2:$A$155,0),MATCH(EDATE($E150,AZ$1-1),Raw_매출!$B$1:$BI$1,0))=0,"",INDEX(Raw_매출!$B$2:$BI$155,MATCH($A150,Raw_매출!$A$2:$A$155,0),MATCH(EDATE($E150,AZ$1-1),Raw_매출!$B$1:$BI$1,0))/(INDEX(요약_월별시즈널리티!$F$7:$F$18,MONTH(EDATE($E150,AZ$1-1)))/100))),"")</f>
        <v/>
      </c>
      <c r="BA150" t="str" cm="1">
        <f t="array" ref="BA150">IFERROR(IF($E150&lt;44348,"",IF(INDEX(Raw_매출!$B$2:$BI$155,MATCH($A150,Raw_매출!$A$2:$A$155,0),MATCH(EDATE($E150,BA$1-1),Raw_매출!$B$1:$BI$1,0))=0,"",INDEX(Raw_매출!$B$2:$BI$155,MATCH($A150,Raw_매출!$A$2:$A$155,0),MATCH(EDATE($E150,BA$1-1),Raw_매출!$B$1:$BI$1,0))/(INDEX(요약_월별시즈널리티!$F$7:$F$18,MONTH(EDATE($E150,BA$1-1)))/100))),"")</f>
        <v/>
      </c>
      <c r="BB150" t="str" cm="1">
        <f t="array" ref="BB150">IFERROR(IF($E150&lt;44348,"",IF(INDEX(Raw_매출!$B$2:$BI$155,MATCH($A150,Raw_매출!$A$2:$A$155,0),MATCH(EDATE($E150,BB$1-1),Raw_매출!$B$1:$BI$1,0))=0,"",INDEX(Raw_매출!$B$2:$BI$155,MATCH($A150,Raw_매출!$A$2:$A$155,0),MATCH(EDATE($E150,BB$1-1),Raw_매출!$B$1:$BI$1,0))/(INDEX(요약_월별시즈널리티!$F$7:$F$18,MONTH(EDATE($E150,BB$1-1)))/100))),"")</f>
        <v/>
      </c>
      <c r="BC150" t="str" cm="1">
        <f t="array" ref="BC150">IFERROR(IF($E150&lt;44348,"",IF(INDEX(Raw_매출!$B$2:$BI$155,MATCH($A150,Raw_매출!$A$2:$A$155,0),MATCH(EDATE($E150,BC$1-1),Raw_매출!$B$1:$BI$1,0))=0,"",INDEX(Raw_매출!$B$2:$BI$155,MATCH($A150,Raw_매출!$A$2:$A$155,0),MATCH(EDATE($E150,BC$1-1),Raw_매출!$B$1:$BI$1,0))/(INDEX(요약_월별시즈널리티!$F$7:$F$18,MONTH(EDATE($E150,BC$1-1)))/100))),"")</f>
        <v/>
      </c>
      <c r="BD150" t="str" cm="1">
        <f t="array" ref="BD150">IFERROR(IF($E150&lt;44348,"",IF(INDEX(Raw_매출!$B$2:$BI$155,MATCH($A150,Raw_매출!$A$2:$A$155,0),MATCH(EDATE($E150,BD$1-1),Raw_매출!$B$1:$BI$1,0))=0,"",INDEX(Raw_매출!$B$2:$BI$155,MATCH($A150,Raw_매출!$A$2:$A$155,0),MATCH(EDATE($E150,BD$1-1),Raw_매출!$B$1:$BI$1,0))/(INDEX(요약_월별시즈널리티!$F$7:$F$18,MONTH(EDATE($E150,BD$1-1)))/100))),"")</f>
        <v/>
      </c>
      <c r="BE150" t="str" cm="1">
        <f t="array" ref="BE150">IFERROR(IF($E150&lt;44348,"",IF(INDEX(Raw_매출!$B$2:$BI$155,MATCH($A150,Raw_매출!$A$2:$A$155,0),MATCH(EDATE($E150,BE$1-1),Raw_매출!$B$1:$BI$1,0))=0,"",INDEX(Raw_매출!$B$2:$BI$155,MATCH($A150,Raw_매출!$A$2:$A$155,0),MATCH(EDATE($E150,BE$1-1),Raw_매출!$B$1:$BI$1,0))/(INDEX(요약_월별시즈널리티!$F$7:$F$18,MONTH(EDATE($E150,BE$1-1)))/100))),"")</f>
        <v/>
      </c>
      <c r="BF150" t="str" cm="1">
        <f t="array" ref="BF150">IFERROR(IF($E150&lt;44348,"",IF(INDEX(Raw_매출!$B$2:$BI$155,MATCH($A150,Raw_매출!$A$2:$A$155,0),MATCH(EDATE($E150,BF$1-1),Raw_매출!$B$1:$BI$1,0))=0,"",INDEX(Raw_매출!$B$2:$BI$155,MATCH($A150,Raw_매출!$A$2:$A$155,0),MATCH(EDATE($E150,BF$1-1),Raw_매출!$B$1:$BI$1,0))/(INDEX(요약_월별시즈널리티!$F$7:$F$18,MONTH(EDATE($E150,BF$1-1)))/100))),"")</f>
        <v/>
      </c>
      <c r="BG150" t="str" cm="1">
        <f t="array" ref="BG150">IFERROR(IF($E150&lt;44348,"",IF(INDEX(Raw_매출!$B$2:$BI$155,MATCH($A150,Raw_매출!$A$2:$A$155,0),MATCH(EDATE($E150,BG$1-1),Raw_매출!$B$1:$BI$1,0))=0,"",INDEX(Raw_매출!$B$2:$BI$155,MATCH($A150,Raw_매출!$A$2:$A$155,0),MATCH(EDATE($E150,BG$1-1),Raw_매출!$B$1:$BI$1,0))/(INDEX(요약_월별시즈널리티!$F$7:$F$18,MONTH(EDATE($E150,BG$1-1)))/100))),"")</f>
        <v/>
      </c>
      <c r="BH150" t="str" cm="1">
        <f t="array" ref="BH150">IFERROR(IF($E150&lt;44348,"",IF(INDEX(Raw_매출!$B$2:$BI$155,MATCH($A150,Raw_매출!$A$2:$A$155,0),MATCH(EDATE($E150,BH$1-1),Raw_매출!$B$1:$BI$1,0))=0,"",INDEX(Raw_매출!$B$2:$BI$155,MATCH($A150,Raw_매출!$A$2:$A$155,0),MATCH(EDATE($E150,BH$1-1),Raw_매출!$B$1:$BI$1,0))/(INDEX(요약_월별시즈널리티!$F$7:$F$18,MONTH(EDATE($E150,BH$1-1)))/100))),"")</f>
        <v/>
      </c>
      <c r="BI150" t="str" cm="1">
        <f t="array" ref="BI150">IFERROR(IF($E150&lt;44348,"",IF(INDEX(Raw_매출!$B$2:$BI$155,MATCH($A150,Raw_매출!$A$2:$A$155,0),MATCH(EDATE($E150,BI$1-1),Raw_매출!$B$1:$BI$1,0))=0,"",INDEX(Raw_매출!$B$2:$BI$155,MATCH($A150,Raw_매출!$A$2:$A$155,0),MATCH(EDATE($E150,BI$1-1),Raw_매출!$B$1:$BI$1,0))/(INDEX(요약_월별시즈널리티!$F$7:$F$18,MONTH(EDATE($E150,BI$1-1)))/100))),"")</f>
        <v/>
      </c>
      <c r="BJ150" t="str" cm="1">
        <f t="array" ref="BJ150">IFERROR(IF($E150&lt;44348,"",IF(INDEX(Raw_매출!$B$2:$BI$155,MATCH($A150,Raw_매출!$A$2:$A$155,0),MATCH(EDATE($E150,BJ$1-1),Raw_매출!$B$1:$BI$1,0))=0,"",INDEX(Raw_매출!$B$2:$BI$155,MATCH($A150,Raw_매출!$A$2:$A$155,0),MATCH(EDATE($E150,BJ$1-1),Raw_매출!$B$1:$BI$1,0))/(INDEX(요약_월별시즈널리티!$F$7:$F$18,MONTH(EDATE($E150,BJ$1-1)))/100))),"")</f>
        <v/>
      </c>
      <c r="BK150" t="str" cm="1">
        <f t="array" ref="BK150">IFERROR(IF($E150&lt;44348,"",IF(INDEX(Raw_매출!$B$2:$BI$155,MATCH($A150,Raw_매출!$A$2:$A$155,0),MATCH(EDATE($E150,BK$1-1),Raw_매출!$B$1:$BI$1,0))=0,"",INDEX(Raw_매출!$B$2:$BI$155,MATCH($A150,Raw_매출!$A$2:$A$155,0),MATCH(EDATE($E150,BK$1-1),Raw_매출!$B$1:$BI$1,0))/(INDEX(요약_월별시즈널리티!$F$7:$F$18,MONTH(EDATE($E150,BK$1-1)))/100))),"")</f>
        <v/>
      </c>
      <c r="BL150" t="str" cm="1">
        <f t="array" ref="BL150">IFERROR(IF($E150&lt;44348,"",IF(INDEX(Raw_매출!$B$2:$BI$155,MATCH($A150,Raw_매출!$A$2:$A$155,0),MATCH(EDATE($E150,BL$1-1),Raw_매출!$B$1:$BI$1,0))=0,"",INDEX(Raw_매출!$B$2:$BI$155,MATCH($A150,Raw_매출!$A$2:$A$155,0),MATCH(EDATE($E150,BL$1-1),Raw_매출!$B$1:$BI$1,0))/(INDEX(요약_월별시즈널리티!$F$7:$F$18,MONTH(EDATE($E150,BL$1-1)))/100))),"")</f>
        <v/>
      </c>
      <c r="BM150" t="str" cm="1">
        <f t="array" ref="BM150">IFERROR(IF($E150&lt;44348,"",IF(INDEX(Raw_매출!$B$2:$BI$155,MATCH($A150,Raw_매출!$A$2:$A$155,0),MATCH(EDATE($E150,BM$1-1),Raw_매출!$B$1:$BI$1,0))=0,"",INDEX(Raw_매출!$B$2:$BI$155,MATCH($A150,Raw_매출!$A$2:$A$155,0),MATCH(EDATE($E150,BM$1-1),Raw_매출!$B$1:$BI$1,0))/(INDEX(요약_월별시즈널리티!$F$7:$F$18,MONTH(EDATE($E150,BM$1-1)))/100))),"")</f>
        <v/>
      </c>
      <c r="BN150" t="str" cm="1">
        <f t="array" ref="BN150">IFERROR(IF($E150&lt;44348,"",IF(INDEX(Raw_매출!$B$2:$BI$155,MATCH($A150,Raw_매출!$A$2:$A$155,0),MATCH(EDATE($E150,BN$1-1),Raw_매출!$B$1:$BI$1,0))=0,"",INDEX(Raw_매출!$B$2:$BI$155,MATCH($A150,Raw_매출!$A$2:$A$155,0),MATCH(EDATE($E150,BN$1-1),Raw_매출!$B$1:$BI$1,0))/(INDEX(요약_월별시즈널리티!$F$7:$F$18,MONTH(EDATE($E150,BN$1-1)))/100))),"")</f>
        <v/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8BDE-5AFF-44F0-A225-6AE1ECE4BFED}">
  <dimension ref="A1:BN150"/>
  <sheetViews>
    <sheetView workbookViewId="0">
      <selection activeCell="G11" sqref="G11"/>
    </sheetView>
  </sheetViews>
  <sheetFormatPr defaultRowHeight="14.5" x14ac:dyDescent="0.4"/>
  <cols>
    <col min="3" max="3" width="9.09765625" customWidth="1"/>
    <col min="5" max="5" width="12.3984375" style="1" bestFit="1" customWidth="1"/>
    <col min="6" max="6" width="11.69921875" bestFit="1" customWidth="1"/>
  </cols>
  <sheetData>
    <row r="1" spans="1:66" x14ac:dyDescent="0.4">
      <c r="A1" t="s">
        <v>0</v>
      </c>
      <c r="B1" t="s">
        <v>160</v>
      </c>
      <c r="C1" t="s">
        <v>185</v>
      </c>
      <c r="D1" t="s">
        <v>186</v>
      </c>
      <c r="E1" s="1" t="s">
        <v>165</v>
      </c>
      <c r="F1" t="s">
        <v>187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4">
      <c r="A2" t="str">
        <f>Calc_오픈정렬!A2</f>
        <v>(0001) 건대점</v>
      </c>
      <c r="B2" t="str">
        <f>Calc_오픈정렬!B2</f>
        <v>150-1</v>
      </c>
      <c r="C2">
        <f>Calc_오픈정렬!C2</f>
        <v>1</v>
      </c>
      <c r="D2" t="str">
        <f>Calc_오픈정렬!D2</f>
        <v>1</v>
      </c>
      <c r="E2" s="1">
        <f>Calc_오픈정렬!E2</f>
        <v>42309</v>
      </c>
      <c r="F2" t="str">
        <f>Calc_오픈정렬!F2</f>
        <v/>
      </c>
      <c r="G2" t="str">
        <f>IF(OR(Calc_오픈정렬!$F2="",Calc_오픈정렬!G2=""),"",Calc_오픈정렬!G2/Calc_오픈정렬!$F2*100)</f>
        <v/>
      </c>
      <c r="H2" t="str">
        <f>IF(OR(Calc_오픈정렬!$F2="",Calc_오픈정렬!H2=""),"",Calc_오픈정렬!H2/Calc_오픈정렬!$F2*100)</f>
        <v/>
      </c>
      <c r="I2" t="str">
        <f>IF(OR(Calc_오픈정렬!$F2="",Calc_오픈정렬!I2=""),"",Calc_오픈정렬!I2/Calc_오픈정렬!$F2*100)</f>
        <v/>
      </c>
      <c r="J2" t="str">
        <f>IF(OR(Calc_오픈정렬!$F2="",Calc_오픈정렬!J2=""),"",Calc_오픈정렬!J2/Calc_오픈정렬!$F2*100)</f>
        <v/>
      </c>
      <c r="K2" t="str">
        <f>IF(OR(Calc_오픈정렬!$F2="",Calc_오픈정렬!K2=""),"",Calc_오픈정렬!K2/Calc_오픈정렬!$F2*100)</f>
        <v/>
      </c>
      <c r="L2" t="str">
        <f>IF(OR(Calc_오픈정렬!$F2="",Calc_오픈정렬!L2=""),"",Calc_오픈정렬!L2/Calc_오픈정렬!$F2*100)</f>
        <v/>
      </c>
      <c r="M2" t="str">
        <f>IF(OR(Calc_오픈정렬!$F2="",Calc_오픈정렬!M2=""),"",Calc_오픈정렬!M2/Calc_오픈정렬!$F2*100)</f>
        <v/>
      </c>
      <c r="N2" t="str">
        <f>IF(OR(Calc_오픈정렬!$F2="",Calc_오픈정렬!N2=""),"",Calc_오픈정렬!N2/Calc_오픈정렬!$F2*100)</f>
        <v/>
      </c>
      <c r="O2" t="str">
        <f>IF(OR(Calc_오픈정렬!$F2="",Calc_오픈정렬!O2=""),"",Calc_오픈정렬!O2/Calc_오픈정렬!$F2*100)</f>
        <v/>
      </c>
      <c r="P2" t="str">
        <f>IF(OR(Calc_오픈정렬!$F2="",Calc_오픈정렬!P2=""),"",Calc_오픈정렬!P2/Calc_오픈정렬!$F2*100)</f>
        <v/>
      </c>
      <c r="Q2" t="str">
        <f>IF(OR(Calc_오픈정렬!$F2="",Calc_오픈정렬!Q2=""),"",Calc_오픈정렬!Q2/Calc_오픈정렬!$F2*100)</f>
        <v/>
      </c>
      <c r="R2" t="str">
        <f>IF(OR(Calc_오픈정렬!$F2="",Calc_오픈정렬!R2=""),"",Calc_오픈정렬!R2/Calc_오픈정렬!$F2*100)</f>
        <v/>
      </c>
      <c r="S2" t="str">
        <f>IF(OR(Calc_오픈정렬!$F2="",Calc_오픈정렬!S2=""),"",Calc_오픈정렬!S2/Calc_오픈정렬!$F2*100)</f>
        <v/>
      </c>
      <c r="T2" t="str">
        <f>IF(OR(Calc_오픈정렬!$F2="",Calc_오픈정렬!T2=""),"",Calc_오픈정렬!T2/Calc_오픈정렬!$F2*100)</f>
        <v/>
      </c>
      <c r="U2" t="str">
        <f>IF(OR(Calc_오픈정렬!$F2="",Calc_오픈정렬!U2=""),"",Calc_오픈정렬!U2/Calc_오픈정렬!$F2*100)</f>
        <v/>
      </c>
      <c r="V2" t="str">
        <f>IF(OR(Calc_오픈정렬!$F2="",Calc_오픈정렬!V2=""),"",Calc_오픈정렬!V2/Calc_오픈정렬!$F2*100)</f>
        <v/>
      </c>
      <c r="W2" t="str">
        <f>IF(OR(Calc_오픈정렬!$F2="",Calc_오픈정렬!W2=""),"",Calc_오픈정렬!W2/Calc_오픈정렬!$F2*100)</f>
        <v/>
      </c>
      <c r="X2" t="str">
        <f>IF(OR(Calc_오픈정렬!$F2="",Calc_오픈정렬!X2=""),"",Calc_오픈정렬!X2/Calc_오픈정렬!$F2*100)</f>
        <v/>
      </c>
      <c r="Y2" t="str">
        <f>IF(OR(Calc_오픈정렬!$F2="",Calc_오픈정렬!Y2=""),"",Calc_오픈정렬!Y2/Calc_오픈정렬!$F2*100)</f>
        <v/>
      </c>
      <c r="Z2" t="str">
        <f>IF(OR(Calc_오픈정렬!$F2="",Calc_오픈정렬!Z2=""),"",Calc_오픈정렬!Z2/Calc_오픈정렬!$F2*100)</f>
        <v/>
      </c>
      <c r="AA2" t="str">
        <f>IF(OR(Calc_오픈정렬!$F2="",Calc_오픈정렬!AA2=""),"",Calc_오픈정렬!AA2/Calc_오픈정렬!$F2*100)</f>
        <v/>
      </c>
      <c r="AB2" t="str">
        <f>IF(OR(Calc_오픈정렬!$F2="",Calc_오픈정렬!AB2=""),"",Calc_오픈정렬!AB2/Calc_오픈정렬!$F2*100)</f>
        <v/>
      </c>
      <c r="AC2" t="str">
        <f>IF(OR(Calc_오픈정렬!$F2="",Calc_오픈정렬!AC2=""),"",Calc_오픈정렬!AC2/Calc_오픈정렬!$F2*100)</f>
        <v/>
      </c>
      <c r="AD2" t="str">
        <f>IF(OR(Calc_오픈정렬!$F2="",Calc_오픈정렬!AD2=""),"",Calc_오픈정렬!AD2/Calc_오픈정렬!$F2*100)</f>
        <v/>
      </c>
      <c r="AE2" t="str">
        <f>IF(OR(Calc_오픈정렬!$F2="",Calc_오픈정렬!AE2=""),"",Calc_오픈정렬!AE2/Calc_오픈정렬!$F2*100)</f>
        <v/>
      </c>
      <c r="AF2" t="str">
        <f>IF(OR(Calc_오픈정렬!$F2="",Calc_오픈정렬!AF2=""),"",Calc_오픈정렬!AF2/Calc_오픈정렬!$F2*100)</f>
        <v/>
      </c>
      <c r="AG2" t="str">
        <f>IF(OR(Calc_오픈정렬!$F2="",Calc_오픈정렬!AG2=""),"",Calc_오픈정렬!AG2/Calc_오픈정렬!$F2*100)</f>
        <v/>
      </c>
      <c r="AH2" t="str">
        <f>IF(OR(Calc_오픈정렬!$F2="",Calc_오픈정렬!AH2=""),"",Calc_오픈정렬!AH2/Calc_오픈정렬!$F2*100)</f>
        <v/>
      </c>
      <c r="AI2" t="str">
        <f>IF(OR(Calc_오픈정렬!$F2="",Calc_오픈정렬!AI2=""),"",Calc_오픈정렬!AI2/Calc_오픈정렬!$F2*100)</f>
        <v/>
      </c>
      <c r="AJ2" t="str">
        <f>IF(OR(Calc_오픈정렬!$F2="",Calc_오픈정렬!AJ2=""),"",Calc_오픈정렬!AJ2/Calc_오픈정렬!$F2*100)</f>
        <v/>
      </c>
      <c r="AK2" t="str">
        <f>IF(OR(Calc_오픈정렬!$F2="",Calc_오픈정렬!AK2=""),"",Calc_오픈정렬!AK2/Calc_오픈정렬!$F2*100)</f>
        <v/>
      </c>
      <c r="AL2" t="str">
        <f>IF(OR(Calc_오픈정렬!$F2="",Calc_오픈정렬!AL2=""),"",Calc_오픈정렬!AL2/Calc_오픈정렬!$F2*100)</f>
        <v/>
      </c>
      <c r="AM2" t="str">
        <f>IF(OR(Calc_오픈정렬!$F2="",Calc_오픈정렬!AM2=""),"",Calc_오픈정렬!AM2/Calc_오픈정렬!$F2*100)</f>
        <v/>
      </c>
      <c r="AN2" t="str">
        <f>IF(OR(Calc_오픈정렬!$F2="",Calc_오픈정렬!AN2=""),"",Calc_오픈정렬!AN2/Calc_오픈정렬!$F2*100)</f>
        <v/>
      </c>
      <c r="AO2" t="str">
        <f>IF(OR(Calc_오픈정렬!$F2="",Calc_오픈정렬!AO2=""),"",Calc_오픈정렬!AO2/Calc_오픈정렬!$F2*100)</f>
        <v/>
      </c>
      <c r="AP2" t="str">
        <f>IF(OR(Calc_오픈정렬!$F2="",Calc_오픈정렬!AP2=""),"",Calc_오픈정렬!AP2/Calc_오픈정렬!$F2*100)</f>
        <v/>
      </c>
      <c r="AQ2" t="str">
        <f>IF(OR(Calc_오픈정렬!$F2="",Calc_오픈정렬!AQ2=""),"",Calc_오픈정렬!AQ2/Calc_오픈정렬!$F2*100)</f>
        <v/>
      </c>
      <c r="AR2" t="str">
        <f>IF(OR(Calc_오픈정렬!$F2="",Calc_오픈정렬!AR2=""),"",Calc_오픈정렬!AR2/Calc_오픈정렬!$F2*100)</f>
        <v/>
      </c>
      <c r="AS2" t="str">
        <f>IF(OR(Calc_오픈정렬!$F2="",Calc_오픈정렬!AS2=""),"",Calc_오픈정렬!AS2/Calc_오픈정렬!$F2*100)</f>
        <v/>
      </c>
      <c r="AT2" t="str">
        <f>IF(OR(Calc_오픈정렬!$F2="",Calc_오픈정렬!AT2=""),"",Calc_오픈정렬!AT2/Calc_오픈정렬!$F2*100)</f>
        <v/>
      </c>
      <c r="AU2" t="str">
        <f>IF(OR(Calc_오픈정렬!$F2="",Calc_오픈정렬!AU2=""),"",Calc_오픈정렬!AU2/Calc_오픈정렬!$F2*100)</f>
        <v/>
      </c>
      <c r="AV2" t="str">
        <f>IF(OR(Calc_오픈정렬!$F2="",Calc_오픈정렬!AV2=""),"",Calc_오픈정렬!AV2/Calc_오픈정렬!$F2*100)</f>
        <v/>
      </c>
      <c r="AW2" t="str">
        <f>IF(OR(Calc_오픈정렬!$F2="",Calc_오픈정렬!AW2=""),"",Calc_오픈정렬!AW2/Calc_오픈정렬!$F2*100)</f>
        <v/>
      </c>
      <c r="AX2" t="str">
        <f>IF(OR(Calc_오픈정렬!$F2="",Calc_오픈정렬!AX2=""),"",Calc_오픈정렬!AX2/Calc_오픈정렬!$F2*100)</f>
        <v/>
      </c>
      <c r="AY2" t="str">
        <f>IF(OR(Calc_오픈정렬!$F2="",Calc_오픈정렬!AY2=""),"",Calc_오픈정렬!AY2/Calc_오픈정렬!$F2*100)</f>
        <v/>
      </c>
      <c r="AZ2" t="str">
        <f>IF(OR(Calc_오픈정렬!$F2="",Calc_오픈정렬!AZ2=""),"",Calc_오픈정렬!AZ2/Calc_오픈정렬!$F2*100)</f>
        <v/>
      </c>
      <c r="BA2" t="str">
        <f>IF(OR(Calc_오픈정렬!$F2="",Calc_오픈정렬!BA2=""),"",Calc_오픈정렬!BA2/Calc_오픈정렬!$F2*100)</f>
        <v/>
      </c>
      <c r="BB2" t="str">
        <f>IF(OR(Calc_오픈정렬!$F2="",Calc_오픈정렬!BB2=""),"",Calc_오픈정렬!BB2/Calc_오픈정렬!$F2*100)</f>
        <v/>
      </c>
      <c r="BC2" t="str">
        <f>IF(OR(Calc_오픈정렬!$F2="",Calc_오픈정렬!BC2=""),"",Calc_오픈정렬!BC2/Calc_오픈정렬!$F2*100)</f>
        <v/>
      </c>
      <c r="BD2" t="str">
        <f>IF(OR(Calc_오픈정렬!$F2="",Calc_오픈정렬!BD2=""),"",Calc_오픈정렬!BD2/Calc_오픈정렬!$F2*100)</f>
        <v/>
      </c>
      <c r="BE2" t="str">
        <f>IF(OR(Calc_오픈정렬!$F2="",Calc_오픈정렬!BE2=""),"",Calc_오픈정렬!BE2/Calc_오픈정렬!$F2*100)</f>
        <v/>
      </c>
      <c r="BF2" t="str">
        <f>IF(OR(Calc_오픈정렬!$F2="",Calc_오픈정렬!BF2=""),"",Calc_오픈정렬!BF2/Calc_오픈정렬!$F2*100)</f>
        <v/>
      </c>
      <c r="BG2" t="str">
        <f>IF(OR(Calc_오픈정렬!$F2="",Calc_오픈정렬!BG2=""),"",Calc_오픈정렬!BG2/Calc_오픈정렬!$F2*100)</f>
        <v/>
      </c>
      <c r="BH2" t="str">
        <f>IF(OR(Calc_오픈정렬!$F2="",Calc_오픈정렬!BH2=""),"",Calc_오픈정렬!BH2/Calc_오픈정렬!$F2*100)</f>
        <v/>
      </c>
      <c r="BI2" t="str">
        <f>IF(OR(Calc_오픈정렬!$F2="",Calc_오픈정렬!BI2=""),"",Calc_오픈정렬!BI2/Calc_오픈정렬!$F2*100)</f>
        <v/>
      </c>
      <c r="BJ2" t="str">
        <f>IF(OR(Calc_오픈정렬!$F2="",Calc_오픈정렬!BJ2=""),"",Calc_오픈정렬!BJ2/Calc_오픈정렬!$F2*100)</f>
        <v/>
      </c>
      <c r="BK2" t="str">
        <f>IF(OR(Calc_오픈정렬!$F2="",Calc_오픈정렬!BK2=""),"",Calc_오픈정렬!BK2/Calc_오픈정렬!$F2*100)</f>
        <v/>
      </c>
      <c r="BL2" t="str">
        <f>IF(OR(Calc_오픈정렬!$F2="",Calc_오픈정렬!BL2=""),"",Calc_오픈정렬!BL2/Calc_오픈정렬!$F2*100)</f>
        <v/>
      </c>
      <c r="BM2" t="str">
        <f>IF(OR(Calc_오픈정렬!$F2="",Calc_오픈정렬!BM2=""),"",Calc_오픈정렬!BM2/Calc_오픈정렬!$F2*100)</f>
        <v/>
      </c>
      <c r="BN2" t="str">
        <f>IF(OR(Calc_오픈정렬!$F2="",Calc_오픈정렬!BN2=""),"",Calc_오픈정렬!BN2/Calc_오픈정렬!$F2*100)</f>
        <v/>
      </c>
    </row>
    <row r="3" spans="1:66" x14ac:dyDescent="0.4">
      <c r="A3" t="str">
        <f>Calc_오픈정렬!A3</f>
        <v>(0002) 인헌점</v>
      </c>
      <c r="B3" t="str">
        <f>Calc_오픈정렬!B3</f>
        <v>150-1</v>
      </c>
      <c r="C3">
        <f>Calc_오픈정렬!C3</f>
        <v>1</v>
      </c>
      <c r="D3" t="str">
        <f>Calc_오픈정렬!D3</f>
        <v>1</v>
      </c>
      <c r="E3" s="1">
        <f>Calc_오픈정렬!E3</f>
        <v>42461</v>
      </c>
      <c r="F3" t="str">
        <f>Calc_오픈정렬!F3</f>
        <v/>
      </c>
      <c r="G3" t="str">
        <f>IF(OR(Calc_오픈정렬!$F3="",Calc_오픈정렬!G3=""),"",Calc_오픈정렬!G3/Calc_오픈정렬!$F3*100)</f>
        <v/>
      </c>
      <c r="H3" t="str">
        <f>IF(OR(Calc_오픈정렬!$F3="",Calc_오픈정렬!H3=""),"",Calc_오픈정렬!H3/Calc_오픈정렬!$F3*100)</f>
        <v/>
      </c>
      <c r="I3" t="str">
        <f>IF(OR(Calc_오픈정렬!$F3="",Calc_오픈정렬!I3=""),"",Calc_오픈정렬!I3/Calc_오픈정렬!$F3*100)</f>
        <v/>
      </c>
      <c r="J3" t="str">
        <f>IF(OR(Calc_오픈정렬!$F3="",Calc_오픈정렬!J3=""),"",Calc_오픈정렬!J3/Calc_오픈정렬!$F3*100)</f>
        <v/>
      </c>
      <c r="K3" t="str">
        <f>IF(OR(Calc_오픈정렬!$F3="",Calc_오픈정렬!K3=""),"",Calc_오픈정렬!K3/Calc_오픈정렬!$F3*100)</f>
        <v/>
      </c>
      <c r="L3" t="str">
        <f>IF(OR(Calc_오픈정렬!$F3="",Calc_오픈정렬!L3=""),"",Calc_오픈정렬!L3/Calc_오픈정렬!$F3*100)</f>
        <v/>
      </c>
      <c r="M3" t="str">
        <f>IF(OR(Calc_오픈정렬!$F3="",Calc_오픈정렬!M3=""),"",Calc_오픈정렬!M3/Calc_오픈정렬!$F3*100)</f>
        <v/>
      </c>
      <c r="N3" t="str">
        <f>IF(OR(Calc_오픈정렬!$F3="",Calc_오픈정렬!N3=""),"",Calc_오픈정렬!N3/Calc_오픈정렬!$F3*100)</f>
        <v/>
      </c>
      <c r="O3" t="str">
        <f>IF(OR(Calc_오픈정렬!$F3="",Calc_오픈정렬!O3=""),"",Calc_오픈정렬!O3/Calc_오픈정렬!$F3*100)</f>
        <v/>
      </c>
      <c r="P3" t="str">
        <f>IF(OR(Calc_오픈정렬!$F3="",Calc_오픈정렬!P3=""),"",Calc_오픈정렬!P3/Calc_오픈정렬!$F3*100)</f>
        <v/>
      </c>
      <c r="Q3" t="str">
        <f>IF(OR(Calc_오픈정렬!$F3="",Calc_오픈정렬!Q3=""),"",Calc_오픈정렬!Q3/Calc_오픈정렬!$F3*100)</f>
        <v/>
      </c>
      <c r="R3" t="str">
        <f>IF(OR(Calc_오픈정렬!$F3="",Calc_오픈정렬!R3=""),"",Calc_오픈정렬!R3/Calc_오픈정렬!$F3*100)</f>
        <v/>
      </c>
      <c r="S3" t="str">
        <f>IF(OR(Calc_오픈정렬!$F3="",Calc_오픈정렬!S3=""),"",Calc_오픈정렬!S3/Calc_오픈정렬!$F3*100)</f>
        <v/>
      </c>
      <c r="T3" t="str">
        <f>IF(OR(Calc_오픈정렬!$F3="",Calc_오픈정렬!T3=""),"",Calc_오픈정렬!T3/Calc_오픈정렬!$F3*100)</f>
        <v/>
      </c>
      <c r="U3" t="str">
        <f>IF(OR(Calc_오픈정렬!$F3="",Calc_오픈정렬!U3=""),"",Calc_오픈정렬!U3/Calc_오픈정렬!$F3*100)</f>
        <v/>
      </c>
      <c r="V3" t="str">
        <f>IF(OR(Calc_오픈정렬!$F3="",Calc_오픈정렬!V3=""),"",Calc_오픈정렬!V3/Calc_오픈정렬!$F3*100)</f>
        <v/>
      </c>
      <c r="W3" t="str">
        <f>IF(OR(Calc_오픈정렬!$F3="",Calc_오픈정렬!W3=""),"",Calc_오픈정렬!W3/Calc_오픈정렬!$F3*100)</f>
        <v/>
      </c>
      <c r="X3" t="str">
        <f>IF(OR(Calc_오픈정렬!$F3="",Calc_오픈정렬!X3=""),"",Calc_오픈정렬!X3/Calc_오픈정렬!$F3*100)</f>
        <v/>
      </c>
      <c r="Y3" t="str">
        <f>IF(OR(Calc_오픈정렬!$F3="",Calc_오픈정렬!Y3=""),"",Calc_오픈정렬!Y3/Calc_오픈정렬!$F3*100)</f>
        <v/>
      </c>
      <c r="Z3" t="str">
        <f>IF(OR(Calc_오픈정렬!$F3="",Calc_오픈정렬!Z3=""),"",Calc_오픈정렬!Z3/Calc_오픈정렬!$F3*100)</f>
        <v/>
      </c>
      <c r="AA3" t="str">
        <f>IF(OR(Calc_오픈정렬!$F3="",Calc_오픈정렬!AA3=""),"",Calc_오픈정렬!AA3/Calc_오픈정렬!$F3*100)</f>
        <v/>
      </c>
      <c r="AB3" t="str">
        <f>IF(OR(Calc_오픈정렬!$F3="",Calc_오픈정렬!AB3=""),"",Calc_오픈정렬!AB3/Calc_오픈정렬!$F3*100)</f>
        <v/>
      </c>
      <c r="AC3" t="str">
        <f>IF(OR(Calc_오픈정렬!$F3="",Calc_오픈정렬!AC3=""),"",Calc_오픈정렬!AC3/Calc_오픈정렬!$F3*100)</f>
        <v/>
      </c>
      <c r="AD3" t="str">
        <f>IF(OR(Calc_오픈정렬!$F3="",Calc_오픈정렬!AD3=""),"",Calc_오픈정렬!AD3/Calc_오픈정렬!$F3*100)</f>
        <v/>
      </c>
      <c r="AE3" t="str">
        <f>IF(OR(Calc_오픈정렬!$F3="",Calc_오픈정렬!AE3=""),"",Calc_오픈정렬!AE3/Calc_오픈정렬!$F3*100)</f>
        <v/>
      </c>
      <c r="AF3" t="str">
        <f>IF(OR(Calc_오픈정렬!$F3="",Calc_오픈정렬!AF3=""),"",Calc_오픈정렬!AF3/Calc_오픈정렬!$F3*100)</f>
        <v/>
      </c>
      <c r="AG3" t="str">
        <f>IF(OR(Calc_오픈정렬!$F3="",Calc_오픈정렬!AG3=""),"",Calc_오픈정렬!AG3/Calc_오픈정렬!$F3*100)</f>
        <v/>
      </c>
      <c r="AH3" t="str">
        <f>IF(OR(Calc_오픈정렬!$F3="",Calc_오픈정렬!AH3=""),"",Calc_오픈정렬!AH3/Calc_오픈정렬!$F3*100)</f>
        <v/>
      </c>
      <c r="AI3" t="str">
        <f>IF(OR(Calc_오픈정렬!$F3="",Calc_오픈정렬!AI3=""),"",Calc_오픈정렬!AI3/Calc_오픈정렬!$F3*100)</f>
        <v/>
      </c>
      <c r="AJ3" t="str">
        <f>IF(OR(Calc_오픈정렬!$F3="",Calc_오픈정렬!AJ3=""),"",Calc_오픈정렬!AJ3/Calc_오픈정렬!$F3*100)</f>
        <v/>
      </c>
      <c r="AK3" t="str">
        <f>IF(OR(Calc_오픈정렬!$F3="",Calc_오픈정렬!AK3=""),"",Calc_오픈정렬!AK3/Calc_오픈정렬!$F3*100)</f>
        <v/>
      </c>
      <c r="AL3" t="str">
        <f>IF(OR(Calc_오픈정렬!$F3="",Calc_오픈정렬!AL3=""),"",Calc_오픈정렬!AL3/Calc_오픈정렬!$F3*100)</f>
        <v/>
      </c>
      <c r="AM3" t="str">
        <f>IF(OR(Calc_오픈정렬!$F3="",Calc_오픈정렬!AM3=""),"",Calc_오픈정렬!AM3/Calc_오픈정렬!$F3*100)</f>
        <v/>
      </c>
      <c r="AN3" t="str">
        <f>IF(OR(Calc_오픈정렬!$F3="",Calc_오픈정렬!AN3=""),"",Calc_오픈정렬!AN3/Calc_오픈정렬!$F3*100)</f>
        <v/>
      </c>
      <c r="AO3" t="str">
        <f>IF(OR(Calc_오픈정렬!$F3="",Calc_오픈정렬!AO3=""),"",Calc_오픈정렬!AO3/Calc_오픈정렬!$F3*100)</f>
        <v/>
      </c>
      <c r="AP3" t="str">
        <f>IF(OR(Calc_오픈정렬!$F3="",Calc_오픈정렬!AP3=""),"",Calc_오픈정렬!AP3/Calc_오픈정렬!$F3*100)</f>
        <v/>
      </c>
      <c r="AQ3" t="str">
        <f>IF(OR(Calc_오픈정렬!$F3="",Calc_오픈정렬!AQ3=""),"",Calc_오픈정렬!AQ3/Calc_오픈정렬!$F3*100)</f>
        <v/>
      </c>
      <c r="AR3" t="str">
        <f>IF(OR(Calc_오픈정렬!$F3="",Calc_오픈정렬!AR3=""),"",Calc_오픈정렬!AR3/Calc_오픈정렬!$F3*100)</f>
        <v/>
      </c>
      <c r="AS3" t="str">
        <f>IF(OR(Calc_오픈정렬!$F3="",Calc_오픈정렬!AS3=""),"",Calc_오픈정렬!AS3/Calc_오픈정렬!$F3*100)</f>
        <v/>
      </c>
      <c r="AT3" t="str">
        <f>IF(OR(Calc_오픈정렬!$F3="",Calc_오픈정렬!AT3=""),"",Calc_오픈정렬!AT3/Calc_오픈정렬!$F3*100)</f>
        <v/>
      </c>
      <c r="AU3" t="str">
        <f>IF(OR(Calc_오픈정렬!$F3="",Calc_오픈정렬!AU3=""),"",Calc_오픈정렬!AU3/Calc_오픈정렬!$F3*100)</f>
        <v/>
      </c>
      <c r="AV3" t="str">
        <f>IF(OR(Calc_오픈정렬!$F3="",Calc_오픈정렬!AV3=""),"",Calc_오픈정렬!AV3/Calc_오픈정렬!$F3*100)</f>
        <v/>
      </c>
      <c r="AW3" t="str">
        <f>IF(OR(Calc_오픈정렬!$F3="",Calc_오픈정렬!AW3=""),"",Calc_오픈정렬!AW3/Calc_오픈정렬!$F3*100)</f>
        <v/>
      </c>
      <c r="AX3" t="str">
        <f>IF(OR(Calc_오픈정렬!$F3="",Calc_오픈정렬!AX3=""),"",Calc_오픈정렬!AX3/Calc_오픈정렬!$F3*100)</f>
        <v/>
      </c>
      <c r="AY3" t="str">
        <f>IF(OR(Calc_오픈정렬!$F3="",Calc_오픈정렬!AY3=""),"",Calc_오픈정렬!AY3/Calc_오픈정렬!$F3*100)</f>
        <v/>
      </c>
      <c r="AZ3" t="str">
        <f>IF(OR(Calc_오픈정렬!$F3="",Calc_오픈정렬!AZ3=""),"",Calc_오픈정렬!AZ3/Calc_오픈정렬!$F3*100)</f>
        <v/>
      </c>
      <c r="BA3" t="str">
        <f>IF(OR(Calc_오픈정렬!$F3="",Calc_오픈정렬!BA3=""),"",Calc_오픈정렬!BA3/Calc_오픈정렬!$F3*100)</f>
        <v/>
      </c>
      <c r="BB3" t="str">
        <f>IF(OR(Calc_오픈정렬!$F3="",Calc_오픈정렬!BB3=""),"",Calc_오픈정렬!BB3/Calc_오픈정렬!$F3*100)</f>
        <v/>
      </c>
      <c r="BC3" t="str">
        <f>IF(OR(Calc_오픈정렬!$F3="",Calc_오픈정렬!BC3=""),"",Calc_오픈정렬!BC3/Calc_오픈정렬!$F3*100)</f>
        <v/>
      </c>
      <c r="BD3" t="str">
        <f>IF(OR(Calc_오픈정렬!$F3="",Calc_오픈정렬!BD3=""),"",Calc_오픈정렬!BD3/Calc_오픈정렬!$F3*100)</f>
        <v/>
      </c>
      <c r="BE3" t="str">
        <f>IF(OR(Calc_오픈정렬!$F3="",Calc_오픈정렬!BE3=""),"",Calc_오픈정렬!BE3/Calc_오픈정렬!$F3*100)</f>
        <v/>
      </c>
      <c r="BF3" t="str">
        <f>IF(OR(Calc_오픈정렬!$F3="",Calc_오픈정렬!BF3=""),"",Calc_오픈정렬!BF3/Calc_오픈정렬!$F3*100)</f>
        <v/>
      </c>
      <c r="BG3" t="str">
        <f>IF(OR(Calc_오픈정렬!$F3="",Calc_오픈정렬!BG3=""),"",Calc_오픈정렬!BG3/Calc_오픈정렬!$F3*100)</f>
        <v/>
      </c>
      <c r="BH3" t="str">
        <f>IF(OR(Calc_오픈정렬!$F3="",Calc_오픈정렬!BH3=""),"",Calc_오픈정렬!BH3/Calc_오픈정렬!$F3*100)</f>
        <v/>
      </c>
      <c r="BI3" t="str">
        <f>IF(OR(Calc_오픈정렬!$F3="",Calc_오픈정렬!BI3=""),"",Calc_오픈정렬!BI3/Calc_오픈정렬!$F3*100)</f>
        <v/>
      </c>
      <c r="BJ3" t="str">
        <f>IF(OR(Calc_오픈정렬!$F3="",Calc_오픈정렬!BJ3=""),"",Calc_오픈정렬!BJ3/Calc_오픈정렬!$F3*100)</f>
        <v/>
      </c>
      <c r="BK3" t="str">
        <f>IF(OR(Calc_오픈정렬!$F3="",Calc_오픈정렬!BK3=""),"",Calc_오픈정렬!BK3/Calc_오픈정렬!$F3*100)</f>
        <v/>
      </c>
      <c r="BL3" t="str">
        <f>IF(OR(Calc_오픈정렬!$F3="",Calc_오픈정렬!BL3=""),"",Calc_오픈정렬!BL3/Calc_오픈정렬!$F3*100)</f>
        <v/>
      </c>
      <c r="BM3" t="str">
        <f>IF(OR(Calc_오픈정렬!$F3="",Calc_오픈정렬!BM3=""),"",Calc_오픈정렬!BM3/Calc_오픈정렬!$F3*100)</f>
        <v/>
      </c>
      <c r="BN3" t="str">
        <f>IF(OR(Calc_오픈정렬!$F3="",Calc_오픈정렬!BN3=""),"",Calc_오픈정렬!BN3/Calc_오픈정렬!$F3*100)</f>
        <v/>
      </c>
    </row>
    <row r="4" spans="1:66" x14ac:dyDescent="0.4">
      <c r="A4" t="str">
        <f>Calc_오픈정렬!A4</f>
        <v>(0003) 구디점</v>
      </c>
      <c r="B4" t="str">
        <f>Calc_오픈정렬!B4</f>
        <v>150-3</v>
      </c>
      <c r="C4">
        <f>Calc_오픈정렬!C4</f>
        <v>3</v>
      </c>
      <c r="D4" t="str">
        <f>Calc_오픈정렬!D4</f>
        <v>3+</v>
      </c>
      <c r="E4" s="1">
        <f>Calc_오픈정렬!E4</f>
        <v>42522</v>
      </c>
      <c r="F4" t="str">
        <f>Calc_오픈정렬!F4</f>
        <v/>
      </c>
      <c r="G4" t="str">
        <f>IF(OR(Calc_오픈정렬!$F4="",Calc_오픈정렬!G4=""),"",Calc_오픈정렬!G4/Calc_오픈정렬!$F4*100)</f>
        <v/>
      </c>
      <c r="H4" t="str">
        <f>IF(OR(Calc_오픈정렬!$F4="",Calc_오픈정렬!H4=""),"",Calc_오픈정렬!H4/Calc_오픈정렬!$F4*100)</f>
        <v/>
      </c>
      <c r="I4" t="str">
        <f>IF(OR(Calc_오픈정렬!$F4="",Calc_오픈정렬!I4=""),"",Calc_오픈정렬!I4/Calc_오픈정렬!$F4*100)</f>
        <v/>
      </c>
      <c r="J4" t="str">
        <f>IF(OR(Calc_오픈정렬!$F4="",Calc_오픈정렬!J4=""),"",Calc_오픈정렬!J4/Calc_오픈정렬!$F4*100)</f>
        <v/>
      </c>
      <c r="K4" t="str">
        <f>IF(OR(Calc_오픈정렬!$F4="",Calc_오픈정렬!K4=""),"",Calc_오픈정렬!K4/Calc_오픈정렬!$F4*100)</f>
        <v/>
      </c>
      <c r="L4" t="str">
        <f>IF(OR(Calc_오픈정렬!$F4="",Calc_오픈정렬!L4=""),"",Calc_오픈정렬!L4/Calc_오픈정렬!$F4*100)</f>
        <v/>
      </c>
      <c r="M4" t="str">
        <f>IF(OR(Calc_오픈정렬!$F4="",Calc_오픈정렬!M4=""),"",Calc_오픈정렬!M4/Calc_오픈정렬!$F4*100)</f>
        <v/>
      </c>
      <c r="N4" t="str">
        <f>IF(OR(Calc_오픈정렬!$F4="",Calc_오픈정렬!N4=""),"",Calc_오픈정렬!N4/Calc_오픈정렬!$F4*100)</f>
        <v/>
      </c>
      <c r="O4" t="str">
        <f>IF(OR(Calc_오픈정렬!$F4="",Calc_오픈정렬!O4=""),"",Calc_오픈정렬!O4/Calc_오픈정렬!$F4*100)</f>
        <v/>
      </c>
      <c r="P4" t="str">
        <f>IF(OR(Calc_오픈정렬!$F4="",Calc_오픈정렬!P4=""),"",Calc_오픈정렬!P4/Calc_오픈정렬!$F4*100)</f>
        <v/>
      </c>
      <c r="Q4" t="str">
        <f>IF(OR(Calc_오픈정렬!$F4="",Calc_오픈정렬!Q4=""),"",Calc_오픈정렬!Q4/Calc_오픈정렬!$F4*100)</f>
        <v/>
      </c>
      <c r="R4" t="str">
        <f>IF(OR(Calc_오픈정렬!$F4="",Calc_오픈정렬!R4=""),"",Calc_오픈정렬!R4/Calc_오픈정렬!$F4*100)</f>
        <v/>
      </c>
      <c r="S4" t="str">
        <f>IF(OR(Calc_오픈정렬!$F4="",Calc_오픈정렬!S4=""),"",Calc_오픈정렬!S4/Calc_오픈정렬!$F4*100)</f>
        <v/>
      </c>
      <c r="T4" t="str">
        <f>IF(OR(Calc_오픈정렬!$F4="",Calc_오픈정렬!T4=""),"",Calc_오픈정렬!T4/Calc_오픈정렬!$F4*100)</f>
        <v/>
      </c>
      <c r="U4" t="str">
        <f>IF(OR(Calc_오픈정렬!$F4="",Calc_오픈정렬!U4=""),"",Calc_오픈정렬!U4/Calc_오픈정렬!$F4*100)</f>
        <v/>
      </c>
      <c r="V4" t="str">
        <f>IF(OR(Calc_오픈정렬!$F4="",Calc_오픈정렬!V4=""),"",Calc_오픈정렬!V4/Calc_오픈정렬!$F4*100)</f>
        <v/>
      </c>
      <c r="W4" t="str">
        <f>IF(OR(Calc_오픈정렬!$F4="",Calc_오픈정렬!W4=""),"",Calc_오픈정렬!W4/Calc_오픈정렬!$F4*100)</f>
        <v/>
      </c>
      <c r="X4" t="str">
        <f>IF(OR(Calc_오픈정렬!$F4="",Calc_오픈정렬!X4=""),"",Calc_오픈정렬!X4/Calc_오픈정렬!$F4*100)</f>
        <v/>
      </c>
      <c r="Y4" t="str">
        <f>IF(OR(Calc_오픈정렬!$F4="",Calc_오픈정렬!Y4=""),"",Calc_오픈정렬!Y4/Calc_오픈정렬!$F4*100)</f>
        <v/>
      </c>
      <c r="Z4" t="str">
        <f>IF(OR(Calc_오픈정렬!$F4="",Calc_오픈정렬!Z4=""),"",Calc_오픈정렬!Z4/Calc_오픈정렬!$F4*100)</f>
        <v/>
      </c>
      <c r="AA4" t="str">
        <f>IF(OR(Calc_오픈정렬!$F4="",Calc_오픈정렬!AA4=""),"",Calc_오픈정렬!AA4/Calc_오픈정렬!$F4*100)</f>
        <v/>
      </c>
      <c r="AB4" t="str">
        <f>IF(OR(Calc_오픈정렬!$F4="",Calc_오픈정렬!AB4=""),"",Calc_오픈정렬!AB4/Calc_오픈정렬!$F4*100)</f>
        <v/>
      </c>
      <c r="AC4" t="str">
        <f>IF(OR(Calc_오픈정렬!$F4="",Calc_오픈정렬!AC4=""),"",Calc_오픈정렬!AC4/Calc_오픈정렬!$F4*100)</f>
        <v/>
      </c>
      <c r="AD4" t="str">
        <f>IF(OR(Calc_오픈정렬!$F4="",Calc_오픈정렬!AD4=""),"",Calc_오픈정렬!AD4/Calc_오픈정렬!$F4*100)</f>
        <v/>
      </c>
      <c r="AE4" t="str">
        <f>IF(OR(Calc_오픈정렬!$F4="",Calc_오픈정렬!AE4=""),"",Calc_오픈정렬!AE4/Calc_오픈정렬!$F4*100)</f>
        <v/>
      </c>
      <c r="AF4" t="str">
        <f>IF(OR(Calc_오픈정렬!$F4="",Calc_오픈정렬!AF4=""),"",Calc_오픈정렬!AF4/Calc_오픈정렬!$F4*100)</f>
        <v/>
      </c>
      <c r="AG4" t="str">
        <f>IF(OR(Calc_오픈정렬!$F4="",Calc_오픈정렬!AG4=""),"",Calc_오픈정렬!AG4/Calc_오픈정렬!$F4*100)</f>
        <v/>
      </c>
      <c r="AH4" t="str">
        <f>IF(OR(Calc_오픈정렬!$F4="",Calc_오픈정렬!AH4=""),"",Calc_오픈정렬!AH4/Calc_오픈정렬!$F4*100)</f>
        <v/>
      </c>
      <c r="AI4" t="str">
        <f>IF(OR(Calc_오픈정렬!$F4="",Calc_오픈정렬!AI4=""),"",Calc_오픈정렬!AI4/Calc_오픈정렬!$F4*100)</f>
        <v/>
      </c>
      <c r="AJ4" t="str">
        <f>IF(OR(Calc_오픈정렬!$F4="",Calc_오픈정렬!AJ4=""),"",Calc_오픈정렬!AJ4/Calc_오픈정렬!$F4*100)</f>
        <v/>
      </c>
      <c r="AK4" t="str">
        <f>IF(OR(Calc_오픈정렬!$F4="",Calc_오픈정렬!AK4=""),"",Calc_오픈정렬!AK4/Calc_오픈정렬!$F4*100)</f>
        <v/>
      </c>
      <c r="AL4" t="str">
        <f>IF(OR(Calc_오픈정렬!$F4="",Calc_오픈정렬!AL4=""),"",Calc_오픈정렬!AL4/Calc_오픈정렬!$F4*100)</f>
        <v/>
      </c>
      <c r="AM4" t="str">
        <f>IF(OR(Calc_오픈정렬!$F4="",Calc_오픈정렬!AM4=""),"",Calc_오픈정렬!AM4/Calc_오픈정렬!$F4*100)</f>
        <v/>
      </c>
      <c r="AN4" t="str">
        <f>IF(OR(Calc_오픈정렬!$F4="",Calc_오픈정렬!AN4=""),"",Calc_오픈정렬!AN4/Calc_오픈정렬!$F4*100)</f>
        <v/>
      </c>
      <c r="AO4" t="str">
        <f>IF(OR(Calc_오픈정렬!$F4="",Calc_오픈정렬!AO4=""),"",Calc_오픈정렬!AO4/Calc_오픈정렬!$F4*100)</f>
        <v/>
      </c>
      <c r="AP4" t="str">
        <f>IF(OR(Calc_오픈정렬!$F4="",Calc_오픈정렬!AP4=""),"",Calc_오픈정렬!AP4/Calc_오픈정렬!$F4*100)</f>
        <v/>
      </c>
      <c r="AQ4" t="str">
        <f>IF(OR(Calc_오픈정렬!$F4="",Calc_오픈정렬!AQ4=""),"",Calc_오픈정렬!AQ4/Calc_오픈정렬!$F4*100)</f>
        <v/>
      </c>
      <c r="AR4" t="str">
        <f>IF(OR(Calc_오픈정렬!$F4="",Calc_오픈정렬!AR4=""),"",Calc_오픈정렬!AR4/Calc_오픈정렬!$F4*100)</f>
        <v/>
      </c>
      <c r="AS4" t="str">
        <f>IF(OR(Calc_오픈정렬!$F4="",Calc_오픈정렬!AS4=""),"",Calc_오픈정렬!AS4/Calc_오픈정렬!$F4*100)</f>
        <v/>
      </c>
      <c r="AT4" t="str">
        <f>IF(OR(Calc_오픈정렬!$F4="",Calc_오픈정렬!AT4=""),"",Calc_오픈정렬!AT4/Calc_오픈정렬!$F4*100)</f>
        <v/>
      </c>
      <c r="AU4" t="str">
        <f>IF(OR(Calc_오픈정렬!$F4="",Calc_오픈정렬!AU4=""),"",Calc_오픈정렬!AU4/Calc_오픈정렬!$F4*100)</f>
        <v/>
      </c>
      <c r="AV4" t="str">
        <f>IF(OR(Calc_오픈정렬!$F4="",Calc_오픈정렬!AV4=""),"",Calc_오픈정렬!AV4/Calc_오픈정렬!$F4*100)</f>
        <v/>
      </c>
      <c r="AW4" t="str">
        <f>IF(OR(Calc_오픈정렬!$F4="",Calc_오픈정렬!AW4=""),"",Calc_오픈정렬!AW4/Calc_오픈정렬!$F4*100)</f>
        <v/>
      </c>
      <c r="AX4" t="str">
        <f>IF(OR(Calc_오픈정렬!$F4="",Calc_오픈정렬!AX4=""),"",Calc_오픈정렬!AX4/Calc_오픈정렬!$F4*100)</f>
        <v/>
      </c>
      <c r="AY4" t="str">
        <f>IF(OR(Calc_오픈정렬!$F4="",Calc_오픈정렬!AY4=""),"",Calc_오픈정렬!AY4/Calc_오픈정렬!$F4*100)</f>
        <v/>
      </c>
      <c r="AZ4" t="str">
        <f>IF(OR(Calc_오픈정렬!$F4="",Calc_오픈정렬!AZ4=""),"",Calc_오픈정렬!AZ4/Calc_오픈정렬!$F4*100)</f>
        <v/>
      </c>
      <c r="BA4" t="str">
        <f>IF(OR(Calc_오픈정렬!$F4="",Calc_오픈정렬!BA4=""),"",Calc_오픈정렬!BA4/Calc_오픈정렬!$F4*100)</f>
        <v/>
      </c>
      <c r="BB4" t="str">
        <f>IF(OR(Calc_오픈정렬!$F4="",Calc_오픈정렬!BB4=""),"",Calc_오픈정렬!BB4/Calc_오픈정렬!$F4*100)</f>
        <v/>
      </c>
      <c r="BC4" t="str">
        <f>IF(OR(Calc_오픈정렬!$F4="",Calc_오픈정렬!BC4=""),"",Calc_오픈정렬!BC4/Calc_오픈정렬!$F4*100)</f>
        <v/>
      </c>
      <c r="BD4" t="str">
        <f>IF(OR(Calc_오픈정렬!$F4="",Calc_오픈정렬!BD4=""),"",Calc_오픈정렬!BD4/Calc_오픈정렬!$F4*100)</f>
        <v/>
      </c>
      <c r="BE4" t="str">
        <f>IF(OR(Calc_오픈정렬!$F4="",Calc_오픈정렬!BE4=""),"",Calc_오픈정렬!BE4/Calc_오픈정렬!$F4*100)</f>
        <v/>
      </c>
      <c r="BF4" t="str">
        <f>IF(OR(Calc_오픈정렬!$F4="",Calc_오픈정렬!BF4=""),"",Calc_오픈정렬!BF4/Calc_오픈정렬!$F4*100)</f>
        <v/>
      </c>
      <c r="BG4" t="str">
        <f>IF(OR(Calc_오픈정렬!$F4="",Calc_오픈정렬!BG4=""),"",Calc_오픈정렬!BG4/Calc_오픈정렬!$F4*100)</f>
        <v/>
      </c>
      <c r="BH4" t="str">
        <f>IF(OR(Calc_오픈정렬!$F4="",Calc_오픈정렬!BH4=""),"",Calc_오픈정렬!BH4/Calc_오픈정렬!$F4*100)</f>
        <v/>
      </c>
      <c r="BI4" t="str">
        <f>IF(OR(Calc_오픈정렬!$F4="",Calc_오픈정렬!BI4=""),"",Calc_오픈정렬!BI4/Calc_오픈정렬!$F4*100)</f>
        <v/>
      </c>
      <c r="BJ4" t="str">
        <f>IF(OR(Calc_오픈정렬!$F4="",Calc_오픈정렬!BJ4=""),"",Calc_오픈정렬!BJ4/Calc_오픈정렬!$F4*100)</f>
        <v/>
      </c>
      <c r="BK4" t="str">
        <f>IF(OR(Calc_오픈정렬!$F4="",Calc_오픈정렬!BK4=""),"",Calc_오픈정렬!BK4/Calc_오픈정렬!$F4*100)</f>
        <v/>
      </c>
      <c r="BL4" t="str">
        <f>IF(OR(Calc_오픈정렬!$F4="",Calc_오픈정렬!BL4=""),"",Calc_오픈정렬!BL4/Calc_오픈정렬!$F4*100)</f>
        <v/>
      </c>
      <c r="BM4" t="str">
        <f>IF(OR(Calc_오픈정렬!$F4="",Calc_오픈정렬!BM4=""),"",Calc_오픈정렬!BM4/Calc_오픈정렬!$F4*100)</f>
        <v/>
      </c>
      <c r="BN4" t="str">
        <f>IF(OR(Calc_오픈정렬!$F4="",Calc_오픈정렬!BN4=""),"",Calc_오픈정렬!BN4/Calc_오픈정렬!$F4*100)</f>
        <v/>
      </c>
    </row>
    <row r="5" spans="1:66" x14ac:dyDescent="0.4">
      <c r="A5" t="str">
        <f>Calc_오픈정렬!A5</f>
        <v>(0004) 신림점</v>
      </c>
      <c r="B5" t="str">
        <f>Calc_오픈정렬!B5</f>
        <v>150-4</v>
      </c>
      <c r="C5">
        <f>Calc_오픈정렬!C5</f>
        <v>4</v>
      </c>
      <c r="D5" t="str">
        <f>Calc_오픈정렬!D5</f>
        <v>3+</v>
      </c>
      <c r="E5" s="1">
        <f>Calc_오픈정렬!E5</f>
        <v>42644</v>
      </c>
      <c r="F5" t="str">
        <f>Calc_오픈정렬!F5</f>
        <v/>
      </c>
      <c r="G5" t="str">
        <f>IF(OR(Calc_오픈정렬!$F5="",Calc_오픈정렬!G5=""),"",Calc_오픈정렬!G5/Calc_오픈정렬!$F5*100)</f>
        <v/>
      </c>
      <c r="H5" t="str">
        <f>IF(OR(Calc_오픈정렬!$F5="",Calc_오픈정렬!H5=""),"",Calc_오픈정렬!H5/Calc_오픈정렬!$F5*100)</f>
        <v/>
      </c>
      <c r="I5" t="str">
        <f>IF(OR(Calc_오픈정렬!$F5="",Calc_오픈정렬!I5=""),"",Calc_오픈정렬!I5/Calc_오픈정렬!$F5*100)</f>
        <v/>
      </c>
      <c r="J5" t="str">
        <f>IF(OR(Calc_오픈정렬!$F5="",Calc_오픈정렬!J5=""),"",Calc_오픈정렬!J5/Calc_오픈정렬!$F5*100)</f>
        <v/>
      </c>
      <c r="K5" t="str">
        <f>IF(OR(Calc_오픈정렬!$F5="",Calc_오픈정렬!K5=""),"",Calc_오픈정렬!K5/Calc_오픈정렬!$F5*100)</f>
        <v/>
      </c>
      <c r="L5" t="str">
        <f>IF(OR(Calc_오픈정렬!$F5="",Calc_오픈정렬!L5=""),"",Calc_오픈정렬!L5/Calc_오픈정렬!$F5*100)</f>
        <v/>
      </c>
      <c r="M5" t="str">
        <f>IF(OR(Calc_오픈정렬!$F5="",Calc_오픈정렬!M5=""),"",Calc_오픈정렬!M5/Calc_오픈정렬!$F5*100)</f>
        <v/>
      </c>
      <c r="N5" t="str">
        <f>IF(OR(Calc_오픈정렬!$F5="",Calc_오픈정렬!N5=""),"",Calc_오픈정렬!N5/Calc_오픈정렬!$F5*100)</f>
        <v/>
      </c>
      <c r="O5" t="str">
        <f>IF(OR(Calc_오픈정렬!$F5="",Calc_오픈정렬!O5=""),"",Calc_오픈정렬!O5/Calc_오픈정렬!$F5*100)</f>
        <v/>
      </c>
      <c r="P5" t="str">
        <f>IF(OR(Calc_오픈정렬!$F5="",Calc_오픈정렬!P5=""),"",Calc_오픈정렬!P5/Calc_오픈정렬!$F5*100)</f>
        <v/>
      </c>
      <c r="Q5" t="str">
        <f>IF(OR(Calc_오픈정렬!$F5="",Calc_오픈정렬!Q5=""),"",Calc_오픈정렬!Q5/Calc_오픈정렬!$F5*100)</f>
        <v/>
      </c>
      <c r="R5" t="str">
        <f>IF(OR(Calc_오픈정렬!$F5="",Calc_오픈정렬!R5=""),"",Calc_오픈정렬!R5/Calc_오픈정렬!$F5*100)</f>
        <v/>
      </c>
      <c r="S5" t="str">
        <f>IF(OR(Calc_오픈정렬!$F5="",Calc_오픈정렬!S5=""),"",Calc_오픈정렬!S5/Calc_오픈정렬!$F5*100)</f>
        <v/>
      </c>
      <c r="T5" t="str">
        <f>IF(OR(Calc_오픈정렬!$F5="",Calc_오픈정렬!T5=""),"",Calc_오픈정렬!T5/Calc_오픈정렬!$F5*100)</f>
        <v/>
      </c>
      <c r="U5" t="str">
        <f>IF(OR(Calc_오픈정렬!$F5="",Calc_오픈정렬!U5=""),"",Calc_오픈정렬!U5/Calc_오픈정렬!$F5*100)</f>
        <v/>
      </c>
      <c r="V5" t="str">
        <f>IF(OR(Calc_오픈정렬!$F5="",Calc_오픈정렬!V5=""),"",Calc_오픈정렬!V5/Calc_오픈정렬!$F5*100)</f>
        <v/>
      </c>
      <c r="W5" t="str">
        <f>IF(OR(Calc_오픈정렬!$F5="",Calc_오픈정렬!W5=""),"",Calc_오픈정렬!W5/Calc_오픈정렬!$F5*100)</f>
        <v/>
      </c>
      <c r="X5" t="str">
        <f>IF(OR(Calc_오픈정렬!$F5="",Calc_오픈정렬!X5=""),"",Calc_오픈정렬!X5/Calc_오픈정렬!$F5*100)</f>
        <v/>
      </c>
      <c r="Y5" t="str">
        <f>IF(OR(Calc_오픈정렬!$F5="",Calc_오픈정렬!Y5=""),"",Calc_오픈정렬!Y5/Calc_오픈정렬!$F5*100)</f>
        <v/>
      </c>
      <c r="Z5" t="str">
        <f>IF(OR(Calc_오픈정렬!$F5="",Calc_오픈정렬!Z5=""),"",Calc_오픈정렬!Z5/Calc_오픈정렬!$F5*100)</f>
        <v/>
      </c>
      <c r="AA5" t="str">
        <f>IF(OR(Calc_오픈정렬!$F5="",Calc_오픈정렬!AA5=""),"",Calc_오픈정렬!AA5/Calc_오픈정렬!$F5*100)</f>
        <v/>
      </c>
      <c r="AB5" t="str">
        <f>IF(OR(Calc_오픈정렬!$F5="",Calc_오픈정렬!AB5=""),"",Calc_오픈정렬!AB5/Calc_오픈정렬!$F5*100)</f>
        <v/>
      </c>
      <c r="AC5" t="str">
        <f>IF(OR(Calc_오픈정렬!$F5="",Calc_오픈정렬!AC5=""),"",Calc_오픈정렬!AC5/Calc_오픈정렬!$F5*100)</f>
        <v/>
      </c>
      <c r="AD5" t="str">
        <f>IF(OR(Calc_오픈정렬!$F5="",Calc_오픈정렬!AD5=""),"",Calc_오픈정렬!AD5/Calc_오픈정렬!$F5*100)</f>
        <v/>
      </c>
      <c r="AE5" t="str">
        <f>IF(OR(Calc_오픈정렬!$F5="",Calc_오픈정렬!AE5=""),"",Calc_오픈정렬!AE5/Calc_오픈정렬!$F5*100)</f>
        <v/>
      </c>
      <c r="AF5" t="str">
        <f>IF(OR(Calc_오픈정렬!$F5="",Calc_오픈정렬!AF5=""),"",Calc_오픈정렬!AF5/Calc_오픈정렬!$F5*100)</f>
        <v/>
      </c>
      <c r="AG5" t="str">
        <f>IF(OR(Calc_오픈정렬!$F5="",Calc_오픈정렬!AG5=""),"",Calc_오픈정렬!AG5/Calc_오픈정렬!$F5*100)</f>
        <v/>
      </c>
      <c r="AH5" t="str">
        <f>IF(OR(Calc_오픈정렬!$F5="",Calc_오픈정렬!AH5=""),"",Calc_오픈정렬!AH5/Calc_오픈정렬!$F5*100)</f>
        <v/>
      </c>
      <c r="AI5" t="str">
        <f>IF(OR(Calc_오픈정렬!$F5="",Calc_오픈정렬!AI5=""),"",Calc_오픈정렬!AI5/Calc_오픈정렬!$F5*100)</f>
        <v/>
      </c>
      <c r="AJ5" t="str">
        <f>IF(OR(Calc_오픈정렬!$F5="",Calc_오픈정렬!AJ5=""),"",Calc_오픈정렬!AJ5/Calc_오픈정렬!$F5*100)</f>
        <v/>
      </c>
      <c r="AK5" t="str">
        <f>IF(OR(Calc_오픈정렬!$F5="",Calc_오픈정렬!AK5=""),"",Calc_오픈정렬!AK5/Calc_오픈정렬!$F5*100)</f>
        <v/>
      </c>
      <c r="AL5" t="str">
        <f>IF(OR(Calc_오픈정렬!$F5="",Calc_오픈정렬!AL5=""),"",Calc_오픈정렬!AL5/Calc_오픈정렬!$F5*100)</f>
        <v/>
      </c>
      <c r="AM5" t="str">
        <f>IF(OR(Calc_오픈정렬!$F5="",Calc_오픈정렬!AM5=""),"",Calc_오픈정렬!AM5/Calc_오픈정렬!$F5*100)</f>
        <v/>
      </c>
      <c r="AN5" t="str">
        <f>IF(OR(Calc_오픈정렬!$F5="",Calc_오픈정렬!AN5=""),"",Calc_오픈정렬!AN5/Calc_오픈정렬!$F5*100)</f>
        <v/>
      </c>
      <c r="AO5" t="str">
        <f>IF(OR(Calc_오픈정렬!$F5="",Calc_오픈정렬!AO5=""),"",Calc_오픈정렬!AO5/Calc_오픈정렬!$F5*100)</f>
        <v/>
      </c>
      <c r="AP5" t="str">
        <f>IF(OR(Calc_오픈정렬!$F5="",Calc_오픈정렬!AP5=""),"",Calc_오픈정렬!AP5/Calc_오픈정렬!$F5*100)</f>
        <v/>
      </c>
      <c r="AQ5" t="str">
        <f>IF(OR(Calc_오픈정렬!$F5="",Calc_오픈정렬!AQ5=""),"",Calc_오픈정렬!AQ5/Calc_오픈정렬!$F5*100)</f>
        <v/>
      </c>
      <c r="AR5" t="str">
        <f>IF(OR(Calc_오픈정렬!$F5="",Calc_오픈정렬!AR5=""),"",Calc_오픈정렬!AR5/Calc_오픈정렬!$F5*100)</f>
        <v/>
      </c>
      <c r="AS5" t="str">
        <f>IF(OR(Calc_오픈정렬!$F5="",Calc_오픈정렬!AS5=""),"",Calc_오픈정렬!AS5/Calc_오픈정렬!$F5*100)</f>
        <v/>
      </c>
      <c r="AT5" t="str">
        <f>IF(OR(Calc_오픈정렬!$F5="",Calc_오픈정렬!AT5=""),"",Calc_오픈정렬!AT5/Calc_오픈정렬!$F5*100)</f>
        <v/>
      </c>
      <c r="AU5" t="str">
        <f>IF(OR(Calc_오픈정렬!$F5="",Calc_오픈정렬!AU5=""),"",Calc_오픈정렬!AU5/Calc_오픈정렬!$F5*100)</f>
        <v/>
      </c>
      <c r="AV5" t="str">
        <f>IF(OR(Calc_오픈정렬!$F5="",Calc_오픈정렬!AV5=""),"",Calc_오픈정렬!AV5/Calc_오픈정렬!$F5*100)</f>
        <v/>
      </c>
      <c r="AW5" t="str">
        <f>IF(OR(Calc_오픈정렬!$F5="",Calc_오픈정렬!AW5=""),"",Calc_오픈정렬!AW5/Calc_오픈정렬!$F5*100)</f>
        <v/>
      </c>
      <c r="AX5" t="str">
        <f>IF(OR(Calc_오픈정렬!$F5="",Calc_오픈정렬!AX5=""),"",Calc_오픈정렬!AX5/Calc_오픈정렬!$F5*100)</f>
        <v/>
      </c>
      <c r="AY5" t="str">
        <f>IF(OR(Calc_오픈정렬!$F5="",Calc_오픈정렬!AY5=""),"",Calc_오픈정렬!AY5/Calc_오픈정렬!$F5*100)</f>
        <v/>
      </c>
      <c r="AZ5" t="str">
        <f>IF(OR(Calc_오픈정렬!$F5="",Calc_오픈정렬!AZ5=""),"",Calc_오픈정렬!AZ5/Calc_오픈정렬!$F5*100)</f>
        <v/>
      </c>
      <c r="BA5" t="str">
        <f>IF(OR(Calc_오픈정렬!$F5="",Calc_오픈정렬!BA5=""),"",Calc_오픈정렬!BA5/Calc_오픈정렬!$F5*100)</f>
        <v/>
      </c>
      <c r="BB5" t="str">
        <f>IF(OR(Calc_오픈정렬!$F5="",Calc_오픈정렬!BB5=""),"",Calc_오픈정렬!BB5/Calc_오픈정렬!$F5*100)</f>
        <v/>
      </c>
      <c r="BC5" t="str">
        <f>IF(OR(Calc_오픈정렬!$F5="",Calc_오픈정렬!BC5=""),"",Calc_오픈정렬!BC5/Calc_오픈정렬!$F5*100)</f>
        <v/>
      </c>
      <c r="BD5" t="str">
        <f>IF(OR(Calc_오픈정렬!$F5="",Calc_오픈정렬!BD5=""),"",Calc_오픈정렬!BD5/Calc_오픈정렬!$F5*100)</f>
        <v/>
      </c>
      <c r="BE5" t="str">
        <f>IF(OR(Calc_오픈정렬!$F5="",Calc_오픈정렬!BE5=""),"",Calc_오픈정렬!BE5/Calc_오픈정렬!$F5*100)</f>
        <v/>
      </c>
      <c r="BF5" t="str">
        <f>IF(OR(Calc_오픈정렬!$F5="",Calc_오픈정렬!BF5=""),"",Calc_오픈정렬!BF5/Calc_오픈정렬!$F5*100)</f>
        <v/>
      </c>
      <c r="BG5" t="str">
        <f>IF(OR(Calc_오픈정렬!$F5="",Calc_오픈정렬!BG5=""),"",Calc_오픈정렬!BG5/Calc_오픈정렬!$F5*100)</f>
        <v/>
      </c>
      <c r="BH5" t="str">
        <f>IF(OR(Calc_오픈정렬!$F5="",Calc_오픈정렬!BH5=""),"",Calc_오픈정렬!BH5/Calc_오픈정렬!$F5*100)</f>
        <v/>
      </c>
      <c r="BI5" t="str">
        <f>IF(OR(Calc_오픈정렬!$F5="",Calc_오픈정렬!BI5=""),"",Calc_오픈정렬!BI5/Calc_오픈정렬!$F5*100)</f>
        <v/>
      </c>
      <c r="BJ5" t="str">
        <f>IF(OR(Calc_오픈정렬!$F5="",Calc_오픈정렬!BJ5=""),"",Calc_오픈정렬!BJ5/Calc_오픈정렬!$F5*100)</f>
        <v/>
      </c>
      <c r="BK5" t="str">
        <f>IF(OR(Calc_오픈정렬!$F5="",Calc_오픈정렬!BK5=""),"",Calc_오픈정렬!BK5/Calc_오픈정렬!$F5*100)</f>
        <v/>
      </c>
      <c r="BL5" t="str">
        <f>IF(OR(Calc_오픈정렬!$F5="",Calc_오픈정렬!BL5=""),"",Calc_오픈정렬!BL5/Calc_오픈정렬!$F5*100)</f>
        <v/>
      </c>
      <c r="BM5" t="str">
        <f>IF(OR(Calc_오픈정렬!$F5="",Calc_오픈정렬!BM5=""),"",Calc_오픈정렬!BM5/Calc_오픈정렬!$F5*100)</f>
        <v/>
      </c>
      <c r="BN5" t="str">
        <f>IF(OR(Calc_오픈정렬!$F5="",Calc_오픈정렬!BN5=""),"",Calc_오픈정렬!BN5/Calc_오픈정렬!$F5*100)</f>
        <v/>
      </c>
    </row>
    <row r="6" spans="1:66" x14ac:dyDescent="0.4">
      <c r="A6" t="str">
        <f>Calc_오픈정렬!A6</f>
        <v>(0005) 대학점</v>
      </c>
      <c r="B6" t="str">
        <f>Calc_오픈정렬!B6</f>
        <v>150-2</v>
      </c>
      <c r="C6">
        <f>Calc_오픈정렬!C6</f>
        <v>2</v>
      </c>
      <c r="D6" t="str">
        <f>Calc_오픈정렬!D6</f>
        <v>2</v>
      </c>
      <c r="E6" s="1">
        <f>Calc_오픈정렬!E6</f>
        <v>42736</v>
      </c>
      <c r="F6" t="str">
        <f>Calc_오픈정렬!F6</f>
        <v/>
      </c>
      <c r="G6" t="str">
        <f>IF(OR(Calc_오픈정렬!$F6="",Calc_오픈정렬!G6=""),"",Calc_오픈정렬!G6/Calc_오픈정렬!$F6*100)</f>
        <v/>
      </c>
      <c r="H6" t="str">
        <f>IF(OR(Calc_오픈정렬!$F6="",Calc_오픈정렬!H6=""),"",Calc_오픈정렬!H6/Calc_오픈정렬!$F6*100)</f>
        <v/>
      </c>
      <c r="I6" t="str">
        <f>IF(OR(Calc_오픈정렬!$F6="",Calc_오픈정렬!I6=""),"",Calc_오픈정렬!I6/Calc_오픈정렬!$F6*100)</f>
        <v/>
      </c>
      <c r="J6" t="str">
        <f>IF(OR(Calc_오픈정렬!$F6="",Calc_오픈정렬!J6=""),"",Calc_오픈정렬!J6/Calc_오픈정렬!$F6*100)</f>
        <v/>
      </c>
      <c r="K6" t="str">
        <f>IF(OR(Calc_오픈정렬!$F6="",Calc_오픈정렬!K6=""),"",Calc_오픈정렬!K6/Calc_오픈정렬!$F6*100)</f>
        <v/>
      </c>
      <c r="L6" t="str">
        <f>IF(OR(Calc_오픈정렬!$F6="",Calc_오픈정렬!L6=""),"",Calc_오픈정렬!L6/Calc_오픈정렬!$F6*100)</f>
        <v/>
      </c>
      <c r="M6" t="str">
        <f>IF(OR(Calc_오픈정렬!$F6="",Calc_오픈정렬!M6=""),"",Calc_오픈정렬!M6/Calc_오픈정렬!$F6*100)</f>
        <v/>
      </c>
      <c r="N6" t="str">
        <f>IF(OR(Calc_오픈정렬!$F6="",Calc_오픈정렬!N6=""),"",Calc_오픈정렬!N6/Calc_오픈정렬!$F6*100)</f>
        <v/>
      </c>
      <c r="O6" t="str">
        <f>IF(OR(Calc_오픈정렬!$F6="",Calc_오픈정렬!O6=""),"",Calc_오픈정렬!O6/Calc_오픈정렬!$F6*100)</f>
        <v/>
      </c>
      <c r="P6" t="str">
        <f>IF(OR(Calc_오픈정렬!$F6="",Calc_오픈정렬!P6=""),"",Calc_오픈정렬!P6/Calc_오픈정렬!$F6*100)</f>
        <v/>
      </c>
      <c r="Q6" t="str">
        <f>IF(OR(Calc_오픈정렬!$F6="",Calc_오픈정렬!Q6=""),"",Calc_오픈정렬!Q6/Calc_오픈정렬!$F6*100)</f>
        <v/>
      </c>
      <c r="R6" t="str">
        <f>IF(OR(Calc_오픈정렬!$F6="",Calc_오픈정렬!R6=""),"",Calc_오픈정렬!R6/Calc_오픈정렬!$F6*100)</f>
        <v/>
      </c>
      <c r="S6" t="str">
        <f>IF(OR(Calc_오픈정렬!$F6="",Calc_오픈정렬!S6=""),"",Calc_오픈정렬!S6/Calc_오픈정렬!$F6*100)</f>
        <v/>
      </c>
      <c r="T6" t="str">
        <f>IF(OR(Calc_오픈정렬!$F6="",Calc_오픈정렬!T6=""),"",Calc_오픈정렬!T6/Calc_오픈정렬!$F6*100)</f>
        <v/>
      </c>
      <c r="U6" t="str">
        <f>IF(OR(Calc_오픈정렬!$F6="",Calc_오픈정렬!U6=""),"",Calc_오픈정렬!U6/Calc_오픈정렬!$F6*100)</f>
        <v/>
      </c>
      <c r="V6" t="str">
        <f>IF(OR(Calc_오픈정렬!$F6="",Calc_오픈정렬!V6=""),"",Calc_오픈정렬!V6/Calc_오픈정렬!$F6*100)</f>
        <v/>
      </c>
      <c r="W6" t="str">
        <f>IF(OR(Calc_오픈정렬!$F6="",Calc_오픈정렬!W6=""),"",Calc_오픈정렬!W6/Calc_오픈정렬!$F6*100)</f>
        <v/>
      </c>
      <c r="X6" t="str">
        <f>IF(OR(Calc_오픈정렬!$F6="",Calc_오픈정렬!X6=""),"",Calc_오픈정렬!X6/Calc_오픈정렬!$F6*100)</f>
        <v/>
      </c>
      <c r="Y6" t="str">
        <f>IF(OR(Calc_오픈정렬!$F6="",Calc_오픈정렬!Y6=""),"",Calc_오픈정렬!Y6/Calc_오픈정렬!$F6*100)</f>
        <v/>
      </c>
      <c r="Z6" t="str">
        <f>IF(OR(Calc_오픈정렬!$F6="",Calc_오픈정렬!Z6=""),"",Calc_오픈정렬!Z6/Calc_오픈정렬!$F6*100)</f>
        <v/>
      </c>
      <c r="AA6" t="str">
        <f>IF(OR(Calc_오픈정렬!$F6="",Calc_오픈정렬!AA6=""),"",Calc_오픈정렬!AA6/Calc_오픈정렬!$F6*100)</f>
        <v/>
      </c>
      <c r="AB6" t="str">
        <f>IF(OR(Calc_오픈정렬!$F6="",Calc_오픈정렬!AB6=""),"",Calc_오픈정렬!AB6/Calc_오픈정렬!$F6*100)</f>
        <v/>
      </c>
      <c r="AC6" t="str">
        <f>IF(OR(Calc_오픈정렬!$F6="",Calc_오픈정렬!AC6=""),"",Calc_오픈정렬!AC6/Calc_오픈정렬!$F6*100)</f>
        <v/>
      </c>
      <c r="AD6" t="str">
        <f>IF(OR(Calc_오픈정렬!$F6="",Calc_오픈정렬!AD6=""),"",Calc_오픈정렬!AD6/Calc_오픈정렬!$F6*100)</f>
        <v/>
      </c>
      <c r="AE6" t="str">
        <f>IF(OR(Calc_오픈정렬!$F6="",Calc_오픈정렬!AE6=""),"",Calc_오픈정렬!AE6/Calc_오픈정렬!$F6*100)</f>
        <v/>
      </c>
      <c r="AF6" t="str">
        <f>IF(OR(Calc_오픈정렬!$F6="",Calc_오픈정렬!AF6=""),"",Calc_오픈정렬!AF6/Calc_오픈정렬!$F6*100)</f>
        <v/>
      </c>
      <c r="AG6" t="str">
        <f>IF(OR(Calc_오픈정렬!$F6="",Calc_오픈정렬!AG6=""),"",Calc_오픈정렬!AG6/Calc_오픈정렬!$F6*100)</f>
        <v/>
      </c>
      <c r="AH6" t="str">
        <f>IF(OR(Calc_오픈정렬!$F6="",Calc_오픈정렬!AH6=""),"",Calc_오픈정렬!AH6/Calc_오픈정렬!$F6*100)</f>
        <v/>
      </c>
      <c r="AI6" t="str">
        <f>IF(OR(Calc_오픈정렬!$F6="",Calc_오픈정렬!AI6=""),"",Calc_오픈정렬!AI6/Calc_오픈정렬!$F6*100)</f>
        <v/>
      </c>
      <c r="AJ6" t="str">
        <f>IF(OR(Calc_오픈정렬!$F6="",Calc_오픈정렬!AJ6=""),"",Calc_오픈정렬!AJ6/Calc_오픈정렬!$F6*100)</f>
        <v/>
      </c>
      <c r="AK6" t="str">
        <f>IF(OR(Calc_오픈정렬!$F6="",Calc_오픈정렬!AK6=""),"",Calc_오픈정렬!AK6/Calc_오픈정렬!$F6*100)</f>
        <v/>
      </c>
      <c r="AL6" t="str">
        <f>IF(OR(Calc_오픈정렬!$F6="",Calc_오픈정렬!AL6=""),"",Calc_오픈정렬!AL6/Calc_오픈정렬!$F6*100)</f>
        <v/>
      </c>
      <c r="AM6" t="str">
        <f>IF(OR(Calc_오픈정렬!$F6="",Calc_오픈정렬!AM6=""),"",Calc_오픈정렬!AM6/Calc_오픈정렬!$F6*100)</f>
        <v/>
      </c>
      <c r="AN6" t="str">
        <f>IF(OR(Calc_오픈정렬!$F6="",Calc_오픈정렬!AN6=""),"",Calc_오픈정렬!AN6/Calc_오픈정렬!$F6*100)</f>
        <v/>
      </c>
      <c r="AO6" t="str">
        <f>IF(OR(Calc_오픈정렬!$F6="",Calc_오픈정렬!AO6=""),"",Calc_오픈정렬!AO6/Calc_오픈정렬!$F6*100)</f>
        <v/>
      </c>
      <c r="AP6" t="str">
        <f>IF(OR(Calc_오픈정렬!$F6="",Calc_오픈정렬!AP6=""),"",Calc_오픈정렬!AP6/Calc_오픈정렬!$F6*100)</f>
        <v/>
      </c>
      <c r="AQ6" t="str">
        <f>IF(OR(Calc_오픈정렬!$F6="",Calc_오픈정렬!AQ6=""),"",Calc_오픈정렬!AQ6/Calc_오픈정렬!$F6*100)</f>
        <v/>
      </c>
      <c r="AR6" t="str">
        <f>IF(OR(Calc_오픈정렬!$F6="",Calc_오픈정렬!AR6=""),"",Calc_오픈정렬!AR6/Calc_오픈정렬!$F6*100)</f>
        <v/>
      </c>
      <c r="AS6" t="str">
        <f>IF(OR(Calc_오픈정렬!$F6="",Calc_오픈정렬!AS6=""),"",Calc_오픈정렬!AS6/Calc_오픈정렬!$F6*100)</f>
        <v/>
      </c>
      <c r="AT6" t="str">
        <f>IF(OR(Calc_오픈정렬!$F6="",Calc_오픈정렬!AT6=""),"",Calc_오픈정렬!AT6/Calc_오픈정렬!$F6*100)</f>
        <v/>
      </c>
      <c r="AU6" t="str">
        <f>IF(OR(Calc_오픈정렬!$F6="",Calc_오픈정렬!AU6=""),"",Calc_오픈정렬!AU6/Calc_오픈정렬!$F6*100)</f>
        <v/>
      </c>
      <c r="AV6" t="str">
        <f>IF(OR(Calc_오픈정렬!$F6="",Calc_오픈정렬!AV6=""),"",Calc_오픈정렬!AV6/Calc_오픈정렬!$F6*100)</f>
        <v/>
      </c>
      <c r="AW6" t="str">
        <f>IF(OR(Calc_오픈정렬!$F6="",Calc_오픈정렬!AW6=""),"",Calc_오픈정렬!AW6/Calc_오픈정렬!$F6*100)</f>
        <v/>
      </c>
      <c r="AX6" t="str">
        <f>IF(OR(Calc_오픈정렬!$F6="",Calc_오픈정렬!AX6=""),"",Calc_오픈정렬!AX6/Calc_오픈정렬!$F6*100)</f>
        <v/>
      </c>
      <c r="AY6" t="str">
        <f>IF(OR(Calc_오픈정렬!$F6="",Calc_오픈정렬!AY6=""),"",Calc_오픈정렬!AY6/Calc_오픈정렬!$F6*100)</f>
        <v/>
      </c>
      <c r="AZ6" t="str">
        <f>IF(OR(Calc_오픈정렬!$F6="",Calc_오픈정렬!AZ6=""),"",Calc_오픈정렬!AZ6/Calc_오픈정렬!$F6*100)</f>
        <v/>
      </c>
      <c r="BA6" t="str">
        <f>IF(OR(Calc_오픈정렬!$F6="",Calc_오픈정렬!BA6=""),"",Calc_오픈정렬!BA6/Calc_오픈정렬!$F6*100)</f>
        <v/>
      </c>
      <c r="BB6" t="str">
        <f>IF(OR(Calc_오픈정렬!$F6="",Calc_오픈정렬!BB6=""),"",Calc_오픈정렬!BB6/Calc_오픈정렬!$F6*100)</f>
        <v/>
      </c>
      <c r="BC6" t="str">
        <f>IF(OR(Calc_오픈정렬!$F6="",Calc_오픈정렬!BC6=""),"",Calc_오픈정렬!BC6/Calc_오픈정렬!$F6*100)</f>
        <v/>
      </c>
      <c r="BD6" t="str">
        <f>IF(OR(Calc_오픈정렬!$F6="",Calc_오픈정렬!BD6=""),"",Calc_오픈정렬!BD6/Calc_오픈정렬!$F6*100)</f>
        <v/>
      </c>
      <c r="BE6" t="str">
        <f>IF(OR(Calc_오픈정렬!$F6="",Calc_오픈정렬!BE6=""),"",Calc_오픈정렬!BE6/Calc_오픈정렬!$F6*100)</f>
        <v/>
      </c>
      <c r="BF6" t="str">
        <f>IF(OR(Calc_오픈정렬!$F6="",Calc_오픈정렬!BF6=""),"",Calc_오픈정렬!BF6/Calc_오픈정렬!$F6*100)</f>
        <v/>
      </c>
      <c r="BG6" t="str">
        <f>IF(OR(Calc_오픈정렬!$F6="",Calc_오픈정렬!BG6=""),"",Calc_오픈정렬!BG6/Calc_오픈정렬!$F6*100)</f>
        <v/>
      </c>
      <c r="BH6" t="str">
        <f>IF(OR(Calc_오픈정렬!$F6="",Calc_오픈정렬!BH6=""),"",Calc_오픈정렬!BH6/Calc_오픈정렬!$F6*100)</f>
        <v/>
      </c>
      <c r="BI6" t="str">
        <f>IF(OR(Calc_오픈정렬!$F6="",Calc_오픈정렬!BI6=""),"",Calc_오픈정렬!BI6/Calc_오픈정렬!$F6*100)</f>
        <v/>
      </c>
      <c r="BJ6" t="str">
        <f>IF(OR(Calc_오픈정렬!$F6="",Calc_오픈정렬!BJ6=""),"",Calc_오픈정렬!BJ6/Calc_오픈정렬!$F6*100)</f>
        <v/>
      </c>
      <c r="BK6" t="str">
        <f>IF(OR(Calc_오픈정렬!$F6="",Calc_오픈정렬!BK6=""),"",Calc_오픈정렬!BK6/Calc_오픈정렬!$F6*100)</f>
        <v/>
      </c>
      <c r="BL6" t="str">
        <f>IF(OR(Calc_오픈정렬!$F6="",Calc_오픈정렬!BL6=""),"",Calc_오픈정렬!BL6/Calc_오픈정렬!$F6*100)</f>
        <v/>
      </c>
      <c r="BM6" t="str">
        <f>IF(OR(Calc_오픈정렬!$F6="",Calc_오픈정렬!BM6=""),"",Calc_오픈정렬!BM6/Calc_오픈정렬!$F6*100)</f>
        <v/>
      </c>
      <c r="BN6" t="str">
        <f>IF(OR(Calc_오픈정렬!$F6="",Calc_오픈정렬!BN6=""),"",Calc_오픈정렬!BN6/Calc_오픈정렬!$F6*100)</f>
        <v/>
      </c>
    </row>
    <row r="7" spans="1:66" x14ac:dyDescent="0.4">
      <c r="A7" t="str">
        <f>Calc_오픈정렬!A7</f>
        <v>(0006) 서림점</v>
      </c>
      <c r="B7" t="str">
        <f>Calc_오픈정렬!B7</f>
        <v>150-2</v>
      </c>
      <c r="C7">
        <f>Calc_오픈정렬!C7</f>
        <v>2</v>
      </c>
      <c r="D7" t="str">
        <f>Calc_오픈정렬!D7</f>
        <v>2</v>
      </c>
      <c r="E7" s="1">
        <f>Calc_오픈정렬!E7</f>
        <v>43040</v>
      </c>
      <c r="F7" t="str">
        <f>Calc_오픈정렬!F7</f>
        <v/>
      </c>
      <c r="G7" t="str">
        <f>IF(OR(Calc_오픈정렬!$F7="",Calc_오픈정렬!G7=""),"",Calc_오픈정렬!G7/Calc_오픈정렬!$F7*100)</f>
        <v/>
      </c>
      <c r="H7" t="str">
        <f>IF(OR(Calc_오픈정렬!$F7="",Calc_오픈정렬!H7=""),"",Calc_오픈정렬!H7/Calc_오픈정렬!$F7*100)</f>
        <v/>
      </c>
      <c r="I7" t="str">
        <f>IF(OR(Calc_오픈정렬!$F7="",Calc_오픈정렬!I7=""),"",Calc_오픈정렬!I7/Calc_오픈정렬!$F7*100)</f>
        <v/>
      </c>
      <c r="J7" t="str">
        <f>IF(OR(Calc_오픈정렬!$F7="",Calc_오픈정렬!J7=""),"",Calc_오픈정렬!J7/Calc_오픈정렬!$F7*100)</f>
        <v/>
      </c>
      <c r="K7" t="str">
        <f>IF(OR(Calc_오픈정렬!$F7="",Calc_오픈정렬!K7=""),"",Calc_오픈정렬!K7/Calc_오픈정렬!$F7*100)</f>
        <v/>
      </c>
      <c r="L7" t="str">
        <f>IF(OR(Calc_오픈정렬!$F7="",Calc_오픈정렬!L7=""),"",Calc_오픈정렬!L7/Calc_오픈정렬!$F7*100)</f>
        <v/>
      </c>
      <c r="M7" t="str">
        <f>IF(OR(Calc_오픈정렬!$F7="",Calc_오픈정렬!M7=""),"",Calc_오픈정렬!M7/Calc_오픈정렬!$F7*100)</f>
        <v/>
      </c>
      <c r="N7" t="str">
        <f>IF(OR(Calc_오픈정렬!$F7="",Calc_오픈정렬!N7=""),"",Calc_오픈정렬!N7/Calc_오픈정렬!$F7*100)</f>
        <v/>
      </c>
      <c r="O7" t="str">
        <f>IF(OR(Calc_오픈정렬!$F7="",Calc_오픈정렬!O7=""),"",Calc_오픈정렬!O7/Calc_오픈정렬!$F7*100)</f>
        <v/>
      </c>
      <c r="P7" t="str">
        <f>IF(OR(Calc_오픈정렬!$F7="",Calc_오픈정렬!P7=""),"",Calc_오픈정렬!P7/Calc_오픈정렬!$F7*100)</f>
        <v/>
      </c>
      <c r="Q7" t="str">
        <f>IF(OR(Calc_오픈정렬!$F7="",Calc_오픈정렬!Q7=""),"",Calc_오픈정렬!Q7/Calc_오픈정렬!$F7*100)</f>
        <v/>
      </c>
      <c r="R7" t="str">
        <f>IF(OR(Calc_오픈정렬!$F7="",Calc_오픈정렬!R7=""),"",Calc_오픈정렬!R7/Calc_오픈정렬!$F7*100)</f>
        <v/>
      </c>
      <c r="S7" t="str">
        <f>IF(OR(Calc_오픈정렬!$F7="",Calc_오픈정렬!S7=""),"",Calc_오픈정렬!S7/Calc_오픈정렬!$F7*100)</f>
        <v/>
      </c>
      <c r="T7" t="str">
        <f>IF(OR(Calc_오픈정렬!$F7="",Calc_오픈정렬!T7=""),"",Calc_오픈정렬!T7/Calc_오픈정렬!$F7*100)</f>
        <v/>
      </c>
      <c r="U7" t="str">
        <f>IF(OR(Calc_오픈정렬!$F7="",Calc_오픈정렬!U7=""),"",Calc_오픈정렬!U7/Calc_오픈정렬!$F7*100)</f>
        <v/>
      </c>
      <c r="V7" t="str">
        <f>IF(OR(Calc_오픈정렬!$F7="",Calc_오픈정렬!V7=""),"",Calc_오픈정렬!V7/Calc_오픈정렬!$F7*100)</f>
        <v/>
      </c>
      <c r="W7" t="str">
        <f>IF(OR(Calc_오픈정렬!$F7="",Calc_오픈정렬!W7=""),"",Calc_오픈정렬!W7/Calc_오픈정렬!$F7*100)</f>
        <v/>
      </c>
      <c r="X7" t="str">
        <f>IF(OR(Calc_오픈정렬!$F7="",Calc_오픈정렬!X7=""),"",Calc_오픈정렬!X7/Calc_오픈정렬!$F7*100)</f>
        <v/>
      </c>
      <c r="Y7" t="str">
        <f>IF(OR(Calc_오픈정렬!$F7="",Calc_오픈정렬!Y7=""),"",Calc_오픈정렬!Y7/Calc_오픈정렬!$F7*100)</f>
        <v/>
      </c>
      <c r="Z7" t="str">
        <f>IF(OR(Calc_오픈정렬!$F7="",Calc_오픈정렬!Z7=""),"",Calc_오픈정렬!Z7/Calc_오픈정렬!$F7*100)</f>
        <v/>
      </c>
      <c r="AA7" t="str">
        <f>IF(OR(Calc_오픈정렬!$F7="",Calc_오픈정렬!AA7=""),"",Calc_오픈정렬!AA7/Calc_오픈정렬!$F7*100)</f>
        <v/>
      </c>
      <c r="AB7" t="str">
        <f>IF(OR(Calc_오픈정렬!$F7="",Calc_오픈정렬!AB7=""),"",Calc_오픈정렬!AB7/Calc_오픈정렬!$F7*100)</f>
        <v/>
      </c>
      <c r="AC7" t="str">
        <f>IF(OR(Calc_오픈정렬!$F7="",Calc_오픈정렬!AC7=""),"",Calc_오픈정렬!AC7/Calc_오픈정렬!$F7*100)</f>
        <v/>
      </c>
      <c r="AD7" t="str">
        <f>IF(OR(Calc_오픈정렬!$F7="",Calc_오픈정렬!AD7=""),"",Calc_오픈정렬!AD7/Calc_오픈정렬!$F7*100)</f>
        <v/>
      </c>
      <c r="AE7" t="str">
        <f>IF(OR(Calc_오픈정렬!$F7="",Calc_오픈정렬!AE7=""),"",Calc_오픈정렬!AE7/Calc_오픈정렬!$F7*100)</f>
        <v/>
      </c>
      <c r="AF7" t="str">
        <f>IF(OR(Calc_오픈정렬!$F7="",Calc_오픈정렬!AF7=""),"",Calc_오픈정렬!AF7/Calc_오픈정렬!$F7*100)</f>
        <v/>
      </c>
      <c r="AG7" t="str">
        <f>IF(OR(Calc_오픈정렬!$F7="",Calc_오픈정렬!AG7=""),"",Calc_오픈정렬!AG7/Calc_오픈정렬!$F7*100)</f>
        <v/>
      </c>
      <c r="AH7" t="str">
        <f>IF(OR(Calc_오픈정렬!$F7="",Calc_오픈정렬!AH7=""),"",Calc_오픈정렬!AH7/Calc_오픈정렬!$F7*100)</f>
        <v/>
      </c>
      <c r="AI7" t="str">
        <f>IF(OR(Calc_오픈정렬!$F7="",Calc_오픈정렬!AI7=""),"",Calc_오픈정렬!AI7/Calc_오픈정렬!$F7*100)</f>
        <v/>
      </c>
      <c r="AJ7" t="str">
        <f>IF(OR(Calc_오픈정렬!$F7="",Calc_오픈정렬!AJ7=""),"",Calc_오픈정렬!AJ7/Calc_오픈정렬!$F7*100)</f>
        <v/>
      </c>
      <c r="AK7" t="str">
        <f>IF(OR(Calc_오픈정렬!$F7="",Calc_오픈정렬!AK7=""),"",Calc_오픈정렬!AK7/Calc_오픈정렬!$F7*100)</f>
        <v/>
      </c>
      <c r="AL7" t="str">
        <f>IF(OR(Calc_오픈정렬!$F7="",Calc_오픈정렬!AL7=""),"",Calc_오픈정렬!AL7/Calc_오픈정렬!$F7*100)</f>
        <v/>
      </c>
      <c r="AM7" t="str">
        <f>IF(OR(Calc_오픈정렬!$F7="",Calc_오픈정렬!AM7=""),"",Calc_오픈정렬!AM7/Calc_오픈정렬!$F7*100)</f>
        <v/>
      </c>
      <c r="AN7" t="str">
        <f>IF(OR(Calc_오픈정렬!$F7="",Calc_오픈정렬!AN7=""),"",Calc_오픈정렬!AN7/Calc_오픈정렬!$F7*100)</f>
        <v/>
      </c>
      <c r="AO7" t="str">
        <f>IF(OR(Calc_오픈정렬!$F7="",Calc_오픈정렬!AO7=""),"",Calc_오픈정렬!AO7/Calc_오픈정렬!$F7*100)</f>
        <v/>
      </c>
      <c r="AP7" t="str">
        <f>IF(OR(Calc_오픈정렬!$F7="",Calc_오픈정렬!AP7=""),"",Calc_오픈정렬!AP7/Calc_오픈정렬!$F7*100)</f>
        <v/>
      </c>
      <c r="AQ7" t="str">
        <f>IF(OR(Calc_오픈정렬!$F7="",Calc_오픈정렬!AQ7=""),"",Calc_오픈정렬!AQ7/Calc_오픈정렬!$F7*100)</f>
        <v/>
      </c>
      <c r="AR7" t="str">
        <f>IF(OR(Calc_오픈정렬!$F7="",Calc_오픈정렬!AR7=""),"",Calc_오픈정렬!AR7/Calc_오픈정렬!$F7*100)</f>
        <v/>
      </c>
      <c r="AS7" t="str">
        <f>IF(OR(Calc_오픈정렬!$F7="",Calc_오픈정렬!AS7=""),"",Calc_오픈정렬!AS7/Calc_오픈정렬!$F7*100)</f>
        <v/>
      </c>
      <c r="AT7" t="str">
        <f>IF(OR(Calc_오픈정렬!$F7="",Calc_오픈정렬!AT7=""),"",Calc_오픈정렬!AT7/Calc_오픈정렬!$F7*100)</f>
        <v/>
      </c>
      <c r="AU7" t="str">
        <f>IF(OR(Calc_오픈정렬!$F7="",Calc_오픈정렬!AU7=""),"",Calc_오픈정렬!AU7/Calc_오픈정렬!$F7*100)</f>
        <v/>
      </c>
      <c r="AV7" t="str">
        <f>IF(OR(Calc_오픈정렬!$F7="",Calc_오픈정렬!AV7=""),"",Calc_오픈정렬!AV7/Calc_오픈정렬!$F7*100)</f>
        <v/>
      </c>
      <c r="AW7" t="str">
        <f>IF(OR(Calc_오픈정렬!$F7="",Calc_오픈정렬!AW7=""),"",Calc_오픈정렬!AW7/Calc_오픈정렬!$F7*100)</f>
        <v/>
      </c>
      <c r="AX7" t="str">
        <f>IF(OR(Calc_오픈정렬!$F7="",Calc_오픈정렬!AX7=""),"",Calc_오픈정렬!AX7/Calc_오픈정렬!$F7*100)</f>
        <v/>
      </c>
      <c r="AY7" t="str">
        <f>IF(OR(Calc_오픈정렬!$F7="",Calc_오픈정렬!AY7=""),"",Calc_오픈정렬!AY7/Calc_오픈정렬!$F7*100)</f>
        <v/>
      </c>
      <c r="AZ7" t="str">
        <f>IF(OR(Calc_오픈정렬!$F7="",Calc_오픈정렬!AZ7=""),"",Calc_오픈정렬!AZ7/Calc_오픈정렬!$F7*100)</f>
        <v/>
      </c>
      <c r="BA7" t="str">
        <f>IF(OR(Calc_오픈정렬!$F7="",Calc_오픈정렬!BA7=""),"",Calc_오픈정렬!BA7/Calc_오픈정렬!$F7*100)</f>
        <v/>
      </c>
      <c r="BB7" t="str">
        <f>IF(OR(Calc_오픈정렬!$F7="",Calc_오픈정렬!BB7=""),"",Calc_오픈정렬!BB7/Calc_오픈정렬!$F7*100)</f>
        <v/>
      </c>
      <c r="BC7" t="str">
        <f>IF(OR(Calc_오픈정렬!$F7="",Calc_오픈정렬!BC7=""),"",Calc_오픈정렬!BC7/Calc_오픈정렬!$F7*100)</f>
        <v/>
      </c>
      <c r="BD7" t="str">
        <f>IF(OR(Calc_오픈정렬!$F7="",Calc_오픈정렬!BD7=""),"",Calc_오픈정렬!BD7/Calc_오픈정렬!$F7*100)</f>
        <v/>
      </c>
      <c r="BE7" t="str">
        <f>IF(OR(Calc_오픈정렬!$F7="",Calc_오픈정렬!BE7=""),"",Calc_오픈정렬!BE7/Calc_오픈정렬!$F7*100)</f>
        <v/>
      </c>
      <c r="BF7" t="str">
        <f>IF(OR(Calc_오픈정렬!$F7="",Calc_오픈정렬!BF7=""),"",Calc_오픈정렬!BF7/Calc_오픈정렬!$F7*100)</f>
        <v/>
      </c>
      <c r="BG7" t="str">
        <f>IF(OR(Calc_오픈정렬!$F7="",Calc_오픈정렬!BG7=""),"",Calc_오픈정렬!BG7/Calc_오픈정렬!$F7*100)</f>
        <v/>
      </c>
      <c r="BH7" t="str">
        <f>IF(OR(Calc_오픈정렬!$F7="",Calc_오픈정렬!BH7=""),"",Calc_오픈정렬!BH7/Calc_오픈정렬!$F7*100)</f>
        <v/>
      </c>
      <c r="BI7" t="str">
        <f>IF(OR(Calc_오픈정렬!$F7="",Calc_오픈정렬!BI7=""),"",Calc_오픈정렬!BI7/Calc_오픈정렬!$F7*100)</f>
        <v/>
      </c>
      <c r="BJ7" t="str">
        <f>IF(OR(Calc_오픈정렬!$F7="",Calc_오픈정렬!BJ7=""),"",Calc_오픈정렬!BJ7/Calc_오픈정렬!$F7*100)</f>
        <v/>
      </c>
      <c r="BK7" t="str">
        <f>IF(OR(Calc_오픈정렬!$F7="",Calc_오픈정렬!BK7=""),"",Calc_오픈정렬!BK7/Calc_오픈정렬!$F7*100)</f>
        <v/>
      </c>
      <c r="BL7" t="str">
        <f>IF(OR(Calc_오픈정렬!$F7="",Calc_오픈정렬!BL7=""),"",Calc_오픈정렬!BL7/Calc_오픈정렬!$F7*100)</f>
        <v/>
      </c>
      <c r="BM7" t="str">
        <f>IF(OR(Calc_오픈정렬!$F7="",Calc_오픈정렬!BM7=""),"",Calc_오픈정렬!BM7/Calc_오픈정렬!$F7*100)</f>
        <v/>
      </c>
      <c r="BN7" t="str">
        <f>IF(OR(Calc_오픈정렬!$F7="",Calc_오픈정렬!BN7=""),"",Calc_오픈정렬!BN7/Calc_오픈정렬!$F7*100)</f>
        <v/>
      </c>
    </row>
    <row r="8" spans="1:66" x14ac:dyDescent="0.4">
      <c r="A8" t="str">
        <f>Calc_오픈정렬!A8</f>
        <v>(0007) 낙성대점</v>
      </c>
      <c r="B8" t="str">
        <f>Calc_오픈정렬!B8</f>
        <v>150-1</v>
      </c>
      <c r="C8">
        <f>Calc_오픈정렬!C8</f>
        <v>1</v>
      </c>
      <c r="D8" t="str">
        <f>Calc_오픈정렬!D8</f>
        <v>1</v>
      </c>
      <c r="E8" s="1">
        <f>Calc_오픈정렬!E8</f>
        <v>43160</v>
      </c>
      <c r="F8" t="str">
        <f>Calc_오픈정렬!F8</f>
        <v/>
      </c>
      <c r="G8" t="str">
        <f>IF(OR(Calc_오픈정렬!$F8="",Calc_오픈정렬!G8=""),"",Calc_오픈정렬!G8/Calc_오픈정렬!$F8*100)</f>
        <v/>
      </c>
      <c r="H8" t="str">
        <f>IF(OR(Calc_오픈정렬!$F8="",Calc_오픈정렬!H8=""),"",Calc_오픈정렬!H8/Calc_오픈정렬!$F8*100)</f>
        <v/>
      </c>
      <c r="I8" t="str">
        <f>IF(OR(Calc_오픈정렬!$F8="",Calc_오픈정렬!I8=""),"",Calc_오픈정렬!I8/Calc_오픈정렬!$F8*100)</f>
        <v/>
      </c>
      <c r="J8" t="str">
        <f>IF(OR(Calc_오픈정렬!$F8="",Calc_오픈정렬!J8=""),"",Calc_오픈정렬!J8/Calc_오픈정렬!$F8*100)</f>
        <v/>
      </c>
      <c r="K8" t="str">
        <f>IF(OR(Calc_오픈정렬!$F8="",Calc_오픈정렬!K8=""),"",Calc_오픈정렬!K8/Calc_오픈정렬!$F8*100)</f>
        <v/>
      </c>
      <c r="L8" t="str">
        <f>IF(OR(Calc_오픈정렬!$F8="",Calc_오픈정렬!L8=""),"",Calc_오픈정렬!L8/Calc_오픈정렬!$F8*100)</f>
        <v/>
      </c>
      <c r="M8" t="str">
        <f>IF(OR(Calc_오픈정렬!$F8="",Calc_오픈정렬!M8=""),"",Calc_오픈정렬!M8/Calc_오픈정렬!$F8*100)</f>
        <v/>
      </c>
      <c r="N8" t="str">
        <f>IF(OR(Calc_오픈정렬!$F8="",Calc_오픈정렬!N8=""),"",Calc_오픈정렬!N8/Calc_오픈정렬!$F8*100)</f>
        <v/>
      </c>
      <c r="O8" t="str">
        <f>IF(OR(Calc_오픈정렬!$F8="",Calc_오픈정렬!O8=""),"",Calc_오픈정렬!O8/Calc_오픈정렬!$F8*100)</f>
        <v/>
      </c>
      <c r="P8" t="str">
        <f>IF(OR(Calc_오픈정렬!$F8="",Calc_오픈정렬!P8=""),"",Calc_오픈정렬!P8/Calc_오픈정렬!$F8*100)</f>
        <v/>
      </c>
      <c r="Q8" t="str">
        <f>IF(OR(Calc_오픈정렬!$F8="",Calc_오픈정렬!Q8=""),"",Calc_오픈정렬!Q8/Calc_오픈정렬!$F8*100)</f>
        <v/>
      </c>
      <c r="R8" t="str">
        <f>IF(OR(Calc_오픈정렬!$F8="",Calc_오픈정렬!R8=""),"",Calc_오픈정렬!R8/Calc_오픈정렬!$F8*100)</f>
        <v/>
      </c>
      <c r="S8" t="str">
        <f>IF(OR(Calc_오픈정렬!$F8="",Calc_오픈정렬!S8=""),"",Calc_오픈정렬!S8/Calc_오픈정렬!$F8*100)</f>
        <v/>
      </c>
      <c r="T8" t="str">
        <f>IF(OR(Calc_오픈정렬!$F8="",Calc_오픈정렬!T8=""),"",Calc_오픈정렬!T8/Calc_오픈정렬!$F8*100)</f>
        <v/>
      </c>
      <c r="U8" t="str">
        <f>IF(OR(Calc_오픈정렬!$F8="",Calc_오픈정렬!U8=""),"",Calc_오픈정렬!U8/Calc_오픈정렬!$F8*100)</f>
        <v/>
      </c>
      <c r="V8" t="str">
        <f>IF(OR(Calc_오픈정렬!$F8="",Calc_오픈정렬!V8=""),"",Calc_오픈정렬!V8/Calc_오픈정렬!$F8*100)</f>
        <v/>
      </c>
      <c r="W8" t="str">
        <f>IF(OR(Calc_오픈정렬!$F8="",Calc_오픈정렬!W8=""),"",Calc_오픈정렬!W8/Calc_오픈정렬!$F8*100)</f>
        <v/>
      </c>
      <c r="X8" t="str">
        <f>IF(OR(Calc_오픈정렬!$F8="",Calc_오픈정렬!X8=""),"",Calc_오픈정렬!X8/Calc_오픈정렬!$F8*100)</f>
        <v/>
      </c>
      <c r="Y8" t="str">
        <f>IF(OR(Calc_오픈정렬!$F8="",Calc_오픈정렬!Y8=""),"",Calc_오픈정렬!Y8/Calc_오픈정렬!$F8*100)</f>
        <v/>
      </c>
      <c r="Z8" t="str">
        <f>IF(OR(Calc_오픈정렬!$F8="",Calc_오픈정렬!Z8=""),"",Calc_오픈정렬!Z8/Calc_오픈정렬!$F8*100)</f>
        <v/>
      </c>
      <c r="AA8" t="str">
        <f>IF(OR(Calc_오픈정렬!$F8="",Calc_오픈정렬!AA8=""),"",Calc_오픈정렬!AA8/Calc_오픈정렬!$F8*100)</f>
        <v/>
      </c>
      <c r="AB8" t="str">
        <f>IF(OR(Calc_오픈정렬!$F8="",Calc_오픈정렬!AB8=""),"",Calc_오픈정렬!AB8/Calc_오픈정렬!$F8*100)</f>
        <v/>
      </c>
      <c r="AC8" t="str">
        <f>IF(OR(Calc_오픈정렬!$F8="",Calc_오픈정렬!AC8=""),"",Calc_오픈정렬!AC8/Calc_오픈정렬!$F8*100)</f>
        <v/>
      </c>
      <c r="AD8" t="str">
        <f>IF(OR(Calc_오픈정렬!$F8="",Calc_오픈정렬!AD8=""),"",Calc_오픈정렬!AD8/Calc_오픈정렬!$F8*100)</f>
        <v/>
      </c>
      <c r="AE8" t="str">
        <f>IF(OR(Calc_오픈정렬!$F8="",Calc_오픈정렬!AE8=""),"",Calc_오픈정렬!AE8/Calc_오픈정렬!$F8*100)</f>
        <v/>
      </c>
      <c r="AF8" t="str">
        <f>IF(OR(Calc_오픈정렬!$F8="",Calc_오픈정렬!AF8=""),"",Calc_오픈정렬!AF8/Calc_오픈정렬!$F8*100)</f>
        <v/>
      </c>
      <c r="AG8" t="str">
        <f>IF(OR(Calc_오픈정렬!$F8="",Calc_오픈정렬!AG8=""),"",Calc_오픈정렬!AG8/Calc_오픈정렬!$F8*100)</f>
        <v/>
      </c>
      <c r="AH8" t="str">
        <f>IF(OR(Calc_오픈정렬!$F8="",Calc_오픈정렬!AH8=""),"",Calc_오픈정렬!AH8/Calc_오픈정렬!$F8*100)</f>
        <v/>
      </c>
      <c r="AI8" t="str">
        <f>IF(OR(Calc_오픈정렬!$F8="",Calc_오픈정렬!AI8=""),"",Calc_오픈정렬!AI8/Calc_오픈정렬!$F8*100)</f>
        <v/>
      </c>
      <c r="AJ8" t="str">
        <f>IF(OR(Calc_오픈정렬!$F8="",Calc_오픈정렬!AJ8=""),"",Calc_오픈정렬!AJ8/Calc_오픈정렬!$F8*100)</f>
        <v/>
      </c>
      <c r="AK8" t="str">
        <f>IF(OR(Calc_오픈정렬!$F8="",Calc_오픈정렬!AK8=""),"",Calc_오픈정렬!AK8/Calc_오픈정렬!$F8*100)</f>
        <v/>
      </c>
      <c r="AL8" t="str">
        <f>IF(OR(Calc_오픈정렬!$F8="",Calc_오픈정렬!AL8=""),"",Calc_오픈정렬!AL8/Calc_오픈정렬!$F8*100)</f>
        <v/>
      </c>
      <c r="AM8" t="str">
        <f>IF(OR(Calc_오픈정렬!$F8="",Calc_오픈정렬!AM8=""),"",Calc_오픈정렬!AM8/Calc_오픈정렬!$F8*100)</f>
        <v/>
      </c>
      <c r="AN8" t="str">
        <f>IF(OR(Calc_오픈정렬!$F8="",Calc_오픈정렬!AN8=""),"",Calc_오픈정렬!AN8/Calc_오픈정렬!$F8*100)</f>
        <v/>
      </c>
      <c r="AO8" t="str">
        <f>IF(OR(Calc_오픈정렬!$F8="",Calc_오픈정렬!AO8=""),"",Calc_오픈정렬!AO8/Calc_오픈정렬!$F8*100)</f>
        <v/>
      </c>
      <c r="AP8" t="str">
        <f>IF(OR(Calc_오픈정렬!$F8="",Calc_오픈정렬!AP8=""),"",Calc_오픈정렬!AP8/Calc_오픈정렬!$F8*100)</f>
        <v/>
      </c>
      <c r="AQ8" t="str">
        <f>IF(OR(Calc_오픈정렬!$F8="",Calc_오픈정렬!AQ8=""),"",Calc_오픈정렬!AQ8/Calc_오픈정렬!$F8*100)</f>
        <v/>
      </c>
      <c r="AR8" t="str">
        <f>IF(OR(Calc_오픈정렬!$F8="",Calc_오픈정렬!AR8=""),"",Calc_오픈정렬!AR8/Calc_오픈정렬!$F8*100)</f>
        <v/>
      </c>
      <c r="AS8" t="str">
        <f>IF(OR(Calc_오픈정렬!$F8="",Calc_오픈정렬!AS8=""),"",Calc_오픈정렬!AS8/Calc_오픈정렬!$F8*100)</f>
        <v/>
      </c>
      <c r="AT8" t="str">
        <f>IF(OR(Calc_오픈정렬!$F8="",Calc_오픈정렬!AT8=""),"",Calc_오픈정렬!AT8/Calc_오픈정렬!$F8*100)</f>
        <v/>
      </c>
      <c r="AU8" t="str">
        <f>IF(OR(Calc_오픈정렬!$F8="",Calc_오픈정렬!AU8=""),"",Calc_오픈정렬!AU8/Calc_오픈정렬!$F8*100)</f>
        <v/>
      </c>
      <c r="AV8" t="str">
        <f>IF(OR(Calc_오픈정렬!$F8="",Calc_오픈정렬!AV8=""),"",Calc_오픈정렬!AV8/Calc_오픈정렬!$F8*100)</f>
        <v/>
      </c>
      <c r="AW8" t="str">
        <f>IF(OR(Calc_오픈정렬!$F8="",Calc_오픈정렬!AW8=""),"",Calc_오픈정렬!AW8/Calc_오픈정렬!$F8*100)</f>
        <v/>
      </c>
      <c r="AX8" t="str">
        <f>IF(OR(Calc_오픈정렬!$F8="",Calc_오픈정렬!AX8=""),"",Calc_오픈정렬!AX8/Calc_오픈정렬!$F8*100)</f>
        <v/>
      </c>
      <c r="AY8" t="str">
        <f>IF(OR(Calc_오픈정렬!$F8="",Calc_오픈정렬!AY8=""),"",Calc_오픈정렬!AY8/Calc_오픈정렬!$F8*100)</f>
        <v/>
      </c>
      <c r="AZ8" t="str">
        <f>IF(OR(Calc_오픈정렬!$F8="",Calc_오픈정렬!AZ8=""),"",Calc_오픈정렬!AZ8/Calc_오픈정렬!$F8*100)</f>
        <v/>
      </c>
      <c r="BA8" t="str">
        <f>IF(OR(Calc_오픈정렬!$F8="",Calc_오픈정렬!BA8=""),"",Calc_오픈정렬!BA8/Calc_오픈정렬!$F8*100)</f>
        <v/>
      </c>
      <c r="BB8" t="str">
        <f>IF(OR(Calc_오픈정렬!$F8="",Calc_오픈정렬!BB8=""),"",Calc_오픈정렬!BB8/Calc_오픈정렬!$F8*100)</f>
        <v/>
      </c>
      <c r="BC8" t="str">
        <f>IF(OR(Calc_오픈정렬!$F8="",Calc_오픈정렬!BC8=""),"",Calc_오픈정렬!BC8/Calc_오픈정렬!$F8*100)</f>
        <v/>
      </c>
      <c r="BD8" t="str">
        <f>IF(OR(Calc_오픈정렬!$F8="",Calc_오픈정렬!BD8=""),"",Calc_오픈정렬!BD8/Calc_오픈정렬!$F8*100)</f>
        <v/>
      </c>
      <c r="BE8" t="str">
        <f>IF(OR(Calc_오픈정렬!$F8="",Calc_오픈정렬!BE8=""),"",Calc_오픈정렬!BE8/Calc_오픈정렬!$F8*100)</f>
        <v/>
      </c>
      <c r="BF8" t="str">
        <f>IF(OR(Calc_오픈정렬!$F8="",Calc_오픈정렬!BF8=""),"",Calc_오픈정렬!BF8/Calc_오픈정렬!$F8*100)</f>
        <v/>
      </c>
      <c r="BG8" t="str">
        <f>IF(OR(Calc_오픈정렬!$F8="",Calc_오픈정렬!BG8=""),"",Calc_오픈정렬!BG8/Calc_오픈정렬!$F8*100)</f>
        <v/>
      </c>
      <c r="BH8" t="str">
        <f>IF(OR(Calc_오픈정렬!$F8="",Calc_오픈정렬!BH8=""),"",Calc_오픈정렬!BH8/Calc_오픈정렬!$F8*100)</f>
        <v/>
      </c>
      <c r="BI8" t="str">
        <f>IF(OR(Calc_오픈정렬!$F8="",Calc_오픈정렬!BI8=""),"",Calc_오픈정렬!BI8/Calc_오픈정렬!$F8*100)</f>
        <v/>
      </c>
      <c r="BJ8" t="str">
        <f>IF(OR(Calc_오픈정렬!$F8="",Calc_오픈정렬!BJ8=""),"",Calc_오픈정렬!BJ8/Calc_오픈정렬!$F8*100)</f>
        <v/>
      </c>
      <c r="BK8" t="str">
        <f>IF(OR(Calc_오픈정렬!$F8="",Calc_오픈정렬!BK8=""),"",Calc_오픈정렬!BK8/Calc_오픈정렬!$F8*100)</f>
        <v/>
      </c>
      <c r="BL8" t="str">
        <f>IF(OR(Calc_오픈정렬!$F8="",Calc_오픈정렬!BL8=""),"",Calc_오픈정렬!BL8/Calc_오픈정렬!$F8*100)</f>
        <v/>
      </c>
      <c r="BM8" t="str">
        <f>IF(OR(Calc_오픈정렬!$F8="",Calc_오픈정렬!BM8=""),"",Calc_오픈정렬!BM8/Calc_오픈정렬!$F8*100)</f>
        <v/>
      </c>
      <c r="BN8" t="str">
        <f>IF(OR(Calc_오픈정렬!$F8="",Calc_오픈정렬!BN8=""),"",Calc_오픈정렬!BN8/Calc_오픈정렬!$F8*100)</f>
        <v/>
      </c>
    </row>
    <row r="9" spans="1:66" x14ac:dyDescent="0.4">
      <c r="A9" t="str">
        <f>Calc_오픈정렬!A9</f>
        <v>(0008) 트리하우스점</v>
      </c>
      <c r="B9">
        <f>Calc_오픈정렬!B9</f>
        <v>0</v>
      </c>
      <c r="C9" t="str">
        <f>Calc_오픈정렬!C9</f>
        <v/>
      </c>
      <c r="D9" t="str">
        <f>Calc_오픈정렬!D9</f>
        <v/>
      </c>
      <c r="E9" s="1">
        <f>Calc_오픈정렬!E9</f>
        <v>43282</v>
      </c>
      <c r="F9" t="str">
        <f>Calc_오픈정렬!F9</f>
        <v/>
      </c>
      <c r="G9" t="str">
        <f>IF(OR(Calc_오픈정렬!$F9="",Calc_오픈정렬!G9=""),"",Calc_오픈정렬!G9/Calc_오픈정렬!$F9*100)</f>
        <v/>
      </c>
      <c r="H9" t="str">
        <f>IF(OR(Calc_오픈정렬!$F9="",Calc_오픈정렬!H9=""),"",Calc_오픈정렬!H9/Calc_오픈정렬!$F9*100)</f>
        <v/>
      </c>
      <c r="I9" t="str">
        <f>IF(OR(Calc_오픈정렬!$F9="",Calc_오픈정렬!I9=""),"",Calc_오픈정렬!I9/Calc_오픈정렬!$F9*100)</f>
        <v/>
      </c>
      <c r="J9" t="str">
        <f>IF(OR(Calc_오픈정렬!$F9="",Calc_오픈정렬!J9=""),"",Calc_오픈정렬!J9/Calc_오픈정렬!$F9*100)</f>
        <v/>
      </c>
      <c r="K9" t="str">
        <f>IF(OR(Calc_오픈정렬!$F9="",Calc_오픈정렬!K9=""),"",Calc_오픈정렬!K9/Calc_오픈정렬!$F9*100)</f>
        <v/>
      </c>
      <c r="L9" t="str">
        <f>IF(OR(Calc_오픈정렬!$F9="",Calc_오픈정렬!L9=""),"",Calc_오픈정렬!L9/Calc_오픈정렬!$F9*100)</f>
        <v/>
      </c>
      <c r="M9" t="str">
        <f>IF(OR(Calc_오픈정렬!$F9="",Calc_오픈정렬!M9=""),"",Calc_오픈정렬!M9/Calc_오픈정렬!$F9*100)</f>
        <v/>
      </c>
      <c r="N9" t="str">
        <f>IF(OR(Calc_오픈정렬!$F9="",Calc_오픈정렬!N9=""),"",Calc_오픈정렬!N9/Calc_오픈정렬!$F9*100)</f>
        <v/>
      </c>
      <c r="O9" t="str">
        <f>IF(OR(Calc_오픈정렬!$F9="",Calc_오픈정렬!O9=""),"",Calc_오픈정렬!O9/Calc_오픈정렬!$F9*100)</f>
        <v/>
      </c>
      <c r="P9" t="str">
        <f>IF(OR(Calc_오픈정렬!$F9="",Calc_오픈정렬!P9=""),"",Calc_오픈정렬!P9/Calc_오픈정렬!$F9*100)</f>
        <v/>
      </c>
      <c r="Q9" t="str">
        <f>IF(OR(Calc_오픈정렬!$F9="",Calc_오픈정렬!Q9=""),"",Calc_오픈정렬!Q9/Calc_오픈정렬!$F9*100)</f>
        <v/>
      </c>
      <c r="R9" t="str">
        <f>IF(OR(Calc_오픈정렬!$F9="",Calc_오픈정렬!R9=""),"",Calc_오픈정렬!R9/Calc_오픈정렬!$F9*100)</f>
        <v/>
      </c>
      <c r="S9" t="str">
        <f>IF(OR(Calc_오픈정렬!$F9="",Calc_오픈정렬!S9=""),"",Calc_오픈정렬!S9/Calc_오픈정렬!$F9*100)</f>
        <v/>
      </c>
      <c r="T9" t="str">
        <f>IF(OR(Calc_오픈정렬!$F9="",Calc_오픈정렬!T9=""),"",Calc_오픈정렬!T9/Calc_오픈정렬!$F9*100)</f>
        <v/>
      </c>
      <c r="U9" t="str">
        <f>IF(OR(Calc_오픈정렬!$F9="",Calc_오픈정렬!U9=""),"",Calc_오픈정렬!U9/Calc_오픈정렬!$F9*100)</f>
        <v/>
      </c>
      <c r="V9" t="str">
        <f>IF(OR(Calc_오픈정렬!$F9="",Calc_오픈정렬!V9=""),"",Calc_오픈정렬!V9/Calc_오픈정렬!$F9*100)</f>
        <v/>
      </c>
      <c r="W9" t="str">
        <f>IF(OR(Calc_오픈정렬!$F9="",Calc_오픈정렬!W9=""),"",Calc_오픈정렬!W9/Calc_오픈정렬!$F9*100)</f>
        <v/>
      </c>
      <c r="X9" t="str">
        <f>IF(OR(Calc_오픈정렬!$F9="",Calc_오픈정렬!X9=""),"",Calc_오픈정렬!X9/Calc_오픈정렬!$F9*100)</f>
        <v/>
      </c>
      <c r="Y9" t="str">
        <f>IF(OR(Calc_오픈정렬!$F9="",Calc_오픈정렬!Y9=""),"",Calc_오픈정렬!Y9/Calc_오픈정렬!$F9*100)</f>
        <v/>
      </c>
      <c r="Z9" t="str">
        <f>IF(OR(Calc_오픈정렬!$F9="",Calc_오픈정렬!Z9=""),"",Calc_오픈정렬!Z9/Calc_오픈정렬!$F9*100)</f>
        <v/>
      </c>
      <c r="AA9" t="str">
        <f>IF(OR(Calc_오픈정렬!$F9="",Calc_오픈정렬!AA9=""),"",Calc_오픈정렬!AA9/Calc_오픈정렬!$F9*100)</f>
        <v/>
      </c>
      <c r="AB9" t="str">
        <f>IF(OR(Calc_오픈정렬!$F9="",Calc_오픈정렬!AB9=""),"",Calc_오픈정렬!AB9/Calc_오픈정렬!$F9*100)</f>
        <v/>
      </c>
      <c r="AC9" t="str">
        <f>IF(OR(Calc_오픈정렬!$F9="",Calc_오픈정렬!AC9=""),"",Calc_오픈정렬!AC9/Calc_오픈정렬!$F9*100)</f>
        <v/>
      </c>
      <c r="AD9" t="str">
        <f>IF(OR(Calc_오픈정렬!$F9="",Calc_오픈정렬!AD9=""),"",Calc_오픈정렬!AD9/Calc_오픈정렬!$F9*100)</f>
        <v/>
      </c>
      <c r="AE9" t="str">
        <f>IF(OR(Calc_오픈정렬!$F9="",Calc_오픈정렬!AE9=""),"",Calc_오픈정렬!AE9/Calc_오픈정렬!$F9*100)</f>
        <v/>
      </c>
      <c r="AF9" t="str">
        <f>IF(OR(Calc_오픈정렬!$F9="",Calc_오픈정렬!AF9=""),"",Calc_오픈정렬!AF9/Calc_오픈정렬!$F9*100)</f>
        <v/>
      </c>
      <c r="AG9" t="str">
        <f>IF(OR(Calc_오픈정렬!$F9="",Calc_오픈정렬!AG9=""),"",Calc_오픈정렬!AG9/Calc_오픈정렬!$F9*100)</f>
        <v/>
      </c>
      <c r="AH9" t="str">
        <f>IF(OR(Calc_오픈정렬!$F9="",Calc_오픈정렬!AH9=""),"",Calc_오픈정렬!AH9/Calc_오픈정렬!$F9*100)</f>
        <v/>
      </c>
      <c r="AI9" t="str">
        <f>IF(OR(Calc_오픈정렬!$F9="",Calc_오픈정렬!AI9=""),"",Calc_오픈정렬!AI9/Calc_오픈정렬!$F9*100)</f>
        <v/>
      </c>
      <c r="AJ9" t="str">
        <f>IF(OR(Calc_오픈정렬!$F9="",Calc_오픈정렬!AJ9=""),"",Calc_오픈정렬!AJ9/Calc_오픈정렬!$F9*100)</f>
        <v/>
      </c>
      <c r="AK9" t="str">
        <f>IF(OR(Calc_오픈정렬!$F9="",Calc_오픈정렬!AK9=""),"",Calc_오픈정렬!AK9/Calc_오픈정렬!$F9*100)</f>
        <v/>
      </c>
      <c r="AL9" t="str">
        <f>IF(OR(Calc_오픈정렬!$F9="",Calc_오픈정렬!AL9=""),"",Calc_오픈정렬!AL9/Calc_오픈정렬!$F9*100)</f>
        <v/>
      </c>
      <c r="AM9" t="str">
        <f>IF(OR(Calc_오픈정렬!$F9="",Calc_오픈정렬!AM9=""),"",Calc_오픈정렬!AM9/Calc_오픈정렬!$F9*100)</f>
        <v/>
      </c>
      <c r="AN9" t="str">
        <f>IF(OR(Calc_오픈정렬!$F9="",Calc_오픈정렬!AN9=""),"",Calc_오픈정렬!AN9/Calc_오픈정렬!$F9*100)</f>
        <v/>
      </c>
      <c r="AO9" t="str">
        <f>IF(OR(Calc_오픈정렬!$F9="",Calc_오픈정렬!AO9=""),"",Calc_오픈정렬!AO9/Calc_오픈정렬!$F9*100)</f>
        <v/>
      </c>
      <c r="AP9" t="str">
        <f>IF(OR(Calc_오픈정렬!$F9="",Calc_오픈정렬!AP9=""),"",Calc_오픈정렬!AP9/Calc_오픈정렬!$F9*100)</f>
        <v/>
      </c>
      <c r="AQ9" t="str">
        <f>IF(OR(Calc_오픈정렬!$F9="",Calc_오픈정렬!AQ9=""),"",Calc_오픈정렬!AQ9/Calc_오픈정렬!$F9*100)</f>
        <v/>
      </c>
      <c r="AR9" t="str">
        <f>IF(OR(Calc_오픈정렬!$F9="",Calc_오픈정렬!AR9=""),"",Calc_오픈정렬!AR9/Calc_오픈정렬!$F9*100)</f>
        <v/>
      </c>
      <c r="AS9" t="str">
        <f>IF(OR(Calc_오픈정렬!$F9="",Calc_오픈정렬!AS9=""),"",Calc_오픈정렬!AS9/Calc_오픈정렬!$F9*100)</f>
        <v/>
      </c>
      <c r="AT9" t="str">
        <f>IF(OR(Calc_오픈정렬!$F9="",Calc_오픈정렬!AT9=""),"",Calc_오픈정렬!AT9/Calc_오픈정렬!$F9*100)</f>
        <v/>
      </c>
      <c r="AU9" t="str">
        <f>IF(OR(Calc_오픈정렬!$F9="",Calc_오픈정렬!AU9=""),"",Calc_오픈정렬!AU9/Calc_오픈정렬!$F9*100)</f>
        <v/>
      </c>
      <c r="AV9" t="str">
        <f>IF(OR(Calc_오픈정렬!$F9="",Calc_오픈정렬!AV9=""),"",Calc_오픈정렬!AV9/Calc_오픈정렬!$F9*100)</f>
        <v/>
      </c>
      <c r="AW9" t="str">
        <f>IF(OR(Calc_오픈정렬!$F9="",Calc_오픈정렬!AW9=""),"",Calc_오픈정렬!AW9/Calc_오픈정렬!$F9*100)</f>
        <v/>
      </c>
      <c r="AX9" t="str">
        <f>IF(OR(Calc_오픈정렬!$F9="",Calc_오픈정렬!AX9=""),"",Calc_오픈정렬!AX9/Calc_오픈정렬!$F9*100)</f>
        <v/>
      </c>
      <c r="AY9" t="str">
        <f>IF(OR(Calc_오픈정렬!$F9="",Calc_오픈정렬!AY9=""),"",Calc_오픈정렬!AY9/Calc_오픈정렬!$F9*100)</f>
        <v/>
      </c>
      <c r="AZ9" t="str">
        <f>IF(OR(Calc_오픈정렬!$F9="",Calc_오픈정렬!AZ9=""),"",Calc_오픈정렬!AZ9/Calc_오픈정렬!$F9*100)</f>
        <v/>
      </c>
      <c r="BA9" t="str">
        <f>IF(OR(Calc_오픈정렬!$F9="",Calc_오픈정렬!BA9=""),"",Calc_오픈정렬!BA9/Calc_오픈정렬!$F9*100)</f>
        <v/>
      </c>
      <c r="BB9" t="str">
        <f>IF(OR(Calc_오픈정렬!$F9="",Calc_오픈정렬!BB9=""),"",Calc_오픈정렬!BB9/Calc_오픈정렬!$F9*100)</f>
        <v/>
      </c>
      <c r="BC9" t="str">
        <f>IF(OR(Calc_오픈정렬!$F9="",Calc_오픈정렬!BC9=""),"",Calc_오픈정렬!BC9/Calc_오픈정렬!$F9*100)</f>
        <v/>
      </c>
      <c r="BD9" t="str">
        <f>IF(OR(Calc_오픈정렬!$F9="",Calc_오픈정렬!BD9=""),"",Calc_오픈정렬!BD9/Calc_오픈정렬!$F9*100)</f>
        <v/>
      </c>
      <c r="BE9" t="str">
        <f>IF(OR(Calc_오픈정렬!$F9="",Calc_오픈정렬!BE9=""),"",Calc_오픈정렬!BE9/Calc_오픈정렬!$F9*100)</f>
        <v/>
      </c>
      <c r="BF9" t="str">
        <f>IF(OR(Calc_오픈정렬!$F9="",Calc_오픈정렬!BF9=""),"",Calc_오픈정렬!BF9/Calc_오픈정렬!$F9*100)</f>
        <v/>
      </c>
      <c r="BG9" t="str">
        <f>IF(OR(Calc_오픈정렬!$F9="",Calc_오픈정렬!BG9=""),"",Calc_오픈정렬!BG9/Calc_오픈정렬!$F9*100)</f>
        <v/>
      </c>
      <c r="BH9" t="str">
        <f>IF(OR(Calc_오픈정렬!$F9="",Calc_오픈정렬!BH9=""),"",Calc_오픈정렬!BH9/Calc_오픈정렬!$F9*100)</f>
        <v/>
      </c>
      <c r="BI9" t="str">
        <f>IF(OR(Calc_오픈정렬!$F9="",Calc_오픈정렬!BI9=""),"",Calc_오픈정렬!BI9/Calc_오픈정렬!$F9*100)</f>
        <v/>
      </c>
      <c r="BJ9" t="str">
        <f>IF(OR(Calc_오픈정렬!$F9="",Calc_오픈정렬!BJ9=""),"",Calc_오픈정렬!BJ9/Calc_오픈정렬!$F9*100)</f>
        <v/>
      </c>
      <c r="BK9" t="str">
        <f>IF(OR(Calc_오픈정렬!$F9="",Calc_오픈정렬!BK9=""),"",Calc_오픈정렬!BK9/Calc_오픈정렬!$F9*100)</f>
        <v/>
      </c>
      <c r="BL9" t="str">
        <f>IF(OR(Calc_오픈정렬!$F9="",Calc_오픈정렬!BL9=""),"",Calc_오픈정렬!BL9/Calc_오픈정렬!$F9*100)</f>
        <v/>
      </c>
      <c r="BM9" t="str">
        <f>IF(OR(Calc_오픈정렬!$F9="",Calc_오픈정렬!BM9=""),"",Calc_오픈정렬!BM9/Calc_오픈정렬!$F9*100)</f>
        <v/>
      </c>
      <c r="BN9" t="str">
        <f>IF(OR(Calc_오픈정렬!$F9="",Calc_오픈정렬!BN9=""),"",Calc_오픈정렬!BN9/Calc_오픈정렬!$F9*100)</f>
        <v/>
      </c>
    </row>
    <row r="10" spans="1:66" x14ac:dyDescent="0.4">
      <c r="A10" t="str">
        <f>Calc_오픈정렬!A10</f>
        <v>(0009) 신원점</v>
      </c>
      <c r="B10" t="str">
        <f>Calc_오픈정렬!B10</f>
        <v>150-0</v>
      </c>
      <c r="C10">
        <f>Calc_오픈정렬!C10</f>
        <v>0</v>
      </c>
      <c r="D10" t="str">
        <f>Calc_오픈정렬!D10</f>
        <v>0</v>
      </c>
      <c r="E10" s="1">
        <f>Calc_오픈정렬!E10</f>
        <v>43800</v>
      </c>
      <c r="F10" t="str">
        <f>Calc_오픈정렬!F10</f>
        <v/>
      </c>
      <c r="G10" t="str">
        <f>IF(OR(Calc_오픈정렬!$F10="",Calc_오픈정렬!G10=""),"",Calc_오픈정렬!G10/Calc_오픈정렬!$F10*100)</f>
        <v/>
      </c>
      <c r="H10" t="str">
        <f>IF(OR(Calc_오픈정렬!$F10="",Calc_오픈정렬!H10=""),"",Calc_오픈정렬!H10/Calc_오픈정렬!$F10*100)</f>
        <v/>
      </c>
      <c r="I10" t="str">
        <f>IF(OR(Calc_오픈정렬!$F10="",Calc_오픈정렬!I10=""),"",Calc_오픈정렬!I10/Calc_오픈정렬!$F10*100)</f>
        <v/>
      </c>
      <c r="J10" t="str">
        <f>IF(OR(Calc_오픈정렬!$F10="",Calc_오픈정렬!J10=""),"",Calc_오픈정렬!J10/Calc_오픈정렬!$F10*100)</f>
        <v/>
      </c>
      <c r="K10" t="str">
        <f>IF(OR(Calc_오픈정렬!$F10="",Calc_오픈정렬!K10=""),"",Calc_오픈정렬!K10/Calc_오픈정렬!$F10*100)</f>
        <v/>
      </c>
      <c r="L10" t="str">
        <f>IF(OR(Calc_오픈정렬!$F10="",Calc_오픈정렬!L10=""),"",Calc_오픈정렬!L10/Calc_오픈정렬!$F10*100)</f>
        <v/>
      </c>
      <c r="M10" t="str">
        <f>IF(OR(Calc_오픈정렬!$F10="",Calc_오픈정렬!M10=""),"",Calc_오픈정렬!M10/Calc_오픈정렬!$F10*100)</f>
        <v/>
      </c>
      <c r="N10" t="str">
        <f>IF(OR(Calc_오픈정렬!$F10="",Calc_오픈정렬!N10=""),"",Calc_오픈정렬!N10/Calc_오픈정렬!$F10*100)</f>
        <v/>
      </c>
      <c r="O10" t="str">
        <f>IF(OR(Calc_오픈정렬!$F10="",Calc_오픈정렬!O10=""),"",Calc_오픈정렬!O10/Calc_오픈정렬!$F10*100)</f>
        <v/>
      </c>
      <c r="P10" t="str">
        <f>IF(OR(Calc_오픈정렬!$F10="",Calc_오픈정렬!P10=""),"",Calc_오픈정렬!P10/Calc_오픈정렬!$F10*100)</f>
        <v/>
      </c>
      <c r="Q10" t="str">
        <f>IF(OR(Calc_오픈정렬!$F10="",Calc_오픈정렬!Q10=""),"",Calc_오픈정렬!Q10/Calc_오픈정렬!$F10*100)</f>
        <v/>
      </c>
      <c r="R10" t="str">
        <f>IF(OR(Calc_오픈정렬!$F10="",Calc_오픈정렬!R10=""),"",Calc_오픈정렬!R10/Calc_오픈정렬!$F10*100)</f>
        <v/>
      </c>
      <c r="S10" t="str">
        <f>IF(OR(Calc_오픈정렬!$F10="",Calc_오픈정렬!S10=""),"",Calc_오픈정렬!S10/Calc_오픈정렬!$F10*100)</f>
        <v/>
      </c>
      <c r="T10" t="str">
        <f>IF(OR(Calc_오픈정렬!$F10="",Calc_오픈정렬!T10=""),"",Calc_오픈정렬!T10/Calc_오픈정렬!$F10*100)</f>
        <v/>
      </c>
      <c r="U10" t="str">
        <f>IF(OR(Calc_오픈정렬!$F10="",Calc_오픈정렬!U10=""),"",Calc_오픈정렬!U10/Calc_오픈정렬!$F10*100)</f>
        <v/>
      </c>
      <c r="V10" t="str">
        <f>IF(OR(Calc_오픈정렬!$F10="",Calc_오픈정렬!V10=""),"",Calc_오픈정렬!V10/Calc_오픈정렬!$F10*100)</f>
        <v/>
      </c>
      <c r="W10" t="str">
        <f>IF(OR(Calc_오픈정렬!$F10="",Calc_오픈정렬!W10=""),"",Calc_오픈정렬!W10/Calc_오픈정렬!$F10*100)</f>
        <v/>
      </c>
      <c r="X10" t="str">
        <f>IF(OR(Calc_오픈정렬!$F10="",Calc_오픈정렬!X10=""),"",Calc_오픈정렬!X10/Calc_오픈정렬!$F10*100)</f>
        <v/>
      </c>
      <c r="Y10" t="str">
        <f>IF(OR(Calc_오픈정렬!$F10="",Calc_오픈정렬!Y10=""),"",Calc_오픈정렬!Y10/Calc_오픈정렬!$F10*100)</f>
        <v/>
      </c>
      <c r="Z10" t="str">
        <f>IF(OR(Calc_오픈정렬!$F10="",Calc_오픈정렬!Z10=""),"",Calc_오픈정렬!Z10/Calc_오픈정렬!$F10*100)</f>
        <v/>
      </c>
      <c r="AA10" t="str">
        <f>IF(OR(Calc_오픈정렬!$F10="",Calc_오픈정렬!AA10=""),"",Calc_오픈정렬!AA10/Calc_오픈정렬!$F10*100)</f>
        <v/>
      </c>
      <c r="AB10" t="str">
        <f>IF(OR(Calc_오픈정렬!$F10="",Calc_오픈정렬!AB10=""),"",Calc_오픈정렬!AB10/Calc_오픈정렬!$F10*100)</f>
        <v/>
      </c>
      <c r="AC10" t="str">
        <f>IF(OR(Calc_오픈정렬!$F10="",Calc_오픈정렬!AC10=""),"",Calc_오픈정렬!AC10/Calc_오픈정렬!$F10*100)</f>
        <v/>
      </c>
      <c r="AD10" t="str">
        <f>IF(OR(Calc_오픈정렬!$F10="",Calc_오픈정렬!AD10=""),"",Calc_오픈정렬!AD10/Calc_오픈정렬!$F10*100)</f>
        <v/>
      </c>
      <c r="AE10" t="str">
        <f>IF(OR(Calc_오픈정렬!$F10="",Calc_오픈정렬!AE10=""),"",Calc_오픈정렬!AE10/Calc_오픈정렬!$F10*100)</f>
        <v/>
      </c>
      <c r="AF10" t="str">
        <f>IF(OR(Calc_오픈정렬!$F10="",Calc_오픈정렬!AF10=""),"",Calc_오픈정렬!AF10/Calc_오픈정렬!$F10*100)</f>
        <v/>
      </c>
      <c r="AG10" t="str">
        <f>IF(OR(Calc_오픈정렬!$F10="",Calc_오픈정렬!AG10=""),"",Calc_오픈정렬!AG10/Calc_오픈정렬!$F10*100)</f>
        <v/>
      </c>
      <c r="AH10" t="str">
        <f>IF(OR(Calc_오픈정렬!$F10="",Calc_오픈정렬!AH10=""),"",Calc_오픈정렬!AH10/Calc_오픈정렬!$F10*100)</f>
        <v/>
      </c>
      <c r="AI10" t="str">
        <f>IF(OR(Calc_오픈정렬!$F10="",Calc_오픈정렬!AI10=""),"",Calc_오픈정렬!AI10/Calc_오픈정렬!$F10*100)</f>
        <v/>
      </c>
      <c r="AJ10" t="str">
        <f>IF(OR(Calc_오픈정렬!$F10="",Calc_오픈정렬!AJ10=""),"",Calc_오픈정렬!AJ10/Calc_오픈정렬!$F10*100)</f>
        <v/>
      </c>
      <c r="AK10" t="str">
        <f>IF(OR(Calc_오픈정렬!$F10="",Calc_오픈정렬!AK10=""),"",Calc_오픈정렬!AK10/Calc_오픈정렬!$F10*100)</f>
        <v/>
      </c>
      <c r="AL10" t="str">
        <f>IF(OR(Calc_오픈정렬!$F10="",Calc_오픈정렬!AL10=""),"",Calc_오픈정렬!AL10/Calc_오픈정렬!$F10*100)</f>
        <v/>
      </c>
      <c r="AM10" t="str">
        <f>IF(OR(Calc_오픈정렬!$F10="",Calc_오픈정렬!AM10=""),"",Calc_오픈정렬!AM10/Calc_오픈정렬!$F10*100)</f>
        <v/>
      </c>
      <c r="AN10" t="str">
        <f>IF(OR(Calc_오픈정렬!$F10="",Calc_오픈정렬!AN10=""),"",Calc_오픈정렬!AN10/Calc_오픈정렬!$F10*100)</f>
        <v/>
      </c>
      <c r="AO10" t="str">
        <f>IF(OR(Calc_오픈정렬!$F10="",Calc_오픈정렬!AO10=""),"",Calc_오픈정렬!AO10/Calc_오픈정렬!$F10*100)</f>
        <v/>
      </c>
      <c r="AP10" t="str">
        <f>IF(OR(Calc_오픈정렬!$F10="",Calc_오픈정렬!AP10=""),"",Calc_오픈정렬!AP10/Calc_오픈정렬!$F10*100)</f>
        <v/>
      </c>
      <c r="AQ10" t="str">
        <f>IF(OR(Calc_오픈정렬!$F10="",Calc_오픈정렬!AQ10=""),"",Calc_오픈정렬!AQ10/Calc_오픈정렬!$F10*100)</f>
        <v/>
      </c>
      <c r="AR10" t="str">
        <f>IF(OR(Calc_오픈정렬!$F10="",Calc_오픈정렬!AR10=""),"",Calc_오픈정렬!AR10/Calc_오픈정렬!$F10*100)</f>
        <v/>
      </c>
      <c r="AS10" t="str">
        <f>IF(OR(Calc_오픈정렬!$F10="",Calc_오픈정렬!AS10=""),"",Calc_오픈정렬!AS10/Calc_오픈정렬!$F10*100)</f>
        <v/>
      </c>
      <c r="AT10" t="str">
        <f>IF(OR(Calc_오픈정렬!$F10="",Calc_오픈정렬!AT10=""),"",Calc_오픈정렬!AT10/Calc_오픈정렬!$F10*100)</f>
        <v/>
      </c>
      <c r="AU10" t="str">
        <f>IF(OR(Calc_오픈정렬!$F10="",Calc_오픈정렬!AU10=""),"",Calc_오픈정렬!AU10/Calc_오픈정렬!$F10*100)</f>
        <v/>
      </c>
      <c r="AV10" t="str">
        <f>IF(OR(Calc_오픈정렬!$F10="",Calc_오픈정렬!AV10=""),"",Calc_오픈정렬!AV10/Calc_오픈정렬!$F10*100)</f>
        <v/>
      </c>
      <c r="AW10" t="str">
        <f>IF(OR(Calc_오픈정렬!$F10="",Calc_오픈정렬!AW10=""),"",Calc_오픈정렬!AW10/Calc_오픈정렬!$F10*100)</f>
        <v/>
      </c>
      <c r="AX10" t="str">
        <f>IF(OR(Calc_오픈정렬!$F10="",Calc_오픈정렬!AX10=""),"",Calc_오픈정렬!AX10/Calc_오픈정렬!$F10*100)</f>
        <v/>
      </c>
      <c r="AY10" t="str">
        <f>IF(OR(Calc_오픈정렬!$F10="",Calc_오픈정렬!AY10=""),"",Calc_오픈정렬!AY10/Calc_오픈정렬!$F10*100)</f>
        <v/>
      </c>
      <c r="AZ10" t="str">
        <f>IF(OR(Calc_오픈정렬!$F10="",Calc_오픈정렬!AZ10=""),"",Calc_오픈정렬!AZ10/Calc_오픈정렬!$F10*100)</f>
        <v/>
      </c>
      <c r="BA10" t="str">
        <f>IF(OR(Calc_오픈정렬!$F10="",Calc_오픈정렬!BA10=""),"",Calc_오픈정렬!BA10/Calc_오픈정렬!$F10*100)</f>
        <v/>
      </c>
      <c r="BB10" t="str">
        <f>IF(OR(Calc_오픈정렬!$F10="",Calc_오픈정렬!BB10=""),"",Calc_오픈정렬!BB10/Calc_오픈정렬!$F10*100)</f>
        <v/>
      </c>
      <c r="BC10" t="str">
        <f>IF(OR(Calc_오픈정렬!$F10="",Calc_오픈정렬!BC10=""),"",Calc_오픈정렬!BC10/Calc_오픈정렬!$F10*100)</f>
        <v/>
      </c>
      <c r="BD10" t="str">
        <f>IF(OR(Calc_오픈정렬!$F10="",Calc_오픈정렬!BD10=""),"",Calc_오픈정렬!BD10/Calc_오픈정렬!$F10*100)</f>
        <v/>
      </c>
      <c r="BE10" t="str">
        <f>IF(OR(Calc_오픈정렬!$F10="",Calc_오픈정렬!BE10=""),"",Calc_오픈정렬!BE10/Calc_오픈정렬!$F10*100)</f>
        <v/>
      </c>
      <c r="BF10" t="str">
        <f>IF(OR(Calc_오픈정렬!$F10="",Calc_오픈정렬!BF10=""),"",Calc_오픈정렬!BF10/Calc_오픈정렬!$F10*100)</f>
        <v/>
      </c>
      <c r="BG10" t="str">
        <f>IF(OR(Calc_오픈정렬!$F10="",Calc_오픈정렬!BG10=""),"",Calc_오픈정렬!BG10/Calc_오픈정렬!$F10*100)</f>
        <v/>
      </c>
      <c r="BH10" t="str">
        <f>IF(OR(Calc_오픈정렬!$F10="",Calc_오픈정렬!BH10=""),"",Calc_오픈정렬!BH10/Calc_오픈정렬!$F10*100)</f>
        <v/>
      </c>
      <c r="BI10" t="str">
        <f>IF(OR(Calc_오픈정렬!$F10="",Calc_오픈정렬!BI10=""),"",Calc_오픈정렬!BI10/Calc_오픈정렬!$F10*100)</f>
        <v/>
      </c>
      <c r="BJ10" t="str">
        <f>IF(OR(Calc_오픈정렬!$F10="",Calc_오픈정렬!BJ10=""),"",Calc_오픈정렬!BJ10/Calc_오픈정렬!$F10*100)</f>
        <v/>
      </c>
      <c r="BK10" t="str">
        <f>IF(OR(Calc_오픈정렬!$F10="",Calc_오픈정렬!BK10=""),"",Calc_오픈정렬!BK10/Calc_오픈정렬!$F10*100)</f>
        <v/>
      </c>
      <c r="BL10" t="str">
        <f>IF(OR(Calc_오픈정렬!$F10="",Calc_오픈정렬!BL10=""),"",Calc_오픈정렬!BL10/Calc_오픈정렬!$F10*100)</f>
        <v/>
      </c>
      <c r="BM10" t="str">
        <f>IF(OR(Calc_오픈정렬!$F10="",Calc_오픈정렬!BM10=""),"",Calc_오픈정렬!BM10/Calc_오픈정렬!$F10*100)</f>
        <v/>
      </c>
      <c r="BN10" t="str">
        <f>IF(OR(Calc_오픈정렬!$F10="",Calc_오픈정렬!BN10=""),"",Calc_오픈정렬!BN10/Calc_오픈정렬!$F10*100)</f>
        <v/>
      </c>
    </row>
    <row r="11" spans="1:66" x14ac:dyDescent="0.4">
      <c r="A11" t="str">
        <f>Calc_오픈정렬!A11</f>
        <v>(0010) 별빛거리점</v>
      </c>
      <c r="B11" t="str">
        <f>Calc_오픈정렬!B11</f>
        <v>150-3</v>
      </c>
      <c r="C11">
        <f>Calc_오픈정렬!C11</f>
        <v>3</v>
      </c>
      <c r="D11" t="str">
        <f>Calc_오픈정렬!D11</f>
        <v>3+</v>
      </c>
      <c r="E11" s="1">
        <f>Calc_오픈정렬!E11</f>
        <v>44593</v>
      </c>
      <c r="F11">
        <f>Calc_오픈정렬!F11</f>
        <v>5908144.0816670833</v>
      </c>
      <c r="G11">
        <f>IF(OR(Calc_오픈정렬!$F11="",Calc_오픈정렬!G11=""),"",Calc_오픈정렬!G11/Calc_오픈정렬!$F11*100)</f>
        <v>61.005935935671197</v>
      </c>
      <c r="H11">
        <f>IF(OR(Calc_오픈정렬!$F11="",Calc_오픈정렬!H11=""),"",Calc_오픈정렬!H11/Calc_오픈정렬!$F11*100)</f>
        <v>65.502090202552722</v>
      </c>
      <c r="I11">
        <f>IF(OR(Calc_오픈정렬!$F11="",Calc_오픈정렬!I11=""),"",Calc_오픈정렬!I11/Calc_오픈정렬!$F11*100)</f>
        <v>74.070124245910577</v>
      </c>
      <c r="J11">
        <f>IF(OR(Calc_오픈정렬!$F11="",Calc_오픈정렬!J11=""),"",Calc_오픈정렬!J11/Calc_오픈정렬!$F11*100)</f>
        <v>82.470822582034941</v>
      </c>
      <c r="K11">
        <f>IF(OR(Calc_오픈정렬!$F11="",Calc_오픈정렬!K11=""),"",Calc_오픈정렬!K11/Calc_오픈정렬!$F11*100)</f>
        <v>98.951573773210399</v>
      </c>
      <c r="L11">
        <f>IF(OR(Calc_오픈정렬!$F11="",Calc_오픈정렬!L11=""),"",Calc_오픈정렬!L11/Calc_오픈정렬!$F11*100)</f>
        <v>103.93616297961694</v>
      </c>
      <c r="M11">
        <f>IF(OR(Calc_오픈정렬!$F11="",Calc_오픈정렬!M11=""),"",Calc_오픈정렬!M11/Calc_오픈정렬!$F11*100)</f>
        <v>116.71131379441506</v>
      </c>
      <c r="N11">
        <f>IF(OR(Calc_오픈정렬!$F11="",Calc_오픈정렬!N11=""),"",Calc_오픈정렬!N11/Calc_오픈정렬!$F11*100)</f>
        <v>105.58799153604647</v>
      </c>
      <c r="O11">
        <f>IF(OR(Calc_오픈정렬!$F11="",Calc_오픈정렬!O11=""),"",Calc_오픈정렬!O11/Calc_오픈정렬!$F11*100)</f>
        <v>92.3421353346762</v>
      </c>
      <c r="P11">
        <f>IF(OR(Calc_오픈정렬!$F11="",Calc_오픈정렬!P11=""),"",Calc_오픈정렬!P11/Calc_오픈정렬!$F11*100)</f>
        <v>92.926205399145189</v>
      </c>
      <c r="Q11">
        <f>IF(OR(Calc_오픈정렬!$F11="",Calc_오픈정렬!Q11=""),"",Calc_오픈정렬!Q11/Calc_오픈정렬!$F11*100)</f>
        <v>94.692966478709067</v>
      </c>
      <c r="R11">
        <f>IF(OR(Calc_오픈정렬!$F11="",Calc_오픈정렬!R11=""),"",Calc_오픈정렬!R11/Calc_오픈정렬!$F11*100)</f>
        <v>117.53927586419159</v>
      </c>
      <c r="S11">
        <f>IF(OR(Calc_오픈정렬!$F11="",Calc_오픈정렬!S11=""),"",Calc_오픈정렬!S11/Calc_오픈정렬!$F11*100)</f>
        <v>113.64815484790358</v>
      </c>
      <c r="T11">
        <f>IF(OR(Calc_오픈정렬!$F11="",Calc_오픈정렬!T11=""),"",Calc_오픈정렬!T11/Calc_오픈정렬!$F11*100)</f>
        <v>119.4992926032743</v>
      </c>
      <c r="U11">
        <f>IF(OR(Calc_오픈정렬!$F11="",Calc_오픈정렬!U11=""),"",Calc_오픈정렬!U11/Calc_오픈정렬!$F11*100)</f>
        <v>104.87859529444053</v>
      </c>
      <c r="V11">
        <f>IF(OR(Calc_오픈정렬!$F11="",Calc_오픈정렬!V11=""),"",Calc_오픈정렬!V11/Calc_오픈정렬!$F11*100)</f>
        <v>108.74293600878175</v>
      </c>
      <c r="W11">
        <f>IF(OR(Calc_오픈정렬!$F11="",Calc_오픈정렬!W11=""),"",Calc_오픈정렬!W11/Calc_오픈정렬!$F11*100)</f>
        <v>105.36061895752285</v>
      </c>
      <c r="X11">
        <f>IF(OR(Calc_오픈정렬!$F11="",Calc_오픈정렬!X11=""),"",Calc_오픈정렬!X11/Calc_오픈정렬!$F11*100)</f>
        <v>125.20362333541814</v>
      </c>
      <c r="Y11">
        <f>IF(OR(Calc_오픈정렬!$F11="",Calc_오픈정렬!Y11=""),"",Calc_오픈정렬!Y11/Calc_오픈정렬!$F11*100)</f>
        <v>111.44508170037301</v>
      </c>
      <c r="Z11">
        <f>IF(OR(Calc_오픈정렬!$F11="",Calc_오픈정렬!Z11=""),"",Calc_오픈정렬!Z11/Calc_오픈정렬!$F11*100)</f>
        <v>115.87124085583147</v>
      </c>
      <c r="AA11">
        <f>IF(OR(Calc_오픈정렬!$F11="",Calc_오픈정렬!AA11=""),"",Calc_오픈정렬!AA11/Calc_오픈정렬!$F11*100)</f>
        <v>99.705053395889522</v>
      </c>
      <c r="AB11">
        <f>IF(OR(Calc_오픈정렬!$F11="",Calc_오픈정렬!AB11=""),"",Calc_오픈정렬!AB11/Calc_오픈정렬!$F11*100)</f>
        <v>100.4476030422373</v>
      </c>
      <c r="AC11">
        <f>IF(OR(Calc_오픈정렬!$F11="",Calc_오픈정렬!AC11=""),"",Calc_오픈정렬!AC11/Calc_오픈정렬!$F11*100)</f>
        <v>84.023832468000336</v>
      </c>
      <c r="AD11">
        <f>IF(OR(Calc_오픈정렬!$F11="",Calc_오픈정렬!AD11=""),"",Calc_오픈정렬!AD11/Calc_오픈정렬!$F11*100)</f>
        <v>105.95919819145277</v>
      </c>
      <c r="AE11">
        <f>IF(OR(Calc_오픈정렬!$F11="",Calc_오픈정렬!AE11=""),"",Calc_오픈정렬!AE11/Calc_오픈정렬!$F11*100)</f>
        <v>90.507868384615008</v>
      </c>
      <c r="AF11">
        <f>IF(OR(Calc_오픈정렬!$F11="",Calc_오픈정렬!AF11=""),"",Calc_오픈정렬!AF11/Calc_오픈정렬!$F11*100)</f>
        <v>84.467301161877117</v>
      </c>
      <c r="AG11">
        <f>IF(OR(Calc_오픈정렬!$F11="",Calc_오픈정렬!AG11=""),"",Calc_오픈정렬!AG11/Calc_오픈정렬!$F11*100)</f>
        <v>89.619939223464939</v>
      </c>
      <c r="AH11">
        <f>IF(OR(Calc_오픈정렬!$F11="",Calc_오픈정렬!AH11=""),"",Calc_오픈정렬!AH11/Calc_오픈정렬!$F11*100)</f>
        <v>77.445307029874911</v>
      </c>
      <c r="AI11">
        <f>IF(OR(Calc_오픈정렬!$F11="",Calc_오픈정렬!AI11=""),"",Calc_오픈정렬!AI11/Calc_오픈정렬!$F11*100)</f>
        <v>84.946196257131959</v>
      </c>
      <c r="AJ11">
        <f>IF(OR(Calc_오픈정렬!$F11="",Calc_오픈정렬!AJ11=""),"",Calc_오픈정렬!AJ11/Calc_오픈정렬!$F11*100)</f>
        <v>95.257299339400802</v>
      </c>
      <c r="AK11">
        <f>IF(OR(Calc_오픈정렬!$F11="",Calc_오픈정렬!AK11=""),"",Calc_오픈정렬!AK11/Calc_오픈정렬!$F11*100)</f>
        <v>85.986374169207295</v>
      </c>
      <c r="AL11">
        <f>IF(OR(Calc_오픈정렬!$F11="",Calc_오픈정렬!AL11=""),"",Calc_오픈정렬!AL11/Calc_오픈정렬!$F11*100)</f>
        <v>88.070291211162044</v>
      </c>
      <c r="AM11">
        <f>IF(OR(Calc_오픈정렬!$F11="",Calc_오픈정렬!AM11=""),"",Calc_오픈정렬!AM11/Calc_오픈정렬!$F11*100)</f>
        <v>79.972257283342728</v>
      </c>
      <c r="AN11">
        <f>IF(OR(Calc_오픈정렬!$F11="",Calc_오픈정렬!AN11=""),"",Calc_오픈정렬!AN11/Calc_오픈정렬!$F11*100)</f>
        <v>82.557357637848</v>
      </c>
      <c r="AO11">
        <f>IF(OR(Calc_오픈정렬!$F11="",Calc_오픈정렬!AO11=""),"",Calc_오픈정렬!AO11/Calc_오픈정렬!$F11*100)</f>
        <v>87.504589322649295</v>
      </c>
      <c r="AP11">
        <f>IF(OR(Calc_오픈정렬!$F11="",Calc_오픈정렬!AP11=""),"",Calc_오픈정렬!AP11/Calc_오픈정렬!$F11*100)</f>
        <v>93.901265675763725</v>
      </c>
      <c r="AQ11">
        <f>IF(OR(Calc_오픈정렬!$F11="",Calc_오픈정렬!AQ11=""),"",Calc_오픈정렬!AQ11/Calc_오픈정렬!$F11*100)</f>
        <v>86.310949157967471</v>
      </c>
      <c r="AR11">
        <f>IF(OR(Calc_오픈정렬!$F11="",Calc_오픈정렬!AR11=""),"",Calc_오픈정렬!AR11/Calc_오픈정렬!$F11*100)</f>
        <v>73.202788002991113</v>
      </c>
      <c r="AS11">
        <f>IF(OR(Calc_오픈정렬!$F11="",Calc_오픈정렬!AS11=""),"",Calc_오픈정렬!AS11/Calc_오픈정렬!$F11*100)</f>
        <v>97.290924030225298</v>
      </c>
      <c r="AT11">
        <f>IF(OR(Calc_오픈정렬!$F11="",Calc_오픈정렬!AT11=""),"",Calc_오픈정렬!AT11/Calc_오픈정렬!$F11*100)</f>
        <v>102.13996919492405</v>
      </c>
      <c r="AU11">
        <f>IF(OR(Calc_오픈정렬!$F11="",Calc_오픈정렬!AU11=""),"",Calc_오픈정렬!AU11/Calc_오픈정렬!$F11*100)</f>
        <v>94.512832433458556</v>
      </c>
      <c r="AV11">
        <f>IF(OR(Calc_오픈정렬!$F11="",Calc_오픈정렬!AV11=""),"",Calc_오픈정렬!AV11/Calc_오픈정렬!$F11*100)</f>
        <v>98.694080833071851</v>
      </c>
      <c r="AW11">
        <f>IF(OR(Calc_오픈정렬!$F11="",Calc_오픈정렬!AW11=""),"",Calc_오픈정렬!AW11/Calc_오픈정렬!$F11*100)</f>
        <v>104.69849932477744</v>
      </c>
      <c r="AX11">
        <f>IF(OR(Calc_오픈정렬!$F11="",Calc_오픈정렬!AX11=""),"",Calc_오픈정렬!AX11/Calc_오픈정렬!$F11*100)</f>
        <v>105.35639443645573</v>
      </c>
      <c r="AY11">
        <f>IF(OR(Calc_오픈정렬!$F11="",Calc_오픈정렬!AY11=""),"",Calc_오픈정렬!AY11/Calc_오픈정렬!$F11*100)</f>
        <v>98.503646561003279</v>
      </c>
      <c r="AZ11">
        <f>IF(OR(Calc_오픈정렬!$F11="",Calc_오픈정렬!AZ11=""),"",Calc_오픈정렬!AZ11/Calc_오픈정렬!$F11*100)</f>
        <v>87.846640515141885</v>
      </c>
      <c r="BA11">
        <f>IF(OR(Calc_오픈정렬!$F11="",Calc_오픈정렬!BA11=""),"",Calc_오픈정렬!BA11/Calc_오픈정렬!$F11*100)</f>
        <v>83.389925219647793</v>
      </c>
      <c r="BB11">
        <f>IF(OR(Calc_오픈정렬!$F11="",Calc_오픈정렬!BB11=""),"",Calc_오픈정렬!BB11/Calc_오픈정렬!$F11*100)</f>
        <v>86.716708815220571</v>
      </c>
      <c r="BC11">
        <f>IF(OR(Calc_오픈정렬!$F11="",Calc_오픈정렬!BC11=""),"",Calc_오픈정렬!BC11/Calc_오픈정렬!$F11*100)</f>
        <v>94.202763780323863</v>
      </c>
      <c r="BD11">
        <f>IF(OR(Calc_오픈정렬!$F11="",Calc_오픈정렬!BD11=""),"",Calc_오픈정렬!BD11/Calc_오픈정렬!$F11*100)</f>
        <v>84.731190715545168</v>
      </c>
      <c r="BE11">
        <f>IF(OR(Calc_오픈정렬!$F11="",Calc_오픈정렬!BE11=""),"",Calc_오픈정렬!BE11/Calc_오픈정렬!$F11*100)</f>
        <v>92.963881725828855</v>
      </c>
      <c r="BF11">
        <f>IF(OR(Calc_오픈정렬!$F11="",Calc_오픈정렬!BF11=""),"",Calc_오픈정렬!BF11/Calc_오픈정렬!$F11*100)</f>
        <v>94.373190324956425</v>
      </c>
      <c r="BG11" t="str">
        <f>IF(OR(Calc_오픈정렬!$F11="",Calc_오픈정렬!BG11=""),"",Calc_오픈정렬!BG11/Calc_오픈정렬!$F11*100)</f>
        <v/>
      </c>
      <c r="BH11" t="str">
        <f>IF(OR(Calc_오픈정렬!$F11="",Calc_오픈정렬!BH11=""),"",Calc_오픈정렬!BH11/Calc_오픈정렬!$F11*100)</f>
        <v/>
      </c>
      <c r="BI11" t="str">
        <f>IF(OR(Calc_오픈정렬!$F11="",Calc_오픈정렬!BI11=""),"",Calc_오픈정렬!BI11/Calc_오픈정렬!$F11*100)</f>
        <v/>
      </c>
      <c r="BJ11" t="str">
        <f>IF(OR(Calc_오픈정렬!$F11="",Calc_오픈정렬!BJ11=""),"",Calc_오픈정렬!BJ11/Calc_오픈정렬!$F11*100)</f>
        <v/>
      </c>
      <c r="BK11" t="str">
        <f>IF(OR(Calc_오픈정렬!$F11="",Calc_오픈정렬!BK11=""),"",Calc_오픈정렬!BK11/Calc_오픈정렬!$F11*100)</f>
        <v/>
      </c>
      <c r="BL11" t="str">
        <f>IF(OR(Calc_오픈정렬!$F11="",Calc_오픈정렬!BL11=""),"",Calc_오픈정렬!BL11/Calc_오픈정렬!$F11*100)</f>
        <v/>
      </c>
      <c r="BM11" t="str">
        <f>IF(OR(Calc_오픈정렬!$F11="",Calc_오픈정렬!BM11=""),"",Calc_오픈정렬!BM11/Calc_오픈정렬!$F11*100)</f>
        <v/>
      </c>
      <c r="BN11" t="str">
        <f>IF(OR(Calc_오픈정렬!$F11="",Calc_오픈정렬!BN11=""),"",Calc_오픈정렬!BN11/Calc_오픈정렬!$F11*100)</f>
        <v/>
      </c>
    </row>
    <row r="12" spans="1:66" x14ac:dyDescent="0.4">
      <c r="A12" t="str">
        <f>Calc_오픈정렬!A12</f>
        <v>(0011) 천안성정공원점</v>
      </c>
      <c r="B12" t="str">
        <f>Calc_오픈정렬!B12</f>
        <v>150-2</v>
      </c>
      <c r="C12">
        <f>Calc_오픈정렬!C12</f>
        <v>2</v>
      </c>
      <c r="D12" t="str">
        <f>Calc_오픈정렬!D12</f>
        <v>2</v>
      </c>
      <c r="E12" s="1">
        <f>Calc_오픈정렬!E12</f>
        <v>44896</v>
      </c>
      <c r="F12">
        <f>Calc_오픈정렬!F12</f>
        <v>6437780.4327665046</v>
      </c>
      <c r="G12">
        <f>IF(OR(Calc_오픈정렬!$F12="",Calc_오픈정렬!G12=""),"",Calc_오픈정렬!G12/Calc_오픈정렬!$F12*100)</f>
        <v>57.066474467018637</v>
      </c>
      <c r="H12">
        <f>IF(OR(Calc_오픈정렬!$F12="",Calc_오픈정렬!H12=""),"",Calc_오픈정렬!H12/Calc_오픈정렬!$F12*100)</f>
        <v>76.218037893952854</v>
      </c>
      <c r="I12">
        <f>IF(OR(Calc_오픈정렬!$F12="",Calc_오픈정렬!I12=""),"",Calc_오픈정렬!I12/Calc_오픈정렬!$F12*100)</f>
        <v>81.67685258617999</v>
      </c>
      <c r="J12">
        <f>IF(OR(Calc_오픈정렬!$F12="",Calc_오픈정렬!J12=""),"",Calc_오픈정렬!J12/Calc_오픈정렬!$F12*100)</f>
        <v>92.875382522809176</v>
      </c>
      <c r="K12">
        <f>IF(OR(Calc_오픈정렬!$F12="",Calc_오픈정렬!K12=""),"",Calc_오픈정렬!K12/Calc_오픈정렬!$F12*100)</f>
        <v>98.246221807517685</v>
      </c>
      <c r="L12">
        <f>IF(OR(Calc_오픈정렬!$F12="",Calc_오픈정렬!L12=""),"",Calc_오픈정렬!L12/Calc_오픈정렬!$F12*100)</f>
        <v>91.342057180416475</v>
      </c>
      <c r="M12">
        <f>IF(OR(Calc_오픈정렬!$F12="",Calc_오픈정렬!M12=""),"",Calc_오픈정렬!M12/Calc_오픈정렬!$F12*100)</f>
        <v>93.281714077724615</v>
      </c>
      <c r="N12">
        <f>IF(OR(Calc_오픈정렬!$F12="",Calc_오픈정렬!N12=""),"",Calc_오픈정렬!N12/Calc_오픈정렬!$F12*100)</f>
        <v>116.61999485732122</v>
      </c>
      <c r="O12">
        <f>IF(OR(Calc_오픈정렬!$F12="",Calc_오픈정렬!O12=""),"",Calc_오픈정렬!O12/Calc_오픈정렬!$F12*100)</f>
        <v>107.63462955421086</v>
      </c>
      <c r="P12">
        <f>IF(OR(Calc_오픈정렬!$F12="",Calc_오픈정렬!P12=""),"",Calc_오픈정렬!P12/Calc_오픈정렬!$F12*100)</f>
        <v>108.13349608953456</v>
      </c>
      <c r="Q12">
        <f>IF(OR(Calc_오픈정렬!$F12="",Calc_오픈정렬!Q12=""),"",Calc_오픈정렬!Q12/Calc_오픈정렬!$F12*100)</f>
        <v>96.187386424047759</v>
      </c>
      <c r="R12">
        <f>IF(OR(Calc_오픈정렬!$F12="",Calc_오픈정렬!R12=""),"",Calc_오픈정렬!R12/Calc_오픈정렬!$F12*100)</f>
        <v>104.0767389639222</v>
      </c>
      <c r="S12">
        <f>IF(OR(Calc_오픈정렬!$F12="",Calc_오픈정렬!S12=""),"",Calc_오픈정렬!S12/Calc_오픈정렬!$F12*100)</f>
        <v>99.606043504243218</v>
      </c>
      <c r="T12">
        <f>IF(OR(Calc_오픈정렬!$F12="",Calc_오픈정렬!T12=""),"",Calc_오픈정렬!T12/Calc_오픈정렬!$F12*100)</f>
        <v>107.00793215326459</v>
      </c>
      <c r="U12">
        <f>IF(OR(Calc_오픈정렬!$F12="",Calc_오픈정렬!U12=""),"",Calc_오픈정렬!U12/Calc_오픈정렬!$F12*100)</f>
        <v>105.8373152461547</v>
      </c>
      <c r="V12">
        <f>IF(OR(Calc_오픈정렬!$F12="",Calc_오픈정렬!V12=""),"",Calc_오픈정렬!V12/Calc_오픈정렬!$F12*100)</f>
        <v>106.30714502965779</v>
      </c>
      <c r="W12">
        <f>IF(OR(Calc_오픈정렬!$F12="",Calc_오픈정렬!W12=""),"",Calc_오픈정렬!W12/Calc_오픈정렬!$F12*100)</f>
        <v>107.34375595041486</v>
      </c>
      <c r="X12">
        <f>IF(OR(Calc_오픈정렬!$F12="",Calc_오픈정렬!X12=""),"",Calc_오픈정렬!X12/Calc_오픈정렬!$F12*100)</f>
        <v>99.758617426614578</v>
      </c>
      <c r="Y12">
        <f>IF(OR(Calc_오픈정렬!$F12="",Calc_오픈정렬!Y12=""),"",Calc_오픈정렬!Y12/Calc_오픈정렬!$F12*100)</f>
        <v>95.298624172631577</v>
      </c>
      <c r="Z12">
        <f>IF(OR(Calc_오픈정렬!$F12="",Calc_오픈정렬!Z12=""),"",Calc_오픈정렬!Z12/Calc_오픈정렬!$F12*100)</f>
        <v>126.92244173727299</v>
      </c>
      <c r="AA12">
        <f>IF(OR(Calc_오픈정렬!$F12="",Calc_오픈정렬!AA12=""),"",Calc_오픈정렬!AA12/Calc_오픈정렬!$F12*100)</f>
        <v>115.75235994523973</v>
      </c>
      <c r="AB12">
        <f>IF(OR(Calc_오픈정렬!$F12="",Calc_오픈정렬!AB12=""),"",Calc_오픈정렬!AB12/Calc_오픈정렬!$F12*100)</f>
        <v>114.39577524255327</v>
      </c>
      <c r="AC12">
        <f>IF(OR(Calc_오픈정렬!$F12="",Calc_오픈정렬!AC12=""),"",Calc_오픈정렬!AC12/Calc_오픈정렬!$F12*100)</f>
        <v>104.56004287266909</v>
      </c>
      <c r="AD12">
        <f>IF(OR(Calc_오픈정렬!$F12="",Calc_오픈정렬!AD12=""),"",Calc_오픈정렬!AD12/Calc_오픈정렬!$F12*100)</f>
        <v>105.41086102599321</v>
      </c>
      <c r="AE12">
        <f>IF(OR(Calc_오픈정렬!$F12="",Calc_오픈정렬!AE12=""),"",Calc_오픈정렬!AE12/Calc_오픈정렬!$F12*100)</f>
        <v>108.67060880962916</v>
      </c>
      <c r="AF12">
        <f>IF(OR(Calc_오픈정렬!$F12="",Calc_오픈정렬!AF12=""),"",Calc_오픈정렬!AF12/Calc_오픈정렬!$F12*100)</f>
        <v>127.51206088426596</v>
      </c>
      <c r="AG12">
        <f>IF(OR(Calc_오픈정렬!$F12="",Calc_오픈정렬!AG12=""),"",Calc_오픈정렬!AG12/Calc_오픈정렬!$F12*100)</f>
        <v>106.91337829274923</v>
      </c>
      <c r="AH12">
        <f>IF(OR(Calc_오픈정렬!$F12="",Calc_오픈정렬!AH12=""),"",Calc_오픈정렬!AH12/Calc_오픈정렬!$F12*100)</f>
        <v>97.702984161688406</v>
      </c>
      <c r="AI12">
        <f>IF(OR(Calc_오픈정렬!$F12="",Calc_오픈정렬!AI12=""),"",Calc_오픈정렬!AI12/Calc_오픈정렬!$F12*100)</f>
        <v>118.97169167734442</v>
      </c>
      <c r="AJ12">
        <f>IF(OR(Calc_오픈정렬!$F12="",Calc_오픈정렬!AJ12=""),"",Calc_오픈정렬!AJ12/Calc_오픈정렬!$F12*100)</f>
        <v>110.03032365015024</v>
      </c>
      <c r="AK12">
        <f>IF(OR(Calc_오픈정렬!$F12="",Calc_오픈정렬!AK12=""),"",Calc_오픈정렬!AK12/Calc_오픈정렬!$F12*100)</f>
        <v>110.57491220152215</v>
      </c>
      <c r="AL12">
        <f>IF(OR(Calc_오픈정렬!$F12="",Calc_오픈정렬!AL12=""),"",Calc_오픈정렬!AL12/Calc_오픈정렬!$F12*100)</f>
        <v>110.42781294435373</v>
      </c>
      <c r="AM12">
        <f>IF(OR(Calc_오픈정렬!$F12="",Calc_오픈정렬!AM12=""),"",Calc_오픈정렬!AM12/Calc_오픈정렬!$F12*100)</f>
        <v>115.20497749880086</v>
      </c>
      <c r="AN12">
        <f>IF(OR(Calc_오픈정렬!$F12="",Calc_오픈정렬!AN12=""),"",Calc_오픈정렬!AN12/Calc_오픈정렬!$F12*100)</f>
        <v>107.34879132164235</v>
      </c>
      <c r="AO12">
        <f>IF(OR(Calc_오픈정렬!$F12="",Calc_오픈정렬!AO12=""),"",Calc_오픈정렬!AO12/Calc_오픈정렬!$F12*100)</f>
        <v>108.50214006201789</v>
      </c>
      <c r="AP12">
        <f>IF(OR(Calc_오픈정렬!$F12="",Calc_오픈정렬!AP12=""),"",Calc_오픈정렬!AP12/Calc_오픈정렬!$F12*100)</f>
        <v>117.98311887462647</v>
      </c>
      <c r="AQ12">
        <f>IF(OR(Calc_오픈정렬!$F12="",Calc_오픈정렬!AQ12=""),"",Calc_오픈정렬!AQ12/Calc_오픈정렬!$F12*100)</f>
        <v>107.8836602296342</v>
      </c>
      <c r="AR12">
        <f>IF(OR(Calc_오픈정렬!$F12="",Calc_오픈정렬!AR12=""),"",Calc_오픈정렬!AR12/Calc_오픈정렬!$F12*100)</f>
        <v>134.70516881884234</v>
      </c>
      <c r="AS12">
        <f>IF(OR(Calc_오픈정렬!$F12="",Calc_오픈정렬!AS12=""),"",Calc_오픈정렬!AS12/Calc_오픈정렬!$F12*100)</f>
        <v>139.12100125287768</v>
      </c>
      <c r="AT12">
        <f>IF(OR(Calc_오픈정렬!$F12="",Calc_오픈정렬!AT12=""),"",Calc_오픈정렬!AT12/Calc_오픈정렬!$F12*100)</f>
        <v>118.67699503031186</v>
      </c>
      <c r="AU12">
        <f>IF(OR(Calc_오픈정렬!$F12="",Calc_오픈정렬!AU12=""),"",Calc_오픈정렬!AU12/Calc_오픈정렬!$F12*100)</f>
        <v>125.60498168220391</v>
      </c>
      <c r="AV12">
        <f>IF(OR(Calc_오픈정렬!$F12="",Calc_오픈정렬!AV12=""),"",Calc_오픈정렬!AV12/Calc_오픈정렬!$F12*100)</f>
        <v>109.48265460169115</v>
      </c>
      <c r="AW12" t="str">
        <f>IF(OR(Calc_오픈정렬!$F12="",Calc_오픈정렬!AW12=""),"",Calc_오픈정렬!AW12/Calc_오픈정렬!$F12*100)</f>
        <v/>
      </c>
      <c r="AX12" t="str">
        <f>IF(OR(Calc_오픈정렬!$F12="",Calc_오픈정렬!AX12=""),"",Calc_오픈정렬!AX12/Calc_오픈정렬!$F12*100)</f>
        <v/>
      </c>
      <c r="AY12" t="str">
        <f>IF(OR(Calc_오픈정렬!$F12="",Calc_오픈정렬!AY12=""),"",Calc_오픈정렬!AY12/Calc_오픈정렬!$F12*100)</f>
        <v/>
      </c>
      <c r="AZ12" t="str">
        <f>IF(OR(Calc_오픈정렬!$F12="",Calc_오픈정렬!AZ12=""),"",Calc_오픈정렬!AZ12/Calc_오픈정렬!$F12*100)</f>
        <v/>
      </c>
      <c r="BA12" t="str">
        <f>IF(OR(Calc_오픈정렬!$F12="",Calc_오픈정렬!BA12=""),"",Calc_오픈정렬!BA12/Calc_오픈정렬!$F12*100)</f>
        <v/>
      </c>
      <c r="BB12" t="str">
        <f>IF(OR(Calc_오픈정렬!$F12="",Calc_오픈정렬!BB12=""),"",Calc_오픈정렬!BB12/Calc_오픈정렬!$F12*100)</f>
        <v/>
      </c>
      <c r="BC12" t="str">
        <f>IF(OR(Calc_오픈정렬!$F12="",Calc_오픈정렬!BC12=""),"",Calc_오픈정렬!BC12/Calc_오픈정렬!$F12*100)</f>
        <v/>
      </c>
      <c r="BD12" t="str">
        <f>IF(OR(Calc_오픈정렬!$F12="",Calc_오픈정렬!BD12=""),"",Calc_오픈정렬!BD12/Calc_오픈정렬!$F12*100)</f>
        <v/>
      </c>
      <c r="BE12" t="str">
        <f>IF(OR(Calc_오픈정렬!$F12="",Calc_오픈정렬!BE12=""),"",Calc_오픈정렬!BE12/Calc_오픈정렬!$F12*100)</f>
        <v/>
      </c>
      <c r="BF12" t="str">
        <f>IF(OR(Calc_오픈정렬!$F12="",Calc_오픈정렬!BF12=""),"",Calc_오픈정렬!BF12/Calc_오픈정렬!$F12*100)</f>
        <v/>
      </c>
      <c r="BG12" t="str">
        <f>IF(OR(Calc_오픈정렬!$F12="",Calc_오픈정렬!BG12=""),"",Calc_오픈정렬!BG12/Calc_오픈정렬!$F12*100)</f>
        <v/>
      </c>
      <c r="BH12" t="str">
        <f>IF(OR(Calc_오픈정렬!$F12="",Calc_오픈정렬!BH12=""),"",Calc_오픈정렬!BH12/Calc_오픈정렬!$F12*100)</f>
        <v/>
      </c>
      <c r="BI12" t="str">
        <f>IF(OR(Calc_오픈정렬!$F12="",Calc_오픈정렬!BI12=""),"",Calc_오픈정렬!BI12/Calc_오픈정렬!$F12*100)</f>
        <v/>
      </c>
      <c r="BJ12" t="str">
        <f>IF(OR(Calc_오픈정렬!$F12="",Calc_오픈정렬!BJ12=""),"",Calc_오픈정렬!BJ12/Calc_오픈정렬!$F12*100)</f>
        <v/>
      </c>
      <c r="BK12" t="str">
        <f>IF(OR(Calc_오픈정렬!$F12="",Calc_오픈정렬!BK12=""),"",Calc_오픈정렬!BK12/Calc_오픈정렬!$F12*100)</f>
        <v/>
      </c>
      <c r="BL12" t="str">
        <f>IF(OR(Calc_오픈정렬!$F12="",Calc_오픈정렬!BL12=""),"",Calc_오픈정렬!BL12/Calc_오픈정렬!$F12*100)</f>
        <v/>
      </c>
      <c r="BM12" t="str">
        <f>IF(OR(Calc_오픈정렬!$F12="",Calc_오픈정렬!BM12=""),"",Calc_오픈정렬!BM12/Calc_오픈정렬!$F12*100)</f>
        <v/>
      </c>
      <c r="BN12" t="str">
        <f>IF(OR(Calc_오픈정렬!$F12="",Calc_오픈정렬!BN12=""),"",Calc_오픈정렬!BN12/Calc_오픈정렬!$F12*100)</f>
        <v/>
      </c>
    </row>
    <row r="13" spans="1:66" x14ac:dyDescent="0.4">
      <c r="A13" t="str">
        <f>Calc_오픈정렬!A13</f>
        <v>(0012) 우송대북문점</v>
      </c>
      <c r="B13" t="str">
        <f>Calc_오픈정렬!B13</f>
        <v>150-1</v>
      </c>
      <c r="C13">
        <f>Calc_오픈정렬!C13</f>
        <v>1</v>
      </c>
      <c r="D13" t="str">
        <f>Calc_오픈정렬!D13</f>
        <v>1</v>
      </c>
      <c r="E13" s="1">
        <f>Calc_오픈정렬!E13</f>
        <v>45474</v>
      </c>
      <c r="F13">
        <f>Calc_오픈정렬!F13</f>
        <v>4048385.5851593553</v>
      </c>
      <c r="G13">
        <f>IF(OR(Calc_오픈정렬!$F13="",Calc_오픈정렬!G13=""),"",Calc_오픈정렬!G13/Calc_오픈정렬!$F13*100)</f>
        <v>66.42699251161757</v>
      </c>
      <c r="H13">
        <f>IF(OR(Calc_오픈정렬!$F13="",Calc_오픈정렬!H13=""),"",Calc_오픈정렬!H13/Calc_오픈정렬!$F13*100)</f>
        <v>72.128718684039185</v>
      </c>
      <c r="I13">
        <f>IF(OR(Calc_오픈정렬!$F13="",Calc_오픈정렬!I13=""),"",Calc_오픈정렬!I13/Calc_오픈정렬!$F13*100)</f>
        <v>100.13078906611213</v>
      </c>
      <c r="J13">
        <f>IF(OR(Calc_오픈정렬!$F13="",Calc_오픈정렬!J13=""),"",Calc_오픈정렬!J13/Calc_오픈정렬!$F13*100)</f>
        <v>90.703626829495548</v>
      </c>
      <c r="K13">
        <f>IF(OR(Calc_오픈정렬!$F13="",Calc_오픈정렬!K13=""),"",Calc_오픈정렬!K13/Calc_오픈정렬!$F13*100)</f>
        <v>92.55716995265044</v>
      </c>
      <c r="L13">
        <f>IF(OR(Calc_오픈정렬!$F13="",Calc_오픈정렬!L13=""),"",Calc_오픈정렬!L13/Calc_오픈정렬!$F13*100)</f>
        <v>98.893894874024539</v>
      </c>
      <c r="M13">
        <f>IF(OR(Calc_오픈정렬!$F13="",Calc_오픈정렬!M13=""),"",Calc_오픈정렬!M13/Calc_오픈정렬!$F13*100)</f>
        <v>109.3475615753667</v>
      </c>
      <c r="N13">
        <f>IF(OR(Calc_오픈정렬!$F13="",Calc_오픈정렬!N13=""),"",Calc_오픈정렬!N13/Calc_오픈정렬!$F13*100)</f>
        <v>101.2896252219435</v>
      </c>
      <c r="O13">
        <f>IF(OR(Calc_오픈정렬!$F13="",Calc_오픈정렬!O13=""),"",Calc_오픈정렬!O13/Calc_오픈정렬!$F13*100)</f>
        <v>107.20812154651927</v>
      </c>
      <c r="P13">
        <f>IF(OR(Calc_오픈정렬!$F13="",Calc_오픈정렬!P13=""),"",Calc_오픈정렬!P13/Calc_오픈정렬!$F13*100)</f>
        <v>92.304770812974141</v>
      </c>
      <c r="Q13">
        <f>IF(OR(Calc_오픈정렬!$F13="",Calc_오픈정렬!Q13=""),"",Calc_오픈정렬!Q13/Calc_오픈정렬!$F13*100)</f>
        <v>107.19276773359535</v>
      </c>
      <c r="R13">
        <f>IF(OR(Calc_오픈정렬!$F13="",Calc_오픈정렬!R13=""),"",Calc_오픈정렬!R13/Calc_오픈정렬!$F13*100)</f>
        <v>93.289776668897801</v>
      </c>
      <c r="S13">
        <f>IF(OR(Calc_오픈정렬!$F13="",Calc_오픈정렬!S13=""),"",Calc_오픈정렬!S13/Calc_오픈정렬!$F13*100)</f>
        <v>75.545884955841984</v>
      </c>
      <c r="T13">
        <f>IF(OR(Calc_오픈정렬!$F13="",Calc_오픈정렬!T13=""),"",Calc_오픈정렬!T13/Calc_오픈정렬!$F13*100)</f>
        <v>80.079708265834526</v>
      </c>
      <c r="U13">
        <f>IF(OR(Calc_오픈정렬!$F13="",Calc_오픈정렬!U13=""),"",Calc_오픈정렬!U13/Calc_오픈정렬!$F13*100)</f>
        <v>120.27492224412322</v>
      </c>
      <c r="V13">
        <f>IF(OR(Calc_오픈정렬!$F13="",Calc_오픈정렬!V13=""),"",Calc_오픈정렬!V13/Calc_오픈정렬!$F13*100)</f>
        <v>108.3720156021049</v>
      </c>
      <c r="W13">
        <f>IF(OR(Calc_오픈정렬!$F13="",Calc_오픈정렬!W13=""),"",Calc_오픈정렬!W13/Calc_오픈정렬!$F13*100)</f>
        <v>107.96996004289012</v>
      </c>
      <c r="X13">
        <f>IF(OR(Calc_오픈정렬!$F13="",Calc_오픈정렬!X13=""),"",Calc_오픈정렬!X13/Calc_오픈정렬!$F13*100)</f>
        <v>119.44479683757274</v>
      </c>
      <c r="Y13">
        <f>IF(OR(Calc_오픈정렬!$F13="",Calc_오픈정렬!Y13=""),"",Calc_오픈정렬!Y13/Calc_오픈정렬!$F13*100)</f>
        <v>111.79949288208874</v>
      </c>
      <c r="Z13">
        <f>IF(OR(Calc_오픈정렬!$F13="",Calc_오픈정렬!Z13=""),"",Calc_오픈정렬!Z13/Calc_오픈정렬!$F13*100)</f>
        <v>142.37928281060391</v>
      </c>
      <c r="AA13">
        <f>IF(OR(Calc_오픈정렬!$F13="",Calc_오픈정렬!AA13=""),"",Calc_오픈정렬!AA13/Calc_오픈정렬!$F13*100)</f>
        <v>137.09107882990116</v>
      </c>
      <c r="AB13">
        <f>IF(OR(Calc_오픈정렬!$F13="",Calc_오픈정렬!AB13=""),"",Calc_오픈정렬!AB13/Calc_오픈정렬!$F13*100)</f>
        <v>121.12559843346855</v>
      </c>
      <c r="AC13">
        <f>IF(OR(Calc_오픈정렬!$F13="",Calc_오픈정렬!AC13=""),"",Calc_오픈정렬!AC13/Calc_오픈정렬!$F13*100)</f>
        <v>113.04696019773593</v>
      </c>
      <c r="AD13" t="str">
        <f>IF(OR(Calc_오픈정렬!$F13="",Calc_오픈정렬!AD13=""),"",Calc_오픈정렬!AD13/Calc_오픈정렬!$F13*100)</f>
        <v/>
      </c>
      <c r="AE13" t="str">
        <f>IF(OR(Calc_오픈정렬!$F13="",Calc_오픈정렬!AE13=""),"",Calc_오픈정렬!AE13/Calc_오픈정렬!$F13*100)</f>
        <v/>
      </c>
      <c r="AF13" t="str">
        <f>IF(OR(Calc_오픈정렬!$F13="",Calc_오픈정렬!AF13=""),"",Calc_오픈정렬!AF13/Calc_오픈정렬!$F13*100)</f>
        <v/>
      </c>
      <c r="AG13" t="str">
        <f>IF(OR(Calc_오픈정렬!$F13="",Calc_오픈정렬!AG13=""),"",Calc_오픈정렬!AG13/Calc_오픈정렬!$F13*100)</f>
        <v/>
      </c>
      <c r="AH13" t="str">
        <f>IF(OR(Calc_오픈정렬!$F13="",Calc_오픈정렬!AH13=""),"",Calc_오픈정렬!AH13/Calc_오픈정렬!$F13*100)</f>
        <v/>
      </c>
      <c r="AI13" t="str">
        <f>IF(OR(Calc_오픈정렬!$F13="",Calc_오픈정렬!AI13=""),"",Calc_오픈정렬!AI13/Calc_오픈정렬!$F13*100)</f>
        <v/>
      </c>
      <c r="AJ13" t="str">
        <f>IF(OR(Calc_오픈정렬!$F13="",Calc_오픈정렬!AJ13=""),"",Calc_오픈정렬!AJ13/Calc_오픈정렬!$F13*100)</f>
        <v/>
      </c>
      <c r="AK13" t="str">
        <f>IF(OR(Calc_오픈정렬!$F13="",Calc_오픈정렬!AK13=""),"",Calc_오픈정렬!AK13/Calc_오픈정렬!$F13*100)</f>
        <v/>
      </c>
      <c r="AL13" t="str">
        <f>IF(OR(Calc_오픈정렬!$F13="",Calc_오픈정렬!AL13=""),"",Calc_오픈정렬!AL13/Calc_오픈정렬!$F13*100)</f>
        <v/>
      </c>
      <c r="AM13" t="str">
        <f>IF(OR(Calc_오픈정렬!$F13="",Calc_오픈정렬!AM13=""),"",Calc_오픈정렬!AM13/Calc_오픈정렬!$F13*100)</f>
        <v/>
      </c>
      <c r="AN13" t="str">
        <f>IF(OR(Calc_오픈정렬!$F13="",Calc_오픈정렬!AN13=""),"",Calc_오픈정렬!AN13/Calc_오픈정렬!$F13*100)</f>
        <v/>
      </c>
      <c r="AO13" t="str">
        <f>IF(OR(Calc_오픈정렬!$F13="",Calc_오픈정렬!AO13=""),"",Calc_오픈정렬!AO13/Calc_오픈정렬!$F13*100)</f>
        <v/>
      </c>
      <c r="AP13" t="str">
        <f>IF(OR(Calc_오픈정렬!$F13="",Calc_오픈정렬!AP13=""),"",Calc_오픈정렬!AP13/Calc_오픈정렬!$F13*100)</f>
        <v/>
      </c>
      <c r="AQ13" t="str">
        <f>IF(OR(Calc_오픈정렬!$F13="",Calc_오픈정렬!AQ13=""),"",Calc_오픈정렬!AQ13/Calc_오픈정렬!$F13*100)</f>
        <v/>
      </c>
      <c r="AR13" t="str">
        <f>IF(OR(Calc_오픈정렬!$F13="",Calc_오픈정렬!AR13=""),"",Calc_오픈정렬!AR13/Calc_오픈정렬!$F13*100)</f>
        <v/>
      </c>
      <c r="AS13" t="str">
        <f>IF(OR(Calc_오픈정렬!$F13="",Calc_오픈정렬!AS13=""),"",Calc_오픈정렬!AS13/Calc_오픈정렬!$F13*100)</f>
        <v/>
      </c>
      <c r="AT13" t="str">
        <f>IF(OR(Calc_오픈정렬!$F13="",Calc_오픈정렬!AT13=""),"",Calc_오픈정렬!AT13/Calc_오픈정렬!$F13*100)</f>
        <v/>
      </c>
      <c r="AU13" t="str">
        <f>IF(OR(Calc_오픈정렬!$F13="",Calc_오픈정렬!AU13=""),"",Calc_오픈정렬!AU13/Calc_오픈정렬!$F13*100)</f>
        <v/>
      </c>
      <c r="AV13" t="str">
        <f>IF(OR(Calc_오픈정렬!$F13="",Calc_오픈정렬!AV13=""),"",Calc_오픈정렬!AV13/Calc_오픈정렬!$F13*100)</f>
        <v/>
      </c>
      <c r="AW13" t="str">
        <f>IF(OR(Calc_오픈정렬!$F13="",Calc_오픈정렬!AW13=""),"",Calc_오픈정렬!AW13/Calc_오픈정렬!$F13*100)</f>
        <v/>
      </c>
      <c r="AX13" t="str">
        <f>IF(OR(Calc_오픈정렬!$F13="",Calc_오픈정렬!AX13=""),"",Calc_오픈정렬!AX13/Calc_오픈정렬!$F13*100)</f>
        <v/>
      </c>
      <c r="AY13" t="str">
        <f>IF(OR(Calc_오픈정렬!$F13="",Calc_오픈정렬!AY13=""),"",Calc_오픈정렬!AY13/Calc_오픈정렬!$F13*100)</f>
        <v/>
      </c>
      <c r="AZ13" t="str">
        <f>IF(OR(Calc_오픈정렬!$F13="",Calc_오픈정렬!AZ13=""),"",Calc_오픈정렬!AZ13/Calc_오픈정렬!$F13*100)</f>
        <v/>
      </c>
      <c r="BA13" t="str">
        <f>IF(OR(Calc_오픈정렬!$F13="",Calc_오픈정렬!BA13=""),"",Calc_오픈정렬!BA13/Calc_오픈정렬!$F13*100)</f>
        <v/>
      </c>
      <c r="BB13" t="str">
        <f>IF(OR(Calc_오픈정렬!$F13="",Calc_오픈정렬!BB13=""),"",Calc_오픈정렬!BB13/Calc_오픈정렬!$F13*100)</f>
        <v/>
      </c>
      <c r="BC13" t="str">
        <f>IF(OR(Calc_오픈정렬!$F13="",Calc_오픈정렬!BC13=""),"",Calc_오픈정렬!BC13/Calc_오픈정렬!$F13*100)</f>
        <v/>
      </c>
      <c r="BD13" t="str">
        <f>IF(OR(Calc_오픈정렬!$F13="",Calc_오픈정렬!BD13=""),"",Calc_오픈정렬!BD13/Calc_오픈정렬!$F13*100)</f>
        <v/>
      </c>
      <c r="BE13" t="str">
        <f>IF(OR(Calc_오픈정렬!$F13="",Calc_오픈정렬!BE13=""),"",Calc_오픈정렬!BE13/Calc_오픈정렬!$F13*100)</f>
        <v/>
      </c>
      <c r="BF13" t="str">
        <f>IF(OR(Calc_오픈정렬!$F13="",Calc_오픈정렬!BF13=""),"",Calc_오픈정렬!BF13/Calc_오픈정렬!$F13*100)</f>
        <v/>
      </c>
      <c r="BG13" t="str">
        <f>IF(OR(Calc_오픈정렬!$F13="",Calc_오픈정렬!BG13=""),"",Calc_오픈정렬!BG13/Calc_오픈정렬!$F13*100)</f>
        <v/>
      </c>
      <c r="BH13" t="str">
        <f>IF(OR(Calc_오픈정렬!$F13="",Calc_오픈정렬!BH13=""),"",Calc_오픈정렬!BH13/Calc_오픈정렬!$F13*100)</f>
        <v/>
      </c>
      <c r="BI13" t="str">
        <f>IF(OR(Calc_오픈정렬!$F13="",Calc_오픈정렬!BI13=""),"",Calc_오픈정렬!BI13/Calc_오픈정렬!$F13*100)</f>
        <v/>
      </c>
      <c r="BJ13" t="str">
        <f>IF(OR(Calc_오픈정렬!$F13="",Calc_오픈정렬!BJ13=""),"",Calc_오픈정렬!BJ13/Calc_오픈정렬!$F13*100)</f>
        <v/>
      </c>
      <c r="BK13" t="str">
        <f>IF(OR(Calc_오픈정렬!$F13="",Calc_오픈정렬!BK13=""),"",Calc_오픈정렬!BK13/Calc_오픈정렬!$F13*100)</f>
        <v/>
      </c>
      <c r="BL13" t="str">
        <f>IF(OR(Calc_오픈정렬!$F13="",Calc_오픈정렬!BL13=""),"",Calc_오픈정렬!BL13/Calc_오픈정렬!$F13*100)</f>
        <v/>
      </c>
      <c r="BM13" t="str">
        <f>IF(OR(Calc_오픈정렬!$F13="",Calc_오픈정렬!BM13=""),"",Calc_오픈정렬!BM13/Calc_오픈정렬!$F13*100)</f>
        <v/>
      </c>
      <c r="BN13" t="str">
        <f>IF(OR(Calc_오픈정렬!$F13="",Calc_오픈정렬!BN13=""),"",Calc_오픈정렬!BN13/Calc_오픈정렬!$F13*100)</f>
        <v/>
      </c>
    </row>
    <row r="14" spans="1:66" x14ac:dyDescent="0.4">
      <c r="A14" t="str">
        <f>Calc_오픈정렬!A14</f>
        <v>(0013) 구의역파워점</v>
      </c>
      <c r="B14" t="str">
        <f>Calc_오픈정렬!B14</f>
        <v>150-1</v>
      </c>
      <c r="C14">
        <f>Calc_오픈정렬!C14</f>
        <v>1</v>
      </c>
      <c r="D14" t="str">
        <f>Calc_오픈정렬!D14</f>
        <v>1</v>
      </c>
      <c r="E14" s="1">
        <f>Calc_오픈정렬!E14</f>
        <v>45839</v>
      </c>
      <c r="F14">
        <f>Calc_오픈정렬!F14</f>
        <v>3804711.3060702174</v>
      </c>
      <c r="G14">
        <f>IF(OR(Calc_오픈정렬!$F14="",Calc_오픈정렬!G14=""),"",Calc_오픈정렬!G14/Calc_오픈정렬!$F14*100)</f>
        <v>78.200819599813755</v>
      </c>
      <c r="H14">
        <f>IF(OR(Calc_오픈정렬!$F14="",Calc_오픈정렬!H14=""),"",Calc_오픈정렬!H14/Calc_오픈정렬!$F14*100)</f>
        <v>81.071190624096985</v>
      </c>
      <c r="I14">
        <f>IF(OR(Calc_오픈정렬!$F14="",Calc_오픈정렬!I14=""),"",Calc_오픈정렬!I14/Calc_오픈정렬!$F14*100)</f>
        <v>79.249213557679568</v>
      </c>
      <c r="J14">
        <f>IF(OR(Calc_오픈정렬!$F14="",Calc_오픈정렬!J14=""),"",Calc_오픈정렬!J14/Calc_오픈정렬!$F14*100)</f>
        <v>90.024204375131063</v>
      </c>
      <c r="K14">
        <f>IF(OR(Calc_오픈정렬!$F14="",Calc_오픈정렬!K14=""),"",Calc_오픈정렬!K14/Calc_오픈정렬!$F14*100)</f>
        <v>95.076704180710081</v>
      </c>
      <c r="L14">
        <f>IF(OR(Calc_오픈정렬!$F14="",Calc_오픈정렬!L14=""),"",Calc_오픈정렬!L14/Calc_오픈정렬!$F14*100)</f>
        <v>94.878052328898534</v>
      </c>
      <c r="M14">
        <f>IF(OR(Calc_오픈정렬!$F14="",Calc_오픈정렬!M14=""),"",Calc_오픈정렬!M14/Calc_오픈정렬!$F14*100)</f>
        <v>108.02581216606286</v>
      </c>
      <c r="N14">
        <f>IF(OR(Calc_오픈정렬!$F14="",Calc_오픈정렬!N14=""),"",Calc_오픈정렬!N14/Calc_오픈정렬!$F14*100)</f>
        <v>109.18840111536932</v>
      </c>
      <c r="O14">
        <f>IF(OR(Calc_오픈정렬!$F14="",Calc_오픈정렬!O14=""),"",Calc_오픈정렬!O14/Calc_오픈정렬!$F14*100)</f>
        <v>102.80682583382807</v>
      </c>
      <c r="P14">
        <f>IF(OR(Calc_오픈정렬!$F14="",Calc_오픈정렬!P14=""),"",Calc_오픈정렬!P14/Calc_오픈정렬!$F14*100)</f>
        <v>111.88810281071424</v>
      </c>
      <c r="Q14">
        <f>IF(OR(Calc_오픈정렬!$F14="",Calc_오픈정렬!Q14=""),"",Calc_오픈정렬!Q14/Calc_오픈정렬!$F14*100)</f>
        <v>118.82610252998629</v>
      </c>
      <c r="R14" t="str">
        <f>IF(OR(Calc_오픈정렬!$F14="",Calc_오픈정렬!R14=""),"",Calc_오픈정렬!R14/Calc_오픈정렬!$F14*100)</f>
        <v/>
      </c>
      <c r="S14" t="str">
        <f>IF(OR(Calc_오픈정렬!$F14="",Calc_오픈정렬!S14=""),"",Calc_오픈정렬!S14/Calc_오픈정렬!$F14*100)</f>
        <v/>
      </c>
      <c r="T14" t="str">
        <f>IF(OR(Calc_오픈정렬!$F14="",Calc_오픈정렬!T14=""),"",Calc_오픈정렬!T14/Calc_오픈정렬!$F14*100)</f>
        <v/>
      </c>
      <c r="U14" t="str">
        <f>IF(OR(Calc_오픈정렬!$F14="",Calc_오픈정렬!U14=""),"",Calc_오픈정렬!U14/Calc_오픈정렬!$F14*100)</f>
        <v/>
      </c>
      <c r="V14" t="str">
        <f>IF(OR(Calc_오픈정렬!$F14="",Calc_오픈정렬!V14=""),"",Calc_오픈정렬!V14/Calc_오픈정렬!$F14*100)</f>
        <v/>
      </c>
      <c r="W14" t="str">
        <f>IF(OR(Calc_오픈정렬!$F14="",Calc_오픈정렬!W14=""),"",Calc_오픈정렬!W14/Calc_오픈정렬!$F14*100)</f>
        <v/>
      </c>
      <c r="X14" t="str">
        <f>IF(OR(Calc_오픈정렬!$F14="",Calc_오픈정렬!X14=""),"",Calc_오픈정렬!X14/Calc_오픈정렬!$F14*100)</f>
        <v/>
      </c>
      <c r="Y14" t="str">
        <f>IF(OR(Calc_오픈정렬!$F14="",Calc_오픈정렬!Y14=""),"",Calc_오픈정렬!Y14/Calc_오픈정렬!$F14*100)</f>
        <v/>
      </c>
      <c r="Z14" t="str">
        <f>IF(OR(Calc_오픈정렬!$F14="",Calc_오픈정렬!Z14=""),"",Calc_오픈정렬!Z14/Calc_오픈정렬!$F14*100)</f>
        <v/>
      </c>
      <c r="AA14" t="str">
        <f>IF(OR(Calc_오픈정렬!$F14="",Calc_오픈정렬!AA14=""),"",Calc_오픈정렬!AA14/Calc_오픈정렬!$F14*100)</f>
        <v/>
      </c>
      <c r="AB14" t="str">
        <f>IF(OR(Calc_오픈정렬!$F14="",Calc_오픈정렬!AB14=""),"",Calc_오픈정렬!AB14/Calc_오픈정렬!$F14*100)</f>
        <v/>
      </c>
      <c r="AC14" t="str">
        <f>IF(OR(Calc_오픈정렬!$F14="",Calc_오픈정렬!AC14=""),"",Calc_오픈정렬!AC14/Calc_오픈정렬!$F14*100)</f>
        <v/>
      </c>
      <c r="AD14" t="str">
        <f>IF(OR(Calc_오픈정렬!$F14="",Calc_오픈정렬!AD14=""),"",Calc_오픈정렬!AD14/Calc_오픈정렬!$F14*100)</f>
        <v/>
      </c>
      <c r="AE14" t="str">
        <f>IF(OR(Calc_오픈정렬!$F14="",Calc_오픈정렬!AE14=""),"",Calc_오픈정렬!AE14/Calc_오픈정렬!$F14*100)</f>
        <v/>
      </c>
      <c r="AF14" t="str">
        <f>IF(OR(Calc_오픈정렬!$F14="",Calc_오픈정렬!AF14=""),"",Calc_오픈정렬!AF14/Calc_오픈정렬!$F14*100)</f>
        <v/>
      </c>
      <c r="AG14" t="str">
        <f>IF(OR(Calc_오픈정렬!$F14="",Calc_오픈정렬!AG14=""),"",Calc_오픈정렬!AG14/Calc_오픈정렬!$F14*100)</f>
        <v/>
      </c>
      <c r="AH14" t="str">
        <f>IF(OR(Calc_오픈정렬!$F14="",Calc_오픈정렬!AH14=""),"",Calc_오픈정렬!AH14/Calc_오픈정렬!$F14*100)</f>
        <v/>
      </c>
      <c r="AI14" t="str">
        <f>IF(OR(Calc_오픈정렬!$F14="",Calc_오픈정렬!AI14=""),"",Calc_오픈정렬!AI14/Calc_오픈정렬!$F14*100)</f>
        <v/>
      </c>
      <c r="AJ14" t="str">
        <f>IF(OR(Calc_오픈정렬!$F14="",Calc_오픈정렬!AJ14=""),"",Calc_오픈정렬!AJ14/Calc_오픈정렬!$F14*100)</f>
        <v/>
      </c>
      <c r="AK14" t="str">
        <f>IF(OR(Calc_오픈정렬!$F14="",Calc_오픈정렬!AK14=""),"",Calc_오픈정렬!AK14/Calc_오픈정렬!$F14*100)</f>
        <v/>
      </c>
      <c r="AL14" t="str">
        <f>IF(OR(Calc_오픈정렬!$F14="",Calc_오픈정렬!AL14=""),"",Calc_오픈정렬!AL14/Calc_오픈정렬!$F14*100)</f>
        <v/>
      </c>
      <c r="AM14" t="str">
        <f>IF(OR(Calc_오픈정렬!$F14="",Calc_오픈정렬!AM14=""),"",Calc_오픈정렬!AM14/Calc_오픈정렬!$F14*100)</f>
        <v/>
      </c>
      <c r="AN14" t="str">
        <f>IF(OR(Calc_오픈정렬!$F14="",Calc_오픈정렬!AN14=""),"",Calc_오픈정렬!AN14/Calc_오픈정렬!$F14*100)</f>
        <v/>
      </c>
      <c r="AO14" t="str">
        <f>IF(OR(Calc_오픈정렬!$F14="",Calc_오픈정렬!AO14=""),"",Calc_오픈정렬!AO14/Calc_오픈정렬!$F14*100)</f>
        <v/>
      </c>
      <c r="AP14" t="str">
        <f>IF(OR(Calc_오픈정렬!$F14="",Calc_오픈정렬!AP14=""),"",Calc_오픈정렬!AP14/Calc_오픈정렬!$F14*100)</f>
        <v/>
      </c>
      <c r="AQ14" t="str">
        <f>IF(OR(Calc_오픈정렬!$F14="",Calc_오픈정렬!AQ14=""),"",Calc_오픈정렬!AQ14/Calc_오픈정렬!$F14*100)</f>
        <v/>
      </c>
      <c r="AR14" t="str">
        <f>IF(OR(Calc_오픈정렬!$F14="",Calc_오픈정렬!AR14=""),"",Calc_오픈정렬!AR14/Calc_오픈정렬!$F14*100)</f>
        <v/>
      </c>
      <c r="AS14" t="str">
        <f>IF(OR(Calc_오픈정렬!$F14="",Calc_오픈정렬!AS14=""),"",Calc_오픈정렬!AS14/Calc_오픈정렬!$F14*100)</f>
        <v/>
      </c>
      <c r="AT14" t="str">
        <f>IF(OR(Calc_오픈정렬!$F14="",Calc_오픈정렬!AT14=""),"",Calc_오픈정렬!AT14/Calc_오픈정렬!$F14*100)</f>
        <v/>
      </c>
      <c r="AU14" t="str">
        <f>IF(OR(Calc_오픈정렬!$F14="",Calc_오픈정렬!AU14=""),"",Calc_오픈정렬!AU14/Calc_오픈정렬!$F14*100)</f>
        <v/>
      </c>
      <c r="AV14" t="str">
        <f>IF(OR(Calc_오픈정렬!$F14="",Calc_오픈정렬!AV14=""),"",Calc_오픈정렬!AV14/Calc_오픈정렬!$F14*100)</f>
        <v/>
      </c>
      <c r="AW14" t="str">
        <f>IF(OR(Calc_오픈정렬!$F14="",Calc_오픈정렬!AW14=""),"",Calc_오픈정렬!AW14/Calc_오픈정렬!$F14*100)</f>
        <v/>
      </c>
      <c r="AX14" t="str">
        <f>IF(OR(Calc_오픈정렬!$F14="",Calc_오픈정렬!AX14=""),"",Calc_오픈정렬!AX14/Calc_오픈정렬!$F14*100)</f>
        <v/>
      </c>
      <c r="AY14" t="str">
        <f>IF(OR(Calc_오픈정렬!$F14="",Calc_오픈정렬!AY14=""),"",Calc_오픈정렬!AY14/Calc_오픈정렬!$F14*100)</f>
        <v/>
      </c>
      <c r="AZ14" t="str">
        <f>IF(OR(Calc_오픈정렬!$F14="",Calc_오픈정렬!AZ14=""),"",Calc_오픈정렬!AZ14/Calc_오픈정렬!$F14*100)</f>
        <v/>
      </c>
      <c r="BA14" t="str">
        <f>IF(OR(Calc_오픈정렬!$F14="",Calc_오픈정렬!BA14=""),"",Calc_오픈정렬!BA14/Calc_오픈정렬!$F14*100)</f>
        <v/>
      </c>
      <c r="BB14" t="str">
        <f>IF(OR(Calc_오픈정렬!$F14="",Calc_오픈정렬!BB14=""),"",Calc_오픈정렬!BB14/Calc_오픈정렬!$F14*100)</f>
        <v/>
      </c>
      <c r="BC14" t="str">
        <f>IF(OR(Calc_오픈정렬!$F14="",Calc_오픈정렬!BC14=""),"",Calc_오픈정렬!BC14/Calc_오픈정렬!$F14*100)</f>
        <v/>
      </c>
      <c r="BD14" t="str">
        <f>IF(OR(Calc_오픈정렬!$F14="",Calc_오픈정렬!BD14=""),"",Calc_오픈정렬!BD14/Calc_오픈정렬!$F14*100)</f>
        <v/>
      </c>
      <c r="BE14" t="str">
        <f>IF(OR(Calc_오픈정렬!$F14="",Calc_오픈정렬!BE14=""),"",Calc_오픈정렬!BE14/Calc_오픈정렬!$F14*100)</f>
        <v/>
      </c>
      <c r="BF14" t="str">
        <f>IF(OR(Calc_오픈정렬!$F14="",Calc_오픈정렬!BF14=""),"",Calc_오픈정렬!BF14/Calc_오픈정렬!$F14*100)</f>
        <v/>
      </c>
      <c r="BG14" t="str">
        <f>IF(OR(Calc_오픈정렬!$F14="",Calc_오픈정렬!BG14=""),"",Calc_오픈정렬!BG14/Calc_오픈정렬!$F14*100)</f>
        <v/>
      </c>
      <c r="BH14" t="str">
        <f>IF(OR(Calc_오픈정렬!$F14="",Calc_오픈정렬!BH14=""),"",Calc_오픈정렬!BH14/Calc_오픈정렬!$F14*100)</f>
        <v/>
      </c>
      <c r="BI14" t="str">
        <f>IF(OR(Calc_오픈정렬!$F14="",Calc_오픈정렬!BI14=""),"",Calc_오픈정렬!BI14/Calc_오픈정렬!$F14*100)</f>
        <v/>
      </c>
      <c r="BJ14" t="str">
        <f>IF(OR(Calc_오픈정렬!$F14="",Calc_오픈정렬!BJ14=""),"",Calc_오픈정렬!BJ14/Calc_오픈정렬!$F14*100)</f>
        <v/>
      </c>
      <c r="BK14" t="str">
        <f>IF(OR(Calc_오픈정렬!$F14="",Calc_오픈정렬!BK14=""),"",Calc_오픈정렬!BK14/Calc_오픈정렬!$F14*100)</f>
        <v/>
      </c>
      <c r="BL14" t="str">
        <f>IF(OR(Calc_오픈정렬!$F14="",Calc_오픈정렬!BL14=""),"",Calc_오픈정렬!BL14/Calc_오픈정렬!$F14*100)</f>
        <v/>
      </c>
      <c r="BM14" t="str">
        <f>IF(OR(Calc_오픈정렬!$F14="",Calc_오픈정렬!BM14=""),"",Calc_오픈정렬!BM14/Calc_오픈정렬!$F14*100)</f>
        <v/>
      </c>
      <c r="BN14" t="str">
        <f>IF(OR(Calc_오픈정렬!$F14="",Calc_오픈정렬!BN14=""),"",Calc_오픈정렬!BN14/Calc_오픈정렬!$F14*100)</f>
        <v/>
      </c>
    </row>
    <row r="15" spans="1:66" x14ac:dyDescent="0.4">
      <c r="A15" t="str">
        <f>Calc_오픈정렬!A15</f>
        <v>(0014) 수원서둔골드점</v>
      </c>
      <c r="B15" t="str">
        <f>Calc_오픈정렬!B15</f>
        <v>150-1</v>
      </c>
      <c r="C15">
        <f>Calc_오픈정렬!C15</f>
        <v>1</v>
      </c>
      <c r="D15" t="str">
        <f>Calc_오픈정렬!D15</f>
        <v>1</v>
      </c>
      <c r="E15" s="1">
        <f>Calc_오픈정렬!E15</f>
        <v>45870</v>
      </c>
      <c r="F15">
        <f>Calc_오픈정렬!F15</f>
        <v>3152134.2674766928</v>
      </c>
      <c r="G15">
        <f>IF(OR(Calc_오픈정렬!$F15="",Calc_오픈정렬!G15=""),"",Calc_오픈정렬!G15/Calc_오픈정렬!$F15*100)</f>
        <v>80.120567632319037</v>
      </c>
      <c r="H15">
        <f>IF(OR(Calc_오픈정렬!$F15="",Calc_오픈정렬!H15=""),"",Calc_오픈정렬!H15/Calc_오픈정렬!$F15*100)</f>
        <v>82.592061818111262</v>
      </c>
      <c r="I15">
        <f>IF(OR(Calc_오픈정렬!$F15="",Calc_오픈정렬!I15=""),"",Calc_오픈정렬!I15/Calc_오픈정렬!$F15*100)</f>
        <v>91.468940911271517</v>
      </c>
      <c r="J15">
        <f>IF(OR(Calc_오픈정렬!$F15="",Calc_오픈정렬!J15=""),"",Calc_오픈정렬!J15/Calc_오픈정렬!$F15*100)</f>
        <v>97.691295923459705</v>
      </c>
      <c r="K15">
        <f>IF(OR(Calc_오픈정렬!$F15="",Calc_오픈정렬!K15=""),"",Calc_오픈정렬!K15/Calc_오픈정렬!$F15*100)</f>
        <v>94.039025298449303</v>
      </c>
      <c r="L15">
        <f>IF(OR(Calc_오픈정렬!$F15="",Calc_오픈정렬!L15=""),"",Calc_오픈정렬!L15/Calc_오픈정렬!$F15*100)</f>
        <v>86.960755137308027</v>
      </c>
      <c r="M15">
        <f>IF(OR(Calc_오픈정렬!$F15="",Calc_오픈정렬!M15=""),"",Calc_오픈정렬!M15/Calc_오픈정렬!$F15*100)</f>
        <v>107.71157736281684</v>
      </c>
      <c r="N15">
        <f>IF(OR(Calc_오픈정렬!$F15="",Calc_오픈정렬!N15=""),"",Calc_오픈정렬!N15/Calc_오픈정렬!$F15*100)</f>
        <v>102.1668667266422</v>
      </c>
      <c r="O15">
        <f>IF(OR(Calc_오픈정렬!$F15="",Calc_오픈정렬!O15=""),"",Calc_오픈정렬!O15/Calc_오픈정렬!$F15*100)</f>
        <v>111.43047955132394</v>
      </c>
      <c r="P15">
        <f>IF(OR(Calc_오픈정렬!$F15="",Calc_오픈정렬!P15=""),"",Calc_오픈정렬!P15/Calc_오픈정렬!$F15*100)</f>
        <v>107.38238855440518</v>
      </c>
      <c r="Q15" t="str">
        <f>IF(OR(Calc_오픈정렬!$F15="",Calc_오픈정렬!Q15=""),"",Calc_오픈정렬!Q15/Calc_오픈정렬!$F15*100)</f>
        <v/>
      </c>
      <c r="R15" t="str">
        <f>IF(OR(Calc_오픈정렬!$F15="",Calc_오픈정렬!R15=""),"",Calc_오픈정렬!R15/Calc_오픈정렬!$F15*100)</f>
        <v/>
      </c>
      <c r="S15" t="str">
        <f>IF(OR(Calc_오픈정렬!$F15="",Calc_오픈정렬!S15=""),"",Calc_오픈정렬!S15/Calc_오픈정렬!$F15*100)</f>
        <v/>
      </c>
      <c r="T15" t="str">
        <f>IF(OR(Calc_오픈정렬!$F15="",Calc_오픈정렬!T15=""),"",Calc_오픈정렬!T15/Calc_오픈정렬!$F15*100)</f>
        <v/>
      </c>
      <c r="U15" t="str">
        <f>IF(OR(Calc_오픈정렬!$F15="",Calc_오픈정렬!U15=""),"",Calc_오픈정렬!U15/Calc_오픈정렬!$F15*100)</f>
        <v/>
      </c>
      <c r="V15" t="str">
        <f>IF(OR(Calc_오픈정렬!$F15="",Calc_오픈정렬!V15=""),"",Calc_오픈정렬!V15/Calc_오픈정렬!$F15*100)</f>
        <v/>
      </c>
      <c r="W15" t="str">
        <f>IF(OR(Calc_오픈정렬!$F15="",Calc_오픈정렬!W15=""),"",Calc_오픈정렬!W15/Calc_오픈정렬!$F15*100)</f>
        <v/>
      </c>
      <c r="X15" t="str">
        <f>IF(OR(Calc_오픈정렬!$F15="",Calc_오픈정렬!X15=""),"",Calc_오픈정렬!X15/Calc_오픈정렬!$F15*100)</f>
        <v/>
      </c>
      <c r="Y15" t="str">
        <f>IF(OR(Calc_오픈정렬!$F15="",Calc_오픈정렬!Y15=""),"",Calc_오픈정렬!Y15/Calc_오픈정렬!$F15*100)</f>
        <v/>
      </c>
      <c r="Z15" t="str">
        <f>IF(OR(Calc_오픈정렬!$F15="",Calc_오픈정렬!Z15=""),"",Calc_오픈정렬!Z15/Calc_오픈정렬!$F15*100)</f>
        <v/>
      </c>
      <c r="AA15" t="str">
        <f>IF(OR(Calc_오픈정렬!$F15="",Calc_오픈정렬!AA15=""),"",Calc_오픈정렬!AA15/Calc_오픈정렬!$F15*100)</f>
        <v/>
      </c>
      <c r="AB15" t="str">
        <f>IF(OR(Calc_오픈정렬!$F15="",Calc_오픈정렬!AB15=""),"",Calc_오픈정렬!AB15/Calc_오픈정렬!$F15*100)</f>
        <v/>
      </c>
      <c r="AC15" t="str">
        <f>IF(OR(Calc_오픈정렬!$F15="",Calc_오픈정렬!AC15=""),"",Calc_오픈정렬!AC15/Calc_오픈정렬!$F15*100)</f>
        <v/>
      </c>
      <c r="AD15" t="str">
        <f>IF(OR(Calc_오픈정렬!$F15="",Calc_오픈정렬!AD15=""),"",Calc_오픈정렬!AD15/Calc_오픈정렬!$F15*100)</f>
        <v/>
      </c>
      <c r="AE15" t="str">
        <f>IF(OR(Calc_오픈정렬!$F15="",Calc_오픈정렬!AE15=""),"",Calc_오픈정렬!AE15/Calc_오픈정렬!$F15*100)</f>
        <v/>
      </c>
      <c r="AF15" t="str">
        <f>IF(OR(Calc_오픈정렬!$F15="",Calc_오픈정렬!AF15=""),"",Calc_오픈정렬!AF15/Calc_오픈정렬!$F15*100)</f>
        <v/>
      </c>
      <c r="AG15" t="str">
        <f>IF(OR(Calc_오픈정렬!$F15="",Calc_오픈정렬!AG15=""),"",Calc_오픈정렬!AG15/Calc_오픈정렬!$F15*100)</f>
        <v/>
      </c>
      <c r="AH15" t="str">
        <f>IF(OR(Calc_오픈정렬!$F15="",Calc_오픈정렬!AH15=""),"",Calc_오픈정렬!AH15/Calc_오픈정렬!$F15*100)</f>
        <v/>
      </c>
      <c r="AI15" t="str">
        <f>IF(OR(Calc_오픈정렬!$F15="",Calc_오픈정렬!AI15=""),"",Calc_오픈정렬!AI15/Calc_오픈정렬!$F15*100)</f>
        <v/>
      </c>
      <c r="AJ15" t="str">
        <f>IF(OR(Calc_오픈정렬!$F15="",Calc_오픈정렬!AJ15=""),"",Calc_오픈정렬!AJ15/Calc_오픈정렬!$F15*100)</f>
        <v/>
      </c>
      <c r="AK15" t="str">
        <f>IF(OR(Calc_오픈정렬!$F15="",Calc_오픈정렬!AK15=""),"",Calc_오픈정렬!AK15/Calc_오픈정렬!$F15*100)</f>
        <v/>
      </c>
      <c r="AL15" t="str">
        <f>IF(OR(Calc_오픈정렬!$F15="",Calc_오픈정렬!AL15=""),"",Calc_오픈정렬!AL15/Calc_오픈정렬!$F15*100)</f>
        <v/>
      </c>
      <c r="AM15" t="str">
        <f>IF(OR(Calc_오픈정렬!$F15="",Calc_오픈정렬!AM15=""),"",Calc_오픈정렬!AM15/Calc_오픈정렬!$F15*100)</f>
        <v/>
      </c>
      <c r="AN15" t="str">
        <f>IF(OR(Calc_오픈정렬!$F15="",Calc_오픈정렬!AN15=""),"",Calc_오픈정렬!AN15/Calc_오픈정렬!$F15*100)</f>
        <v/>
      </c>
      <c r="AO15" t="str">
        <f>IF(OR(Calc_오픈정렬!$F15="",Calc_오픈정렬!AO15=""),"",Calc_오픈정렬!AO15/Calc_오픈정렬!$F15*100)</f>
        <v/>
      </c>
      <c r="AP15" t="str">
        <f>IF(OR(Calc_오픈정렬!$F15="",Calc_오픈정렬!AP15=""),"",Calc_오픈정렬!AP15/Calc_오픈정렬!$F15*100)</f>
        <v/>
      </c>
      <c r="AQ15" t="str">
        <f>IF(OR(Calc_오픈정렬!$F15="",Calc_오픈정렬!AQ15=""),"",Calc_오픈정렬!AQ15/Calc_오픈정렬!$F15*100)</f>
        <v/>
      </c>
      <c r="AR15" t="str">
        <f>IF(OR(Calc_오픈정렬!$F15="",Calc_오픈정렬!AR15=""),"",Calc_오픈정렬!AR15/Calc_오픈정렬!$F15*100)</f>
        <v/>
      </c>
      <c r="AS15" t="str">
        <f>IF(OR(Calc_오픈정렬!$F15="",Calc_오픈정렬!AS15=""),"",Calc_오픈정렬!AS15/Calc_오픈정렬!$F15*100)</f>
        <v/>
      </c>
      <c r="AT15" t="str">
        <f>IF(OR(Calc_오픈정렬!$F15="",Calc_오픈정렬!AT15=""),"",Calc_오픈정렬!AT15/Calc_오픈정렬!$F15*100)</f>
        <v/>
      </c>
      <c r="AU15" t="str">
        <f>IF(OR(Calc_오픈정렬!$F15="",Calc_오픈정렬!AU15=""),"",Calc_오픈정렬!AU15/Calc_오픈정렬!$F15*100)</f>
        <v/>
      </c>
      <c r="AV15" t="str">
        <f>IF(OR(Calc_오픈정렬!$F15="",Calc_오픈정렬!AV15=""),"",Calc_오픈정렬!AV15/Calc_오픈정렬!$F15*100)</f>
        <v/>
      </c>
      <c r="AW15" t="str">
        <f>IF(OR(Calc_오픈정렬!$F15="",Calc_오픈정렬!AW15=""),"",Calc_오픈정렬!AW15/Calc_오픈정렬!$F15*100)</f>
        <v/>
      </c>
      <c r="AX15" t="str">
        <f>IF(OR(Calc_오픈정렬!$F15="",Calc_오픈정렬!AX15=""),"",Calc_오픈정렬!AX15/Calc_오픈정렬!$F15*100)</f>
        <v/>
      </c>
      <c r="AY15" t="str">
        <f>IF(OR(Calc_오픈정렬!$F15="",Calc_오픈정렬!AY15=""),"",Calc_오픈정렬!AY15/Calc_오픈정렬!$F15*100)</f>
        <v/>
      </c>
      <c r="AZ15" t="str">
        <f>IF(OR(Calc_오픈정렬!$F15="",Calc_오픈정렬!AZ15=""),"",Calc_오픈정렬!AZ15/Calc_오픈정렬!$F15*100)</f>
        <v/>
      </c>
      <c r="BA15" t="str">
        <f>IF(OR(Calc_오픈정렬!$F15="",Calc_오픈정렬!BA15=""),"",Calc_오픈정렬!BA15/Calc_오픈정렬!$F15*100)</f>
        <v/>
      </c>
      <c r="BB15" t="str">
        <f>IF(OR(Calc_오픈정렬!$F15="",Calc_오픈정렬!BB15=""),"",Calc_오픈정렬!BB15/Calc_오픈정렬!$F15*100)</f>
        <v/>
      </c>
      <c r="BC15" t="str">
        <f>IF(OR(Calc_오픈정렬!$F15="",Calc_오픈정렬!BC15=""),"",Calc_오픈정렬!BC15/Calc_오픈정렬!$F15*100)</f>
        <v/>
      </c>
      <c r="BD15" t="str">
        <f>IF(OR(Calc_오픈정렬!$F15="",Calc_오픈정렬!BD15=""),"",Calc_오픈정렬!BD15/Calc_오픈정렬!$F15*100)</f>
        <v/>
      </c>
      <c r="BE15" t="str">
        <f>IF(OR(Calc_오픈정렬!$F15="",Calc_오픈정렬!BE15=""),"",Calc_오픈정렬!BE15/Calc_오픈정렬!$F15*100)</f>
        <v/>
      </c>
      <c r="BF15" t="str">
        <f>IF(OR(Calc_오픈정렬!$F15="",Calc_오픈정렬!BF15=""),"",Calc_오픈정렬!BF15/Calc_오픈정렬!$F15*100)</f>
        <v/>
      </c>
      <c r="BG15" t="str">
        <f>IF(OR(Calc_오픈정렬!$F15="",Calc_오픈정렬!BG15=""),"",Calc_오픈정렬!BG15/Calc_오픈정렬!$F15*100)</f>
        <v/>
      </c>
      <c r="BH15" t="str">
        <f>IF(OR(Calc_오픈정렬!$F15="",Calc_오픈정렬!BH15=""),"",Calc_오픈정렬!BH15/Calc_오픈정렬!$F15*100)</f>
        <v/>
      </c>
      <c r="BI15" t="str">
        <f>IF(OR(Calc_오픈정렬!$F15="",Calc_오픈정렬!BI15=""),"",Calc_오픈정렬!BI15/Calc_오픈정렬!$F15*100)</f>
        <v/>
      </c>
      <c r="BJ15" t="str">
        <f>IF(OR(Calc_오픈정렬!$F15="",Calc_오픈정렬!BJ15=""),"",Calc_오픈정렬!BJ15/Calc_오픈정렬!$F15*100)</f>
        <v/>
      </c>
      <c r="BK15" t="str">
        <f>IF(OR(Calc_오픈정렬!$F15="",Calc_오픈정렬!BK15=""),"",Calc_오픈정렬!BK15/Calc_오픈정렬!$F15*100)</f>
        <v/>
      </c>
      <c r="BL15" t="str">
        <f>IF(OR(Calc_오픈정렬!$F15="",Calc_오픈정렬!BL15=""),"",Calc_오픈정렬!BL15/Calc_오픈정렬!$F15*100)</f>
        <v/>
      </c>
      <c r="BM15" t="str">
        <f>IF(OR(Calc_오픈정렬!$F15="",Calc_오픈정렬!BM15=""),"",Calc_오픈정렬!BM15/Calc_오픈정렬!$F15*100)</f>
        <v/>
      </c>
      <c r="BN15" t="str">
        <f>IF(OR(Calc_오픈정렬!$F15="",Calc_오픈정렬!BN15=""),"",Calc_오픈정렬!BN15/Calc_오픈정렬!$F15*100)</f>
        <v/>
      </c>
    </row>
    <row r="16" spans="1:66" x14ac:dyDescent="0.4">
      <c r="A16" t="str">
        <f>Calc_오픈정렬!A16</f>
        <v>(1001) #화곡점</v>
      </c>
      <c r="B16" t="str">
        <f>Calc_오픈정렬!B16</f>
        <v>150-1</v>
      </c>
      <c r="C16">
        <f>Calc_오픈정렬!C16</f>
        <v>1</v>
      </c>
      <c r="D16" t="str">
        <f>Calc_오픈정렬!D16</f>
        <v>1</v>
      </c>
      <c r="E16" s="1">
        <f>Calc_오픈정렬!E16</f>
        <v>43647</v>
      </c>
      <c r="F16" t="str">
        <f>Calc_오픈정렬!F16</f>
        <v/>
      </c>
      <c r="G16" t="str">
        <f>IF(OR(Calc_오픈정렬!$F16="",Calc_오픈정렬!G16=""),"",Calc_오픈정렬!G16/Calc_오픈정렬!$F16*100)</f>
        <v/>
      </c>
      <c r="H16" t="str">
        <f>IF(OR(Calc_오픈정렬!$F16="",Calc_오픈정렬!H16=""),"",Calc_오픈정렬!H16/Calc_오픈정렬!$F16*100)</f>
        <v/>
      </c>
      <c r="I16" t="str">
        <f>IF(OR(Calc_오픈정렬!$F16="",Calc_오픈정렬!I16=""),"",Calc_오픈정렬!I16/Calc_오픈정렬!$F16*100)</f>
        <v/>
      </c>
      <c r="J16" t="str">
        <f>IF(OR(Calc_오픈정렬!$F16="",Calc_오픈정렬!J16=""),"",Calc_오픈정렬!J16/Calc_오픈정렬!$F16*100)</f>
        <v/>
      </c>
      <c r="K16" t="str">
        <f>IF(OR(Calc_오픈정렬!$F16="",Calc_오픈정렬!K16=""),"",Calc_오픈정렬!K16/Calc_오픈정렬!$F16*100)</f>
        <v/>
      </c>
      <c r="L16" t="str">
        <f>IF(OR(Calc_오픈정렬!$F16="",Calc_오픈정렬!L16=""),"",Calc_오픈정렬!L16/Calc_오픈정렬!$F16*100)</f>
        <v/>
      </c>
      <c r="M16" t="str">
        <f>IF(OR(Calc_오픈정렬!$F16="",Calc_오픈정렬!M16=""),"",Calc_오픈정렬!M16/Calc_오픈정렬!$F16*100)</f>
        <v/>
      </c>
      <c r="N16" t="str">
        <f>IF(OR(Calc_오픈정렬!$F16="",Calc_오픈정렬!N16=""),"",Calc_오픈정렬!N16/Calc_오픈정렬!$F16*100)</f>
        <v/>
      </c>
      <c r="O16" t="str">
        <f>IF(OR(Calc_오픈정렬!$F16="",Calc_오픈정렬!O16=""),"",Calc_오픈정렬!O16/Calc_오픈정렬!$F16*100)</f>
        <v/>
      </c>
      <c r="P16" t="str">
        <f>IF(OR(Calc_오픈정렬!$F16="",Calc_오픈정렬!P16=""),"",Calc_오픈정렬!P16/Calc_오픈정렬!$F16*100)</f>
        <v/>
      </c>
      <c r="Q16" t="str">
        <f>IF(OR(Calc_오픈정렬!$F16="",Calc_오픈정렬!Q16=""),"",Calc_오픈정렬!Q16/Calc_오픈정렬!$F16*100)</f>
        <v/>
      </c>
      <c r="R16" t="str">
        <f>IF(OR(Calc_오픈정렬!$F16="",Calc_오픈정렬!R16=""),"",Calc_오픈정렬!R16/Calc_오픈정렬!$F16*100)</f>
        <v/>
      </c>
      <c r="S16" t="str">
        <f>IF(OR(Calc_오픈정렬!$F16="",Calc_오픈정렬!S16=""),"",Calc_오픈정렬!S16/Calc_오픈정렬!$F16*100)</f>
        <v/>
      </c>
      <c r="T16" t="str">
        <f>IF(OR(Calc_오픈정렬!$F16="",Calc_오픈정렬!T16=""),"",Calc_오픈정렬!T16/Calc_오픈정렬!$F16*100)</f>
        <v/>
      </c>
      <c r="U16" t="str">
        <f>IF(OR(Calc_오픈정렬!$F16="",Calc_오픈정렬!U16=""),"",Calc_오픈정렬!U16/Calc_오픈정렬!$F16*100)</f>
        <v/>
      </c>
      <c r="V16" t="str">
        <f>IF(OR(Calc_오픈정렬!$F16="",Calc_오픈정렬!V16=""),"",Calc_오픈정렬!V16/Calc_오픈정렬!$F16*100)</f>
        <v/>
      </c>
      <c r="W16" t="str">
        <f>IF(OR(Calc_오픈정렬!$F16="",Calc_오픈정렬!W16=""),"",Calc_오픈정렬!W16/Calc_오픈정렬!$F16*100)</f>
        <v/>
      </c>
      <c r="X16" t="str">
        <f>IF(OR(Calc_오픈정렬!$F16="",Calc_오픈정렬!X16=""),"",Calc_오픈정렬!X16/Calc_오픈정렬!$F16*100)</f>
        <v/>
      </c>
      <c r="Y16" t="str">
        <f>IF(OR(Calc_오픈정렬!$F16="",Calc_오픈정렬!Y16=""),"",Calc_오픈정렬!Y16/Calc_오픈정렬!$F16*100)</f>
        <v/>
      </c>
      <c r="Z16" t="str">
        <f>IF(OR(Calc_오픈정렬!$F16="",Calc_오픈정렬!Z16=""),"",Calc_오픈정렬!Z16/Calc_오픈정렬!$F16*100)</f>
        <v/>
      </c>
      <c r="AA16" t="str">
        <f>IF(OR(Calc_오픈정렬!$F16="",Calc_오픈정렬!AA16=""),"",Calc_오픈정렬!AA16/Calc_오픈정렬!$F16*100)</f>
        <v/>
      </c>
      <c r="AB16" t="str">
        <f>IF(OR(Calc_오픈정렬!$F16="",Calc_오픈정렬!AB16=""),"",Calc_오픈정렬!AB16/Calc_오픈정렬!$F16*100)</f>
        <v/>
      </c>
      <c r="AC16" t="str">
        <f>IF(OR(Calc_오픈정렬!$F16="",Calc_오픈정렬!AC16=""),"",Calc_오픈정렬!AC16/Calc_오픈정렬!$F16*100)</f>
        <v/>
      </c>
      <c r="AD16" t="str">
        <f>IF(OR(Calc_오픈정렬!$F16="",Calc_오픈정렬!AD16=""),"",Calc_오픈정렬!AD16/Calc_오픈정렬!$F16*100)</f>
        <v/>
      </c>
      <c r="AE16" t="str">
        <f>IF(OR(Calc_오픈정렬!$F16="",Calc_오픈정렬!AE16=""),"",Calc_오픈정렬!AE16/Calc_오픈정렬!$F16*100)</f>
        <v/>
      </c>
      <c r="AF16" t="str">
        <f>IF(OR(Calc_오픈정렬!$F16="",Calc_오픈정렬!AF16=""),"",Calc_오픈정렬!AF16/Calc_오픈정렬!$F16*100)</f>
        <v/>
      </c>
      <c r="AG16" t="str">
        <f>IF(OR(Calc_오픈정렬!$F16="",Calc_오픈정렬!AG16=""),"",Calc_오픈정렬!AG16/Calc_오픈정렬!$F16*100)</f>
        <v/>
      </c>
      <c r="AH16" t="str">
        <f>IF(OR(Calc_오픈정렬!$F16="",Calc_오픈정렬!AH16=""),"",Calc_오픈정렬!AH16/Calc_오픈정렬!$F16*100)</f>
        <v/>
      </c>
      <c r="AI16" t="str">
        <f>IF(OR(Calc_오픈정렬!$F16="",Calc_오픈정렬!AI16=""),"",Calc_오픈정렬!AI16/Calc_오픈정렬!$F16*100)</f>
        <v/>
      </c>
      <c r="AJ16" t="str">
        <f>IF(OR(Calc_오픈정렬!$F16="",Calc_오픈정렬!AJ16=""),"",Calc_오픈정렬!AJ16/Calc_오픈정렬!$F16*100)</f>
        <v/>
      </c>
      <c r="AK16" t="str">
        <f>IF(OR(Calc_오픈정렬!$F16="",Calc_오픈정렬!AK16=""),"",Calc_오픈정렬!AK16/Calc_오픈정렬!$F16*100)</f>
        <v/>
      </c>
      <c r="AL16" t="str">
        <f>IF(OR(Calc_오픈정렬!$F16="",Calc_오픈정렬!AL16=""),"",Calc_오픈정렬!AL16/Calc_오픈정렬!$F16*100)</f>
        <v/>
      </c>
      <c r="AM16" t="str">
        <f>IF(OR(Calc_오픈정렬!$F16="",Calc_오픈정렬!AM16=""),"",Calc_오픈정렬!AM16/Calc_오픈정렬!$F16*100)</f>
        <v/>
      </c>
      <c r="AN16" t="str">
        <f>IF(OR(Calc_오픈정렬!$F16="",Calc_오픈정렬!AN16=""),"",Calc_오픈정렬!AN16/Calc_오픈정렬!$F16*100)</f>
        <v/>
      </c>
      <c r="AO16" t="str">
        <f>IF(OR(Calc_오픈정렬!$F16="",Calc_오픈정렬!AO16=""),"",Calc_오픈정렬!AO16/Calc_오픈정렬!$F16*100)</f>
        <v/>
      </c>
      <c r="AP16" t="str">
        <f>IF(OR(Calc_오픈정렬!$F16="",Calc_오픈정렬!AP16=""),"",Calc_오픈정렬!AP16/Calc_오픈정렬!$F16*100)</f>
        <v/>
      </c>
      <c r="AQ16" t="str">
        <f>IF(OR(Calc_오픈정렬!$F16="",Calc_오픈정렬!AQ16=""),"",Calc_오픈정렬!AQ16/Calc_오픈정렬!$F16*100)</f>
        <v/>
      </c>
      <c r="AR16" t="str">
        <f>IF(OR(Calc_오픈정렬!$F16="",Calc_오픈정렬!AR16=""),"",Calc_오픈정렬!AR16/Calc_오픈정렬!$F16*100)</f>
        <v/>
      </c>
      <c r="AS16" t="str">
        <f>IF(OR(Calc_오픈정렬!$F16="",Calc_오픈정렬!AS16=""),"",Calc_오픈정렬!AS16/Calc_오픈정렬!$F16*100)</f>
        <v/>
      </c>
      <c r="AT16" t="str">
        <f>IF(OR(Calc_오픈정렬!$F16="",Calc_오픈정렬!AT16=""),"",Calc_오픈정렬!AT16/Calc_오픈정렬!$F16*100)</f>
        <v/>
      </c>
      <c r="AU16" t="str">
        <f>IF(OR(Calc_오픈정렬!$F16="",Calc_오픈정렬!AU16=""),"",Calc_오픈정렬!AU16/Calc_오픈정렬!$F16*100)</f>
        <v/>
      </c>
      <c r="AV16" t="str">
        <f>IF(OR(Calc_오픈정렬!$F16="",Calc_오픈정렬!AV16=""),"",Calc_오픈정렬!AV16/Calc_오픈정렬!$F16*100)</f>
        <v/>
      </c>
      <c r="AW16" t="str">
        <f>IF(OR(Calc_오픈정렬!$F16="",Calc_오픈정렬!AW16=""),"",Calc_오픈정렬!AW16/Calc_오픈정렬!$F16*100)</f>
        <v/>
      </c>
      <c r="AX16" t="str">
        <f>IF(OR(Calc_오픈정렬!$F16="",Calc_오픈정렬!AX16=""),"",Calc_오픈정렬!AX16/Calc_오픈정렬!$F16*100)</f>
        <v/>
      </c>
      <c r="AY16" t="str">
        <f>IF(OR(Calc_오픈정렬!$F16="",Calc_오픈정렬!AY16=""),"",Calc_오픈정렬!AY16/Calc_오픈정렬!$F16*100)</f>
        <v/>
      </c>
      <c r="AZ16" t="str">
        <f>IF(OR(Calc_오픈정렬!$F16="",Calc_오픈정렬!AZ16=""),"",Calc_오픈정렬!AZ16/Calc_오픈정렬!$F16*100)</f>
        <v/>
      </c>
      <c r="BA16" t="str">
        <f>IF(OR(Calc_오픈정렬!$F16="",Calc_오픈정렬!BA16=""),"",Calc_오픈정렬!BA16/Calc_오픈정렬!$F16*100)</f>
        <v/>
      </c>
      <c r="BB16" t="str">
        <f>IF(OR(Calc_오픈정렬!$F16="",Calc_오픈정렬!BB16=""),"",Calc_오픈정렬!BB16/Calc_오픈정렬!$F16*100)</f>
        <v/>
      </c>
      <c r="BC16" t="str">
        <f>IF(OR(Calc_오픈정렬!$F16="",Calc_오픈정렬!BC16=""),"",Calc_오픈정렬!BC16/Calc_오픈정렬!$F16*100)</f>
        <v/>
      </c>
      <c r="BD16" t="str">
        <f>IF(OR(Calc_오픈정렬!$F16="",Calc_오픈정렬!BD16=""),"",Calc_오픈정렬!BD16/Calc_오픈정렬!$F16*100)</f>
        <v/>
      </c>
      <c r="BE16" t="str">
        <f>IF(OR(Calc_오픈정렬!$F16="",Calc_오픈정렬!BE16=""),"",Calc_오픈정렬!BE16/Calc_오픈정렬!$F16*100)</f>
        <v/>
      </c>
      <c r="BF16" t="str">
        <f>IF(OR(Calc_오픈정렬!$F16="",Calc_오픈정렬!BF16=""),"",Calc_오픈정렬!BF16/Calc_오픈정렬!$F16*100)</f>
        <v/>
      </c>
      <c r="BG16" t="str">
        <f>IF(OR(Calc_오픈정렬!$F16="",Calc_오픈정렬!BG16=""),"",Calc_오픈정렬!BG16/Calc_오픈정렬!$F16*100)</f>
        <v/>
      </c>
      <c r="BH16" t="str">
        <f>IF(OR(Calc_오픈정렬!$F16="",Calc_오픈정렬!BH16=""),"",Calc_오픈정렬!BH16/Calc_오픈정렬!$F16*100)</f>
        <v/>
      </c>
      <c r="BI16" t="str">
        <f>IF(OR(Calc_오픈정렬!$F16="",Calc_오픈정렬!BI16=""),"",Calc_오픈정렬!BI16/Calc_오픈정렬!$F16*100)</f>
        <v/>
      </c>
      <c r="BJ16" t="str">
        <f>IF(OR(Calc_오픈정렬!$F16="",Calc_오픈정렬!BJ16=""),"",Calc_오픈정렬!BJ16/Calc_오픈정렬!$F16*100)</f>
        <v/>
      </c>
      <c r="BK16" t="str">
        <f>IF(OR(Calc_오픈정렬!$F16="",Calc_오픈정렬!BK16=""),"",Calc_오픈정렬!BK16/Calc_오픈정렬!$F16*100)</f>
        <v/>
      </c>
      <c r="BL16" t="str">
        <f>IF(OR(Calc_오픈정렬!$F16="",Calc_오픈정렬!BL16=""),"",Calc_오픈정렬!BL16/Calc_오픈정렬!$F16*100)</f>
        <v/>
      </c>
      <c r="BM16" t="str">
        <f>IF(OR(Calc_오픈정렬!$F16="",Calc_오픈정렬!BM16=""),"",Calc_오픈정렬!BM16/Calc_오픈정렬!$F16*100)</f>
        <v/>
      </c>
      <c r="BN16" t="str">
        <f>IF(OR(Calc_오픈정렬!$F16="",Calc_오픈정렬!BN16=""),"",Calc_오픈정렬!BN16/Calc_오픈정렬!$F16*100)</f>
        <v/>
      </c>
    </row>
    <row r="17" spans="1:66" x14ac:dyDescent="0.4">
      <c r="A17" t="str">
        <f>Calc_오픈정렬!A17</f>
        <v>(1002) #신대방점</v>
      </c>
      <c r="B17" t="str">
        <f>Calc_오픈정렬!B17</f>
        <v>150-4</v>
      </c>
      <c r="C17">
        <f>Calc_오픈정렬!C17</f>
        <v>4</v>
      </c>
      <c r="D17" t="str">
        <f>Calc_오픈정렬!D17</f>
        <v>3+</v>
      </c>
      <c r="E17" s="1">
        <f>Calc_오픈정렬!E17</f>
        <v>43647</v>
      </c>
      <c r="F17" t="str">
        <f>Calc_오픈정렬!F17</f>
        <v/>
      </c>
      <c r="G17" t="str">
        <f>IF(OR(Calc_오픈정렬!$F17="",Calc_오픈정렬!G17=""),"",Calc_오픈정렬!G17/Calc_오픈정렬!$F17*100)</f>
        <v/>
      </c>
      <c r="H17" t="str">
        <f>IF(OR(Calc_오픈정렬!$F17="",Calc_오픈정렬!H17=""),"",Calc_오픈정렬!H17/Calc_오픈정렬!$F17*100)</f>
        <v/>
      </c>
      <c r="I17" t="str">
        <f>IF(OR(Calc_오픈정렬!$F17="",Calc_오픈정렬!I17=""),"",Calc_오픈정렬!I17/Calc_오픈정렬!$F17*100)</f>
        <v/>
      </c>
      <c r="J17" t="str">
        <f>IF(OR(Calc_오픈정렬!$F17="",Calc_오픈정렬!J17=""),"",Calc_오픈정렬!J17/Calc_오픈정렬!$F17*100)</f>
        <v/>
      </c>
      <c r="K17" t="str">
        <f>IF(OR(Calc_오픈정렬!$F17="",Calc_오픈정렬!K17=""),"",Calc_오픈정렬!K17/Calc_오픈정렬!$F17*100)</f>
        <v/>
      </c>
      <c r="L17" t="str">
        <f>IF(OR(Calc_오픈정렬!$F17="",Calc_오픈정렬!L17=""),"",Calc_오픈정렬!L17/Calc_오픈정렬!$F17*100)</f>
        <v/>
      </c>
      <c r="M17" t="str">
        <f>IF(OR(Calc_오픈정렬!$F17="",Calc_오픈정렬!M17=""),"",Calc_오픈정렬!M17/Calc_오픈정렬!$F17*100)</f>
        <v/>
      </c>
      <c r="N17" t="str">
        <f>IF(OR(Calc_오픈정렬!$F17="",Calc_오픈정렬!N17=""),"",Calc_오픈정렬!N17/Calc_오픈정렬!$F17*100)</f>
        <v/>
      </c>
      <c r="O17" t="str">
        <f>IF(OR(Calc_오픈정렬!$F17="",Calc_오픈정렬!O17=""),"",Calc_오픈정렬!O17/Calc_오픈정렬!$F17*100)</f>
        <v/>
      </c>
      <c r="P17" t="str">
        <f>IF(OR(Calc_오픈정렬!$F17="",Calc_오픈정렬!P17=""),"",Calc_오픈정렬!P17/Calc_오픈정렬!$F17*100)</f>
        <v/>
      </c>
      <c r="Q17" t="str">
        <f>IF(OR(Calc_오픈정렬!$F17="",Calc_오픈정렬!Q17=""),"",Calc_오픈정렬!Q17/Calc_오픈정렬!$F17*100)</f>
        <v/>
      </c>
      <c r="R17" t="str">
        <f>IF(OR(Calc_오픈정렬!$F17="",Calc_오픈정렬!R17=""),"",Calc_오픈정렬!R17/Calc_오픈정렬!$F17*100)</f>
        <v/>
      </c>
      <c r="S17" t="str">
        <f>IF(OR(Calc_오픈정렬!$F17="",Calc_오픈정렬!S17=""),"",Calc_오픈정렬!S17/Calc_오픈정렬!$F17*100)</f>
        <v/>
      </c>
      <c r="T17" t="str">
        <f>IF(OR(Calc_오픈정렬!$F17="",Calc_오픈정렬!T17=""),"",Calc_오픈정렬!T17/Calc_오픈정렬!$F17*100)</f>
        <v/>
      </c>
      <c r="U17" t="str">
        <f>IF(OR(Calc_오픈정렬!$F17="",Calc_오픈정렬!U17=""),"",Calc_오픈정렬!U17/Calc_오픈정렬!$F17*100)</f>
        <v/>
      </c>
      <c r="V17" t="str">
        <f>IF(OR(Calc_오픈정렬!$F17="",Calc_오픈정렬!V17=""),"",Calc_오픈정렬!V17/Calc_오픈정렬!$F17*100)</f>
        <v/>
      </c>
      <c r="W17" t="str">
        <f>IF(OR(Calc_오픈정렬!$F17="",Calc_오픈정렬!W17=""),"",Calc_오픈정렬!W17/Calc_오픈정렬!$F17*100)</f>
        <v/>
      </c>
      <c r="X17" t="str">
        <f>IF(OR(Calc_오픈정렬!$F17="",Calc_오픈정렬!X17=""),"",Calc_오픈정렬!X17/Calc_오픈정렬!$F17*100)</f>
        <v/>
      </c>
      <c r="Y17" t="str">
        <f>IF(OR(Calc_오픈정렬!$F17="",Calc_오픈정렬!Y17=""),"",Calc_오픈정렬!Y17/Calc_오픈정렬!$F17*100)</f>
        <v/>
      </c>
      <c r="Z17" t="str">
        <f>IF(OR(Calc_오픈정렬!$F17="",Calc_오픈정렬!Z17=""),"",Calc_오픈정렬!Z17/Calc_오픈정렬!$F17*100)</f>
        <v/>
      </c>
      <c r="AA17" t="str">
        <f>IF(OR(Calc_오픈정렬!$F17="",Calc_오픈정렬!AA17=""),"",Calc_오픈정렬!AA17/Calc_오픈정렬!$F17*100)</f>
        <v/>
      </c>
      <c r="AB17" t="str">
        <f>IF(OR(Calc_오픈정렬!$F17="",Calc_오픈정렬!AB17=""),"",Calc_오픈정렬!AB17/Calc_오픈정렬!$F17*100)</f>
        <v/>
      </c>
      <c r="AC17" t="str">
        <f>IF(OR(Calc_오픈정렬!$F17="",Calc_오픈정렬!AC17=""),"",Calc_오픈정렬!AC17/Calc_오픈정렬!$F17*100)</f>
        <v/>
      </c>
      <c r="AD17" t="str">
        <f>IF(OR(Calc_오픈정렬!$F17="",Calc_오픈정렬!AD17=""),"",Calc_오픈정렬!AD17/Calc_오픈정렬!$F17*100)</f>
        <v/>
      </c>
      <c r="AE17" t="str">
        <f>IF(OR(Calc_오픈정렬!$F17="",Calc_오픈정렬!AE17=""),"",Calc_오픈정렬!AE17/Calc_오픈정렬!$F17*100)</f>
        <v/>
      </c>
      <c r="AF17" t="str">
        <f>IF(OR(Calc_오픈정렬!$F17="",Calc_오픈정렬!AF17=""),"",Calc_오픈정렬!AF17/Calc_오픈정렬!$F17*100)</f>
        <v/>
      </c>
      <c r="AG17" t="str">
        <f>IF(OR(Calc_오픈정렬!$F17="",Calc_오픈정렬!AG17=""),"",Calc_오픈정렬!AG17/Calc_오픈정렬!$F17*100)</f>
        <v/>
      </c>
      <c r="AH17" t="str">
        <f>IF(OR(Calc_오픈정렬!$F17="",Calc_오픈정렬!AH17=""),"",Calc_오픈정렬!AH17/Calc_오픈정렬!$F17*100)</f>
        <v/>
      </c>
      <c r="AI17" t="str">
        <f>IF(OR(Calc_오픈정렬!$F17="",Calc_오픈정렬!AI17=""),"",Calc_오픈정렬!AI17/Calc_오픈정렬!$F17*100)</f>
        <v/>
      </c>
      <c r="AJ17" t="str">
        <f>IF(OR(Calc_오픈정렬!$F17="",Calc_오픈정렬!AJ17=""),"",Calc_오픈정렬!AJ17/Calc_오픈정렬!$F17*100)</f>
        <v/>
      </c>
      <c r="AK17" t="str">
        <f>IF(OR(Calc_오픈정렬!$F17="",Calc_오픈정렬!AK17=""),"",Calc_오픈정렬!AK17/Calc_오픈정렬!$F17*100)</f>
        <v/>
      </c>
      <c r="AL17" t="str">
        <f>IF(OR(Calc_오픈정렬!$F17="",Calc_오픈정렬!AL17=""),"",Calc_오픈정렬!AL17/Calc_오픈정렬!$F17*100)</f>
        <v/>
      </c>
      <c r="AM17" t="str">
        <f>IF(OR(Calc_오픈정렬!$F17="",Calc_오픈정렬!AM17=""),"",Calc_오픈정렬!AM17/Calc_오픈정렬!$F17*100)</f>
        <v/>
      </c>
      <c r="AN17" t="str">
        <f>IF(OR(Calc_오픈정렬!$F17="",Calc_오픈정렬!AN17=""),"",Calc_오픈정렬!AN17/Calc_오픈정렬!$F17*100)</f>
        <v/>
      </c>
      <c r="AO17" t="str">
        <f>IF(OR(Calc_오픈정렬!$F17="",Calc_오픈정렬!AO17=""),"",Calc_오픈정렬!AO17/Calc_오픈정렬!$F17*100)</f>
        <v/>
      </c>
      <c r="AP17" t="str">
        <f>IF(OR(Calc_오픈정렬!$F17="",Calc_오픈정렬!AP17=""),"",Calc_오픈정렬!AP17/Calc_오픈정렬!$F17*100)</f>
        <v/>
      </c>
      <c r="AQ17" t="str">
        <f>IF(OR(Calc_오픈정렬!$F17="",Calc_오픈정렬!AQ17=""),"",Calc_오픈정렬!AQ17/Calc_오픈정렬!$F17*100)</f>
        <v/>
      </c>
      <c r="AR17" t="str">
        <f>IF(OR(Calc_오픈정렬!$F17="",Calc_오픈정렬!AR17=""),"",Calc_오픈정렬!AR17/Calc_오픈정렬!$F17*100)</f>
        <v/>
      </c>
      <c r="AS17" t="str">
        <f>IF(OR(Calc_오픈정렬!$F17="",Calc_오픈정렬!AS17=""),"",Calc_오픈정렬!AS17/Calc_오픈정렬!$F17*100)</f>
        <v/>
      </c>
      <c r="AT17" t="str">
        <f>IF(OR(Calc_오픈정렬!$F17="",Calc_오픈정렬!AT17=""),"",Calc_오픈정렬!AT17/Calc_오픈정렬!$F17*100)</f>
        <v/>
      </c>
      <c r="AU17" t="str">
        <f>IF(OR(Calc_오픈정렬!$F17="",Calc_오픈정렬!AU17=""),"",Calc_오픈정렬!AU17/Calc_오픈정렬!$F17*100)</f>
        <v/>
      </c>
      <c r="AV17" t="str">
        <f>IF(OR(Calc_오픈정렬!$F17="",Calc_오픈정렬!AV17=""),"",Calc_오픈정렬!AV17/Calc_오픈정렬!$F17*100)</f>
        <v/>
      </c>
      <c r="AW17" t="str">
        <f>IF(OR(Calc_오픈정렬!$F17="",Calc_오픈정렬!AW17=""),"",Calc_오픈정렬!AW17/Calc_오픈정렬!$F17*100)</f>
        <v/>
      </c>
      <c r="AX17" t="str">
        <f>IF(OR(Calc_오픈정렬!$F17="",Calc_오픈정렬!AX17=""),"",Calc_오픈정렬!AX17/Calc_오픈정렬!$F17*100)</f>
        <v/>
      </c>
      <c r="AY17" t="str">
        <f>IF(OR(Calc_오픈정렬!$F17="",Calc_오픈정렬!AY17=""),"",Calc_오픈정렬!AY17/Calc_오픈정렬!$F17*100)</f>
        <v/>
      </c>
      <c r="AZ17" t="str">
        <f>IF(OR(Calc_오픈정렬!$F17="",Calc_오픈정렬!AZ17=""),"",Calc_오픈정렬!AZ17/Calc_오픈정렬!$F17*100)</f>
        <v/>
      </c>
      <c r="BA17" t="str">
        <f>IF(OR(Calc_오픈정렬!$F17="",Calc_오픈정렬!BA17=""),"",Calc_오픈정렬!BA17/Calc_오픈정렬!$F17*100)</f>
        <v/>
      </c>
      <c r="BB17" t="str">
        <f>IF(OR(Calc_오픈정렬!$F17="",Calc_오픈정렬!BB17=""),"",Calc_오픈정렬!BB17/Calc_오픈정렬!$F17*100)</f>
        <v/>
      </c>
      <c r="BC17" t="str">
        <f>IF(OR(Calc_오픈정렬!$F17="",Calc_오픈정렬!BC17=""),"",Calc_오픈정렬!BC17/Calc_오픈정렬!$F17*100)</f>
        <v/>
      </c>
      <c r="BD17" t="str">
        <f>IF(OR(Calc_오픈정렬!$F17="",Calc_오픈정렬!BD17=""),"",Calc_오픈정렬!BD17/Calc_오픈정렬!$F17*100)</f>
        <v/>
      </c>
      <c r="BE17" t="str">
        <f>IF(OR(Calc_오픈정렬!$F17="",Calc_오픈정렬!BE17=""),"",Calc_오픈정렬!BE17/Calc_오픈정렬!$F17*100)</f>
        <v/>
      </c>
      <c r="BF17" t="str">
        <f>IF(OR(Calc_오픈정렬!$F17="",Calc_오픈정렬!BF17=""),"",Calc_오픈정렬!BF17/Calc_오픈정렬!$F17*100)</f>
        <v/>
      </c>
      <c r="BG17" t="str">
        <f>IF(OR(Calc_오픈정렬!$F17="",Calc_오픈정렬!BG17=""),"",Calc_오픈정렬!BG17/Calc_오픈정렬!$F17*100)</f>
        <v/>
      </c>
      <c r="BH17" t="str">
        <f>IF(OR(Calc_오픈정렬!$F17="",Calc_오픈정렬!BH17=""),"",Calc_오픈정렬!BH17/Calc_오픈정렬!$F17*100)</f>
        <v/>
      </c>
      <c r="BI17" t="str">
        <f>IF(OR(Calc_오픈정렬!$F17="",Calc_오픈정렬!BI17=""),"",Calc_오픈정렬!BI17/Calc_오픈정렬!$F17*100)</f>
        <v/>
      </c>
      <c r="BJ17" t="str">
        <f>IF(OR(Calc_오픈정렬!$F17="",Calc_오픈정렬!BJ17=""),"",Calc_오픈정렬!BJ17/Calc_오픈정렬!$F17*100)</f>
        <v/>
      </c>
      <c r="BK17" t="str">
        <f>IF(OR(Calc_오픈정렬!$F17="",Calc_오픈정렬!BK17=""),"",Calc_오픈정렬!BK17/Calc_오픈정렬!$F17*100)</f>
        <v/>
      </c>
      <c r="BL17" t="str">
        <f>IF(OR(Calc_오픈정렬!$F17="",Calc_오픈정렬!BL17=""),"",Calc_오픈정렬!BL17/Calc_오픈정렬!$F17*100)</f>
        <v/>
      </c>
      <c r="BM17" t="str">
        <f>IF(OR(Calc_오픈정렬!$F17="",Calc_오픈정렬!BM17=""),"",Calc_오픈정렬!BM17/Calc_오픈정렬!$F17*100)</f>
        <v/>
      </c>
      <c r="BN17" t="str">
        <f>IF(OR(Calc_오픈정렬!$F17="",Calc_오픈정렬!BN17=""),"",Calc_오픈정렬!BN17/Calc_오픈정렬!$F17*100)</f>
        <v/>
      </c>
    </row>
    <row r="18" spans="1:66" x14ac:dyDescent="0.4">
      <c r="A18" t="str">
        <f>Calc_오픈정렬!A18</f>
        <v>(1003) #샤로수점</v>
      </c>
      <c r="B18" t="str">
        <f>Calc_오픈정렬!B18</f>
        <v>150-2</v>
      </c>
      <c r="C18">
        <f>Calc_오픈정렬!C18</f>
        <v>2</v>
      </c>
      <c r="D18" t="str">
        <f>Calc_오픈정렬!D18</f>
        <v>2</v>
      </c>
      <c r="E18" s="1">
        <f>Calc_오픈정렬!E18</f>
        <v>43770</v>
      </c>
      <c r="F18" t="str">
        <f>Calc_오픈정렬!F18</f>
        <v/>
      </c>
      <c r="G18" t="str">
        <f>IF(OR(Calc_오픈정렬!$F18="",Calc_오픈정렬!G18=""),"",Calc_오픈정렬!G18/Calc_오픈정렬!$F18*100)</f>
        <v/>
      </c>
      <c r="H18" t="str">
        <f>IF(OR(Calc_오픈정렬!$F18="",Calc_오픈정렬!H18=""),"",Calc_오픈정렬!H18/Calc_오픈정렬!$F18*100)</f>
        <v/>
      </c>
      <c r="I18" t="str">
        <f>IF(OR(Calc_오픈정렬!$F18="",Calc_오픈정렬!I18=""),"",Calc_오픈정렬!I18/Calc_오픈정렬!$F18*100)</f>
        <v/>
      </c>
      <c r="J18" t="str">
        <f>IF(OR(Calc_오픈정렬!$F18="",Calc_오픈정렬!J18=""),"",Calc_오픈정렬!J18/Calc_오픈정렬!$F18*100)</f>
        <v/>
      </c>
      <c r="K18" t="str">
        <f>IF(OR(Calc_오픈정렬!$F18="",Calc_오픈정렬!K18=""),"",Calc_오픈정렬!K18/Calc_오픈정렬!$F18*100)</f>
        <v/>
      </c>
      <c r="L18" t="str">
        <f>IF(OR(Calc_오픈정렬!$F18="",Calc_오픈정렬!L18=""),"",Calc_오픈정렬!L18/Calc_오픈정렬!$F18*100)</f>
        <v/>
      </c>
      <c r="M18" t="str">
        <f>IF(OR(Calc_오픈정렬!$F18="",Calc_오픈정렬!M18=""),"",Calc_오픈정렬!M18/Calc_오픈정렬!$F18*100)</f>
        <v/>
      </c>
      <c r="N18" t="str">
        <f>IF(OR(Calc_오픈정렬!$F18="",Calc_오픈정렬!N18=""),"",Calc_오픈정렬!N18/Calc_오픈정렬!$F18*100)</f>
        <v/>
      </c>
      <c r="O18" t="str">
        <f>IF(OR(Calc_오픈정렬!$F18="",Calc_오픈정렬!O18=""),"",Calc_오픈정렬!O18/Calc_오픈정렬!$F18*100)</f>
        <v/>
      </c>
      <c r="P18" t="str">
        <f>IF(OR(Calc_오픈정렬!$F18="",Calc_오픈정렬!P18=""),"",Calc_오픈정렬!P18/Calc_오픈정렬!$F18*100)</f>
        <v/>
      </c>
      <c r="Q18" t="str">
        <f>IF(OR(Calc_오픈정렬!$F18="",Calc_오픈정렬!Q18=""),"",Calc_오픈정렬!Q18/Calc_오픈정렬!$F18*100)</f>
        <v/>
      </c>
      <c r="R18" t="str">
        <f>IF(OR(Calc_오픈정렬!$F18="",Calc_오픈정렬!R18=""),"",Calc_오픈정렬!R18/Calc_오픈정렬!$F18*100)</f>
        <v/>
      </c>
      <c r="S18" t="str">
        <f>IF(OR(Calc_오픈정렬!$F18="",Calc_오픈정렬!S18=""),"",Calc_오픈정렬!S18/Calc_오픈정렬!$F18*100)</f>
        <v/>
      </c>
      <c r="T18" t="str">
        <f>IF(OR(Calc_오픈정렬!$F18="",Calc_오픈정렬!T18=""),"",Calc_오픈정렬!T18/Calc_오픈정렬!$F18*100)</f>
        <v/>
      </c>
      <c r="U18" t="str">
        <f>IF(OR(Calc_오픈정렬!$F18="",Calc_오픈정렬!U18=""),"",Calc_오픈정렬!U18/Calc_오픈정렬!$F18*100)</f>
        <v/>
      </c>
      <c r="V18" t="str">
        <f>IF(OR(Calc_오픈정렬!$F18="",Calc_오픈정렬!V18=""),"",Calc_오픈정렬!V18/Calc_오픈정렬!$F18*100)</f>
        <v/>
      </c>
      <c r="W18" t="str">
        <f>IF(OR(Calc_오픈정렬!$F18="",Calc_오픈정렬!W18=""),"",Calc_오픈정렬!W18/Calc_오픈정렬!$F18*100)</f>
        <v/>
      </c>
      <c r="X18" t="str">
        <f>IF(OR(Calc_오픈정렬!$F18="",Calc_오픈정렬!X18=""),"",Calc_오픈정렬!X18/Calc_오픈정렬!$F18*100)</f>
        <v/>
      </c>
      <c r="Y18" t="str">
        <f>IF(OR(Calc_오픈정렬!$F18="",Calc_오픈정렬!Y18=""),"",Calc_오픈정렬!Y18/Calc_오픈정렬!$F18*100)</f>
        <v/>
      </c>
      <c r="Z18" t="str">
        <f>IF(OR(Calc_오픈정렬!$F18="",Calc_오픈정렬!Z18=""),"",Calc_오픈정렬!Z18/Calc_오픈정렬!$F18*100)</f>
        <v/>
      </c>
      <c r="AA18" t="str">
        <f>IF(OR(Calc_오픈정렬!$F18="",Calc_오픈정렬!AA18=""),"",Calc_오픈정렬!AA18/Calc_오픈정렬!$F18*100)</f>
        <v/>
      </c>
      <c r="AB18" t="str">
        <f>IF(OR(Calc_오픈정렬!$F18="",Calc_오픈정렬!AB18=""),"",Calc_오픈정렬!AB18/Calc_오픈정렬!$F18*100)</f>
        <v/>
      </c>
      <c r="AC18" t="str">
        <f>IF(OR(Calc_오픈정렬!$F18="",Calc_오픈정렬!AC18=""),"",Calc_오픈정렬!AC18/Calc_오픈정렬!$F18*100)</f>
        <v/>
      </c>
      <c r="AD18" t="str">
        <f>IF(OR(Calc_오픈정렬!$F18="",Calc_오픈정렬!AD18=""),"",Calc_오픈정렬!AD18/Calc_오픈정렬!$F18*100)</f>
        <v/>
      </c>
      <c r="AE18" t="str">
        <f>IF(OR(Calc_오픈정렬!$F18="",Calc_오픈정렬!AE18=""),"",Calc_오픈정렬!AE18/Calc_오픈정렬!$F18*100)</f>
        <v/>
      </c>
      <c r="AF18" t="str">
        <f>IF(OR(Calc_오픈정렬!$F18="",Calc_오픈정렬!AF18=""),"",Calc_오픈정렬!AF18/Calc_오픈정렬!$F18*100)</f>
        <v/>
      </c>
      <c r="AG18" t="str">
        <f>IF(OR(Calc_오픈정렬!$F18="",Calc_오픈정렬!AG18=""),"",Calc_오픈정렬!AG18/Calc_오픈정렬!$F18*100)</f>
        <v/>
      </c>
      <c r="AH18" t="str">
        <f>IF(OR(Calc_오픈정렬!$F18="",Calc_오픈정렬!AH18=""),"",Calc_오픈정렬!AH18/Calc_오픈정렬!$F18*100)</f>
        <v/>
      </c>
      <c r="AI18" t="str">
        <f>IF(OR(Calc_오픈정렬!$F18="",Calc_오픈정렬!AI18=""),"",Calc_오픈정렬!AI18/Calc_오픈정렬!$F18*100)</f>
        <v/>
      </c>
      <c r="AJ18" t="str">
        <f>IF(OR(Calc_오픈정렬!$F18="",Calc_오픈정렬!AJ18=""),"",Calc_오픈정렬!AJ18/Calc_오픈정렬!$F18*100)</f>
        <v/>
      </c>
      <c r="AK18" t="str">
        <f>IF(OR(Calc_오픈정렬!$F18="",Calc_오픈정렬!AK18=""),"",Calc_오픈정렬!AK18/Calc_오픈정렬!$F18*100)</f>
        <v/>
      </c>
      <c r="AL18" t="str">
        <f>IF(OR(Calc_오픈정렬!$F18="",Calc_오픈정렬!AL18=""),"",Calc_오픈정렬!AL18/Calc_오픈정렬!$F18*100)</f>
        <v/>
      </c>
      <c r="AM18" t="str">
        <f>IF(OR(Calc_오픈정렬!$F18="",Calc_오픈정렬!AM18=""),"",Calc_오픈정렬!AM18/Calc_오픈정렬!$F18*100)</f>
        <v/>
      </c>
      <c r="AN18" t="str">
        <f>IF(OR(Calc_오픈정렬!$F18="",Calc_오픈정렬!AN18=""),"",Calc_오픈정렬!AN18/Calc_오픈정렬!$F18*100)</f>
        <v/>
      </c>
      <c r="AO18" t="str">
        <f>IF(OR(Calc_오픈정렬!$F18="",Calc_오픈정렬!AO18=""),"",Calc_오픈정렬!AO18/Calc_오픈정렬!$F18*100)</f>
        <v/>
      </c>
      <c r="AP18" t="str">
        <f>IF(OR(Calc_오픈정렬!$F18="",Calc_오픈정렬!AP18=""),"",Calc_오픈정렬!AP18/Calc_오픈정렬!$F18*100)</f>
        <v/>
      </c>
      <c r="AQ18" t="str">
        <f>IF(OR(Calc_오픈정렬!$F18="",Calc_오픈정렬!AQ18=""),"",Calc_오픈정렬!AQ18/Calc_오픈정렬!$F18*100)</f>
        <v/>
      </c>
      <c r="AR18" t="str">
        <f>IF(OR(Calc_오픈정렬!$F18="",Calc_오픈정렬!AR18=""),"",Calc_오픈정렬!AR18/Calc_오픈정렬!$F18*100)</f>
        <v/>
      </c>
      <c r="AS18" t="str">
        <f>IF(OR(Calc_오픈정렬!$F18="",Calc_오픈정렬!AS18=""),"",Calc_오픈정렬!AS18/Calc_오픈정렬!$F18*100)</f>
        <v/>
      </c>
      <c r="AT18" t="str">
        <f>IF(OR(Calc_오픈정렬!$F18="",Calc_오픈정렬!AT18=""),"",Calc_오픈정렬!AT18/Calc_오픈정렬!$F18*100)</f>
        <v/>
      </c>
      <c r="AU18" t="str">
        <f>IF(OR(Calc_오픈정렬!$F18="",Calc_오픈정렬!AU18=""),"",Calc_오픈정렬!AU18/Calc_오픈정렬!$F18*100)</f>
        <v/>
      </c>
      <c r="AV18" t="str">
        <f>IF(OR(Calc_오픈정렬!$F18="",Calc_오픈정렬!AV18=""),"",Calc_오픈정렬!AV18/Calc_오픈정렬!$F18*100)</f>
        <v/>
      </c>
      <c r="AW18" t="str">
        <f>IF(OR(Calc_오픈정렬!$F18="",Calc_오픈정렬!AW18=""),"",Calc_오픈정렬!AW18/Calc_오픈정렬!$F18*100)</f>
        <v/>
      </c>
      <c r="AX18" t="str">
        <f>IF(OR(Calc_오픈정렬!$F18="",Calc_오픈정렬!AX18=""),"",Calc_오픈정렬!AX18/Calc_오픈정렬!$F18*100)</f>
        <v/>
      </c>
      <c r="AY18" t="str">
        <f>IF(OR(Calc_오픈정렬!$F18="",Calc_오픈정렬!AY18=""),"",Calc_오픈정렬!AY18/Calc_오픈정렬!$F18*100)</f>
        <v/>
      </c>
      <c r="AZ18" t="str">
        <f>IF(OR(Calc_오픈정렬!$F18="",Calc_오픈정렬!AZ18=""),"",Calc_오픈정렬!AZ18/Calc_오픈정렬!$F18*100)</f>
        <v/>
      </c>
      <c r="BA18" t="str">
        <f>IF(OR(Calc_오픈정렬!$F18="",Calc_오픈정렬!BA18=""),"",Calc_오픈정렬!BA18/Calc_오픈정렬!$F18*100)</f>
        <v/>
      </c>
      <c r="BB18" t="str">
        <f>IF(OR(Calc_오픈정렬!$F18="",Calc_오픈정렬!BB18=""),"",Calc_오픈정렬!BB18/Calc_오픈정렬!$F18*100)</f>
        <v/>
      </c>
      <c r="BC18" t="str">
        <f>IF(OR(Calc_오픈정렬!$F18="",Calc_오픈정렬!BC18=""),"",Calc_오픈정렬!BC18/Calc_오픈정렬!$F18*100)</f>
        <v/>
      </c>
      <c r="BD18" t="str">
        <f>IF(OR(Calc_오픈정렬!$F18="",Calc_오픈정렬!BD18=""),"",Calc_오픈정렬!BD18/Calc_오픈정렬!$F18*100)</f>
        <v/>
      </c>
      <c r="BE18" t="str">
        <f>IF(OR(Calc_오픈정렬!$F18="",Calc_오픈정렬!BE18=""),"",Calc_오픈정렬!BE18/Calc_오픈정렬!$F18*100)</f>
        <v/>
      </c>
      <c r="BF18" t="str">
        <f>IF(OR(Calc_오픈정렬!$F18="",Calc_오픈정렬!BF18=""),"",Calc_오픈정렬!BF18/Calc_오픈정렬!$F18*100)</f>
        <v/>
      </c>
      <c r="BG18" t="str">
        <f>IF(OR(Calc_오픈정렬!$F18="",Calc_오픈정렬!BG18=""),"",Calc_오픈정렬!BG18/Calc_오픈정렬!$F18*100)</f>
        <v/>
      </c>
      <c r="BH18" t="str">
        <f>IF(OR(Calc_오픈정렬!$F18="",Calc_오픈정렬!BH18=""),"",Calc_오픈정렬!BH18/Calc_오픈정렬!$F18*100)</f>
        <v/>
      </c>
      <c r="BI18" t="str">
        <f>IF(OR(Calc_오픈정렬!$F18="",Calc_오픈정렬!BI18=""),"",Calc_오픈정렬!BI18/Calc_오픈정렬!$F18*100)</f>
        <v/>
      </c>
      <c r="BJ18" t="str">
        <f>IF(OR(Calc_오픈정렬!$F18="",Calc_오픈정렬!BJ18=""),"",Calc_오픈정렬!BJ18/Calc_오픈정렬!$F18*100)</f>
        <v/>
      </c>
      <c r="BK18" t="str">
        <f>IF(OR(Calc_오픈정렬!$F18="",Calc_오픈정렬!BK18=""),"",Calc_오픈정렬!BK18/Calc_오픈정렬!$F18*100)</f>
        <v/>
      </c>
      <c r="BL18" t="str">
        <f>IF(OR(Calc_오픈정렬!$F18="",Calc_오픈정렬!BL18=""),"",Calc_오픈정렬!BL18/Calc_오픈정렬!$F18*100)</f>
        <v/>
      </c>
      <c r="BM18" t="str">
        <f>IF(OR(Calc_오픈정렬!$F18="",Calc_오픈정렬!BM18=""),"",Calc_오픈정렬!BM18/Calc_오픈정렬!$F18*100)</f>
        <v/>
      </c>
      <c r="BN18" t="str">
        <f>IF(OR(Calc_오픈정렬!$F18="",Calc_오픈정렬!BN18=""),"",Calc_오픈정렬!BN18/Calc_오픈정렬!$F18*100)</f>
        <v/>
      </c>
    </row>
    <row r="19" spans="1:66" x14ac:dyDescent="0.4">
      <c r="A19" t="str">
        <f>Calc_오픈정렬!A19</f>
        <v>(1004) #서울대입구점</v>
      </c>
      <c r="B19" t="str">
        <f>Calc_오픈정렬!B19</f>
        <v>150-1</v>
      </c>
      <c r="C19">
        <f>Calc_오픈정렬!C19</f>
        <v>1</v>
      </c>
      <c r="D19" t="str">
        <f>Calc_오픈정렬!D19</f>
        <v>1</v>
      </c>
      <c r="E19" s="1">
        <f>Calc_오픈정렬!E19</f>
        <v>43862</v>
      </c>
      <c r="F19" t="str">
        <f>Calc_오픈정렬!F19</f>
        <v/>
      </c>
      <c r="G19" t="str">
        <f>IF(OR(Calc_오픈정렬!$F19="",Calc_오픈정렬!G19=""),"",Calc_오픈정렬!G19/Calc_오픈정렬!$F19*100)</f>
        <v/>
      </c>
      <c r="H19" t="str">
        <f>IF(OR(Calc_오픈정렬!$F19="",Calc_오픈정렬!H19=""),"",Calc_오픈정렬!H19/Calc_오픈정렬!$F19*100)</f>
        <v/>
      </c>
      <c r="I19" t="str">
        <f>IF(OR(Calc_오픈정렬!$F19="",Calc_오픈정렬!I19=""),"",Calc_오픈정렬!I19/Calc_오픈정렬!$F19*100)</f>
        <v/>
      </c>
      <c r="J19" t="str">
        <f>IF(OR(Calc_오픈정렬!$F19="",Calc_오픈정렬!J19=""),"",Calc_오픈정렬!J19/Calc_오픈정렬!$F19*100)</f>
        <v/>
      </c>
      <c r="K19" t="str">
        <f>IF(OR(Calc_오픈정렬!$F19="",Calc_오픈정렬!K19=""),"",Calc_오픈정렬!K19/Calc_오픈정렬!$F19*100)</f>
        <v/>
      </c>
      <c r="L19" t="str">
        <f>IF(OR(Calc_오픈정렬!$F19="",Calc_오픈정렬!L19=""),"",Calc_오픈정렬!L19/Calc_오픈정렬!$F19*100)</f>
        <v/>
      </c>
      <c r="M19" t="str">
        <f>IF(OR(Calc_오픈정렬!$F19="",Calc_오픈정렬!M19=""),"",Calc_오픈정렬!M19/Calc_오픈정렬!$F19*100)</f>
        <v/>
      </c>
      <c r="N19" t="str">
        <f>IF(OR(Calc_오픈정렬!$F19="",Calc_오픈정렬!N19=""),"",Calc_오픈정렬!N19/Calc_오픈정렬!$F19*100)</f>
        <v/>
      </c>
      <c r="O19" t="str">
        <f>IF(OR(Calc_오픈정렬!$F19="",Calc_오픈정렬!O19=""),"",Calc_오픈정렬!O19/Calc_오픈정렬!$F19*100)</f>
        <v/>
      </c>
      <c r="P19" t="str">
        <f>IF(OR(Calc_오픈정렬!$F19="",Calc_오픈정렬!P19=""),"",Calc_오픈정렬!P19/Calc_오픈정렬!$F19*100)</f>
        <v/>
      </c>
      <c r="Q19" t="str">
        <f>IF(OR(Calc_오픈정렬!$F19="",Calc_오픈정렬!Q19=""),"",Calc_오픈정렬!Q19/Calc_오픈정렬!$F19*100)</f>
        <v/>
      </c>
      <c r="R19" t="str">
        <f>IF(OR(Calc_오픈정렬!$F19="",Calc_오픈정렬!R19=""),"",Calc_오픈정렬!R19/Calc_오픈정렬!$F19*100)</f>
        <v/>
      </c>
      <c r="S19" t="str">
        <f>IF(OR(Calc_오픈정렬!$F19="",Calc_오픈정렬!S19=""),"",Calc_오픈정렬!S19/Calc_오픈정렬!$F19*100)</f>
        <v/>
      </c>
      <c r="T19" t="str">
        <f>IF(OR(Calc_오픈정렬!$F19="",Calc_오픈정렬!T19=""),"",Calc_오픈정렬!T19/Calc_오픈정렬!$F19*100)</f>
        <v/>
      </c>
      <c r="U19" t="str">
        <f>IF(OR(Calc_오픈정렬!$F19="",Calc_오픈정렬!U19=""),"",Calc_오픈정렬!U19/Calc_오픈정렬!$F19*100)</f>
        <v/>
      </c>
      <c r="V19" t="str">
        <f>IF(OR(Calc_오픈정렬!$F19="",Calc_오픈정렬!V19=""),"",Calc_오픈정렬!V19/Calc_오픈정렬!$F19*100)</f>
        <v/>
      </c>
      <c r="W19" t="str">
        <f>IF(OR(Calc_오픈정렬!$F19="",Calc_오픈정렬!W19=""),"",Calc_오픈정렬!W19/Calc_오픈정렬!$F19*100)</f>
        <v/>
      </c>
      <c r="X19" t="str">
        <f>IF(OR(Calc_오픈정렬!$F19="",Calc_오픈정렬!X19=""),"",Calc_오픈정렬!X19/Calc_오픈정렬!$F19*100)</f>
        <v/>
      </c>
      <c r="Y19" t="str">
        <f>IF(OR(Calc_오픈정렬!$F19="",Calc_오픈정렬!Y19=""),"",Calc_오픈정렬!Y19/Calc_오픈정렬!$F19*100)</f>
        <v/>
      </c>
      <c r="Z19" t="str">
        <f>IF(OR(Calc_오픈정렬!$F19="",Calc_오픈정렬!Z19=""),"",Calc_오픈정렬!Z19/Calc_오픈정렬!$F19*100)</f>
        <v/>
      </c>
      <c r="AA19" t="str">
        <f>IF(OR(Calc_오픈정렬!$F19="",Calc_오픈정렬!AA19=""),"",Calc_오픈정렬!AA19/Calc_오픈정렬!$F19*100)</f>
        <v/>
      </c>
      <c r="AB19" t="str">
        <f>IF(OR(Calc_오픈정렬!$F19="",Calc_오픈정렬!AB19=""),"",Calc_오픈정렬!AB19/Calc_오픈정렬!$F19*100)</f>
        <v/>
      </c>
      <c r="AC19" t="str">
        <f>IF(OR(Calc_오픈정렬!$F19="",Calc_오픈정렬!AC19=""),"",Calc_오픈정렬!AC19/Calc_오픈정렬!$F19*100)</f>
        <v/>
      </c>
      <c r="AD19" t="str">
        <f>IF(OR(Calc_오픈정렬!$F19="",Calc_오픈정렬!AD19=""),"",Calc_오픈정렬!AD19/Calc_오픈정렬!$F19*100)</f>
        <v/>
      </c>
      <c r="AE19" t="str">
        <f>IF(OR(Calc_오픈정렬!$F19="",Calc_오픈정렬!AE19=""),"",Calc_오픈정렬!AE19/Calc_오픈정렬!$F19*100)</f>
        <v/>
      </c>
      <c r="AF19" t="str">
        <f>IF(OR(Calc_오픈정렬!$F19="",Calc_오픈정렬!AF19=""),"",Calc_오픈정렬!AF19/Calc_오픈정렬!$F19*100)</f>
        <v/>
      </c>
      <c r="AG19" t="str">
        <f>IF(OR(Calc_오픈정렬!$F19="",Calc_오픈정렬!AG19=""),"",Calc_오픈정렬!AG19/Calc_오픈정렬!$F19*100)</f>
        <v/>
      </c>
      <c r="AH19" t="str">
        <f>IF(OR(Calc_오픈정렬!$F19="",Calc_오픈정렬!AH19=""),"",Calc_오픈정렬!AH19/Calc_오픈정렬!$F19*100)</f>
        <v/>
      </c>
      <c r="AI19" t="str">
        <f>IF(OR(Calc_오픈정렬!$F19="",Calc_오픈정렬!AI19=""),"",Calc_오픈정렬!AI19/Calc_오픈정렬!$F19*100)</f>
        <v/>
      </c>
      <c r="AJ19" t="str">
        <f>IF(OR(Calc_오픈정렬!$F19="",Calc_오픈정렬!AJ19=""),"",Calc_오픈정렬!AJ19/Calc_오픈정렬!$F19*100)</f>
        <v/>
      </c>
      <c r="AK19" t="str">
        <f>IF(OR(Calc_오픈정렬!$F19="",Calc_오픈정렬!AK19=""),"",Calc_오픈정렬!AK19/Calc_오픈정렬!$F19*100)</f>
        <v/>
      </c>
      <c r="AL19" t="str">
        <f>IF(OR(Calc_오픈정렬!$F19="",Calc_오픈정렬!AL19=""),"",Calc_오픈정렬!AL19/Calc_오픈정렬!$F19*100)</f>
        <v/>
      </c>
      <c r="AM19" t="str">
        <f>IF(OR(Calc_오픈정렬!$F19="",Calc_오픈정렬!AM19=""),"",Calc_오픈정렬!AM19/Calc_오픈정렬!$F19*100)</f>
        <v/>
      </c>
      <c r="AN19" t="str">
        <f>IF(OR(Calc_오픈정렬!$F19="",Calc_오픈정렬!AN19=""),"",Calc_오픈정렬!AN19/Calc_오픈정렬!$F19*100)</f>
        <v/>
      </c>
      <c r="AO19" t="str">
        <f>IF(OR(Calc_오픈정렬!$F19="",Calc_오픈정렬!AO19=""),"",Calc_오픈정렬!AO19/Calc_오픈정렬!$F19*100)</f>
        <v/>
      </c>
      <c r="AP19" t="str">
        <f>IF(OR(Calc_오픈정렬!$F19="",Calc_오픈정렬!AP19=""),"",Calc_오픈정렬!AP19/Calc_오픈정렬!$F19*100)</f>
        <v/>
      </c>
      <c r="AQ19" t="str">
        <f>IF(OR(Calc_오픈정렬!$F19="",Calc_오픈정렬!AQ19=""),"",Calc_오픈정렬!AQ19/Calc_오픈정렬!$F19*100)</f>
        <v/>
      </c>
      <c r="AR19" t="str">
        <f>IF(OR(Calc_오픈정렬!$F19="",Calc_오픈정렬!AR19=""),"",Calc_오픈정렬!AR19/Calc_오픈정렬!$F19*100)</f>
        <v/>
      </c>
      <c r="AS19" t="str">
        <f>IF(OR(Calc_오픈정렬!$F19="",Calc_오픈정렬!AS19=""),"",Calc_오픈정렬!AS19/Calc_오픈정렬!$F19*100)</f>
        <v/>
      </c>
      <c r="AT19" t="str">
        <f>IF(OR(Calc_오픈정렬!$F19="",Calc_오픈정렬!AT19=""),"",Calc_오픈정렬!AT19/Calc_오픈정렬!$F19*100)</f>
        <v/>
      </c>
      <c r="AU19" t="str">
        <f>IF(OR(Calc_오픈정렬!$F19="",Calc_오픈정렬!AU19=""),"",Calc_오픈정렬!AU19/Calc_오픈정렬!$F19*100)</f>
        <v/>
      </c>
      <c r="AV19" t="str">
        <f>IF(OR(Calc_오픈정렬!$F19="",Calc_오픈정렬!AV19=""),"",Calc_오픈정렬!AV19/Calc_오픈정렬!$F19*100)</f>
        <v/>
      </c>
      <c r="AW19" t="str">
        <f>IF(OR(Calc_오픈정렬!$F19="",Calc_오픈정렬!AW19=""),"",Calc_오픈정렬!AW19/Calc_오픈정렬!$F19*100)</f>
        <v/>
      </c>
      <c r="AX19" t="str">
        <f>IF(OR(Calc_오픈정렬!$F19="",Calc_오픈정렬!AX19=""),"",Calc_오픈정렬!AX19/Calc_오픈정렬!$F19*100)</f>
        <v/>
      </c>
      <c r="AY19" t="str">
        <f>IF(OR(Calc_오픈정렬!$F19="",Calc_오픈정렬!AY19=""),"",Calc_오픈정렬!AY19/Calc_오픈정렬!$F19*100)</f>
        <v/>
      </c>
      <c r="AZ19" t="str">
        <f>IF(OR(Calc_오픈정렬!$F19="",Calc_오픈정렬!AZ19=""),"",Calc_오픈정렬!AZ19/Calc_오픈정렬!$F19*100)</f>
        <v/>
      </c>
      <c r="BA19" t="str">
        <f>IF(OR(Calc_오픈정렬!$F19="",Calc_오픈정렬!BA19=""),"",Calc_오픈정렬!BA19/Calc_오픈정렬!$F19*100)</f>
        <v/>
      </c>
      <c r="BB19" t="str">
        <f>IF(OR(Calc_오픈정렬!$F19="",Calc_오픈정렬!BB19=""),"",Calc_오픈정렬!BB19/Calc_오픈정렬!$F19*100)</f>
        <v/>
      </c>
      <c r="BC19" t="str">
        <f>IF(OR(Calc_오픈정렬!$F19="",Calc_오픈정렬!BC19=""),"",Calc_오픈정렬!BC19/Calc_오픈정렬!$F19*100)</f>
        <v/>
      </c>
      <c r="BD19" t="str">
        <f>IF(OR(Calc_오픈정렬!$F19="",Calc_오픈정렬!BD19=""),"",Calc_오픈정렬!BD19/Calc_오픈정렬!$F19*100)</f>
        <v/>
      </c>
      <c r="BE19" t="str">
        <f>IF(OR(Calc_오픈정렬!$F19="",Calc_오픈정렬!BE19=""),"",Calc_오픈정렬!BE19/Calc_오픈정렬!$F19*100)</f>
        <v/>
      </c>
      <c r="BF19" t="str">
        <f>IF(OR(Calc_오픈정렬!$F19="",Calc_오픈정렬!BF19=""),"",Calc_오픈정렬!BF19/Calc_오픈정렬!$F19*100)</f>
        <v/>
      </c>
      <c r="BG19" t="str">
        <f>IF(OR(Calc_오픈정렬!$F19="",Calc_오픈정렬!BG19=""),"",Calc_오픈정렬!BG19/Calc_오픈정렬!$F19*100)</f>
        <v/>
      </c>
      <c r="BH19" t="str">
        <f>IF(OR(Calc_오픈정렬!$F19="",Calc_오픈정렬!BH19=""),"",Calc_오픈정렬!BH19/Calc_오픈정렬!$F19*100)</f>
        <v/>
      </c>
      <c r="BI19" t="str">
        <f>IF(OR(Calc_오픈정렬!$F19="",Calc_오픈정렬!BI19=""),"",Calc_오픈정렬!BI19/Calc_오픈정렬!$F19*100)</f>
        <v/>
      </c>
      <c r="BJ19" t="str">
        <f>IF(OR(Calc_오픈정렬!$F19="",Calc_오픈정렬!BJ19=""),"",Calc_오픈정렬!BJ19/Calc_오픈정렬!$F19*100)</f>
        <v/>
      </c>
      <c r="BK19" t="str">
        <f>IF(OR(Calc_오픈정렬!$F19="",Calc_오픈정렬!BK19=""),"",Calc_오픈정렬!BK19/Calc_오픈정렬!$F19*100)</f>
        <v/>
      </c>
      <c r="BL19" t="str">
        <f>IF(OR(Calc_오픈정렬!$F19="",Calc_오픈정렬!BL19=""),"",Calc_오픈정렬!BL19/Calc_오픈정렬!$F19*100)</f>
        <v/>
      </c>
      <c r="BM19" t="str">
        <f>IF(OR(Calc_오픈정렬!$F19="",Calc_오픈정렬!BM19=""),"",Calc_오픈정렬!BM19/Calc_오픈정렬!$F19*100)</f>
        <v/>
      </c>
      <c r="BN19" t="str">
        <f>IF(OR(Calc_오픈정렬!$F19="",Calc_오픈정렬!BN19=""),"",Calc_오픈정렬!BN19/Calc_오픈정렬!$F19*100)</f>
        <v/>
      </c>
    </row>
    <row r="20" spans="1:66" x14ac:dyDescent="0.4">
      <c r="A20" t="str">
        <f>Calc_오픈정렬!A20</f>
        <v>(1005) #쑥고개점</v>
      </c>
      <c r="B20" t="str">
        <f>Calc_오픈정렬!B20</f>
        <v>150-1</v>
      </c>
      <c r="C20">
        <f>Calc_오픈정렬!C20</f>
        <v>1</v>
      </c>
      <c r="D20" t="str">
        <f>Calc_오픈정렬!D20</f>
        <v>1</v>
      </c>
      <c r="E20" s="1">
        <f>Calc_오픈정렬!E20</f>
        <v>43862</v>
      </c>
      <c r="F20" t="str">
        <f>Calc_오픈정렬!F20</f>
        <v/>
      </c>
      <c r="G20" t="str">
        <f>IF(OR(Calc_오픈정렬!$F20="",Calc_오픈정렬!G20=""),"",Calc_오픈정렬!G20/Calc_오픈정렬!$F20*100)</f>
        <v/>
      </c>
      <c r="H20" t="str">
        <f>IF(OR(Calc_오픈정렬!$F20="",Calc_오픈정렬!H20=""),"",Calc_오픈정렬!H20/Calc_오픈정렬!$F20*100)</f>
        <v/>
      </c>
      <c r="I20" t="str">
        <f>IF(OR(Calc_오픈정렬!$F20="",Calc_오픈정렬!I20=""),"",Calc_오픈정렬!I20/Calc_오픈정렬!$F20*100)</f>
        <v/>
      </c>
      <c r="J20" t="str">
        <f>IF(OR(Calc_오픈정렬!$F20="",Calc_오픈정렬!J20=""),"",Calc_오픈정렬!J20/Calc_오픈정렬!$F20*100)</f>
        <v/>
      </c>
      <c r="K20" t="str">
        <f>IF(OR(Calc_오픈정렬!$F20="",Calc_오픈정렬!K20=""),"",Calc_오픈정렬!K20/Calc_오픈정렬!$F20*100)</f>
        <v/>
      </c>
      <c r="L20" t="str">
        <f>IF(OR(Calc_오픈정렬!$F20="",Calc_오픈정렬!L20=""),"",Calc_오픈정렬!L20/Calc_오픈정렬!$F20*100)</f>
        <v/>
      </c>
      <c r="M20" t="str">
        <f>IF(OR(Calc_오픈정렬!$F20="",Calc_오픈정렬!M20=""),"",Calc_오픈정렬!M20/Calc_오픈정렬!$F20*100)</f>
        <v/>
      </c>
      <c r="N20" t="str">
        <f>IF(OR(Calc_오픈정렬!$F20="",Calc_오픈정렬!N20=""),"",Calc_오픈정렬!N20/Calc_오픈정렬!$F20*100)</f>
        <v/>
      </c>
      <c r="O20" t="str">
        <f>IF(OR(Calc_오픈정렬!$F20="",Calc_오픈정렬!O20=""),"",Calc_오픈정렬!O20/Calc_오픈정렬!$F20*100)</f>
        <v/>
      </c>
      <c r="P20" t="str">
        <f>IF(OR(Calc_오픈정렬!$F20="",Calc_오픈정렬!P20=""),"",Calc_오픈정렬!P20/Calc_오픈정렬!$F20*100)</f>
        <v/>
      </c>
      <c r="Q20" t="str">
        <f>IF(OR(Calc_오픈정렬!$F20="",Calc_오픈정렬!Q20=""),"",Calc_오픈정렬!Q20/Calc_오픈정렬!$F20*100)</f>
        <v/>
      </c>
      <c r="R20" t="str">
        <f>IF(OR(Calc_오픈정렬!$F20="",Calc_오픈정렬!R20=""),"",Calc_오픈정렬!R20/Calc_오픈정렬!$F20*100)</f>
        <v/>
      </c>
      <c r="S20" t="str">
        <f>IF(OR(Calc_오픈정렬!$F20="",Calc_오픈정렬!S20=""),"",Calc_오픈정렬!S20/Calc_오픈정렬!$F20*100)</f>
        <v/>
      </c>
      <c r="T20" t="str">
        <f>IF(OR(Calc_오픈정렬!$F20="",Calc_오픈정렬!T20=""),"",Calc_오픈정렬!T20/Calc_오픈정렬!$F20*100)</f>
        <v/>
      </c>
      <c r="U20" t="str">
        <f>IF(OR(Calc_오픈정렬!$F20="",Calc_오픈정렬!U20=""),"",Calc_오픈정렬!U20/Calc_오픈정렬!$F20*100)</f>
        <v/>
      </c>
      <c r="V20" t="str">
        <f>IF(OR(Calc_오픈정렬!$F20="",Calc_오픈정렬!V20=""),"",Calc_오픈정렬!V20/Calc_오픈정렬!$F20*100)</f>
        <v/>
      </c>
      <c r="W20" t="str">
        <f>IF(OR(Calc_오픈정렬!$F20="",Calc_오픈정렬!W20=""),"",Calc_오픈정렬!W20/Calc_오픈정렬!$F20*100)</f>
        <v/>
      </c>
      <c r="X20" t="str">
        <f>IF(OR(Calc_오픈정렬!$F20="",Calc_오픈정렬!X20=""),"",Calc_오픈정렬!X20/Calc_오픈정렬!$F20*100)</f>
        <v/>
      </c>
      <c r="Y20" t="str">
        <f>IF(OR(Calc_오픈정렬!$F20="",Calc_오픈정렬!Y20=""),"",Calc_오픈정렬!Y20/Calc_오픈정렬!$F20*100)</f>
        <v/>
      </c>
      <c r="Z20" t="str">
        <f>IF(OR(Calc_오픈정렬!$F20="",Calc_오픈정렬!Z20=""),"",Calc_오픈정렬!Z20/Calc_오픈정렬!$F20*100)</f>
        <v/>
      </c>
      <c r="AA20" t="str">
        <f>IF(OR(Calc_오픈정렬!$F20="",Calc_오픈정렬!AA20=""),"",Calc_오픈정렬!AA20/Calc_오픈정렬!$F20*100)</f>
        <v/>
      </c>
      <c r="AB20" t="str">
        <f>IF(OR(Calc_오픈정렬!$F20="",Calc_오픈정렬!AB20=""),"",Calc_오픈정렬!AB20/Calc_오픈정렬!$F20*100)</f>
        <v/>
      </c>
      <c r="AC20" t="str">
        <f>IF(OR(Calc_오픈정렬!$F20="",Calc_오픈정렬!AC20=""),"",Calc_오픈정렬!AC20/Calc_오픈정렬!$F20*100)</f>
        <v/>
      </c>
      <c r="AD20" t="str">
        <f>IF(OR(Calc_오픈정렬!$F20="",Calc_오픈정렬!AD20=""),"",Calc_오픈정렬!AD20/Calc_오픈정렬!$F20*100)</f>
        <v/>
      </c>
      <c r="AE20" t="str">
        <f>IF(OR(Calc_오픈정렬!$F20="",Calc_오픈정렬!AE20=""),"",Calc_오픈정렬!AE20/Calc_오픈정렬!$F20*100)</f>
        <v/>
      </c>
      <c r="AF20" t="str">
        <f>IF(OR(Calc_오픈정렬!$F20="",Calc_오픈정렬!AF20=""),"",Calc_오픈정렬!AF20/Calc_오픈정렬!$F20*100)</f>
        <v/>
      </c>
      <c r="AG20" t="str">
        <f>IF(OR(Calc_오픈정렬!$F20="",Calc_오픈정렬!AG20=""),"",Calc_오픈정렬!AG20/Calc_오픈정렬!$F20*100)</f>
        <v/>
      </c>
      <c r="AH20" t="str">
        <f>IF(OR(Calc_오픈정렬!$F20="",Calc_오픈정렬!AH20=""),"",Calc_오픈정렬!AH20/Calc_오픈정렬!$F20*100)</f>
        <v/>
      </c>
      <c r="AI20" t="str">
        <f>IF(OR(Calc_오픈정렬!$F20="",Calc_오픈정렬!AI20=""),"",Calc_오픈정렬!AI20/Calc_오픈정렬!$F20*100)</f>
        <v/>
      </c>
      <c r="AJ20" t="str">
        <f>IF(OR(Calc_오픈정렬!$F20="",Calc_오픈정렬!AJ20=""),"",Calc_오픈정렬!AJ20/Calc_오픈정렬!$F20*100)</f>
        <v/>
      </c>
      <c r="AK20" t="str">
        <f>IF(OR(Calc_오픈정렬!$F20="",Calc_오픈정렬!AK20=""),"",Calc_오픈정렬!AK20/Calc_오픈정렬!$F20*100)</f>
        <v/>
      </c>
      <c r="AL20" t="str">
        <f>IF(OR(Calc_오픈정렬!$F20="",Calc_오픈정렬!AL20=""),"",Calc_오픈정렬!AL20/Calc_오픈정렬!$F20*100)</f>
        <v/>
      </c>
      <c r="AM20" t="str">
        <f>IF(OR(Calc_오픈정렬!$F20="",Calc_오픈정렬!AM20=""),"",Calc_오픈정렬!AM20/Calc_오픈정렬!$F20*100)</f>
        <v/>
      </c>
      <c r="AN20" t="str">
        <f>IF(OR(Calc_오픈정렬!$F20="",Calc_오픈정렬!AN20=""),"",Calc_오픈정렬!AN20/Calc_오픈정렬!$F20*100)</f>
        <v/>
      </c>
      <c r="AO20" t="str">
        <f>IF(OR(Calc_오픈정렬!$F20="",Calc_오픈정렬!AO20=""),"",Calc_오픈정렬!AO20/Calc_오픈정렬!$F20*100)</f>
        <v/>
      </c>
      <c r="AP20" t="str">
        <f>IF(OR(Calc_오픈정렬!$F20="",Calc_오픈정렬!AP20=""),"",Calc_오픈정렬!AP20/Calc_오픈정렬!$F20*100)</f>
        <v/>
      </c>
      <c r="AQ20" t="str">
        <f>IF(OR(Calc_오픈정렬!$F20="",Calc_오픈정렬!AQ20=""),"",Calc_오픈정렬!AQ20/Calc_오픈정렬!$F20*100)</f>
        <v/>
      </c>
      <c r="AR20" t="str">
        <f>IF(OR(Calc_오픈정렬!$F20="",Calc_오픈정렬!AR20=""),"",Calc_오픈정렬!AR20/Calc_오픈정렬!$F20*100)</f>
        <v/>
      </c>
      <c r="AS20" t="str">
        <f>IF(OR(Calc_오픈정렬!$F20="",Calc_오픈정렬!AS20=""),"",Calc_오픈정렬!AS20/Calc_오픈정렬!$F20*100)</f>
        <v/>
      </c>
      <c r="AT20" t="str">
        <f>IF(OR(Calc_오픈정렬!$F20="",Calc_오픈정렬!AT20=""),"",Calc_오픈정렬!AT20/Calc_오픈정렬!$F20*100)</f>
        <v/>
      </c>
      <c r="AU20" t="str">
        <f>IF(OR(Calc_오픈정렬!$F20="",Calc_오픈정렬!AU20=""),"",Calc_오픈정렬!AU20/Calc_오픈정렬!$F20*100)</f>
        <v/>
      </c>
      <c r="AV20" t="str">
        <f>IF(OR(Calc_오픈정렬!$F20="",Calc_오픈정렬!AV20=""),"",Calc_오픈정렬!AV20/Calc_오픈정렬!$F20*100)</f>
        <v/>
      </c>
      <c r="AW20" t="str">
        <f>IF(OR(Calc_오픈정렬!$F20="",Calc_오픈정렬!AW20=""),"",Calc_오픈정렬!AW20/Calc_오픈정렬!$F20*100)</f>
        <v/>
      </c>
      <c r="AX20" t="str">
        <f>IF(OR(Calc_오픈정렬!$F20="",Calc_오픈정렬!AX20=""),"",Calc_오픈정렬!AX20/Calc_오픈정렬!$F20*100)</f>
        <v/>
      </c>
      <c r="AY20" t="str">
        <f>IF(OR(Calc_오픈정렬!$F20="",Calc_오픈정렬!AY20=""),"",Calc_오픈정렬!AY20/Calc_오픈정렬!$F20*100)</f>
        <v/>
      </c>
      <c r="AZ20" t="str">
        <f>IF(OR(Calc_오픈정렬!$F20="",Calc_오픈정렬!AZ20=""),"",Calc_오픈정렬!AZ20/Calc_오픈정렬!$F20*100)</f>
        <v/>
      </c>
      <c r="BA20" t="str">
        <f>IF(OR(Calc_오픈정렬!$F20="",Calc_오픈정렬!BA20=""),"",Calc_오픈정렬!BA20/Calc_오픈정렬!$F20*100)</f>
        <v/>
      </c>
      <c r="BB20" t="str">
        <f>IF(OR(Calc_오픈정렬!$F20="",Calc_오픈정렬!BB20=""),"",Calc_오픈정렬!BB20/Calc_오픈정렬!$F20*100)</f>
        <v/>
      </c>
      <c r="BC20" t="str">
        <f>IF(OR(Calc_오픈정렬!$F20="",Calc_오픈정렬!BC20=""),"",Calc_오픈정렬!BC20/Calc_오픈정렬!$F20*100)</f>
        <v/>
      </c>
      <c r="BD20" t="str">
        <f>IF(OR(Calc_오픈정렬!$F20="",Calc_오픈정렬!BD20=""),"",Calc_오픈정렬!BD20/Calc_오픈정렬!$F20*100)</f>
        <v/>
      </c>
      <c r="BE20" t="str">
        <f>IF(OR(Calc_오픈정렬!$F20="",Calc_오픈정렬!BE20=""),"",Calc_오픈정렬!BE20/Calc_오픈정렬!$F20*100)</f>
        <v/>
      </c>
      <c r="BF20" t="str">
        <f>IF(OR(Calc_오픈정렬!$F20="",Calc_오픈정렬!BF20=""),"",Calc_오픈정렬!BF20/Calc_오픈정렬!$F20*100)</f>
        <v/>
      </c>
      <c r="BG20" t="str">
        <f>IF(OR(Calc_오픈정렬!$F20="",Calc_오픈정렬!BG20=""),"",Calc_오픈정렬!BG20/Calc_오픈정렬!$F20*100)</f>
        <v/>
      </c>
      <c r="BH20" t="str">
        <f>IF(OR(Calc_오픈정렬!$F20="",Calc_오픈정렬!BH20=""),"",Calc_오픈정렬!BH20/Calc_오픈정렬!$F20*100)</f>
        <v/>
      </c>
      <c r="BI20" t="str">
        <f>IF(OR(Calc_오픈정렬!$F20="",Calc_오픈정렬!BI20=""),"",Calc_오픈정렬!BI20/Calc_오픈정렬!$F20*100)</f>
        <v/>
      </c>
      <c r="BJ20" t="str">
        <f>IF(OR(Calc_오픈정렬!$F20="",Calc_오픈정렬!BJ20=""),"",Calc_오픈정렬!BJ20/Calc_오픈정렬!$F20*100)</f>
        <v/>
      </c>
      <c r="BK20" t="str">
        <f>IF(OR(Calc_오픈정렬!$F20="",Calc_오픈정렬!BK20=""),"",Calc_오픈정렬!BK20/Calc_오픈정렬!$F20*100)</f>
        <v/>
      </c>
      <c r="BL20" t="str">
        <f>IF(OR(Calc_오픈정렬!$F20="",Calc_오픈정렬!BL20=""),"",Calc_오픈정렬!BL20/Calc_오픈정렬!$F20*100)</f>
        <v/>
      </c>
      <c r="BM20" t="str">
        <f>IF(OR(Calc_오픈정렬!$F20="",Calc_오픈정렬!BM20=""),"",Calc_오픈정렬!BM20/Calc_오픈정렬!$F20*100)</f>
        <v/>
      </c>
      <c r="BN20" t="str">
        <f>IF(OR(Calc_오픈정렬!$F20="",Calc_오픈정렬!BN20=""),"",Calc_오픈정렬!BN20/Calc_오픈정렬!$F20*100)</f>
        <v/>
      </c>
    </row>
    <row r="21" spans="1:66" x14ac:dyDescent="0.4">
      <c r="A21" t="str">
        <f>Calc_오픈정렬!A21</f>
        <v>(1006) #회기점</v>
      </c>
      <c r="B21" t="str">
        <f>Calc_오픈정렬!B21</f>
        <v>150-1</v>
      </c>
      <c r="C21">
        <f>Calc_오픈정렬!C21</f>
        <v>1</v>
      </c>
      <c r="D21" t="str">
        <f>Calc_오픈정렬!D21</f>
        <v>1</v>
      </c>
      <c r="E21" s="1">
        <f>Calc_오픈정렬!E21</f>
        <v>43862</v>
      </c>
      <c r="F21" t="str">
        <f>Calc_오픈정렬!F21</f>
        <v/>
      </c>
      <c r="G21" t="str">
        <f>IF(OR(Calc_오픈정렬!$F21="",Calc_오픈정렬!G21=""),"",Calc_오픈정렬!G21/Calc_오픈정렬!$F21*100)</f>
        <v/>
      </c>
      <c r="H21" t="str">
        <f>IF(OR(Calc_오픈정렬!$F21="",Calc_오픈정렬!H21=""),"",Calc_오픈정렬!H21/Calc_오픈정렬!$F21*100)</f>
        <v/>
      </c>
      <c r="I21" t="str">
        <f>IF(OR(Calc_오픈정렬!$F21="",Calc_오픈정렬!I21=""),"",Calc_오픈정렬!I21/Calc_오픈정렬!$F21*100)</f>
        <v/>
      </c>
      <c r="J21" t="str">
        <f>IF(OR(Calc_오픈정렬!$F21="",Calc_오픈정렬!J21=""),"",Calc_오픈정렬!J21/Calc_오픈정렬!$F21*100)</f>
        <v/>
      </c>
      <c r="K21" t="str">
        <f>IF(OR(Calc_오픈정렬!$F21="",Calc_오픈정렬!K21=""),"",Calc_오픈정렬!K21/Calc_오픈정렬!$F21*100)</f>
        <v/>
      </c>
      <c r="L21" t="str">
        <f>IF(OR(Calc_오픈정렬!$F21="",Calc_오픈정렬!L21=""),"",Calc_오픈정렬!L21/Calc_오픈정렬!$F21*100)</f>
        <v/>
      </c>
      <c r="M21" t="str">
        <f>IF(OR(Calc_오픈정렬!$F21="",Calc_오픈정렬!M21=""),"",Calc_오픈정렬!M21/Calc_오픈정렬!$F21*100)</f>
        <v/>
      </c>
      <c r="N21" t="str">
        <f>IF(OR(Calc_오픈정렬!$F21="",Calc_오픈정렬!N21=""),"",Calc_오픈정렬!N21/Calc_오픈정렬!$F21*100)</f>
        <v/>
      </c>
      <c r="O21" t="str">
        <f>IF(OR(Calc_오픈정렬!$F21="",Calc_오픈정렬!O21=""),"",Calc_오픈정렬!O21/Calc_오픈정렬!$F21*100)</f>
        <v/>
      </c>
      <c r="P21" t="str">
        <f>IF(OR(Calc_오픈정렬!$F21="",Calc_오픈정렬!P21=""),"",Calc_오픈정렬!P21/Calc_오픈정렬!$F21*100)</f>
        <v/>
      </c>
      <c r="Q21" t="str">
        <f>IF(OR(Calc_오픈정렬!$F21="",Calc_오픈정렬!Q21=""),"",Calc_오픈정렬!Q21/Calc_오픈정렬!$F21*100)</f>
        <v/>
      </c>
      <c r="R21" t="str">
        <f>IF(OR(Calc_오픈정렬!$F21="",Calc_오픈정렬!R21=""),"",Calc_오픈정렬!R21/Calc_오픈정렬!$F21*100)</f>
        <v/>
      </c>
      <c r="S21" t="str">
        <f>IF(OR(Calc_오픈정렬!$F21="",Calc_오픈정렬!S21=""),"",Calc_오픈정렬!S21/Calc_오픈정렬!$F21*100)</f>
        <v/>
      </c>
      <c r="T21" t="str">
        <f>IF(OR(Calc_오픈정렬!$F21="",Calc_오픈정렬!T21=""),"",Calc_오픈정렬!T21/Calc_오픈정렬!$F21*100)</f>
        <v/>
      </c>
      <c r="U21" t="str">
        <f>IF(OR(Calc_오픈정렬!$F21="",Calc_오픈정렬!U21=""),"",Calc_오픈정렬!U21/Calc_오픈정렬!$F21*100)</f>
        <v/>
      </c>
      <c r="V21" t="str">
        <f>IF(OR(Calc_오픈정렬!$F21="",Calc_오픈정렬!V21=""),"",Calc_오픈정렬!V21/Calc_오픈정렬!$F21*100)</f>
        <v/>
      </c>
      <c r="W21" t="str">
        <f>IF(OR(Calc_오픈정렬!$F21="",Calc_오픈정렬!W21=""),"",Calc_오픈정렬!W21/Calc_오픈정렬!$F21*100)</f>
        <v/>
      </c>
      <c r="X21" t="str">
        <f>IF(OR(Calc_오픈정렬!$F21="",Calc_오픈정렬!X21=""),"",Calc_오픈정렬!X21/Calc_오픈정렬!$F21*100)</f>
        <v/>
      </c>
      <c r="Y21" t="str">
        <f>IF(OR(Calc_오픈정렬!$F21="",Calc_오픈정렬!Y21=""),"",Calc_오픈정렬!Y21/Calc_오픈정렬!$F21*100)</f>
        <v/>
      </c>
      <c r="Z21" t="str">
        <f>IF(OR(Calc_오픈정렬!$F21="",Calc_오픈정렬!Z21=""),"",Calc_오픈정렬!Z21/Calc_오픈정렬!$F21*100)</f>
        <v/>
      </c>
      <c r="AA21" t="str">
        <f>IF(OR(Calc_오픈정렬!$F21="",Calc_오픈정렬!AA21=""),"",Calc_오픈정렬!AA21/Calc_오픈정렬!$F21*100)</f>
        <v/>
      </c>
      <c r="AB21" t="str">
        <f>IF(OR(Calc_오픈정렬!$F21="",Calc_오픈정렬!AB21=""),"",Calc_오픈정렬!AB21/Calc_오픈정렬!$F21*100)</f>
        <v/>
      </c>
      <c r="AC21" t="str">
        <f>IF(OR(Calc_오픈정렬!$F21="",Calc_오픈정렬!AC21=""),"",Calc_오픈정렬!AC21/Calc_오픈정렬!$F21*100)</f>
        <v/>
      </c>
      <c r="AD21" t="str">
        <f>IF(OR(Calc_오픈정렬!$F21="",Calc_오픈정렬!AD21=""),"",Calc_오픈정렬!AD21/Calc_오픈정렬!$F21*100)</f>
        <v/>
      </c>
      <c r="AE21" t="str">
        <f>IF(OR(Calc_오픈정렬!$F21="",Calc_오픈정렬!AE21=""),"",Calc_오픈정렬!AE21/Calc_오픈정렬!$F21*100)</f>
        <v/>
      </c>
      <c r="AF21" t="str">
        <f>IF(OR(Calc_오픈정렬!$F21="",Calc_오픈정렬!AF21=""),"",Calc_오픈정렬!AF21/Calc_오픈정렬!$F21*100)</f>
        <v/>
      </c>
      <c r="AG21" t="str">
        <f>IF(OR(Calc_오픈정렬!$F21="",Calc_오픈정렬!AG21=""),"",Calc_오픈정렬!AG21/Calc_오픈정렬!$F21*100)</f>
        <v/>
      </c>
      <c r="AH21" t="str">
        <f>IF(OR(Calc_오픈정렬!$F21="",Calc_오픈정렬!AH21=""),"",Calc_오픈정렬!AH21/Calc_오픈정렬!$F21*100)</f>
        <v/>
      </c>
      <c r="AI21" t="str">
        <f>IF(OR(Calc_오픈정렬!$F21="",Calc_오픈정렬!AI21=""),"",Calc_오픈정렬!AI21/Calc_오픈정렬!$F21*100)</f>
        <v/>
      </c>
      <c r="AJ21" t="str">
        <f>IF(OR(Calc_오픈정렬!$F21="",Calc_오픈정렬!AJ21=""),"",Calc_오픈정렬!AJ21/Calc_오픈정렬!$F21*100)</f>
        <v/>
      </c>
      <c r="AK21" t="str">
        <f>IF(OR(Calc_오픈정렬!$F21="",Calc_오픈정렬!AK21=""),"",Calc_오픈정렬!AK21/Calc_오픈정렬!$F21*100)</f>
        <v/>
      </c>
      <c r="AL21" t="str">
        <f>IF(OR(Calc_오픈정렬!$F21="",Calc_오픈정렬!AL21=""),"",Calc_오픈정렬!AL21/Calc_오픈정렬!$F21*100)</f>
        <v/>
      </c>
      <c r="AM21" t="str">
        <f>IF(OR(Calc_오픈정렬!$F21="",Calc_오픈정렬!AM21=""),"",Calc_오픈정렬!AM21/Calc_오픈정렬!$F21*100)</f>
        <v/>
      </c>
      <c r="AN21" t="str">
        <f>IF(OR(Calc_오픈정렬!$F21="",Calc_오픈정렬!AN21=""),"",Calc_오픈정렬!AN21/Calc_오픈정렬!$F21*100)</f>
        <v/>
      </c>
      <c r="AO21" t="str">
        <f>IF(OR(Calc_오픈정렬!$F21="",Calc_오픈정렬!AO21=""),"",Calc_오픈정렬!AO21/Calc_오픈정렬!$F21*100)</f>
        <v/>
      </c>
      <c r="AP21" t="str">
        <f>IF(OR(Calc_오픈정렬!$F21="",Calc_오픈정렬!AP21=""),"",Calc_오픈정렬!AP21/Calc_오픈정렬!$F21*100)</f>
        <v/>
      </c>
      <c r="AQ21" t="str">
        <f>IF(OR(Calc_오픈정렬!$F21="",Calc_오픈정렬!AQ21=""),"",Calc_오픈정렬!AQ21/Calc_오픈정렬!$F21*100)</f>
        <v/>
      </c>
      <c r="AR21" t="str">
        <f>IF(OR(Calc_오픈정렬!$F21="",Calc_오픈정렬!AR21=""),"",Calc_오픈정렬!AR21/Calc_오픈정렬!$F21*100)</f>
        <v/>
      </c>
      <c r="AS21" t="str">
        <f>IF(OR(Calc_오픈정렬!$F21="",Calc_오픈정렬!AS21=""),"",Calc_오픈정렬!AS21/Calc_오픈정렬!$F21*100)</f>
        <v/>
      </c>
      <c r="AT21" t="str">
        <f>IF(OR(Calc_오픈정렬!$F21="",Calc_오픈정렬!AT21=""),"",Calc_오픈정렬!AT21/Calc_오픈정렬!$F21*100)</f>
        <v/>
      </c>
      <c r="AU21" t="str">
        <f>IF(OR(Calc_오픈정렬!$F21="",Calc_오픈정렬!AU21=""),"",Calc_오픈정렬!AU21/Calc_오픈정렬!$F21*100)</f>
        <v/>
      </c>
      <c r="AV21" t="str">
        <f>IF(OR(Calc_오픈정렬!$F21="",Calc_오픈정렬!AV21=""),"",Calc_오픈정렬!AV21/Calc_오픈정렬!$F21*100)</f>
        <v/>
      </c>
      <c r="AW21" t="str">
        <f>IF(OR(Calc_오픈정렬!$F21="",Calc_오픈정렬!AW21=""),"",Calc_오픈정렬!AW21/Calc_오픈정렬!$F21*100)</f>
        <v/>
      </c>
      <c r="AX21" t="str">
        <f>IF(OR(Calc_오픈정렬!$F21="",Calc_오픈정렬!AX21=""),"",Calc_오픈정렬!AX21/Calc_오픈정렬!$F21*100)</f>
        <v/>
      </c>
      <c r="AY21" t="str">
        <f>IF(OR(Calc_오픈정렬!$F21="",Calc_오픈정렬!AY21=""),"",Calc_오픈정렬!AY21/Calc_오픈정렬!$F21*100)</f>
        <v/>
      </c>
      <c r="AZ21" t="str">
        <f>IF(OR(Calc_오픈정렬!$F21="",Calc_오픈정렬!AZ21=""),"",Calc_오픈정렬!AZ21/Calc_오픈정렬!$F21*100)</f>
        <v/>
      </c>
      <c r="BA21" t="str">
        <f>IF(OR(Calc_오픈정렬!$F21="",Calc_오픈정렬!BA21=""),"",Calc_오픈정렬!BA21/Calc_오픈정렬!$F21*100)</f>
        <v/>
      </c>
      <c r="BB21" t="str">
        <f>IF(OR(Calc_오픈정렬!$F21="",Calc_오픈정렬!BB21=""),"",Calc_오픈정렬!BB21/Calc_오픈정렬!$F21*100)</f>
        <v/>
      </c>
      <c r="BC21" t="str">
        <f>IF(OR(Calc_오픈정렬!$F21="",Calc_오픈정렬!BC21=""),"",Calc_오픈정렬!BC21/Calc_오픈정렬!$F21*100)</f>
        <v/>
      </c>
      <c r="BD21" t="str">
        <f>IF(OR(Calc_오픈정렬!$F21="",Calc_오픈정렬!BD21=""),"",Calc_오픈정렬!BD21/Calc_오픈정렬!$F21*100)</f>
        <v/>
      </c>
      <c r="BE21" t="str">
        <f>IF(OR(Calc_오픈정렬!$F21="",Calc_오픈정렬!BE21=""),"",Calc_오픈정렬!BE21/Calc_오픈정렬!$F21*100)</f>
        <v/>
      </c>
      <c r="BF21" t="str">
        <f>IF(OR(Calc_오픈정렬!$F21="",Calc_오픈정렬!BF21=""),"",Calc_오픈정렬!BF21/Calc_오픈정렬!$F21*100)</f>
        <v/>
      </c>
      <c r="BG21" t="str">
        <f>IF(OR(Calc_오픈정렬!$F21="",Calc_오픈정렬!BG21=""),"",Calc_오픈정렬!BG21/Calc_오픈정렬!$F21*100)</f>
        <v/>
      </c>
      <c r="BH21" t="str">
        <f>IF(OR(Calc_오픈정렬!$F21="",Calc_오픈정렬!BH21=""),"",Calc_오픈정렬!BH21/Calc_오픈정렬!$F21*100)</f>
        <v/>
      </c>
      <c r="BI21" t="str">
        <f>IF(OR(Calc_오픈정렬!$F21="",Calc_오픈정렬!BI21=""),"",Calc_오픈정렬!BI21/Calc_오픈정렬!$F21*100)</f>
        <v/>
      </c>
      <c r="BJ21" t="str">
        <f>IF(OR(Calc_오픈정렬!$F21="",Calc_오픈정렬!BJ21=""),"",Calc_오픈정렬!BJ21/Calc_오픈정렬!$F21*100)</f>
        <v/>
      </c>
      <c r="BK21" t="str">
        <f>IF(OR(Calc_오픈정렬!$F21="",Calc_오픈정렬!BK21=""),"",Calc_오픈정렬!BK21/Calc_오픈정렬!$F21*100)</f>
        <v/>
      </c>
      <c r="BL21" t="str">
        <f>IF(OR(Calc_오픈정렬!$F21="",Calc_오픈정렬!BL21=""),"",Calc_오픈정렬!BL21/Calc_오픈정렬!$F21*100)</f>
        <v/>
      </c>
      <c r="BM21" t="str">
        <f>IF(OR(Calc_오픈정렬!$F21="",Calc_오픈정렬!BM21=""),"",Calc_오픈정렬!BM21/Calc_오픈정렬!$F21*100)</f>
        <v/>
      </c>
      <c r="BN21" t="str">
        <f>IF(OR(Calc_오픈정렬!$F21="",Calc_오픈정렬!BN21=""),"",Calc_오픈정렬!BN21/Calc_오픈정렬!$F21*100)</f>
        <v/>
      </c>
    </row>
    <row r="22" spans="1:66" x14ac:dyDescent="0.4">
      <c r="A22" t="str">
        <f>Calc_오픈정렬!A22</f>
        <v>(1007) #구의점</v>
      </c>
      <c r="B22" t="str">
        <f>Calc_오픈정렬!B22</f>
        <v>150-2</v>
      </c>
      <c r="C22">
        <f>Calc_오픈정렬!C22</f>
        <v>2</v>
      </c>
      <c r="D22" t="str">
        <f>Calc_오픈정렬!D22</f>
        <v>2</v>
      </c>
      <c r="E22" s="1">
        <f>Calc_오픈정렬!E22</f>
        <v>43952</v>
      </c>
      <c r="F22" t="str">
        <f>Calc_오픈정렬!F22</f>
        <v/>
      </c>
      <c r="G22" t="str">
        <f>IF(OR(Calc_오픈정렬!$F22="",Calc_오픈정렬!G22=""),"",Calc_오픈정렬!G22/Calc_오픈정렬!$F22*100)</f>
        <v/>
      </c>
      <c r="H22" t="str">
        <f>IF(OR(Calc_오픈정렬!$F22="",Calc_오픈정렬!H22=""),"",Calc_오픈정렬!H22/Calc_오픈정렬!$F22*100)</f>
        <v/>
      </c>
      <c r="I22" t="str">
        <f>IF(OR(Calc_오픈정렬!$F22="",Calc_오픈정렬!I22=""),"",Calc_오픈정렬!I22/Calc_오픈정렬!$F22*100)</f>
        <v/>
      </c>
      <c r="J22" t="str">
        <f>IF(OR(Calc_오픈정렬!$F22="",Calc_오픈정렬!J22=""),"",Calc_오픈정렬!J22/Calc_오픈정렬!$F22*100)</f>
        <v/>
      </c>
      <c r="K22" t="str">
        <f>IF(OR(Calc_오픈정렬!$F22="",Calc_오픈정렬!K22=""),"",Calc_오픈정렬!K22/Calc_오픈정렬!$F22*100)</f>
        <v/>
      </c>
      <c r="L22" t="str">
        <f>IF(OR(Calc_오픈정렬!$F22="",Calc_오픈정렬!L22=""),"",Calc_오픈정렬!L22/Calc_오픈정렬!$F22*100)</f>
        <v/>
      </c>
      <c r="M22" t="str">
        <f>IF(OR(Calc_오픈정렬!$F22="",Calc_오픈정렬!M22=""),"",Calc_오픈정렬!M22/Calc_오픈정렬!$F22*100)</f>
        <v/>
      </c>
      <c r="N22" t="str">
        <f>IF(OR(Calc_오픈정렬!$F22="",Calc_오픈정렬!N22=""),"",Calc_오픈정렬!N22/Calc_오픈정렬!$F22*100)</f>
        <v/>
      </c>
      <c r="O22" t="str">
        <f>IF(OR(Calc_오픈정렬!$F22="",Calc_오픈정렬!O22=""),"",Calc_오픈정렬!O22/Calc_오픈정렬!$F22*100)</f>
        <v/>
      </c>
      <c r="P22" t="str">
        <f>IF(OR(Calc_오픈정렬!$F22="",Calc_오픈정렬!P22=""),"",Calc_오픈정렬!P22/Calc_오픈정렬!$F22*100)</f>
        <v/>
      </c>
      <c r="Q22" t="str">
        <f>IF(OR(Calc_오픈정렬!$F22="",Calc_오픈정렬!Q22=""),"",Calc_오픈정렬!Q22/Calc_오픈정렬!$F22*100)</f>
        <v/>
      </c>
      <c r="R22" t="str">
        <f>IF(OR(Calc_오픈정렬!$F22="",Calc_오픈정렬!R22=""),"",Calc_오픈정렬!R22/Calc_오픈정렬!$F22*100)</f>
        <v/>
      </c>
      <c r="S22" t="str">
        <f>IF(OR(Calc_오픈정렬!$F22="",Calc_오픈정렬!S22=""),"",Calc_오픈정렬!S22/Calc_오픈정렬!$F22*100)</f>
        <v/>
      </c>
      <c r="T22" t="str">
        <f>IF(OR(Calc_오픈정렬!$F22="",Calc_오픈정렬!T22=""),"",Calc_오픈정렬!T22/Calc_오픈정렬!$F22*100)</f>
        <v/>
      </c>
      <c r="U22" t="str">
        <f>IF(OR(Calc_오픈정렬!$F22="",Calc_오픈정렬!U22=""),"",Calc_오픈정렬!U22/Calc_오픈정렬!$F22*100)</f>
        <v/>
      </c>
      <c r="V22" t="str">
        <f>IF(OR(Calc_오픈정렬!$F22="",Calc_오픈정렬!V22=""),"",Calc_오픈정렬!V22/Calc_오픈정렬!$F22*100)</f>
        <v/>
      </c>
      <c r="W22" t="str">
        <f>IF(OR(Calc_오픈정렬!$F22="",Calc_오픈정렬!W22=""),"",Calc_오픈정렬!W22/Calc_오픈정렬!$F22*100)</f>
        <v/>
      </c>
      <c r="X22" t="str">
        <f>IF(OR(Calc_오픈정렬!$F22="",Calc_오픈정렬!X22=""),"",Calc_오픈정렬!X22/Calc_오픈정렬!$F22*100)</f>
        <v/>
      </c>
      <c r="Y22" t="str">
        <f>IF(OR(Calc_오픈정렬!$F22="",Calc_오픈정렬!Y22=""),"",Calc_오픈정렬!Y22/Calc_오픈정렬!$F22*100)</f>
        <v/>
      </c>
      <c r="Z22" t="str">
        <f>IF(OR(Calc_오픈정렬!$F22="",Calc_오픈정렬!Z22=""),"",Calc_오픈정렬!Z22/Calc_오픈정렬!$F22*100)</f>
        <v/>
      </c>
      <c r="AA22" t="str">
        <f>IF(OR(Calc_오픈정렬!$F22="",Calc_오픈정렬!AA22=""),"",Calc_오픈정렬!AA22/Calc_오픈정렬!$F22*100)</f>
        <v/>
      </c>
      <c r="AB22" t="str">
        <f>IF(OR(Calc_오픈정렬!$F22="",Calc_오픈정렬!AB22=""),"",Calc_오픈정렬!AB22/Calc_오픈정렬!$F22*100)</f>
        <v/>
      </c>
      <c r="AC22" t="str">
        <f>IF(OR(Calc_오픈정렬!$F22="",Calc_오픈정렬!AC22=""),"",Calc_오픈정렬!AC22/Calc_오픈정렬!$F22*100)</f>
        <v/>
      </c>
      <c r="AD22" t="str">
        <f>IF(OR(Calc_오픈정렬!$F22="",Calc_오픈정렬!AD22=""),"",Calc_오픈정렬!AD22/Calc_오픈정렬!$F22*100)</f>
        <v/>
      </c>
      <c r="AE22" t="str">
        <f>IF(OR(Calc_오픈정렬!$F22="",Calc_오픈정렬!AE22=""),"",Calc_오픈정렬!AE22/Calc_오픈정렬!$F22*100)</f>
        <v/>
      </c>
      <c r="AF22" t="str">
        <f>IF(OR(Calc_오픈정렬!$F22="",Calc_오픈정렬!AF22=""),"",Calc_오픈정렬!AF22/Calc_오픈정렬!$F22*100)</f>
        <v/>
      </c>
      <c r="AG22" t="str">
        <f>IF(OR(Calc_오픈정렬!$F22="",Calc_오픈정렬!AG22=""),"",Calc_오픈정렬!AG22/Calc_오픈정렬!$F22*100)</f>
        <v/>
      </c>
      <c r="AH22" t="str">
        <f>IF(OR(Calc_오픈정렬!$F22="",Calc_오픈정렬!AH22=""),"",Calc_오픈정렬!AH22/Calc_오픈정렬!$F22*100)</f>
        <v/>
      </c>
      <c r="AI22" t="str">
        <f>IF(OR(Calc_오픈정렬!$F22="",Calc_오픈정렬!AI22=""),"",Calc_오픈정렬!AI22/Calc_오픈정렬!$F22*100)</f>
        <v/>
      </c>
      <c r="AJ22" t="str">
        <f>IF(OR(Calc_오픈정렬!$F22="",Calc_오픈정렬!AJ22=""),"",Calc_오픈정렬!AJ22/Calc_오픈정렬!$F22*100)</f>
        <v/>
      </c>
      <c r="AK22" t="str">
        <f>IF(OR(Calc_오픈정렬!$F22="",Calc_오픈정렬!AK22=""),"",Calc_오픈정렬!AK22/Calc_오픈정렬!$F22*100)</f>
        <v/>
      </c>
      <c r="AL22" t="str">
        <f>IF(OR(Calc_오픈정렬!$F22="",Calc_오픈정렬!AL22=""),"",Calc_오픈정렬!AL22/Calc_오픈정렬!$F22*100)</f>
        <v/>
      </c>
      <c r="AM22" t="str">
        <f>IF(OR(Calc_오픈정렬!$F22="",Calc_오픈정렬!AM22=""),"",Calc_오픈정렬!AM22/Calc_오픈정렬!$F22*100)</f>
        <v/>
      </c>
      <c r="AN22" t="str">
        <f>IF(OR(Calc_오픈정렬!$F22="",Calc_오픈정렬!AN22=""),"",Calc_오픈정렬!AN22/Calc_오픈정렬!$F22*100)</f>
        <v/>
      </c>
      <c r="AO22" t="str">
        <f>IF(OR(Calc_오픈정렬!$F22="",Calc_오픈정렬!AO22=""),"",Calc_오픈정렬!AO22/Calc_오픈정렬!$F22*100)</f>
        <v/>
      </c>
      <c r="AP22" t="str">
        <f>IF(OR(Calc_오픈정렬!$F22="",Calc_오픈정렬!AP22=""),"",Calc_오픈정렬!AP22/Calc_오픈정렬!$F22*100)</f>
        <v/>
      </c>
      <c r="AQ22" t="str">
        <f>IF(OR(Calc_오픈정렬!$F22="",Calc_오픈정렬!AQ22=""),"",Calc_오픈정렬!AQ22/Calc_오픈정렬!$F22*100)</f>
        <v/>
      </c>
      <c r="AR22" t="str">
        <f>IF(OR(Calc_오픈정렬!$F22="",Calc_오픈정렬!AR22=""),"",Calc_오픈정렬!AR22/Calc_오픈정렬!$F22*100)</f>
        <v/>
      </c>
      <c r="AS22" t="str">
        <f>IF(OR(Calc_오픈정렬!$F22="",Calc_오픈정렬!AS22=""),"",Calc_오픈정렬!AS22/Calc_오픈정렬!$F22*100)</f>
        <v/>
      </c>
      <c r="AT22" t="str">
        <f>IF(OR(Calc_오픈정렬!$F22="",Calc_오픈정렬!AT22=""),"",Calc_오픈정렬!AT22/Calc_오픈정렬!$F22*100)</f>
        <v/>
      </c>
      <c r="AU22" t="str">
        <f>IF(OR(Calc_오픈정렬!$F22="",Calc_오픈정렬!AU22=""),"",Calc_오픈정렬!AU22/Calc_오픈정렬!$F22*100)</f>
        <v/>
      </c>
      <c r="AV22" t="str">
        <f>IF(OR(Calc_오픈정렬!$F22="",Calc_오픈정렬!AV22=""),"",Calc_오픈정렬!AV22/Calc_오픈정렬!$F22*100)</f>
        <v/>
      </c>
      <c r="AW22" t="str">
        <f>IF(OR(Calc_오픈정렬!$F22="",Calc_오픈정렬!AW22=""),"",Calc_오픈정렬!AW22/Calc_오픈정렬!$F22*100)</f>
        <v/>
      </c>
      <c r="AX22" t="str">
        <f>IF(OR(Calc_오픈정렬!$F22="",Calc_오픈정렬!AX22=""),"",Calc_오픈정렬!AX22/Calc_오픈정렬!$F22*100)</f>
        <v/>
      </c>
      <c r="AY22" t="str">
        <f>IF(OR(Calc_오픈정렬!$F22="",Calc_오픈정렬!AY22=""),"",Calc_오픈정렬!AY22/Calc_오픈정렬!$F22*100)</f>
        <v/>
      </c>
      <c r="AZ22" t="str">
        <f>IF(OR(Calc_오픈정렬!$F22="",Calc_오픈정렬!AZ22=""),"",Calc_오픈정렬!AZ22/Calc_오픈정렬!$F22*100)</f>
        <v/>
      </c>
      <c r="BA22" t="str">
        <f>IF(OR(Calc_오픈정렬!$F22="",Calc_오픈정렬!BA22=""),"",Calc_오픈정렬!BA22/Calc_오픈정렬!$F22*100)</f>
        <v/>
      </c>
      <c r="BB22" t="str">
        <f>IF(OR(Calc_오픈정렬!$F22="",Calc_오픈정렬!BB22=""),"",Calc_오픈정렬!BB22/Calc_오픈정렬!$F22*100)</f>
        <v/>
      </c>
      <c r="BC22" t="str">
        <f>IF(OR(Calc_오픈정렬!$F22="",Calc_오픈정렬!BC22=""),"",Calc_오픈정렬!BC22/Calc_오픈정렬!$F22*100)</f>
        <v/>
      </c>
      <c r="BD22" t="str">
        <f>IF(OR(Calc_오픈정렬!$F22="",Calc_오픈정렬!BD22=""),"",Calc_오픈정렬!BD22/Calc_오픈정렬!$F22*100)</f>
        <v/>
      </c>
      <c r="BE22" t="str">
        <f>IF(OR(Calc_오픈정렬!$F22="",Calc_오픈정렬!BE22=""),"",Calc_오픈정렬!BE22/Calc_오픈정렬!$F22*100)</f>
        <v/>
      </c>
      <c r="BF22" t="str">
        <f>IF(OR(Calc_오픈정렬!$F22="",Calc_오픈정렬!BF22=""),"",Calc_오픈정렬!BF22/Calc_오픈정렬!$F22*100)</f>
        <v/>
      </c>
      <c r="BG22" t="str">
        <f>IF(OR(Calc_오픈정렬!$F22="",Calc_오픈정렬!BG22=""),"",Calc_오픈정렬!BG22/Calc_오픈정렬!$F22*100)</f>
        <v/>
      </c>
      <c r="BH22" t="str">
        <f>IF(OR(Calc_오픈정렬!$F22="",Calc_오픈정렬!BH22=""),"",Calc_오픈정렬!BH22/Calc_오픈정렬!$F22*100)</f>
        <v/>
      </c>
      <c r="BI22" t="str">
        <f>IF(OR(Calc_오픈정렬!$F22="",Calc_오픈정렬!BI22=""),"",Calc_오픈정렬!BI22/Calc_오픈정렬!$F22*100)</f>
        <v/>
      </c>
      <c r="BJ22" t="str">
        <f>IF(OR(Calc_오픈정렬!$F22="",Calc_오픈정렬!BJ22=""),"",Calc_오픈정렬!BJ22/Calc_오픈정렬!$F22*100)</f>
        <v/>
      </c>
      <c r="BK22" t="str">
        <f>IF(OR(Calc_오픈정렬!$F22="",Calc_오픈정렬!BK22=""),"",Calc_오픈정렬!BK22/Calc_오픈정렬!$F22*100)</f>
        <v/>
      </c>
      <c r="BL22" t="str">
        <f>IF(OR(Calc_오픈정렬!$F22="",Calc_오픈정렬!BL22=""),"",Calc_오픈정렬!BL22/Calc_오픈정렬!$F22*100)</f>
        <v/>
      </c>
      <c r="BM22" t="str">
        <f>IF(OR(Calc_오픈정렬!$F22="",Calc_오픈정렬!BM22=""),"",Calc_오픈정렬!BM22/Calc_오픈정렬!$F22*100)</f>
        <v/>
      </c>
      <c r="BN22" t="str">
        <f>IF(OR(Calc_오픈정렬!$F22="",Calc_오픈정렬!BN22=""),"",Calc_오픈정렬!BN22/Calc_오픈정렬!$F22*100)</f>
        <v/>
      </c>
    </row>
    <row r="23" spans="1:66" x14ac:dyDescent="0.4">
      <c r="A23" t="str">
        <f>Calc_오픈정렬!A23</f>
        <v>(1008) #개포드림웍스점</v>
      </c>
      <c r="B23" t="str">
        <f>Calc_오픈정렬!B23</f>
        <v>150-0</v>
      </c>
      <c r="C23">
        <f>Calc_오픈정렬!C23</f>
        <v>0</v>
      </c>
      <c r="D23" t="str">
        <f>Calc_오픈정렬!D23</f>
        <v>0</v>
      </c>
      <c r="E23" s="1">
        <f>Calc_오픈정렬!E23</f>
        <v>44044</v>
      </c>
      <c r="F23" t="str">
        <f>Calc_오픈정렬!F23</f>
        <v/>
      </c>
      <c r="G23" t="str">
        <f>IF(OR(Calc_오픈정렬!$F23="",Calc_오픈정렬!G23=""),"",Calc_오픈정렬!G23/Calc_오픈정렬!$F23*100)</f>
        <v/>
      </c>
      <c r="H23" t="str">
        <f>IF(OR(Calc_오픈정렬!$F23="",Calc_오픈정렬!H23=""),"",Calc_오픈정렬!H23/Calc_오픈정렬!$F23*100)</f>
        <v/>
      </c>
      <c r="I23" t="str">
        <f>IF(OR(Calc_오픈정렬!$F23="",Calc_오픈정렬!I23=""),"",Calc_오픈정렬!I23/Calc_오픈정렬!$F23*100)</f>
        <v/>
      </c>
      <c r="J23" t="str">
        <f>IF(OR(Calc_오픈정렬!$F23="",Calc_오픈정렬!J23=""),"",Calc_오픈정렬!J23/Calc_오픈정렬!$F23*100)</f>
        <v/>
      </c>
      <c r="K23" t="str">
        <f>IF(OR(Calc_오픈정렬!$F23="",Calc_오픈정렬!K23=""),"",Calc_오픈정렬!K23/Calc_오픈정렬!$F23*100)</f>
        <v/>
      </c>
      <c r="L23" t="str">
        <f>IF(OR(Calc_오픈정렬!$F23="",Calc_오픈정렬!L23=""),"",Calc_오픈정렬!L23/Calc_오픈정렬!$F23*100)</f>
        <v/>
      </c>
      <c r="M23" t="str">
        <f>IF(OR(Calc_오픈정렬!$F23="",Calc_오픈정렬!M23=""),"",Calc_오픈정렬!M23/Calc_오픈정렬!$F23*100)</f>
        <v/>
      </c>
      <c r="N23" t="str">
        <f>IF(OR(Calc_오픈정렬!$F23="",Calc_오픈정렬!N23=""),"",Calc_오픈정렬!N23/Calc_오픈정렬!$F23*100)</f>
        <v/>
      </c>
      <c r="O23" t="str">
        <f>IF(OR(Calc_오픈정렬!$F23="",Calc_오픈정렬!O23=""),"",Calc_오픈정렬!O23/Calc_오픈정렬!$F23*100)</f>
        <v/>
      </c>
      <c r="P23" t="str">
        <f>IF(OR(Calc_오픈정렬!$F23="",Calc_오픈정렬!P23=""),"",Calc_오픈정렬!P23/Calc_오픈정렬!$F23*100)</f>
        <v/>
      </c>
      <c r="Q23" t="str">
        <f>IF(OR(Calc_오픈정렬!$F23="",Calc_오픈정렬!Q23=""),"",Calc_오픈정렬!Q23/Calc_오픈정렬!$F23*100)</f>
        <v/>
      </c>
      <c r="R23" t="str">
        <f>IF(OR(Calc_오픈정렬!$F23="",Calc_오픈정렬!R23=""),"",Calc_오픈정렬!R23/Calc_오픈정렬!$F23*100)</f>
        <v/>
      </c>
      <c r="S23" t="str">
        <f>IF(OR(Calc_오픈정렬!$F23="",Calc_오픈정렬!S23=""),"",Calc_오픈정렬!S23/Calc_오픈정렬!$F23*100)</f>
        <v/>
      </c>
      <c r="T23" t="str">
        <f>IF(OR(Calc_오픈정렬!$F23="",Calc_오픈정렬!T23=""),"",Calc_오픈정렬!T23/Calc_오픈정렬!$F23*100)</f>
        <v/>
      </c>
      <c r="U23" t="str">
        <f>IF(OR(Calc_오픈정렬!$F23="",Calc_오픈정렬!U23=""),"",Calc_오픈정렬!U23/Calc_오픈정렬!$F23*100)</f>
        <v/>
      </c>
      <c r="V23" t="str">
        <f>IF(OR(Calc_오픈정렬!$F23="",Calc_오픈정렬!V23=""),"",Calc_오픈정렬!V23/Calc_오픈정렬!$F23*100)</f>
        <v/>
      </c>
      <c r="W23" t="str">
        <f>IF(OR(Calc_오픈정렬!$F23="",Calc_오픈정렬!W23=""),"",Calc_오픈정렬!W23/Calc_오픈정렬!$F23*100)</f>
        <v/>
      </c>
      <c r="X23" t="str">
        <f>IF(OR(Calc_오픈정렬!$F23="",Calc_오픈정렬!X23=""),"",Calc_오픈정렬!X23/Calc_오픈정렬!$F23*100)</f>
        <v/>
      </c>
      <c r="Y23" t="str">
        <f>IF(OR(Calc_오픈정렬!$F23="",Calc_오픈정렬!Y23=""),"",Calc_오픈정렬!Y23/Calc_오픈정렬!$F23*100)</f>
        <v/>
      </c>
      <c r="Z23" t="str">
        <f>IF(OR(Calc_오픈정렬!$F23="",Calc_오픈정렬!Z23=""),"",Calc_오픈정렬!Z23/Calc_오픈정렬!$F23*100)</f>
        <v/>
      </c>
      <c r="AA23" t="str">
        <f>IF(OR(Calc_오픈정렬!$F23="",Calc_오픈정렬!AA23=""),"",Calc_오픈정렬!AA23/Calc_오픈정렬!$F23*100)</f>
        <v/>
      </c>
      <c r="AB23" t="str">
        <f>IF(OR(Calc_오픈정렬!$F23="",Calc_오픈정렬!AB23=""),"",Calc_오픈정렬!AB23/Calc_오픈정렬!$F23*100)</f>
        <v/>
      </c>
      <c r="AC23" t="str">
        <f>IF(OR(Calc_오픈정렬!$F23="",Calc_오픈정렬!AC23=""),"",Calc_오픈정렬!AC23/Calc_오픈정렬!$F23*100)</f>
        <v/>
      </c>
      <c r="AD23" t="str">
        <f>IF(OR(Calc_오픈정렬!$F23="",Calc_오픈정렬!AD23=""),"",Calc_오픈정렬!AD23/Calc_오픈정렬!$F23*100)</f>
        <v/>
      </c>
      <c r="AE23" t="str">
        <f>IF(OR(Calc_오픈정렬!$F23="",Calc_오픈정렬!AE23=""),"",Calc_오픈정렬!AE23/Calc_오픈정렬!$F23*100)</f>
        <v/>
      </c>
      <c r="AF23" t="str">
        <f>IF(OR(Calc_오픈정렬!$F23="",Calc_오픈정렬!AF23=""),"",Calc_오픈정렬!AF23/Calc_오픈정렬!$F23*100)</f>
        <v/>
      </c>
      <c r="AG23" t="str">
        <f>IF(OR(Calc_오픈정렬!$F23="",Calc_오픈정렬!AG23=""),"",Calc_오픈정렬!AG23/Calc_오픈정렬!$F23*100)</f>
        <v/>
      </c>
      <c r="AH23" t="str">
        <f>IF(OR(Calc_오픈정렬!$F23="",Calc_오픈정렬!AH23=""),"",Calc_오픈정렬!AH23/Calc_오픈정렬!$F23*100)</f>
        <v/>
      </c>
      <c r="AI23" t="str">
        <f>IF(OR(Calc_오픈정렬!$F23="",Calc_오픈정렬!AI23=""),"",Calc_오픈정렬!AI23/Calc_오픈정렬!$F23*100)</f>
        <v/>
      </c>
      <c r="AJ23" t="str">
        <f>IF(OR(Calc_오픈정렬!$F23="",Calc_오픈정렬!AJ23=""),"",Calc_오픈정렬!AJ23/Calc_오픈정렬!$F23*100)</f>
        <v/>
      </c>
      <c r="AK23" t="str">
        <f>IF(OR(Calc_오픈정렬!$F23="",Calc_오픈정렬!AK23=""),"",Calc_오픈정렬!AK23/Calc_오픈정렬!$F23*100)</f>
        <v/>
      </c>
      <c r="AL23" t="str">
        <f>IF(OR(Calc_오픈정렬!$F23="",Calc_오픈정렬!AL23=""),"",Calc_오픈정렬!AL23/Calc_오픈정렬!$F23*100)</f>
        <v/>
      </c>
      <c r="AM23" t="str">
        <f>IF(OR(Calc_오픈정렬!$F23="",Calc_오픈정렬!AM23=""),"",Calc_오픈정렬!AM23/Calc_오픈정렬!$F23*100)</f>
        <v/>
      </c>
      <c r="AN23" t="str">
        <f>IF(OR(Calc_오픈정렬!$F23="",Calc_오픈정렬!AN23=""),"",Calc_오픈정렬!AN23/Calc_오픈정렬!$F23*100)</f>
        <v/>
      </c>
      <c r="AO23" t="str">
        <f>IF(OR(Calc_오픈정렬!$F23="",Calc_오픈정렬!AO23=""),"",Calc_오픈정렬!AO23/Calc_오픈정렬!$F23*100)</f>
        <v/>
      </c>
      <c r="AP23" t="str">
        <f>IF(OR(Calc_오픈정렬!$F23="",Calc_오픈정렬!AP23=""),"",Calc_오픈정렬!AP23/Calc_오픈정렬!$F23*100)</f>
        <v/>
      </c>
      <c r="AQ23" t="str">
        <f>IF(OR(Calc_오픈정렬!$F23="",Calc_오픈정렬!AQ23=""),"",Calc_오픈정렬!AQ23/Calc_오픈정렬!$F23*100)</f>
        <v/>
      </c>
      <c r="AR23" t="str">
        <f>IF(OR(Calc_오픈정렬!$F23="",Calc_오픈정렬!AR23=""),"",Calc_오픈정렬!AR23/Calc_오픈정렬!$F23*100)</f>
        <v/>
      </c>
      <c r="AS23" t="str">
        <f>IF(OR(Calc_오픈정렬!$F23="",Calc_오픈정렬!AS23=""),"",Calc_오픈정렬!AS23/Calc_오픈정렬!$F23*100)</f>
        <v/>
      </c>
      <c r="AT23" t="str">
        <f>IF(OR(Calc_오픈정렬!$F23="",Calc_오픈정렬!AT23=""),"",Calc_오픈정렬!AT23/Calc_오픈정렬!$F23*100)</f>
        <v/>
      </c>
      <c r="AU23" t="str">
        <f>IF(OR(Calc_오픈정렬!$F23="",Calc_오픈정렬!AU23=""),"",Calc_오픈정렬!AU23/Calc_오픈정렬!$F23*100)</f>
        <v/>
      </c>
      <c r="AV23" t="str">
        <f>IF(OR(Calc_오픈정렬!$F23="",Calc_오픈정렬!AV23=""),"",Calc_오픈정렬!AV23/Calc_오픈정렬!$F23*100)</f>
        <v/>
      </c>
      <c r="AW23" t="str">
        <f>IF(OR(Calc_오픈정렬!$F23="",Calc_오픈정렬!AW23=""),"",Calc_오픈정렬!AW23/Calc_오픈정렬!$F23*100)</f>
        <v/>
      </c>
      <c r="AX23" t="str">
        <f>IF(OR(Calc_오픈정렬!$F23="",Calc_오픈정렬!AX23=""),"",Calc_오픈정렬!AX23/Calc_오픈정렬!$F23*100)</f>
        <v/>
      </c>
      <c r="AY23" t="str">
        <f>IF(OR(Calc_오픈정렬!$F23="",Calc_오픈정렬!AY23=""),"",Calc_오픈정렬!AY23/Calc_오픈정렬!$F23*100)</f>
        <v/>
      </c>
      <c r="AZ23" t="str">
        <f>IF(OR(Calc_오픈정렬!$F23="",Calc_오픈정렬!AZ23=""),"",Calc_오픈정렬!AZ23/Calc_오픈정렬!$F23*100)</f>
        <v/>
      </c>
      <c r="BA23" t="str">
        <f>IF(OR(Calc_오픈정렬!$F23="",Calc_오픈정렬!BA23=""),"",Calc_오픈정렬!BA23/Calc_오픈정렬!$F23*100)</f>
        <v/>
      </c>
      <c r="BB23" t="str">
        <f>IF(OR(Calc_오픈정렬!$F23="",Calc_오픈정렬!BB23=""),"",Calc_오픈정렬!BB23/Calc_오픈정렬!$F23*100)</f>
        <v/>
      </c>
      <c r="BC23" t="str">
        <f>IF(OR(Calc_오픈정렬!$F23="",Calc_오픈정렬!BC23=""),"",Calc_오픈정렬!BC23/Calc_오픈정렬!$F23*100)</f>
        <v/>
      </c>
      <c r="BD23" t="str">
        <f>IF(OR(Calc_오픈정렬!$F23="",Calc_오픈정렬!BD23=""),"",Calc_오픈정렬!BD23/Calc_오픈정렬!$F23*100)</f>
        <v/>
      </c>
      <c r="BE23" t="str">
        <f>IF(OR(Calc_오픈정렬!$F23="",Calc_오픈정렬!BE23=""),"",Calc_오픈정렬!BE23/Calc_오픈정렬!$F23*100)</f>
        <v/>
      </c>
      <c r="BF23" t="str">
        <f>IF(OR(Calc_오픈정렬!$F23="",Calc_오픈정렬!BF23=""),"",Calc_오픈정렬!BF23/Calc_오픈정렬!$F23*100)</f>
        <v/>
      </c>
      <c r="BG23" t="str">
        <f>IF(OR(Calc_오픈정렬!$F23="",Calc_오픈정렬!BG23=""),"",Calc_오픈정렬!BG23/Calc_오픈정렬!$F23*100)</f>
        <v/>
      </c>
      <c r="BH23" t="str">
        <f>IF(OR(Calc_오픈정렬!$F23="",Calc_오픈정렬!BH23=""),"",Calc_오픈정렬!BH23/Calc_오픈정렬!$F23*100)</f>
        <v/>
      </c>
      <c r="BI23" t="str">
        <f>IF(OR(Calc_오픈정렬!$F23="",Calc_오픈정렬!BI23=""),"",Calc_오픈정렬!BI23/Calc_오픈정렬!$F23*100)</f>
        <v/>
      </c>
      <c r="BJ23" t="str">
        <f>IF(OR(Calc_오픈정렬!$F23="",Calc_오픈정렬!BJ23=""),"",Calc_오픈정렬!BJ23/Calc_오픈정렬!$F23*100)</f>
        <v/>
      </c>
      <c r="BK23" t="str">
        <f>IF(OR(Calc_오픈정렬!$F23="",Calc_오픈정렬!BK23=""),"",Calc_오픈정렬!BK23/Calc_오픈정렬!$F23*100)</f>
        <v/>
      </c>
      <c r="BL23" t="str">
        <f>IF(OR(Calc_오픈정렬!$F23="",Calc_오픈정렬!BL23=""),"",Calc_오픈정렬!BL23/Calc_오픈정렬!$F23*100)</f>
        <v/>
      </c>
      <c r="BM23" t="str">
        <f>IF(OR(Calc_오픈정렬!$F23="",Calc_오픈정렬!BM23=""),"",Calc_오픈정렬!BM23/Calc_오픈정렬!$F23*100)</f>
        <v/>
      </c>
      <c r="BN23" t="str">
        <f>IF(OR(Calc_오픈정렬!$F23="",Calc_오픈정렬!BN23=""),"",Calc_오픈정렬!BN23/Calc_오픈정렬!$F23*100)</f>
        <v/>
      </c>
    </row>
    <row r="24" spans="1:66" x14ac:dyDescent="0.4">
      <c r="A24" t="str">
        <f>Calc_오픈정렬!A24</f>
        <v>(1009) #진시스장항점</v>
      </c>
      <c r="B24" t="str">
        <f>Calc_오픈정렬!B24</f>
        <v>150-3</v>
      </c>
      <c r="C24">
        <f>Calc_오픈정렬!C24</f>
        <v>3</v>
      </c>
      <c r="D24" t="str">
        <f>Calc_오픈정렬!D24</f>
        <v>3+</v>
      </c>
      <c r="E24" s="1">
        <f>Calc_오픈정렬!E24</f>
        <v>44044</v>
      </c>
      <c r="F24" t="str">
        <f>Calc_오픈정렬!F24</f>
        <v/>
      </c>
      <c r="G24" t="str">
        <f>IF(OR(Calc_오픈정렬!$F24="",Calc_오픈정렬!G24=""),"",Calc_오픈정렬!G24/Calc_오픈정렬!$F24*100)</f>
        <v/>
      </c>
      <c r="H24" t="str">
        <f>IF(OR(Calc_오픈정렬!$F24="",Calc_오픈정렬!H24=""),"",Calc_오픈정렬!H24/Calc_오픈정렬!$F24*100)</f>
        <v/>
      </c>
      <c r="I24" t="str">
        <f>IF(OR(Calc_오픈정렬!$F24="",Calc_오픈정렬!I24=""),"",Calc_오픈정렬!I24/Calc_오픈정렬!$F24*100)</f>
        <v/>
      </c>
      <c r="J24" t="str">
        <f>IF(OR(Calc_오픈정렬!$F24="",Calc_오픈정렬!J24=""),"",Calc_오픈정렬!J24/Calc_오픈정렬!$F24*100)</f>
        <v/>
      </c>
      <c r="K24" t="str">
        <f>IF(OR(Calc_오픈정렬!$F24="",Calc_오픈정렬!K24=""),"",Calc_오픈정렬!K24/Calc_오픈정렬!$F24*100)</f>
        <v/>
      </c>
      <c r="L24" t="str">
        <f>IF(OR(Calc_오픈정렬!$F24="",Calc_오픈정렬!L24=""),"",Calc_오픈정렬!L24/Calc_오픈정렬!$F24*100)</f>
        <v/>
      </c>
      <c r="M24" t="str">
        <f>IF(OR(Calc_오픈정렬!$F24="",Calc_오픈정렬!M24=""),"",Calc_오픈정렬!M24/Calc_오픈정렬!$F24*100)</f>
        <v/>
      </c>
      <c r="N24" t="str">
        <f>IF(OR(Calc_오픈정렬!$F24="",Calc_오픈정렬!N24=""),"",Calc_오픈정렬!N24/Calc_오픈정렬!$F24*100)</f>
        <v/>
      </c>
      <c r="O24" t="str">
        <f>IF(OR(Calc_오픈정렬!$F24="",Calc_오픈정렬!O24=""),"",Calc_오픈정렬!O24/Calc_오픈정렬!$F24*100)</f>
        <v/>
      </c>
      <c r="P24" t="str">
        <f>IF(OR(Calc_오픈정렬!$F24="",Calc_오픈정렬!P24=""),"",Calc_오픈정렬!P24/Calc_오픈정렬!$F24*100)</f>
        <v/>
      </c>
      <c r="Q24" t="str">
        <f>IF(OR(Calc_오픈정렬!$F24="",Calc_오픈정렬!Q24=""),"",Calc_오픈정렬!Q24/Calc_오픈정렬!$F24*100)</f>
        <v/>
      </c>
      <c r="R24" t="str">
        <f>IF(OR(Calc_오픈정렬!$F24="",Calc_오픈정렬!R24=""),"",Calc_오픈정렬!R24/Calc_오픈정렬!$F24*100)</f>
        <v/>
      </c>
      <c r="S24" t="str">
        <f>IF(OR(Calc_오픈정렬!$F24="",Calc_오픈정렬!S24=""),"",Calc_오픈정렬!S24/Calc_오픈정렬!$F24*100)</f>
        <v/>
      </c>
      <c r="T24" t="str">
        <f>IF(OR(Calc_오픈정렬!$F24="",Calc_오픈정렬!T24=""),"",Calc_오픈정렬!T24/Calc_오픈정렬!$F24*100)</f>
        <v/>
      </c>
      <c r="U24" t="str">
        <f>IF(OR(Calc_오픈정렬!$F24="",Calc_오픈정렬!U24=""),"",Calc_오픈정렬!U24/Calc_오픈정렬!$F24*100)</f>
        <v/>
      </c>
      <c r="V24" t="str">
        <f>IF(OR(Calc_오픈정렬!$F24="",Calc_오픈정렬!V24=""),"",Calc_오픈정렬!V24/Calc_오픈정렬!$F24*100)</f>
        <v/>
      </c>
      <c r="W24" t="str">
        <f>IF(OR(Calc_오픈정렬!$F24="",Calc_오픈정렬!W24=""),"",Calc_오픈정렬!W24/Calc_오픈정렬!$F24*100)</f>
        <v/>
      </c>
      <c r="X24" t="str">
        <f>IF(OR(Calc_오픈정렬!$F24="",Calc_오픈정렬!X24=""),"",Calc_오픈정렬!X24/Calc_오픈정렬!$F24*100)</f>
        <v/>
      </c>
      <c r="Y24" t="str">
        <f>IF(OR(Calc_오픈정렬!$F24="",Calc_오픈정렬!Y24=""),"",Calc_오픈정렬!Y24/Calc_오픈정렬!$F24*100)</f>
        <v/>
      </c>
      <c r="Z24" t="str">
        <f>IF(OR(Calc_오픈정렬!$F24="",Calc_오픈정렬!Z24=""),"",Calc_오픈정렬!Z24/Calc_오픈정렬!$F24*100)</f>
        <v/>
      </c>
      <c r="AA24" t="str">
        <f>IF(OR(Calc_오픈정렬!$F24="",Calc_오픈정렬!AA24=""),"",Calc_오픈정렬!AA24/Calc_오픈정렬!$F24*100)</f>
        <v/>
      </c>
      <c r="AB24" t="str">
        <f>IF(OR(Calc_오픈정렬!$F24="",Calc_오픈정렬!AB24=""),"",Calc_오픈정렬!AB24/Calc_오픈정렬!$F24*100)</f>
        <v/>
      </c>
      <c r="AC24" t="str">
        <f>IF(OR(Calc_오픈정렬!$F24="",Calc_오픈정렬!AC24=""),"",Calc_오픈정렬!AC24/Calc_오픈정렬!$F24*100)</f>
        <v/>
      </c>
      <c r="AD24" t="str">
        <f>IF(OR(Calc_오픈정렬!$F24="",Calc_오픈정렬!AD24=""),"",Calc_오픈정렬!AD24/Calc_오픈정렬!$F24*100)</f>
        <v/>
      </c>
      <c r="AE24" t="str">
        <f>IF(OR(Calc_오픈정렬!$F24="",Calc_오픈정렬!AE24=""),"",Calc_오픈정렬!AE24/Calc_오픈정렬!$F24*100)</f>
        <v/>
      </c>
      <c r="AF24" t="str">
        <f>IF(OR(Calc_오픈정렬!$F24="",Calc_오픈정렬!AF24=""),"",Calc_오픈정렬!AF24/Calc_오픈정렬!$F24*100)</f>
        <v/>
      </c>
      <c r="AG24" t="str">
        <f>IF(OR(Calc_오픈정렬!$F24="",Calc_오픈정렬!AG24=""),"",Calc_오픈정렬!AG24/Calc_오픈정렬!$F24*100)</f>
        <v/>
      </c>
      <c r="AH24" t="str">
        <f>IF(OR(Calc_오픈정렬!$F24="",Calc_오픈정렬!AH24=""),"",Calc_오픈정렬!AH24/Calc_오픈정렬!$F24*100)</f>
        <v/>
      </c>
      <c r="AI24" t="str">
        <f>IF(OR(Calc_오픈정렬!$F24="",Calc_오픈정렬!AI24=""),"",Calc_오픈정렬!AI24/Calc_오픈정렬!$F24*100)</f>
        <v/>
      </c>
      <c r="AJ24" t="str">
        <f>IF(OR(Calc_오픈정렬!$F24="",Calc_오픈정렬!AJ24=""),"",Calc_오픈정렬!AJ24/Calc_오픈정렬!$F24*100)</f>
        <v/>
      </c>
      <c r="AK24" t="str">
        <f>IF(OR(Calc_오픈정렬!$F24="",Calc_오픈정렬!AK24=""),"",Calc_오픈정렬!AK24/Calc_오픈정렬!$F24*100)</f>
        <v/>
      </c>
      <c r="AL24" t="str">
        <f>IF(OR(Calc_오픈정렬!$F24="",Calc_오픈정렬!AL24=""),"",Calc_오픈정렬!AL24/Calc_오픈정렬!$F24*100)</f>
        <v/>
      </c>
      <c r="AM24" t="str">
        <f>IF(OR(Calc_오픈정렬!$F24="",Calc_오픈정렬!AM24=""),"",Calc_오픈정렬!AM24/Calc_오픈정렬!$F24*100)</f>
        <v/>
      </c>
      <c r="AN24" t="str">
        <f>IF(OR(Calc_오픈정렬!$F24="",Calc_오픈정렬!AN24=""),"",Calc_오픈정렬!AN24/Calc_오픈정렬!$F24*100)</f>
        <v/>
      </c>
      <c r="AO24" t="str">
        <f>IF(OR(Calc_오픈정렬!$F24="",Calc_오픈정렬!AO24=""),"",Calc_오픈정렬!AO24/Calc_오픈정렬!$F24*100)</f>
        <v/>
      </c>
      <c r="AP24" t="str">
        <f>IF(OR(Calc_오픈정렬!$F24="",Calc_오픈정렬!AP24=""),"",Calc_오픈정렬!AP24/Calc_오픈정렬!$F24*100)</f>
        <v/>
      </c>
      <c r="AQ24" t="str">
        <f>IF(OR(Calc_오픈정렬!$F24="",Calc_오픈정렬!AQ24=""),"",Calc_오픈정렬!AQ24/Calc_오픈정렬!$F24*100)</f>
        <v/>
      </c>
      <c r="AR24" t="str">
        <f>IF(OR(Calc_오픈정렬!$F24="",Calc_오픈정렬!AR24=""),"",Calc_오픈정렬!AR24/Calc_오픈정렬!$F24*100)</f>
        <v/>
      </c>
      <c r="AS24" t="str">
        <f>IF(OR(Calc_오픈정렬!$F24="",Calc_오픈정렬!AS24=""),"",Calc_오픈정렬!AS24/Calc_오픈정렬!$F24*100)</f>
        <v/>
      </c>
      <c r="AT24" t="str">
        <f>IF(OR(Calc_오픈정렬!$F24="",Calc_오픈정렬!AT24=""),"",Calc_오픈정렬!AT24/Calc_오픈정렬!$F24*100)</f>
        <v/>
      </c>
      <c r="AU24" t="str">
        <f>IF(OR(Calc_오픈정렬!$F24="",Calc_오픈정렬!AU24=""),"",Calc_오픈정렬!AU24/Calc_오픈정렬!$F24*100)</f>
        <v/>
      </c>
      <c r="AV24" t="str">
        <f>IF(OR(Calc_오픈정렬!$F24="",Calc_오픈정렬!AV24=""),"",Calc_오픈정렬!AV24/Calc_오픈정렬!$F24*100)</f>
        <v/>
      </c>
      <c r="AW24" t="str">
        <f>IF(OR(Calc_오픈정렬!$F24="",Calc_오픈정렬!AW24=""),"",Calc_오픈정렬!AW24/Calc_오픈정렬!$F24*100)</f>
        <v/>
      </c>
      <c r="AX24" t="str">
        <f>IF(OR(Calc_오픈정렬!$F24="",Calc_오픈정렬!AX24=""),"",Calc_오픈정렬!AX24/Calc_오픈정렬!$F24*100)</f>
        <v/>
      </c>
      <c r="AY24" t="str">
        <f>IF(OR(Calc_오픈정렬!$F24="",Calc_오픈정렬!AY24=""),"",Calc_오픈정렬!AY24/Calc_오픈정렬!$F24*100)</f>
        <v/>
      </c>
      <c r="AZ24" t="str">
        <f>IF(OR(Calc_오픈정렬!$F24="",Calc_오픈정렬!AZ24=""),"",Calc_오픈정렬!AZ24/Calc_오픈정렬!$F24*100)</f>
        <v/>
      </c>
      <c r="BA24" t="str">
        <f>IF(OR(Calc_오픈정렬!$F24="",Calc_오픈정렬!BA24=""),"",Calc_오픈정렬!BA24/Calc_오픈정렬!$F24*100)</f>
        <v/>
      </c>
      <c r="BB24" t="str">
        <f>IF(OR(Calc_오픈정렬!$F24="",Calc_오픈정렬!BB24=""),"",Calc_오픈정렬!BB24/Calc_오픈정렬!$F24*100)</f>
        <v/>
      </c>
      <c r="BC24" t="str">
        <f>IF(OR(Calc_오픈정렬!$F24="",Calc_오픈정렬!BC24=""),"",Calc_오픈정렬!BC24/Calc_오픈정렬!$F24*100)</f>
        <v/>
      </c>
      <c r="BD24" t="str">
        <f>IF(OR(Calc_오픈정렬!$F24="",Calc_오픈정렬!BD24=""),"",Calc_오픈정렬!BD24/Calc_오픈정렬!$F24*100)</f>
        <v/>
      </c>
      <c r="BE24" t="str">
        <f>IF(OR(Calc_오픈정렬!$F24="",Calc_오픈정렬!BE24=""),"",Calc_오픈정렬!BE24/Calc_오픈정렬!$F24*100)</f>
        <v/>
      </c>
      <c r="BF24" t="str">
        <f>IF(OR(Calc_오픈정렬!$F24="",Calc_오픈정렬!BF24=""),"",Calc_오픈정렬!BF24/Calc_오픈정렬!$F24*100)</f>
        <v/>
      </c>
      <c r="BG24" t="str">
        <f>IF(OR(Calc_오픈정렬!$F24="",Calc_오픈정렬!BG24=""),"",Calc_오픈정렬!BG24/Calc_오픈정렬!$F24*100)</f>
        <v/>
      </c>
      <c r="BH24" t="str">
        <f>IF(OR(Calc_오픈정렬!$F24="",Calc_오픈정렬!BH24=""),"",Calc_오픈정렬!BH24/Calc_오픈정렬!$F24*100)</f>
        <v/>
      </c>
      <c r="BI24" t="str">
        <f>IF(OR(Calc_오픈정렬!$F24="",Calc_오픈정렬!BI24=""),"",Calc_오픈정렬!BI24/Calc_오픈정렬!$F24*100)</f>
        <v/>
      </c>
      <c r="BJ24" t="str">
        <f>IF(OR(Calc_오픈정렬!$F24="",Calc_오픈정렬!BJ24=""),"",Calc_오픈정렬!BJ24/Calc_오픈정렬!$F24*100)</f>
        <v/>
      </c>
      <c r="BK24" t="str">
        <f>IF(OR(Calc_오픈정렬!$F24="",Calc_오픈정렬!BK24=""),"",Calc_오픈정렬!BK24/Calc_오픈정렬!$F24*100)</f>
        <v/>
      </c>
      <c r="BL24" t="str">
        <f>IF(OR(Calc_오픈정렬!$F24="",Calc_오픈정렬!BL24=""),"",Calc_오픈정렬!BL24/Calc_오픈정렬!$F24*100)</f>
        <v/>
      </c>
      <c r="BM24" t="str">
        <f>IF(OR(Calc_오픈정렬!$F24="",Calc_오픈정렬!BM24=""),"",Calc_오픈정렬!BM24/Calc_오픈정렬!$F24*100)</f>
        <v/>
      </c>
      <c r="BN24" t="str">
        <f>IF(OR(Calc_오픈정렬!$F24="",Calc_오픈정렬!BN24=""),"",Calc_오픈정렬!BN24/Calc_오픈정렬!$F24*100)</f>
        <v/>
      </c>
    </row>
    <row r="25" spans="1:66" x14ac:dyDescent="0.4">
      <c r="A25" t="str">
        <f>Calc_오픈정렬!A25</f>
        <v>(1010) #삼전엠케이점</v>
      </c>
      <c r="B25" t="str">
        <f>Calc_오픈정렬!B25</f>
        <v>150-0</v>
      </c>
      <c r="C25">
        <f>Calc_오픈정렬!C25</f>
        <v>0</v>
      </c>
      <c r="D25" t="str">
        <f>Calc_오픈정렬!D25</f>
        <v>0</v>
      </c>
      <c r="E25" s="1">
        <f>Calc_오픈정렬!E25</f>
        <v>44044</v>
      </c>
      <c r="F25" t="str">
        <f>Calc_오픈정렬!F25</f>
        <v/>
      </c>
      <c r="G25" t="str">
        <f>IF(OR(Calc_오픈정렬!$F25="",Calc_오픈정렬!G25=""),"",Calc_오픈정렬!G25/Calc_오픈정렬!$F25*100)</f>
        <v/>
      </c>
      <c r="H25" t="str">
        <f>IF(OR(Calc_오픈정렬!$F25="",Calc_오픈정렬!H25=""),"",Calc_오픈정렬!H25/Calc_오픈정렬!$F25*100)</f>
        <v/>
      </c>
      <c r="I25" t="str">
        <f>IF(OR(Calc_오픈정렬!$F25="",Calc_오픈정렬!I25=""),"",Calc_오픈정렬!I25/Calc_오픈정렬!$F25*100)</f>
        <v/>
      </c>
      <c r="J25" t="str">
        <f>IF(OR(Calc_오픈정렬!$F25="",Calc_오픈정렬!J25=""),"",Calc_오픈정렬!J25/Calc_오픈정렬!$F25*100)</f>
        <v/>
      </c>
      <c r="K25" t="str">
        <f>IF(OR(Calc_오픈정렬!$F25="",Calc_오픈정렬!K25=""),"",Calc_오픈정렬!K25/Calc_오픈정렬!$F25*100)</f>
        <v/>
      </c>
      <c r="L25" t="str">
        <f>IF(OR(Calc_오픈정렬!$F25="",Calc_오픈정렬!L25=""),"",Calc_오픈정렬!L25/Calc_오픈정렬!$F25*100)</f>
        <v/>
      </c>
      <c r="M25" t="str">
        <f>IF(OR(Calc_오픈정렬!$F25="",Calc_오픈정렬!M25=""),"",Calc_오픈정렬!M25/Calc_오픈정렬!$F25*100)</f>
        <v/>
      </c>
      <c r="N25" t="str">
        <f>IF(OR(Calc_오픈정렬!$F25="",Calc_오픈정렬!N25=""),"",Calc_오픈정렬!N25/Calc_오픈정렬!$F25*100)</f>
        <v/>
      </c>
      <c r="O25" t="str">
        <f>IF(OR(Calc_오픈정렬!$F25="",Calc_오픈정렬!O25=""),"",Calc_오픈정렬!O25/Calc_오픈정렬!$F25*100)</f>
        <v/>
      </c>
      <c r="P25" t="str">
        <f>IF(OR(Calc_오픈정렬!$F25="",Calc_오픈정렬!P25=""),"",Calc_오픈정렬!P25/Calc_오픈정렬!$F25*100)</f>
        <v/>
      </c>
      <c r="Q25" t="str">
        <f>IF(OR(Calc_오픈정렬!$F25="",Calc_오픈정렬!Q25=""),"",Calc_오픈정렬!Q25/Calc_오픈정렬!$F25*100)</f>
        <v/>
      </c>
      <c r="R25" t="str">
        <f>IF(OR(Calc_오픈정렬!$F25="",Calc_오픈정렬!R25=""),"",Calc_오픈정렬!R25/Calc_오픈정렬!$F25*100)</f>
        <v/>
      </c>
      <c r="S25" t="str">
        <f>IF(OR(Calc_오픈정렬!$F25="",Calc_오픈정렬!S25=""),"",Calc_오픈정렬!S25/Calc_오픈정렬!$F25*100)</f>
        <v/>
      </c>
      <c r="T25" t="str">
        <f>IF(OR(Calc_오픈정렬!$F25="",Calc_오픈정렬!T25=""),"",Calc_오픈정렬!T25/Calc_오픈정렬!$F25*100)</f>
        <v/>
      </c>
      <c r="U25" t="str">
        <f>IF(OR(Calc_오픈정렬!$F25="",Calc_오픈정렬!U25=""),"",Calc_오픈정렬!U25/Calc_오픈정렬!$F25*100)</f>
        <v/>
      </c>
      <c r="V25" t="str">
        <f>IF(OR(Calc_오픈정렬!$F25="",Calc_오픈정렬!V25=""),"",Calc_오픈정렬!V25/Calc_오픈정렬!$F25*100)</f>
        <v/>
      </c>
      <c r="W25" t="str">
        <f>IF(OR(Calc_오픈정렬!$F25="",Calc_오픈정렬!W25=""),"",Calc_오픈정렬!W25/Calc_오픈정렬!$F25*100)</f>
        <v/>
      </c>
      <c r="X25" t="str">
        <f>IF(OR(Calc_오픈정렬!$F25="",Calc_오픈정렬!X25=""),"",Calc_오픈정렬!X25/Calc_오픈정렬!$F25*100)</f>
        <v/>
      </c>
      <c r="Y25" t="str">
        <f>IF(OR(Calc_오픈정렬!$F25="",Calc_오픈정렬!Y25=""),"",Calc_오픈정렬!Y25/Calc_오픈정렬!$F25*100)</f>
        <v/>
      </c>
      <c r="Z25" t="str">
        <f>IF(OR(Calc_오픈정렬!$F25="",Calc_오픈정렬!Z25=""),"",Calc_오픈정렬!Z25/Calc_오픈정렬!$F25*100)</f>
        <v/>
      </c>
      <c r="AA25" t="str">
        <f>IF(OR(Calc_오픈정렬!$F25="",Calc_오픈정렬!AA25=""),"",Calc_오픈정렬!AA25/Calc_오픈정렬!$F25*100)</f>
        <v/>
      </c>
      <c r="AB25" t="str">
        <f>IF(OR(Calc_오픈정렬!$F25="",Calc_오픈정렬!AB25=""),"",Calc_오픈정렬!AB25/Calc_오픈정렬!$F25*100)</f>
        <v/>
      </c>
      <c r="AC25" t="str">
        <f>IF(OR(Calc_오픈정렬!$F25="",Calc_오픈정렬!AC25=""),"",Calc_오픈정렬!AC25/Calc_오픈정렬!$F25*100)</f>
        <v/>
      </c>
      <c r="AD25" t="str">
        <f>IF(OR(Calc_오픈정렬!$F25="",Calc_오픈정렬!AD25=""),"",Calc_오픈정렬!AD25/Calc_오픈정렬!$F25*100)</f>
        <v/>
      </c>
      <c r="AE25" t="str">
        <f>IF(OR(Calc_오픈정렬!$F25="",Calc_오픈정렬!AE25=""),"",Calc_오픈정렬!AE25/Calc_오픈정렬!$F25*100)</f>
        <v/>
      </c>
      <c r="AF25" t="str">
        <f>IF(OR(Calc_오픈정렬!$F25="",Calc_오픈정렬!AF25=""),"",Calc_오픈정렬!AF25/Calc_오픈정렬!$F25*100)</f>
        <v/>
      </c>
      <c r="AG25" t="str">
        <f>IF(OR(Calc_오픈정렬!$F25="",Calc_오픈정렬!AG25=""),"",Calc_오픈정렬!AG25/Calc_오픈정렬!$F25*100)</f>
        <v/>
      </c>
      <c r="AH25" t="str">
        <f>IF(OR(Calc_오픈정렬!$F25="",Calc_오픈정렬!AH25=""),"",Calc_오픈정렬!AH25/Calc_오픈정렬!$F25*100)</f>
        <v/>
      </c>
      <c r="AI25" t="str">
        <f>IF(OR(Calc_오픈정렬!$F25="",Calc_오픈정렬!AI25=""),"",Calc_오픈정렬!AI25/Calc_오픈정렬!$F25*100)</f>
        <v/>
      </c>
      <c r="AJ25" t="str">
        <f>IF(OR(Calc_오픈정렬!$F25="",Calc_오픈정렬!AJ25=""),"",Calc_오픈정렬!AJ25/Calc_오픈정렬!$F25*100)</f>
        <v/>
      </c>
      <c r="AK25" t="str">
        <f>IF(OR(Calc_오픈정렬!$F25="",Calc_오픈정렬!AK25=""),"",Calc_오픈정렬!AK25/Calc_오픈정렬!$F25*100)</f>
        <v/>
      </c>
      <c r="AL25" t="str">
        <f>IF(OR(Calc_오픈정렬!$F25="",Calc_오픈정렬!AL25=""),"",Calc_오픈정렬!AL25/Calc_오픈정렬!$F25*100)</f>
        <v/>
      </c>
      <c r="AM25" t="str">
        <f>IF(OR(Calc_오픈정렬!$F25="",Calc_오픈정렬!AM25=""),"",Calc_오픈정렬!AM25/Calc_오픈정렬!$F25*100)</f>
        <v/>
      </c>
      <c r="AN25" t="str">
        <f>IF(OR(Calc_오픈정렬!$F25="",Calc_오픈정렬!AN25=""),"",Calc_오픈정렬!AN25/Calc_오픈정렬!$F25*100)</f>
        <v/>
      </c>
      <c r="AO25" t="str">
        <f>IF(OR(Calc_오픈정렬!$F25="",Calc_오픈정렬!AO25=""),"",Calc_오픈정렬!AO25/Calc_오픈정렬!$F25*100)</f>
        <v/>
      </c>
      <c r="AP25" t="str">
        <f>IF(OR(Calc_오픈정렬!$F25="",Calc_오픈정렬!AP25=""),"",Calc_오픈정렬!AP25/Calc_오픈정렬!$F25*100)</f>
        <v/>
      </c>
      <c r="AQ25" t="str">
        <f>IF(OR(Calc_오픈정렬!$F25="",Calc_오픈정렬!AQ25=""),"",Calc_오픈정렬!AQ25/Calc_오픈정렬!$F25*100)</f>
        <v/>
      </c>
      <c r="AR25" t="str">
        <f>IF(OR(Calc_오픈정렬!$F25="",Calc_오픈정렬!AR25=""),"",Calc_오픈정렬!AR25/Calc_오픈정렬!$F25*100)</f>
        <v/>
      </c>
      <c r="AS25" t="str">
        <f>IF(OR(Calc_오픈정렬!$F25="",Calc_오픈정렬!AS25=""),"",Calc_오픈정렬!AS25/Calc_오픈정렬!$F25*100)</f>
        <v/>
      </c>
      <c r="AT25" t="str">
        <f>IF(OR(Calc_오픈정렬!$F25="",Calc_오픈정렬!AT25=""),"",Calc_오픈정렬!AT25/Calc_오픈정렬!$F25*100)</f>
        <v/>
      </c>
      <c r="AU25" t="str">
        <f>IF(OR(Calc_오픈정렬!$F25="",Calc_오픈정렬!AU25=""),"",Calc_오픈정렬!AU25/Calc_오픈정렬!$F25*100)</f>
        <v/>
      </c>
      <c r="AV25" t="str">
        <f>IF(OR(Calc_오픈정렬!$F25="",Calc_오픈정렬!AV25=""),"",Calc_오픈정렬!AV25/Calc_오픈정렬!$F25*100)</f>
        <v/>
      </c>
      <c r="AW25" t="str">
        <f>IF(OR(Calc_오픈정렬!$F25="",Calc_오픈정렬!AW25=""),"",Calc_오픈정렬!AW25/Calc_오픈정렬!$F25*100)</f>
        <v/>
      </c>
      <c r="AX25" t="str">
        <f>IF(OR(Calc_오픈정렬!$F25="",Calc_오픈정렬!AX25=""),"",Calc_오픈정렬!AX25/Calc_오픈정렬!$F25*100)</f>
        <v/>
      </c>
      <c r="AY25" t="str">
        <f>IF(OR(Calc_오픈정렬!$F25="",Calc_오픈정렬!AY25=""),"",Calc_오픈정렬!AY25/Calc_오픈정렬!$F25*100)</f>
        <v/>
      </c>
      <c r="AZ25" t="str">
        <f>IF(OR(Calc_오픈정렬!$F25="",Calc_오픈정렬!AZ25=""),"",Calc_오픈정렬!AZ25/Calc_오픈정렬!$F25*100)</f>
        <v/>
      </c>
      <c r="BA25" t="str">
        <f>IF(OR(Calc_오픈정렬!$F25="",Calc_오픈정렬!BA25=""),"",Calc_오픈정렬!BA25/Calc_오픈정렬!$F25*100)</f>
        <v/>
      </c>
      <c r="BB25" t="str">
        <f>IF(OR(Calc_오픈정렬!$F25="",Calc_오픈정렬!BB25=""),"",Calc_오픈정렬!BB25/Calc_오픈정렬!$F25*100)</f>
        <v/>
      </c>
      <c r="BC25" t="str">
        <f>IF(OR(Calc_오픈정렬!$F25="",Calc_오픈정렬!BC25=""),"",Calc_오픈정렬!BC25/Calc_오픈정렬!$F25*100)</f>
        <v/>
      </c>
      <c r="BD25" t="str">
        <f>IF(OR(Calc_오픈정렬!$F25="",Calc_오픈정렬!BD25=""),"",Calc_오픈정렬!BD25/Calc_오픈정렬!$F25*100)</f>
        <v/>
      </c>
      <c r="BE25" t="str">
        <f>IF(OR(Calc_오픈정렬!$F25="",Calc_오픈정렬!BE25=""),"",Calc_오픈정렬!BE25/Calc_오픈정렬!$F25*100)</f>
        <v/>
      </c>
      <c r="BF25" t="str">
        <f>IF(OR(Calc_오픈정렬!$F25="",Calc_오픈정렬!BF25=""),"",Calc_오픈정렬!BF25/Calc_오픈정렬!$F25*100)</f>
        <v/>
      </c>
      <c r="BG25" t="str">
        <f>IF(OR(Calc_오픈정렬!$F25="",Calc_오픈정렬!BG25=""),"",Calc_오픈정렬!BG25/Calc_오픈정렬!$F25*100)</f>
        <v/>
      </c>
      <c r="BH25" t="str">
        <f>IF(OR(Calc_오픈정렬!$F25="",Calc_오픈정렬!BH25=""),"",Calc_오픈정렬!BH25/Calc_오픈정렬!$F25*100)</f>
        <v/>
      </c>
      <c r="BI25" t="str">
        <f>IF(OR(Calc_오픈정렬!$F25="",Calc_오픈정렬!BI25=""),"",Calc_오픈정렬!BI25/Calc_오픈정렬!$F25*100)</f>
        <v/>
      </c>
      <c r="BJ25" t="str">
        <f>IF(OR(Calc_오픈정렬!$F25="",Calc_오픈정렬!BJ25=""),"",Calc_오픈정렬!BJ25/Calc_오픈정렬!$F25*100)</f>
        <v/>
      </c>
      <c r="BK25" t="str">
        <f>IF(OR(Calc_오픈정렬!$F25="",Calc_오픈정렬!BK25=""),"",Calc_오픈정렬!BK25/Calc_오픈정렬!$F25*100)</f>
        <v/>
      </c>
      <c r="BL25" t="str">
        <f>IF(OR(Calc_오픈정렬!$F25="",Calc_오픈정렬!BL25=""),"",Calc_오픈정렬!BL25/Calc_오픈정렬!$F25*100)</f>
        <v/>
      </c>
      <c r="BM25" t="str">
        <f>IF(OR(Calc_오픈정렬!$F25="",Calc_오픈정렬!BM25=""),"",Calc_오픈정렬!BM25/Calc_오픈정렬!$F25*100)</f>
        <v/>
      </c>
      <c r="BN25" t="str">
        <f>IF(OR(Calc_오픈정렬!$F25="",Calc_오픈정렬!BN25=""),"",Calc_오픈정렬!BN25/Calc_오픈정렬!$F25*100)</f>
        <v/>
      </c>
    </row>
    <row r="26" spans="1:66" x14ac:dyDescent="0.4">
      <c r="A26" t="str">
        <f>Calc_오픈정렬!A26</f>
        <v>(1011) #신길점</v>
      </c>
      <c r="B26" t="str">
        <f>Calc_오픈정렬!B26</f>
        <v>150-1</v>
      </c>
      <c r="C26">
        <f>Calc_오픈정렬!C26</f>
        <v>1</v>
      </c>
      <c r="D26" t="str">
        <f>Calc_오픈정렬!D26</f>
        <v>1</v>
      </c>
      <c r="E26" s="1">
        <f>Calc_오픈정렬!E26</f>
        <v>44075</v>
      </c>
      <c r="F26" t="str">
        <f>Calc_오픈정렬!F26</f>
        <v/>
      </c>
      <c r="G26" t="str">
        <f>IF(OR(Calc_오픈정렬!$F26="",Calc_오픈정렬!G26=""),"",Calc_오픈정렬!G26/Calc_오픈정렬!$F26*100)</f>
        <v/>
      </c>
      <c r="H26" t="str">
        <f>IF(OR(Calc_오픈정렬!$F26="",Calc_오픈정렬!H26=""),"",Calc_오픈정렬!H26/Calc_오픈정렬!$F26*100)</f>
        <v/>
      </c>
      <c r="I26" t="str">
        <f>IF(OR(Calc_오픈정렬!$F26="",Calc_오픈정렬!I26=""),"",Calc_오픈정렬!I26/Calc_오픈정렬!$F26*100)</f>
        <v/>
      </c>
      <c r="J26" t="str">
        <f>IF(OR(Calc_오픈정렬!$F26="",Calc_오픈정렬!J26=""),"",Calc_오픈정렬!J26/Calc_오픈정렬!$F26*100)</f>
        <v/>
      </c>
      <c r="K26" t="str">
        <f>IF(OR(Calc_오픈정렬!$F26="",Calc_오픈정렬!K26=""),"",Calc_오픈정렬!K26/Calc_오픈정렬!$F26*100)</f>
        <v/>
      </c>
      <c r="L26" t="str">
        <f>IF(OR(Calc_오픈정렬!$F26="",Calc_오픈정렬!L26=""),"",Calc_오픈정렬!L26/Calc_오픈정렬!$F26*100)</f>
        <v/>
      </c>
      <c r="M26" t="str">
        <f>IF(OR(Calc_오픈정렬!$F26="",Calc_오픈정렬!M26=""),"",Calc_오픈정렬!M26/Calc_오픈정렬!$F26*100)</f>
        <v/>
      </c>
      <c r="N26" t="str">
        <f>IF(OR(Calc_오픈정렬!$F26="",Calc_오픈정렬!N26=""),"",Calc_오픈정렬!N26/Calc_오픈정렬!$F26*100)</f>
        <v/>
      </c>
      <c r="O26" t="str">
        <f>IF(OR(Calc_오픈정렬!$F26="",Calc_오픈정렬!O26=""),"",Calc_오픈정렬!O26/Calc_오픈정렬!$F26*100)</f>
        <v/>
      </c>
      <c r="P26" t="str">
        <f>IF(OR(Calc_오픈정렬!$F26="",Calc_오픈정렬!P26=""),"",Calc_오픈정렬!P26/Calc_오픈정렬!$F26*100)</f>
        <v/>
      </c>
      <c r="Q26" t="str">
        <f>IF(OR(Calc_오픈정렬!$F26="",Calc_오픈정렬!Q26=""),"",Calc_오픈정렬!Q26/Calc_오픈정렬!$F26*100)</f>
        <v/>
      </c>
      <c r="R26" t="str">
        <f>IF(OR(Calc_오픈정렬!$F26="",Calc_오픈정렬!R26=""),"",Calc_오픈정렬!R26/Calc_오픈정렬!$F26*100)</f>
        <v/>
      </c>
      <c r="S26" t="str">
        <f>IF(OR(Calc_오픈정렬!$F26="",Calc_오픈정렬!S26=""),"",Calc_오픈정렬!S26/Calc_오픈정렬!$F26*100)</f>
        <v/>
      </c>
      <c r="T26" t="str">
        <f>IF(OR(Calc_오픈정렬!$F26="",Calc_오픈정렬!T26=""),"",Calc_오픈정렬!T26/Calc_오픈정렬!$F26*100)</f>
        <v/>
      </c>
      <c r="U26" t="str">
        <f>IF(OR(Calc_오픈정렬!$F26="",Calc_오픈정렬!U26=""),"",Calc_오픈정렬!U26/Calc_오픈정렬!$F26*100)</f>
        <v/>
      </c>
      <c r="V26" t="str">
        <f>IF(OR(Calc_오픈정렬!$F26="",Calc_오픈정렬!V26=""),"",Calc_오픈정렬!V26/Calc_오픈정렬!$F26*100)</f>
        <v/>
      </c>
      <c r="W26" t="str">
        <f>IF(OR(Calc_오픈정렬!$F26="",Calc_오픈정렬!W26=""),"",Calc_오픈정렬!W26/Calc_오픈정렬!$F26*100)</f>
        <v/>
      </c>
      <c r="X26" t="str">
        <f>IF(OR(Calc_오픈정렬!$F26="",Calc_오픈정렬!X26=""),"",Calc_오픈정렬!X26/Calc_오픈정렬!$F26*100)</f>
        <v/>
      </c>
      <c r="Y26" t="str">
        <f>IF(OR(Calc_오픈정렬!$F26="",Calc_오픈정렬!Y26=""),"",Calc_오픈정렬!Y26/Calc_오픈정렬!$F26*100)</f>
        <v/>
      </c>
      <c r="Z26" t="str">
        <f>IF(OR(Calc_오픈정렬!$F26="",Calc_오픈정렬!Z26=""),"",Calc_오픈정렬!Z26/Calc_오픈정렬!$F26*100)</f>
        <v/>
      </c>
      <c r="AA26" t="str">
        <f>IF(OR(Calc_오픈정렬!$F26="",Calc_오픈정렬!AA26=""),"",Calc_오픈정렬!AA26/Calc_오픈정렬!$F26*100)</f>
        <v/>
      </c>
      <c r="AB26" t="str">
        <f>IF(OR(Calc_오픈정렬!$F26="",Calc_오픈정렬!AB26=""),"",Calc_오픈정렬!AB26/Calc_오픈정렬!$F26*100)</f>
        <v/>
      </c>
      <c r="AC26" t="str">
        <f>IF(OR(Calc_오픈정렬!$F26="",Calc_오픈정렬!AC26=""),"",Calc_오픈정렬!AC26/Calc_오픈정렬!$F26*100)</f>
        <v/>
      </c>
      <c r="AD26" t="str">
        <f>IF(OR(Calc_오픈정렬!$F26="",Calc_오픈정렬!AD26=""),"",Calc_오픈정렬!AD26/Calc_오픈정렬!$F26*100)</f>
        <v/>
      </c>
      <c r="AE26" t="str">
        <f>IF(OR(Calc_오픈정렬!$F26="",Calc_오픈정렬!AE26=""),"",Calc_오픈정렬!AE26/Calc_오픈정렬!$F26*100)</f>
        <v/>
      </c>
      <c r="AF26" t="str">
        <f>IF(OR(Calc_오픈정렬!$F26="",Calc_오픈정렬!AF26=""),"",Calc_오픈정렬!AF26/Calc_오픈정렬!$F26*100)</f>
        <v/>
      </c>
      <c r="AG26" t="str">
        <f>IF(OR(Calc_오픈정렬!$F26="",Calc_오픈정렬!AG26=""),"",Calc_오픈정렬!AG26/Calc_오픈정렬!$F26*100)</f>
        <v/>
      </c>
      <c r="AH26" t="str">
        <f>IF(OR(Calc_오픈정렬!$F26="",Calc_오픈정렬!AH26=""),"",Calc_오픈정렬!AH26/Calc_오픈정렬!$F26*100)</f>
        <v/>
      </c>
      <c r="AI26" t="str">
        <f>IF(OR(Calc_오픈정렬!$F26="",Calc_오픈정렬!AI26=""),"",Calc_오픈정렬!AI26/Calc_오픈정렬!$F26*100)</f>
        <v/>
      </c>
      <c r="AJ26" t="str">
        <f>IF(OR(Calc_오픈정렬!$F26="",Calc_오픈정렬!AJ26=""),"",Calc_오픈정렬!AJ26/Calc_오픈정렬!$F26*100)</f>
        <v/>
      </c>
      <c r="AK26" t="str">
        <f>IF(OR(Calc_오픈정렬!$F26="",Calc_오픈정렬!AK26=""),"",Calc_오픈정렬!AK26/Calc_오픈정렬!$F26*100)</f>
        <v/>
      </c>
      <c r="AL26" t="str">
        <f>IF(OR(Calc_오픈정렬!$F26="",Calc_오픈정렬!AL26=""),"",Calc_오픈정렬!AL26/Calc_오픈정렬!$F26*100)</f>
        <v/>
      </c>
      <c r="AM26" t="str">
        <f>IF(OR(Calc_오픈정렬!$F26="",Calc_오픈정렬!AM26=""),"",Calc_오픈정렬!AM26/Calc_오픈정렬!$F26*100)</f>
        <v/>
      </c>
      <c r="AN26" t="str">
        <f>IF(OR(Calc_오픈정렬!$F26="",Calc_오픈정렬!AN26=""),"",Calc_오픈정렬!AN26/Calc_오픈정렬!$F26*100)</f>
        <v/>
      </c>
      <c r="AO26" t="str">
        <f>IF(OR(Calc_오픈정렬!$F26="",Calc_오픈정렬!AO26=""),"",Calc_오픈정렬!AO26/Calc_오픈정렬!$F26*100)</f>
        <v/>
      </c>
      <c r="AP26" t="str">
        <f>IF(OR(Calc_오픈정렬!$F26="",Calc_오픈정렬!AP26=""),"",Calc_오픈정렬!AP26/Calc_오픈정렬!$F26*100)</f>
        <v/>
      </c>
      <c r="AQ26" t="str">
        <f>IF(OR(Calc_오픈정렬!$F26="",Calc_오픈정렬!AQ26=""),"",Calc_오픈정렬!AQ26/Calc_오픈정렬!$F26*100)</f>
        <v/>
      </c>
      <c r="AR26" t="str">
        <f>IF(OR(Calc_오픈정렬!$F26="",Calc_오픈정렬!AR26=""),"",Calc_오픈정렬!AR26/Calc_오픈정렬!$F26*100)</f>
        <v/>
      </c>
      <c r="AS26" t="str">
        <f>IF(OR(Calc_오픈정렬!$F26="",Calc_오픈정렬!AS26=""),"",Calc_오픈정렬!AS26/Calc_오픈정렬!$F26*100)</f>
        <v/>
      </c>
      <c r="AT26" t="str">
        <f>IF(OR(Calc_오픈정렬!$F26="",Calc_오픈정렬!AT26=""),"",Calc_오픈정렬!AT26/Calc_오픈정렬!$F26*100)</f>
        <v/>
      </c>
      <c r="AU26" t="str">
        <f>IF(OR(Calc_오픈정렬!$F26="",Calc_오픈정렬!AU26=""),"",Calc_오픈정렬!AU26/Calc_오픈정렬!$F26*100)</f>
        <v/>
      </c>
      <c r="AV26" t="str">
        <f>IF(OR(Calc_오픈정렬!$F26="",Calc_오픈정렬!AV26=""),"",Calc_오픈정렬!AV26/Calc_오픈정렬!$F26*100)</f>
        <v/>
      </c>
      <c r="AW26" t="str">
        <f>IF(OR(Calc_오픈정렬!$F26="",Calc_오픈정렬!AW26=""),"",Calc_오픈정렬!AW26/Calc_오픈정렬!$F26*100)</f>
        <v/>
      </c>
      <c r="AX26" t="str">
        <f>IF(OR(Calc_오픈정렬!$F26="",Calc_오픈정렬!AX26=""),"",Calc_오픈정렬!AX26/Calc_오픈정렬!$F26*100)</f>
        <v/>
      </c>
      <c r="AY26" t="str">
        <f>IF(OR(Calc_오픈정렬!$F26="",Calc_오픈정렬!AY26=""),"",Calc_오픈정렬!AY26/Calc_오픈정렬!$F26*100)</f>
        <v/>
      </c>
      <c r="AZ26" t="str">
        <f>IF(OR(Calc_오픈정렬!$F26="",Calc_오픈정렬!AZ26=""),"",Calc_오픈정렬!AZ26/Calc_오픈정렬!$F26*100)</f>
        <v/>
      </c>
      <c r="BA26" t="str">
        <f>IF(OR(Calc_오픈정렬!$F26="",Calc_오픈정렬!BA26=""),"",Calc_오픈정렬!BA26/Calc_오픈정렬!$F26*100)</f>
        <v/>
      </c>
      <c r="BB26" t="str">
        <f>IF(OR(Calc_오픈정렬!$F26="",Calc_오픈정렬!BB26=""),"",Calc_오픈정렬!BB26/Calc_오픈정렬!$F26*100)</f>
        <v/>
      </c>
      <c r="BC26" t="str">
        <f>IF(OR(Calc_오픈정렬!$F26="",Calc_오픈정렬!BC26=""),"",Calc_오픈정렬!BC26/Calc_오픈정렬!$F26*100)</f>
        <v/>
      </c>
      <c r="BD26" t="str">
        <f>IF(OR(Calc_오픈정렬!$F26="",Calc_오픈정렬!BD26=""),"",Calc_오픈정렬!BD26/Calc_오픈정렬!$F26*100)</f>
        <v/>
      </c>
      <c r="BE26" t="str">
        <f>IF(OR(Calc_오픈정렬!$F26="",Calc_오픈정렬!BE26=""),"",Calc_오픈정렬!BE26/Calc_오픈정렬!$F26*100)</f>
        <v/>
      </c>
      <c r="BF26" t="str">
        <f>IF(OR(Calc_오픈정렬!$F26="",Calc_오픈정렬!BF26=""),"",Calc_오픈정렬!BF26/Calc_오픈정렬!$F26*100)</f>
        <v/>
      </c>
      <c r="BG26" t="str">
        <f>IF(OR(Calc_오픈정렬!$F26="",Calc_오픈정렬!BG26=""),"",Calc_오픈정렬!BG26/Calc_오픈정렬!$F26*100)</f>
        <v/>
      </c>
      <c r="BH26" t="str">
        <f>IF(OR(Calc_오픈정렬!$F26="",Calc_오픈정렬!BH26=""),"",Calc_오픈정렬!BH26/Calc_오픈정렬!$F26*100)</f>
        <v/>
      </c>
      <c r="BI26" t="str">
        <f>IF(OR(Calc_오픈정렬!$F26="",Calc_오픈정렬!BI26=""),"",Calc_오픈정렬!BI26/Calc_오픈정렬!$F26*100)</f>
        <v/>
      </c>
      <c r="BJ26" t="str">
        <f>IF(OR(Calc_오픈정렬!$F26="",Calc_오픈정렬!BJ26=""),"",Calc_오픈정렬!BJ26/Calc_오픈정렬!$F26*100)</f>
        <v/>
      </c>
      <c r="BK26" t="str">
        <f>IF(OR(Calc_오픈정렬!$F26="",Calc_오픈정렬!BK26=""),"",Calc_오픈정렬!BK26/Calc_오픈정렬!$F26*100)</f>
        <v/>
      </c>
      <c r="BL26" t="str">
        <f>IF(OR(Calc_오픈정렬!$F26="",Calc_오픈정렬!BL26=""),"",Calc_오픈정렬!BL26/Calc_오픈정렬!$F26*100)</f>
        <v/>
      </c>
      <c r="BM26" t="str">
        <f>IF(OR(Calc_오픈정렬!$F26="",Calc_오픈정렬!BM26=""),"",Calc_오픈정렬!BM26/Calc_오픈정렬!$F26*100)</f>
        <v/>
      </c>
      <c r="BN26" t="str">
        <f>IF(OR(Calc_오픈정렬!$F26="",Calc_오픈정렬!BN26=""),"",Calc_오픈정렬!BN26/Calc_오픈정렬!$F26*100)</f>
        <v/>
      </c>
    </row>
    <row r="27" spans="1:66" x14ac:dyDescent="0.4">
      <c r="A27" t="str">
        <f>Calc_오픈정렬!A27</f>
        <v>(1012) #석촌점</v>
      </c>
      <c r="B27" t="str">
        <f>Calc_오픈정렬!B27</f>
        <v>150-0</v>
      </c>
      <c r="C27">
        <f>Calc_오픈정렬!C27</f>
        <v>0</v>
      </c>
      <c r="D27" t="str">
        <f>Calc_오픈정렬!D27</f>
        <v>0</v>
      </c>
      <c r="E27" s="1">
        <f>Calc_오픈정렬!E27</f>
        <v>44105</v>
      </c>
      <c r="F27" t="str">
        <f>Calc_오픈정렬!F27</f>
        <v/>
      </c>
      <c r="G27" t="str">
        <f>IF(OR(Calc_오픈정렬!$F27="",Calc_오픈정렬!G27=""),"",Calc_오픈정렬!G27/Calc_오픈정렬!$F27*100)</f>
        <v/>
      </c>
      <c r="H27" t="str">
        <f>IF(OR(Calc_오픈정렬!$F27="",Calc_오픈정렬!H27=""),"",Calc_오픈정렬!H27/Calc_오픈정렬!$F27*100)</f>
        <v/>
      </c>
      <c r="I27" t="str">
        <f>IF(OR(Calc_오픈정렬!$F27="",Calc_오픈정렬!I27=""),"",Calc_오픈정렬!I27/Calc_오픈정렬!$F27*100)</f>
        <v/>
      </c>
      <c r="J27" t="str">
        <f>IF(OR(Calc_오픈정렬!$F27="",Calc_오픈정렬!J27=""),"",Calc_오픈정렬!J27/Calc_오픈정렬!$F27*100)</f>
        <v/>
      </c>
      <c r="K27" t="str">
        <f>IF(OR(Calc_오픈정렬!$F27="",Calc_오픈정렬!K27=""),"",Calc_오픈정렬!K27/Calc_오픈정렬!$F27*100)</f>
        <v/>
      </c>
      <c r="L27" t="str">
        <f>IF(OR(Calc_오픈정렬!$F27="",Calc_오픈정렬!L27=""),"",Calc_오픈정렬!L27/Calc_오픈정렬!$F27*100)</f>
        <v/>
      </c>
      <c r="M27" t="str">
        <f>IF(OR(Calc_오픈정렬!$F27="",Calc_오픈정렬!M27=""),"",Calc_오픈정렬!M27/Calc_오픈정렬!$F27*100)</f>
        <v/>
      </c>
      <c r="N27" t="str">
        <f>IF(OR(Calc_오픈정렬!$F27="",Calc_오픈정렬!N27=""),"",Calc_오픈정렬!N27/Calc_오픈정렬!$F27*100)</f>
        <v/>
      </c>
      <c r="O27" t="str">
        <f>IF(OR(Calc_오픈정렬!$F27="",Calc_오픈정렬!O27=""),"",Calc_오픈정렬!O27/Calc_오픈정렬!$F27*100)</f>
        <v/>
      </c>
      <c r="P27" t="str">
        <f>IF(OR(Calc_오픈정렬!$F27="",Calc_오픈정렬!P27=""),"",Calc_오픈정렬!P27/Calc_오픈정렬!$F27*100)</f>
        <v/>
      </c>
      <c r="Q27" t="str">
        <f>IF(OR(Calc_오픈정렬!$F27="",Calc_오픈정렬!Q27=""),"",Calc_오픈정렬!Q27/Calc_오픈정렬!$F27*100)</f>
        <v/>
      </c>
      <c r="R27" t="str">
        <f>IF(OR(Calc_오픈정렬!$F27="",Calc_오픈정렬!R27=""),"",Calc_오픈정렬!R27/Calc_오픈정렬!$F27*100)</f>
        <v/>
      </c>
      <c r="S27" t="str">
        <f>IF(OR(Calc_오픈정렬!$F27="",Calc_오픈정렬!S27=""),"",Calc_오픈정렬!S27/Calc_오픈정렬!$F27*100)</f>
        <v/>
      </c>
      <c r="T27" t="str">
        <f>IF(OR(Calc_오픈정렬!$F27="",Calc_오픈정렬!T27=""),"",Calc_오픈정렬!T27/Calc_오픈정렬!$F27*100)</f>
        <v/>
      </c>
      <c r="U27" t="str">
        <f>IF(OR(Calc_오픈정렬!$F27="",Calc_오픈정렬!U27=""),"",Calc_오픈정렬!U27/Calc_오픈정렬!$F27*100)</f>
        <v/>
      </c>
      <c r="V27" t="str">
        <f>IF(OR(Calc_오픈정렬!$F27="",Calc_오픈정렬!V27=""),"",Calc_오픈정렬!V27/Calc_오픈정렬!$F27*100)</f>
        <v/>
      </c>
      <c r="W27" t="str">
        <f>IF(OR(Calc_오픈정렬!$F27="",Calc_오픈정렬!W27=""),"",Calc_오픈정렬!W27/Calc_오픈정렬!$F27*100)</f>
        <v/>
      </c>
      <c r="X27" t="str">
        <f>IF(OR(Calc_오픈정렬!$F27="",Calc_오픈정렬!X27=""),"",Calc_오픈정렬!X27/Calc_오픈정렬!$F27*100)</f>
        <v/>
      </c>
      <c r="Y27" t="str">
        <f>IF(OR(Calc_오픈정렬!$F27="",Calc_오픈정렬!Y27=""),"",Calc_오픈정렬!Y27/Calc_오픈정렬!$F27*100)</f>
        <v/>
      </c>
      <c r="Z27" t="str">
        <f>IF(OR(Calc_오픈정렬!$F27="",Calc_오픈정렬!Z27=""),"",Calc_오픈정렬!Z27/Calc_오픈정렬!$F27*100)</f>
        <v/>
      </c>
      <c r="AA27" t="str">
        <f>IF(OR(Calc_오픈정렬!$F27="",Calc_오픈정렬!AA27=""),"",Calc_오픈정렬!AA27/Calc_오픈정렬!$F27*100)</f>
        <v/>
      </c>
      <c r="AB27" t="str">
        <f>IF(OR(Calc_오픈정렬!$F27="",Calc_오픈정렬!AB27=""),"",Calc_오픈정렬!AB27/Calc_오픈정렬!$F27*100)</f>
        <v/>
      </c>
      <c r="AC27" t="str">
        <f>IF(OR(Calc_오픈정렬!$F27="",Calc_오픈정렬!AC27=""),"",Calc_오픈정렬!AC27/Calc_오픈정렬!$F27*100)</f>
        <v/>
      </c>
      <c r="AD27" t="str">
        <f>IF(OR(Calc_오픈정렬!$F27="",Calc_오픈정렬!AD27=""),"",Calc_오픈정렬!AD27/Calc_오픈정렬!$F27*100)</f>
        <v/>
      </c>
      <c r="AE27" t="str">
        <f>IF(OR(Calc_오픈정렬!$F27="",Calc_오픈정렬!AE27=""),"",Calc_오픈정렬!AE27/Calc_오픈정렬!$F27*100)</f>
        <v/>
      </c>
      <c r="AF27" t="str">
        <f>IF(OR(Calc_오픈정렬!$F27="",Calc_오픈정렬!AF27=""),"",Calc_오픈정렬!AF27/Calc_오픈정렬!$F27*100)</f>
        <v/>
      </c>
      <c r="AG27" t="str">
        <f>IF(OR(Calc_오픈정렬!$F27="",Calc_오픈정렬!AG27=""),"",Calc_오픈정렬!AG27/Calc_오픈정렬!$F27*100)</f>
        <v/>
      </c>
      <c r="AH27" t="str">
        <f>IF(OR(Calc_오픈정렬!$F27="",Calc_오픈정렬!AH27=""),"",Calc_오픈정렬!AH27/Calc_오픈정렬!$F27*100)</f>
        <v/>
      </c>
      <c r="AI27" t="str">
        <f>IF(OR(Calc_오픈정렬!$F27="",Calc_오픈정렬!AI27=""),"",Calc_오픈정렬!AI27/Calc_오픈정렬!$F27*100)</f>
        <v/>
      </c>
      <c r="AJ27" t="str">
        <f>IF(OR(Calc_오픈정렬!$F27="",Calc_오픈정렬!AJ27=""),"",Calc_오픈정렬!AJ27/Calc_오픈정렬!$F27*100)</f>
        <v/>
      </c>
      <c r="AK27" t="str">
        <f>IF(OR(Calc_오픈정렬!$F27="",Calc_오픈정렬!AK27=""),"",Calc_오픈정렬!AK27/Calc_오픈정렬!$F27*100)</f>
        <v/>
      </c>
      <c r="AL27" t="str">
        <f>IF(OR(Calc_오픈정렬!$F27="",Calc_오픈정렬!AL27=""),"",Calc_오픈정렬!AL27/Calc_오픈정렬!$F27*100)</f>
        <v/>
      </c>
      <c r="AM27" t="str">
        <f>IF(OR(Calc_오픈정렬!$F27="",Calc_오픈정렬!AM27=""),"",Calc_오픈정렬!AM27/Calc_오픈정렬!$F27*100)</f>
        <v/>
      </c>
      <c r="AN27" t="str">
        <f>IF(OR(Calc_오픈정렬!$F27="",Calc_오픈정렬!AN27=""),"",Calc_오픈정렬!AN27/Calc_오픈정렬!$F27*100)</f>
        <v/>
      </c>
      <c r="AO27" t="str">
        <f>IF(OR(Calc_오픈정렬!$F27="",Calc_오픈정렬!AO27=""),"",Calc_오픈정렬!AO27/Calc_오픈정렬!$F27*100)</f>
        <v/>
      </c>
      <c r="AP27" t="str">
        <f>IF(OR(Calc_오픈정렬!$F27="",Calc_오픈정렬!AP27=""),"",Calc_오픈정렬!AP27/Calc_오픈정렬!$F27*100)</f>
        <v/>
      </c>
      <c r="AQ27" t="str">
        <f>IF(OR(Calc_오픈정렬!$F27="",Calc_오픈정렬!AQ27=""),"",Calc_오픈정렬!AQ27/Calc_오픈정렬!$F27*100)</f>
        <v/>
      </c>
      <c r="AR27" t="str">
        <f>IF(OR(Calc_오픈정렬!$F27="",Calc_오픈정렬!AR27=""),"",Calc_오픈정렬!AR27/Calc_오픈정렬!$F27*100)</f>
        <v/>
      </c>
      <c r="AS27" t="str">
        <f>IF(OR(Calc_오픈정렬!$F27="",Calc_오픈정렬!AS27=""),"",Calc_오픈정렬!AS27/Calc_오픈정렬!$F27*100)</f>
        <v/>
      </c>
      <c r="AT27" t="str">
        <f>IF(OR(Calc_오픈정렬!$F27="",Calc_오픈정렬!AT27=""),"",Calc_오픈정렬!AT27/Calc_오픈정렬!$F27*100)</f>
        <v/>
      </c>
      <c r="AU27" t="str">
        <f>IF(OR(Calc_오픈정렬!$F27="",Calc_오픈정렬!AU27=""),"",Calc_오픈정렬!AU27/Calc_오픈정렬!$F27*100)</f>
        <v/>
      </c>
      <c r="AV27" t="str">
        <f>IF(OR(Calc_오픈정렬!$F27="",Calc_오픈정렬!AV27=""),"",Calc_오픈정렬!AV27/Calc_오픈정렬!$F27*100)</f>
        <v/>
      </c>
      <c r="AW27" t="str">
        <f>IF(OR(Calc_오픈정렬!$F27="",Calc_오픈정렬!AW27=""),"",Calc_오픈정렬!AW27/Calc_오픈정렬!$F27*100)</f>
        <v/>
      </c>
      <c r="AX27" t="str">
        <f>IF(OR(Calc_오픈정렬!$F27="",Calc_오픈정렬!AX27=""),"",Calc_오픈정렬!AX27/Calc_오픈정렬!$F27*100)</f>
        <v/>
      </c>
      <c r="AY27" t="str">
        <f>IF(OR(Calc_오픈정렬!$F27="",Calc_오픈정렬!AY27=""),"",Calc_오픈정렬!AY27/Calc_오픈정렬!$F27*100)</f>
        <v/>
      </c>
      <c r="AZ27" t="str">
        <f>IF(OR(Calc_오픈정렬!$F27="",Calc_오픈정렬!AZ27=""),"",Calc_오픈정렬!AZ27/Calc_오픈정렬!$F27*100)</f>
        <v/>
      </c>
      <c r="BA27" t="str">
        <f>IF(OR(Calc_오픈정렬!$F27="",Calc_오픈정렬!BA27=""),"",Calc_오픈정렬!BA27/Calc_오픈정렬!$F27*100)</f>
        <v/>
      </c>
      <c r="BB27" t="str">
        <f>IF(OR(Calc_오픈정렬!$F27="",Calc_오픈정렬!BB27=""),"",Calc_오픈정렬!BB27/Calc_오픈정렬!$F27*100)</f>
        <v/>
      </c>
      <c r="BC27" t="str">
        <f>IF(OR(Calc_오픈정렬!$F27="",Calc_오픈정렬!BC27=""),"",Calc_오픈정렬!BC27/Calc_오픈정렬!$F27*100)</f>
        <v/>
      </c>
      <c r="BD27" t="str">
        <f>IF(OR(Calc_오픈정렬!$F27="",Calc_오픈정렬!BD27=""),"",Calc_오픈정렬!BD27/Calc_오픈정렬!$F27*100)</f>
        <v/>
      </c>
      <c r="BE27" t="str">
        <f>IF(OR(Calc_오픈정렬!$F27="",Calc_오픈정렬!BE27=""),"",Calc_오픈정렬!BE27/Calc_오픈정렬!$F27*100)</f>
        <v/>
      </c>
      <c r="BF27" t="str">
        <f>IF(OR(Calc_오픈정렬!$F27="",Calc_오픈정렬!BF27=""),"",Calc_오픈정렬!BF27/Calc_오픈정렬!$F27*100)</f>
        <v/>
      </c>
      <c r="BG27" t="str">
        <f>IF(OR(Calc_오픈정렬!$F27="",Calc_오픈정렬!BG27=""),"",Calc_오픈정렬!BG27/Calc_오픈정렬!$F27*100)</f>
        <v/>
      </c>
      <c r="BH27" t="str">
        <f>IF(OR(Calc_오픈정렬!$F27="",Calc_오픈정렬!BH27=""),"",Calc_오픈정렬!BH27/Calc_오픈정렬!$F27*100)</f>
        <v/>
      </c>
      <c r="BI27" t="str">
        <f>IF(OR(Calc_오픈정렬!$F27="",Calc_오픈정렬!BI27=""),"",Calc_오픈정렬!BI27/Calc_오픈정렬!$F27*100)</f>
        <v/>
      </c>
      <c r="BJ27" t="str">
        <f>IF(OR(Calc_오픈정렬!$F27="",Calc_오픈정렬!BJ27=""),"",Calc_오픈정렬!BJ27/Calc_오픈정렬!$F27*100)</f>
        <v/>
      </c>
      <c r="BK27" t="str">
        <f>IF(OR(Calc_오픈정렬!$F27="",Calc_오픈정렬!BK27=""),"",Calc_오픈정렬!BK27/Calc_오픈정렬!$F27*100)</f>
        <v/>
      </c>
      <c r="BL27" t="str">
        <f>IF(OR(Calc_오픈정렬!$F27="",Calc_오픈정렬!BL27=""),"",Calc_오픈정렬!BL27/Calc_오픈정렬!$F27*100)</f>
        <v/>
      </c>
      <c r="BM27" t="str">
        <f>IF(OR(Calc_오픈정렬!$F27="",Calc_오픈정렬!BM27=""),"",Calc_오픈정렬!BM27/Calc_오픈정렬!$F27*100)</f>
        <v/>
      </c>
      <c r="BN27" t="str">
        <f>IF(OR(Calc_오픈정렬!$F27="",Calc_오픈정렬!BN27=""),"",Calc_오픈정렬!BN27/Calc_오픈정렬!$F27*100)</f>
        <v/>
      </c>
    </row>
    <row r="28" spans="1:66" x14ac:dyDescent="0.4">
      <c r="A28" t="str">
        <f>Calc_오픈정렬!A28</f>
        <v>(1014) #자곡점</v>
      </c>
      <c r="B28" t="str">
        <f>Calc_오픈정렬!B28</f>
        <v>150-2</v>
      </c>
      <c r="C28">
        <f>Calc_오픈정렬!C28</f>
        <v>2</v>
      </c>
      <c r="D28" t="str">
        <f>Calc_오픈정렬!D28</f>
        <v>2</v>
      </c>
      <c r="E28" s="1">
        <f>Calc_오픈정렬!E28</f>
        <v>44166</v>
      </c>
      <c r="F28" t="str">
        <f>Calc_오픈정렬!F28</f>
        <v/>
      </c>
      <c r="G28" t="str">
        <f>IF(OR(Calc_오픈정렬!$F28="",Calc_오픈정렬!G28=""),"",Calc_오픈정렬!G28/Calc_오픈정렬!$F28*100)</f>
        <v/>
      </c>
      <c r="H28" t="str">
        <f>IF(OR(Calc_오픈정렬!$F28="",Calc_오픈정렬!H28=""),"",Calc_오픈정렬!H28/Calc_오픈정렬!$F28*100)</f>
        <v/>
      </c>
      <c r="I28" t="str">
        <f>IF(OR(Calc_오픈정렬!$F28="",Calc_오픈정렬!I28=""),"",Calc_오픈정렬!I28/Calc_오픈정렬!$F28*100)</f>
        <v/>
      </c>
      <c r="J28" t="str">
        <f>IF(OR(Calc_오픈정렬!$F28="",Calc_오픈정렬!J28=""),"",Calc_오픈정렬!J28/Calc_오픈정렬!$F28*100)</f>
        <v/>
      </c>
      <c r="K28" t="str">
        <f>IF(OR(Calc_오픈정렬!$F28="",Calc_오픈정렬!K28=""),"",Calc_오픈정렬!K28/Calc_오픈정렬!$F28*100)</f>
        <v/>
      </c>
      <c r="L28" t="str">
        <f>IF(OR(Calc_오픈정렬!$F28="",Calc_오픈정렬!L28=""),"",Calc_오픈정렬!L28/Calc_오픈정렬!$F28*100)</f>
        <v/>
      </c>
      <c r="M28" t="str">
        <f>IF(OR(Calc_오픈정렬!$F28="",Calc_오픈정렬!M28=""),"",Calc_오픈정렬!M28/Calc_오픈정렬!$F28*100)</f>
        <v/>
      </c>
      <c r="N28" t="str">
        <f>IF(OR(Calc_오픈정렬!$F28="",Calc_오픈정렬!N28=""),"",Calc_오픈정렬!N28/Calc_오픈정렬!$F28*100)</f>
        <v/>
      </c>
      <c r="O28" t="str">
        <f>IF(OR(Calc_오픈정렬!$F28="",Calc_오픈정렬!O28=""),"",Calc_오픈정렬!O28/Calc_오픈정렬!$F28*100)</f>
        <v/>
      </c>
      <c r="P28" t="str">
        <f>IF(OR(Calc_오픈정렬!$F28="",Calc_오픈정렬!P28=""),"",Calc_오픈정렬!P28/Calc_오픈정렬!$F28*100)</f>
        <v/>
      </c>
      <c r="Q28" t="str">
        <f>IF(OR(Calc_오픈정렬!$F28="",Calc_오픈정렬!Q28=""),"",Calc_오픈정렬!Q28/Calc_오픈정렬!$F28*100)</f>
        <v/>
      </c>
      <c r="R28" t="str">
        <f>IF(OR(Calc_오픈정렬!$F28="",Calc_오픈정렬!R28=""),"",Calc_오픈정렬!R28/Calc_오픈정렬!$F28*100)</f>
        <v/>
      </c>
      <c r="S28" t="str">
        <f>IF(OR(Calc_오픈정렬!$F28="",Calc_오픈정렬!S28=""),"",Calc_오픈정렬!S28/Calc_오픈정렬!$F28*100)</f>
        <v/>
      </c>
      <c r="T28" t="str">
        <f>IF(OR(Calc_오픈정렬!$F28="",Calc_오픈정렬!T28=""),"",Calc_오픈정렬!T28/Calc_오픈정렬!$F28*100)</f>
        <v/>
      </c>
      <c r="U28" t="str">
        <f>IF(OR(Calc_오픈정렬!$F28="",Calc_오픈정렬!U28=""),"",Calc_오픈정렬!U28/Calc_오픈정렬!$F28*100)</f>
        <v/>
      </c>
      <c r="V28" t="str">
        <f>IF(OR(Calc_오픈정렬!$F28="",Calc_오픈정렬!V28=""),"",Calc_오픈정렬!V28/Calc_오픈정렬!$F28*100)</f>
        <v/>
      </c>
      <c r="W28" t="str">
        <f>IF(OR(Calc_오픈정렬!$F28="",Calc_오픈정렬!W28=""),"",Calc_오픈정렬!W28/Calc_오픈정렬!$F28*100)</f>
        <v/>
      </c>
      <c r="X28" t="str">
        <f>IF(OR(Calc_오픈정렬!$F28="",Calc_오픈정렬!X28=""),"",Calc_오픈정렬!X28/Calc_오픈정렬!$F28*100)</f>
        <v/>
      </c>
      <c r="Y28" t="str">
        <f>IF(OR(Calc_오픈정렬!$F28="",Calc_오픈정렬!Y28=""),"",Calc_오픈정렬!Y28/Calc_오픈정렬!$F28*100)</f>
        <v/>
      </c>
      <c r="Z28" t="str">
        <f>IF(OR(Calc_오픈정렬!$F28="",Calc_오픈정렬!Z28=""),"",Calc_오픈정렬!Z28/Calc_오픈정렬!$F28*100)</f>
        <v/>
      </c>
      <c r="AA28" t="str">
        <f>IF(OR(Calc_오픈정렬!$F28="",Calc_오픈정렬!AA28=""),"",Calc_오픈정렬!AA28/Calc_오픈정렬!$F28*100)</f>
        <v/>
      </c>
      <c r="AB28" t="str">
        <f>IF(OR(Calc_오픈정렬!$F28="",Calc_오픈정렬!AB28=""),"",Calc_오픈정렬!AB28/Calc_오픈정렬!$F28*100)</f>
        <v/>
      </c>
      <c r="AC28" t="str">
        <f>IF(OR(Calc_오픈정렬!$F28="",Calc_오픈정렬!AC28=""),"",Calc_오픈정렬!AC28/Calc_오픈정렬!$F28*100)</f>
        <v/>
      </c>
      <c r="AD28" t="str">
        <f>IF(OR(Calc_오픈정렬!$F28="",Calc_오픈정렬!AD28=""),"",Calc_오픈정렬!AD28/Calc_오픈정렬!$F28*100)</f>
        <v/>
      </c>
      <c r="AE28" t="str">
        <f>IF(OR(Calc_오픈정렬!$F28="",Calc_오픈정렬!AE28=""),"",Calc_오픈정렬!AE28/Calc_오픈정렬!$F28*100)</f>
        <v/>
      </c>
      <c r="AF28" t="str">
        <f>IF(OR(Calc_오픈정렬!$F28="",Calc_오픈정렬!AF28=""),"",Calc_오픈정렬!AF28/Calc_오픈정렬!$F28*100)</f>
        <v/>
      </c>
      <c r="AG28" t="str">
        <f>IF(OR(Calc_오픈정렬!$F28="",Calc_오픈정렬!AG28=""),"",Calc_오픈정렬!AG28/Calc_오픈정렬!$F28*100)</f>
        <v/>
      </c>
      <c r="AH28" t="str">
        <f>IF(OR(Calc_오픈정렬!$F28="",Calc_오픈정렬!AH28=""),"",Calc_오픈정렬!AH28/Calc_오픈정렬!$F28*100)</f>
        <v/>
      </c>
      <c r="AI28" t="str">
        <f>IF(OR(Calc_오픈정렬!$F28="",Calc_오픈정렬!AI28=""),"",Calc_오픈정렬!AI28/Calc_오픈정렬!$F28*100)</f>
        <v/>
      </c>
      <c r="AJ28" t="str">
        <f>IF(OR(Calc_오픈정렬!$F28="",Calc_오픈정렬!AJ28=""),"",Calc_오픈정렬!AJ28/Calc_오픈정렬!$F28*100)</f>
        <v/>
      </c>
      <c r="AK28" t="str">
        <f>IF(OR(Calc_오픈정렬!$F28="",Calc_오픈정렬!AK28=""),"",Calc_오픈정렬!AK28/Calc_오픈정렬!$F28*100)</f>
        <v/>
      </c>
      <c r="AL28" t="str">
        <f>IF(OR(Calc_오픈정렬!$F28="",Calc_오픈정렬!AL28=""),"",Calc_오픈정렬!AL28/Calc_오픈정렬!$F28*100)</f>
        <v/>
      </c>
      <c r="AM28" t="str">
        <f>IF(OR(Calc_오픈정렬!$F28="",Calc_오픈정렬!AM28=""),"",Calc_오픈정렬!AM28/Calc_오픈정렬!$F28*100)</f>
        <v/>
      </c>
      <c r="AN28" t="str">
        <f>IF(OR(Calc_오픈정렬!$F28="",Calc_오픈정렬!AN28=""),"",Calc_오픈정렬!AN28/Calc_오픈정렬!$F28*100)</f>
        <v/>
      </c>
      <c r="AO28" t="str">
        <f>IF(OR(Calc_오픈정렬!$F28="",Calc_오픈정렬!AO28=""),"",Calc_오픈정렬!AO28/Calc_오픈정렬!$F28*100)</f>
        <v/>
      </c>
      <c r="AP28" t="str">
        <f>IF(OR(Calc_오픈정렬!$F28="",Calc_오픈정렬!AP28=""),"",Calc_오픈정렬!AP28/Calc_오픈정렬!$F28*100)</f>
        <v/>
      </c>
      <c r="AQ28" t="str">
        <f>IF(OR(Calc_오픈정렬!$F28="",Calc_오픈정렬!AQ28=""),"",Calc_오픈정렬!AQ28/Calc_오픈정렬!$F28*100)</f>
        <v/>
      </c>
      <c r="AR28" t="str">
        <f>IF(OR(Calc_오픈정렬!$F28="",Calc_오픈정렬!AR28=""),"",Calc_오픈정렬!AR28/Calc_오픈정렬!$F28*100)</f>
        <v/>
      </c>
      <c r="AS28" t="str">
        <f>IF(OR(Calc_오픈정렬!$F28="",Calc_오픈정렬!AS28=""),"",Calc_오픈정렬!AS28/Calc_오픈정렬!$F28*100)</f>
        <v/>
      </c>
      <c r="AT28" t="str">
        <f>IF(OR(Calc_오픈정렬!$F28="",Calc_오픈정렬!AT28=""),"",Calc_오픈정렬!AT28/Calc_오픈정렬!$F28*100)</f>
        <v/>
      </c>
      <c r="AU28" t="str">
        <f>IF(OR(Calc_오픈정렬!$F28="",Calc_오픈정렬!AU28=""),"",Calc_오픈정렬!AU28/Calc_오픈정렬!$F28*100)</f>
        <v/>
      </c>
      <c r="AV28" t="str">
        <f>IF(OR(Calc_오픈정렬!$F28="",Calc_오픈정렬!AV28=""),"",Calc_오픈정렬!AV28/Calc_오픈정렬!$F28*100)</f>
        <v/>
      </c>
      <c r="AW28" t="str">
        <f>IF(OR(Calc_오픈정렬!$F28="",Calc_오픈정렬!AW28=""),"",Calc_오픈정렬!AW28/Calc_오픈정렬!$F28*100)</f>
        <v/>
      </c>
      <c r="AX28" t="str">
        <f>IF(OR(Calc_오픈정렬!$F28="",Calc_오픈정렬!AX28=""),"",Calc_오픈정렬!AX28/Calc_오픈정렬!$F28*100)</f>
        <v/>
      </c>
      <c r="AY28" t="str">
        <f>IF(OR(Calc_오픈정렬!$F28="",Calc_오픈정렬!AY28=""),"",Calc_오픈정렬!AY28/Calc_오픈정렬!$F28*100)</f>
        <v/>
      </c>
      <c r="AZ28" t="str">
        <f>IF(OR(Calc_오픈정렬!$F28="",Calc_오픈정렬!AZ28=""),"",Calc_오픈정렬!AZ28/Calc_오픈정렬!$F28*100)</f>
        <v/>
      </c>
      <c r="BA28" t="str">
        <f>IF(OR(Calc_오픈정렬!$F28="",Calc_오픈정렬!BA28=""),"",Calc_오픈정렬!BA28/Calc_오픈정렬!$F28*100)</f>
        <v/>
      </c>
      <c r="BB28" t="str">
        <f>IF(OR(Calc_오픈정렬!$F28="",Calc_오픈정렬!BB28=""),"",Calc_오픈정렬!BB28/Calc_오픈정렬!$F28*100)</f>
        <v/>
      </c>
      <c r="BC28" t="str">
        <f>IF(OR(Calc_오픈정렬!$F28="",Calc_오픈정렬!BC28=""),"",Calc_오픈정렬!BC28/Calc_오픈정렬!$F28*100)</f>
        <v/>
      </c>
      <c r="BD28" t="str">
        <f>IF(OR(Calc_오픈정렬!$F28="",Calc_오픈정렬!BD28=""),"",Calc_오픈정렬!BD28/Calc_오픈정렬!$F28*100)</f>
        <v/>
      </c>
      <c r="BE28" t="str">
        <f>IF(OR(Calc_오픈정렬!$F28="",Calc_오픈정렬!BE28=""),"",Calc_오픈정렬!BE28/Calc_오픈정렬!$F28*100)</f>
        <v/>
      </c>
      <c r="BF28" t="str">
        <f>IF(OR(Calc_오픈정렬!$F28="",Calc_오픈정렬!BF28=""),"",Calc_오픈정렬!BF28/Calc_오픈정렬!$F28*100)</f>
        <v/>
      </c>
      <c r="BG28" t="str">
        <f>IF(OR(Calc_오픈정렬!$F28="",Calc_오픈정렬!BG28=""),"",Calc_오픈정렬!BG28/Calc_오픈정렬!$F28*100)</f>
        <v/>
      </c>
      <c r="BH28" t="str">
        <f>IF(OR(Calc_오픈정렬!$F28="",Calc_오픈정렬!BH28=""),"",Calc_오픈정렬!BH28/Calc_오픈정렬!$F28*100)</f>
        <v/>
      </c>
      <c r="BI28" t="str">
        <f>IF(OR(Calc_오픈정렬!$F28="",Calc_오픈정렬!BI28=""),"",Calc_오픈정렬!BI28/Calc_오픈정렬!$F28*100)</f>
        <v/>
      </c>
      <c r="BJ28" t="str">
        <f>IF(OR(Calc_오픈정렬!$F28="",Calc_오픈정렬!BJ28=""),"",Calc_오픈정렬!BJ28/Calc_오픈정렬!$F28*100)</f>
        <v/>
      </c>
      <c r="BK28" t="str">
        <f>IF(OR(Calc_오픈정렬!$F28="",Calc_오픈정렬!BK28=""),"",Calc_오픈정렬!BK28/Calc_오픈정렬!$F28*100)</f>
        <v/>
      </c>
      <c r="BL28" t="str">
        <f>IF(OR(Calc_오픈정렬!$F28="",Calc_오픈정렬!BL28=""),"",Calc_오픈정렬!BL28/Calc_오픈정렬!$F28*100)</f>
        <v/>
      </c>
      <c r="BM28" t="str">
        <f>IF(OR(Calc_오픈정렬!$F28="",Calc_오픈정렬!BM28=""),"",Calc_오픈정렬!BM28/Calc_오픈정렬!$F28*100)</f>
        <v/>
      </c>
      <c r="BN28" t="str">
        <f>IF(OR(Calc_오픈정렬!$F28="",Calc_오픈정렬!BN28=""),"",Calc_오픈정렬!BN28/Calc_오픈정렬!$F28*100)</f>
        <v/>
      </c>
    </row>
    <row r="29" spans="1:66" x14ac:dyDescent="0.4">
      <c r="A29" t="str">
        <f>Calc_오픈정렬!A29</f>
        <v>(1015) #사당점</v>
      </c>
      <c r="B29" t="str">
        <f>Calc_오픈정렬!B29</f>
        <v>150-1</v>
      </c>
      <c r="C29">
        <f>Calc_오픈정렬!C29</f>
        <v>1</v>
      </c>
      <c r="D29" t="str">
        <f>Calc_오픈정렬!D29</f>
        <v>1</v>
      </c>
      <c r="E29" s="1">
        <f>Calc_오픈정렬!E29</f>
        <v>44166</v>
      </c>
      <c r="F29" t="str">
        <f>Calc_오픈정렬!F29</f>
        <v/>
      </c>
      <c r="G29" t="str">
        <f>IF(OR(Calc_오픈정렬!$F29="",Calc_오픈정렬!G29=""),"",Calc_오픈정렬!G29/Calc_오픈정렬!$F29*100)</f>
        <v/>
      </c>
      <c r="H29" t="str">
        <f>IF(OR(Calc_오픈정렬!$F29="",Calc_오픈정렬!H29=""),"",Calc_오픈정렬!H29/Calc_오픈정렬!$F29*100)</f>
        <v/>
      </c>
      <c r="I29" t="str">
        <f>IF(OR(Calc_오픈정렬!$F29="",Calc_오픈정렬!I29=""),"",Calc_오픈정렬!I29/Calc_오픈정렬!$F29*100)</f>
        <v/>
      </c>
      <c r="J29" t="str">
        <f>IF(OR(Calc_오픈정렬!$F29="",Calc_오픈정렬!J29=""),"",Calc_오픈정렬!J29/Calc_오픈정렬!$F29*100)</f>
        <v/>
      </c>
      <c r="K29" t="str">
        <f>IF(OR(Calc_오픈정렬!$F29="",Calc_오픈정렬!K29=""),"",Calc_오픈정렬!K29/Calc_오픈정렬!$F29*100)</f>
        <v/>
      </c>
      <c r="L29" t="str">
        <f>IF(OR(Calc_오픈정렬!$F29="",Calc_오픈정렬!L29=""),"",Calc_오픈정렬!L29/Calc_오픈정렬!$F29*100)</f>
        <v/>
      </c>
      <c r="M29" t="str">
        <f>IF(OR(Calc_오픈정렬!$F29="",Calc_오픈정렬!M29=""),"",Calc_오픈정렬!M29/Calc_오픈정렬!$F29*100)</f>
        <v/>
      </c>
      <c r="N29" t="str">
        <f>IF(OR(Calc_오픈정렬!$F29="",Calc_오픈정렬!N29=""),"",Calc_오픈정렬!N29/Calc_오픈정렬!$F29*100)</f>
        <v/>
      </c>
      <c r="O29" t="str">
        <f>IF(OR(Calc_오픈정렬!$F29="",Calc_오픈정렬!O29=""),"",Calc_오픈정렬!O29/Calc_오픈정렬!$F29*100)</f>
        <v/>
      </c>
      <c r="P29" t="str">
        <f>IF(OR(Calc_오픈정렬!$F29="",Calc_오픈정렬!P29=""),"",Calc_오픈정렬!P29/Calc_오픈정렬!$F29*100)</f>
        <v/>
      </c>
      <c r="Q29" t="str">
        <f>IF(OR(Calc_오픈정렬!$F29="",Calc_오픈정렬!Q29=""),"",Calc_오픈정렬!Q29/Calc_오픈정렬!$F29*100)</f>
        <v/>
      </c>
      <c r="R29" t="str">
        <f>IF(OR(Calc_오픈정렬!$F29="",Calc_오픈정렬!R29=""),"",Calc_오픈정렬!R29/Calc_오픈정렬!$F29*100)</f>
        <v/>
      </c>
      <c r="S29" t="str">
        <f>IF(OR(Calc_오픈정렬!$F29="",Calc_오픈정렬!S29=""),"",Calc_오픈정렬!S29/Calc_오픈정렬!$F29*100)</f>
        <v/>
      </c>
      <c r="T29" t="str">
        <f>IF(OR(Calc_오픈정렬!$F29="",Calc_오픈정렬!T29=""),"",Calc_오픈정렬!T29/Calc_오픈정렬!$F29*100)</f>
        <v/>
      </c>
      <c r="U29" t="str">
        <f>IF(OR(Calc_오픈정렬!$F29="",Calc_오픈정렬!U29=""),"",Calc_오픈정렬!U29/Calc_오픈정렬!$F29*100)</f>
        <v/>
      </c>
      <c r="V29" t="str">
        <f>IF(OR(Calc_오픈정렬!$F29="",Calc_오픈정렬!V29=""),"",Calc_오픈정렬!V29/Calc_오픈정렬!$F29*100)</f>
        <v/>
      </c>
      <c r="W29" t="str">
        <f>IF(OR(Calc_오픈정렬!$F29="",Calc_오픈정렬!W29=""),"",Calc_오픈정렬!W29/Calc_오픈정렬!$F29*100)</f>
        <v/>
      </c>
      <c r="X29" t="str">
        <f>IF(OR(Calc_오픈정렬!$F29="",Calc_오픈정렬!X29=""),"",Calc_오픈정렬!X29/Calc_오픈정렬!$F29*100)</f>
        <v/>
      </c>
      <c r="Y29" t="str">
        <f>IF(OR(Calc_오픈정렬!$F29="",Calc_오픈정렬!Y29=""),"",Calc_오픈정렬!Y29/Calc_오픈정렬!$F29*100)</f>
        <v/>
      </c>
      <c r="Z29" t="str">
        <f>IF(OR(Calc_오픈정렬!$F29="",Calc_오픈정렬!Z29=""),"",Calc_오픈정렬!Z29/Calc_오픈정렬!$F29*100)</f>
        <v/>
      </c>
      <c r="AA29" t="str">
        <f>IF(OR(Calc_오픈정렬!$F29="",Calc_오픈정렬!AA29=""),"",Calc_오픈정렬!AA29/Calc_오픈정렬!$F29*100)</f>
        <v/>
      </c>
      <c r="AB29" t="str">
        <f>IF(OR(Calc_오픈정렬!$F29="",Calc_오픈정렬!AB29=""),"",Calc_오픈정렬!AB29/Calc_오픈정렬!$F29*100)</f>
        <v/>
      </c>
      <c r="AC29" t="str">
        <f>IF(OR(Calc_오픈정렬!$F29="",Calc_오픈정렬!AC29=""),"",Calc_오픈정렬!AC29/Calc_오픈정렬!$F29*100)</f>
        <v/>
      </c>
      <c r="AD29" t="str">
        <f>IF(OR(Calc_오픈정렬!$F29="",Calc_오픈정렬!AD29=""),"",Calc_오픈정렬!AD29/Calc_오픈정렬!$F29*100)</f>
        <v/>
      </c>
      <c r="AE29" t="str">
        <f>IF(OR(Calc_오픈정렬!$F29="",Calc_오픈정렬!AE29=""),"",Calc_오픈정렬!AE29/Calc_오픈정렬!$F29*100)</f>
        <v/>
      </c>
      <c r="AF29" t="str">
        <f>IF(OR(Calc_오픈정렬!$F29="",Calc_오픈정렬!AF29=""),"",Calc_오픈정렬!AF29/Calc_오픈정렬!$F29*100)</f>
        <v/>
      </c>
      <c r="AG29" t="str">
        <f>IF(OR(Calc_오픈정렬!$F29="",Calc_오픈정렬!AG29=""),"",Calc_오픈정렬!AG29/Calc_오픈정렬!$F29*100)</f>
        <v/>
      </c>
      <c r="AH29" t="str">
        <f>IF(OR(Calc_오픈정렬!$F29="",Calc_오픈정렬!AH29=""),"",Calc_오픈정렬!AH29/Calc_오픈정렬!$F29*100)</f>
        <v/>
      </c>
      <c r="AI29" t="str">
        <f>IF(OR(Calc_오픈정렬!$F29="",Calc_오픈정렬!AI29=""),"",Calc_오픈정렬!AI29/Calc_오픈정렬!$F29*100)</f>
        <v/>
      </c>
      <c r="AJ29" t="str">
        <f>IF(OR(Calc_오픈정렬!$F29="",Calc_오픈정렬!AJ29=""),"",Calc_오픈정렬!AJ29/Calc_오픈정렬!$F29*100)</f>
        <v/>
      </c>
      <c r="AK29" t="str">
        <f>IF(OR(Calc_오픈정렬!$F29="",Calc_오픈정렬!AK29=""),"",Calc_오픈정렬!AK29/Calc_오픈정렬!$F29*100)</f>
        <v/>
      </c>
      <c r="AL29" t="str">
        <f>IF(OR(Calc_오픈정렬!$F29="",Calc_오픈정렬!AL29=""),"",Calc_오픈정렬!AL29/Calc_오픈정렬!$F29*100)</f>
        <v/>
      </c>
      <c r="AM29" t="str">
        <f>IF(OR(Calc_오픈정렬!$F29="",Calc_오픈정렬!AM29=""),"",Calc_오픈정렬!AM29/Calc_오픈정렬!$F29*100)</f>
        <v/>
      </c>
      <c r="AN29" t="str">
        <f>IF(OR(Calc_오픈정렬!$F29="",Calc_오픈정렬!AN29=""),"",Calc_오픈정렬!AN29/Calc_오픈정렬!$F29*100)</f>
        <v/>
      </c>
      <c r="AO29" t="str">
        <f>IF(OR(Calc_오픈정렬!$F29="",Calc_오픈정렬!AO29=""),"",Calc_오픈정렬!AO29/Calc_오픈정렬!$F29*100)</f>
        <v/>
      </c>
      <c r="AP29" t="str">
        <f>IF(OR(Calc_오픈정렬!$F29="",Calc_오픈정렬!AP29=""),"",Calc_오픈정렬!AP29/Calc_오픈정렬!$F29*100)</f>
        <v/>
      </c>
      <c r="AQ29" t="str">
        <f>IF(OR(Calc_오픈정렬!$F29="",Calc_오픈정렬!AQ29=""),"",Calc_오픈정렬!AQ29/Calc_오픈정렬!$F29*100)</f>
        <v/>
      </c>
      <c r="AR29" t="str">
        <f>IF(OR(Calc_오픈정렬!$F29="",Calc_오픈정렬!AR29=""),"",Calc_오픈정렬!AR29/Calc_오픈정렬!$F29*100)</f>
        <v/>
      </c>
      <c r="AS29" t="str">
        <f>IF(OR(Calc_오픈정렬!$F29="",Calc_오픈정렬!AS29=""),"",Calc_오픈정렬!AS29/Calc_오픈정렬!$F29*100)</f>
        <v/>
      </c>
      <c r="AT29" t="str">
        <f>IF(OR(Calc_오픈정렬!$F29="",Calc_오픈정렬!AT29=""),"",Calc_오픈정렬!AT29/Calc_오픈정렬!$F29*100)</f>
        <v/>
      </c>
      <c r="AU29" t="str">
        <f>IF(OR(Calc_오픈정렬!$F29="",Calc_오픈정렬!AU29=""),"",Calc_오픈정렬!AU29/Calc_오픈정렬!$F29*100)</f>
        <v/>
      </c>
      <c r="AV29" t="str">
        <f>IF(OR(Calc_오픈정렬!$F29="",Calc_오픈정렬!AV29=""),"",Calc_오픈정렬!AV29/Calc_오픈정렬!$F29*100)</f>
        <v/>
      </c>
      <c r="AW29" t="str">
        <f>IF(OR(Calc_오픈정렬!$F29="",Calc_오픈정렬!AW29=""),"",Calc_오픈정렬!AW29/Calc_오픈정렬!$F29*100)</f>
        <v/>
      </c>
      <c r="AX29" t="str">
        <f>IF(OR(Calc_오픈정렬!$F29="",Calc_오픈정렬!AX29=""),"",Calc_오픈정렬!AX29/Calc_오픈정렬!$F29*100)</f>
        <v/>
      </c>
      <c r="AY29" t="str">
        <f>IF(OR(Calc_오픈정렬!$F29="",Calc_오픈정렬!AY29=""),"",Calc_오픈정렬!AY29/Calc_오픈정렬!$F29*100)</f>
        <v/>
      </c>
      <c r="AZ29" t="str">
        <f>IF(OR(Calc_오픈정렬!$F29="",Calc_오픈정렬!AZ29=""),"",Calc_오픈정렬!AZ29/Calc_오픈정렬!$F29*100)</f>
        <v/>
      </c>
      <c r="BA29" t="str">
        <f>IF(OR(Calc_오픈정렬!$F29="",Calc_오픈정렬!BA29=""),"",Calc_오픈정렬!BA29/Calc_오픈정렬!$F29*100)</f>
        <v/>
      </c>
      <c r="BB29" t="str">
        <f>IF(OR(Calc_오픈정렬!$F29="",Calc_오픈정렬!BB29=""),"",Calc_오픈정렬!BB29/Calc_오픈정렬!$F29*100)</f>
        <v/>
      </c>
      <c r="BC29" t="str">
        <f>IF(OR(Calc_오픈정렬!$F29="",Calc_오픈정렬!BC29=""),"",Calc_오픈정렬!BC29/Calc_오픈정렬!$F29*100)</f>
        <v/>
      </c>
      <c r="BD29" t="str">
        <f>IF(OR(Calc_오픈정렬!$F29="",Calc_오픈정렬!BD29=""),"",Calc_오픈정렬!BD29/Calc_오픈정렬!$F29*100)</f>
        <v/>
      </c>
      <c r="BE29" t="str">
        <f>IF(OR(Calc_오픈정렬!$F29="",Calc_오픈정렬!BE29=""),"",Calc_오픈정렬!BE29/Calc_오픈정렬!$F29*100)</f>
        <v/>
      </c>
      <c r="BF29" t="str">
        <f>IF(OR(Calc_오픈정렬!$F29="",Calc_오픈정렬!BF29=""),"",Calc_오픈정렬!BF29/Calc_오픈정렬!$F29*100)</f>
        <v/>
      </c>
      <c r="BG29" t="str">
        <f>IF(OR(Calc_오픈정렬!$F29="",Calc_오픈정렬!BG29=""),"",Calc_오픈정렬!BG29/Calc_오픈정렬!$F29*100)</f>
        <v/>
      </c>
      <c r="BH29" t="str">
        <f>IF(OR(Calc_오픈정렬!$F29="",Calc_오픈정렬!BH29=""),"",Calc_오픈정렬!BH29/Calc_오픈정렬!$F29*100)</f>
        <v/>
      </c>
      <c r="BI29" t="str">
        <f>IF(OR(Calc_오픈정렬!$F29="",Calc_오픈정렬!BI29=""),"",Calc_오픈정렬!BI29/Calc_오픈정렬!$F29*100)</f>
        <v/>
      </c>
      <c r="BJ29" t="str">
        <f>IF(OR(Calc_오픈정렬!$F29="",Calc_오픈정렬!BJ29=""),"",Calc_오픈정렬!BJ29/Calc_오픈정렬!$F29*100)</f>
        <v/>
      </c>
      <c r="BK29" t="str">
        <f>IF(OR(Calc_오픈정렬!$F29="",Calc_오픈정렬!BK29=""),"",Calc_오픈정렬!BK29/Calc_오픈정렬!$F29*100)</f>
        <v/>
      </c>
      <c r="BL29" t="str">
        <f>IF(OR(Calc_오픈정렬!$F29="",Calc_오픈정렬!BL29=""),"",Calc_오픈정렬!BL29/Calc_오픈정렬!$F29*100)</f>
        <v/>
      </c>
      <c r="BM29" t="str">
        <f>IF(OR(Calc_오픈정렬!$F29="",Calc_오픈정렬!BM29=""),"",Calc_오픈정렬!BM29/Calc_오픈정렬!$F29*100)</f>
        <v/>
      </c>
      <c r="BN29" t="str">
        <f>IF(OR(Calc_오픈정렬!$F29="",Calc_오픈정렬!BN29=""),"",Calc_오픈정렬!BN29/Calc_오픈정렬!$F29*100)</f>
        <v/>
      </c>
    </row>
    <row r="30" spans="1:66" x14ac:dyDescent="0.4">
      <c r="A30" t="str">
        <f>Calc_오픈정렬!A30</f>
        <v>(1016) #가산점</v>
      </c>
      <c r="B30" t="str">
        <f>Calc_오픈정렬!B30</f>
        <v>150-2</v>
      </c>
      <c r="C30">
        <f>Calc_오픈정렬!C30</f>
        <v>2</v>
      </c>
      <c r="D30" t="str">
        <f>Calc_오픈정렬!D30</f>
        <v>2</v>
      </c>
      <c r="E30" s="1">
        <f>Calc_오픈정렬!E30</f>
        <v>44197</v>
      </c>
      <c r="F30" t="str">
        <f>Calc_오픈정렬!F30</f>
        <v/>
      </c>
      <c r="G30" t="str">
        <f>IF(OR(Calc_오픈정렬!$F30="",Calc_오픈정렬!G30=""),"",Calc_오픈정렬!G30/Calc_오픈정렬!$F30*100)</f>
        <v/>
      </c>
      <c r="H30" t="str">
        <f>IF(OR(Calc_오픈정렬!$F30="",Calc_오픈정렬!H30=""),"",Calc_오픈정렬!H30/Calc_오픈정렬!$F30*100)</f>
        <v/>
      </c>
      <c r="I30" t="str">
        <f>IF(OR(Calc_오픈정렬!$F30="",Calc_오픈정렬!I30=""),"",Calc_오픈정렬!I30/Calc_오픈정렬!$F30*100)</f>
        <v/>
      </c>
      <c r="J30" t="str">
        <f>IF(OR(Calc_오픈정렬!$F30="",Calc_오픈정렬!J30=""),"",Calc_오픈정렬!J30/Calc_오픈정렬!$F30*100)</f>
        <v/>
      </c>
      <c r="K30" t="str">
        <f>IF(OR(Calc_오픈정렬!$F30="",Calc_오픈정렬!K30=""),"",Calc_오픈정렬!K30/Calc_오픈정렬!$F30*100)</f>
        <v/>
      </c>
      <c r="L30" t="str">
        <f>IF(OR(Calc_오픈정렬!$F30="",Calc_오픈정렬!L30=""),"",Calc_오픈정렬!L30/Calc_오픈정렬!$F30*100)</f>
        <v/>
      </c>
      <c r="M30" t="str">
        <f>IF(OR(Calc_오픈정렬!$F30="",Calc_오픈정렬!M30=""),"",Calc_오픈정렬!M30/Calc_오픈정렬!$F30*100)</f>
        <v/>
      </c>
      <c r="N30" t="str">
        <f>IF(OR(Calc_오픈정렬!$F30="",Calc_오픈정렬!N30=""),"",Calc_오픈정렬!N30/Calc_오픈정렬!$F30*100)</f>
        <v/>
      </c>
      <c r="O30" t="str">
        <f>IF(OR(Calc_오픈정렬!$F30="",Calc_오픈정렬!O30=""),"",Calc_오픈정렬!O30/Calc_오픈정렬!$F30*100)</f>
        <v/>
      </c>
      <c r="P30" t="str">
        <f>IF(OR(Calc_오픈정렬!$F30="",Calc_오픈정렬!P30=""),"",Calc_오픈정렬!P30/Calc_오픈정렬!$F30*100)</f>
        <v/>
      </c>
      <c r="Q30" t="str">
        <f>IF(OR(Calc_오픈정렬!$F30="",Calc_오픈정렬!Q30=""),"",Calc_오픈정렬!Q30/Calc_오픈정렬!$F30*100)</f>
        <v/>
      </c>
      <c r="R30" t="str">
        <f>IF(OR(Calc_오픈정렬!$F30="",Calc_오픈정렬!R30=""),"",Calc_오픈정렬!R30/Calc_오픈정렬!$F30*100)</f>
        <v/>
      </c>
      <c r="S30" t="str">
        <f>IF(OR(Calc_오픈정렬!$F30="",Calc_오픈정렬!S30=""),"",Calc_오픈정렬!S30/Calc_오픈정렬!$F30*100)</f>
        <v/>
      </c>
      <c r="T30" t="str">
        <f>IF(OR(Calc_오픈정렬!$F30="",Calc_오픈정렬!T30=""),"",Calc_오픈정렬!T30/Calc_오픈정렬!$F30*100)</f>
        <v/>
      </c>
      <c r="U30" t="str">
        <f>IF(OR(Calc_오픈정렬!$F30="",Calc_오픈정렬!U30=""),"",Calc_오픈정렬!U30/Calc_오픈정렬!$F30*100)</f>
        <v/>
      </c>
      <c r="V30" t="str">
        <f>IF(OR(Calc_오픈정렬!$F30="",Calc_오픈정렬!V30=""),"",Calc_오픈정렬!V30/Calc_오픈정렬!$F30*100)</f>
        <v/>
      </c>
      <c r="W30" t="str">
        <f>IF(OR(Calc_오픈정렬!$F30="",Calc_오픈정렬!W30=""),"",Calc_오픈정렬!W30/Calc_오픈정렬!$F30*100)</f>
        <v/>
      </c>
      <c r="X30" t="str">
        <f>IF(OR(Calc_오픈정렬!$F30="",Calc_오픈정렬!X30=""),"",Calc_오픈정렬!X30/Calc_오픈정렬!$F30*100)</f>
        <v/>
      </c>
      <c r="Y30" t="str">
        <f>IF(OR(Calc_오픈정렬!$F30="",Calc_오픈정렬!Y30=""),"",Calc_오픈정렬!Y30/Calc_오픈정렬!$F30*100)</f>
        <v/>
      </c>
      <c r="Z30" t="str">
        <f>IF(OR(Calc_오픈정렬!$F30="",Calc_오픈정렬!Z30=""),"",Calc_오픈정렬!Z30/Calc_오픈정렬!$F30*100)</f>
        <v/>
      </c>
      <c r="AA30" t="str">
        <f>IF(OR(Calc_오픈정렬!$F30="",Calc_오픈정렬!AA30=""),"",Calc_오픈정렬!AA30/Calc_오픈정렬!$F30*100)</f>
        <v/>
      </c>
      <c r="AB30" t="str">
        <f>IF(OR(Calc_오픈정렬!$F30="",Calc_오픈정렬!AB30=""),"",Calc_오픈정렬!AB30/Calc_오픈정렬!$F30*100)</f>
        <v/>
      </c>
      <c r="AC30" t="str">
        <f>IF(OR(Calc_오픈정렬!$F30="",Calc_오픈정렬!AC30=""),"",Calc_오픈정렬!AC30/Calc_오픈정렬!$F30*100)</f>
        <v/>
      </c>
      <c r="AD30" t="str">
        <f>IF(OR(Calc_오픈정렬!$F30="",Calc_오픈정렬!AD30=""),"",Calc_오픈정렬!AD30/Calc_오픈정렬!$F30*100)</f>
        <v/>
      </c>
      <c r="AE30" t="str">
        <f>IF(OR(Calc_오픈정렬!$F30="",Calc_오픈정렬!AE30=""),"",Calc_오픈정렬!AE30/Calc_오픈정렬!$F30*100)</f>
        <v/>
      </c>
      <c r="AF30" t="str">
        <f>IF(OR(Calc_오픈정렬!$F30="",Calc_오픈정렬!AF30=""),"",Calc_오픈정렬!AF30/Calc_오픈정렬!$F30*100)</f>
        <v/>
      </c>
      <c r="AG30" t="str">
        <f>IF(OR(Calc_오픈정렬!$F30="",Calc_오픈정렬!AG30=""),"",Calc_오픈정렬!AG30/Calc_오픈정렬!$F30*100)</f>
        <v/>
      </c>
      <c r="AH30" t="str">
        <f>IF(OR(Calc_오픈정렬!$F30="",Calc_오픈정렬!AH30=""),"",Calc_오픈정렬!AH30/Calc_오픈정렬!$F30*100)</f>
        <v/>
      </c>
      <c r="AI30" t="str">
        <f>IF(OR(Calc_오픈정렬!$F30="",Calc_오픈정렬!AI30=""),"",Calc_오픈정렬!AI30/Calc_오픈정렬!$F30*100)</f>
        <v/>
      </c>
      <c r="AJ30" t="str">
        <f>IF(OR(Calc_오픈정렬!$F30="",Calc_오픈정렬!AJ30=""),"",Calc_오픈정렬!AJ30/Calc_오픈정렬!$F30*100)</f>
        <v/>
      </c>
      <c r="AK30" t="str">
        <f>IF(OR(Calc_오픈정렬!$F30="",Calc_오픈정렬!AK30=""),"",Calc_오픈정렬!AK30/Calc_오픈정렬!$F30*100)</f>
        <v/>
      </c>
      <c r="AL30" t="str">
        <f>IF(OR(Calc_오픈정렬!$F30="",Calc_오픈정렬!AL30=""),"",Calc_오픈정렬!AL30/Calc_오픈정렬!$F30*100)</f>
        <v/>
      </c>
      <c r="AM30" t="str">
        <f>IF(OR(Calc_오픈정렬!$F30="",Calc_오픈정렬!AM30=""),"",Calc_오픈정렬!AM30/Calc_오픈정렬!$F30*100)</f>
        <v/>
      </c>
      <c r="AN30" t="str">
        <f>IF(OR(Calc_오픈정렬!$F30="",Calc_오픈정렬!AN30=""),"",Calc_오픈정렬!AN30/Calc_오픈정렬!$F30*100)</f>
        <v/>
      </c>
      <c r="AO30" t="str">
        <f>IF(OR(Calc_오픈정렬!$F30="",Calc_오픈정렬!AO30=""),"",Calc_오픈정렬!AO30/Calc_오픈정렬!$F30*100)</f>
        <v/>
      </c>
      <c r="AP30" t="str">
        <f>IF(OR(Calc_오픈정렬!$F30="",Calc_오픈정렬!AP30=""),"",Calc_오픈정렬!AP30/Calc_오픈정렬!$F30*100)</f>
        <v/>
      </c>
      <c r="AQ30" t="str">
        <f>IF(OR(Calc_오픈정렬!$F30="",Calc_오픈정렬!AQ30=""),"",Calc_오픈정렬!AQ30/Calc_오픈정렬!$F30*100)</f>
        <v/>
      </c>
      <c r="AR30" t="str">
        <f>IF(OR(Calc_오픈정렬!$F30="",Calc_오픈정렬!AR30=""),"",Calc_오픈정렬!AR30/Calc_오픈정렬!$F30*100)</f>
        <v/>
      </c>
      <c r="AS30" t="str">
        <f>IF(OR(Calc_오픈정렬!$F30="",Calc_오픈정렬!AS30=""),"",Calc_오픈정렬!AS30/Calc_오픈정렬!$F30*100)</f>
        <v/>
      </c>
      <c r="AT30" t="str">
        <f>IF(OR(Calc_오픈정렬!$F30="",Calc_오픈정렬!AT30=""),"",Calc_오픈정렬!AT30/Calc_오픈정렬!$F30*100)</f>
        <v/>
      </c>
      <c r="AU30" t="str">
        <f>IF(OR(Calc_오픈정렬!$F30="",Calc_오픈정렬!AU30=""),"",Calc_오픈정렬!AU30/Calc_오픈정렬!$F30*100)</f>
        <v/>
      </c>
      <c r="AV30" t="str">
        <f>IF(OR(Calc_오픈정렬!$F30="",Calc_오픈정렬!AV30=""),"",Calc_오픈정렬!AV30/Calc_오픈정렬!$F30*100)</f>
        <v/>
      </c>
      <c r="AW30" t="str">
        <f>IF(OR(Calc_오픈정렬!$F30="",Calc_오픈정렬!AW30=""),"",Calc_오픈정렬!AW30/Calc_오픈정렬!$F30*100)</f>
        <v/>
      </c>
      <c r="AX30" t="str">
        <f>IF(OR(Calc_오픈정렬!$F30="",Calc_오픈정렬!AX30=""),"",Calc_오픈정렬!AX30/Calc_오픈정렬!$F30*100)</f>
        <v/>
      </c>
      <c r="AY30" t="str">
        <f>IF(OR(Calc_오픈정렬!$F30="",Calc_오픈정렬!AY30=""),"",Calc_오픈정렬!AY30/Calc_오픈정렬!$F30*100)</f>
        <v/>
      </c>
      <c r="AZ30" t="str">
        <f>IF(OR(Calc_오픈정렬!$F30="",Calc_오픈정렬!AZ30=""),"",Calc_오픈정렬!AZ30/Calc_오픈정렬!$F30*100)</f>
        <v/>
      </c>
      <c r="BA30" t="str">
        <f>IF(OR(Calc_오픈정렬!$F30="",Calc_오픈정렬!BA30=""),"",Calc_오픈정렬!BA30/Calc_오픈정렬!$F30*100)</f>
        <v/>
      </c>
      <c r="BB30" t="str">
        <f>IF(OR(Calc_오픈정렬!$F30="",Calc_오픈정렬!BB30=""),"",Calc_오픈정렬!BB30/Calc_오픈정렬!$F30*100)</f>
        <v/>
      </c>
      <c r="BC30" t="str">
        <f>IF(OR(Calc_오픈정렬!$F30="",Calc_오픈정렬!BC30=""),"",Calc_오픈정렬!BC30/Calc_오픈정렬!$F30*100)</f>
        <v/>
      </c>
      <c r="BD30" t="str">
        <f>IF(OR(Calc_오픈정렬!$F30="",Calc_오픈정렬!BD30=""),"",Calc_오픈정렬!BD30/Calc_오픈정렬!$F30*100)</f>
        <v/>
      </c>
      <c r="BE30" t="str">
        <f>IF(OR(Calc_오픈정렬!$F30="",Calc_오픈정렬!BE30=""),"",Calc_오픈정렬!BE30/Calc_오픈정렬!$F30*100)</f>
        <v/>
      </c>
      <c r="BF30" t="str">
        <f>IF(OR(Calc_오픈정렬!$F30="",Calc_오픈정렬!BF30=""),"",Calc_오픈정렬!BF30/Calc_오픈정렬!$F30*100)</f>
        <v/>
      </c>
      <c r="BG30" t="str">
        <f>IF(OR(Calc_오픈정렬!$F30="",Calc_오픈정렬!BG30=""),"",Calc_오픈정렬!BG30/Calc_오픈정렬!$F30*100)</f>
        <v/>
      </c>
      <c r="BH30" t="str">
        <f>IF(OR(Calc_오픈정렬!$F30="",Calc_오픈정렬!BH30=""),"",Calc_오픈정렬!BH30/Calc_오픈정렬!$F30*100)</f>
        <v/>
      </c>
      <c r="BI30" t="str">
        <f>IF(OR(Calc_오픈정렬!$F30="",Calc_오픈정렬!BI30=""),"",Calc_오픈정렬!BI30/Calc_오픈정렬!$F30*100)</f>
        <v/>
      </c>
      <c r="BJ30" t="str">
        <f>IF(OR(Calc_오픈정렬!$F30="",Calc_오픈정렬!BJ30=""),"",Calc_오픈정렬!BJ30/Calc_오픈정렬!$F30*100)</f>
        <v/>
      </c>
      <c r="BK30" t="str">
        <f>IF(OR(Calc_오픈정렬!$F30="",Calc_오픈정렬!BK30=""),"",Calc_오픈정렬!BK30/Calc_오픈정렬!$F30*100)</f>
        <v/>
      </c>
      <c r="BL30" t="str">
        <f>IF(OR(Calc_오픈정렬!$F30="",Calc_오픈정렬!BL30=""),"",Calc_오픈정렬!BL30/Calc_오픈정렬!$F30*100)</f>
        <v/>
      </c>
      <c r="BM30" t="str">
        <f>IF(OR(Calc_오픈정렬!$F30="",Calc_오픈정렬!BM30=""),"",Calc_오픈정렬!BM30/Calc_오픈정렬!$F30*100)</f>
        <v/>
      </c>
      <c r="BN30" t="str">
        <f>IF(OR(Calc_오픈정렬!$F30="",Calc_오픈정렬!BN30=""),"",Calc_오픈정렬!BN30/Calc_오픈정렬!$F30*100)</f>
        <v/>
      </c>
    </row>
    <row r="31" spans="1:66" x14ac:dyDescent="0.4">
      <c r="A31" t="str">
        <f>Calc_오픈정렬!A31</f>
        <v>(1019) #청룡점</v>
      </c>
      <c r="B31" t="str">
        <f>Calc_오픈정렬!B31</f>
        <v>150-3</v>
      </c>
      <c r="C31">
        <f>Calc_오픈정렬!C31</f>
        <v>3</v>
      </c>
      <c r="D31" t="str">
        <f>Calc_오픈정렬!D31</f>
        <v>3+</v>
      </c>
      <c r="E31" s="1">
        <f>Calc_오픈정렬!E31</f>
        <v>44256</v>
      </c>
      <c r="F31" t="str">
        <f>Calc_오픈정렬!F31</f>
        <v/>
      </c>
      <c r="G31" t="str">
        <f>IF(OR(Calc_오픈정렬!$F31="",Calc_오픈정렬!G31=""),"",Calc_오픈정렬!G31/Calc_오픈정렬!$F31*100)</f>
        <v/>
      </c>
      <c r="H31" t="str">
        <f>IF(OR(Calc_오픈정렬!$F31="",Calc_오픈정렬!H31=""),"",Calc_오픈정렬!H31/Calc_오픈정렬!$F31*100)</f>
        <v/>
      </c>
      <c r="I31" t="str">
        <f>IF(OR(Calc_오픈정렬!$F31="",Calc_오픈정렬!I31=""),"",Calc_오픈정렬!I31/Calc_오픈정렬!$F31*100)</f>
        <v/>
      </c>
      <c r="J31" t="str">
        <f>IF(OR(Calc_오픈정렬!$F31="",Calc_오픈정렬!J31=""),"",Calc_오픈정렬!J31/Calc_오픈정렬!$F31*100)</f>
        <v/>
      </c>
      <c r="K31" t="str">
        <f>IF(OR(Calc_오픈정렬!$F31="",Calc_오픈정렬!K31=""),"",Calc_오픈정렬!K31/Calc_오픈정렬!$F31*100)</f>
        <v/>
      </c>
      <c r="L31" t="str">
        <f>IF(OR(Calc_오픈정렬!$F31="",Calc_오픈정렬!L31=""),"",Calc_오픈정렬!L31/Calc_오픈정렬!$F31*100)</f>
        <v/>
      </c>
      <c r="M31" t="str">
        <f>IF(OR(Calc_오픈정렬!$F31="",Calc_오픈정렬!M31=""),"",Calc_오픈정렬!M31/Calc_오픈정렬!$F31*100)</f>
        <v/>
      </c>
      <c r="N31" t="str">
        <f>IF(OR(Calc_오픈정렬!$F31="",Calc_오픈정렬!N31=""),"",Calc_오픈정렬!N31/Calc_오픈정렬!$F31*100)</f>
        <v/>
      </c>
      <c r="O31" t="str">
        <f>IF(OR(Calc_오픈정렬!$F31="",Calc_오픈정렬!O31=""),"",Calc_오픈정렬!O31/Calc_오픈정렬!$F31*100)</f>
        <v/>
      </c>
      <c r="P31" t="str">
        <f>IF(OR(Calc_오픈정렬!$F31="",Calc_오픈정렬!P31=""),"",Calc_오픈정렬!P31/Calc_오픈정렬!$F31*100)</f>
        <v/>
      </c>
      <c r="Q31" t="str">
        <f>IF(OR(Calc_오픈정렬!$F31="",Calc_오픈정렬!Q31=""),"",Calc_오픈정렬!Q31/Calc_오픈정렬!$F31*100)</f>
        <v/>
      </c>
      <c r="R31" t="str">
        <f>IF(OR(Calc_오픈정렬!$F31="",Calc_오픈정렬!R31=""),"",Calc_오픈정렬!R31/Calc_오픈정렬!$F31*100)</f>
        <v/>
      </c>
      <c r="S31" t="str">
        <f>IF(OR(Calc_오픈정렬!$F31="",Calc_오픈정렬!S31=""),"",Calc_오픈정렬!S31/Calc_오픈정렬!$F31*100)</f>
        <v/>
      </c>
      <c r="T31" t="str">
        <f>IF(OR(Calc_오픈정렬!$F31="",Calc_오픈정렬!T31=""),"",Calc_오픈정렬!T31/Calc_오픈정렬!$F31*100)</f>
        <v/>
      </c>
      <c r="U31" t="str">
        <f>IF(OR(Calc_오픈정렬!$F31="",Calc_오픈정렬!U31=""),"",Calc_오픈정렬!U31/Calc_오픈정렬!$F31*100)</f>
        <v/>
      </c>
      <c r="V31" t="str">
        <f>IF(OR(Calc_오픈정렬!$F31="",Calc_오픈정렬!V31=""),"",Calc_오픈정렬!V31/Calc_오픈정렬!$F31*100)</f>
        <v/>
      </c>
      <c r="W31" t="str">
        <f>IF(OR(Calc_오픈정렬!$F31="",Calc_오픈정렬!W31=""),"",Calc_오픈정렬!W31/Calc_오픈정렬!$F31*100)</f>
        <v/>
      </c>
      <c r="X31" t="str">
        <f>IF(OR(Calc_오픈정렬!$F31="",Calc_오픈정렬!X31=""),"",Calc_오픈정렬!X31/Calc_오픈정렬!$F31*100)</f>
        <v/>
      </c>
      <c r="Y31" t="str">
        <f>IF(OR(Calc_오픈정렬!$F31="",Calc_오픈정렬!Y31=""),"",Calc_오픈정렬!Y31/Calc_오픈정렬!$F31*100)</f>
        <v/>
      </c>
      <c r="Z31" t="str">
        <f>IF(OR(Calc_오픈정렬!$F31="",Calc_오픈정렬!Z31=""),"",Calc_오픈정렬!Z31/Calc_오픈정렬!$F31*100)</f>
        <v/>
      </c>
      <c r="AA31" t="str">
        <f>IF(OR(Calc_오픈정렬!$F31="",Calc_오픈정렬!AA31=""),"",Calc_오픈정렬!AA31/Calc_오픈정렬!$F31*100)</f>
        <v/>
      </c>
      <c r="AB31" t="str">
        <f>IF(OR(Calc_오픈정렬!$F31="",Calc_오픈정렬!AB31=""),"",Calc_오픈정렬!AB31/Calc_오픈정렬!$F31*100)</f>
        <v/>
      </c>
      <c r="AC31" t="str">
        <f>IF(OR(Calc_오픈정렬!$F31="",Calc_오픈정렬!AC31=""),"",Calc_오픈정렬!AC31/Calc_오픈정렬!$F31*100)</f>
        <v/>
      </c>
      <c r="AD31" t="str">
        <f>IF(OR(Calc_오픈정렬!$F31="",Calc_오픈정렬!AD31=""),"",Calc_오픈정렬!AD31/Calc_오픈정렬!$F31*100)</f>
        <v/>
      </c>
      <c r="AE31" t="str">
        <f>IF(OR(Calc_오픈정렬!$F31="",Calc_오픈정렬!AE31=""),"",Calc_오픈정렬!AE31/Calc_오픈정렬!$F31*100)</f>
        <v/>
      </c>
      <c r="AF31" t="str">
        <f>IF(OR(Calc_오픈정렬!$F31="",Calc_오픈정렬!AF31=""),"",Calc_오픈정렬!AF31/Calc_오픈정렬!$F31*100)</f>
        <v/>
      </c>
      <c r="AG31" t="str">
        <f>IF(OR(Calc_오픈정렬!$F31="",Calc_오픈정렬!AG31=""),"",Calc_오픈정렬!AG31/Calc_오픈정렬!$F31*100)</f>
        <v/>
      </c>
      <c r="AH31" t="str">
        <f>IF(OR(Calc_오픈정렬!$F31="",Calc_오픈정렬!AH31=""),"",Calc_오픈정렬!AH31/Calc_오픈정렬!$F31*100)</f>
        <v/>
      </c>
      <c r="AI31" t="str">
        <f>IF(OR(Calc_오픈정렬!$F31="",Calc_오픈정렬!AI31=""),"",Calc_오픈정렬!AI31/Calc_오픈정렬!$F31*100)</f>
        <v/>
      </c>
      <c r="AJ31" t="str">
        <f>IF(OR(Calc_오픈정렬!$F31="",Calc_오픈정렬!AJ31=""),"",Calc_오픈정렬!AJ31/Calc_오픈정렬!$F31*100)</f>
        <v/>
      </c>
      <c r="AK31" t="str">
        <f>IF(OR(Calc_오픈정렬!$F31="",Calc_오픈정렬!AK31=""),"",Calc_오픈정렬!AK31/Calc_오픈정렬!$F31*100)</f>
        <v/>
      </c>
      <c r="AL31" t="str">
        <f>IF(OR(Calc_오픈정렬!$F31="",Calc_오픈정렬!AL31=""),"",Calc_오픈정렬!AL31/Calc_오픈정렬!$F31*100)</f>
        <v/>
      </c>
      <c r="AM31" t="str">
        <f>IF(OR(Calc_오픈정렬!$F31="",Calc_오픈정렬!AM31=""),"",Calc_오픈정렬!AM31/Calc_오픈정렬!$F31*100)</f>
        <v/>
      </c>
      <c r="AN31" t="str">
        <f>IF(OR(Calc_오픈정렬!$F31="",Calc_오픈정렬!AN31=""),"",Calc_오픈정렬!AN31/Calc_오픈정렬!$F31*100)</f>
        <v/>
      </c>
      <c r="AO31" t="str">
        <f>IF(OR(Calc_오픈정렬!$F31="",Calc_오픈정렬!AO31=""),"",Calc_오픈정렬!AO31/Calc_오픈정렬!$F31*100)</f>
        <v/>
      </c>
      <c r="AP31" t="str">
        <f>IF(OR(Calc_오픈정렬!$F31="",Calc_오픈정렬!AP31=""),"",Calc_오픈정렬!AP31/Calc_오픈정렬!$F31*100)</f>
        <v/>
      </c>
      <c r="AQ31" t="str">
        <f>IF(OR(Calc_오픈정렬!$F31="",Calc_오픈정렬!AQ31=""),"",Calc_오픈정렬!AQ31/Calc_오픈정렬!$F31*100)</f>
        <v/>
      </c>
      <c r="AR31" t="str">
        <f>IF(OR(Calc_오픈정렬!$F31="",Calc_오픈정렬!AR31=""),"",Calc_오픈정렬!AR31/Calc_오픈정렬!$F31*100)</f>
        <v/>
      </c>
      <c r="AS31" t="str">
        <f>IF(OR(Calc_오픈정렬!$F31="",Calc_오픈정렬!AS31=""),"",Calc_오픈정렬!AS31/Calc_오픈정렬!$F31*100)</f>
        <v/>
      </c>
      <c r="AT31" t="str">
        <f>IF(OR(Calc_오픈정렬!$F31="",Calc_오픈정렬!AT31=""),"",Calc_오픈정렬!AT31/Calc_오픈정렬!$F31*100)</f>
        <v/>
      </c>
      <c r="AU31" t="str">
        <f>IF(OR(Calc_오픈정렬!$F31="",Calc_오픈정렬!AU31=""),"",Calc_오픈정렬!AU31/Calc_오픈정렬!$F31*100)</f>
        <v/>
      </c>
      <c r="AV31" t="str">
        <f>IF(OR(Calc_오픈정렬!$F31="",Calc_오픈정렬!AV31=""),"",Calc_오픈정렬!AV31/Calc_오픈정렬!$F31*100)</f>
        <v/>
      </c>
      <c r="AW31" t="str">
        <f>IF(OR(Calc_오픈정렬!$F31="",Calc_오픈정렬!AW31=""),"",Calc_오픈정렬!AW31/Calc_오픈정렬!$F31*100)</f>
        <v/>
      </c>
      <c r="AX31" t="str">
        <f>IF(OR(Calc_오픈정렬!$F31="",Calc_오픈정렬!AX31=""),"",Calc_오픈정렬!AX31/Calc_오픈정렬!$F31*100)</f>
        <v/>
      </c>
      <c r="AY31" t="str">
        <f>IF(OR(Calc_오픈정렬!$F31="",Calc_오픈정렬!AY31=""),"",Calc_오픈정렬!AY31/Calc_오픈정렬!$F31*100)</f>
        <v/>
      </c>
      <c r="AZ31" t="str">
        <f>IF(OR(Calc_오픈정렬!$F31="",Calc_오픈정렬!AZ31=""),"",Calc_오픈정렬!AZ31/Calc_오픈정렬!$F31*100)</f>
        <v/>
      </c>
      <c r="BA31" t="str">
        <f>IF(OR(Calc_오픈정렬!$F31="",Calc_오픈정렬!BA31=""),"",Calc_오픈정렬!BA31/Calc_오픈정렬!$F31*100)</f>
        <v/>
      </c>
      <c r="BB31" t="str">
        <f>IF(OR(Calc_오픈정렬!$F31="",Calc_오픈정렬!BB31=""),"",Calc_오픈정렬!BB31/Calc_오픈정렬!$F31*100)</f>
        <v/>
      </c>
      <c r="BC31" t="str">
        <f>IF(OR(Calc_오픈정렬!$F31="",Calc_오픈정렬!BC31=""),"",Calc_오픈정렬!BC31/Calc_오픈정렬!$F31*100)</f>
        <v/>
      </c>
      <c r="BD31" t="str">
        <f>IF(OR(Calc_오픈정렬!$F31="",Calc_오픈정렬!BD31=""),"",Calc_오픈정렬!BD31/Calc_오픈정렬!$F31*100)</f>
        <v/>
      </c>
      <c r="BE31" t="str">
        <f>IF(OR(Calc_오픈정렬!$F31="",Calc_오픈정렬!BE31=""),"",Calc_오픈정렬!BE31/Calc_오픈정렬!$F31*100)</f>
        <v/>
      </c>
      <c r="BF31" t="str">
        <f>IF(OR(Calc_오픈정렬!$F31="",Calc_오픈정렬!BF31=""),"",Calc_오픈정렬!BF31/Calc_오픈정렬!$F31*100)</f>
        <v/>
      </c>
      <c r="BG31" t="str">
        <f>IF(OR(Calc_오픈정렬!$F31="",Calc_오픈정렬!BG31=""),"",Calc_오픈정렬!BG31/Calc_오픈정렬!$F31*100)</f>
        <v/>
      </c>
      <c r="BH31" t="str">
        <f>IF(OR(Calc_오픈정렬!$F31="",Calc_오픈정렬!BH31=""),"",Calc_오픈정렬!BH31/Calc_오픈정렬!$F31*100)</f>
        <v/>
      </c>
      <c r="BI31" t="str">
        <f>IF(OR(Calc_오픈정렬!$F31="",Calc_오픈정렬!BI31=""),"",Calc_오픈정렬!BI31/Calc_오픈정렬!$F31*100)</f>
        <v/>
      </c>
      <c r="BJ31" t="str">
        <f>IF(OR(Calc_오픈정렬!$F31="",Calc_오픈정렬!BJ31=""),"",Calc_오픈정렬!BJ31/Calc_오픈정렬!$F31*100)</f>
        <v/>
      </c>
      <c r="BK31" t="str">
        <f>IF(OR(Calc_오픈정렬!$F31="",Calc_오픈정렬!BK31=""),"",Calc_오픈정렬!BK31/Calc_오픈정렬!$F31*100)</f>
        <v/>
      </c>
      <c r="BL31" t="str">
        <f>IF(OR(Calc_오픈정렬!$F31="",Calc_오픈정렬!BL31=""),"",Calc_오픈정렬!BL31/Calc_오픈정렬!$F31*100)</f>
        <v/>
      </c>
      <c r="BM31" t="str">
        <f>IF(OR(Calc_오픈정렬!$F31="",Calc_오픈정렬!BM31=""),"",Calc_오픈정렬!BM31/Calc_오픈정렬!$F31*100)</f>
        <v/>
      </c>
      <c r="BN31" t="str">
        <f>IF(OR(Calc_오픈정렬!$F31="",Calc_오픈정렬!BN31=""),"",Calc_오픈정렬!BN31/Calc_오픈정렬!$F31*100)</f>
        <v/>
      </c>
    </row>
    <row r="32" spans="1:66" x14ac:dyDescent="0.4">
      <c r="A32" t="str">
        <f>Calc_오픈정렬!A32</f>
        <v>(1020) #신길삼거리점</v>
      </c>
      <c r="B32" t="str">
        <f>Calc_오픈정렬!B32</f>
        <v>150-1</v>
      </c>
      <c r="C32">
        <f>Calc_오픈정렬!C32</f>
        <v>1</v>
      </c>
      <c r="D32" t="str">
        <f>Calc_오픈정렬!D32</f>
        <v>1</v>
      </c>
      <c r="E32" s="1">
        <f>Calc_오픈정렬!E32</f>
        <v>44287</v>
      </c>
      <c r="F32" t="str">
        <f>Calc_오픈정렬!F32</f>
        <v/>
      </c>
      <c r="G32" t="str">
        <f>IF(OR(Calc_오픈정렬!$F32="",Calc_오픈정렬!G32=""),"",Calc_오픈정렬!G32/Calc_오픈정렬!$F32*100)</f>
        <v/>
      </c>
      <c r="H32" t="str">
        <f>IF(OR(Calc_오픈정렬!$F32="",Calc_오픈정렬!H32=""),"",Calc_오픈정렬!H32/Calc_오픈정렬!$F32*100)</f>
        <v/>
      </c>
      <c r="I32" t="str">
        <f>IF(OR(Calc_오픈정렬!$F32="",Calc_오픈정렬!I32=""),"",Calc_오픈정렬!I32/Calc_오픈정렬!$F32*100)</f>
        <v/>
      </c>
      <c r="J32" t="str">
        <f>IF(OR(Calc_오픈정렬!$F32="",Calc_오픈정렬!J32=""),"",Calc_오픈정렬!J32/Calc_오픈정렬!$F32*100)</f>
        <v/>
      </c>
      <c r="K32" t="str">
        <f>IF(OR(Calc_오픈정렬!$F32="",Calc_오픈정렬!K32=""),"",Calc_오픈정렬!K32/Calc_오픈정렬!$F32*100)</f>
        <v/>
      </c>
      <c r="L32" t="str">
        <f>IF(OR(Calc_오픈정렬!$F32="",Calc_오픈정렬!L32=""),"",Calc_오픈정렬!L32/Calc_오픈정렬!$F32*100)</f>
        <v/>
      </c>
      <c r="M32" t="str">
        <f>IF(OR(Calc_오픈정렬!$F32="",Calc_오픈정렬!M32=""),"",Calc_오픈정렬!M32/Calc_오픈정렬!$F32*100)</f>
        <v/>
      </c>
      <c r="N32" t="str">
        <f>IF(OR(Calc_오픈정렬!$F32="",Calc_오픈정렬!N32=""),"",Calc_오픈정렬!N32/Calc_오픈정렬!$F32*100)</f>
        <v/>
      </c>
      <c r="O32" t="str">
        <f>IF(OR(Calc_오픈정렬!$F32="",Calc_오픈정렬!O32=""),"",Calc_오픈정렬!O32/Calc_오픈정렬!$F32*100)</f>
        <v/>
      </c>
      <c r="P32" t="str">
        <f>IF(OR(Calc_오픈정렬!$F32="",Calc_오픈정렬!P32=""),"",Calc_오픈정렬!P32/Calc_오픈정렬!$F32*100)</f>
        <v/>
      </c>
      <c r="Q32" t="str">
        <f>IF(OR(Calc_오픈정렬!$F32="",Calc_오픈정렬!Q32=""),"",Calc_오픈정렬!Q32/Calc_오픈정렬!$F32*100)</f>
        <v/>
      </c>
      <c r="R32" t="str">
        <f>IF(OR(Calc_오픈정렬!$F32="",Calc_오픈정렬!R32=""),"",Calc_오픈정렬!R32/Calc_오픈정렬!$F32*100)</f>
        <v/>
      </c>
      <c r="S32" t="str">
        <f>IF(OR(Calc_오픈정렬!$F32="",Calc_오픈정렬!S32=""),"",Calc_오픈정렬!S32/Calc_오픈정렬!$F32*100)</f>
        <v/>
      </c>
      <c r="T32" t="str">
        <f>IF(OR(Calc_오픈정렬!$F32="",Calc_오픈정렬!T32=""),"",Calc_오픈정렬!T32/Calc_오픈정렬!$F32*100)</f>
        <v/>
      </c>
      <c r="U32" t="str">
        <f>IF(OR(Calc_오픈정렬!$F32="",Calc_오픈정렬!U32=""),"",Calc_오픈정렬!U32/Calc_오픈정렬!$F32*100)</f>
        <v/>
      </c>
      <c r="V32" t="str">
        <f>IF(OR(Calc_오픈정렬!$F32="",Calc_오픈정렬!V32=""),"",Calc_오픈정렬!V32/Calc_오픈정렬!$F32*100)</f>
        <v/>
      </c>
      <c r="W32" t="str">
        <f>IF(OR(Calc_오픈정렬!$F32="",Calc_오픈정렬!W32=""),"",Calc_오픈정렬!W32/Calc_오픈정렬!$F32*100)</f>
        <v/>
      </c>
      <c r="X32" t="str">
        <f>IF(OR(Calc_오픈정렬!$F32="",Calc_오픈정렬!X32=""),"",Calc_오픈정렬!X32/Calc_오픈정렬!$F32*100)</f>
        <v/>
      </c>
      <c r="Y32" t="str">
        <f>IF(OR(Calc_오픈정렬!$F32="",Calc_오픈정렬!Y32=""),"",Calc_오픈정렬!Y32/Calc_오픈정렬!$F32*100)</f>
        <v/>
      </c>
      <c r="Z32" t="str">
        <f>IF(OR(Calc_오픈정렬!$F32="",Calc_오픈정렬!Z32=""),"",Calc_오픈정렬!Z32/Calc_오픈정렬!$F32*100)</f>
        <v/>
      </c>
      <c r="AA32" t="str">
        <f>IF(OR(Calc_오픈정렬!$F32="",Calc_오픈정렬!AA32=""),"",Calc_오픈정렬!AA32/Calc_오픈정렬!$F32*100)</f>
        <v/>
      </c>
      <c r="AB32" t="str">
        <f>IF(OR(Calc_오픈정렬!$F32="",Calc_오픈정렬!AB32=""),"",Calc_오픈정렬!AB32/Calc_오픈정렬!$F32*100)</f>
        <v/>
      </c>
      <c r="AC32" t="str">
        <f>IF(OR(Calc_오픈정렬!$F32="",Calc_오픈정렬!AC32=""),"",Calc_오픈정렬!AC32/Calc_오픈정렬!$F32*100)</f>
        <v/>
      </c>
      <c r="AD32" t="str">
        <f>IF(OR(Calc_오픈정렬!$F32="",Calc_오픈정렬!AD32=""),"",Calc_오픈정렬!AD32/Calc_오픈정렬!$F32*100)</f>
        <v/>
      </c>
      <c r="AE32" t="str">
        <f>IF(OR(Calc_오픈정렬!$F32="",Calc_오픈정렬!AE32=""),"",Calc_오픈정렬!AE32/Calc_오픈정렬!$F32*100)</f>
        <v/>
      </c>
      <c r="AF32" t="str">
        <f>IF(OR(Calc_오픈정렬!$F32="",Calc_오픈정렬!AF32=""),"",Calc_오픈정렬!AF32/Calc_오픈정렬!$F32*100)</f>
        <v/>
      </c>
      <c r="AG32" t="str">
        <f>IF(OR(Calc_오픈정렬!$F32="",Calc_오픈정렬!AG32=""),"",Calc_오픈정렬!AG32/Calc_오픈정렬!$F32*100)</f>
        <v/>
      </c>
      <c r="AH32" t="str">
        <f>IF(OR(Calc_오픈정렬!$F32="",Calc_오픈정렬!AH32=""),"",Calc_오픈정렬!AH32/Calc_오픈정렬!$F32*100)</f>
        <v/>
      </c>
      <c r="AI32" t="str">
        <f>IF(OR(Calc_오픈정렬!$F32="",Calc_오픈정렬!AI32=""),"",Calc_오픈정렬!AI32/Calc_오픈정렬!$F32*100)</f>
        <v/>
      </c>
      <c r="AJ32" t="str">
        <f>IF(OR(Calc_오픈정렬!$F32="",Calc_오픈정렬!AJ32=""),"",Calc_오픈정렬!AJ32/Calc_오픈정렬!$F32*100)</f>
        <v/>
      </c>
      <c r="AK32" t="str">
        <f>IF(OR(Calc_오픈정렬!$F32="",Calc_오픈정렬!AK32=""),"",Calc_오픈정렬!AK32/Calc_오픈정렬!$F32*100)</f>
        <v/>
      </c>
      <c r="AL32" t="str">
        <f>IF(OR(Calc_오픈정렬!$F32="",Calc_오픈정렬!AL32=""),"",Calc_오픈정렬!AL32/Calc_오픈정렬!$F32*100)</f>
        <v/>
      </c>
      <c r="AM32" t="str">
        <f>IF(OR(Calc_오픈정렬!$F32="",Calc_오픈정렬!AM32=""),"",Calc_오픈정렬!AM32/Calc_오픈정렬!$F32*100)</f>
        <v/>
      </c>
      <c r="AN32" t="str">
        <f>IF(OR(Calc_오픈정렬!$F32="",Calc_오픈정렬!AN32=""),"",Calc_오픈정렬!AN32/Calc_오픈정렬!$F32*100)</f>
        <v/>
      </c>
      <c r="AO32" t="str">
        <f>IF(OR(Calc_오픈정렬!$F32="",Calc_오픈정렬!AO32=""),"",Calc_오픈정렬!AO32/Calc_오픈정렬!$F32*100)</f>
        <v/>
      </c>
      <c r="AP32" t="str">
        <f>IF(OR(Calc_오픈정렬!$F32="",Calc_오픈정렬!AP32=""),"",Calc_오픈정렬!AP32/Calc_오픈정렬!$F32*100)</f>
        <v/>
      </c>
      <c r="AQ32" t="str">
        <f>IF(OR(Calc_오픈정렬!$F32="",Calc_오픈정렬!AQ32=""),"",Calc_오픈정렬!AQ32/Calc_오픈정렬!$F32*100)</f>
        <v/>
      </c>
      <c r="AR32" t="str">
        <f>IF(OR(Calc_오픈정렬!$F32="",Calc_오픈정렬!AR32=""),"",Calc_오픈정렬!AR32/Calc_오픈정렬!$F32*100)</f>
        <v/>
      </c>
      <c r="AS32" t="str">
        <f>IF(OR(Calc_오픈정렬!$F32="",Calc_오픈정렬!AS32=""),"",Calc_오픈정렬!AS32/Calc_오픈정렬!$F32*100)</f>
        <v/>
      </c>
      <c r="AT32" t="str">
        <f>IF(OR(Calc_오픈정렬!$F32="",Calc_오픈정렬!AT32=""),"",Calc_오픈정렬!AT32/Calc_오픈정렬!$F32*100)</f>
        <v/>
      </c>
      <c r="AU32" t="str">
        <f>IF(OR(Calc_오픈정렬!$F32="",Calc_오픈정렬!AU32=""),"",Calc_오픈정렬!AU32/Calc_오픈정렬!$F32*100)</f>
        <v/>
      </c>
      <c r="AV32" t="str">
        <f>IF(OR(Calc_오픈정렬!$F32="",Calc_오픈정렬!AV32=""),"",Calc_오픈정렬!AV32/Calc_오픈정렬!$F32*100)</f>
        <v/>
      </c>
      <c r="AW32" t="str">
        <f>IF(OR(Calc_오픈정렬!$F32="",Calc_오픈정렬!AW32=""),"",Calc_오픈정렬!AW32/Calc_오픈정렬!$F32*100)</f>
        <v/>
      </c>
      <c r="AX32" t="str">
        <f>IF(OR(Calc_오픈정렬!$F32="",Calc_오픈정렬!AX32=""),"",Calc_오픈정렬!AX32/Calc_오픈정렬!$F32*100)</f>
        <v/>
      </c>
      <c r="AY32" t="str">
        <f>IF(OR(Calc_오픈정렬!$F32="",Calc_오픈정렬!AY32=""),"",Calc_오픈정렬!AY32/Calc_오픈정렬!$F32*100)</f>
        <v/>
      </c>
      <c r="AZ32" t="str">
        <f>IF(OR(Calc_오픈정렬!$F32="",Calc_오픈정렬!AZ32=""),"",Calc_오픈정렬!AZ32/Calc_오픈정렬!$F32*100)</f>
        <v/>
      </c>
      <c r="BA32" t="str">
        <f>IF(OR(Calc_오픈정렬!$F32="",Calc_오픈정렬!BA32=""),"",Calc_오픈정렬!BA32/Calc_오픈정렬!$F32*100)</f>
        <v/>
      </c>
      <c r="BB32" t="str">
        <f>IF(OR(Calc_오픈정렬!$F32="",Calc_오픈정렬!BB32=""),"",Calc_오픈정렬!BB32/Calc_오픈정렬!$F32*100)</f>
        <v/>
      </c>
      <c r="BC32" t="str">
        <f>IF(OR(Calc_오픈정렬!$F32="",Calc_오픈정렬!BC32=""),"",Calc_오픈정렬!BC32/Calc_오픈정렬!$F32*100)</f>
        <v/>
      </c>
      <c r="BD32" t="str">
        <f>IF(OR(Calc_오픈정렬!$F32="",Calc_오픈정렬!BD32=""),"",Calc_오픈정렬!BD32/Calc_오픈정렬!$F32*100)</f>
        <v/>
      </c>
      <c r="BE32" t="str">
        <f>IF(OR(Calc_오픈정렬!$F32="",Calc_오픈정렬!BE32=""),"",Calc_오픈정렬!BE32/Calc_오픈정렬!$F32*100)</f>
        <v/>
      </c>
      <c r="BF32" t="str">
        <f>IF(OR(Calc_오픈정렬!$F32="",Calc_오픈정렬!BF32=""),"",Calc_오픈정렬!BF32/Calc_오픈정렬!$F32*100)</f>
        <v/>
      </c>
      <c r="BG32" t="str">
        <f>IF(OR(Calc_오픈정렬!$F32="",Calc_오픈정렬!BG32=""),"",Calc_오픈정렬!BG32/Calc_오픈정렬!$F32*100)</f>
        <v/>
      </c>
      <c r="BH32" t="str">
        <f>IF(OR(Calc_오픈정렬!$F32="",Calc_오픈정렬!BH32=""),"",Calc_오픈정렬!BH32/Calc_오픈정렬!$F32*100)</f>
        <v/>
      </c>
      <c r="BI32" t="str">
        <f>IF(OR(Calc_오픈정렬!$F32="",Calc_오픈정렬!BI32=""),"",Calc_오픈정렬!BI32/Calc_오픈정렬!$F32*100)</f>
        <v/>
      </c>
      <c r="BJ32" t="str">
        <f>IF(OR(Calc_오픈정렬!$F32="",Calc_오픈정렬!BJ32=""),"",Calc_오픈정렬!BJ32/Calc_오픈정렬!$F32*100)</f>
        <v/>
      </c>
      <c r="BK32" t="str">
        <f>IF(OR(Calc_오픈정렬!$F32="",Calc_오픈정렬!BK32=""),"",Calc_오픈정렬!BK32/Calc_오픈정렬!$F32*100)</f>
        <v/>
      </c>
      <c r="BL32" t="str">
        <f>IF(OR(Calc_오픈정렬!$F32="",Calc_오픈정렬!BL32=""),"",Calc_오픈정렬!BL32/Calc_오픈정렬!$F32*100)</f>
        <v/>
      </c>
      <c r="BM32" t="str">
        <f>IF(OR(Calc_오픈정렬!$F32="",Calc_오픈정렬!BM32=""),"",Calc_오픈정렬!BM32/Calc_오픈정렬!$F32*100)</f>
        <v/>
      </c>
      <c r="BN32" t="str">
        <f>IF(OR(Calc_오픈정렬!$F32="",Calc_오픈정렬!BN32=""),"",Calc_오픈정렬!BN32/Calc_오픈정렬!$F32*100)</f>
        <v/>
      </c>
    </row>
    <row r="33" spans="1:66" x14ac:dyDescent="0.4">
      <c r="A33" t="str">
        <f>Calc_오픈정렬!A33</f>
        <v>(1021) #광주전남대점</v>
      </c>
      <c r="B33" t="str">
        <f>Calc_오픈정렬!B33</f>
        <v>150-1</v>
      </c>
      <c r="C33">
        <f>Calc_오픈정렬!C33</f>
        <v>1</v>
      </c>
      <c r="D33" t="str">
        <f>Calc_오픈정렬!D33</f>
        <v>1</v>
      </c>
      <c r="E33" s="1">
        <f>Calc_오픈정렬!E33</f>
        <v>44287</v>
      </c>
      <c r="F33" t="str">
        <f>Calc_오픈정렬!F33</f>
        <v/>
      </c>
      <c r="G33" t="str">
        <f>IF(OR(Calc_오픈정렬!$F33="",Calc_오픈정렬!G33=""),"",Calc_오픈정렬!G33/Calc_오픈정렬!$F33*100)</f>
        <v/>
      </c>
      <c r="H33" t="str">
        <f>IF(OR(Calc_오픈정렬!$F33="",Calc_오픈정렬!H33=""),"",Calc_오픈정렬!H33/Calc_오픈정렬!$F33*100)</f>
        <v/>
      </c>
      <c r="I33" t="str">
        <f>IF(OR(Calc_오픈정렬!$F33="",Calc_오픈정렬!I33=""),"",Calc_오픈정렬!I33/Calc_오픈정렬!$F33*100)</f>
        <v/>
      </c>
      <c r="J33" t="str">
        <f>IF(OR(Calc_오픈정렬!$F33="",Calc_오픈정렬!J33=""),"",Calc_오픈정렬!J33/Calc_오픈정렬!$F33*100)</f>
        <v/>
      </c>
      <c r="K33" t="str">
        <f>IF(OR(Calc_오픈정렬!$F33="",Calc_오픈정렬!K33=""),"",Calc_오픈정렬!K33/Calc_오픈정렬!$F33*100)</f>
        <v/>
      </c>
      <c r="L33" t="str">
        <f>IF(OR(Calc_오픈정렬!$F33="",Calc_오픈정렬!L33=""),"",Calc_오픈정렬!L33/Calc_오픈정렬!$F33*100)</f>
        <v/>
      </c>
      <c r="M33" t="str">
        <f>IF(OR(Calc_오픈정렬!$F33="",Calc_오픈정렬!M33=""),"",Calc_오픈정렬!M33/Calc_오픈정렬!$F33*100)</f>
        <v/>
      </c>
      <c r="N33" t="str">
        <f>IF(OR(Calc_오픈정렬!$F33="",Calc_오픈정렬!N33=""),"",Calc_오픈정렬!N33/Calc_오픈정렬!$F33*100)</f>
        <v/>
      </c>
      <c r="O33" t="str">
        <f>IF(OR(Calc_오픈정렬!$F33="",Calc_오픈정렬!O33=""),"",Calc_오픈정렬!O33/Calc_오픈정렬!$F33*100)</f>
        <v/>
      </c>
      <c r="P33" t="str">
        <f>IF(OR(Calc_오픈정렬!$F33="",Calc_오픈정렬!P33=""),"",Calc_오픈정렬!P33/Calc_오픈정렬!$F33*100)</f>
        <v/>
      </c>
      <c r="Q33" t="str">
        <f>IF(OR(Calc_오픈정렬!$F33="",Calc_오픈정렬!Q33=""),"",Calc_오픈정렬!Q33/Calc_오픈정렬!$F33*100)</f>
        <v/>
      </c>
      <c r="R33" t="str">
        <f>IF(OR(Calc_오픈정렬!$F33="",Calc_오픈정렬!R33=""),"",Calc_오픈정렬!R33/Calc_오픈정렬!$F33*100)</f>
        <v/>
      </c>
      <c r="S33" t="str">
        <f>IF(OR(Calc_오픈정렬!$F33="",Calc_오픈정렬!S33=""),"",Calc_오픈정렬!S33/Calc_오픈정렬!$F33*100)</f>
        <v/>
      </c>
      <c r="T33" t="str">
        <f>IF(OR(Calc_오픈정렬!$F33="",Calc_오픈정렬!T33=""),"",Calc_오픈정렬!T33/Calc_오픈정렬!$F33*100)</f>
        <v/>
      </c>
      <c r="U33" t="str">
        <f>IF(OR(Calc_오픈정렬!$F33="",Calc_오픈정렬!U33=""),"",Calc_오픈정렬!U33/Calc_오픈정렬!$F33*100)</f>
        <v/>
      </c>
      <c r="V33" t="str">
        <f>IF(OR(Calc_오픈정렬!$F33="",Calc_오픈정렬!V33=""),"",Calc_오픈정렬!V33/Calc_오픈정렬!$F33*100)</f>
        <v/>
      </c>
      <c r="W33" t="str">
        <f>IF(OR(Calc_오픈정렬!$F33="",Calc_오픈정렬!W33=""),"",Calc_오픈정렬!W33/Calc_오픈정렬!$F33*100)</f>
        <v/>
      </c>
      <c r="X33" t="str">
        <f>IF(OR(Calc_오픈정렬!$F33="",Calc_오픈정렬!X33=""),"",Calc_오픈정렬!X33/Calc_오픈정렬!$F33*100)</f>
        <v/>
      </c>
      <c r="Y33" t="str">
        <f>IF(OR(Calc_오픈정렬!$F33="",Calc_오픈정렬!Y33=""),"",Calc_오픈정렬!Y33/Calc_오픈정렬!$F33*100)</f>
        <v/>
      </c>
      <c r="Z33" t="str">
        <f>IF(OR(Calc_오픈정렬!$F33="",Calc_오픈정렬!Z33=""),"",Calc_오픈정렬!Z33/Calc_오픈정렬!$F33*100)</f>
        <v/>
      </c>
      <c r="AA33" t="str">
        <f>IF(OR(Calc_오픈정렬!$F33="",Calc_오픈정렬!AA33=""),"",Calc_오픈정렬!AA33/Calc_오픈정렬!$F33*100)</f>
        <v/>
      </c>
      <c r="AB33" t="str">
        <f>IF(OR(Calc_오픈정렬!$F33="",Calc_오픈정렬!AB33=""),"",Calc_오픈정렬!AB33/Calc_오픈정렬!$F33*100)</f>
        <v/>
      </c>
      <c r="AC33" t="str">
        <f>IF(OR(Calc_오픈정렬!$F33="",Calc_오픈정렬!AC33=""),"",Calc_오픈정렬!AC33/Calc_오픈정렬!$F33*100)</f>
        <v/>
      </c>
      <c r="AD33" t="str">
        <f>IF(OR(Calc_오픈정렬!$F33="",Calc_오픈정렬!AD33=""),"",Calc_오픈정렬!AD33/Calc_오픈정렬!$F33*100)</f>
        <v/>
      </c>
      <c r="AE33" t="str">
        <f>IF(OR(Calc_오픈정렬!$F33="",Calc_오픈정렬!AE33=""),"",Calc_오픈정렬!AE33/Calc_오픈정렬!$F33*100)</f>
        <v/>
      </c>
      <c r="AF33" t="str">
        <f>IF(OR(Calc_오픈정렬!$F33="",Calc_오픈정렬!AF33=""),"",Calc_오픈정렬!AF33/Calc_오픈정렬!$F33*100)</f>
        <v/>
      </c>
      <c r="AG33" t="str">
        <f>IF(OR(Calc_오픈정렬!$F33="",Calc_오픈정렬!AG33=""),"",Calc_오픈정렬!AG33/Calc_오픈정렬!$F33*100)</f>
        <v/>
      </c>
      <c r="AH33" t="str">
        <f>IF(OR(Calc_오픈정렬!$F33="",Calc_오픈정렬!AH33=""),"",Calc_오픈정렬!AH33/Calc_오픈정렬!$F33*100)</f>
        <v/>
      </c>
      <c r="AI33" t="str">
        <f>IF(OR(Calc_오픈정렬!$F33="",Calc_오픈정렬!AI33=""),"",Calc_오픈정렬!AI33/Calc_오픈정렬!$F33*100)</f>
        <v/>
      </c>
      <c r="AJ33" t="str">
        <f>IF(OR(Calc_오픈정렬!$F33="",Calc_오픈정렬!AJ33=""),"",Calc_오픈정렬!AJ33/Calc_오픈정렬!$F33*100)</f>
        <v/>
      </c>
      <c r="AK33" t="str">
        <f>IF(OR(Calc_오픈정렬!$F33="",Calc_오픈정렬!AK33=""),"",Calc_오픈정렬!AK33/Calc_오픈정렬!$F33*100)</f>
        <v/>
      </c>
      <c r="AL33" t="str">
        <f>IF(OR(Calc_오픈정렬!$F33="",Calc_오픈정렬!AL33=""),"",Calc_오픈정렬!AL33/Calc_오픈정렬!$F33*100)</f>
        <v/>
      </c>
      <c r="AM33" t="str">
        <f>IF(OR(Calc_오픈정렬!$F33="",Calc_오픈정렬!AM33=""),"",Calc_오픈정렬!AM33/Calc_오픈정렬!$F33*100)</f>
        <v/>
      </c>
      <c r="AN33" t="str">
        <f>IF(OR(Calc_오픈정렬!$F33="",Calc_오픈정렬!AN33=""),"",Calc_오픈정렬!AN33/Calc_오픈정렬!$F33*100)</f>
        <v/>
      </c>
      <c r="AO33" t="str">
        <f>IF(OR(Calc_오픈정렬!$F33="",Calc_오픈정렬!AO33=""),"",Calc_오픈정렬!AO33/Calc_오픈정렬!$F33*100)</f>
        <v/>
      </c>
      <c r="AP33" t="str">
        <f>IF(OR(Calc_오픈정렬!$F33="",Calc_오픈정렬!AP33=""),"",Calc_오픈정렬!AP33/Calc_오픈정렬!$F33*100)</f>
        <v/>
      </c>
      <c r="AQ33" t="str">
        <f>IF(OR(Calc_오픈정렬!$F33="",Calc_오픈정렬!AQ33=""),"",Calc_오픈정렬!AQ33/Calc_오픈정렬!$F33*100)</f>
        <v/>
      </c>
      <c r="AR33" t="str">
        <f>IF(OR(Calc_오픈정렬!$F33="",Calc_오픈정렬!AR33=""),"",Calc_오픈정렬!AR33/Calc_오픈정렬!$F33*100)</f>
        <v/>
      </c>
      <c r="AS33" t="str">
        <f>IF(OR(Calc_오픈정렬!$F33="",Calc_오픈정렬!AS33=""),"",Calc_오픈정렬!AS33/Calc_오픈정렬!$F33*100)</f>
        <v/>
      </c>
      <c r="AT33" t="str">
        <f>IF(OR(Calc_오픈정렬!$F33="",Calc_오픈정렬!AT33=""),"",Calc_오픈정렬!AT33/Calc_오픈정렬!$F33*100)</f>
        <v/>
      </c>
      <c r="AU33" t="str">
        <f>IF(OR(Calc_오픈정렬!$F33="",Calc_오픈정렬!AU33=""),"",Calc_오픈정렬!AU33/Calc_오픈정렬!$F33*100)</f>
        <v/>
      </c>
      <c r="AV33" t="str">
        <f>IF(OR(Calc_오픈정렬!$F33="",Calc_오픈정렬!AV33=""),"",Calc_오픈정렬!AV33/Calc_오픈정렬!$F33*100)</f>
        <v/>
      </c>
      <c r="AW33" t="str">
        <f>IF(OR(Calc_오픈정렬!$F33="",Calc_오픈정렬!AW33=""),"",Calc_오픈정렬!AW33/Calc_오픈정렬!$F33*100)</f>
        <v/>
      </c>
      <c r="AX33" t="str">
        <f>IF(OR(Calc_오픈정렬!$F33="",Calc_오픈정렬!AX33=""),"",Calc_오픈정렬!AX33/Calc_오픈정렬!$F33*100)</f>
        <v/>
      </c>
      <c r="AY33" t="str">
        <f>IF(OR(Calc_오픈정렬!$F33="",Calc_오픈정렬!AY33=""),"",Calc_오픈정렬!AY33/Calc_오픈정렬!$F33*100)</f>
        <v/>
      </c>
      <c r="AZ33" t="str">
        <f>IF(OR(Calc_오픈정렬!$F33="",Calc_오픈정렬!AZ33=""),"",Calc_오픈정렬!AZ33/Calc_오픈정렬!$F33*100)</f>
        <v/>
      </c>
      <c r="BA33" t="str">
        <f>IF(OR(Calc_오픈정렬!$F33="",Calc_오픈정렬!BA33=""),"",Calc_오픈정렬!BA33/Calc_오픈정렬!$F33*100)</f>
        <v/>
      </c>
      <c r="BB33" t="str">
        <f>IF(OR(Calc_오픈정렬!$F33="",Calc_오픈정렬!BB33=""),"",Calc_오픈정렬!BB33/Calc_오픈정렬!$F33*100)</f>
        <v/>
      </c>
      <c r="BC33" t="str">
        <f>IF(OR(Calc_오픈정렬!$F33="",Calc_오픈정렬!BC33=""),"",Calc_오픈정렬!BC33/Calc_오픈정렬!$F33*100)</f>
        <v/>
      </c>
      <c r="BD33" t="str">
        <f>IF(OR(Calc_오픈정렬!$F33="",Calc_오픈정렬!BD33=""),"",Calc_오픈정렬!BD33/Calc_오픈정렬!$F33*100)</f>
        <v/>
      </c>
      <c r="BE33" t="str">
        <f>IF(OR(Calc_오픈정렬!$F33="",Calc_오픈정렬!BE33=""),"",Calc_오픈정렬!BE33/Calc_오픈정렬!$F33*100)</f>
        <v/>
      </c>
      <c r="BF33" t="str">
        <f>IF(OR(Calc_오픈정렬!$F33="",Calc_오픈정렬!BF33=""),"",Calc_오픈정렬!BF33/Calc_오픈정렬!$F33*100)</f>
        <v/>
      </c>
      <c r="BG33" t="str">
        <f>IF(OR(Calc_오픈정렬!$F33="",Calc_오픈정렬!BG33=""),"",Calc_오픈정렬!BG33/Calc_오픈정렬!$F33*100)</f>
        <v/>
      </c>
      <c r="BH33" t="str">
        <f>IF(OR(Calc_오픈정렬!$F33="",Calc_오픈정렬!BH33=""),"",Calc_오픈정렬!BH33/Calc_오픈정렬!$F33*100)</f>
        <v/>
      </c>
      <c r="BI33" t="str">
        <f>IF(OR(Calc_오픈정렬!$F33="",Calc_오픈정렬!BI33=""),"",Calc_오픈정렬!BI33/Calc_오픈정렬!$F33*100)</f>
        <v/>
      </c>
      <c r="BJ33" t="str">
        <f>IF(OR(Calc_오픈정렬!$F33="",Calc_오픈정렬!BJ33=""),"",Calc_오픈정렬!BJ33/Calc_오픈정렬!$F33*100)</f>
        <v/>
      </c>
      <c r="BK33" t="str">
        <f>IF(OR(Calc_오픈정렬!$F33="",Calc_오픈정렬!BK33=""),"",Calc_오픈정렬!BK33/Calc_오픈정렬!$F33*100)</f>
        <v/>
      </c>
      <c r="BL33" t="str">
        <f>IF(OR(Calc_오픈정렬!$F33="",Calc_오픈정렬!BL33=""),"",Calc_오픈정렬!BL33/Calc_오픈정렬!$F33*100)</f>
        <v/>
      </c>
      <c r="BM33" t="str">
        <f>IF(OR(Calc_오픈정렬!$F33="",Calc_오픈정렬!BM33=""),"",Calc_오픈정렬!BM33/Calc_오픈정렬!$F33*100)</f>
        <v/>
      </c>
      <c r="BN33" t="str">
        <f>IF(OR(Calc_오픈정렬!$F33="",Calc_오픈정렬!BN33=""),"",Calc_오픈정렬!BN33/Calc_오픈정렬!$F33*100)</f>
        <v/>
      </c>
    </row>
    <row r="34" spans="1:66" x14ac:dyDescent="0.4">
      <c r="A34" t="str">
        <f>Calc_오픈정렬!A34</f>
        <v>(1022) #서울시립대점</v>
      </c>
      <c r="B34" t="str">
        <f>Calc_오픈정렬!B34</f>
        <v>150-3</v>
      </c>
      <c r="C34">
        <f>Calc_오픈정렬!C34</f>
        <v>3</v>
      </c>
      <c r="D34" t="str">
        <f>Calc_오픈정렬!D34</f>
        <v>3+</v>
      </c>
      <c r="E34" s="1">
        <f>Calc_오픈정렬!E34</f>
        <v>44317</v>
      </c>
      <c r="F34" t="str">
        <f>Calc_오픈정렬!F34</f>
        <v/>
      </c>
      <c r="G34" t="str">
        <f>IF(OR(Calc_오픈정렬!$F34="",Calc_오픈정렬!G34=""),"",Calc_오픈정렬!G34/Calc_오픈정렬!$F34*100)</f>
        <v/>
      </c>
      <c r="H34" t="str">
        <f>IF(OR(Calc_오픈정렬!$F34="",Calc_오픈정렬!H34=""),"",Calc_오픈정렬!H34/Calc_오픈정렬!$F34*100)</f>
        <v/>
      </c>
      <c r="I34" t="str">
        <f>IF(OR(Calc_오픈정렬!$F34="",Calc_오픈정렬!I34=""),"",Calc_오픈정렬!I34/Calc_오픈정렬!$F34*100)</f>
        <v/>
      </c>
      <c r="J34" t="str">
        <f>IF(OR(Calc_오픈정렬!$F34="",Calc_오픈정렬!J34=""),"",Calc_오픈정렬!J34/Calc_오픈정렬!$F34*100)</f>
        <v/>
      </c>
      <c r="K34" t="str">
        <f>IF(OR(Calc_오픈정렬!$F34="",Calc_오픈정렬!K34=""),"",Calc_오픈정렬!K34/Calc_오픈정렬!$F34*100)</f>
        <v/>
      </c>
      <c r="L34" t="str">
        <f>IF(OR(Calc_오픈정렬!$F34="",Calc_오픈정렬!L34=""),"",Calc_오픈정렬!L34/Calc_오픈정렬!$F34*100)</f>
        <v/>
      </c>
      <c r="M34" t="str">
        <f>IF(OR(Calc_오픈정렬!$F34="",Calc_오픈정렬!M34=""),"",Calc_오픈정렬!M34/Calc_오픈정렬!$F34*100)</f>
        <v/>
      </c>
      <c r="N34" t="str">
        <f>IF(OR(Calc_오픈정렬!$F34="",Calc_오픈정렬!N34=""),"",Calc_오픈정렬!N34/Calc_오픈정렬!$F34*100)</f>
        <v/>
      </c>
      <c r="O34" t="str">
        <f>IF(OR(Calc_오픈정렬!$F34="",Calc_오픈정렬!O34=""),"",Calc_오픈정렬!O34/Calc_오픈정렬!$F34*100)</f>
        <v/>
      </c>
      <c r="P34" t="str">
        <f>IF(OR(Calc_오픈정렬!$F34="",Calc_오픈정렬!P34=""),"",Calc_오픈정렬!P34/Calc_오픈정렬!$F34*100)</f>
        <v/>
      </c>
      <c r="Q34" t="str">
        <f>IF(OR(Calc_오픈정렬!$F34="",Calc_오픈정렬!Q34=""),"",Calc_오픈정렬!Q34/Calc_오픈정렬!$F34*100)</f>
        <v/>
      </c>
      <c r="R34" t="str">
        <f>IF(OR(Calc_오픈정렬!$F34="",Calc_오픈정렬!R34=""),"",Calc_오픈정렬!R34/Calc_오픈정렬!$F34*100)</f>
        <v/>
      </c>
      <c r="S34" t="str">
        <f>IF(OR(Calc_오픈정렬!$F34="",Calc_오픈정렬!S34=""),"",Calc_오픈정렬!S34/Calc_오픈정렬!$F34*100)</f>
        <v/>
      </c>
      <c r="T34" t="str">
        <f>IF(OR(Calc_오픈정렬!$F34="",Calc_오픈정렬!T34=""),"",Calc_오픈정렬!T34/Calc_오픈정렬!$F34*100)</f>
        <v/>
      </c>
      <c r="U34" t="str">
        <f>IF(OR(Calc_오픈정렬!$F34="",Calc_오픈정렬!U34=""),"",Calc_오픈정렬!U34/Calc_오픈정렬!$F34*100)</f>
        <v/>
      </c>
      <c r="V34" t="str">
        <f>IF(OR(Calc_오픈정렬!$F34="",Calc_오픈정렬!V34=""),"",Calc_오픈정렬!V34/Calc_오픈정렬!$F34*100)</f>
        <v/>
      </c>
      <c r="W34" t="str">
        <f>IF(OR(Calc_오픈정렬!$F34="",Calc_오픈정렬!W34=""),"",Calc_오픈정렬!W34/Calc_오픈정렬!$F34*100)</f>
        <v/>
      </c>
      <c r="X34" t="str">
        <f>IF(OR(Calc_오픈정렬!$F34="",Calc_오픈정렬!X34=""),"",Calc_오픈정렬!X34/Calc_오픈정렬!$F34*100)</f>
        <v/>
      </c>
      <c r="Y34" t="str">
        <f>IF(OR(Calc_오픈정렬!$F34="",Calc_오픈정렬!Y34=""),"",Calc_오픈정렬!Y34/Calc_오픈정렬!$F34*100)</f>
        <v/>
      </c>
      <c r="Z34" t="str">
        <f>IF(OR(Calc_오픈정렬!$F34="",Calc_오픈정렬!Z34=""),"",Calc_오픈정렬!Z34/Calc_오픈정렬!$F34*100)</f>
        <v/>
      </c>
      <c r="AA34" t="str">
        <f>IF(OR(Calc_오픈정렬!$F34="",Calc_오픈정렬!AA34=""),"",Calc_오픈정렬!AA34/Calc_오픈정렬!$F34*100)</f>
        <v/>
      </c>
      <c r="AB34" t="str">
        <f>IF(OR(Calc_오픈정렬!$F34="",Calc_오픈정렬!AB34=""),"",Calc_오픈정렬!AB34/Calc_오픈정렬!$F34*100)</f>
        <v/>
      </c>
      <c r="AC34" t="str">
        <f>IF(OR(Calc_오픈정렬!$F34="",Calc_오픈정렬!AC34=""),"",Calc_오픈정렬!AC34/Calc_오픈정렬!$F34*100)</f>
        <v/>
      </c>
      <c r="AD34" t="str">
        <f>IF(OR(Calc_오픈정렬!$F34="",Calc_오픈정렬!AD34=""),"",Calc_오픈정렬!AD34/Calc_오픈정렬!$F34*100)</f>
        <v/>
      </c>
      <c r="AE34" t="str">
        <f>IF(OR(Calc_오픈정렬!$F34="",Calc_오픈정렬!AE34=""),"",Calc_오픈정렬!AE34/Calc_오픈정렬!$F34*100)</f>
        <v/>
      </c>
      <c r="AF34" t="str">
        <f>IF(OR(Calc_오픈정렬!$F34="",Calc_오픈정렬!AF34=""),"",Calc_오픈정렬!AF34/Calc_오픈정렬!$F34*100)</f>
        <v/>
      </c>
      <c r="AG34" t="str">
        <f>IF(OR(Calc_오픈정렬!$F34="",Calc_오픈정렬!AG34=""),"",Calc_오픈정렬!AG34/Calc_오픈정렬!$F34*100)</f>
        <v/>
      </c>
      <c r="AH34" t="str">
        <f>IF(OR(Calc_오픈정렬!$F34="",Calc_오픈정렬!AH34=""),"",Calc_오픈정렬!AH34/Calc_오픈정렬!$F34*100)</f>
        <v/>
      </c>
      <c r="AI34" t="str">
        <f>IF(OR(Calc_오픈정렬!$F34="",Calc_오픈정렬!AI34=""),"",Calc_오픈정렬!AI34/Calc_오픈정렬!$F34*100)</f>
        <v/>
      </c>
      <c r="AJ34" t="str">
        <f>IF(OR(Calc_오픈정렬!$F34="",Calc_오픈정렬!AJ34=""),"",Calc_오픈정렬!AJ34/Calc_오픈정렬!$F34*100)</f>
        <v/>
      </c>
      <c r="AK34" t="str">
        <f>IF(OR(Calc_오픈정렬!$F34="",Calc_오픈정렬!AK34=""),"",Calc_오픈정렬!AK34/Calc_오픈정렬!$F34*100)</f>
        <v/>
      </c>
      <c r="AL34" t="str">
        <f>IF(OR(Calc_오픈정렬!$F34="",Calc_오픈정렬!AL34=""),"",Calc_오픈정렬!AL34/Calc_오픈정렬!$F34*100)</f>
        <v/>
      </c>
      <c r="AM34" t="str">
        <f>IF(OR(Calc_오픈정렬!$F34="",Calc_오픈정렬!AM34=""),"",Calc_오픈정렬!AM34/Calc_오픈정렬!$F34*100)</f>
        <v/>
      </c>
      <c r="AN34" t="str">
        <f>IF(OR(Calc_오픈정렬!$F34="",Calc_오픈정렬!AN34=""),"",Calc_오픈정렬!AN34/Calc_오픈정렬!$F34*100)</f>
        <v/>
      </c>
      <c r="AO34" t="str">
        <f>IF(OR(Calc_오픈정렬!$F34="",Calc_오픈정렬!AO34=""),"",Calc_오픈정렬!AO34/Calc_오픈정렬!$F34*100)</f>
        <v/>
      </c>
      <c r="AP34" t="str">
        <f>IF(OR(Calc_오픈정렬!$F34="",Calc_오픈정렬!AP34=""),"",Calc_오픈정렬!AP34/Calc_오픈정렬!$F34*100)</f>
        <v/>
      </c>
      <c r="AQ34" t="str">
        <f>IF(OR(Calc_오픈정렬!$F34="",Calc_오픈정렬!AQ34=""),"",Calc_오픈정렬!AQ34/Calc_오픈정렬!$F34*100)</f>
        <v/>
      </c>
      <c r="AR34" t="str">
        <f>IF(OR(Calc_오픈정렬!$F34="",Calc_오픈정렬!AR34=""),"",Calc_오픈정렬!AR34/Calc_오픈정렬!$F34*100)</f>
        <v/>
      </c>
      <c r="AS34" t="str">
        <f>IF(OR(Calc_오픈정렬!$F34="",Calc_오픈정렬!AS34=""),"",Calc_오픈정렬!AS34/Calc_오픈정렬!$F34*100)</f>
        <v/>
      </c>
      <c r="AT34" t="str">
        <f>IF(OR(Calc_오픈정렬!$F34="",Calc_오픈정렬!AT34=""),"",Calc_오픈정렬!AT34/Calc_오픈정렬!$F34*100)</f>
        <v/>
      </c>
      <c r="AU34" t="str">
        <f>IF(OR(Calc_오픈정렬!$F34="",Calc_오픈정렬!AU34=""),"",Calc_오픈정렬!AU34/Calc_오픈정렬!$F34*100)</f>
        <v/>
      </c>
      <c r="AV34" t="str">
        <f>IF(OR(Calc_오픈정렬!$F34="",Calc_오픈정렬!AV34=""),"",Calc_오픈정렬!AV34/Calc_오픈정렬!$F34*100)</f>
        <v/>
      </c>
      <c r="AW34" t="str">
        <f>IF(OR(Calc_오픈정렬!$F34="",Calc_오픈정렬!AW34=""),"",Calc_오픈정렬!AW34/Calc_오픈정렬!$F34*100)</f>
        <v/>
      </c>
      <c r="AX34" t="str">
        <f>IF(OR(Calc_오픈정렬!$F34="",Calc_오픈정렬!AX34=""),"",Calc_오픈정렬!AX34/Calc_오픈정렬!$F34*100)</f>
        <v/>
      </c>
      <c r="AY34" t="str">
        <f>IF(OR(Calc_오픈정렬!$F34="",Calc_오픈정렬!AY34=""),"",Calc_오픈정렬!AY34/Calc_오픈정렬!$F34*100)</f>
        <v/>
      </c>
      <c r="AZ34" t="str">
        <f>IF(OR(Calc_오픈정렬!$F34="",Calc_오픈정렬!AZ34=""),"",Calc_오픈정렬!AZ34/Calc_오픈정렬!$F34*100)</f>
        <v/>
      </c>
      <c r="BA34" t="str">
        <f>IF(OR(Calc_오픈정렬!$F34="",Calc_오픈정렬!BA34=""),"",Calc_오픈정렬!BA34/Calc_오픈정렬!$F34*100)</f>
        <v/>
      </c>
      <c r="BB34" t="str">
        <f>IF(OR(Calc_오픈정렬!$F34="",Calc_오픈정렬!BB34=""),"",Calc_오픈정렬!BB34/Calc_오픈정렬!$F34*100)</f>
        <v/>
      </c>
      <c r="BC34" t="str">
        <f>IF(OR(Calc_오픈정렬!$F34="",Calc_오픈정렬!BC34=""),"",Calc_오픈정렬!BC34/Calc_오픈정렬!$F34*100)</f>
        <v/>
      </c>
      <c r="BD34" t="str">
        <f>IF(OR(Calc_오픈정렬!$F34="",Calc_오픈정렬!BD34=""),"",Calc_오픈정렬!BD34/Calc_오픈정렬!$F34*100)</f>
        <v/>
      </c>
      <c r="BE34" t="str">
        <f>IF(OR(Calc_오픈정렬!$F34="",Calc_오픈정렬!BE34=""),"",Calc_오픈정렬!BE34/Calc_오픈정렬!$F34*100)</f>
        <v/>
      </c>
      <c r="BF34" t="str">
        <f>IF(OR(Calc_오픈정렬!$F34="",Calc_오픈정렬!BF34=""),"",Calc_오픈정렬!BF34/Calc_오픈정렬!$F34*100)</f>
        <v/>
      </c>
      <c r="BG34" t="str">
        <f>IF(OR(Calc_오픈정렬!$F34="",Calc_오픈정렬!BG34=""),"",Calc_오픈정렬!BG34/Calc_오픈정렬!$F34*100)</f>
        <v/>
      </c>
      <c r="BH34" t="str">
        <f>IF(OR(Calc_오픈정렬!$F34="",Calc_오픈정렬!BH34=""),"",Calc_오픈정렬!BH34/Calc_오픈정렬!$F34*100)</f>
        <v/>
      </c>
      <c r="BI34" t="str">
        <f>IF(OR(Calc_오픈정렬!$F34="",Calc_오픈정렬!BI34=""),"",Calc_오픈정렬!BI34/Calc_오픈정렬!$F34*100)</f>
        <v/>
      </c>
      <c r="BJ34" t="str">
        <f>IF(OR(Calc_오픈정렬!$F34="",Calc_오픈정렬!BJ34=""),"",Calc_오픈정렬!BJ34/Calc_오픈정렬!$F34*100)</f>
        <v/>
      </c>
      <c r="BK34" t="str">
        <f>IF(OR(Calc_오픈정렬!$F34="",Calc_오픈정렬!BK34=""),"",Calc_오픈정렬!BK34/Calc_오픈정렬!$F34*100)</f>
        <v/>
      </c>
      <c r="BL34" t="str">
        <f>IF(OR(Calc_오픈정렬!$F34="",Calc_오픈정렬!BL34=""),"",Calc_오픈정렬!BL34/Calc_오픈정렬!$F34*100)</f>
        <v/>
      </c>
      <c r="BM34" t="str">
        <f>IF(OR(Calc_오픈정렬!$F34="",Calc_오픈정렬!BM34=""),"",Calc_오픈정렬!BM34/Calc_오픈정렬!$F34*100)</f>
        <v/>
      </c>
      <c r="BN34" t="str">
        <f>IF(OR(Calc_오픈정렬!$F34="",Calc_오픈정렬!BN34=""),"",Calc_오픈정렬!BN34/Calc_오픈정렬!$F34*100)</f>
        <v/>
      </c>
    </row>
    <row r="35" spans="1:66" x14ac:dyDescent="0.4">
      <c r="A35" t="str">
        <f>Calc_오픈정렬!A35</f>
        <v>(1023) #동탄석우동점</v>
      </c>
      <c r="B35" t="str">
        <f>Calc_오픈정렬!B35</f>
        <v>150-1</v>
      </c>
      <c r="C35">
        <f>Calc_오픈정렬!C35</f>
        <v>1</v>
      </c>
      <c r="D35" t="str">
        <f>Calc_오픈정렬!D35</f>
        <v>1</v>
      </c>
      <c r="E35" s="1">
        <f>Calc_오픈정렬!E35</f>
        <v>44317</v>
      </c>
      <c r="F35" t="str">
        <f>Calc_오픈정렬!F35</f>
        <v/>
      </c>
      <c r="G35" t="str">
        <f>IF(OR(Calc_오픈정렬!$F35="",Calc_오픈정렬!G35=""),"",Calc_오픈정렬!G35/Calc_오픈정렬!$F35*100)</f>
        <v/>
      </c>
      <c r="H35" t="str">
        <f>IF(OR(Calc_오픈정렬!$F35="",Calc_오픈정렬!H35=""),"",Calc_오픈정렬!H35/Calc_오픈정렬!$F35*100)</f>
        <v/>
      </c>
      <c r="I35" t="str">
        <f>IF(OR(Calc_오픈정렬!$F35="",Calc_오픈정렬!I35=""),"",Calc_오픈정렬!I35/Calc_오픈정렬!$F35*100)</f>
        <v/>
      </c>
      <c r="J35" t="str">
        <f>IF(OR(Calc_오픈정렬!$F35="",Calc_오픈정렬!J35=""),"",Calc_오픈정렬!J35/Calc_오픈정렬!$F35*100)</f>
        <v/>
      </c>
      <c r="K35" t="str">
        <f>IF(OR(Calc_오픈정렬!$F35="",Calc_오픈정렬!K35=""),"",Calc_오픈정렬!K35/Calc_오픈정렬!$F35*100)</f>
        <v/>
      </c>
      <c r="L35" t="str">
        <f>IF(OR(Calc_오픈정렬!$F35="",Calc_오픈정렬!L35=""),"",Calc_오픈정렬!L35/Calc_오픈정렬!$F35*100)</f>
        <v/>
      </c>
      <c r="M35" t="str">
        <f>IF(OR(Calc_오픈정렬!$F35="",Calc_오픈정렬!M35=""),"",Calc_오픈정렬!M35/Calc_오픈정렬!$F35*100)</f>
        <v/>
      </c>
      <c r="N35" t="str">
        <f>IF(OR(Calc_오픈정렬!$F35="",Calc_오픈정렬!N35=""),"",Calc_오픈정렬!N35/Calc_오픈정렬!$F35*100)</f>
        <v/>
      </c>
      <c r="O35" t="str">
        <f>IF(OR(Calc_오픈정렬!$F35="",Calc_오픈정렬!O35=""),"",Calc_오픈정렬!O35/Calc_오픈정렬!$F35*100)</f>
        <v/>
      </c>
      <c r="P35" t="str">
        <f>IF(OR(Calc_오픈정렬!$F35="",Calc_오픈정렬!P35=""),"",Calc_오픈정렬!P35/Calc_오픈정렬!$F35*100)</f>
        <v/>
      </c>
      <c r="Q35" t="str">
        <f>IF(OR(Calc_오픈정렬!$F35="",Calc_오픈정렬!Q35=""),"",Calc_오픈정렬!Q35/Calc_오픈정렬!$F35*100)</f>
        <v/>
      </c>
      <c r="R35" t="str">
        <f>IF(OR(Calc_오픈정렬!$F35="",Calc_오픈정렬!R35=""),"",Calc_오픈정렬!R35/Calc_오픈정렬!$F35*100)</f>
        <v/>
      </c>
      <c r="S35" t="str">
        <f>IF(OR(Calc_오픈정렬!$F35="",Calc_오픈정렬!S35=""),"",Calc_오픈정렬!S35/Calc_오픈정렬!$F35*100)</f>
        <v/>
      </c>
      <c r="T35" t="str">
        <f>IF(OR(Calc_오픈정렬!$F35="",Calc_오픈정렬!T35=""),"",Calc_오픈정렬!T35/Calc_오픈정렬!$F35*100)</f>
        <v/>
      </c>
      <c r="U35" t="str">
        <f>IF(OR(Calc_오픈정렬!$F35="",Calc_오픈정렬!U35=""),"",Calc_오픈정렬!U35/Calc_오픈정렬!$F35*100)</f>
        <v/>
      </c>
      <c r="V35" t="str">
        <f>IF(OR(Calc_오픈정렬!$F35="",Calc_오픈정렬!V35=""),"",Calc_오픈정렬!V35/Calc_오픈정렬!$F35*100)</f>
        <v/>
      </c>
      <c r="W35" t="str">
        <f>IF(OR(Calc_오픈정렬!$F35="",Calc_오픈정렬!W35=""),"",Calc_오픈정렬!W35/Calc_오픈정렬!$F35*100)</f>
        <v/>
      </c>
      <c r="X35" t="str">
        <f>IF(OR(Calc_오픈정렬!$F35="",Calc_오픈정렬!X35=""),"",Calc_오픈정렬!X35/Calc_오픈정렬!$F35*100)</f>
        <v/>
      </c>
      <c r="Y35" t="str">
        <f>IF(OR(Calc_오픈정렬!$F35="",Calc_오픈정렬!Y35=""),"",Calc_오픈정렬!Y35/Calc_오픈정렬!$F35*100)</f>
        <v/>
      </c>
      <c r="Z35" t="str">
        <f>IF(OR(Calc_오픈정렬!$F35="",Calc_오픈정렬!Z35=""),"",Calc_오픈정렬!Z35/Calc_오픈정렬!$F35*100)</f>
        <v/>
      </c>
      <c r="AA35" t="str">
        <f>IF(OR(Calc_오픈정렬!$F35="",Calc_오픈정렬!AA35=""),"",Calc_오픈정렬!AA35/Calc_오픈정렬!$F35*100)</f>
        <v/>
      </c>
      <c r="AB35" t="str">
        <f>IF(OR(Calc_오픈정렬!$F35="",Calc_오픈정렬!AB35=""),"",Calc_오픈정렬!AB35/Calc_오픈정렬!$F35*100)</f>
        <v/>
      </c>
      <c r="AC35" t="str">
        <f>IF(OR(Calc_오픈정렬!$F35="",Calc_오픈정렬!AC35=""),"",Calc_오픈정렬!AC35/Calc_오픈정렬!$F35*100)</f>
        <v/>
      </c>
      <c r="AD35" t="str">
        <f>IF(OR(Calc_오픈정렬!$F35="",Calc_오픈정렬!AD35=""),"",Calc_오픈정렬!AD35/Calc_오픈정렬!$F35*100)</f>
        <v/>
      </c>
      <c r="AE35" t="str">
        <f>IF(OR(Calc_오픈정렬!$F35="",Calc_오픈정렬!AE35=""),"",Calc_오픈정렬!AE35/Calc_오픈정렬!$F35*100)</f>
        <v/>
      </c>
      <c r="AF35" t="str">
        <f>IF(OR(Calc_오픈정렬!$F35="",Calc_오픈정렬!AF35=""),"",Calc_오픈정렬!AF35/Calc_오픈정렬!$F35*100)</f>
        <v/>
      </c>
      <c r="AG35" t="str">
        <f>IF(OR(Calc_오픈정렬!$F35="",Calc_오픈정렬!AG35=""),"",Calc_오픈정렬!AG35/Calc_오픈정렬!$F35*100)</f>
        <v/>
      </c>
      <c r="AH35" t="str">
        <f>IF(OR(Calc_오픈정렬!$F35="",Calc_오픈정렬!AH35=""),"",Calc_오픈정렬!AH35/Calc_오픈정렬!$F35*100)</f>
        <v/>
      </c>
      <c r="AI35" t="str">
        <f>IF(OR(Calc_오픈정렬!$F35="",Calc_오픈정렬!AI35=""),"",Calc_오픈정렬!AI35/Calc_오픈정렬!$F35*100)</f>
        <v/>
      </c>
      <c r="AJ35" t="str">
        <f>IF(OR(Calc_오픈정렬!$F35="",Calc_오픈정렬!AJ35=""),"",Calc_오픈정렬!AJ35/Calc_오픈정렬!$F35*100)</f>
        <v/>
      </c>
      <c r="AK35" t="str">
        <f>IF(OR(Calc_오픈정렬!$F35="",Calc_오픈정렬!AK35=""),"",Calc_오픈정렬!AK35/Calc_오픈정렬!$F35*100)</f>
        <v/>
      </c>
      <c r="AL35" t="str">
        <f>IF(OR(Calc_오픈정렬!$F35="",Calc_오픈정렬!AL35=""),"",Calc_오픈정렬!AL35/Calc_오픈정렬!$F35*100)</f>
        <v/>
      </c>
      <c r="AM35" t="str">
        <f>IF(OR(Calc_오픈정렬!$F35="",Calc_오픈정렬!AM35=""),"",Calc_오픈정렬!AM35/Calc_오픈정렬!$F35*100)</f>
        <v/>
      </c>
      <c r="AN35" t="str">
        <f>IF(OR(Calc_오픈정렬!$F35="",Calc_오픈정렬!AN35=""),"",Calc_오픈정렬!AN35/Calc_오픈정렬!$F35*100)</f>
        <v/>
      </c>
      <c r="AO35" t="str">
        <f>IF(OR(Calc_오픈정렬!$F35="",Calc_오픈정렬!AO35=""),"",Calc_오픈정렬!AO35/Calc_오픈정렬!$F35*100)</f>
        <v/>
      </c>
      <c r="AP35" t="str">
        <f>IF(OR(Calc_오픈정렬!$F35="",Calc_오픈정렬!AP35=""),"",Calc_오픈정렬!AP35/Calc_오픈정렬!$F35*100)</f>
        <v/>
      </c>
      <c r="AQ35" t="str">
        <f>IF(OR(Calc_오픈정렬!$F35="",Calc_오픈정렬!AQ35=""),"",Calc_오픈정렬!AQ35/Calc_오픈정렬!$F35*100)</f>
        <v/>
      </c>
      <c r="AR35" t="str">
        <f>IF(OR(Calc_오픈정렬!$F35="",Calc_오픈정렬!AR35=""),"",Calc_오픈정렬!AR35/Calc_오픈정렬!$F35*100)</f>
        <v/>
      </c>
      <c r="AS35" t="str">
        <f>IF(OR(Calc_오픈정렬!$F35="",Calc_오픈정렬!AS35=""),"",Calc_오픈정렬!AS35/Calc_오픈정렬!$F35*100)</f>
        <v/>
      </c>
      <c r="AT35" t="str">
        <f>IF(OR(Calc_오픈정렬!$F35="",Calc_오픈정렬!AT35=""),"",Calc_오픈정렬!AT35/Calc_오픈정렬!$F35*100)</f>
        <v/>
      </c>
      <c r="AU35" t="str">
        <f>IF(OR(Calc_오픈정렬!$F35="",Calc_오픈정렬!AU35=""),"",Calc_오픈정렬!AU35/Calc_오픈정렬!$F35*100)</f>
        <v/>
      </c>
      <c r="AV35" t="str">
        <f>IF(OR(Calc_오픈정렬!$F35="",Calc_오픈정렬!AV35=""),"",Calc_오픈정렬!AV35/Calc_오픈정렬!$F35*100)</f>
        <v/>
      </c>
      <c r="AW35" t="str">
        <f>IF(OR(Calc_오픈정렬!$F35="",Calc_오픈정렬!AW35=""),"",Calc_오픈정렬!AW35/Calc_오픈정렬!$F35*100)</f>
        <v/>
      </c>
      <c r="AX35" t="str">
        <f>IF(OR(Calc_오픈정렬!$F35="",Calc_오픈정렬!AX35=""),"",Calc_오픈정렬!AX35/Calc_오픈정렬!$F35*100)</f>
        <v/>
      </c>
      <c r="AY35" t="str">
        <f>IF(OR(Calc_오픈정렬!$F35="",Calc_오픈정렬!AY35=""),"",Calc_오픈정렬!AY35/Calc_오픈정렬!$F35*100)</f>
        <v/>
      </c>
      <c r="AZ35" t="str">
        <f>IF(OR(Calc_오픈정렬!$F35="",Calc_오픈정렬!AZ35=""),"",Calc_오픈정렬!AZ35/Calc_오픈정렬!$F35*100)</f>
        <v/>
      </c>
      <c r="BA35" t="str">
        <f>IF(OR(Calc_오픈정렬!$F35="",Calc_오픈정렬!BA35=""),"",Calc_오픈정렬!BA35/Calc_오픈정렬!$F35*100)</f>
        <v/>
      </c>
      <c r="BB35" t="str">
        <f>IF(OR(Calc_오픈정렬!$F35="",Calc_오픈정렬!BB35=""),"",Calc_오픈정렬!BB35/Calc_오픈정렬!$F35*100)</f>
        <v/>
      </c>
      <c r="BC35" t="str">
        <f>IF(OR(Calc_오픈정렬!$F35="",Calc_오픈정렬!BC35=""),"",Calc_오픈정렬!BC35/Calc_오픈정렬!$F35*100)</f>
        <v/>
      </c>
      <c r="BD35" t="str">
        <f>IF(OR(Calc_오픈정렬!$F35="",Calc_오픈정렬!BD35=""),"",Calc_오픈정렬!BD35/Calc_오픈정렬!$F35*100)</f>
        <v/>
      </c>
      <c r="BE35" t="str">
        <f>IF(OR(Calc_오픈정렬!$F35="",Calc_오픈정렬!BE35=""),"",Calc_오픈정렬!BE35/Calc_오픈정렬!$F35*100)</f>
        <v/>
      </c>
      <c r="BF35" t="str">
        <f>IF(OR(Calc_오픈정렬!$F35="",Calc_오픈정렬!BF35=""),"",Calc_오픈정렬!BF35/Calc_오픈정렬!$F35*100)</f>
        <v/>
      </c>
      <c r="BG35" t="str">
        <f>IF(OR(Calc_오픈정렬!$F35="",Calc_오픈정렬!BG35=""),"",Calc_오픈정렬!BG35/Calc_오픈정렬!$F35*100)</f>
        <v/>
      </c>
      <c r="BH35" t="str">
        <f>IF(OR(Calc_오픈정렬!$F35="",Calc_오픈정렬!BH35=""),"",Calc_오픈정렬!BH35/Calc_오픈정렬!$F35*100)</f>
        <v/>
      </c>
      <c r="BI35" t="str">
        <f>IF(OR(Calc_오픈정렬!$F35="",Calc_오픈정렬!BI35=""),"",Calc_오픈정렬!BI35/Calc_오픈정렬!$F35*100)</f>
        <v/>
      </c>
      <c r="BJ35" t="str">
        <f>IF(OR(Calc_오픈정렬!$F35="",Calc_오픈정렬!BJ35=""),"",Calc_오픈정렬!BJ35/Calc_오픈정렬!$F35*100)</f>
        <v/>
      </c>
      <c r="BK35" t="str">
        <f>IF(OR(Calc_오픈정렬!$F35="",Calc_오픈정렬!BK35=""),"",Calc_오픈정렬!BK35/Calc_오픈정렬!$F35*100)</f>
        <v/>
      </c>
      <c r="BL35" t="str">
        <f>IF(OR(Calc_오픈정렬!$F35="",Calc_오픈정렬!BL35=""),"",Calc_오픈정렬!BL35/Calc_오픈정렬!$F35*100)</f>
        <v/>
      </c>
      <c r="BM35" t="str">
        <f>IF(OR(Calc_오픈정렬!$F35="",Calc_오픈정렬!BM35=""),"",Calc_오픈정렬!BM35/Calc_오픈정렬!$F35*100)</f>
        <v/>
      </c>
      <c r="BN35" t="str">
        <f>IF(OR(Calc_오픈정렬!$F35="",Calc_오픈정렬!BN35=""),"",Calc_오픈정렬!BN35/Calc_오픈정렬!$F35*100)</f>
        <v/>
      </c>
    </row>
    <row r="36" spans="1:66" x14ac:dyDescent="0.4">
      <c r="A36" t="str">
        <f>Calc_오픈정렬!A36</f>
        <v>(1024) #인헌그린점</v>
      </c>
      <c r="B36" t="str">
        <f>Calc_오픈정렬!B36</f>
        <v>150-1</v>
      </c>
      <c r="C36">
        <f>Calc_오픈정렬!C36</f>
        <v>1</v>
      </c>
      <c r="D36" t="str">
        <f>Calc_오픈정렬!D36</f>
        <v>1</v>
      </c>
      <c r="E36" s="1">
        <f>Calc_오픈정렬!E36</f>
        <v>44317</v>
      </c>
      <c r="F36" t="str">
        <f>Calc_오픈정렬!F36</f>
        <v/>
      </c>
      <c r="G36" t="str">
        <f>IF(OR(Calc_오픈정렬!$F36="",Calc_오픈정렬!G36=""),"",Calc_오픈정렬!G36/Calc_오픈정렬!$F36*100)</f>
        <v/>
      </c>
      <c r="H36" t="str">
        <f>IF(OR(Calc_오픈정렬!$F36="",Calc_오픈정렬!H36=""),"",Calc_오픈정렬!H36/Calc_오픈정렬!$F36*100)</f>
        <v/>
      </c>
      <c r="I36" t="str">
        <f>IF(OR(Calc_오픈정렬!$F36="",Calc_오픈정렬!I36=""),"",Calc_오픈정렬!I36/Calc_오픈정렬!$F36*100)</f>
        <v/>
      </c>
      <c r="J36" t="str">
        <f>IF(OR(Calc_오픈정렬!$F36="",Calc_오픈정렬!J36=""),"",Calc_오픈정렬!J36/Calc_오픈정렬!$F36*100)</f>
        <v/>
      </c>
      <c r="K36" t="str">
        <f>IF(OR(Calc_오픈정렬!$F36="",Calc_오픈정렬!K36=""),"",Calc_오픈정렬!K36/Calc_오픈정렬!$F36*100)</f>
        <v/>
      </c>
      <c r="L36" t="str">
        <f>IF(OR(Calc_오픈정렬!$F36="",Calc_오픈정렬!L36=""),"",Calc_오픈정렬!L36/Calc_오픈정렬!$F36*100)</f>
        <v/>
      </c>
      <c r="M36" t="str">
        <f>IF(OR(Calc_오픈정렬!$F36="",Calc_오픈정렬!M36=""),"",Calc_오픈정렬!M36/Calc_오픈정렬!$F36*100)</f>
        <v/>
      </c>
      <c r="N36" t="str">
        <f>IF(OR(Calc_오픈정렬!$F36="",Calc_오픈정렬!N36=""),"",Calc_오픈정렬!N36/Calc_오픈정렬!$F36*100)</f>
        <v/>
      </c>
      <c r="O36" t="str">
        <f>IF(OR(Calc_오픈정렬!$F36="",Calc_오픈정렬!O36=""),"",Calc_오픈정렬!O36/Calc_오픈정렬!$F36*100)</f>
        <v/>
      </c>
      <c r="P36" t="str">
        <f>IF(OR(Calc_오픈정렬!$F36="",Calc_오픈정렬!P36=""),"",Calc_오픈정렬!P36/Calc_오픈정렬!$F36*100)</f>
        <v/>
      </c>
      <c r="Q36" t="str">
        <f>IF(OR(Calc_오픈정렬!$F36="",Calc_오픈정렬!Q36=""),"",Calc_오픈정렬!Q36/Calc_오픈정렬!$F36*100)</f>
        <v/>
      </c>
      <c r="R36" t="str">
        <f>IF(OR(Calc_오픈정렬!$F36="",Calc_오픈정렬!R36=""),"",Calc_오픈정렬!R36/Calc_오픈정렬!$F36*100)</f>
        <v/>
      </c>
      <c r="S36" t="str">
        <f>IF(OR(Calc_오픈정렬!$F36="",Calc_오픈정렬!S36=""),"",Calc_오픈정렬!S36/Calc_오픈정렬!$F36*100)</f>
        <v/>
      </c>
      <c r="T36" t="str">
        <f>IF(OR(Calc_오픈정렬!$F36="",Calc_오픈정렬!T36=""),"",Calc_오픈정렬!T36/Calc_오픈정렬!$F36*100)</f>
        <v/>
      </c>
      <c r="U36" t="str">
        <f>IF(OR(Calc_오픈정렬!$F36="",Calc_오픈정렬!U36=""),"",Calc_오픈정렬!U36/Calc_오픈정렬!$F36*100)</f>
        <v/>
      </c>
      <c r="V36" t="str">
        <f>IF(OR(Calc_오픈정렬!$F36="",Calc_오픈정렬!V36=""),"",Calc_오픈정렬!V36/Calc_오픈정렬!$F36*100)</f>
        <v/>
      </c>
      <c r="W36" t="str">
        <f>IF(OR(Calc_오픈정렬!$F36="",Calc_오픈정렬!W36=""),"",Calc_오픈정렬!W36/Calc_오픈정렬!$F36*100)</f>
        <v/>
      </c>
      <c r="X36" t="str">
        <f>IF(OR(Calc_오픈정렬!$F36="",Calc_오픈정렬!X36=""),"",Calc_오픈정렬!X36/Calc_오픈정렬!$F36*100)</f>
        <v/>
      </c>
      <c r="Y36" t="str">
        <f>IF(OR(Calc_오픈정렬!$F36="",Calc_오픈정렬!Y36=""),"",Calc_오픈정렬!Y36/Calc_오픈정렬!$F36*100)</f>
        <v/>
      </c>
      <c r="Z36" t="str">
        <f>IF(OR(Calc_오픈정렬!$F36="",Calc_오픈정렬!Z36=""),"",Calc_오픈정렬!Z36/Calc_오픈정렬!$F36*100)</f>
        <v/>
      </c>
      <c r="AA36" t="str">
        <f>IF(OR(Calc_오픈정렬!$F36="",Calc_오픈정렬!AA36=""),"",Calc_오픈정렬!AA36/Calc_오픈정렬!$F36*100)</f>
        <v/>
      </c>
      <c r="AB36" t="str">
        <f>IF(OR(Calc_오픈정렬!$F36="",Calc_오픈정렬!AB36=""),"",Calc_오픈정렬!AB36/Calc_오픈정렬!$F36*100)</f>
        <v/>
      </c>
      <c r="AC36" t="str">
        <f>IF(OR(Calc_오픈정렬!$F36="",Calc_오픈정렬!AC36=""),"",Calc_오픈정렬!AC36/Calc_오픈정렬!$F36*100)</f>
        <v/>
      </c>
      <c r="AD36" t="str">
        <f>IF(OR(Calc_오픈정렬!$F36="",Calc_오픈정렬!AD36=""),"",Calc_오픈정렬!AD36/Calc_오픈정렬!$F36*100)</f>
        <v/>
      </c>
      <c r="AE36" t="str">
        <f>IF(OR(Calc_오픈정렬!$F36="",Calc_오픈정렬!AE36=""),"",Calc_오픈정렬!AE36/Calc_오픈정렬!$F36*100)</f>
        <v/>
      </c>
      <c r="AF36" t="str">
        <f>IF(OR(Calc_오픈정렬!$F36="",Calc_오픈정렬!AF36=""),"",Calc_오픈정렬!AF36/Calc_오픈정렬!$F36*100)</f>
        <v/>
      </c>
      <c r="AG36" t="str">
        <f>IF(OR(Calc_오픈정렬!$F36="",Calc_오픈정렬!AG36=""),"",Calc_오픈정렬!AG36/Calc_오픈정렬!$F36*100)</f>
        <v/>
      </c>
      <c r="AH36" t="str">
        <f>IF(OR(Calc_오픈정렬!$F36="",Calc_오픈정렬!AH36=""),"",Calc_오픈정렬!AH36/Calc_오픈정렬!$F36*100)</f>
        <v/>
      </c>
      <c r="AI36" t="str">
        <f>IF(OR(Calc_오픈정렬!$F36="",Calc_오픈정렬!AI36=""),"",Calc_오픈정렬!AI36/Calc_오픈정렬!$F36*100)</f>
        <v/>
      </c>
      <c r="AJ36" t="str">
        <f>IF(OR(Calc_오픈정렬!$F36="",Calc_오픈정렬!AJ36=""),"",Calc_오픈정렬!AJ36/Calc_오픈정렬!$F36*100)</f>
        <v/>
      </c>
      <c r="AK36" t="str">
        <f>IF(OR(Calc_오픈정렬!$F36="",Calc_오픈정렬!AK36=""),"",Calc_오픈정렬!AK36/Calc_오픈정렬!$F36*100)</f>
        <v/>
      </c>
      <c r="AL36" t="str">
        <f>IF(OR(Calc_오픈정렬!$F36="",Calc_오픈정렬!AL36=""),"",Calc_오픈정렬!AL36/Calc_오픈정렬!$F36*100)</f>
        <v/>
      </c>
      <c r="AM36" t="str">
        <f>IF(OR(Calc_오픈정렬!$F36="",Calc_오픈정렬!AM36=""),"",Calc_오픈정렬!AM36/Calc_오픈정렬!$F36*100)</f>
        <v/>
      </c>
      <c r="AN36" t="str">
        <f>IF(OR(Calc_오픈정렬!$F36="",Calc_오픈정렬!AN36=""),"",Calc_오픈정렬!AN36/Calc_오픈정렬!$F36*100)</f>
        <v/>
      </c>
      <c r="AO36" t="str">
        <f>IF(OR(Calc_오픈정렬!$F36="",Calc_오픈정렬!AO36=""),"",Calc_오픈정렬!AO36/Calc_오픈정렬!$F36*100)</f>
        <v/>
      </c>
      <c r="AP36" t="str">
        <f>IF(OR(Calc_오픈정렬!$F36="",Calc_오픈정렬!AP36=""),"",Calc_오픈정렬!AP36/Calc_오픈정렬!$F36*100)</f>
        <v/>
      </c>
      <c r="AQ36" t="str">
        <f>IF(OR(Calc_오픈정렬!$F36="",Calc_오픈정렬!AQ36=""),"",Calc_오픈정렬!AQ36/Calc_오픈정렬!$F36*100)</f>
        <v/>
      </c>
      <c r="AR36" t="str">
        <f>IF(OR(Calc_오픈정렬!$F36="",Calc_오픈정렬!AR36=""),"",Calc_오픈정렬!AR36/Calc_오픈정렬!$F36*100)</f>
        <v/>
      </c>
      <c r="AS36" t="str">
        <f>IF(OR(Calc_오픈정렬!$F36="",Calc_오픈정렬!AS36=""),"",Calc_오픈정렬!AS36/Calc_오픈정렬!$F36*100)</f>
        <v/>
      </c>
      <c r="AT36" t="str">
        <f>IF(OR(Calc_오픈정렬!$F36="",Calc_오픈정렬!AT36=""),"",Calc_오픈정렬!AT36/Calc_오픈정렬!$F36*100)</f>
        <v/>
      </c>
      <c r="AU36" t="str">
        <f>IF(OR(Calc_오픈정렬!$F36="",Calc_오픈정렬!AU36=""),"",Calc_오픈정렬!AU36/Calc_오픈정렬!$F36*100)</f>
        <v/>
      </c>
      <c r="AV36" t="str">
        <f>IF(OR(Calc_오픈정렬!$F36="",Calc_오픈정렬!AV36=""),"",Calc_오픈정렬!AV36/Calc_오픈정렬!$F36*100)</f>
        <v/>
      </c>
      <c r="AW36" t="str">
        <f>IF(OR(Calc_오픈정렬!$F36="",Calc_오픈정렬!AW36=""),"",Calc_오픈정렬!AW36/Calc_오픈정렬!$F36*100)</f>
        <v/>
      </c>
      <c r="AX36" t="str">
        <f>IF(OR(Calc_오픈정렬!$F36="",Calc_오픈정렬!AX36=""),"",Calc_오픈정렬!AX36/Calc_오픈정렬!$F36*100)</f>
        <v/>
      </c>
      <c r="AY36" t="str">
        <f>IF(OR(Calc_오픈정렬!$F36="",Calc_오픈정렬!AY36=""),"",Calc_오픈정렬!AY36/Calc_오픈정렬!$F36*100)</f>
        <v/>
      </c>
      <c r="AZ36" t="str">
        <f>IF(OR(Calc_오픈정렬!$F36="",Calc_오픈정렬!AZ36=""),"",Calc_오픈정렬!AZ36/Calc_오픈정렬!$F36*100)</f>
        <v/>
      </c>
      <c r="BA36" t="str">
        <f>IF(OR(Calc_오픈정렬!$F36="",Calc_오픈정렬!BA36=""),"",Calc_오픈정렬!BA36/Calc_오픈정렬!$F36*100)</f>
        <v/>
      </c>
      <c r="BB36" t="str">
        <f>IF(OR(Calc_오픈정렬!$F36="",Calc_오픈정렬!BB36=""),"",Calc_오픈정렬!BB36/Calc_오픈정렬!$F36*100)</f>
        <v/>
      </c>
      <c r="BC36" t="str">
        <f>IF(OR(Calc_오픈정렬!$F36="",Calc_오픈정렬!BC36=""),"",Calc_오픈정렬!BC36/Calc_오픈정렬!$F36*100)</f>
        <v/>
      </c>
      <c r="BD36" t="str">
        <f>IF(OR(Calc_오픈정렬!$F36="",Calc_오픈정렬!BD36=""),"",Calc_오픈정렬!BD36/Calc_오픈정렬!$F36*100)</f>
        <v/>
      </c>
      <c r="BE36" t="str">
        <f>IF(OR(Calc_오픈정렬!$F36="",Calc_오픈정렬!BE36=""),"",Calc_오픈정렬!BE36/Calc_오픈정렬!$F36*100)</f>
        <v/>
      </c>
      <c r="BF36" t="str">
        <f>IF(OR(Calc_오픈정렬!$F36="",Calc_오픈정렬!BF36=""),"",Calc_오픈정렬!BF36/Calc_오픈정렬!$F36*100)</f>
        <v/>
      </c>
      <c r="BG36" t="str">
        <f>IF(OR(Calc_오픈정렬!$F36="",Calc_오픈정렬!BG36=""),"",Calc_오픈정렬!BG36/Calc_오픈정렬!$F36*100)</f>
        <v/>
      </c>
      <c r="BH36" t="str">
        <f>IF(OR(Calc_오픈정렬!$F36="",Calc_오픈정렬!BH36=""),"",Calc_오픈정렬!BH36/Calc_오픈정렬!$F36*100)</f>
        <v/>
      </c>
      <c r="BI36" t="str">
        <f>IF(OR(Calc_오픈정렬!$F36="",Calc_오픈정렬!BI36=""),"",Calc_오픈정렬!BI36/Calc_오픈정렬!$F36*100)</f>
        <v/>
      </c>
      <c r="BJ36" t="str">
        <f>IF(OR(Calc_오픈정렬!$F36="",Calc_오픈정렬!BJ36=""),"",Calc_오픈정렬!BJ36/Calc_오픈정렬!$F36*100)</f>
        <v/>
      </c>
      <c r="BK36" t="str">
        <f>IF(OR(Calc_오픈정렬!$F36="",Calc_오픈정렬!BK36=""),"",Calc_오픈정렬!BK36/Calc_오픈정렬!$F36*100)</f>
        <v/>
      </c>
      <c r="BL36" t="str">
        <f>IF(OR(Calc_오픈정렬!$F36="",Calc_오픈정렬!BL36=""),"",Calc_오픈정렬!BL36/Calc_오픈정렬!$F36*100)</f>
        <v/>
      </c>
      <c r="BM36" t="str">
        <f>IF(OR(Calc_오픈정렬!$F36="",Calc_오픈정렬!BM36=""),"",Calc_오픈정렬!BM36/Calc_오픈정렬!$F36*100)</f>
        <v/>
      </c>
      <c r="BN36" t="str">
        <f>IF(OR(Calc_오픈정렬!$F36="",Calc_오픈정렬!BN36=""),"",Calc_오픈정렬!BN36/Calc_오픈정렬!$F36*100)</f>
        <v/>
      </c>
    </row>
    <row r="37" spans="1:66" x14ac:dyDescent="0.4">
      <c r="A37" t="str">
        <f>Calc_오픈정렬!A37</f>
        <v>(1025) #연남점</v>
      </c>
      <c r="B37" t="str">
        <f>Calc_오픈정렬!B37</f>
        <v>150-0</v>
      </c>
      <c r="C37">
        <f>Calc_오픈정렬!C37</f>
        <v>0</v>
      </c>
      <c r="D37" t="str">
        <f>Calc_오픈정렬!D37</f>
        <v>0</v>
      </c>
      <c r="E37" s="1">
        <f>Calc_오픈정렬!E37</f>
        <v>44440</v>
      </c>
      <c r="F37">
        <f>Calc_오픈정렬!F37</f>
        <v>6200296.2185647823</v>
      </c>
      <c r="G37">
        <f>IF(OR(Calc_오픈정렬!$F37="",Calc_오픈정렬!G37=""),"",Calc_오픈정렬!G37/Calc_오픈정렬!$F37*100)</f>
        <v>67.600644203968969</v>
      </c>
      <c r="H37">
        <f>IF(OR(Calc_오픈정렬!$F37="",Calc_오픈정렬!H37=""),"",Calc_오픈정렬!H37/Calc_오픈정렬!$F37*100)</f>
        <v>79.619596823828502</v>
      </c>
      <c r="I37">
        <f>IF(OR(Calc_오픈정렬!$F37="",Calc_오픈정렬!I37=""),"",Calc_오픈정렬!I37/Calc_오픈정렬!$F37*100)</f>
        <v>86.487282320307372</v>
      </c>
      <c r="J37">
        <f>IF(OR(Calc_오픈정렬!$F37="",Calc_오픈정렬!J37=""),"",Calc_오픈정렬!J37/Calc_오픈정렬!$F37*100)</f>
        <v>85.720347068419485</v>
      </c>
      <c r="K37">
        <f>IF(OR(Calc_오픈정렬!$F37="",Calc_오픈정렬!K37=""),"",Calc_오픈정렬!K37/Calc_오픈정렬!$F37*100)</f>
        <v>94.646681581402873</v>
      </c>
      <c r="L37">
        <f>IF(OR(Calc_오픈정렬!$F37="",Calc_오픈정렬!L37=""),"",Calc_오픈정렬!L37/Calc_오픈정렬!$F37*100)</f>
        <v>105.20289713779729</v>
      </c>
      <c r="M37">
        <f>IF(OR(Calc_오픈정렬!$F37="",Calc_오픈정렬!M37=""),"",Calc_오픈정렬!M37/Calc_오픈정렬!$F37*100)</f>
        <v>106.93075481519408</v>
      </c>
      <c r="N37">
        <f>IF(OR(Calc_오픈정렬!$F37="",Calc_오픈정렬!N37=""),"",Calc_오픈정렬!N37/Calc_오픈정렬!$F37*100)</f>
        <v>108.32686047010229</v>
      </c>
      <c r="O37">
        <f>IF(OR(Calc_오픈정렬!$F37="",Calc_오픈정렬!O37=""),"",Calc_오픈정렬!O37/Calc_오픈정렬!$F37*100)</f>
        <v>99.172458927083994</v>
      </c>
      <c r="P37">
        <f>IF(OR(Calc_오픈정렬!$F37="",Calc_오픈정렬!P37=""),"",Calc_오픈정렬!P37/Calc_오픈정렬!$F37*100)</f>
        <v>119.71683278884377</v>
      </c>
      <c r="Q37">
        <f>IF(OR(Calc_오픈정렬!$F37="",Calc_오픈정렬!Q37=""),"",Calc_오픈정렬!Q37/Calc_오픈정렬!$F37*100)</f>
        <v>126.84915155369198</v>
      </c>
      <c r="R37">
        <f>IF(OR(Calc_오픈정렬!$F37="",Calc_오픈정렬!R37=""),"",Calc_오픈정렬!R37/Calc_오픈정렬!$F37*100)</f>
        <v>127.36471132873606</v>
      </c>
      <c r="S37">
        <f>IF(OR(Calc_오픈정렬!$F37="",Calc_오픈정렬!S37=""),"",Calc_오픈정렬!S37/Calc_오픈정렬!$F37*100)</f>
        <v>110.72883135906577</v>
      </c>
      <c r="T37">
        <f>IF(OR(Calc_오픈정렬!$F37="",Calc_오픈정렬!T37=""),"",Calc_오픈정렬!T37/Calc_오픈정렬!$F37*100)</f>
        <v>106.49199557660054</v>
      </c>
      <c r="U37">
        <f>IF(OR(Calc_오픈정렬!$F37="",Calc_오픈정렬!U37=""),"",Calc_오픈정렬!U37/Calc_오픈정렬!$F37*100)</f>
        <v>116.31555781874046</v>
      </c>
      <c r="V37">
        <f>IF(OR(Calc_오픈정렬!$F37="",Calc_오픈정렬!V37=""),"",Calc_오픈정렬!V37/Calc_오픈정렬!$F37*100)</f>
        <v>127.59720271018378</v>
      </c>
      <c r="W37">
        <f>IF(OR(Calc_오픈정렬!$F37="",Calc_오픈정렬!W37=""),"",Calc_오픈정렬!W37/Calc_오픈정렬!$F37*100)</f>
        <v>136.02581389764521</v>
      </c>
      <c r="X37">
        <f>IF(OR(Calc_오픈정렬!$F37="",Calc_오픈정렬!X37=""),"",Calc_오픈정렬!X37/Calc_오픈정렬!$F37*100)</f>
        <v>122.89298051427848</v>
      </c>
      <c r="Y37">
        <f>IF(OR(Calc_오픈정렬!$F37="",Calc_오픈정렬!Y37=""),"",Calc_오픈정렬!Y37/Calc_오픈정렬!$F37*100)</f>
        <v>136.36679574103755</v>
      </c>
      <c r="Z37">
        <f>IF(OR(Calc_오픈정렬!$F37="",Calc_오픈정렬!Z37=""),"",Calc_오픈정렬!Z37/Calc_오픈정렬!$F37*100)</f>
        <v>130.94822985161639</v>
      </c>
      <c r="AA37">
        <f>IF(OR(Calc_오픈정렬!$F37="",Calc_오픈정렬!AA37=""),"",Calc_오픈정렬!AA37/Calc_오픈정렬!$F37*100)</f>
        <v>129.02062915517689</v>
      </c>
      <c r="AB37">
        <f>IF(OR(Calc_오픈정렬!$F37="",Calc_오픈정렬!AB37=""),"",Calc_오픈정렬!AB37/Calc_오픈정렬!$F37*100)</f>
        <v>116.02152980414324</v>
      </c>
      <c r="AC37">
        <f>IF(OR(Calc_오픈정렬!$F37="",Calc_오픈정렬!AC37=""),"",Calc_오픈정렬!AC37/Calc_오픈정렬!$F37*100)</f>
        <v>139.70662962627259</v>
      </c>
      <c r="AD37">
        <f>IF(OR(Calc_오픈정렬!$F37="",Calc_오픈정렬!AD37=""),"",Calc_오픈정렬!AD37/Calc_오픈정렬!$F37*100)</f>
        <v>113.66966605153191</v>
      </c>
      <c r="AE37">
        <f>IF(OR(Calc_오픈정렬!$F37="",Calc_오픈정렬!AE37=""),"",Calc_오픈정렬!AE37/Calc_오픈정렬!$F37*100)</f>
        <v>127.57011637301738</v>
      </c>
      <c r="AF37">
        <f>IF(OR(Calc_오픈정렬!$F37="",Calc_오픈정렬!AF37=""),"",Calc_오픈정렬!AF37/Calc_오픈정렬!$F37*100)</f>
        <v>125.91379155991243</v>
      </c>
      <c r="AG37">
        <f>IF(OR(Calc_오픈정렬!$F37="",Calc_오픈정렬!AG37=""),"",Calc_오픈정렬!AG37/Calc_오픈정렬!$F37*100)</f>
        <v>133.19320318645939</v>
      </c>
      <c r="AH37">
        <f>IF(OR(Calc_오픈정렬!$F37="",Calc_오픈정렬!AH37=""),"",Calc_오픈정렬!AH37/Calc_오픈정렬!$F37*100)</f>
        <v>142.74123474707469</v>
      </c>
      <c r="AI37">
        <f>IF(OR(Calc_오픈정렬!$F37="",Calc_오픈정렬!AI37=""),"",Calc_오픈정렬!AI37/Calc_오픈정렬!$F37*100)</f>
        <v>134.83803525046864</v>
      </c>
      <c r="AJ37">
        <f>IF(OR(Calc_오픈정렬!$F37="",Calc_오픈정렬!AJ37=""),"",Calc_오픈정렬!AJ37/Calc_오픈정렬!$F37*100)</f>
        <v>137.0548059418258</v>
      </c>
      <c r="AK37">
        <f>IF(OR(Calc_오픈정렬!$F37="",Calc_오픈정렬!AK37=""),"",Calc_오픈정렬!AK37/Calc_오픈정렬!$F37*100)</f>
        <v>146.28409419810029</v>
      </c>
      <c r="AL37">
        <f>IF(OR(Calc_오픈정렬!$F37="",Calc_오픈정렬!AL37=""),"",Calc_오픈정렬!AL37/Calc_오픈정렬!$F37*100)</f>
        <v>164.5039017750351</v>
      </c>
      <c r="AM37">
        <f>IF(OR(Calc_오픈정렬!$F37="",Calc_오픈정렬!AM37=""),"",Calc_오픈정렬!AM37/Calc_오픈정렬!$F37*100)</f>
        <v>139.96664198174687</v>
      </c>
      <c r="AN37">
        <f>IF(OR(Calc_오픈정렬!$F37="",Calc_오픈정렬!AN37=""),"",Calc_오픈정렬!AN37/Calc_오픈정렬!$F37*100)</f>
        <v>139.15663709761506</v>
      </c>
      <c r="AO37">
        <f>IF(OR(Calc_오픈정렬!$F37="",Calc_오픈정렬!AO37=""),"",Calc_오픈정렬!AO37/Calc_오픈정렬!$F37*100)</f>
        <v>156.64845624560019</v>
      </c>
      <c r="AP37">
        <f>IF(OR(Calc_오픈정렬!$F37="",Calc_오픈정렬!AP37=""),"",Calc_오픈정렬!AP37/Calc_오픈정렬!$F37*100)</f>
        <v>156.89748773222755</v>
      </c>
      <c r="AQ37">
        <f>IF(OR(Calc_오픈정렬!$F37="",Calc_오픈정렬!AQ37=""),"",Calc_오픈정렬!AQ37/Calc_오픈정렬!$F37*100)</f>
        <v>156.45239665041117</v>
      </c>
      <c r="AR37">
        <f>IF(OR(Calc_오픈정렬!$F37="",Calc_오픈정렬!AR37=""),"",Calc_오픈정렬!AR37/Calc_오픈정렬!$F37*100)</f>
        <v>147.96757575751451</v>
      </c>
      <c r="AS37">
        <f>IF(OR(Calc_오픈정렬!$F37="",Calc_오픈정렬!AS37=""),"",Calc_오픈정렬!AS37/Calc_오픈정렬!$F37*100)</f>
        <v>133.12566162261979</v>
      </c>
      <c r="AT37">
        <f>IF(OR(Calc_오픈정렬!$F37="",Calc_오픈정렬!AT37=""),"",Calc_오픈정렬!AT37/Calc_오픈정렬!$F37*100)</f>
        <v>128.21044969421843</v>
      </c>
      <c r="AU37">
        <f>IF(OR(Calc_오픈정렬!$F37="",Calc_오픈정렬!AU37=""),"",Calc_오픈정렬!AU37/Calc_오픈정렬!$F37*100)</f>
        <v>143.00348192594993</v>
      </c>
      <c r="AV37">
        <f>IF(OR(Calc_오픈정렬!$F37="",Calc_오픈정렬!AV37=""),"",Calc_오픈정렬!AV37/Calc_오픈정렬!$F37*100)</f>
        <v>136.88144503821204</v>
      </c>
      <c r="AW37">
        <f>IF(OR(Calc_오픈정렬!$F37="",Calc_오픈정렬!AW37=""),"",Calc_오픈정렬!AW37/Calc_오픈정렬!$F37*100)</f>
        <v>145.99861356436782</v>
      </c>
      <c r="AX37">
        <f>IF(OR(Calc_오픈정렬!$F37="",Calc_오픈정렬!AX37=""),"",Calc_오픈정렬!AX37/Calc_오픈정렬!$F37*100)</f>
        <v>153.12703265668236</v>
      </c>
      <c r="AY37">
        <f>IF(OR(Calc_오픈정렬!$F37="",Calc_오픈정렬!AY37=""),"",Calc_오픈정렬!AY37/Calc_오픈정렬!$F37*100)</f>
        <v>172.9992293043282</v>
      </c>
      <c r="AZ37">
        <f>IF(OR(Calc_오픈정렬!$F37="",Calc_오픈정렬!AZ37=""),"",Calc_오픈정렬!AZ37/Calc_오픈정렬!$F37*100)</f>
        <v>159.80969332476025</v>
      </c>
      <c r="BA37">
        <f>IF(OR(Calc_오픈정렬!$F37="",Calc_오픈정렬!BA37=""),"",Calc_오픈정렬!BA37/Calc_오픈정렬!$F37*100)</f>
        <v>140.94815818599523</v>
      </c>
      <c r="BB37">
        <f>IF(OR(Calc_오픈정렬!$F37="",Calc_오픈정렬!BB37=""),"",Calc_오픈정렬!BB37/Calc_오픈정렬!$F37*100)</f>
        <v>149.99211873965601</v>
      </c>
      <c r="BC37">
        <f>IF(OR(Calc_오픈정렬!$F37="",Calc_오픈정렬!BC37=""),"",Calc_오픈정렬!BC37/Calc_오픈정렬!$F37*100)</f>
        <v>148.76275128732166</v>
      </c>
      <c r="BD37">
        <f>IF(OR(Calc_오픈정렬!$F37="",Calc_오픈정렬!BD37=""),"",Calc_오픈정렬!BD37/Calc_오픈정렬!$F37*100)</f>
        <v>166.55794586248908</v>
      </c>
      <c r="BE37">
        <f>IF(OR(Calc_오픈정렬!$F37="",Calc_오픈정렬!BE37=""),"",Calc_오픈정렬!BE37/Calc_오픈정렬!$F37*100)</f>
        <v>151.7548952067022</v>
      </c>
      <c r="BF37">
        <f>IF(OR(Calc_오픈정렬!$F37="",Calc_오픈정렬!BF37=""),"",Calc_오픈정렬!BF37/Calc_오픈정렬!$F37*100)</f>
        <v>152.55084525855153</v>
      </c>
      <c r="BG37">
        <f>IF(OR(Calc_오픈정렬!$F37="",Calc_오픈정렬!BG37=""),"",Calc_오픈정렬!BG37/Calc_오픈정렬!$F37*100)</f>
        <v>154.13943826708791</v>
      </c>
      <c r="BH37">
        <f>IF(OR(Calc_오픈정렬!$F37="",Calc_오픈정렬!BH37=""),"",Calc_오픈정렬!BH37/Calc_오픈정렬!$F37*100)</f>
        <v>172.14680324573487</v>
      </c>
      <c r="BI37">
        <f>IF(OR(Calc_오픈정렬!$F37="",Calc_오픈정렬!BI37=""),"",Calc_오픈정렬!BI37/Calc_오픈정렬!$F37*100)</f>
        <v>163.48894973963445</v>
      </c>
      <c r="BJ37">
        <f>IF(OR(Calc_오픈정렬!$F37="",Calc_오픈정렬!BJ37=""),"",Calc_오픈정렬!BJ37/Calc_오픈정렬!$F37*100)</f>
        <v>155.88354721308656</v>
      </c>
      <c r="BK37">
        <f>IF(OR(Calc_오픈정렬!$F37="",Calc_오픈정렬!BK37=""),"",Calc_오픈정렬!BK37/Calc_오픈정렬!$F37*100)</f>
        <v>154.75235403996669</v>
      </c>
      <c r="BL37" t="str">
        <f>IF(OR(Calc_오픈정렬!$F37="",Calc_오픈정렬!BL37=""),"",Calc_오픈정렬!BL37/Calc_오픈정렬!$F37*100)</f>
        <v/>
      </c>
      <c r="BM37" t="str">
        <f>IF(OR(Calc_오픈정렬!$F37="",Calc_오픈정렬!BM37=""),"",Calc_오픈정렬!BM37/Calc_오픈정렬!$F37*100)</f>
        <v/>
      </c>
      <c r="BN37" t="str">
        <f>IF(OR(Calc_오픈정렬!$F37="",Calc_오픈정렬!BN37=""),"",Calc_오픈정렬!BN37/Calc_오픈정렬!$F37*100)</f>
        <v/>
      </c>
    </row>
    <row r="38" spans="1:66" x14ac:dyDescent="0.4">
      <c r="A38" t="str">
        <f>Calc_오픈정렬!A38</f>
        <v>(1026) #신촌점</v>
      </c>
      <c r="B38" t="str">
        <f>Calc_오픈정렬!B38</f>
        <v>150-1</v>
      </c>
      <c r="C38">
        <f>Calc_오픈정렬!C38</f>
        <v>1</v>
      </c>
      <c r="D38" t="str">
        <f>Calc_오픈정렬!D38</f>
        <v>1</v>
      </c>
      <c r="E38" s="1">
        <f>Calc_오픈정렬!E38</f>
        <v>44409</v>
      </c>
      <c r="F38">
        <f>Calc_오픈정렬!F38</f>
        <v>5006620.6689663632</v>
      </c>
      <c r="G38">
        <f>IF(OR(Calc_오픈정렬!$F38="",Calc_오픈정렬!G38=""),"",Calc_오픈정렬!G38/Calc_오픈정렬!$F38*100)</f>
        <v>72.826143084065379</v>
      </c>
      <c r="H38">
        <f>IF(OR(Calc_오픈정렬!$F38="",Calc_오픈정렬!H38=""),"",Calc_오픈정렬!H38/Calc_오픈정렬!$F38*100)</f>
        <v>84.327987301336464</v>
      </c>
      <c r="I38">
        <f>IF(OR(Calc_오픈정렬!$F38="",Calc_오픈정렬!I38=""),"",Calc_오픈정렬!I38/Calc_오픈정렬!$F38*100)</f>
        <v>80.627139524510099</v>
      </c>
      <c r="J38">
        <f>IF(OR(Calc_오픈정렬!$F38="",Calc_오픈정렬!J38=""),"",Calc_오픈정렬!J38/Calc_오픈정렬!$F38*100)</f>
        <v>76.655839951336063</v>
      </c>
      <c r="K38">
        <f>IF(OR(Calc_오픈정렬!$F38="",Calc_오픈정렬!K38=""),"",Calc_오픈정렬!K38/Calc_오픈정렬!$F38*100)</f>
        <v>86.120757899626284</v>
      </c>
      <c r="L38">
        <f>IF(OR(Calc_오픈정렬!$F38="",Calc_오픈정렬!L38=""),"",Calc_오픈정렬!L38/Calc_오픈정렬!$F38*100)</f>
        <v>98.866875109572618</v>
      </c>
      <c r="M38">
        <f>IF(OR(Calc_오픈정렬!$F38="",Calc_오픈정렬!M38=""),"",Calc_오픈정렬!M38/Calc_오픈정렬!$F38*100)</f>
        <v>113.94632822039321</v>
      </c>
      <c r="N38">
        <f>IF(OR(Calc_오픈정렬!$F38="",Calc_오픈정렬!N38=""),"",Calc_오픈정렬!N38/Calc_오픈정렬!$F38*100)</f>
        <v>105.80237987667019</v>
      </c>
      <c r="O38">
        <f>IF(OR(Calc_오픈정렬!$F38="",Calc_오픈정렬!O38=""),"",Calc_오픈정렬!O38/Calc_오픈정렬!$F38*100)</f>
        <v>118.60781894240165</v>
      </c>
      <c r="P38">
        <f>IF(OR(Calc_오픈정렬!$F38="",Calc_오픈정렬!P38=""),"",Calc_오픈정렬!P38/Calc_오픈정렬!$F38*100)</f>
        <v>122.11003258460931</v>
      </c>
      <c r="Q38">
        <f>IF(OR(Calc_오픈정렬!$F38="",Calc_오픈정렬!Q38=""),"",Calc_오픈정렬!Q38/Calc_오픈정렬!$F38*100)</f>
        <v>138.71444473926439</v>
      </c>
      <c r="R38">
        <f>IF(OR(Calc_오픈정렬!$F38="",Calc_오픈정렬!R38=""),"",Calc_오픈정렬!R38/Calc_오픈정렬!$F38*100)</f>
        <v>145.304316384874</v>
      </c>
      <c r="S38">
        <f>IF(OR(Calc_오픈정렬!$F38="",Calc_오픈정렬!S38=""),"",Calc_오픈정렬!S38/Calc_오픈정렬!$F38*100)</f>
        <v>158.46296981597143</v>
      </c>
      <c r="T38">
        <f>IF(OR(Calc_오픈정렬!$F38="",Calc_오픈정렬!T38=""),"",Calc_오픈정렬!T38/Calc_오픈정렬!$F38*100)</f>
        <v>158.47405637817394</v>
      </c>
      <c r="U38">
        <f>IF(OR(Calc_오픈정렬!$F38="",Calc_오픈정렬!U38=""),"",Calc_오픈정렬!U38/Calc_오픈정렬!$F38*100)</f>
        <v>145.85698702761286</v>
      </c>
      <c r="V38">
        <f>IF(OR(Calc_오픈정렬!$F38="",Calc_오픈정렬!V38=""),"",Calc_오픈정렬!V38/Calc_오픈정렬!$F38*100)</f>
        <v>151.95724831357279</v>
      </c>
      <c r="W38">
        <f>IF(OR(Calc_오픈정렬!$F38="",Calc_오픈정렬!W38=""),"",Calc_오픈정렬!W38/Calc_오픈정렬!$F38*100)</f>
        <v>147.02808566856336</v>
      </c>
      <c r="X38">
        <f>IF(OR(Calc_오픈정렬!$F38="",Calc_오픈정렬!X38=""),"",Calc_오픈정렬!X38/Calc_오픈정렬!$F38*100)</f>
        <v>158.27827743412263</v>
      </c>
      <c r="Y38">
        <f>IF(OR(Calc_오픈정렬!$F38="",Calc_오픈정렬!Y38=""),"",Calc_오픈정렬!Y38/Calc_오픈정렬!$F38*100)</f>
        <v>149.38497516925418</v>
      </c>
      <c r="Z38">
        <f>IF(OR(Calc_오픈정렬!$F38="",Calc_오픈정렬!Z38=""),"",Calc_오픈정렬!Z38/Calc_오픈정렬!$F38*100)</f>
        <v>151.13421765181607</v>
      </c>
      <c r="AA38">
        <f>IF(OR(Calc_오픈정렬!$F38="",Calc_오픈정렬!AA38=""),"",Calc_오픈정렬!AA38/Calc_오픈정렬!$F38*100)</f>
        <v>141.07342809360972</v>
      </c>
      <c r="AB38">
        <f>IF(OR(Calc_오픈정렬!$F38="",Calc_오픈정렬!AB38=""),"",Calc_오픈정렬!AB38/Calc_오픈정렬!$F38*100)</f>
        <v>158.27463512197019</v>
      </c>
      <c r="AC38">
        <f>IF(OR(Calc_오픈정렬!$F38="",Calc_오픈정렬!AC38=""),"",Calc_오픈정렬!AC38/Calc_오픈정렬!$F38*100)</f>
        <v>156.63210773631394</v>
      </c>
      <c r="AD38">
        <f>IF(OR(Calc_오픈정렬!$F38="",Calc_오픈정렬!AD38=""),"",Calc_오픈정렬!AD38/Calc_오픈정렬!$F38*100)</f>
        <v>191.53086436472256</v>
      </c>
      <c r="AE38">
        <f>IF(OR(Calc_오픈정렬!$F38="",Calc_오픈정렬!AE38=""),"",Calc_오픈정렬!AE38/Calc_오픈정렬!$F38*100)</f>
        <v>172.61070128655311</v>
      </c>
      <c r="AF38">
        <f>IF(OR(Calc_오픈정렬!$F38="",Calc_오픈정렬!AF38=""),"",Calc_오픈정렬!AF38/Calc_오픈정렬!$F38*100)</f>
        <v>172.99486020970377</v>
      </c>
      <c r="AG38">
        <f>IF(OR(Calc_오픈정렬!$F38="",Calc_오픈정렬!AG38=""),"",Calc_오픈정렬!AG38/Calc_오픈정렬!$F38*100)</f>
        <v>162.55348495979297</v>
      </c>
      <c r="AH38">
        <f>IF(OR(Calc_오픈정렬!$F38="",Calc_오픈정렬!AH38=""),"",Calc_오픈정렬!AH38/Calc_오픈정렬!$F38*100)</f>
        <v>164.71384520954629</v>
      </c>
      <c r="AI38">
        <f>IF(OR(Calc_오픈정렬!$F38="",Calc_오픈정렬!AI38=""),"",Calc_오픈정렬!AI38/Calc_오픈정렬!$F38*100)</f>
        <v>156.65302847696213</v>
      </c>
      <c r="AJ38">
        <f>IF(OR(Calc_오픈정렬!$F38="",Calc_오픈정렬!AJ38=""),"",Calc_오픈정렬!AJ38/Calc_오픈정렬!$F38*100)</f>
        <v>149.32016049833061</v>
      </c>
      <c r="AK38">
        <f>IF(OR(Calc_오픈정렬!$F38="",Calc_오픈정렬!AK38=""),"",Calc_오픈정렬!AK38/Calc_오픈정렬!$F38*100)</f>
        <v>163.63176148294508</v>
      </c>
      <c r="AL38">
        <f>IF(OR(Calc_오픈정렬!$F38="",Calc_오픈정렬!AL38=""),"",Calc_오픈정렬!AL38/Calc_오픈정렬!$F38*100)</f>
        <v>166.16171981878415</v>
      </c>
      <c r="AM38">
        <f>IF(OR(Calc_오픈정렬!$F38="",Calc_오픈정렬!AM38=""),"",Calc_오픈정렬!AM38/Calc_오픈정렬!$F38*100)</f>
        <v>171.33245516789165</v>
      </c>
      <c r="AN38">
        <f>IF(OR(Calc_오픈정렬!$F38="",Calc_오픈정렬!AN38=""),"",Calc_오픈정렬!AN38/Calc_오픈정렬!$F38*100)</f>
        <v>156.64819477303132</v>
      </c>
      <c r="AO38">
        <f>IF(OR(Calc_오픈정렬!$F38="",Calc_오픈정렬!AO38=""),"",Calc_오픈정렬!AO38/Calc_오픈정렬!$F38*100)</f>
        <v>164.73775882826044</v>
      </c>
      <c r="AP38">
        <f>IF(OR(Calc_오픈정렬!$F38="",Calc_오픈정렬!AP38=""),"",Calc_오픈정렬!AP38/Calc_오픈정렬!$F38*100)</f>
        <v>172.31685284654304</v>
      </c>
      <c r="AQ38">
        <f>IF(OR(Calc_오픈정렬!$F38="",Calc_오픈정렬!AQ38=""),"",Calc_오픈정렬!AQ38/Calc_오픈정렬!$F38*100)</f>
        <v>175.79604988372591</v>
      </c>
      <c r="AR38">
        <f>IF(OR(Calc_오픈정렬!$F38="",Calc_오픈정렬!AR38=""),"",Calc_오픈정렬!AR38/Calc_오픈정렬!$F38*100)</f>
        <v>160.21918609267075</v>
      </c>
      <c r="AS38">
        <f>IF(OR(Calc_오픈정렬!$F38="",Calc_오픈정렬!AS38=""),"",Calc_오픈정렬!AS38/Calc_오픈정렬!$F38*100)</f>
        <v>161.9226296891145</v>
      </c>
      <c r="AT38">
        <f>IF(OR(Calc_오픈정렬!$F38="",Calc_오픈정렬!AT38=""),"",Calc_오픈정렬!AT38/Calc_오픈정렬!$F38*100)</f>
        <v>164.98473152736619</v>
      </c>
      <c r="AU38">
        <f>IF(OR(Calc_오픈정렬!$F38="",Calc_오픈정렬!AU38=""),"",Calc_오픈정렬!AU38/Calc_오픈정렬!$F38*100)</f>
        <v>144.02524423127224</v>
      </c>
      <c r="AV38">
        <f>IF(OR(Calc_오픈정렬!$F38="",Calc_오픈정렬!AV38=""),"",Calc_오픈정렬!AV38/Calc_오픈정렬!$F38*100)</f>
        <v>161.64610110099679</v>
      </c>
      <c r="AW38">
        <f>IF(OR(Calc_오픈정렬!$F38="",Calc_오픈정렬!AW38=""),"",Calc_오픈정렬!AW38/Calc_오픈정렬!$F38*100)</f>
        <v>163.80830305417143</v>
      </c>
      <c r="AX38">
        <f>IF(OR(Calc_오픈정렬!$F38="",Calc_오픈정렬!AX38=""),"",Calc_오픈정렬!AX38/Calc_오픈정렬!$F38*100)</f>
        <v>172.5851347569963</v>
      </c>
      <c r="AY38">
        <f>IF(OR(Calc_오픈정렬!$F38="",Calc_오픈정렬!AY38=""),"",Calc_오픈정렬!AY38/Calc_오픈정렬!$F38*100)</f>
        <v>174.65137946068344</v>
      </c>
      <c r="AZ38">
        <f>IF(OR(Calc_오픈정렬!$F38="",Calc_오픈정렬!AZ38=""),"",Calc_오픈정렬!AZ38/Calc_오픈정렬!$F38*100)</f>
        <v>172.73914920422894</v>
      </c>
      <c r="BA38">
        <f>IF(OR(Calc_오픈정렬!$F38="",Calc_오픈정렬!BA38=""),"",Calc_오픈정렬!BA38/Calc_오픈정렬!$F38*100)</f>
        <v>165.20744042322679</v>
      </c>
      <c r="BB38">
        <f>IF(OR(Calc_오픈정렬!$F38="",Calc_오픈정렬!BB38=""),"",Calc_오픈정렬!BB38/Calc_오픈정렬!$F38*100)</f>
        <v>172.72957114197916</v>
      </c>
      <c r="BC38">
        <f>IF(OR(Calc_오픈정렬!$F38="",Calc_오픈정렬!BC38=""),"",Calc_오픈정렬!BC38/Calc_오픈정렬!$F38*100)</f>
        <v>175.19750029480161</v>
      </c>
      <c r="BD38">
        <f>IF(OR(Calc_오픈정렬!$F38="",Calc_오픈정렬!BD38=""),"",Calc_오픈정렬!BD38/Calc_오픈정렬!$F38*100)</f>
        <v>189.57060016252203</v>
      </c>
      <c r="BE38">
        <f>IF(OR(Calc_오픈정렬!$F38="",Calc_오픈정렬!BE38=""),"",Calc_오픈정렬!BE38/Calc_오픈정렬!$F38*100)</f>
        <v>174.80773195966069</v>
      </c>
      <c r="BF38">
        <f>IF(OR(Calc_오픈정렬!$F38="",Calc_오픈정렬!BF38=""),"",Calc_오픈정렬!BF38/Calc_오픈정렬!$F38*100)</f>
        <v>177.32329635072674</v>
      </c>
      <c r="BG38">
        <f>IF(OR(Calc_오픈정렬!$F38="",Calc_오픈정렬!BG38=""),"",Calc_오픈정렬!BG38/Calc_오픈정렬!$F38*100)</f>
        <v>177.6102908826617</v>
      </c>
      <c r="BH38">
        <f>IF(OR(Calc_오픈정렬!$F38="",Calc_오픈정렬!BH38=""),"",Calc_오픈정렬!BH38/Calc_오픈정렬!$F38*100)</f>
        <v>159.64699748324381</v>
      </c>
      <c r="BI38">
        <f>IF(OR(Calc_오픈정렬!$F38="",Calc_오픈정렬!BI38=""),"",Calc_오픈정렬!BI38/Calc_오픈정렬!$F38*100)</f>
        <v>177.4029519128087</v>
      </c>
      <c r="BJ38">
        <f>IF(OR(Calc_오픈정렬!$F38="",Calc_오픈정렬!BJ38=""),"",Calc_오픈정렬!BJ38/Calc_오픈정렬!$F38*100)</f>
        <v>180.65705490495122</v>
      </c>
      <c r="BK38">
        <f>IF(OR(Calc_오픈정렬!$F38="",Calc_오픈정렬!BK38=""),"",Calc_오픈정렬!BK38/Calc_오픈정렬!$F38*100)</f>
        <v>200.3841679047957</v>
      </c>
      <c r="BL38">
        <f>IF(OR(Calc_오픈정렬!$F38="",Calc_오픈정렬!BL38=""),"",Calc_오픈정렬!BL38/Calc_오픈정렬!$F38*100)</f>
        <v>182.02426589090996</v>
      </c>
      <c r="BM38" t="str">
        <f>IF(OR(Calc_오픈정렬!$F38="",Calc_오픈정렬!BM38=""),"",Calc_오픈정렬!BM38/Calc_오픈정렬!$F38*100)</f>
        <v/>
      </c>
      <c r="BN38" t="str">
        <f>IF(OR(Calc_오픈정렬!$F38="",Calc_오픈정렬!BN38=""),"",Calc_오픈정렬!BN38/Calc_오픈정렬!$F38*100)</f>
        <v/>
      </c>
    </row>
    <row r="39" spans="1:66" x14ac:dyDescent="0.4">
      <c r="A39" t="str">
        <f>Calc_오픈정렬!A39</f>
        <v>(1027) #가산디지털점</v>
      </c>
      <c r="B39" t="str">
        <f>Calc_오픈정렬!B39</f>
        <v>150-0</v>
      </c>
      <c r="C39">
        <f>Calc_오픈정렬!C39</f>
        <v>0</v>
      </c>
      <c r="D39" t="str">
        <f>Calc_오픈정렬!D39</f>
        <v>0</v>
      </c>
      <c r="E39" s="1">
        <f>Calc_오픈정렬!E39</f>
        <v>44409</v>
      </c>
      <c r="F39">
        <f>Calc_오픈정렬!F39</f>
        <v>6422623.4182625627</v>
      </c>
      <c r="G39">
        <f>IF(OR(Calc_오픈정렬!$F39="",Calc_오픈정렬!G39=""),"",Calc_오픈정렬!G39/Calc_오픈정렬!$F39*100)</f>
        <v>54.873526851901545</v>
      </c>
      <c r="H39">
        <f>IF(OR(Calc_오픈정렬!$F39="",Calc_오픈정렬!H39=""),"",Calc_오픈정렬!H39/Calc_오픈정렬!$F39*100)</f>
        <v>71.874916152697864</v>
      </c>
      <c r="I39">
        <f>IF(OR(Calc_오픈정렬!$F39="",Calc_오픈정렬!I39=""),"",Calc_오픈정렬!I39/Calc_오픈정렬!$F39*100)</f>
        <v>102.06482079975021</v>
      </c>
      <c r="J39">
        <f>IF(OR(Calc_오픈정렬!$F39="",Calc_오픈정렬!J39=""),"",Calc_오픈정렬!J39/Calc_오픈정렬!$F39*100)</f>
        <v>88.914580947833983</v>
      </c>
      <c r="K39">
        <f>IF(OR(Calc_오픈정렬!$F39="",Calc_오픈정렬!K39=""),"",Calc_오픈정렬!K39/Calc_오픈정렬!$F39*100)</f>
        <v>93.556729569578195</v>
      </c>
      <c r="L39">
        <f>IF(OR(Calc_오픈정렬!$F39="",Calc_오픈정렬!L39=""),"",Calc_오픈정렬!L39/Calc_오픈정렬!$F39*100)</f>
        <v>108.38899639037419</v>
      </c>
      <c r="M39">
        <f>IF(OR(Calc_오픈정렬!$F39="",Calc_오픈정렬!M39=""),"",Calc_오픈정렬!M39/Calc_오픈정렬!$F39*100)</f>
        <v>97.247864711527782</v>
      </c>
      <c r="N39">
        <f>IF(OR(Calc_오픈정렬!$F39="",Calc_오픈정렬!N39=""),"",Calc_오픈정렬!N39/Calc_오픈정렬!$F39*100)</f>
        <v>100.40112420238864</v>
      </c>
      <c r="O39">
        <f>IF(OR(Calc_오픈정렬!$F39="",Calc_오픈정렬!O39=""),"",Calc_오픈정렬!O39/Calc_오픈정렬!$F39*100)</f>
        <v>111.49070417829728</v>
      </c>
      <c r="P39">
        <f>IF(OR(Calc_오픈정렬!$F39="",Calc_오픈정렬!P39=""),"",Calc_오픈정렬!P39/Calc_오픈정렬!$F39*100)</f>
        <v>102.58856850266747</v>
      </c>
      <c r="Q39">
        <f>IF(OR(Calc_오픈정렬!$F39="",Calc_오픈정렬!Q39=""),"",Calc_오픈정렬!Q39/Calc_오픈정렬!$F39*100)</f>
        <v>112.47489054235574</v>
      </c>
      <c r="R39">
        <f>IF(OR(Calc_오픈정렬!$F39="",Calc_오픈정렬!R39=""),"",Calc_오픈정렬!R39/Calc_오픈정렬!$F39*100)</f>
        <v>120.87402135762851</v>
      </c>
      <c r="S39">
        <f>IF(OR(Calc_오픈정렬!$F39="",Calc_오픈정렬!S39=""),"",Calc_오픈정렬!S39/Calc_오픈정렬!$F39*100)</f>
        <v>121.97931554263344</v>
      </c>
      <c r="T39">
        <f>IF(OR(Calc_오픈정렬!$F39="",Calc_오픈정렬!T39=""),"",Calc_오픈정렬!T39/Calc_오픈정렬!$F39*100)</f>
        <v>116.10185375815504</v>
      </c>
      <c r="U39">
        <f>IF(OR(Calc_오픈정렬!$F39="",Calc_오픈정렬!U39=""),"",Calc_오픈정렬!U39/Calc_오픈정렬!$F39*100)</f>
        <v>116.60510111031839</v>
      </c>
      <c r="V39">
        <f>IF(OR(Calc_오픈정렬!$F39="",Calc_오픈정렬!V39=""),"",Calc_오픈정렬!V39/Calc_오픈정렬!$F39*100)</f>
        <v>112.38635536506139</v>
      </c>
      <c r="W39">
        <f>IF(OR(Calc_오픈정렬!$F39="",Calc_오픈정렬!W39=""),"",Calc_오픈정렬!W39/Calc_오픈정렬!$F39*100)</f>
        <v>110.59854969249541</v>
      </c>
      <c r="X39">
        <f>IF(OR(Calc_오픈정렬!$F39="",Calc_오픈정렬!X39=""),"",Calc_오픈정렬!X39/Calc_오픈정렬!$F39*100)</f>
        <v>133.75445033497334</v>
      </c>
      <c r="Y39">
        <f>IF(OR(Calc_오픈정렬!$F39="",Calc_오픈정렬!Y39=""),"",Calc_오픈정렬!Y39/Calc_오픈정렬!$F39*100)</f>
        <v>123.50635833626644</v>
      </c>
      <c r="Z39">
        <f>IF(OR(Calc_오픈정렬!$F39="",Calc_오픈정렬!Z39=""),"",Calc_오픈정렬!Z39/Calc_오픈정렬!$F39*100)</f>
        <v>125.14889572019734</v>
      </c>
      <c r="AA39">
        <f>IF(OR(Calc_오픈정렬!$F39="",Calc_오픈정렬!AA39=""),"",Calc_오픈정렬!AA39/Calc_오픈정렬!$F39*100)</f>
        <v>133.75657563503393</v>
      </c>
      <c r="AB39">
        <f>IF(OR(Calc_오픈정렬!$F39="",Calc_오픈정렬!AB39=""),"",Calc_오픈정렬!AB39/Calc_오픈정렬!$F39*100)</f>
        <v>129.26085746879133</v>
      </c>
      <c r="AC39">
        <f>IF(OR(Calc_오픈정렬!$F39="",Calc_오픈정렬!AC39=""),"",Calc_오픈정렬!AC39/Calc_오픈정렬!$F39*100)</f>
        <v>121.16991911761663</v>
      </c>
      <c r="AD39">
        <f>IF(OR(Calc_오픈정렬!$F39="",Calc_오픈정렬!AD39=""),"",Calc_오픈정렬!AD39/Calc_오픈정렬!$F39*100)</f>
        <v>141.85387826096144</v>
      </c>
      <c r="AE39">
        <f>IF(OR(Calc_오픈정렬!$F39="",Calc_오픈정렬!AE39=""),"",Calc_오픈정렬!AE39/Calc_오픈정렬!$F39*100)</f>
        <v>124.64181983460784</v>
      </c>
      <c r="AF39">
        <f>IF(OR(Calc_오픈정렬!$F39="",Calc_오픈정렬!AF39=""),"",Calc_오픈정렬!AF39/Calc_오픈정렬!$F39*100)</f>
        <v>140.640927590243</v>
      </c>
      <c r="AG39">
        <f>IF(OR(Calc_오픈정렬!$F39="",Calc_오픈정렬!AG39=""),"",Calc_오픈정렬!AG39/Calc_오픈정렬!$F39*100)</f>
        <v>137.40867956300255</v>
      </c>
      <c r="AH39">
        <f>IF(OR(Calc_오픈정렬!$F39="",Calc_오픈정렬!AH39=""),"",Calc_오픈정렬!AH39/Calc_오픈정렬!$F39*100)</f>
        <v>123.73715293286998</v>
      </c>
      <c r="AI39">
        <f>IF(OR(Calc_오픈정렬!$F39="",Calc_오픈정렬!AI39=""),"",Calc_오픈정렬!AI39/Calc_오픈정렬!$F39*100)</f>
        <v>147.61832527798643</v>
      </c>
      <c r="AJ39">
        <f>IF(OR(Calc_오픈정렬!$F39="",Calc_오픈정렬!AJ39=""),"",Calc_오픈정렬!AJ39/Calc_오픈정렬!$F39*100)</f>
        <v>153.66949594917065</v>
      </c>
      <c r="AK39">
        <f>IF(OR(Calc_오픈정렬!$F39="",Calc_오픈정렬!AK39=""),"",Calc_오픈정렬!AK39/Calc_오픈정렬!$F39*100)</f>
        <v>142.19154403538403</v>
      </c>
      <c r="AL39">
        <f>IF(OR(Calc_오픈정렬!$F39="",Calc_오픈정렬!AL39=""),"",Calc_오픈정렬!AL39/Calc_오픈정렬!$F39*100)</f>
        <v>169.04450436425827</v>
      </c>
      <c r="AM39">
        <f>IF(OR(Calc_오픈정렬!$F39="",Calc_오픈정렬!AM39=""),"",Calc_오픈정렬!AM39/Calc_오픈정렬!$F39*100)</f>
        <v>160.23424642877529</v>
      </c>
      <c r="AN39">
        <f>IF(OR(Calc_오픈정렬!$F39="",Calc_오픈정렬!AN39=""),"",Calc_오픈정렬!AN39/Calc_오픈정렬!$F39*100)</f>
        <v>141.93130299455467</v>
      </c>
      <c r="AO39">
        <f>IF(OR(Calc_오픈정렬!$F39="",Calc_오픈정렬!AO39=""),"",Calc_오픈정렬!AO39/Calc_오픈정렬!$F39*100)</f>
        <v>147.11730831073532</v>
      </c>
      <c r="AP39">
        <f>IF(OR(Calc_오픈정렬!$F39="",Calc_오픈정렬!AP39=""),"",Calc_오픈정렬!AP39/Calc_오픈정렬!$F39*100)</f>
        <v>155.68258620861596</v>
      </c>
      <c r="AQ39">
        <f>IF(OR(Calc_오픈정렬!$F39="",Calc_오픈정렬!AQ39=""),"",Calc_오픈정렬!AQ39/Calc_오픈정렬!$F39*100)</f>
        <v>156.11475667234086</v>
      </c>
      <c r="AR39">
        <f>IF(OR(Calc_오픈정렬!$F39="",Calc_오픈정렬!AR39=""),"",Calc_오픈정렬!AR39/Calc_오픈정렬!$F39*100)</f>
        <v>150.14616427536686</v>
      </c>
      <c r="AS39">
        <f>IF(OR(Calc_오픈정렬!$F39="",Calc_오픈정렬!AS39=""),"",Calc_오픈정렬!AS39/Calc_오픈정렬!$F39*100)</f>
        <v>126.40238104500851</v>
      </c>
      <c r="AT39">
        <f>IF(OR(Calc_오픈정렬!$F39="",Calc_오픈정렬!AT39=""),"",Calc_오픈정렬!AT39/Calc_오픈정렬!$F39*100)</f>
        <v>130.86736803745467</v>
      </c>
      <c r="AU39">
        <f>IF(OR(Calc_오픈정렬!$F39="",Calc_오픈정렬!AU39=""),"",Calc_오픈정렬!AU39/Calc_오픈정렬!$F39*100)</f>
        <v>129.68177192881032</v>
      </c>
      <c r="AV39">
        <f>IF(OR(Calc_오픈정렬!$F39="",Calc_오픈정렬!AV39=""),"",Calc_오픈정렬!AV39/Calc_오픈정렬!$F39*100)</f>
        <v>144.35628645973421</v>
      </c>
      <c r="AW39">
        <f>IF(OR(Calc_오픈정렬!$F39="",Calc_오픈정렬!AW39=""),"",Calc_오픈정렬!AW39/Calc_오픈정렬!$F39*100)</f>
        <v>129.84201654478764</v>
      </c>
      <c r="AX39">
        <f>IF(OR(Calc_오픈정렬!$F39="",Calc_오픈정렬!AX39=""),"",Calc_오픈정렬!AX39/Calc_오픈정렬!$F39*100)</f>
        <v>140.9764135107938</v>
      </c>
      <c r="AY39">
        <f>IF(OR(Calc_오픈정렬!$F39="",Calc_오픈정렬!AY39=""),"",Calc_오픈정렬!AY39/Calc_오픈정렬!$F39*100)</f>
        <v>124.43249994218353</v>
      </c>
      <c r="AZ39">
        <f>IF(OR(Calc_오픈정렬!$F39="",Calc_오픈정렬!AZ39=""),"",Calc_오픈정렬!AZ39/Calc_오픈정렬!$F39*100)</f>
        <v>136.72983722387571</v>
      </c>
      <c r="BA39">
        <f>IF(OR(Calc_오픈정렬!$F39="",Calc_오픈정렬!BA39=""),"",Calc_오픈정렬!BA39/Calc_오픈정렬!$F39*100)</f>
        <v>133.02045536276012</v>
      </c>
      <c r="BB39">
        <f>IF(OR(Calc_오픈정렬!$F39="",Calc_오픈정렬!BB39=""),"",Calc_오픈정렬!BB39/Calc_오픈정렬!$F39*100)</f>
        <v>127.27730274499811</v>
      </c>
      <c r="BC39">
        <f>IF(OR(Calc_오픈정렬!$F39="",Calc_오픈정렬!BC39=""),"",Calc_오픈정렬!BC39/Calc_오픈정렬!$F39*100)</f>
        <v>130.91175042888321</v>
      </c>
      <c r="BD39">
        <f>IF(OR(Calc_오픈정렬!$F39="",Calc_오픈정렬!BD39=""),"",Calc_오픈정렬!BD39/Calc_오픈정렬!$F39*100)</f>
        <v>121.47572431845583</v>
      </c>
      <c r="BE39">
        <f>IF(OR(Calc_오픈정렬!$F39="",Calc_오픈정렬!BE39=""),"",Calc_오픈정렬!BE39/Calc_오픈정렬!$F39*100)</f>
        <v>121.68470325086631</v>
      </c>
      <c r="BF39">
        <f>IF(OR(Calc_오픈정렬!$F39="",Calc_오픈정렬!BF39=""),"",Calc_오픈정렬!BF39/Calc_오픈정렬!$F39*100)</f>
        <v>124.52572678761378</v>
      </c>
      <c r="BG39">
        <f>IF(OR(Calc_오픈정렬!$F39="",Calc_오픈정렬!BG39=""),"",Calc_오픈정렬!BG39/Calc_오픈정렬!$F39*100)</f>
        <v>119.88204730162937</v>
      </c>
      <c r="BH39">
        <f>IF(OR(Calc_오픈정렬!$F39="",Calc_오픈정렬!BH39=""),"",Calc_오픈정렬!BH39/Calc_오픈정렬!$F39*100)</f>
        <v>122.40208412316665</v>
      </c>
      <c r="BI39">
        <f>IF(OR(Calc_오픈정렬!$F39="",Calc_오픈정렬!BI39=""),"",Calc_오픈정렬!BI39/Calc_오픈정렬!$F39*100)</f>
        <v>126.05517785813871</v>
      </c>
      <c r="BJ39">
        <f>IF(OR(Calc_오픈정렬!$F39="",Calc_오픈정렬!BJ39=""),"",Calc_오픈정렬!BJ39/Calc_오픈정렬!$F39*100)</f>
        <v>122.29949707402581</v>
      </c>
      <c r="BK39">
        <f>IF(OR(Calc_오픈정렬!$F39="",Calc_오픈정렬!BK39=""),"",Calc_오픈정렬!BK39/Calc_오픈정렬!$F39*100)</f>
        <v>125.6014581936622</v>
      </c>
      <c r="BL39">
        <f>IF(OR(Calc_오픈정렬!$F39="",Calc_오픈정렬!BL39=""),"",Calc_오픈정렬!BL39/Calc_오픈정렬!$F39*100)</f>
        <v>122.68913055914908</v>
      </c>
      <c r="BM39" t="str">
        <f>IF(OR(Calc_오픈정렬!$F39="",Calc_오픈정렬!BM39=""),"",Calc_오픈정렬!BM39/Calc_오픈정렬!$F39*100)</f>
        <v/>
      </c>
      <c r="BN39" t="str">
        <f>IF(OR(Calc_오픈정렬!$F39="",Calc_오픈정렬!BN39=""),"",Calc_오픈정렬!BN39/Calc_오픈정렬!$F39*100)</f>
        <v/>
      </c>
    </row>
    <row r="40" spans="1:66" x14ac:dyDescent="0.4">
      <c r="A40" t="str">
        <f>Calc_오픈정렬!A40</f>
        <v>(1028) #서림에스제이점</v>
      </c>
      <c r="B40" t="str">
        <f>Calc_오픈정렬!B40</f>
        <v>150-0</v>
      </c>
      <c r="C40">
        <f>Calc_오픈정렬!C40</f>
        <v>0</v>
      </c>
      <c r="D40" t="str">
        <f>Calc_오픈정렬!D40</f>
        <v>0</v>
      </c>
      <c r="E40" s="1">
        <f>Calc_오픈정렬!E40</f>
        <v>44409</v>
      </c>
      <c r="F40">
        <f>Calc_오픈정렬!F40</f>
        <v>4541899.9106807532</v>
      </c>
      <c r="G40">
        <f>IF(OR(Calc_오픈정렬!$F40="",Calc_오픈정렬!G40=""),"",Calc_오픈정렬!G40/Calc_오픈정렬!$F40*100)</f>
        <v>62.602382585462955</v>
      </c>
      <c r="H40">
        <f>IF(OR(Calc_오픈정렬!$F40="",Calc_오픈정렬!H40=""),"",Calc_오픈정렬!H40/Calc_오픈정렬!$F40*100)</f>
        <v>85.116857253794379</v>
      </c>
      <c r="I40">
        <f>IF(OR(Calc_오픈정렬!$F40="",Calc_오픈정렬!I40=""),"",Calc_오픈정렬!I40/Calc_오픈정렬!$F40*100)</f>
        <v>91.011955185956012</v>
      </c>
      <c r="J40">
        <f>IF(OR(Calc_오픈정렬!$F40="",Calc_오픈정렬!J40=""),"",Calc_오픈정렬!J40/Calc_오픈정렬!$F40*100)</f>
        <v>91.395363974842468</v>
      </c>
      <c r="K40">
        <f>IF(OR(Calc_오픈정렬!$F40="",Calc_오픈정렬!K40=""),"",Calc_오픈정렬!K40/Calc_오픈정렬!$F40*100)</f>
        <v>96.816076396933198</v>
      </c>
      <c r="L40">
        <f>IF(OR(Calc_오픈정렬!$F40="",Calc_오픈정렬!L40=""),"",Calc_오픈정렬!L40/Calc_오픈정렬!$F40*100)</f>
        <v>106.08280978622906</v>
      </c>
      <c r="M40">
        <f>IF(OR(Calc_오픈정렬!$F40="",Calc_오픈정렬!M40=""),"",Calc_오픈정렬!M40/Calc_오픈정렬!$F40*100)</f>
        <v>72.625561462142329</v>
      </c>
      <c r="N40">
        <f>IF(OR(Calc_오픈정렬!$F40="",Calc_오픈정렬!N40=""),"",Calc_오픈정렬!N40/Calc_오픈정렬!$F40*100)</f>
        <v>106.07153040980447</v>
      </c>
      <c r="O40">
        <f>IF(OR(Calc_오픈정렬!$F40="",Calc_오픈정렬!O40=""),"",Calc_오픈정렬!O40/Calc_오픈정렬!$F40*100)</f>
        <v>127.0086579700484</v>
      </c>
      <c r="P40">
        <f>IF(OR(Calc_오픈정렬!$F40="",Calc_오픈정렬!P40=""),"",Calc_오픈정렬!P40/Calc_오픈정렬!$F40*100)</f>
        <v>123.92433972573373</v>
      </c>
      <c r="Q40">
        <f>IF(OR(Calc_오픈정렬!$F40="",Calc_오픈정렬!Q40=""),"",Calc_오픈정렬!Q40/Calc_오픈정렬!$F40*100)</f>
        <v>136.55707611006872</v>
      </c>
      <c r="R40">
        <f>IF(OR(Calc_오픈정렬!$F40="",Calc_오픈정렬!R40=""),"",Calc_오픈정렬!R40/Calc_오픈정렬!$F40*100)</f>
        <v>155.37188303751475</v>
      </c>
      <c r="S40">
        <f>IF(OR(Calc_오픈정렬!$F40="",Calc_오픈정렬!S40=""),"",Calc_오픈정렬!S40/Calc_오픈정렬!$F40*100)</f>
        <v>162.74733734810286</v>
      </c>
      <c r="T40">
        <f>IF(OR(Calc_오픈정렬!$F40="",Calc_오픈정렬!T40=""),"",Calc_오픈정렬!T40/Calc_오픈정렬!$F40*100)</f>
        <v>150.78572097792852</v>
      </c>
      <c r="U40">
        <f>IF(OR(Calc_오픈정렬!$F40="",Calc_오픈정렬!U40=""),"",Calc_오픈정렬!U40/Calc_오픈정렬!$F40*100)</f>
        <v>148.73749200492441</v>
      </c>
      <c r="V40">
        <f>IF(OR(Calc_오픈정렬!$F40="",Calc_오픈정렬!V40=""),"",Calc_오픈정렬!V40/Calc_오픈정렬!$F40*100)</f>
        <v>150.84528002974486</v>
      </c>
      <c r="W40">
        <f>IF(OR(Calc_오픈정렬!$F40="",Calc_오픈정렬!W40=""),"",Calc_오픈정렬!W40/Calc_오픈정렬!$F40*100)</f>
        <v>157.13062973484392</v>
      </c>
      <c r="X40">
        <f>IF(OR(Calc_오픈정렬!$F40="",Calc_오픈정렬!X40=""),"",Calc_오픈정렬!X40/Calc_오픈정렬!$F40*100)</f>
        <v>182.70623463866264</v>
      </c>
      <c r="Y40">
        <f>IF(OR(Calc_오픈정렬!$F40="",Calc_오픈정렬!Y40=""),"",Calc_오픈정렬!Y40/Calc_오픈정렬!$F40*100)</f>
        <v>191.05253265263065</v>
      </c>
      <c r="Z40">
        <f>IF(OR(Calc_오픈정렬!$F40="",Calc_오픈정렬!Z40=""),"",Calc_오픈정렬!Z40/Calc_오픈정렬!$F40*100)</f>
        <v>176.26852454886867</v>
      </c>
      <c r="AA40">
        <f>IF(OR(Calc_오픈정렬!$F40="",Calc_오픈정렬!AA40=""),"",Calc_오픈정렬!AA40/Calc_오픈정렬!$F40*100)</f>
        <v>186.40500397278376</v>
      </c>
      <c r="AB40">
        <f>IF(OR(Calc_오픈정렬!$F40="",Calc_오픈정렬!AB40=""),"",Calc_오픈정렬!AB40/Calc_오픈정렬!$F40*100)</f>
        <v>182.68110141507219</v>
      </c>
      <c r="AC40">
        <f>IF(OR(Calc_오픈정렬!$F40="",Calc_오픈정렬!AC40=""),"",Calc_오픈정렬!AC40/Calc_오픈정렬!$F40*100)</f>
        <v>174.71808490851382</v>
      </c>
      <c r="AD40">
        <f>IF(OR(Calc_오픈정렬!$F40="",Calc_오픈정렬!AD40=""),"",Calc_오픈정렬!AD40/Calc_오픈정렬!$F40*100)</f>
        <v>196.34446028904836</v>
      </c>
      <c r="AE40">
        <f>IF(OR(Calc_오픈정렬!$F40="",Calc_오픈정렬!AE40=""),"",Calc_오픈정렬!AE40/Calc_오픈정렬!$F40*100)</f>
        <v>181.71259116342603</v>
      </c>
      <c r="AF40">
        <f>IF(OR(Calc_오픈정렬!$F40="",Calc_오픈정렬!AF40=""),"",Calc_오픈정렬!AF40/Calc_오픈정렬!$F40*100)</f>
        <v>196.89883996447023</v>
      </c>
      <c r="AG40">
        <f>IF(OR(Calc_오픈정렬!$F40="",Calc_오픈정렬!AG40=""),"",Calc_오픈정렬!AG40/Calc_오픈정렬!$F40*100)</f>
        <v>183.2410093268505</v>
      </c>
      <c r="AH40">
        <f>IF(OR(Calc_오픈정렬!$F40="",Calc_오픈정렬!AH40=""),"",Calc_오픈정렬!AH40/Calc_오픈정렬!$F40*100)</f>
        <v>187.38819940327619</v>
      </c>
      <c r="AI40">
        <f>IF(OR(Calc_오픈정렬!$F40="",Calc_오픈정렬!AI40=""),"",Calc_오픈정렬!AI40/Calc_오픈정렬!$F40*100)</f>
        <v>184.47853986633385</v>
      </c>
      <c r="AJ40">
        <f>IF(OR(Calc_오픈정렬!$F40="",Calc_오픈정렬!AJ40=""),"",Calc_오픈정렬!AJ40/Calc_오픈정렬!$F40*100)</f>
        <v>195.45261876026382</v>
      </c>
      <c r="AK40">
        <f>IF(OR(Calc_오픈정렬!$F40="",Calc_오픈정렬!AK40=""),"",Calc_오픈정렬!AK40/Calc_오픈정렬!$F40*100)</f>
        <v>193.9781388403658</v>
      </c>
      <c r="AL40">
        <f>IF(OR(Calc_오픈정렬!$F40="",Calc_오픈정렬!AL40=""),"",Calc_오픈정렬!AL40/Calc_오픈정렬!$F40*100)</f>
        <v>190.99627581267288</v>
      </c>
      <c r="AM40">
        <f>IF(OR(Calc_오픈정렬!$F40="",Calc_오픈정렬!AM40=""),"",Calc_오픈정렬!AM40/Calc_오픈정렬!$F40*100)</f>
        <v>202.31901746984823</v>
      </c>
      <c r="AN40">
        <f>IF(OR(Calc_오픈정렬!$F40="",Calc_오픈정렬!AN40=""),"",Calc_오픈정렬!AN40/Calc_오픈정렬!$F40*100)</f>
        <v>203.13804145343144</v>
      </c>
      <c r="AO40">
        <f>IF(OR(Calc_오픈정렬!$F40="",Calc_오픈정렬!AO40=""),"",Calc_오픈정렬!AO40/Calc_오픈정렬!$F40*100)</f>
        <v>209.09833701151933</v>
      </c>
      <c r="AP40">
        <f>IF(OR(Calc_오픈정렬!$F40="",Calc_오픈정렬!AP40=""),"",Calc_오픈정렬!AP40/Calc_오픈정렬!$F40*100)</f>
        <v>218.33461917841097</v>
      </c>
      <c r="AQ40">
        <f>IF(OR(Calc_오픈정렬!$F40="",Calc_오픈정렬!AQ40=""),"",Calc_오픈정렬!AQ40/Calc_오픈정렬!$F40*100)</f>
        <v>202.20973692515182</v>
      </c>
      <c r="AR40">
        <f>IF(OR(Calc_오픈정렬!$F40="",Calc_오픈정렬!AR40=""),"",Calc_오픈정렬!AR40/Calc_오픈정렬!$F40*100)</f>
        <v>189.45521060016674</v>
      </c>
      <c r="AS40">
        <f>IF(OR(Calc_오픈정렬!$F40="",Calc_오픈정렬!AS40=""),"",Calc_오픈정렬!AS40/Calc_오픈정렬!$F40*100)</f>
        <v>173.47945667573975</v>
      </c>
      <c r="AT40">
        <f>IF(OR(Calc_오픈정렬!$F40="",Calc_오픈정렬!AT40=""),"",Calc_오픈정렬!AT40/Calc_오픈정렬!$F40*100)</f>
        <v>189.27032893119537</v>
      </c>
      <c r="AU40">
        <f>IF(OR(Calc_오픈정렬!$F40="",Calc_오픈정렬!AU40=""),"",Calc_오픈정렬!AU40/Calc_오픈정렬!$F40*100)</f>
        <v>191.31605008152286</v>
      </c>
      <c r="AV40">
        <f>IF(OR(Calc_오픈정렬!$F40="",Calc_오픈정렬!AV40=""),"",Calc_오픈정렬!AV40/Calc_오픈정렬!$F40*100)</f>
        <v>215.67680094424722</v>
      </c>
      <c r="AW40">
        <f>IF(OR(Calc_오픈정렬!$F40="",Calc_오픈정렬!AW40=""),"",Calc_오픈정렬!AW40/Calc_오픈정렬!$F40*100)</f>
        <v>213.034283716049</v>
      </c>
      <c r="AX40">
        <f>IF(OR(Calc_오픈정렬!$F40="",Calc_오픈정렬!AX40=""),"",Calc_오픈정렬!AX40/Calc_오픈정렬!$F40*100)</f>
        <v>188.03645097022559</v>
      </c>
      <c r="AY40">
        <f>IF(OR(Calc_오픈정렬!$F40="",Calc_오픈정렬!AY40=""),"",Calc_오픈정렬!AY40/Calc_오픈정렬!$F40*100)</f>
        <v>165.07178404443221</v>
      </c>
      <c r="AZ40">
        <f>IF(OR(Calc_오픈정렬!$F40="",Calc_오픈정렬!AZ40=""),"",Calc_오픈정렬!AZ40/Calc_오픈정렬!$F40*100)</f>
        <v>185.4788334903898</v>
      </c>
      <c r="BA40">
        <f>IF(OR(Calc_오픈정렬!$F40="",Calc_오픈정렬!BA40=""),"",Calc_오픈정렬!BA40/Calc_오픈정렬!$F40*100)</f>
        <v>176.46644389707907</v>
      </c>
      <c r="BB40">
        <f>IF(OR(Calc_오픈정렬!$F40="",Calc_오픈정렬!BB40=""),"",Calc_오픈정렬!BB40/Calc_오픈정렬!$F40*100)</f>
        <v>156.35833779783147</v>
      </c>
      <c r="BC40">
        <f>IF(OR(Calc_오픈정렬!$F40="",Calc_오픈정렬!BC40=""),"",Calc_오픈정렬!BC40/Calc_오픈정렬!$F40*100)</f>
        <v>171.29594168731697</v>
      </c>
      <c r="BD40">
        <f>IF(OR(Calc_오픈정렬!$F40="",Calc_오픈정렬!BD40=""),"",Calc_오픈정렬!BD40/Calc_오픈정렬!$F40*100)</f>
        <v>153.04189933177651</v>
      </c>
      <c r="BE40">
        <f>IF(OR(Calc_오픈정렬!$F40="",Calc_오픈정렬!BE40=""),"",Calc_오픈정렬!BE40/Calc_오픈정렬!$F40*100)</f>
        <v>165.0290948236582</v>
      </c>
      <c r="BF40">
        <f>IF(OR(Calc_오픈정렬!$F40="",Calc_오픈정렬!BF40=""),"",Calc_오픈정렬!BF40/Calc_오픈정렬!$F40*100)</f>
        <v>154.17601486847818</v>
      </c>
      <c r="BG40">
        <f>IF(OR(Calc_오픈정렬!$F40="",Calc_오픈정렬!BG40=""),"",Calc_오픈정렬!BG40/Calc_오픈정렬!$F40*100)</f>
        <v>156.0386309859239</v>
      </c>
      <c r="BH40">
        <f>IF(OR(Calc_오픈정렬!$F40="",Calc_오픈정렬!BH40=""),"",Calc_오픈정렬!BH40/Calc_오픈정렬!$F40*100)</f>
        <v>162.19785888081054</v>
      </c>
      <c r="BI40">
        <f>IF(OR(Calc_오픈정렬!$F40="",Calc_오픈정렬!BI40=""),"",Calc_오픈정렬!BI40/Calc_오픈정렬!$F40*100)</f>
        <v>161.67918531293191</v>
      </c>
      <c r="BJ40">
        <f>IF(OR(Calc_오픈정렬!$F40="",Calc_오픈정렬!BJ40=""),"",Calc_오픈정렬!BJ40/Calc_오픈정렬!$F40*100)</f>
        <v>153.96753700442773</v>
      </c>
      <c r="BK40">
        <f>IF(OR(Calc_오픈정렬!$F40="",Calc_오픈정렬!BK40=""),"",Calc_오픈정렬!BK40/Calc_오픈정렬!$F40*100)</f>
        <v>150.61204899941492</v>
      </c>
      <c r="BL40">
        <f>IF(OR(Calc_오픈정렬!$F40="",Calc_오픈정렬!BL40=""),"",Calc_오픈정렬!BL40/Calc_오픈정렬!$F40*100)</f>
        <v>160.27730427418595</v>
      </c>
      <c r="BM40" t="str">
        <f>IF(OR(Calc_오픈정렬!$F40="",Calc_오픈정렬!BM40=""),"",Calc_오픈정렬!BM40/Calc_오픈정렬!$F40*100)</f>
        <v/>
      </c>
      <c r="BN40" t="str">
        <f>IF(OR(Calc_오픈정렬!$F40="",Calc_오픈정렬!BN40=""),"",Calc_오픈정렬!BN40/Calc_오픈정렬!$F40*100)</f>
        <v/>
      </c>
    </row>
    <row r="41" spans="1:66" x14ac:dyDescent="0.4">
      <c r="A41" t="str">
        <f>Calc_오픈정렬!A41</f>
        <v>(1029) #사당까치점</v>
      </c>
      <c r="B41" t="str">
        <f>Calc_오픈정렬!B41</f>
        <v>150-2</v>
      </c>
      <c r="C41">
        <f>Calc_오픈정렬!C41</f>
        <v>2</v>
      </c>
      <c r="D41" t="str">
        <f>Calc_오픈정렬!D41</f>
        <v>2</v>
      </c>
      <c r="E41" s="1">
        <f>Calc_오픈정렬!E41</f>
        <v>44470</v>
      </c>
      <c r="F41">
        <f>Calc_오픈정렬!F41</f>
        <v>2549586.4360653902</v>
      </c>
      <c r="G41">
        <f>IF(OR(Calc_오픈정렬!$F41="",Calc_오픈정렬!G41=""),"",Calc_오픈정렬!G41/Calc_오픈정렬!$F41*100)</f>
        <v>92.845599063659108</v>
      </c>
      <c r="H41">
        <f>IF(OR(Calc_오픈정렬!$F41="",Calc_오픈정렬!H41=""),"",Calc_오픈정렬!H41/Calc_오픈정렬!$F41*100)</f>
        <v>84.635599658127717</v>
      </c>
      <c r="I41">
        <f>IF(OR(Calc_오픈정렬!$F41="",Calc_오픈정렬!I41=""),"",Calc_오픈정렬!I41/Calc_오픈정렬!$F41*100)</f>
        <v>72.434045381481198</v>
      </c>
      <c r="J41">
        <f>IF(OR(Calc_오픈정렬!$F41="",Calc_오픈정렬!J41=""),"",Calc_오픈정렬!J41/Calc_오픈정렬!$F41*100)</f>
        <v>100.03892431473666</v>
      </c>
      <c r="K41">
        <f>IF(OR(Calc_오픈정렬!$F41="",Calc_오픈정렬!K41=""),"",Calc_오픈정렬!K41/Calc_오픈정렬!$F41*100)</f>
        <v>84.43967814088829</v>
      </c>
      <c r="L41">
        <f>IF(OR(Calc_오픈정렬!$F41="",Calc_오픈정렬!L41=""),"",Calc_오픈정렬!L41/Calc_오픈정렬!$F41*100)</f>
        <v>109.95473845369439</v>
      </c>
      <c r="M41">
        <f>IF(OR(Calc_오픈정렬!$F41="",Calc_오픈정렬!M41=""),"",Calc_오픈정렬!M41/Calc_오픈정렬!$F41*100)</f>
        <v>99.876084992789913</v>
      </c>
      <c r="N41">
        <f>IF(OR(Calc_오픈정렬!$F41="",Calc_오픈정렬!N41=""),"",Calc_오픈정렬!N41/Calc_오픈정렬!$F41*100)</f>
        <v>86.736193690522896</v>
      </c>
      <c r="O41">
        <f>IF(OR(Calc_오픈정렬!$F41="",Calc_오픈정렬!O41=""),"",Calc_오픈정렬!O41/Calc_오픈정렬!$F41*100)</f>
        <v>118.95438040736775</v>
      </c>
      <c r="P41">
        <f>IF(OR(Calc_오픈정렬!$F41="",Calc_오픈정렬!P41=""),"",Calc_오픈정렬!P41/Calc_오픈정렬!$F41*100)</f>
        <v>124.54322263910549</v>
      </c>
      <c r="Q41">
        <f>IF(OR(Calc_오픈정렬!$F41="",Calc_오픈정렬!Q41=""),"",Calc_오픈정렬!Q41/Calc_오픈정렬!$F41*100)</f>
        <v>149.01617265324239</v>
      </c>
      <c r="R41">
        <f>IF(OR(Calc_오픈정렬!$F41="",Calc_오픈정렬!R41=""),"",Calc_오픈정렬!R41/Calc_오픈정렬!$F41*100)</f>
        <v>115.45645827890192</v>
      </c>
      <c r="S41">
        <f>IF(OR(Calc_오픈정렬!$F41="",Calc_오픈정렬!S41=""),"",Calc_오픈정렬!S41/Calc_오픈정렬!$F41*100)</f>
        <v>115.97174793964196</v>
      </c>
      <c r="T41">
        <f>IF(OR(Calc_오픈정렬!$F41="",Calc_오픈정렬!T41=""),"",Calc_오픈정렬!T41/Calc_오픈정렬!$F41*100)</f>
        <v>113.77923888875516</v>
      </c>
      <c r="U41">
        <f>IF(OR(Calc_오픈정렬!$F41="",Calc_오픈정렬!U41=""),"",Calc_오픈정렬!U41/Calc_오픈정렬!$F41*100)</f>
        <v>119.17095261735489</v>
      </c>
      <c r="V41">
        <f>IF(OR(Calc_오픈정렬!$F41="",Calc_오픈정렬!V41=""),"",Calc_오픈정렬!V41/Calc_오픈정렬!$F41*100)</f>
        <v>137.81742756185577</v>
      </c>
      <c r="W41">
        <f>IF(OR(Calc_오픈정렬!$F41="",Calc_오픈정렬!W41=""),"",Calc_오픈정렬!W41/Calc_오픈정렬!$F41*100)</f>
        <v>131.49434723383786</v>
      </c>
      <c r="X41">
        <f>IF(OR(Calc_오픈정렬!$F41="",Calc_오픈정렬!X41=""),"",Calc_오픈정렬!X41/Calc_오픈정렬!$F41*100)</f>
        <v>124.10624952225473</v>
      </c>
      <c r="Y41">
        <f>IF(OR(Calc_오픈정렬!$F41="",Calc_오픈정렬!Y41=""),"",Calc_오픈정렬!Y41/Calc_오픈정렬!$F41*100)</f>
        <v>125.29931014356113</v>
      </c>
      <c r="Z41">
        <f>IF(OR(Calc_오픈정렬!$F41="",Calc_오픈정렬!Z41=""),"",Calc_오픈정렬!Z41/Calc_오픈정렬!$F41*100)</f>
        <v>150.60553884060195</v>
      </c>
      <c r="AA41">
        <f>IF(OR(Calc_오픈정렬!$F41="",Calc_오픈정렬!AA41=""),"",Calc_오픈정렬!AA41/Calc_오픈정렬!$F41*100)</f>
        <v>132.24912461996422</v>
      </c>
      <c r="AB41">
        <f>IF(OR(Calc_오픈정렬!$F41="",Calc_오픈정렬!AB41=""),"",Calc_오픈정렬!AB41/Calc_오픈정렬!$F41*100)</f>
        <v>146.09914068245138</v>
      </c>
      <c r="AC41">
        <f>IF(OR(Calc_오픈정렬!$F41="",Calc_오픈정렬!AC41=""),"",Calc_오픈정렬!AC41/Calc_오픈정렬!$F41*100)</f>
        <v>116.04965955427772</v>
      </c>
      <c r="AD41">
        <f>IF(OR(Calc_오픈정렬!$F41="",Calc_오픈정렬!AD41=""),"",Calc_오픈정렬!AD41/Calc_오픈정렬!$F41*100)</f>
        <v>134.9140034311194</v>
      </c>
      <c r="AE41">
        <f>IF(OR(Calc_오픈정렬!$F41="",Calc_오픈정렬!AE41=""),"",Calc_오픈정렬!AE41/Calc_오픈정렬!$F41*100)</f>
        <v>145.93934435272948</v>
      </c>
      <c r="AF41">
        <f>IF(OR(Calc_오픈정렬!$F41="",Calc_오픈정렬!AF41=""),"",Calc_오픈정렬!AF41/Calc_오픈정렬!$F41*100)</f>
        <v>128.91238247580668</v>
      </c>
      <c r="AG41">
        <f>IF(OR(Calc_오픈정렬!$F41="",Calc_오픈정렬!AG41=""),"",Calc_오픈정렬!AG41/Calc_오픈정렬!$F41*100)</f>
        <v>154.48838568615915</v>
      </c>
      <c r="AH41">
        <f>IF(OR(Calc_오픈정렬!$F41="",Calc_오픈정렬!AH41=""),"",Calc_오픈정렬!AH41/Calc_오픈정렬!$F41*100)</f>
        <v>189.94814275196686</v>
      </c>
      <c r="AI41">
        <f>IF(OR(Calc_오픈정렬!$F41="",Calc_오픈정렬!AI41=""),"",Calc_오픈정렬!AI41/Calc_오픈정렬!$F41*100)</f>
        <v>176.59693625514058</v>
      </c>
      <c r="AJ41">
        <f>IF(OR(Calc_오픈정렬!$F41="",Calc_오픈정렬!AJ41=""),"",Calc_오픈정렬!AJ41/Calc_오픈정렬!$F41*100)</f>
        <v>197.18068089282423</v>
      </c>
      <c r="AK41">
        <f>IF(OR(Calc_오픈정렬!$F41="",Calc_오픈정렬!AK41=""),"",Calc_오픈정렬!AK41/Calc_오픈정렬!$F41*100)</f>
        <v>196.30550412980782</v>
      </c>
      <c r="AL41">
        <f>IF(OR(Calc_오픈정렬!$F41="",Calc_오픈정렬!AL41=""),"",Calc_오픈정렬!AL41/Calc_오픈정렬!$F41*100)</f>
        <v>162.52287818656171</v>
      </c>
      <c r="AM41">
        <f>IF(OR(Calc_오픈정렬!$F41="",Calc_오픈정렬!AM41=""),"",Calc_오픈정렬!AM41/Calc_오픈정렬!$F41*100)</f>
        <v>189.4882644560569</v>
      </c>
      <c r="AN41">
        <f>IF(OR(Calc_오픈정렬!$F41="",Calc_오픈정렬!AN41=""),"",Calc_오픈정렬!AN41/Calc_오픈정렬!$F41*100)</f>
        <v>191.29987374622738</v>
      </c>
      <c r="AO41">
        <f>IF(OR(Calc_오픈정렬!$F41="",Calc_오픈정렬!AO41=""),"",Calc_오픈정렬!AO41/Calc_오픈정렬!$F41*100)</f>
        <v>175.78488904332511</v>
      </c>
      <c r="AP41">
        <f>IF(OR(Calc_오픈정렬!$F41="",Calc_오픈정렬!AP41=""),"",Calc_오픈정렬!AP41/Calc_오픈정렬!$F41*100)</f>
        <v>175.16099736989176</v>
      </c>
      <c r="AQ41">
        <f>IF(OR(Calc_오픈정렬!$F41="",Calc_오픈정렬!AQ41=""),"",Calc_오픈정렬!AQ41/Calc_오픈정렬!$F41*100)</f>
        <v>168.82899623256282</v>
      </c>
      <c r="AR41">
        <f>IF(OR(Calc_오픈정렬!$F41="",Calc_오픈정렬!AR41=""),"",Calc_오픈정렬!AR41/Calc_오픈정렬!$F41*100)</f>
        <v>162.61442442994226</v>
      </c>
      <c r="AS41">
        <f>IF(OR(Calc_오픈정렬!$F41="",Calc_오픈정렬!AS41=""),"",Calc_오픈정렬!AS41/Calc_오픈정렬!$F41*100)</f>
        <v>168.03916606722544</v>
      </c>
      <c r="AT41">
        <f>IF(OR(Calc_오픈정렬!$F41="",Calc_오픈정렬!AT41=""),"",Calc_오픈정렬!AT41/Calc_오픈정렬!$F41*100)</f>
        <v>174.09435594793231</v>
      </c>
      <c r="AU41">
        <f>IF(OR(Calc_오픈정렬!$F41="",Calc_오픈정렬!AU41=""),"",Calc_오픈정렬!AU41/Calc_오픈정렬!$F41*100)</f>
        <v>179.2516720855923</v>
      </c>
      <c r="AV41">
        <f>IF(OR(Calc_오픈정렬!$F41="",Calc_오픈정렬!AV41=""),"",Calc_오픈정렬!AV41/Calc_오픈정렬!$F41*100)</f>
        <v>190.41976217067972</v>
      </c>
      <c r="AW41">
        <f>IF(OR(Calc_오픈정렬!$F41="",Calc_오픈정렬!AW41=""),"",Calc_오픈정렬!AW41/Calc_오픈정렬!$F41*100)</f>
        <v>187.22792922145729</v>
      </c>
      <c r="AX41">
        <f>IF(OR(Calc_오픈정렬!$F41="",Calc_오픈정렬!AX41=""),"",Calc_오픈정렬!AX41/Calc_오픈정렬!$F41*100)</f>
        <v>224.0128501334743</v>
      </c>
      <c r="AY41">
        <f>IF(OR(Calc_오픈정렬!$F41="",Calc_오픈정렬!AY41=""),"",Calc_오픈정렬!AY41/Calc_오픈정렬!$F41*100)</f>
        <v>224.89067244468015</v>
      </c>
      <c r="AZ41">
        <f>IF(OR(Calc_오픈정렬!$F41="",Calc_오픈정렬!AZ41=""),"",Calc_오픈정렬!AZ41/Calc_오픈정렬!$F41*100)</f>
        <v>186.82982156028754</v>
      </c>
      <c r="BA41">
        <f>IF(OR(Calc_오픈정렬!$F41="",Calc_오픈정렬!BA41=""),"",Calc_오픈정렬!BA41/Calc_오픈정렬!$F41*100)</f>
        <v>189.81593207326222</v>
      </c>
      <c r="BB41">
        <f>IF(OR(Calc_오픈정렬!$F41="",Calc_오픈정렬!BB41=""),"",Calc_오픈정렬!BB41/Calc_오픈정렬!$F41*100)</f>
        <v>181.56784558741779</v>
      </c>
      <c r="BC41">
        <f>IF(OR(Calc_오픈정렬!$F41="",Calc_오픈정렬!BC41=""),"",Calc_오픈정렬!BC41/Calc_오픈정렬!$F41*100)</f>
        <v>214.87567392761804</v>
      </c>
      <c r="BD41">
        <f>IF(OR(Calc_오픈정렬!$F41="",Calc_오픈정렬!BD41=""),"",Calc_오픈정렬!BD41/Calc_오픈정렬!$F41*100)</f>
        <v>186.17345523302552</v>
      </c>
      <c r="BE41">
        <f>IF(OR(Calc_오픈정렬!$F41="",Calc_오픈정렬!BE41=""),"",Calc_오픈정렬!BE41/Calc_오픈정렬!$F41*100)</f>
        <v>162.06505591547187</v>
      </c>
      <c r="BF41">
        <f>IF(OR(Calc_오픈정렬!$F41="",Calc_오픈정렬!BF41=""),"",Calc_오픈정렬!BF41/Calc_오픈정렬!$F41*100)</f>
        <v>219.89389724761037</v>
      </c>
      <c r="BG41">
        <f>IF(OR(Calc_오픈정렬!$F41="",Calc_오픈정렬!BG41=""),"",Calc_오픈정렬!BG41/Calc_오픈정렬!$F41*100)</f>
        <v>227.19745758788719</v>
      </c>
      <c r="BH41">
        <f>IF(OR(Calc_오픈정렬!$F41="",Calc_오픈정렬!BH41=""),"",Calc_오픈정렬!BH41/Calc_오픈정렬!$F41*100)</f>
        <v>201.43905059542865</v>
      </c>
      <c r="BI41">
        <f>IF(OR(Calc_오픈정렬!$F41="",Calc_오픈정렬!BI41=""),"",Calc_오픈정렬!BI41/Calc_오픈정렬!$F41*100)</f>
        <v>199.51236658287868</v>
      </c>
      <c r="BJ41">
        <f>IF(OR(Calc_오픈정렬!$F41="",Calc_오픈정렬!BJ41=""),"",Calc_오픈정렬!BJ41/Calc_오픈정렬!$F41*100)</f>
        <v>233.77937308896227</v>
      </c>
      <c r="BK41" t="str">
        <f>IF(OR(Calc_오픈정렬!$F41="",Calc_오픈정렬!BK41=""),"",Calc_오픈정렬!BK41/Calc_오픈정렬!$F41*100)</f>
        <v/>
      </c>
      <c r="BL41" t="str">
        <f>IF(OR(Calc_오픈정렬!$F41="",Calc_오픈정렬!BL41=""),"",Calc_오픈정렬!BL41/Calc_오픈정렬!$F41*100)</f>
        <v/>
      </c>
      <c r="BM41" t="str">
        <f>IF(OR(Calc_오픈정렬!$F41="",Calc_오픈정렬!BM41=""),"",Calc_오픈정렬!BM41/Calc_오픈정렬!$F41*100)</f>
        <v/>
      </c>
      <c r="BN41" t="str">
        <f>IF(OR(Calc_오픈정렬!$F41="",Calc_오픈정렬!BN41=""),"",Calc_오픈정렬!BN41/Calc_오픈정렬!$F41*100)</f>
        <v/>
      </c>
    </row>
    <row r="42" spans="1:66" x14ac:dyDescent="0.4">
      <c r="A42" t="str">
        <f>Calc_오픈정렬!A42</f>
        <v>(1030) #노량진점</v>
      </c>
      <c r="B42" t="str">
        <f>Calc_오픈정렬!B42</f>
        <v>150-2</v>
      </c>
      <c r="C42">
        <f>Calc_오픈정렬!C42</f>
        <v>2</v>
      </c>
      <c r="D42" t="str">
        <f>Calc_오픈정렬!D42</f>
        <v>2</v>
      </c>
      <c r="E42" s="1">
        <f>Calc_오픈정렬!E42</f>
        <v>44470</v>
      </c>
      <c r="F42">
        <f>Calc_오픈정렬!F42</f>
        <v>7088010.520434388</v>
      </c>
      <c r="G42">
        <f>IF(OR(Calc_오픈정렬!$F42="",Calc_오픈정렬!G42=""),"",Calc_오픈정렬!G42/Calc_오픈정렬!$F42*100)</f>
        <v>64.774809806213284</v>
      </c>
      <c r="H42">
        <f>IF(OR(Calc_오픈정렬!$F42="",Calc_오픈정렬!H42=""),"",Calc_오픈정렬!H42/Calc_오픈정렬!$F42*100)</f>
        <v>66.2876346305288</v>
      </c>
      <c r="I42">
        <f>IF(OR(Calc_오픈정렬!$F42="",Calc_오픈정렬!I42=""),"",Calc_오픈정렬!I42/Calc_오픈정렬!$F42*100)</f>
        <v>78.051145641599661</v>
      </c>
      <c r="J42">
        <f>IF(OR(Calc_오픈정렬!$F42="",Calc_오픈정렬!J42=""),"",Calc_오픈정렬!J42/Calc_오픈정렬!$F42*100)</f>
        <v>103.95462101462076</v>
      </c>
      <c r="K42">
        <f>IF(OR(Calc_오픈정렬!$F42="",Calc_오픈정렬!K42=""),"",Calc_오픈정렬!K42/Calc_오픈정렬!$F42*100)</f>
        <v>94.670085961132784</v>
      </c>
      <c r="L42">
        <f>IF(OR(Calc_오픈정렬!$F42="",Calc_오픈정렬!L42=""),"",Calc_오픈정렬!L42/Calc_오픈정렬!$F42*100)</f>
        <v>94.170143992072312</v>
      </c>
      <c r="M42">
        <f>IF(OR(Calc_오픈정렬!$F42="",Calc_오픈정렬!M42=""),"",Calc_오픈정렬!M42/Calc_오픈정렬!$F42*100)</f>
        <v>105.80526731086297</v>
      </c>
      <c r="N42">
        <f>IF(OR(Calc_오픈정렬!$F42="",Calc_오픈정렬!N42=""),"",Calc_오픈정렬!N42/Calc_오픈정렬!$F42*100)</f>
        <v>97.815851936822838</v>
      </c>
      <c r="O42">
        <f>IF(OR(Calc_오픈정렬!$F42="",Calc_오픈정렬!O42=""),"",Calc_오픈정렬!O42/Calc_오픈정렬!$F42*100)</f>
        <v>103.58402978448838</v>
      </c>
      <c r="P42">
        <f>IF(OR(Calc_오픈정렬!$F42="",Calc_오픈정렬!P42=""),"",Calc_오픈정렬!P42/Calc_오픈정렬!$F42*100)</f>
        <v>119.48164000492423</v>
      </c>
      <c r="Q42">
        <f>IF(OR(Calc_오픈정렬!$F42="",Calc_오픈정렬!Q42=""),"",Calc_오픈정렬!Q42/Calc_오픈정렬!$F42*100)</f>
        <v>139.05618283857922</v>
      </c>
      <c r="R42">
        <f>IF(OR(Calc_오픈정렬!$F42="",Calc_오픈정렬!R42=""),"",Calc_오픈정렬!R42/Calc_오픈정렬!$F42*100)</f>
        <v>132.56453404084186</v>
      </c>
      <c r="S42">
        <f>IF(OR(Calc_오픈정렬!$F42="",Calc_오픈정렬!S42=""),"",Calc_오픈정렬!S42/Calc_오픈정렬!$F42*100)</f>
        <v>132.52202841705824</v>
      </c>
      <c r="T42">
        <f>IF(OR(Calc_오픈정렬!$F42="",Calc_오픈정렬!T42=""),"",Calc_오픈정렬!T42/Calc_오픈정렬!$F42*100)</f>
        <v>126.88518651245097</v>
      </c>
      <c r="U42">
        <f>IF(OR(Calc_오픈정렬!$F42="",Calc_오픈정렬!U42=""),"",Calc_오픈정렬!U42/Calc_오픈정렬!$F42*100)</f>
        <v>130.11027400756112</v>
      </c>
      <c r="V42">
        <f>IF(OR(Calc_오픈정렬!$F42="",Calc_오픈정렬!V42=""),"",Calc_오픈정렬!V42/Calc_오픈정렬!$F42*100)</f>
        <v>136.5960062486746</v>
      </c>
      <c r="W42">
        <f>IF(OR(Calc_오픈정렬!$F42="",Calc_오픈정렬!W42=""),"",Calc_오픈정렬!W42/Calc_오픈정렬!$F42*100)</f>
        <v>141.98253225221609</v>
      </c>
      <c r="X42">
        <f>IF(OR(Calc_오픈정렬!$F42="",Calc_오픈정렬!X42=""),"",Calc_오픈정렬!X42/Calc_오픈정렬!$F42*100)</f>
        <v>136.58736194964851</v>
      </c>
      <c r="Y42">
        <f>IF(OR(Calc_오픈정렬!$F42="",Calc_오픈정렬!Y42=""),"",Calc_오픈정렬!Y42/Calc_오픈정렬!$F42*100)</f>
        <v>143.94896530921056</v>
      </c>
      <c r="Z42">
        <f>IF(OR(Calc_오픈정렬!$F42="",Calc_오픈정렬!Z42=""),"",Calc_오픈정렬!Z42/Calc_오픈정렬!$F42*100)</f>
        <v>122.16771837865269</v>
      </c>
      <c r="AA42">
        <f>IF(OR(Calc_오픈정렬!$F42="",Calc_오픈정렬!AA42=""),"",Calc_오픈정렬!AA42/Calc_오픈정렬!$F42*100)</f>
        <v>120.58380728241309</v>
      </c>
      <c r="AB42">
        <f>IF(OR(Calc_오픈정렬!$F42="",Calc_오픈정렬!AB42=""),"",Calc_오픈정렬!AB42/Calc_오픈정렬!$F42*100)</f>
        <v>135.66707519256042</v>
      </c>
      <c r="AC42">
        <f>IF(OR(Calc_오픈정렬!$F42="",Calc_오픈정렬!AC42=""),"",Calc_오픈정렬!AC42/Calc_오픈정렬!$F42*100)</f>
        <v>130.09859717346868</v>
      </c>
      <c r="AD42">
        <f>IF(OR(Calc_오픈정렬!$F42="",Calc_오픈정렬!AD42=""),"",Calc_오픈정렬!AD42/Calc_오픈정렬!$F42*100)</f>
        <v>135.0332627939994</v>
      </c>
      <c r="AE42">
        <f>IF(OR(Calc_오픈정렬!$F42="",Calc_오픈정렬!AE42=""),"",Calc_오픈정렬!AE42/Calc_오픈정렬!$F42*100)</f>
        <v>126.26695938374246</v>
      </c>
      <c r="AF42">
        <f>IF(OR(Calc_오픈정렬!$F42="",Calc_오픈정렬!AF42=""),"",Calc_오픈정렬!AF42/Calc_오픈정렬!$F42*100)</f>
        <v>127.98959647675545</v>
      </c>
      <c r="AG42">
        <f>IF(OR(Calc_오픈정렬!$F42="",Calc_오픈정렬!AG42=""),"",Calc_오픈정렬!AG42/Calc_오픈정렬!$F42*100)</f>
        <v>142.64643543109042</v>
      </c>
      <c r="AH42">
        <f>IF(OR(Calc_오픈정렬!$F42="",Calc_오픈정렬!AH42=""),"",Calc_오픈정렬!AH42/Calc_오픈정렬!$F42*100)</f>
        <v>148.49513256143146</v>
      </c>
      <c r="AI42">
        <f>IF(OR(Calc_오픈정렬!$F42="",Calc_오픈정렬!AI42=""),"",Calc_오픈정렬!AI42/Calc_오픈정렬!$F42*100)</f>
        <v>138.27600564544557</v>
      </c>
      <c r="AJ42">
        <f>IF(OR(Calc_오픈정렬!$F42="",Calc_오픈정렬!AJ42=""),"",Calc_오픈정렬!AJ42/Calc_오픈정렬!$F42*100)</f>
        <v>135.0181499295031</v>
      </c>
      <c r="AK42">
        <f>IF(OR(Calc_오픈정렬!$F42="",Calc_오픈정렬!AK42=""),"",Calc_오픈정렬!AK42/Calc_오픈정렬!$F42*100)</f>
        <v>145.15102542780929</v>
      </c>
      <c r="AL42">
        <f>IF(OR(Calc_오픈정렬!$F42="",Calc_오픈정렬!AL42=""),"",Calc_오픈정렬!AL42/Calc_오픈정렬!$F42*100)</f>
        <v>124.6596773952519</v>
      </c>
      <c r="AM42">
        <f>IF(OR(Calc_오픈정렬!$F42="",Calc_오픈정렬!AM42=""),"",Calc_오픈정렬!AM42/Calc_오픈정렬!$F42*100)</f>
        <v>136.19065993537259</v>
      </c>
      <c r="AN42">
        <f>IF(OR(Calc_오픈정렬!$F42="",Calc_오픈정렬!AN42=""),"",Calc_오픈정렬!AN42/Calc_오픈정렬!$F42*100)</f>
        <v>151.631609986554</v>
      </c>
      <c r="AO42">
        <f>IF(OR(Calc_오픈정렬!$F42="",Calc_오픈정렬!AO42=""),"",Calc_오픈정렬!AO42/Calc_오픈정렬!$F42*100)</f>
        <v>156.93126002089352</v>
      </c>
      <c r="AP42">
        <f>IF(OR(Calc_오픈정렬!$F42="",Calc_오픈정렬!AP42=""),"",Calc_오픈정렬!AP42/Calc_오픈정렬!$F42*100)</f>
        <v>158.81224978089139</v>
      </c>
      <c r="AQ42">
        <f>IF(OR(Calc_오픈정렬!$F42="",Calc_오픈정렬!AQ42=""),"",Calc_오픈정렬!AQ42/Calc_오픈정렬!$F42*100)</f>
        <v>133.84749280148372</v>
      </c>
      <c r="AR42">
        <f>IF(OR(Calc_오픈정렬!$F42="",Calc_오픈정렬!AR42=""),"",Calc_오픈정렬!AR42/Calc_오픈정렬!$F42*100)</f>
        <v>130.13675916195839</v>
      </c>
      <c r="AS42">
        <f>IF(OR(Calc_오픈정렬!$F42="",Calc_오픈정렬!AS42=""),"",Calc_오픈정렬!AS42/Calc_오픈정렬!$F42*100)</f>
        <v>132.08578747061313</v>
      </c>
      <c r="AT42">
        <f>IF(OR(Calc_오픈정렬!$F42="",Calc_오픈정렬!AT42=""),"",Calc_오픈정렬!AT42/Calc_오픈정렬!$F42*100)</f>
        <v>154.43756640903646</v>
      </c>
      <c r="AU42">
        <f>IF(OR(Calc_오픈정렬!$F42="",Calc_오픈정렬!AU42=""),"",Calc_오픈정렬!AU42/Calc_오픈정렬!$F42*100)</f>
        <v>149.42956419142425</v>
      </c>
      <c r="AV42">
        <f>IF(OR(Calc_오픈정렬!$F42="",Calc_오픈정렬!AV42=""),"",Calc_오픈정렬!AV42/Calc_오픈정렬!$F42*100)</f>
        <v>115.52307169292042</v>
      </c>
      <c r="AW42">
        <f>IF(OR(Calc_오픈정렬!$F42="",Calc_오픈정렬!AW42=""),"",Calc_오픈정렬!AW42/Calc_오픈정렬!$F42*100)</f>
        <v>102.32496554447484</v>
      </c>
      <c r="AX42">
        <f>IF(OR(Calc_오픈정렬!$F42="",Calc_오픈정렬!AX42=""),"",Calc_오픈정렬!AX42/Calc_오픈정렬!$F42*100)</f>
        <v>106.75080573713794</v>
      </c>
      <c r="AY42">
        <f>IF(OR(Calc_오픈정렬!$F42="",Calc_오픈정렬!AY42=""),"",Calc_오픈정렬!AY42/Calc_오픈정렬!$F42*100)</f>
        <v>107.08349952457388</v>
      </c>
      <c r="AZ42">
        <f>IF(OR(Calc_오픈정렬!$F42="",Calc_오픈정렬!AZ42=""),"",Calc_오픈정렬!AZ42/Calc_오픈정렬!$F42*100)</f>
        <v>115.36822938017065</v>
      </c>
      <c r="BA42">
        <f>IF(OR(Calc_오픈정렬!$F42="",Calc_오픈정렬!BA42=""),"",Calc_오픈정렬!BA42/Calc_오픈정렬!$F42*100)</f>
        <v>111.46518757298594</v>
      </c>
      <c r="BB42">
        <f>IF(OR(Calc_오픈정렬!$F42="",Calc_오픈정렬!BB42=""),"",Calc_오픈정렬!BB42/Calc_오픈정렬!$F42*100)</f>
        <v>116.11479690364945</v>
      </c>
      <c r="BC42">
        <f>IF(OR(Calc_오픈정렬!$F42="",Calc_오픈정렬!BC42=""),"",Calc_오픈정렬!BC42/Calc_오픈정렬!$F42*100)</f>
        <v>117.00640596124818</v>
      </c>
      <c r="BD42">
        <f>IF(OR(Calc_오픈정렬!$F42="",Calc_오픈정렬!BD42=""),"",Calc_오픈정렬!BD42/Calc_오픈정렬!$F42*100)</f>
        <v>118.04109862038594</v>
      </c>
      <c r="BE42">
        <f>IF(OR(Calc_오픈정렬!$F42="",Calc_오픈정렬!BE42=""),"",Calc_오픈정렬!BE42/Calc_오픈정렬!$F42*100)</f>
        <v>109.16251306563336</v>
      </c>
      <c r="BF42">
        <f>IF(OR(Calc_오픈정렬!$F42="",Calc_오픈정렬!BF42=""),"",Calc_오픈정렬!BF42/Calc_오픈정렬!$F42*100)</f>
        <v>112.5872840293722</v>
      </c>
      <c r="BG42">
        <f>IF(OR(Calc_오픈정렬!$F42="",Calc_오픈정렬!BG42=""),"",Calc_오픈정렬!BG42/Calc_오픈정렬!$F42*100)</f>
        <v>114.27899094592161</v>
      </c>
      <c r="BH42">
        <f>IF(OR(Calc_오픈정렬!$F42="",Calc_오픈정렬!BH42=""),"",Calc_오픈정렬!BH42/Calc_오픈정렬!$F42*100)</f>
        <v>113.32359048518698</v>
      </c>
      <c r="BI42">
        <f>IF(OR(Calc_오픈정렬!$F42="",Calc_오픈정렬!BI42=""),"",Calc_오픈정렬!BI42/Calc_오픈정렬!$F42*100)</f>
        <v>125.7002248563407</v>
      </c>
      <c r="BJ42">
        <f>IF(OR(Calc_오픈정렬!$F42="",Calc_오픈정렬!BJ42=""),"",Calc_오픈정렬!BJ42/Calc_오픈정렬!$F42*100)</f>
        <v>120.7698326050083</v>
      </c>
      <c r="BK42" t="str">
        <f>IF(OR(Calc_오픈정렬!$F42="",Calc_오픈정렬!BK42=""),"",Calc_오픈정렬!BK42/Calc_오픈정렬!$F42*100)</f>
        <v/>
      </c>
      <c r="BL42" t="str">
        <f>IF(OR(Calc_오픈정렬!$F42="",Calc_오픈정렬!BL42=""),"",Calc_오픈정렬!BL42/Calc_오픈정렬!$F42*100)</f>
        <v/>
      </c>
      <c r="BM42" t="str">
        <f>IF(OR(Calc_오픈정렬!$F42="",Calc_오픈정렬!BM42=""),"",Calc_오픈정렬!BM42/Calc_오픈정렬!$F42*100)</f>
        <v/>
      </c>
      <c r="BN42" t="str">
        <f>IF(OR(Calc_오픈정렬!$F42="",Calc_오픈정렬!BN42=""),"",Calc_오픈정렬!BN42/Calc_오픈정렬!$F42*100)</f>
        <v/>
      </c>
    </row>
    <row r="43" spans="1:66" x14ac:dyDescent="0.4">
      <c r="A43" t="str">
        <f>Calc_오픈정렬!A43</f>
        <v>(1032) #이대점</v>
      </c>
      <c r="B43" t="str">
        <f>Calc_오픈정렬!B43</f>
        <v>150-4</v>
      </c>
      <c r="C43">
        <f>Calc_오픈정렬!C43</f>
        <v>4</v>
      </c>
      <c r="D43" t="str">
        <f>Calc_오픈정렬!D43</f>
        <v>3+</v>
      </c>
      <c r="E43" s="1">
        <f>Calc_오픈정렬!E43</f>
        <v>44470</v>
      </c>
      <c r="F43">
        <f>Calc_오픈정렬!F43</f>
        <v>3350361.6940981317</v>
      </c>
      <c r="G43">
        <f>IF(OR(Calc_오픈정렬!$F43="",Calc_오픈정렬!G43=""),"",Calc_오픈정렬!G43/Calc_오픈정렬!$F43*100)</f>
        <v>78.095225831488818</v>
      </c>
      <c r="H43">
        <f>IF(OR(Calc_오픈정렬!$F43="",Calc_오픈정렬!H43=""),"",Calc_오픈정렬!H43/Calc_오픈정렬!$F43*100)</f>
        <v>87.854698397526249</v>
      </c>
      <c r="I43">
        <f>IF(OR(Calc_오픈정렬!$F43="",Calc_오픈정렬!I43=""),"",Calc_오픈정렬!I43/Calc_오픈정렬!$F43*100)</f>
        <v>87.305267135123358</v>
      </c>
      <c r="J43">
        <f>IF(OR(Calc_오픈정렬!$F43="",Calc_오픈정렬!J43=""),"",Calc_오픈정렬!J43/Calc_오픈정렬!$F43*100)</f>
        <v>116.20263201665237</v>
      </c>
      <c r="K43">
        <f>IF(OR(Calc_오픈정렬!$F43="",Calc_오픈정렬!K43=""),"",Calc_오픈정렬!K43/Calc_오픈정렬!$F43*100)</f>
        <v>122.98396524066533</v>
      </c>
      <c r="L43">
        <f>IF(OR(Calc_오픈정렬!$F43="",Calc_오픈정렬!L43=""),"",Calc_오픈정렬!L43/Calc_오픈정렬!$F43*100)</f>
        <v>114.32608135294429</v>
      </c>
      <c r="M43">
        <f>IF(OR(Calc_오픈정렬!$F43="",Calc_오픈정렬!M43=""),"",Calc_오픈정렬!M43/Calc_오픈정렬!$F43*100)</f>
        <v>92.094383544786268</v>
      </c>
      <c r="N43">
        <f>IF(OR(Calc_오픈정렬!$F43="",Calc_오픈정렬!N43=""),"",Calc_오픈정렬!N43/Calc_오픈정렬!$F43*100)</f>
        <v>74.245624788209639</v>
      </c>
      <c r="O43">
        <f>IF(OR(Calc_오픈정렬!$F43="",Calc_오픈정렬!O43=""),"",Calc_오픈정렬!O43/Calc_오픈정렬!$F43*100)</f>
        <v>80.147313056742064</v>
      </c>
      <c r="P43">
        <f>IF(OR(Calc_오픈정렬!$F43="",Calc_오픈정렬!P43=""),"",Calc_오픈정렬!P43/Calc_오픈정렬!$F43*100)</f>
        <v>109.93371454563081</v>
      </c>
      <c r="Q43">
        <f>IF(OR(Calc_오픈정렬!$F43="",Calc_오픈정렬!Q43=""),"",Calc_오픈정렬!Q43/Calc_오픈정렬!$F43*100)</f>
        <v>106.80386130646117</v>
      </c>
      <c r="R43">
        <f>IF(OR(Calc_오픈정렬!$F43="",Calc_오픈정렬!R43=""),"",Calc_오픈정렬!R43/Calc_오픈정렬!$F43*100)</f>
        <v>106.00679020637673</v>
      </c>
      <c r="S43">
        <f>IF(OR(Calc_오픈정렬!$F43="",Calc_오픈정렬!S43=""),"",Calc_오픈정렬!S43/Calc_오픈정렬!$F43*100)</f>
        <v>97.796550780877453</v>
      </c>
      <c r="T43">
        <f>IF(OR(Calc_오픈정렬!$F43="",Calc_오픈정렬!T43=""),"",Calc_오픈정렬!T43/Calc_오픈정렬!$F43*100)</f>
        <v>89.97616933288829</v>
      </c>
      <c r="U43">
        <f>IF(OR(Calc_오픈정렬!$F43="",Calc_오픈정렬!U43=""),"",Calc_오픈정렬!U43/Calc_오픈정렬!$F43*100)</f>
        <v>88.22959088973839</v>
      </c>
      <c r="V43">
        <f>IF(OR(Calc_오픈정렬!$F43="",Calc_오픈정렬!V43=""),"",Calc_오픈정렬!V43/Calc_오픈정렬!$F43*100)</f>
        <v>90.512800700329819</v>
      </c>
      <c r="W43">
        <f>IF(OR(Calc_오픈정렬!$F43="",Calc_오픈정렬!W43=""),"",Calc_오픈정렬!W43/Calc_오픈정렬!$F43*100)</f>
        <v>95.221388578217415</v>
      </c>
      <c r="X43">
        <f>IF(OR(Calc_오픈정렬!$F43="",Calc_오픈정렬!X43=""),"",Calc_오픈정렬!X43/Calc_오픈정렬!$F43*100)</f>
        <v>107.6452853577091</v>
      </c>
      <c r="Y43">
        <f>IF(OR(Calc_오픈정렬!$F43="",Calc_오픈정렬!Y43=""),"",Calc_오픈정렬!Y43/Calc_오픈정렬!$F43*100)</f>
        <v>113.57534051266339</v>
      </c>
      <c r="Z43">
        <f>IF(OR(Calc_오픈정렬!$F43="",Calc_오픈정렬!Z43=""),"",Calc_오픈정렬!Z43/Calc_오픈정렬!$F43*100)</f>
        <v>116.79309843639388</v>
      </c>
      <c r="AA43">
        <f>IF(OR(Calc_오픈정렬!$F43="",Calc_오픈정렬!AA43=""),"",Calc_오픈정렬!AA43/Calc_오픈정렬!$F43*100)</f>
        <v>120.09029461817275</v>
      </c>
      <c r="AB43">
        <f>IF(OR(Calc_오픈정렬!$F43="",Calc_오픈정렬!AB43=""),"",Calc_오픈정렬!AB43/Calc_오픈정렬!$F43*100)</f>
        <v>120.48370141682349</v>
      </c>
      <c r="AC43">
        <f>IF(OR(Calc_오픈정렬!$F43="",Calc_오픈정렬!AC43=""),"",Calc_오픈정렬!AC43/Calc_오픈정렬!$F43*100)</f>
        <v>91.667342553594239</v>
      </c>
      <c r="AD43">
        <f>IF(OR(Calc_오픈정렬!$F43="",Calc_오픈정렬!AD43=""),"",Calc_오픈정렬!AD43/Calc_오픈정렬!$F43*100)</f>
        <v>101.71405179531985</v>
      </c>
      <c r="AE43">
        <f>IF(OR(Calc_오픈정렬!$F43="",Calc_오픈정렬!AE43=""),"",Calc_오픈정렬!AE43/Calc_오픈정렬!$F43*100)</f>
        <v>102.7412476718446</v>
      </c>
      <c r="AF43">
        <f>IF(OR(Calc_오픈정렬!$F43="",Calc_오픈정렬!AF43=""),"",Calc_오픈정렬!AF43/Calc_오픈정렬!$F43*100)</f>
        <v>86.636286036000769</v>
      </c>
      <c r="AG43">
        <f>IF(OR(Calc_오픈정렬!$F43="",Calc_오픈정렬!AG43=""),"",Calc_오픈정렬!AG43/Calc_오픈정렬!$F43*100)</f>
        <v>90.823474426126836</v>
      </c>
      <c r="AH43">
        <f>IF(OR(Calc_오픈정렬!$F43="",Calc_오픈정렬!AH43=""),"",Calc_오픈정렬!AH43/Calc_오픈정렬!$F43*100)</f>
        <v>107.35628040319504</v>
      </c>
      <c r="AI43">
        <f>IF(OR(Calc_오픈정렬!$F43="",Calc_오픈정렬!AI43=""),"",Calc_오픈정렬!AI43/Calc_오픈정렬!$F43*100)</f>
        <v>97.707272355900884</v>
      </c>
      <c r="AJ43">
        <f>IF(OR(Calc_오픈정렬!$F43="",Calc_오픈정렬!AJ43=""),"",Calc_오픈정렬!AJ43/Calc_오픈정렬!$F43*100)</f>
        <v>79.436968106103407</v>
      </c>
      <c r="AK43">
        <f>IF(OR(Calc_오픈정렬!$F43="",Calc_오픈정렬!AK43=""),"",Calc_오픈정렬!AK43/Calc_오픈정렬!$F43*100)</f>
        <v>98.329892435677593</v>
      </c>
      <c r="AL43">
        <f>IF(OR(Calc_오픈정렬!$F43="",Calc_오픈정렬!AL43=""),"",Calc_오픈정렬!AL43/Calc_오픈정렬!$F43*100)</f>
        <v>96.335185341374796</v>
      </c>
      <c r="AM43">
        <f>IF(OR(Calc_오픈정렬!$F43="",Calc_오픈정렬!AM43=""),"",Calc_오픈정렬!AM43/Calc_오픈정렬!$F43*100)</f>
        <v>103.23031999471462</v>
      </c>
      <c r="AN43">
        <f>IF(OR(Calc_오픈정렬!$F43="",Calc_오픈정렬!AN43=""),"",Calc_오픈정렬!AN43/Calc_오픈정렬!$F43*100)</f>
        <v>98.506938225007929</v>
      </c>
      <c r="AO43">
        <f>IF(OR(Calc_오픈정렬!$F43="",Calc_오픈정렬!AO43=""),"",Calc_오픈정렬!AO43/Calc_오픈정렬!$F43*100)</f>
        <v>90.823499913941646</v>
      </c>
      <c r="AP43">
        <f>IF(OR(Calc_오픈정렬!$F43="",Calc_오픈정렬!AP43=""),"",Calc_오픈정렬!AP43/Calc_오픈정렬!$F43*100)</f>
        <v>80.32786751690179</v>
      </c>
      <c r="AQ43">
        <f>IF(OR(Calc_오픈정렬!$F43="",Calc_오픈정렬!AQ43=""),"",Calc_오픈정렬!AQ43/Calc_오픈정렬!$F43*100)</f>
        <v>74.475139648128021</v>
      </c>
      <c r="AR43">
        <f>IF(OR(Calc_오픈정렬!$F43="",Calc_오픈정렬!AR43=""),"",Calc_오픈정렬!AR43/Calc_오픈정렬!$F43*100)</f>
        <v>91.409595640565328</v>
      </c>
      <c r="AS43">
        <f>IF(OR(Calc_오픈정렬!$F43="",Calc_오픈정렬!AS43=""),"",Calc_오픈정렬!AS43/Calc_오픈정렬!$F43*100)</f>
        <v>85.085445868180685</v>
      </c>
      <c r="AT43">
        <f>IF(OR(Calc_오픈정렬!$F43="",Calc_오픈정렬!AT43=""),"",Calc_오픈정렬!AT43/Calc_오픈정렬!$F43*100)</f>
        <v>82.395994392281764</v>
      </c>
      <c r="AU43">
        <f>IF(OR(Calc_오픈정렬!$F43="",Calc_오픈정렬!AU43=""),"",Calc_오픈정렬!AU43/Calc_오픈정렬!$F43*100)</f>
        <v>100.23742044586503</v>
      </c>
      <c r="AV43">
        <f>IF(OR(Calc_오픈정렬!$F43="",Calc_오픈정렬!AV43=""),"",Calc_오픈정렬!AV43/Calc_오픈정렬!$F43*100)</f>
        <v>112.37559608536989</v>
      </c>
      <c r="AW43">
        <f>IF(OR(Calc_오픈정렬!$F43="",Calc_오픈정렬!AW43=""),"",Calc_오픈정렬!AW43/Calc_오픈정렬!$F43*100)</f>
        <v>105.48093239388234</v>
      </c>
      <c r="AX43">
        <f>IF(OR(Calc_오픈정렬!$F43="",Calc_오픈정렬!AX43=""),"",Calc_오픈정렬!AX43/Calc_오픈정렬!$F43*100)</f>
        <v>119.63290152110125</v>
      </c>
      <c r="AY43">
        <f>IF(OR(Calc_오픈정렬!$F43="",Calc_오픈정렬!AY43=""),"",Calc_오픈정렬!AY43/Calc_오픈정렬!$F43*100)</f>
        <v>123.14808884457671</v>
      </c>
      <c r="AZ43">
        <f>IF(OR(Calc_오픈정렬!$F43="",Calc_오픈정렬!AZ43=""),"",Calc_오픈정렬!AZ43/Calc_오픈정렬!$F43*100)</f>
        <v>105.65241581938869</v>
      </c>
      <c r="BA43">
        <f>IF(OR(Calc_오픈정렬!$F43="",Calc_오픈정렬!BA43=""),"",Calc_오픈정렬!BA43/Calc_오픈정렬!$F43*100)</f>
        <v>99.134691805008586</v>
      </c>
      <c r="BB43">
        <f>IF(OR(Calc_오픈정렬!$F43="",Calc_오픈정렬!BB43=""),"",Calc_오픈정렬!BB43/Calc_오픈정렬!$F43*100)</f>
        <v>96.328751837282184</v>
      </c>
      <c r="BC43">
        <f>IF(OR(Calc_오픈정렬!$F43="",Calc_오픈정렬!BC43=""),"",Calc_오픈정렬!BC43/Calc_오픈정렬!$F43*100)</f>
        <v>85.989957290565584</v>
      </c>
      <c r="BD43">
        <f>IF(OR(Calc_오픈정렬!$F43="",Calc_오픈정렬!BD43=""),"",Calc_오픈정렬!BD43/Calc_오픈정렬!$F43*100)</f>
        <v>89.480203830432032</v>
      </c>
      <c r="BE43">
        <f>IF(OR(Calc_오픈정렬!$F43="",Calc_오픈정렬!BE43=""),"",Calc_오픈정렬!BE43/Calc_오픈정렬!$F43*100)</f>
        <v>86.391053171574427</v>
      </c>
      <c r="BF43">
        <f>IF(OR(Calc_오픈정렬!$F43="",Calc_오픈정렬!BF43=""),"",Calc_오픈정렬!BF43/Calc_오픈정렬!$F43*100)</f>
        <v>88.648771459317771</v>
      </c>
      <c r="BG43">
        <f>IF(OR(Calc_오픈정렬!$F43="",Calc_오픈정렬!BG43=""),"",Calc_오픈정렬!BG43/Calc_오픈정렬!$F43*100)</f>
        <v>85.168077973027394</v>
      </c>
      <c r="BH43">
        <f>IF(OR(Calc_오픈정렬!$F43="",Calc_오픈정렬!BH43=""),"",Calc_오픈정렬!BH43/Calc_오픈정렬!$F43*100)</f>
        <v>73.751380341882566</v>
      </c>
      <c r="BI43">
        <f>IF(OR(Calc_오픈정렬!$F43="",Calc_오픈정렬!BI43=""),"",Calc_오픈정렬!BI43/Calc_오픈정렬!$F43*100)</f>
        <v>66.609524662594282</v>
      </c>
      <c r="BJ43">
        <f>IF(OR(Calc_오픈정렬!$F43="",Calc_오픈정렬!BJ43=""),"",Calc_오픈정렬!BJ43/Calc_오픈정렬!$F43*100)</f>
        <v>85.260661491336435</v>
      </c>
      <c r="BK43" t="str">
        <f>IF(OR(Calc_오픈정렬!$F43="",Calc_오픈정렬!BK43=""),"",Calc_오픈정렬!BK43/Calc_오픈정렬!$F43*100)</f>
        <v/>
      </c>
      <c r="BL43" t="str">
        <f>IF(OR(Calc_오픈정렬!$F43="",Calc_오픈정렬!BL43=""),"",Calc_오픈정렬!BL43/Calc_오픈정렬!$F43*100)</f>
        <v/>
      </c>
      <c r="BM43" t="str">
        <f>IF(OR(Calc_오픈정렬!$F43="",Calc_오픈정렬!BM43=""),"",Calc_오픈정렬!BM43/Calc_오픈정렬!$F43*100)</f>
        <v/>
      </c>
      <c r="BN43" t="str">
        <f>IF(OR(Calc_오픈정렬!$F43="",Calc_오픈정렬!BN43=""),"",Calc_오픈정렬!BN43/Calc_오픈정렬!$F43*100)</f>
        <v/>
      </c>
    </row>
    <row r="44" spans="1:66" x14ac:dyDescent="0.4">
      <c r="A44" t="str">
        <f>Calc_오픈정렬!A44</f>
        <v>(1033) #보라매점</v>
      </c>
      <c r="B44" t="str">
        <f>Calc_오픈정렬!B44</f>
        <v>150-2</v>
      </c>
      <c r="C44">
        <f>Calc_오픈정렬!C44</f>
        <v>2</v>
      </c>
      <c r="D44" t="str">
        <f>Calc_오픈정렬!D44</f>
        <v>2</v>
      </c>
      <c r="E44" s="1">
        <f>Calc_오픈정렬!E44</f>
        <v>44378</v>
      </c>
      <c r="F44">
        <f>Calc_오픈정렬!F44</f>
        <v>3221511.383875336</v>
      </c>
      <c r="G44">
        <f>IF(OR(Calc_오픈정렬!$F44="",Calc_오픈정렬!G44=""),"",Calc_오픈정렬!G44/Calc_오픈정렬!$F44*100)</f>
        <v>97.500926993611884</v>
      </c>
      <c r="H44">
        <f>IF(OR(Calc_오픈정렬!$F44="",Calc_오픈정렬!H44=""),"",Calc_오픈정렬!H44/Calc_오픈정렬!$F44*100)</f>
        <v>72.622474674923893</v>
      </c>
      <c r="I44">
        <f>IF(OR(Calc_오픈정렬!$F44="",Calc_오픈정렬!I44=""),"",Calc_오픈정렬!I44/Calc_오픈정렬!$F44*100)</f>
        <v>78.158605522195117</v>
      </c>
      <c r="J44">
        <f>IF(OR(Calc_오픈정렬!$F44="",Calc_오픈정렬!J44=""),"",Calc_오픈정렬!J44/Calc_오픈정렬!$F44*100)</f>
        <v>86.334404498316957</v>
      </c>
      <c r="K44">
        <f>IF(OR(Calc_오픈정렬!$F44="",Calc_오픈정렬!K44=""),"",Calc_오픈정렬!K44/Calc_오픈정렬!$F44*100)</f>
        <v>75.029892712178409</v>
      </c>
      <c r="L44">
        <f>IF(OR(Calc_오픈정렬!$F44="",Calc_오픈정렬!L44=""),"",Calc_오픈정렬!L44/Calc_오픈정렬!$F44*100)</f>
        <v>86.14093606580694</v>
      </c>
      <c r="M44">
        <f>IF(OR(Calc_오픈정렬!$F44="",Calc_오픈정렬!M44=""),"",Calc_오픈정렬!M44/Calc_오픈정렬!$F44*100)</f>
        <v>115.63307259054407</v>
      </c>
      <c r="N44">
        <f>IF(OR(Calc_오픈정렬!$F44="",Calc_오픈정렬!N44=""),"",Calc_오픈정렬!N44/Calc_오픈정렬!$F44*100)</f>
        <v>113.88996005886489</v>
      </c>
      <c r="O44">
        <f>IF(OR(Calc_오픈정렬!$F44="",Calc_오픈정렬!O44=""),"",Calc_오픈정렬!O44/Calc_오픈정렬!$F44*100)</f>
        <v>122.97173407428863</v>
      </c>
      <c r="P44">
        <f>IF(OR(Calc_오픈정렬!$F44="",Calc_오픈정렬!P44=""),"",Calc_오픈정렬!P44/Calc_오픈정렬!$F44*100)</f>
        <v>121.2221322638285</v>
      </c>
      <c r="Q44">
        <f>IF(OR(Calc_오픈정렬!$F44="",Calc_오픈정렬!Q44=""),"",Calc_오픈정렬!Q44/Calc_오픈정렬!$F44*100)</f>
        <v>121.71486637390893</v>
      </c>
      <c r="R44">
        <f>IF(OR(Calc_오픈정렬!$F44="",Calc_오픈정렬!R44=""),"",Calc_오픈정렬!R44/Calc_오픈정렬!$F44*100)</f>
        <v>134.28583562193069</v>
      </c>
      <c r="S44">
        <f>IF(OR(Calc_오픈정렬!$F44="",Calc_오픈정렬!S44=""),"",Calc_오픈정렬!S44/Calc_오픈정렬!$F44*100)</f>
        <v>149.08511978867861</v>
      </c>
      <c r="T44">
        <f>IF(OR(Calc_오픈정렬!$F44="",Calc_오픈정렬!T44=""),"",Calc_오픈정렬!T44/Calc_오픈정렬!$F44*100)</f>
        <v>148.40002793913695</v>
      </c>
      <c r="U44">
        <f>IF(OR(Calc_오픈정렬!$F44="",Calc_오픈정렬!U44=""),"",Calc_오픈정렬!U44/Calc_오픈정렬!$F44*100)</f>
        <v>131.54580056750251</v>
      </c>
      <c r="V44">
        <f>IF(OR(Calc_오픈정렬!$F44="",Calc_오픈정렬!V44=""),"",Calc_오픈정렬!V44/Calc_오픈정렬!$F44*100)</f>
        <v>123.83549186438216</v>
      </c>
      <c r="W44">
        <f>IF(OR(Calc_오픈정렬!$F44="",Calc_오픈정렬!W44=""),"",Calc_오픈정렬!W44/Calc_오픈정렬!$F44*100)</f>
        <v>116.92021628086935</v>
      </c>
      <c r="X44">
        <f>IF(OR(Calc_오픈정렬!$F44="",Calc_오픈정렬!X44=""),"",Calc_오픈정렬!X44/Calc_오픈정렬!$F44*100)</f>
        <v>125.97454765194817</v>
      </c>
      <c r="Y44">
        <f>IF(OR(Calc_오픈정렬!$F44="",Calc_오픈정렬!Y44=""),"",Calc_오픈정렬!Y44/Calc_오픈정렬!$F44*100)</f>
        <v>150.65376428930219</v>
      </c>
      <c r="Z44">
        <f>IF(OR(Calc_오픈정렬!$F44="",Calc_오픈정렬!Z44=""),"",Calc_오픈정렬!Z44/Calc_오픈정렬!$F44*100)</f>
        <v>143.0759886269006</v>
      </c>
      <c r="AA44">
        <f>IF(OR(Calc_오픈정렬!$F44="",Calc_오픈정렬!AA44=""),"",Calc_오픈정렬!AA44/Calc_오픈정렬!$F44*100)</f>
        <v>134.47188325385585</v>
      </c>
      <c r="AB44">
        <f>IF(OR(Calc_오픈정렬!$F44="",Calc_오픈정렬!AB44=""),"",Calc_오픈정렬!AB44/Calc_오픈정렬!$F44*100)</f>
        <v>143.59442707329984</v>
      </c>
      <c r="AC44">
        <f>IF(OR(Calc_오픈정렬!$F44="",Calc_오픈정렬!AC44=""),"",Calc_오픈정렬!AC44/Calc_오픈정렬!$F44*100)</f>
        <v>133.02758782800092</v>
      </c>
      <c r="AD44">
        <f>IF(OR(Calc_오픈정렬!$F44="",Calc_오픈정렬!AD44=""),"",Calc_오픈정렬!AD44/Calc_오픈정렬!$F44*100)</f>
        <v>127.9890636153699</v>
      </c>
      <c r="AE44">
        <f>IF(OR(Calc_오픈정렬!$F44="",Calc_오픈정렬!AE44=""),"",Calc_오픈정렬!AE44/Calc_오픈정렬!$F44*100)</f>
        <v>145.31907101430522</v>
      </c>
      <c r="AF44">
        <f>IF(OR(Calc_오픈정렬!$F44="",Calc_오픈정렬!AF44=""),"",Calc_오픈정렬!AF44/Calc_오픈정렬!$F44*100)</f>
        <v>123.79090164975257</v>
      </c>
      <c r="AG44">
        <f>IF(OR(Calc_오픈정렬!$F44="",Calc_오픈정렬!AG44=""),"",Calc_오픈정렬!AG44/Calc_오픈정렬!$F44*100)</f>
        <v>135.32816862530015</v>
      </c>
      <c r="AH44">
        <f>IF(OR(Calc_오픈정렬!$F44="",Calc_오픈정렬!AH44=""),"",Calc_오픈정렬!AH44/Calc_오픈정렬!$F44*100)</f>
        <v>132.95229756490428</v>
      </c>
      <c r="AI44">
        <f>IF(OR(Calc_오픈정렬!$F44="",Calc_오픈정렬!AI44=""),"",Calc_오픈정렬!AI44/Calc_오픈정렬!$F44*100)</f>
        <v>124.52308639475986</v>
      </c>
      <c r="AJ44">
        <f>IF(OR(Calc_오픈정렬!$F44="",Calc_오픈정렬!AJ44=""),"",Calc_오픈정렬!AJ44/Calc_오픈정렬!$F44*100)</f>
        <v>140.81602261735773</v>
      </c>
      <c r="AK44">
        <f>IF(OR(Calc_오픈정렬!$F44="",Calc_오픈정렬!AK44=""),"",Calc_오픈정렬!AK44/Calc_오픈정렬!$F44*100)</f>
        <v>152.62303882250887</v>
      </c>
      <c r="AL44">
        <f>IF(OR(Calc_오픈정렬!$F44="",Calc_오픈정렬!AL44=""),"",Calc_오픈정렬!AL44/Calc_오픈정렬!$F44*100)</f>
        <v>157.17182766086358</v>
      </c>
      <c r="AM44">
        <f>IF(OR(Calc_오픈정렬!$F44="",Calc_오픈정렬!AM44=""),"",Calc_오픈정렬!AM44/Calc_오픈정렬!$F44*100)</f>
        <v>153.27462716244818</v>
      </c>
      <c r="AN44">
        <f>IF(OR(Calc_오픈정렬!$F44="",Calc_오픈정렬!AN44=""),"",Calc_오픈정렬!AN44/Calc_오픈정렬!$F44*100)</f>
        <v>145.33788987513068</v>
      </c>
      <c r="AO44">
        <f>IF(OR(Calc_오픈정렬!$F44="",Calc_오픈정렬!AO44=""),"",Calc_오픈정렬!AO44/Calc_오픈정렬!$F44*100)</f>
        <v>138.78116725504304</v>
      </c>
      <c r="AP44">
        <f>IF(OR(Calc_오픈정렬!$F44="",Calc_오픈정렬!AP44=""),"",Calc_오픈정렬!AP44/Calc_오픈정렬!$F44*100)</f>
        <v>155.72053073778932</v>
      </c>
      <c r="AQ44">
        <f>IF(OR(Calc_오픈정렬!$F44="",Calc_오픈정렬!AQ44=""),"",Calc_오픈정렬!AQ44/Calc_오픈정렬!$F44*100)</f>
        <v>161.33219178723144</v>
      </c>
      <c r="AR44">
        <f>IF(OR(Calc_오픈정렬!$F44="",Calc_오픈정렬!AR44=""),"",Calc_오픈정렬!AR44/Calc_오픈정렬!$F44*100)</f>
        <v>152.14919334725394</v>
      </c>
      <c r="AS44">
        <f>IF(OR(Calc_오픈정렬!$F44="",Calc_오픈정렬!AS44=""),"",Calc_오픈정렬!AS44/Calc_오픈정렬!$F44*100)</f>
        <v>148.09676112205383</v>
      </c>
      <c r="AT44">
        <f>IF(OR(Calc_오픈정렬!$F44="",Calc_오픈정렬!AT44=""),"",Calc_오픈정렬!AT44/Calc_오픈정렬!$F44*100)</f>
        <v>150.41923797110343</v>
      </c>
      <c r="AU44">
        <f>IF(OR(Calc_오픈정렬!$F44="",Calc_오픈정렬!AU44=""),"",Calc_오픈정렬!AU44/Calc_오픈정렬!$F44*100)</f>
        <v>148.16950320780523</v>
      </c>
      <c r="AV44">
        <f>IF(OR(Calc_오픈정렬!$F44="",Calc_오픈정렬!AV44=""),"",Calc_오픈정렬!AV44/Calc_오픈정렬!$F44*100)</f>
        <v>156.25980822552907</v>
      </c>
      <c r="AW44">
        <f>IF(OR(Calc_오픈정렬!$F44="",Calc_오픈정렬!AW44=""),"",Calc_오픈정렬!AW44/Calc_오픈정렬!$F44*100)</f>
        <v>174.69937358957412</v>
      </c>
      <c r="AX44">
        <f>IF(OR(Calc_오픈정렬!$F44="",Calc_오픈정렬!AX44=""),"",Calc_오픈정렬!AX44/Calc_오픈정렬!$F44*100)</f>
        <v>170.85887815589257</v>
      </c>
      <c r="AY44">
        <f>IF(OR(Calc_오픈정렬!$F44="",Calc_오픈정렬!AY44=""),"",Calc_오픈정렬!AY44/Calc_오픈정렬!$F44*100)</f>
        <v>183.59349268002379</v>
      </c>
      <c r="AZ44">
        <f>IF(OR(Calc_오픈정렬!$F44="",Calc_오픈정렬!AZ44=""),"",Calc_오픈정렬!AZ44/Calc_오픈정렬!$F44*100)</f>
        <v>164.11549892621466</v>
      </c>
      <c r="BA44">
        <f>IF(OR(Calc_오픈정렬!$F44="",Calc_오픈정렬!BA44=""),"",Calc_오픈정렬!BA44/Calc_오픈정렬!$F44*100)</f>
        <v>175.29710017782173</v>
      </c>
      <c r="BB44">
        <f>IF(OR(Calc_오픈정렬!$F44="",Calc_오픈정렬!BB44=""),"",Calc_오픈정렬!BB44/Calc_오픈정렬!$F44*100)</f>
        <v>169.61570963572032</v>
      </c>
      <c r="BC44">
        <f>IF(OR(Calc_오픈정렬!$F44="",Calc_오픈정렬!BC44=""),"",Calc_오픈정렬!BC44/Calc_오픈정렬!$F44*100)</f>
        <v>159.21934946302591</v>
      </c>
      <c r="BD44">
        <f>IF(OR(Calc_오픈정렬!$F44="",Calc_오픈정렬!BD44=""),"",Calc_오픈정렬!BD44/Calc_오픈정렬!$F44*100)</f>
        <v>156.7455332512416</v>
      </c>
      <c r="BE44">
        <f>IF(OR(Calc_오픈정렬!$F44="",Calc_오픈정렬!BE44=""),"",Calc_오픈정렬!BE44/Calc_오픈정렬!$F44*100)</f>
        <v>145.31889081075329</v>
      </c>
      <c r="BF44">
        <f>IF(OR(Calc_오픈정렬!$F44="",Calc_오픈정렬!BF44=""),"",Calc_오픈정렬!BF44/Calc_오픈정렬!$F44*100)</f>
        <v>167.47934595797147</v>
      </c>
      <c r="BG44">
        <f>IF(OR(Calc_오픈정렬!$F44="",Calc_오픈정렬!BG44=""),"",Calc_오픈정렬!BG44/Calc_오픈정렬!$F44*100)</f>
        <v>173.21574257711399</v>
      </c>
      <c r="BH44">
        <f>IF(OR(Calc_오픈정렬!$F44="",Calc_오픈정렬!BH44=""),"",Calc_오픈정렬!BH44/Calc_오픈정렬!$F44*100)</f>
        <v>162.83115251999999</v>
      </c>
      <c r="BI44">
        <f>IF(OR(Calc_오픈정렬!$F44="",Calc_오픈정렬!BI44=""),"",Calc_오픈정렬!BI44/Calc_오픈정렬!$F44*100)</f>
        <v>193.3196741758515</v>
      </c>
      <c r="BJ44">
        <f>IF(OR(Calc_오픈정렬!$F44="",Calc_오픈정렬!BJ44=""),"",Calc_오픈정렬!BJ44/Calc_오픈정렬!$F44*100)</f>
        <v>187.06494991786622</v>
      </c>
      <c r="BK44">
        <f>IF(OR(Calc_오픈정렬!$F44="",Calc_오픈정렬!BK44=""),"",Calc_오픈정렬!BK44/Calc_오픈정렬!$F44*100)</f>
        <v>175.97943557738535</v>
      </c>
      <c r="BL44">
        <f>IF(OR(Calc_오픈정렬!$F44="",Calc_오픈정렬!BL44=""),"",Calc_오픈정렬!BL44/Calc_오픈정렬!$F44*100)</f>
        <v>162.17259942011532</v>
      </c>
      <c r="BM44">
        <f>IF(OR(Calc_오픈정렬!$F44="",Calc_오픈정렬!BM44=""),"",Calc_오픈정렬!BM44/Calc_오픈정렬!$F44*100)</f>
        <v>172.27153639309449</v>
      </c>
      <c r="BN44" t="str">
        <f>IF(OR(Calc_오픈정렬!$F44="",Calc_오픈정렬!BN44=""),"",Calc_오픈정렬!BN44/Calc_오픈정렬!$F44*100)</f>
        <v/>
      </c>
    </row>
    <row r="45" spans="1:66" x14ac:dyDescent="0.4">
      <c r="A45" t="str">
        <f>Calc_오픈정렬!A45</f>
        <v>(1034) #부천심곡점</v>
      </c>
      <c r="B45" t="str">
        <f>Calc_오픈정렬!B45</f>
        <v>150-0</v>
      </c>
      <c r="C45">
        <f>Calc_오픈정렬!C45</f>
        <v>0</v>
      </c>
      <c r="D45" t="str">
        <f>Calc_오픈정렬!D45</f>
        <v>0</v>
      </c>
      <c r="E45" s="1">
        <f>Calc_오픈정렬!E45</f>
        <v>44531</v>
      </c>
      <c r="F45">
        <f>Calc_오픈정렬!F45</f>
        <v>3216425.391347615</v>
      </c>
      <c r="G45">
        <f>IF(OR(Calc_오픈정렬!$F45="",Calc_오픈정렬!G45=""),"",Calc_오픈정렬!G45/Calc_오픈정렬!$F45*100)</f>
        <v>68.553549330187593</v>
      </c>
      <c r="H45">
        <f>IF(OR(Calc_오픈정렬!$F45="",Calc_오픈정렬!H45=""),"",Calc_오픈정렬!H45/Calc_오픈정렬!$F45*100)</f>
        <v>87.194939225111142</v>
      </c>
      <c r="I45">
        <f>IF(OR(Calc_오픈정렬!$F45="",Calc_오픈정렬!I45=""),"",Calc_오픈정렬!I45/Calc_오픈정렬!$F45*100)</f>
        <v>79.784483930095604</v>
      </c>
      <c r="J45">
        <f>IF(OR(Calc_오픈정렬!$F45="",Calc_오픈정렬!J45=""),"",Calc_오픈정렬!J45/Calc_오픈정렬!$F45*100)</f>
        <v>100.92940046164627</v>
      </c>
      <c r="K45">
        <f>IF(OR(Calc_오픈정렬!$F45="",Calc_오픈정렬!K45=""),"",Calc_오픈정렬!K45/Calc_오픈정렬!$F45*100)</f>
        <v>94.962775962486702</v>
      </c>
      <c r="L45">
        <f>IF(OR(Calc_오픈정렬!$F45="",Calc_오픈정렬!L45=""),"",Calc_오픈정렬!L45/Calc_오픈정렬!$F45*100)</f>
        <v>84.212396533207638</v>
      </c>
      <c r="M45">
        <f>IF(OR(Calc_오픈정렬!$F45="",Calc_오픈정렬!M45=""),"",Calc_오픈정렬!M45/Calc_오픈정렬!$F45*100)</f>
        <v>98.502937122251694</v>
      </c>
      <c r="N45">
        <f>IF(OR(Calc_오픈정렬!$F45="",Calc_오픈정렬!N45=""),"",Calc_오픈정렬!N45/Calc_오픈정렬!$F45*100)</f>
        <v>110.90285371436563</v>
      </c>
      <c r="O45">
        <f>IF(OR(Calc_오픈정렬!$F45="",Calc_오픈정렬!O45=""),"",Calc_오픈정렬!O45/Calc_오픈정렬!$F45*100)</f>
        <v>110.48963620604199</v>
      </c>
      <c r="P45">
        <f>IF(OR(Calc_오픈정렬!$F45="",Calc_오픈정렬!P45=""),"",Calc_오픈정렬!P45/Calc_오픈정렬!$F45*100)</f>
        <v>111.39919557793345</v>
      </c>
      <c r="Q45">
        <f>IF(OR(Calc_오픈정렬!$F45="",Calc_오픈정렬!Q45=""),"",Calc_오픈정렬!Q45/Calc_오픈정렬!$F45*100)</f>
        <v>112.45254183292286</v>
      </c>
      <c r="R45">
        <f>IF(OR(Calc_오픈정렬!$F45="",Calc_오픈정렬!R45=""),"",Calc_오픈정렬!R45/Calc_오픈정렬!$F45*100)</f>
        <v>121.4649961585323</v>
      </c>
      <c r="S45">
        <f>IF(OR(Calc_오픈정렬!$F45="",Calc_오픈정렬!S45=""),"",Calc_오픈정렬!S45/Calc_오픈정렬!$F45*100)</f>
        <v>119.40396083146778</v>
      </c>
      <c r="T45">
        <f>IF(OR(Calc_오픈정렬!$F45="",Calc_오픈정렬!T45=""),"",Calc_오픈정렬!T45/Calc_오픈정렬!$F45*100)</f>
        <v>138.66488572422691</v>
      </c>
      <c r="U45">
        <f>IF(OR(Calc_오픈정렬!$F45="",Calc_오픈정렬!U45=""),"",Calc_오픈정렬!U45/Calc_오픈정렬!$F45*100)</f>
        <v>136.45986976393377</v>
      </c>
      <c r="V45">
        <f>IF(OR(Calc_오픈정렬!$F45="",Calc_오픈정렬!V45=""),"",Calc_오픈정렬!V45/Calc_오픈정렬!$F45*100)</f>
        <v>136.42826551544132</v>
      </c>
      <c r="W45">
        <f>IF(OR(Calc_오픈정렬!$F45="",Calc_오픈정렬!W45=""),"",Calc_오픈정렬!W45/Calc_오픈정렬!$F45*100)</f>
        <v>142.3394552000903</v>
      </c>
      <c r="X45">
        <f>IF(OR(Calc_오픈정렬!$F45="",Calc_오픈정렬!X45=""),"",Calc_오픈정렬!X45/Calc_오픈정렬!$F45*100)</f>
        <v>121.93683555482851</v>
      </c>
      <c r="Y45">
        <f>IF(OR(Calc_오픈정렬!$F45="",Calc_오픈정렬!Y45=""),"",Calc_오픈정렬!Y45/Calc_오픈정렬!$F45*100)</f>
        <v>122.02083474625007</v>
      </c>
      <c r="Z45">
        <f>IF(OR(Calc_오픈정렬!$F45="",Calc_오픈정렬!Z45=""),"",Calc_오픈정렬!Z45/Calc_오픈정렬!$F45*100)</f>
        <v>131.05485860059946</v>
      </c>
      <c r="AA45">
        <f>IF(OR(Calc_오픈정렬!$F45="",Calc_오픈정렬!AA45=""),"",Calc_오픈정렬!AA45/Calc_오픈정렬!$F45*100)</f>
        <v>132.25851668838501</v>
      </c>
      <c r="AB45">
        <f>IF(OR(Calc_오픈정렬!$F45="",Calc_오픈정렬!AB45=""),"",Calc_오픈정렬!AB45/Calc_오픈정렬!$F45*100)</f>
        <v>128.13624545013028</v>
      </c>
      <c r="AC45">
        <f>IF(OR(Calc_오픈정렬!$F45="",Calc_오픈정렬!AC45=""),"",Calc_오픈정렬!AC45/Calc_오픈정렬!$F45*100)</f>
        <v>140.34378456928761</v>
      </c>
      <c r="AD45">
        <f>IF(OR(Calc_오픈정렬!$F45="",Calc_오픈정렬!AD45=""),"",Calc_오픈정렬!AD45/Calc_오픈정렬!$F45*100)</f>
        <v>148.57998485231161</v>
      </c>
      <c r="AE45">
        <f>IF(OR(Calc_오픈정렬!$F45="",Calc_오픈정렬!AE45=""),"",Calc_오픈정렬!AE45/Calc_오픈정렬!$F45*100)</f>
        <v>156.65342324511872</v>
      </c>
      <c r="AF45">
        <f>IF(OR(Calc_오픈정렬!$F45="",Calc_오픈정렬!AF45=""),"",Calc_오픈정렬!AF45/Calc_오픈정렬!$F45*100)</f>
        <v>194.89315534627352</v>
      </c>
      <c r="AG45">
        <f>IF(OR(Calc_오픈정렬!$F45="",Calc_오픈정렬!AG45=""),"",Calc_오픈정렬!AG45/Calc_오픈정렬!$F45*100)</f>
        <v>174.13894990013009</v>
      </c>
      <c r="AH45">
        <f>IF(OR(Calc_오픈정렬!$F45="",Calc_오픈정렬!AH45=""),"",Calc_오픈정렬!AH45/Calc_오픈정렬!$F45*100)</f>
        <v>187.71940620082918</v>
      </c>
      <c r="AI45">
        <f>IF(OR(Calc_오픈정렬!$F45="",Calc_오픈정렬!AI45=""),"",Calc_오픈정렬!AI45/Calc_오픈정렬!$F45*100)</f>
        <v>197.43880700706055</v>
      </c>
      <c r="AJ45">
        <f>IF(OR(Calc_오픈정렬!$F45="",Calc_오픈정렬!AJ45=""),"",Calc_오픈정렬!AJ45/Calc_오픈정렬!$F45*100)</f>
        <v>171.3633749061988</v>
      </c>
      <c r="AK45">
        <f>IF(OR(Calc_오픈정렬!$F45="",Calc_오픈정렬!AK45=""),"",Calc_오픈정렬!AK45/Calc_오픈정렬!$F45*100)</f>
        <v>169.35457377765053</v>
      </c>
      <c r="AL45">
        <f>IF(OR(Calc_오픈정렬!$F45="",Calc_오픈정렬!AL45=""),"",Calc_오픈정렬!AL45/Calc_오픈정렬!$F45*100)</f>
        <v>196.15192305078637</v>
      </c>
      <c r="AM45">
        <f>IF(OR(Calc_오픈정렬!$F45="",Calc_오픈정렬!AM45=""),"",Calc_오픈정렬!AM45/Calc_오픈정렬!$F45*100)</f>
        <v>189.44714805211069</v>
      </c>
      <c r="AN45">
        <f>IF(OR(Calc_오픈정렬!$F45="",Calc_오픈정렬!AN45=""),"",Calc_오픈정렬!AN45/Calc_오픈정렬!$F45*100)</f>
        <v>179.94688567695613</v>
      </c>
      <c r="AO45">
        <f>IF(OR(Calc_오픈정렬!$F45="",Calc_오픈정렬!AO45=""),"",Calc_오픈정렬!AO45/Calc_오픈정렬!$F45*100)</f>
        <v>160.4386584223447</v>
      </c>
      <c r="AP45">
        <f>IF(OR(Calc_오픈정렬!$F45="",Calc_오픈정렬!AP45=""),"",Calc_오픈정렬!AP45/Calc_오픈정렬!$F45*100)</f>
        <v>178.93832037652192</v>
      </c>
      <c r="AQ45">
        <f>IF(OR(Calc_오픈정렬!$F45="",Calc_오픈정렬!AQ45=""),"",Calc_오픈정렬!AQ45/Calc_오픈정렬!$F45*100)</f>
        <v>174.07313274820214</v>
      </c>
      <c r="AR45">
        <f>IF(OR(Calc_오픈정렬!$F45="",Calc_오픈정렬!AR45=""),"",Calc_오픈정렬!AR45/Calc_오픈정렬!$F45*100)</f>
        <v>189.16998418843883</v>
      </c>
      <c r="AS45">
        <f>IF(OR(Calc_오픈정렬!$F45="",Calc_오픈정렬!AS45=""),"",Calc_오픈정렬!AS45/Calc_오픈정렬!$F45*100)</f>
        <v>190.4178617322471</v>
      </c>
      <c r="AT45">
        <f>IF(OR(Calc_오픈정렬!$F45="",Calc_오픈정렬!AT45=""),"",Calc_오픈정렬!AT45/Calc_오픈정렬!$F45*100)</f>
        <v>199.22942126568023</v>
      </c>
      <c r="AU45">
        <f>IF(OR(Calc_오픈정렬!$F45="",Calc_오픈정렬!AU45=""),"",Calc_오픈정렬!AU45/Calc_오픈정렬!$F45*100)</f>
        <v>195.67776702941524</v>
      </c>
      <c r="AV45">
        <f>IF(OR(Calc_오픈정렬!$F45="",Calc_오픈정렬!AV45=""),"",Calc_오픈정렬!AV45/Calc_오픈정렬!$F45*100)</f>
        <v>186.86978647807379</v>
      </c>
      <c r="AW45">
        <f>IF(OR(Calc_오픈정렬!$F45="",Calc_오픈정렬!AW45=""),"",Calc_오픈정렬!AW45/Calc_오픈정렬!$F45*100)</f>
        <v>193.92752512399625</v>
      </c>
      <c r="AX45">
        <f>IF(OR(Calc_오픈정렬!$F45="",Calc_오픈정렬!AX45=""),"",Calc_오픈정렬!AX45/Calc_오픈정렬!$F45*100)</f>
        <v>194.13078239860039</v>
      </c>
      <c r="AY45">
        <f>IF(OR(Calc_오픈정렬!$F45="",Calc_오픈정렬!AY45=""),"",Calc_오픈정렬!AY45/Calc_오픈정렬!$F45*100)</f>
        <v>195.57046449625525</v>
      </c>
      <c r="AZ45">
        <f>IF(OR(Calc_오픈정렬!$F45="",Calc_오픈정렬!AZ45=""),"",Calc_오픈정렬!AZ45/Calc_오픈정렬!$F45*100)</f>
        <v>158.29429778106959</v>
      </c>
      <c r="BA45">
        <f>IF(OR(Calc_오픈정렬!$F45="",Calc_오픈정렬!BA45=""),"",Calc_오픈정렬!BA45/Calc_오픈정렬!$F45*100)</f>
        <v>161.04139974319514</v>
      </c>
      <c r="BB45">
        <f>IF(OR(Calc_오픈정렬!$F45="",Calc_오픈정렬!BB45=""),"",Calc_오픈정렬!BB45/Calc_오픈정렬!$F45*100)</f>
        <v>160.86056629551621</v>
      </c>
      <c r="BC45">
        <f>IF(OR(Calc_오픈정렬!$F45="",Calc_오픈정렬!BC45=""),"",Calc_오픈정렬!BC45/Calc_오픈정렬!$F45*100)</f>
        <v>168.65128727967991</v>
      </c>
      <c r="BD45">
        <f>IF(OR(Calc_오픈정렬!$F45="",Calc_오픈정렬!BD45=""),"",Calc_오픈정렬!BD45/Calc_오픈정렬!$F45*100)</f>
        <v>190.35034341273177</v>
      </c>
      <c r="BE45">
        <f>IF(OR(Calc_오픈정렬!$F45="",Calc_오픈정렬!BE45=""),"",Calc_오픈정렬!BE45/Calc_오픈정렬!$F45*100)</f>
        <v>156.57492876606</v>
      </c>
      <c r="BF45">
        <f>IF(OR(Calc_오픈정렬!$F45="",Calc_오픈정렬!BF45=""),"",Calc_오픈정렬!BF45/Calc_오픈정렬!$F45*100)</f>
        <v>127.81575132420156</v>
      </c>
      <c r="BG45">
        <f>IF(OR(Calc_오픈정렬!$F45="",Calc_오픈정렬!BG45=""),"",Calc_오픈정렬!BG45/Calc_오픈정렬!$F45*100)</f>
        <v>134.56748897602563</v>
      </c>
      <c r="BH45">
        <f>IF(OR(Calc_오픈정렬!$F45="",Calc_오픈정렬!BH45=""),"",Calc_오픈정렬!BH45/Calc_오픈정렬!$F45*100)</f>
        <v>116.3219872940352</v>
      </c>
      <c r="BI45" t="str">
        <f>IF(OR(Calc_오픈정렬!$F45="",Calc_오픈정렬!BI45=""),"",Calc_오픈정렬!BI45/Calc_오픈정렬!$F45*100)</f>
        <v/>
      </c>
      <c r="BJ45" t="str">
        <f>IF(OR(Calc_오픈정렬!$F45="",Calc_오픈정렬!BJ45=""),"",Calc_오픈정렬!BJ45/Calc_오픈정렬!$F45*100)</f>
        <v/>
      </c>
      <c r="BK45" t="str">
        <f>IF(OR(Calc_오픈정렬!$F45="",Calc_오픈정렬!BK45=""),"",Calc_오픈정렬!BK45/Calc_오픈정렬!$F45*100)</f>
        <v/>
      </c>
      <c r="BL45" t="str">
        <f>IF(OR(Calc_오픈정렬!$F45="",Calc_오픈정렬!BL45=""),"",Calc_오픈정렬!BL45/Calc_오픈정렬!$F45*100)</f>
        <v/>
      </c>
      <c r="BM45" t="str">
        <f>IF(OR(Calc_오픈정렬!$F45="",Calc_오픈정렬!BM45=""),"",Calc_오픈정렬!BM45/Calc_오픈정렬!$F45*100)</f>
        <v/>
      </c>
      <c r="BN45" t="str">
        <f>IF(OR(Calc_오픈정렬!$F45="",Calc_오픈정렬!BN45=""),"",Calc_오픈정렬!BN45/Calc_오픈정렬!$F45*100)</f>
        <v/>
      </c>
    </row>
    <row r="46" spans="1:66" x14ac:dyDescent="0.4">
      <c r="A46" t="str">
        <f>Calc_오픈정렬!A46</f>
        <v>(1035) #신촌대현점</v>
      </c>
      <c r="B46" t="str">
        <f>Calc_오픈정렬!B46</f>
        <v>150-1</v>
      </c>
      <c r="C46">
        <f>Calc_오픈정렬!C46</f>
        <v>1</v>
      </c>
      <c r="D46" t="str">
        <f>Calc_오픈정렬!D46</f>
        <v>1</v>
      </c>
      <c r="E46" s="1">
        <f>Calc_오픈정렬!E46</f>
        <v>44501</v>
      </c>
      <c r="F46">
        <f>Calc_오픈정렬!F46</f>
        <v>2739357.1904826411</v>
      </c>
      <c r="G46">
        <f>IF(OR(Calc_오픈정렬!$F46="",Calc_오픈정렬!G46=""),"",Calc_오픈정렬!G46/Calc_오픈정렬!$F46*100)</f>
        <v>70.607655853636146</v>
      </c>
      <c r="H46">
        <f>IF(OR(Calc_오픈정렬!$F46="",Calc_오픈정렬!H46=""),"",Calc_오픈정렬!H46/Calc_오픈정렬!$F46*100)</f>
        <v>85.652364108027598</v>
      </c>
      <c r="I46">
        <f>IF(OR(Calc_오픈정렬!$F46="",Calc_오픈정렬!I46=""),"",Calc_오픈정렬!I46/Calc_오픈정렬!$F46*100)</f>
        <v>103.46298114514676</v>
      </c>
      <c r="J46">
        <f>IF(OR(Calc_오픈정렬!$F46="",Calc_오픈정렬!J46=""),"",Calc_오픈정렬!J46/Calc_오픈정렬!$F46*100)</f>
        <v>112.21583649144964</v>
      </c>
      <c r="K46">
        <f>IF(OR(Calc_오픈정렬!$F46="",Calc_오픈정렬!K46=""),"",Calc_오픈정렬!K46/Calc_오픈정렬!$F46*100)</f>
        <v>108.55121227698649</v>
      </c>
      <c r="L46">
        <f>IF(OR(Calc_오픈정렬!$F46="",Calc_오픈정렬!L46=""),"",Calc_오픈정렬!L46/Calc_오픈정렬!$F46*100)</f>
        <v>100.32240269131599</v>
      </c>
      <c r="M46">
        <f>IF(OR(Calc_오픈정렬!$F46="",Calc_오픈정렬!M46=""),"",Calc_오픈정렬!M46/Calc_오픈정렬!$F46*100)</f>
        <v>96.972763872920282</v>
      </c>
      <c r="N46">
        <f>IF(OR(Calc_오픈정렬!$F46="",Calc_오픈정렬!N46=""),"",Calc_오픈정렬!N46/Calc_오픈정렬!$F46*100)</f>
        <v>84.375851568275777</v>
      </c>
      <c r="O46">
        <f>IF(OR(Calc_오픈정렬!$F46="",Calc_오픈정렬!O46=""),"",Calc_오픈정렬!O46/Calc_오픈정렬!$F46*100)</f>
        <v>97.561933099051842</v>
      </c>
      <c r="P46">
        <f>IF(OR(Calc_오픈정렬!$F46="",Calc_오픈정렬!P46=""),"",Calc_오픈정렬!P46/Calc_오픈정렬!$F46*100)</f>
        <v>130.930179905318</v>
      </c>
      <c r="Q46">
        <f>IF(OR(Calc_오픈정렬!$F46="",Calc_오픈정렬!Q46=""),"",Calc_오픈정렬!Q46/Calc_오픈정렬!$F46*100)</f>
        <v>107.7206478680522</v>
      </c>
      <c r="R46">
        <f>IF(OR(Calc_오픈정렬!$F46="",Calc_오픈정렬!R46=""),"",Calc_오픈정렬!R46/Calc_오픈정렬!$F46*100)</f>
        <v>94.156160389461945</v>
      </c>
      <c r="S46">
        <f>IF(OR(Calc_오픈정렬!$F46="",Calc_오픈정렬!S46=""),"",Calc_오픈정렬!S46/Calc_오픈정렬!$F46*100)</f>
        <v>105.85503243821324</v>
      </c>
      <c r="T46">
        <f>IF(OR(Calc_오픈정렬!$F46="",Calc_오픈정렬!T46=""),"",Calc_오픈정렬!T46/Calc_오픈정렬!$F46*100)</f>
        <v>86.88883873940766</v>
      </c>
      <c r="U46">
        <f>IF(OR(Calc_오픈정렬!$F46="",Calc_오픈정렬!U46=""),"",Calc_오픈정렬!U46/Calc_오픈정렬!$F46*100)</f>
        <v>126.22082680401141</v>
      </c>
      <c r="V46">
        <f>IF(OR(Calc_오픈정렬!$F46="",Calc_오픈정렬!V46=""),"",Calc_오픈정렬!V46/Calc_오픈정렬!$F46*100)</f>
        <v>123.71460321799532</v>
      </c>
      <c r="W46">
        <f>IF(OR(Calc_오픈정렬!$F46="",Calc_오픈정렬!W46=""),"",Calc_오픈정렬!W46/Calc_오픈정렬!$F46*100)</f>
        <v>121.6059090294533</v>
      </c>
      <c r="X46">
        <f>IF(OR(Calc_오픈정렬!$F46="",Calc_오픈정렬!X46=""),"",Calc_오픈정렬!X46/Calc_오픈정렬!$F46*100)</f>
        <v>129.31830075424728</v>
      </c>
      <c r="Y46">
        <f>IF(OR(Calc_오픈정렬!$F46="",Calc_오픈정렬!Y46=""),"",Calc_오픈정렬!Y46/Calc_오픈정렬!$F46*100)</f>
        <v>130.83874339624276</v>
      </c>
      <c r="Z46">
        <f>IF(OR(Calc_오픈정렬!$F46="",Calc_오픈정렬!Z46=""),"",Calc_오픈정렬!Z46/Calc_오픈정렬!$F46*100)</f>
        <v>121.64198290259145</v>
      </c>
      <c r="AA46">
        <f>IF(OR(Calc_오픈정렬!$F46="",Calc_오픈정렬!AA46=""),"",Calc_오픈정렬!AA46/Calc_오픈정렬!$F46*100)</f>
        <v>52.327408257450926</v>
      </c>
      <c r="AB46">
        <f>IF(OR(Calc_오픈정렬!$F46="",Calc_오픈정렬!AB46=""),"",Calc_오픈정렬!AB46/Calc_오픈정렬!$F46*100)</f>
        <v>69.819412766340776</v>
      </c>
      <c r="AC46">
        <f>IF(OR(Calc_오픈정렬!$F46="",Calc_오픈정렬!AC46=""),"",Calc_오픈정렬!AC46/Calc_오픈정렬!$F46*100)</f>
        <v>91.835088119834126</v>
      </c>
      <c r="AD46">
        <f>IF(OR(Calc_오픈정렬!$F46="",Calc_오픈정렬!AD46=""),"",Calc_오픈정렬!AD46/Calc_오픈정렬!$F46*100)</f>
        <v>105.43689896156314</v>
      </c>
      <c r="AE46">
        <f>IF(OR(Calc_오픈정렬!$F46="",Calc_오픈정렬!AE46=""),"",Calc_오픈정렬!AE46/Calc_오픈정렬!$F46*100)</f>
        <v>108.80031985948182</v>
      </c>
      <c r="AF46">
        <f>IF(OR(Calc_오픈정렬!$F46="",Calc_오픈정렬!AF46=""),"",Calc_오픈정렬!AF46/Calc_오픈정렬!$F46*100)</f>
        <v>110.11336510138634</v>
      </c>
      <c r="AG46">
        <f>IF(OR(Calc_오픈정렬!$F46="",Calc_오픈정렬!AG46=""),"",Calc_오픈정렬!AG46/Calc_오픈정렬!$F46*100)</f>
        <v>112.15106442619174</v>
      </c>
      <c r="AH46">
        <f>IF(OR(Calc_오픈정렬!$F46="",Calc_오픈정렬!AH46=""),"",Calc_오픈정렬!AH46/Calc_오픈정렬!$F46*100)</f>
        <v>116.07474464713788</v>
      </c>
      <c r="AI46">
        <f>IF(OR(Calc_오픈정렬!$F46="",Calc_오픈정렬!AI46=""),"",Calc_오픈정렬!AI46/Calc_오픈정렬!$F46*100)</f>
        <v>124.92123849248983</v>
      </c>
      <c r="AJ46">
        <f>IF(OR(Calc_오픈정렬!$F46="",Calc_오픈정렬!AJ46=""),"",Calc_오픈정렬!AJ46/Calc_오픈정렬!$F46*100)</f>
        <v>127.44387577183598</v>
      </c>
      <c r="AK46">
        <f>IF(OR(Calc_오픈정렬!$F46="",Calc_오픈정렬!AK46=""),"",Calc_오픈정렬!AK46/Calc_오픈정렬!$F46*100)</f>
        <v>132.45149157712322</v>
      </c>
      <c r="AL46">
        <f>IF(OR(Calc_오픈정렬!$F46="",Calc_오픈정렬!AL46=""),"",Calc_오픈정렬!AL46/Calc_오픈정렬!$F46*100)</f>
        <v>153.32217231839041</v>
      </c>
      <c r="AM46">
        <f>IF(OR(Calc_오픈정렬!$F46="",Calc_오픈정렬!AM46=""),"",Calc_오픈정렬!AM46/Calc_오픈정렬!$F46*100)</f>
        <v>156.29347681294951</v>
      </c>
      <c r="AN46">
        <f>IF(OR(Calc_오픈정렬!$F46="",Calc_오픈정렬!AN46=""),"",Calc_오픈정렬!AN46/Calc_오픈정렬!$F46*100)</f>
        <v>142.62625157746106</v>
      </c>
      <c r="AO46">
        <f>IF(OR(Calc_오픈정렬!$F46="",Calc_오픈정렬!AO46=""),"",Calc_오픈정렬!AO46/Calc_오픈정렬!$F46*100)</f>
        <v>131.37944915476029</v>
      </c>
      <c r="AP46">
        <f>IF(OR(Calc_오픈정렬!$F46="",Calc_오픈정렬!AP46=""),"",Calc_오픈정렬!AP46/Calc_오픈정렬!$F46*100)</f>
        <v>129.60643637309119</v>
      </c>
      <c r="AQ46">
        <f>IF(OR(Calc_오픈정렬!$F46="",Calc_오픈정렬!AQ46=""),"",Calc_오픈정렬!AQ46/Calc_오픈정렬!$F46*100)</f>
        <v>133.21640195234363</v>
      </c>
      <c r="AR46">
        <f>IF(OR(Calc_오픈정렬!$F46="",Calc_오픈정렬!AR46=""),"",Calc_오픈정렬!AR46/Calc_오픈정렬!$F46*100)</f>
        <v>116.95106981291809</v>
      </c>
      <c r="AS46">
        <f>IF(OR(Calc_오픈정렬!$F46="",Calc_오픈정렬!AS46=""),"",Calc_오픈정렬!AS46/Calc_오픈정렬!$F46*100)</f>
        <v>135.20967456512949</v>
      </c>
      <c r="AT46">
        <f>IF(OR(Calc_오픈정렬!$F46="",Calc_오픈정렬!AT46=""),"",Calc_오픈정렬!AT46/Calc_오픈정렬!$F46*100)</f>
        <v>133.71051794675896</v>
      </c>
      <c r="AU46">
        <f>IF(OR(Calc_오픈정렬!$F46="",Calc_오픈정렬!AU46=""),"",Calc_오픈정렬!AU46/Calc_오픈정렬!$F46*100)</f>
        <v>152.60095235498633</v>
      </c>
      <c r="AV46">
        <f>IF(OR(Calc_오픈정렬!$F46="",Calc_오픈정렬!AV46=""),"",Calc_오픈정렬!AV46/Calc_오픈정렬!$F46*100)</f>
        <v>147.37406350106667</v>
      </c>
      <c r="AW46">
        <f>IF(OR(Calc_오픈정렬!$F46="",Calc_오픈정렬!AW46=""),"",Calc_오픈정렬!AW46/Calc_오픈정렬!$F46*100)</f>
        <v>171.83303523355355</v>
      </c>
      <c r="AX46">
        <f>IF(OR(Calc_오픈정렬!$F46="",Calc_오픈정렬!AX46=""),"",Calc_오픈정렬!AX46/Calc_오픈정렬!$F46*100)</f>
        <v>189.50755459001243</v>
      </c>
      <c r="AY46">
        <f>IF(OR(Calc_오픈정렬!$F46="",Calc_오픈정렬!AY46=""),"",Calc_오픈정렬!AY46/Calc_오픈정렬!$F46*100)</f>
        <v>191.6602486118791</v>
      </c>
      <c r="AZ46">
        <f>IF(OR(Calc_오픈정렬!$F46="",Calc_오픈정렬!AZ46=""),"",Calc_오픈정렬!AZ46/Calc_오픈정렬!$F46*100)</f>
        <v>160.47890356700995</v>
      </c>
      <c r="BA46">
        <f>IF(OR(Calc_오픈정렬!$F46="",Calc_오픈정렬!BA46=""),"",Calc_오픈정렬!BA46/Calc_오픈정렬!$F46*100)</f>
        <v>166.92598685621826</v>
      </c>
      <c r="BB46">
        <f>IF(OR(Calc_오픈정렬!$F46="",Calc_오픈정렬!BB46=""),"",Calc_오픈정렬!BB46/Calc_오픈정렬!$F46*100)</f>
        <v>178.55090230621462</v>
      </c>
      <c r="BC46">
        <f>IF(OR(Calc_오픈정렬!$F46="",Calc_오픈정렬!BC46=""),"",Calc_오픈정렬!BC46/Calc_오픈정렬!$F46*100)</f>
        <v>167.21694019525032</v>
      </c>
      <c r="BD46">
        <f>IF(OR(Calc_오픈정렬!$F46="",Calc_오픈정렬!BD46=""),"",Calc_오픈정렬!BD46/Calc_오픈정렬!$F46*100)</f>
        <v>146.682985520617</v>
      </c>
      <c r="BE46">
        <f>IF(OR(Calc_오픈정렬!$F46="",Calc_오픈정렬!BE46=""),"",Calc_오픈정렬!BE46/Calc_오픈정렬!$F46*100)</f>
        <v>162.12408533860437</v>
      </c>
      <c r="BF46">
        <f>IF(OR(Calc_오픈정렬!$F46="",Calc_오픈정렬!BF46=""),"",Calc_오픈정렬!BF46/Calc_오픈정렬!$F46*100)</f>
        <v>154.035833294284</v>
      </c>
      <c r="BG46">
        <f>IF(OR(Calc_오픈정렬!$F46="",Calc_오픈정렬!BG46=""),"",Calc_오픈정렬!BG46/Calc_오픈정렬!$F46*100)</f>
        <v>165.76271640455971</v>
      </c>
      <c r="BH46">
        <f>IF(OR(Calc_오픈정렬!$F46="",Calc_오픈정렬!BH46=""),"",Calc_오픈정렬!BH46/Calc_오픈정렬!$F46*100)</f>
        <v>164.60704636156029</v>
      </c>
      <c r="BI46">
        <f>IF(OR(Calc_오픈정렬!$F46="",Calc_오픈정렬!BI46=""),"",Calc_오픈정렬!BI46/Calc_오픈정렬!$F46*100)</f>
        <v>185.72414980120178</v>
      </c>
      <c r="BJ46" t="str">
        <f>IF(OR(Calc_오픈정렬!$F46="",Calc_오픈정렬!BJ46=""),"",Calc_오픈정렬!BJ46/Calc_오픈정렬!$F46*100)</f>
        <v/>
      </c>
      <c r="BK46" t="str">
        <f>IF(OR(Calc_오픈정렬!$F46="",Calc_오픈정렬!BK46=""),"",Calc_오픈정렬!BK46/Calc_오픈정렬!$F46*100)</f>
        <v/>
      </c>
      <c r="BL46" t="str">
        <f>IF(OR(Calc_오픈정렬!$F46="",Calc_오픈정렬!BL46=""),"",Calc_오픈정렬!BL46/Calc_오픈정렬!$F46*100)</f>
        <v/>
      </c>
      <c r="BM46" t="str">
        <f>IF(OR(Calc_오픈정렬!$F46="",Calc_오픈정렬!BM46=""),"",Calc_오픈정렬!BM46/Calc_오픈정렬!$F46*100)</f>
        <v/>
      </c>
      <c r="BN46" t="str">
        <f>IF(OR(Calc_오픈정렬!$F46="",Calc_오픈정렬!BN46=""),"",Calc_오픈정렬!BN46/Calc_오픈정렬!$F46*100)</f>
        <v/>
      </c>
    </row>
    <row r="47" spans="1:66" x14ac:dyDescent="0.4">
      <c r="A47" t="str">
        <f>Calc_오픈정렬!A47</f>
        <v>(1036) #낙성대행운점</v>
      </c>
      <c r="B47" t="str">
        <f>Calc_오픈정렬!B47</f>
        <v>150-1</v>
      </c>
      <c r="C47">
        <f>Calc_오픈정렬!C47</f>
        <v>1</v>
      </c>
      <c r="D47" t="str">
        <f>Calc_오픈정렬!D47</f>
        <v>1</v>
      </c>
      <c r="E47" s="1">
        <f>Calc_오픈정렬!E47</f>
        <v>44531</v>
      </c>
      <c r="F47">
        <f>Calc_오픈정렬!F47</f>
        <v>5887305.7536237473</v>
      </c>
      <c r="G47">
        <f>IF(OR(Calc_오픈정렬!$F47="",Calc_오픈정렬!G47=""),"",Calc_오픈정렬!G47/Calc_오픈정렬!$F47*100)</f>
        <v>74.020358866777343</v>
      </c>
      <c r="H47">
        <f>IF(OR(Calc_오픈정렬!$F47="",Calc_오픈정렬!H47=""),"",Calc_오픈정렬!H47/Calc_오픈정렬!$F47*100)</f>
        <v>83.491423868315238</v>
      </c>
      <c r="I47">
        <f>IF(OR(Calc_오픈정렬!$F47="",Calc_오픈정렬!I47=""),"",Calc_오픈정렬!I47/Calc_오픈정렬!$F47*100)</f>
        <v>84.2153353990238</v>
      </c>
      <c r="J47">
        <f>IF(OR(Calc_오픈정렬!$F47="",Calc_오픈정렬!J47=""),"",Calc_오픈정렬!J47/Calc_오픈정렬!$F47*100)</f>
        <v>94.313909866683403</v>
      </c>
      <c r="K47">
        <f>IF(OR(Calc_오픈정렬!$F47="",Calc_오픈정렬!K47=""),"",Calc_오픈정렬!K47/Calc_오픈정렬!$F47*100)</f>
        <v>99.467633548289058</v>
      </c>
      <c r="L47">
        <f>IF(OR(Calc_오픈정렬!$F47="",Calc_오픈정렬!L47=""),"",Calc_오픈정렬!L47/Calc_오픈정렬!$F47*100)</f>
        <v>98.996090965142102</v>
      </c>
      <c r="M47">
        <f>IF(OR(Calc_오픈정렬!$F47="",Calc_오픈정렬!M47=""),"",Calc_오픈정렬!M47/Calc_오픈정렬!$F47*100)</f>
        <v>105.98638698574312</v>
      </c>
      <c r="N47">
        <f>IF(OR(Calc_오픈정렬!$F47="",Calc_오픈정렬!N47=""),"",Calc_오픈정렬!N47/Calc_오픈정렬!$F47*100)</f>
        <v>101.14799124474413</v>
      </c>
      <c r="O47">
        <f>IF(OR(Calc_오픈정렬!$F47="",Calc_오픈정렬!O47=""),"",Calc_오픈정렬!O47/Calc_오픈정렬!$F47*100)</f>
        <v>100.08798738939821</v>
      </c>
      <c r="P47">
        <f>IF(OR(Calc_오픈정렬!$F47="",Calc_오픈정렬!P47=""),"",Calc_오픈정렬!P47/Calc_오픈정렬!$F47*100)</f>
        <v>110.0162952372022</v>
      </c>
      <c r="Q47">
        <f>IF(OR(Calc_오픈정렬!$F47="",Calc_오픈정렬!Q47=""),"",Calc_오픈정렬!Q47/Calc_오픈정렬!$F47*100)</f>
        <v>104.12311390345126</v>
      </c>
      <c r="R47">
        <f>IF(OR(Calc_오픈정렬!$F47="",Calc_오픈정렬!R47=""),"",Calc_오픈정렬!R47/Calc_오픈정렬!$F47*100)</f>
        <v>97.65194660405362</v>
      </c>
      <c r="S47">
        <f>IF(OR(Calc_오픈정렬!$F47="",Calc_오픈정렬!S47=""),"",Calc_오픈정렬!S47/Calc_오픈정렬!$F47*100)</f>
        <v>95.644560974093693</v>
      </c>
      <c r="T47">
        <f>IF(OR(Calc_오픈정렬!$F47="",Calc_오픈정렬!T47=""),"",Calc_오픈정렬!T47/Calc_오픈정렬!$F47*100)</f>
        <v>99.799727468920338</v>
      </c>
      <c r="U47">
        <f>IF(OR(Calc_오픈정렬!$F47="",Calc_오픈정렬!U47=""),"",Calc_오픈정렬!U47/Calc_오픈정렬!$F47*100)</f>
        <v>112.64985041410461</v>
      </c>
      <c r="V47">
        <f>IF(OR(Calc_오픈정렬!$F47="",Calc_오픈정렬!V47=""),"",Calc_오픈정렬!V47/Calc_오픈정렬!$F47*100)</f>
        <v>110.2907264023425</v>
      </c>
      <c r="W47">
        <f>IF(OR(Calc_오픈정렬!$F47="",Calc_오픈정렬!W47=""),"",Calc_오픈정렬!W47/Calc_오픈정렬!$F47*100)</f>
        <v>115.4412448463022</v>
      </c>
      <c r="X47">
        <f>IF(OR(Calc_오픈정렬!$F47="",Calc_오픈정렬!X47=""),"",Calc_오픈정렬!X47/Calc_오픈정렬!$F47*100)</f>
        <v>115.79366901198757</v>
      </c>
      <c r="Y47">
        <f>IF(OR(Calc_오픈정렬!$F47="",Calc_오픈정렬!Y47=""),"",Calc_오픈정렬!Y47/Calc_오픈정렬!$F47*100)</f>
        <v>102.26814623236473</v>
      </c>
      <c r="Z47">
        <f>IF(OR(Calc_오픈정렬!$F47="",Calc_오픈정렬!Z47=""),"",Calc_오픈정렬!Z47/Calc_오픈정렬!$F47*100)</f>
        <v>119.48395500612392</v>
      </c>
      <c r="AA47">
        <f>IF(OR(Calc_오픈정렬!$F47="",Calc_오픈정렬!AA47=""),"",Calc_오픈정렬!AA47/Calc_오픈정렬!$F47*100)</f>
        <v>110.62444107599212</v>
      </c>
      <c r="AB47">
        <f>IF(OR(Calc_오픈정렬!$F47="",Calc_오픈정렬!AB47=""),"",Calc_오픈정렬!AB47/Calc_오픈정렬!$F47*100)</f>
        <v>106.04654765269868</v>
      </c>
      <c r="AC47">
        <f>IF(OR(Calc_오픈정렬!$F47="",Calc_오픈정렬!AC47=""),"",Calc_오픈정렬!AC47/Calc_오픈정렬!$F47*100)</f>
        <v>112.60901543876641</v>
      </c>
      <c r="AD47">
        <f>IF(OR(Calc_오픈정렬!$F47="",Calc_오픈정렬!AD47=""),"",Calc_오픈정렬!AD47/Calc_오픈정렬!$F47*100)</f>
        <v>104.06364404209441</v>
      </c>
      <c r="AE47">
        <f>IF(OR(Calc_오픈정렬!$F47="",Calc_오픈정렬!AE47=""),"",Calc_오픈정렬!AE47/Calc_오픈정렬!$F47*100)</f>
        <v>117.87828449086599</v>
      </c>
      <c r="AF47">
        <f>IF(OR(Calc_오픈정렬!$F47="",Calc_오픈정렬!AF47=""),"",Calc_오픈정렬!AF47/Calc_오픈정렬!$F47*100)</f>
        <v>113.65301561788745</v>
      </c>
      <c r="AG47">
        <f>IF(OR(Calc_오픈정렬!$F47="",Calc_오픈정렬!AG47=""),"",Calc_오픈정렬!AG47/Calc_오픈정렬!$F47*100)</f>
        <v>129.57171193310776</v>
      </c>
      <c r="AH47">
        <f>IF(OR(Calc_오픈정렬!$F47="",Calc_오픈정렬!AH47=""),"",Calc_오픈정렬!AH47/Calc_오픈정렬!$F47*100)</f>
        <v>127.82257313385743</v>
      </c>
      <c r="AI47">
        <f>IF(OR(Calc_오픈정렬!$F47="",Calc_오픈정렬!AI47=""),"",Calc_오픈정렬!AI47/Calc_오픈정렬!$F47*100)</f>
        <v>131.56323911207545</v>
      </c>
      <c r="AJ47">
        <f>IF(OR(Calc_오픈정렬!$F47="",Calc_오픈정렬!AJ47=""),"",Calc_오픈정렬!AJ47/Calc_오픈정렬!$F47*100)</f>
        <v>110.94655215294198</v>
      </c>
      <c r="AK47">
        <f>IF(OR(Calc_오픈정렬!$F47="",Calc_오픈정렬!AK47=""),"",Calc_오픈정렬!AK47/Calc_오픈정렬!$F47*100)</f>
        <v>121.71785047542552</v>
      </c>
      <c r="AL47">
        <f>IF(OR(Calc_오픈정렬!$F47="",Calc_오픈정렬!AL47=""),"",Calc_오픈정렬!AL47/Calc_오픈정렬!$F47*100)</f>
        <v>123.45085152005713</v>
      </c>
      <c r="AM47">
        <f>IF(OR(Calc_오픈정렬!$F47="",Calc_오픈정렬!AM47=""),"",Calc_오픈정렬!AM47/Calc_오픈정렬!$F47*100)</f>
        <v>122.0454242237323</v>
      </c>
      <c r="AN47">
        <f>IF(OR(Calc_오픈정렬!$F47="",Calc_오픈정렬!AN47=""),"",Calc_오픈정렬!AN47/Calc_오픈정렬!$F47*100)</f>
        <v>115.54696792961241</v>
      </c>
      <c r="AO47">
        <f>IF(OR(Calc_오픈정렬!$F47="",Calc_오픈정렬!AO47=""),"",Calc_오픈정렬!AO47/Calc_오픈정렬!$F47*100)</f>
        <v>115.13039352438497</v>
      </c>
      <c r="AP47">
        <f>IF(OR(Calc_오픈정렬!$F47="",Calc_오픈정렬!AP47=""),"",Calc_오픈정렬!AP47/Calc_오픈정렬!$F47*100)</f>
        <v>112.34680665346255</v>
      </c>
      <c r="AQ47">
        <f>IF(OR(Calc_오픈정렬!$F47="",Calc_오픈정렬!AQ47=""),"",Calc_오픈정렬!AQ47/Calc_오픈정렬!$F47*100)</f>
        <v>105.81327831777061</v>
      </c>
      <c r="AR47">
        <f>IF(OR(Calc_오픈정렬!$F47="",Calc_오픈정렬!AR47=""),"",Calc_오픈정렬!AR47/Calc_오픈정렬!$F47*100)</f>
        <v>110.47121707100509</v>
      </c>
      <c r="AS47">
        <f>IF(OR(Calc_오픈정렬!$F47="",Calc_오픈정렬!AS47=""),"",Calc_오픈정렬!AS47/Calc_오픈정렬!$F47*100)</f>
        <v>122.38166897617604</v>
      </c>
      <c r="AT47">
        <f>IF(OR(Calc_오픈정렬!$F47="",Calc_오픈정렬!AT47=""),"",Calc_오픈정렬!AT47/Calc_오픈정렬!$F47*100)</f>
        <v>115.47392732045371</v>
      </c>
      <c r="AU47">
        <f>IF(OR(Calc_오픈정렬!$F47="",Calc_오픈정렬!AU47=""),"",Calc_오픈정렬!AU47/Calc_오픈정렬!$F47*100)</f>
        <v>122.30611332270784</v>
      </c>
      <c r="AV47">
        <f>IF(OR(Calc_오픈정렬!$F47="",Calc_오픈정렬!AV47=""),"",Calc_오픈정렬!AV47/Calc_오픈정렬!$F47*100)</f>
        <v>137.15706090740122</v>
      </c>
      <c r="AW47">
        <f>IF(OR(Calc_오픈정렬!$F47="",Calc_오픈정렬!AW47=""),"",Calc_오픈정렬!AW47/Calc_오픈정렬!$F47*100)</f>
        <v>138.59420160685929</v>
      </c>
      <c r="AX47">
        <f>IF(OR(Calc_오픈정렬!$F47="",Calc_오픈정렬!AX47=""),"",Calc_오픈정렬!AX47/Calc_오픈정렬!$F47*100)</f>
        <v>131.80685850993333</v>
      </c>
      <c r="AY47">
        <f>IF(OR(Calc_오픈정렬!$F47="",Calc_오픈정렬!AY47=""),"",Calc_오픈정렬!AY47/Calc_오픈정렬!$F47*100)</f>
        <v>140.8740503164091</v>
      </c>
      <c r="AZ47">
        <f>IF(OR(Calc_오픈정렬!$F47="",Calc_오픈정렬!AZ47=""),"",Calc_오픈정렬!AZ47/Calc_오픈정렬!$F47*100)</f>
        <v>133.15364670354887</v>
      </c>
      <c r="BA47">
        <f>IF(OR(Calc_오픈정렬!$F47="",Calc_오픈정렬!BA47=""),"",Calc_오픈정렬!BA47/Calc_오픈정렬!$F47*100)</f>
        <v>135.77560010118569</v>
      </c>
      <c r="BB47">
        <f>IF(OR(Calc_오픈정렬!$F47="",Calc_오픈정렬!BB47=""),"",Calc_오픈정렬!BB47/Calc_오픈정렬!$F47*100)</f>
        <v>127.7321069969628</v>
      </c>
      <c r="BC47">
        <f>IF(OR(Calc_오픈정렬!$F47="",Calc_오픈정렬!BC47=""),"",Calc_오픈정렬!BC47/Calc_오픈정렬!$F47*100)</f>
        <v>120.21330380621703</v>
      </c>
      <c r="BD47">
        <f>IF(OR(Calc_오픈정렬!$F47="",Calc_오픈정렬!BD47=""),"",Calc_오픈정렬!BD47/Calc_오픈정렬!$F47*100)</f>
        <v>135.38914809078088</v>
      </c>
      <c r="BE47">
        <f>IF(OR(Calc_오픈정렬!$F47="",Calc_오픈정렬!BE47=""),"",Calc_오픈정렬!BE47/Calc_오픈정렬!$F47*100)</f>
        <v>130.028155423605</v>
      </c>
      <c r="BF47">
        <f>IF(OR(Calc_오픈정렬!$F47="",Calc_오픈정렬!BF47=""),"",Calc_오픈정렬!BF47/Calc_오픈정렬!$F47*100)</f>
        <v>131.36596534386121</v>
      </c>
      <c r="BG47">
        <f>IF(OR(Calc_오픈정렬!$F47="",Calc_오픈정렬!BG47=""),"",Calc_오픈정렬!BG47/Calc_오픈정렬!$F47*100)</f>
        <v>133.47584804170859</v>
      </c>
      <c r="BH47">
        <f>IF(OR(Calc_오픈정렬!$F47="",Calc_오픈정렬!BH47=""),"",Calc_오픈정렬!BH47/Calc_오픈정렬!$F47*100)</f>
        <v>139.12569836525225</v>
      </c>
      <c r="BI47" t="str">
        <f>IF(OR(Calc_오픈정렬!$F47="",Calc_오픈정렬!BI47=""),"",Calc_오픈정렬!BI47/Calc_오픈정렬!$F47*100)</f>
        <v/>
      </c>
      <c r="BJ47" t="str">
        <f>IF(OR(Calc_오픈정렬!$F47="",Calc_오픈정렬!BJ47=""),"",Calc_오픈정렬!BJ47/Calc_오픈정렬!$F47*100)</f>
        <v/>
      </c>
      <c r="BK47" t="str">
        <f>IF(OR(Calc_오픈정렬!$F47="",Calc_오픈정렬!BK47=""),"",Calc_오픈정렬!BK47/Calc_오픈정렬!$F47*100)</f>
        <v/>
      </c>
      <c r="BL47" t="str">
        <f>IF(OR(Calc_오픈정렬!$F47="",Calc_오픈정렬!BL47=""),"",Calc_오픈정렬!BL47/Calc_오픈정렬!$F47*100)</f>
        <v/>
      </c>
      <c r="BM47" t="str">
        <f>IF(OR(Calc_오픈정렬!$F47="",Calc_오픈정렬!BM47=""),"",Calc_오픈정렬!BM47/Calc_오픈정렬!$F47*100)</f>
        <v/>
      </c>
      <c r="BN47" t="str">
        <f>IF(OR(Calc_오픈정렬!$F47="",Calc_오픈정렬!BN47=""),"",Calc_오픈정렬!BN47/Calc_오픈정렬!$F47*100)</f>
        <v/>
      </c>
    </row>
    <row r="48" spans="1:66" x14ac:dyDescent="0.4">
      <c r="A48" t="str">
        <f>Calc_오픈정렬!A48</f>
        <v>(1037) #신림퍼스트점</v>
      </c>
      <c r="B48" t="str">
        <f>Calc_오픈정렬!B48</f>
        <v>150-2</v>
      </c>
      <c r="C48">
        <f>Calc_오픈정렬!C48</f>
        <v>2</v>
      </c>
      <c r="D48" t="str">
        <f>Calc_오픈정렬!D48</f>
        <v>2</v>
      </c>
      <c r="E48" s="1" t="e">
        <f>Calc_오픈정렬!E48</f>
        <v>#N/A</v>
      </c>
      <c r="F48" t="str">
        <f>Calc_오픈정렬!F48</f>
        <v/>
      </c>
      <c r="G48" t="str">
        <f>IF(OR(Calc_오픈정렬!$F48="",Calc_오픈정렬!G48=""),"",Calc_오픈정렬!G48/Calc_오픈정렬!$F48*100)</f>
        <v/>
      </c>
      <c r="H48" t="str">
        <f>IF(OR(Calc_오픈정렬!$F48="",Calc_오픈정렬!H48=""),"",Calc_오픈정렬!H48/Calc_오픈정렬!$F48*100)</f>
        <v/>
      </c>
      <c r="I48" t="str">
        <f>IF(OR(Calc_오픈정렬!$F48="",Calc_오픈정렬!I48=""),"",Calc_오픈정렬!I48/Calc_오픈정렬!$F48*100)</f>
        <v/>
      </c>
      <c r="J48" t="str">
        <f>IF(OR(Calc_오픈정렬!$F48="",Calc_오픈정렬!J48=""),"",Calc_오픈정렬!J48/Calc_오픈정렬!$F48*100)</f>
        <v/>
      </c>
      <c r="K48" t="str">
        <f>IF(OR(Calc_오픈정렬!$F48="",Calc_오픈정렬!K48=""),"",Calc_오픈정렬!K48/Calc_오픈정렬!$F48*100)</f>
        <v/>
      </c>
      <c r="L48" t="str">
        <f>IF(OR(Calc_오픈정렬!$F48="",Calc_오픈정렬!L48=""),"",Calc_오픈정렬!L48/Calc_오픈정렬!$F48*100)</f>
        <v/>
      </c>
      <c r="M48" t="str">
        <f>IF(OR(Calc_오픈정렬!$F48="",Calc_오픈정렬!M48=""),"",Calc_오픈정렬!M48/Calc_오픈정렬!$F48*100)</f>
        <v/>
      </c>
      <c r="N48" t="str">
        <f>IF(OR(Calc_오픈정렬!$F48="",Calc_오픈정렬!N48=""),"",Calc_오픈정렬!N48/Calc_오픈정렬!$F48*100)</f>
        <v/>
      </c>
      <c r="O48" t="str">
        <f>IF(OR(Calc_오픈정렬!$F48="",Calc_오픈정렬!O48=""),"",Calc_오픈정렬!O48/Calc_오픈정렬!$F48*100)</f>
        <v/>
      </c>
      <c r="P48" t="str">
        <f>IF(OR(Calc_오픈정렬!$F48="",Calc_오픈정렬!P48=""),"",Calc_오픈정렬!P48/Calc_오픈정렬!$F48*100)</f>
        <v/>
      </c>
      <c r="Q48" t="str">
        <f>IF(OR(Calc_오픈정렬!$F48="",Calc_오픈정렬!Q48=""),"",Calc_오픈정렬!Q48/Calc_오픈정렬!$F48*100)</f>
        <v/>
      </c>
      <c r="R48" t="str">
        <f>IF(OR(Calc_오픈정렬!$F48="",Calc_오픈정렬!R48=""),"",Calc_오픈정렬!R48/Calc_오픈정렬!$F48*100)</f>
        <v/>
      </c>
      <c r="S48" t="str">
        <f>IF(OR(Calc_오픈정렬!$F48="",Calc_오픈정렬!S48=""),"",Calc_오픈정렬!S48/Calc_오픈정렬!$F48*100)</f>
        <v/>
      </c>
      <c r="T48" t="str">
        <f>IF(OR(Calc_오픈정렬!$F48="",Calc_오픈정렬!T48=""),"",Calc_오픈정렬!T48/Calc_오픈정렬!$F48*100)</f>
        <v/>
      </c>
      <c r="U48" t="str">
        <f>IF(OR(Calc_오픈정렬!$F48="",Calc_오픈정렬!U48=""),"",Calc_오픈정렬!U48/Calc_오픈정렬!$F48*100)</f>
        <v/>
      </c>
      <c r="V48" t="str">
        <f>IF(OR(Calc_오픈정렬!$F48="",Calc_오픈정렬!V48=""),"",Calc_오픈정렬!V48/Calc_오픈정렬!$F48*100)</f>
        <v/>
      </c>
      <c r="W48" t="str">
        <f>IF(OR(Calc_오픈정렬!$F48="",Calc_오픈정렬!W48=""),"",Calc_오픈정렬!W48/Calc_오픈정렬!$F48*100)</f>
        <v/>
      </c>
      <c r="X48" t="str">
        <f>IF(OR(Calc_오픈정렬!$F48="",Calc_오픈정렬!X48=""),"",Calc_오픈정렬!X48/Calc_오픈정렬!$F48*100)</f>
        <v/>
      </c>
      <c r="Y48" t="str">
        <f>IF(OR(Calc_오픈정렬!$F48="",Calc_오픈정렬!Y48=""),"",Calc_오픈정렬!Y48/Calc_오픈정렬!$F48*100)</f>
        <v/>
      </c>
      <c r="Z48" t="str">
        <f>IF(OR(Calc_오픈정렬!$F48="",Calc_오픈정렬!Z48=""),"",Calc_오픈정렬!Z48/Calc_오픈정렬!$F48*100)</f>
        <v/>
      </c>
      <c r="AA48" t="str">
        <f>IF(OR(Calc_오픈정렬!$F48="",Calc_오픈정렬!AA48=""),"",Calc_오픈정렬!AA48/Calc_오픈정렬!$F48*100)</f>
        <v/>
      </c>
      <c r="AB48" t="str">
        <f>IF(OR(Calc_오픈정렬!$F48="",Calc_오픈정렬!AB48=""),"",Calc_오픈정렬!AB48/Calc_오픈정렬!$F48*100)</f>
        <v/>
      </c>
      <c r="AC48" t="str">
        <f>IF(OR(Calc_오픈정렬!$F48="",Calc_오픈정렬!AC48=""),"",Calc_오픈정렬!AC48/Calc_오픈정렬!$F48*100)</f>
        <v/>
      </c>
      <c r="AD48" t="str">
        <f>IF(OR(Calc_오픈정렬!$F48="",Calc_오픈정렬!AD48=""),"",Calc_오픈정렬!AD48/Calc_오픈정렬!$F48*100)</f>
        <v/>
      </c>
      <c r="AE48" t="str">
        <f>IF(OR(Calc_오픈정렬!$F48="",Calc_오픈정렬!AE48=""),"",Calc_오픈정렬!AE48/Calc_오픈정렬!$F48*100)</f>
        <v/>
      </c>
      <c r="AF48" t="str">
        <f>IF(OR(Calc_오픈정렬!$F48="",Calc_오픈정렬!AF48=""),"",Calc_오픈정렬!AF48/Calc_오픈정렬!$F48*100)</f>
        <v/>
      </c>
      <c r="AG48" t="str">
        <f>IF(OR(Calc_오픈정렬!$F48="",Calc_오픈정렬!AG48=""),"",Calc_오픈정렬!AG48/Calc_오픈정렬!$F48*100)</f>
        <v/>
      </c>
      <c r="AH48" t="str">
        <f>IF(OR(Calc_오픈정렬!$F48="",Calc_오픈정렬!AH48=""),"",Calc_오픈정렬!AH48/Calc_오픈정렬!$F48*100)</f>
        <v/>
      </c>
      <c r="AI48" t="str">
        <f>IF(OR(Calc_오픈정렬!$F48="",Calc_오픈정렬!AI48=""),"",Calc_오픈정렬!AI48/Calc_오픈정렬!$F48*100)</f>
        <v/>
      </c>
      <c r="AJ48" t="str">
        <f>IF(OR(Calc_오픈정렬!$F48="",Calc_오픈정렬!AJ48=""),"",Calc_오픈정렬!AJ48/Calc_오픈정렬!$F48*100)</f>
        <v/>
      </c>
      <c r="AK48" t="str">
        <f>IF(OR(Calc_오픈정렬!$F48="",Calc_오픈정렬!AK48=""),"",Calc_오픈정렬!AK48/Calc_오픈정렬!$F48*100)</f>
        <v/>
      </c>
      <c r="AL48" t="str">
        <f>IF(OR(Calc_오픈정렬!$F48="",Calc_오픈정렬!AL48=""),"",Calc_오픈정렬!AL48/Calc_오픈정렬!$F48*100)</f>
        <v/>
      </c>
      <c r="AM48" t="str">
        <f>IF(OR(Calc_오픈정렬!$F48="",Calc_오픈정렬!AM48=""),"",Calc_오픈정렬!AM48/Calc_오픈정렬!$F48*100)</f>
        <v/>
      </c>
      <c r="AN48" t="str">
        <f>IF(OR(Calc_오픈정렬!$F48="",Calc_오픈정렬!AN48=""),"",Calc_오픈정렬!AN48/Calc_오픈정렬!$F48*100)</f>
        <v/>
      </c>
      <c r="AO48" t="str">
        <f>IF(OR(Calc_오픈정렬!$F48="",Calc_오픈정렬!AO48=""),"",Calc_오픈정렬!AO48/Calc_오픈정렬!$F48*100)</f>
        <v/>
      </c>
      <c r="AP48" t="str">
        <f>IF(OR(Calc_오픈정렬!$F48="",Calc_오픈정렬!AP48=""),"",Calc_오픈정렬!AP48/Calc_오픈정렬!$F48*100)</f>
        <v/>
      </c>
      <c r="AQ48" t="str">
        <f>IF(OR(Calc_오픈정렬!$F48="",Calc_오픈정렬!AQ48=""),"",Calc_오픈정렬!AQ48/Calc_오픈정렬!$F48*100)</f>
        <v/>
      </c>
      <c r="AR48" t="str">
        <f>IF(OR(Calc_오픈정렬!$F48="",Calc_오픈정렬!AR48=""),"",Calc_오픈정렬!AR48/Calc_오픈정렬!$F48*100)</f>
        <v/>
      </c>
      <c r="AS48" t="str">
        <f>IF(OR(Calc_오픈정렬!$F48="",Calc_오픈정렬!AS48=""),"",Calc_오픈정렬!AS48/Calc_오픈정렬!$F48*100)</f>
        <v/>
      </c>
      <c r="AT48" t="str">
        <f>IF(OR(Calc_오픈정렬!$F48="",Calc_오픈정렬!AT48=""),"",Calc_오픈정렬!AT48/Calc_오픈정렬!$F48*100)</f>
        <v/>
      </c>
      <c r="AU48" t="str">
        <f>IF(OR(Calc_오픈정렬!$F48="",Calc_오픈정렬!AU48=""),"",Calc_오픈정렬!AU48/Calc_오픈정렬!$F48*100)</f>
        <v/>
      </c>
      <c r="AV48" t="str">
        <f>IF(OR(Calc_오픈정렬!$F48="",Calc_오픈정렬!AV48=""),"",Calc_오픈정렬!AV48/Calc_오픈정렬!$F48*100)</f>
        <v/>
      </c>
      <c r="AW48" t="str">
        <f>IF(OR(Calc_오픈정렬!$F48="",Calc_오픈정렬!AW48=""),"",Calc_오픈정렬!AW48/Calc_오픈정렬!$F48*100)</f>
        <v/>
      </c>
      <c r="AX48" t="str">
        <f>IF(OR(Calc_오픈정렬!$F48="",Calc_오픈정렬!AX48=""),"",Calc_오픈정렬!AX48/Calc_오픈정렬!$F48*100)</f>
        <v/>
      </c>
      <c r="AY48" t="str">
        <f>IF(OR(Calc_오픈정렬!$F48="",Calc_오픈정렬!AY48=""),"",Calc_오픈정렬!AY48/Calc_오픈정렬!$F48*100)</f>
        <v/>
      </c>
      <c r="AZ48" t="str">
        <f>IF(OR(Calc_오픈정렬!$F48="",Calc_오픈정렬!AZ48=""),"",Calc_오픈정렬!AZ48/Calc_오픈정렬!$F48*100)</f>
        <v/>
      </c>
      <c r="BA48" t="str">
        <f>IF(OR(Calc_오픈정렬!$F48="",Calc_오픈정렬!BA48=""),"",Calc_오픈정렬!BA48/Calc_오픈정렬!$F48*100)</f>
        <v/>
      </c>
      <c r="BB48" t="str">
        <f>IF(OR(Calc_오픈정렬!$F48="",Calc_오픈정렬!BB48=""),"",Calc_오픈정렬!BB48/Calc_오픈정렬!$F48*100)</f>
        <v/>
      </c>
      <c r="BC48" t="str">
        <f>IF(OR(Calc_오픈정렬!$F48="",Calc_오픈정렬!BC48=""),"",Calc_오픈정렬!BC48/Calc_오픈정렬!$F48*100)</f>
        <v/>
      </c>
      <c r="BD48" t="str">
        <f>IF(OR(Calc_오픈정렬!$F48="",Calc_오픈정렬!BD48=""),"",Calc_오픈정렬!BD48/Calc_오픈정렬!$F48*100)</f>
        <v/>
      </c>
      <c r="BE48" t="str">
        <f>IF(OR(Calc_오픈정렬!$F48="",Calc_오픈정렬!BE48=""),"",Calc_오픈정렬!BE48/Calc_오픈정렬!$F48*100)</f>
        <v/>
      </c>
      <c r="BF48" t="str">
        <f>IF(OR(Calc_오픈정렬!$F48="",Calc_오픈정렬!BF48=""),"",Calc_오픈정렬!BF48/Calc_오픈정렬!$F48*100)</f>
        <v/>
      </c>
      <c r="BG48" t="str">
        <f>IF(OR(Calc_오픈정렬!$F48="",Calc_오픈정렬!BG48=""),"",Calc_오픈정렬!BG48/Calc_오픈정렬!$F48*100)</f>
        <v/>
      </c>
      <c r="BH48" t="str">
        <f>IF(OR(Calc_오픈정렬!$F48="",Calc_오픈정렬!BH48=""),"",Calc_오픈정렬!BH48/Calc_오픈정렬!$F48*100)</f>
        <v/>
      </c>
      <c r="BI48" t="str">
        <f>IF(OR(Calc_오픈정렬!$F48="",Calc_오픈정렬!BI48=""),"",Calc_오픈정렬!BI48/Calc_오픈정렬!$F48*100)</f>
        <v/>
      </c>
      <c r="BJ48" t="str">
        <f>IF(OR(Calc_오픈정렬!$F48="",Calc_오픈정렬!BJ48=""),"",Calc_오픈정렬!BJ48/Calc_오픈정렬!$F48*100)</f>
        <v/>
      </c>
      <c r="BK48" t="str">
        <f>IF(OR(Calc_오픈정렬!$F48="",Calc_오픈정렬!BK48=""),"",Calc_오픈정렬!BK48/Calc_오픈정렬!$F48*100)</f>
        <v/>
      </c>
      <c r="BL48" t="str">
        <f>IF(OR(Calc_오픈정렬!$F48="",Calc_오픈정렬!BL48=""),"",Calc_오픈정렬!BL48/Calc_오픈정렬!$F48*100)</f>
        <v/>
      </c>
      <c r="BM48" t="str">
        <f>IF(OR(Calc_오픈정렬!$F48="",Calc_오픈정렬!BM48=""),"",Calc_오픈정렬!BM48/Calc_오픈정렬!$F48*100)</f>
        <v/>
      </c>
      <c r="BN48" t="str">
        <f>IF(OR(Calc_오픈정렬!$F48="",Calc_오픈정렬!BN48=""),"",Calc_오픈정렬!BN48/Calc_오픈정렬!$F48*100)</f>
        <v/>
      </c>
    </row>
    <row r="49" spans="1:66" x14ac:dyDescent="0.4">
      <c r="A49" t="str">
        <f>Calc_오픈정렬!A49</f>
        <v>(1038) #한양여대점</v>
      </c>
      <c r="B49" t="str">
        <f>Calc_오픈정렬!B49</f>
        <v>150-2</v>
      </c>
      <c r="C49">
        <f>Calc_오픈정렬!C49</f>
        <v>2</v>
      </c>
      <c r="D49" t="str">
        <f>Calc_오픈정렬!D49</f>
        <v>2</v>
      </c>
      <c r="E49" s="1">
        <f>Calc_오픈정렬!E49</f>
        <v>44621</v>
      </c>
      <c r="F49">
        <f>Calc_오픈정렬!F49</f>
        <v>1067284.8522959696</v>
      </c>
      <c r="G49">
        <f>IF(OR(Calc_오픈정렬!$F49="",Calc_오픈정렬!G49=""),"",Calc_오픈정렬!G49/Calc_오픈정렬!$F49*100)</f>
        <v>66.338971831072399</v>
      </c>
      <c r="H49">
        <f>IF(OR(Calc_오픈정렬!$F49="",Calc_오픈정렬!H49=""),"",Calc_오픈정렬!H49/Calc_오픈정렬!$F49*100)</f>
        <v>76.442164425750619</v>
      </c>
      <c r="I49">
        <f>IF(OR(Calc_오픈정렬!$F49="",Calc_오픈정렬!I49=""),"",Calc_오픈정렬!I49/Calc_오픈정렬!$F49*100)</f>
        <v>90.795945876265591</v>
      </c>
      <c r="J49">
        <f>IF(OR(Calc_오픈정렬!$F49="",Calc_오픈정렬!J49=""),"",Calc_오픈정렬!J49/Calc_오픈정렬!$F49*100)</f>
        <v>112.05687761038072</v>
      </c>
      <c r="K49">
        <f>IF(OR(Calc_오픈정렬!$F49="",Calc_오픈정렬!K49=""),"",Calc_오픈정렬!K49/Calc_오픈정렬!$F49*100)</f>
        <v>119.63720271890404</v>
      </c>
      <c r="L49">
        <f>IF(OR(Calc_오픈정렬!$F49="",Calc_오픈정렬!L49=""),"",Calc_오픈정렬!L49/Calc_오픈정렬!$F49*100)</f>
        <v>109.5937552146069</v>
      </c>
      <c r="M49">
        <f>IF(OR(Calc_오픈정렬!$F49="",Calc_오픈정렬!M49=""),"",Calc_오픈정렬!M49/Calc_오픈정렬!$F49*100)</f>
        <v>122.25672288452438</v>
      </c>
      <c r="N49">
        <f>IF(OR(Calc_오픈정렬!$F49="",Calc_오픈정렬!N49=""),"",Calc_오픈정렬!N49/Calc_오픈정렬!$F49*100)</f>
        <v>59.869990340428444</v>
      </c>
      <c r="O49">
        <f>IF(OR(Calc_오픈정렬!$F49="",Calc_오픈정렬!O49=""),"",Calc_오픈정렬!O49/Calc_오픈정렬!$F49*100)</f>
        <v>76.58545123115556</v>
      </c>
      <c r="P49">
        <f>IF(OR(Calc_오픈정렬!$F49="",Calc_오픈정렬!P49=""),"",Calc_오픈정렬!P49/Calc_오픈정렬!$F49*100)</f>
        <v>156.22774325951784</v>
      </c>
      <c r="Q49">
        <f>IF(OR(Calc_오픈정렬!$F49="",Calc_오픈정렬!Q49=""),"",Calc_오픈정렬!Q49/Calc_오픈정렬!$F49*100)</f>
        <v>241.50206205482806</v>
      </c>
      <c r="R49">
        <f>IF(OR(Calc_오픈정렬!$F49="",Calc_오픈정렬!R49=""),"",Calc_오픈정렬!R49/Calc_오픈정렬!$F49*100)</f>
        <v>298.57913017226861</v>
      </c>
      <c r="S49">
        <f>IF(OR(Calc_오픈정렬!$F49="",Calc_오픈정렬!S49=""),"",Calc_오픈정렬!S49/Calc_오픈정렬!$F49*100)</f>
        <v>623.90453086185187</v>
      </c>
      <c r="T49">
        <f>IF(OR(Calc_오픈정렬!$F49="",Calc_오픈정렬!T49=""),"",Calc_오픈정렬!T49/Calc_오픈정렬!$F49*100)</f>
        <v>404.49391210171098</v>
      </c>
      <c r="U49">
        <f>IF(OR(Calc_오픈정렬!$F49="",Calc_오픈정렬!U49=""),"",Calc_오픈정렬!U49/Calc_오픈정렬!$F49*100)</f>
        <v>437.45779458434225</v>
      </c>
      <c r="V49">
        <f>IF(OR(Calc_오픈정렬!$F49="",Calc_오픈정렬!V49=""),"",Calc_오픈정렬!V49/Calc_오픈정렬!$F49*100)</f>
        <v>406.69808866946528</v>
      </c>
      <c r="W49">
        <f>IF(OR(Calc_오픈정렬!$F49="",Calc_오픈정렬!W49=""),"",Calc_오픈정렬!W49/Calc_오픈정렬!$F49*100)</f>
        <v>434.91906241248745</v>
      </c>
      <c r="X49">
        <f>IF(OR(Calc_오픈정렬!$F49="",Calc_오픈정렬!X49=""),"",Calc_오픈정렬!X49/Calc_오픈정렬!$F49*100)</f>
        <v>459.41048443053421</v>
      </c>
      <c r="Y49">
        <f>IF(OR(Calc_오픈정렬!$F49="",Calc_오픈정렬!Y49=""),"",Calc_오픈정렬!Y49/Calc_오픈정렬!$F49*100)</f>
        <v>380.96439091186642</v>
      </c>
      <c r="Z49">
        <f>IF(OR(Calc_오픈정렬!$F49="",Calc_오픈정렬!Z49=""),"",Calc_오픈정렬!Z49/Calc_오픈정렬!$F49*100)</f>
        <v>370.18026059696558</v>
      </c>
      <c r="AA49">
        <f>IF(OR(Calc_오픈정렬!$F49="",Calc_오픈정렬!AA49=""),"",Calc_오픈정렬!AA49/Calc_오픈정렬!$F49*100)</f>
        <v>361.64352029659057</v>
      </c>
      <c r="AB49">
        <f>IF(OR(Calc_오픈정렬!$F49="",Calc_오픈정렬!AB49=""),"",Calc_오픈정렬!AB49/Calc_오픈정렬!$F49*100)</f>
        <v>416.24159460971981</v>
      </c>
      <c r="AC49">
        <f>IF(OR(Calc_오픈정렬!$F49="",Calc_오픈정렬!AC49=""),"",Calc_오픈정렬!AC49/Calc_오픈정렬!$F49*100)</f>
        <v>378.82656218793454</v>
      </c>
      <c r="AD49">
        <f>IF(OR(Calc_오픈정렬!$F49="",Calc_오픈정렬!AD49=""),"",Calc_오픈정렬!AD49/Calc_오픈정렬!$F49*100)</f>
        <v>394.29043843090875</v>
      </c>
      <c r="AE49">
        <f>IF(OR(Calc_오픈정렬!$F49="",Calc_오픈정렬!AE49=""),"",Calc_오픈정렬!AE49/Calc_오픈정렬!$F49*100)</f>
        <v>472.858020144737</v>
      </c>
      <c r="AF49">
        <f>IF(OR(Calc_오픈정렬!$F49="",Calc_오픈정렬!AF49=""),"",Calc_오픈정렬!AF49/Calc_오픈정렬!$F49*100)</f>
        <v>447.02111649454571</v>
      </c>
      <c r="AG49">
        <f>IF(OR(Calc_오픈정렬!$F49="",Calc_오픈정렬!AG49=""),"",Calc_오픈정렬!AG49/Calc_오픈정렬!$F49*100)</f>
        <v>439.72533676584459</v>
      </c>
      <c r="AH49">
        <f>IF(OR(Calc_오픈정렬!$F49="",Calc_오픈정렬!AH49=""),"",Calc_오픈정렬!AH49/Calc_오픈정렬!$F49*100)</f>
        <v>470.46258783438537</v>
      </c>
      <c r="AI49">
        <f>IF(OR(Calc_오픈정렬!$F49="",Calc_오픈정렬!AI49=""),"",Calc_오픈정렬!AI49/Calc_오픈정렬!$F49*100)</f>
        <v>464.90422106821558</v>
      </c>
      <c r="AJ49">
        <f>IF(OR(Calc_오픈정렬!$F49="",Calc_오픈정렬!AJ49=""),"",Calc_오픈정렬!AJ49/Calc_오픈정렬!$F49*100)</f>
        <v>439.39419870936769</v>
      </c>
      <c r="AK49">
        <f>IF(OR(Calc_오픈정렬!$F49="",Calc_오픈정렬!AK49=""),"",Calc_오픈정렬!AK49/Calc_오픈정렬!$F49*100)</f>
        <v>510.85350282188131</v>
      </c>
      <c r="AL49">
        <f>IF(OR(Calc_오픈정렬!$F49="",Calc_오픈정렬!AL49=""),"",Calc_오픈정렬!AL49/Calc_오픈정렬!$F49*100)</f>
        <v>407.34418647472097</v>
      </c>
      <c r="AM49">
        <f>IF(OR(Calc_오픈정렬!$F49="",Calc_오픈정렬!AM49=""),"",Calc_오픈정렬!AM49/Calc_오픈정렬!$F49*100)</f>
        <v>440.88381384421973</v>
      </c>
      <c r="AN49">
        <f>IF(OR(Calc_오픈정렬!$F49="",Calc_오픈정렬!AN49=""),"",Calc_오픈정렬!AN49/Calc_오픈정렬!$F49*100)</f>
        <v>386.40059498308676</v>
      </c>
      <c r="AO49">
        <f>IF(OR(Calc_오픈정렬!$F49="",Calc_오픈정렬!AO49=""),"",Calc_오픈정렬!AO49/Calc_오픈정렬!$F49*100)</f>
        <v>386.4123569531161</v>
      </c>
      <c r="AP49">
        <f>IF(OR(Calc_오픈정렬!$F49="",Calc_오픈정렬!AP49=""),"",Calc_오픈정렬!AP49/Calc_오픈정렬!$F49*100)</f>
        <v>422.6588962509166</v>
      </c>
      <c r="AQ49">
        <f>IF(OR(Calc_오픈정렬!$F49="",Calc_오픈정렬!AQ49=""),"",Calc_오픈정렬!AQ49/Calc_오픈정렬!$F49*100)</f>
        <v>441.03845516762385</v>
      </c>
      <c r="AR49">
        <f>IF(OR(Calc_오픈정렬!$F49="",Calc_오픈정렬!AR49=""),"",Calc_오픈정렬!AR49/Calc_오픈정렬!$F49*100)</f>
        <v>319.32493230877321</v>
      </c>
      <c r="AS49">
        <f>IF(OR(Calc_오픈정렬!$F49="",Calc_오픈정렬!AS49=""),"",Calc_오픈정렬!AS49/Calc_오픈정렬!$F49*100)</f>
        <v>286.27853426301164</v>
      </c>
      <c r="AT49">
        <f>IF(OR(Calc_오픈정렬!$F49="",Calc_오픈정렬!AT49=""),"",Calc_오픈정렬!AT49/Calc_오픈정렬!$F49*100)</f>
        <v>322.53168448939039</v>
      </c>
      <c r="AU49">
        <f>IF(OR(Calc_오픈정렬!$F49="",Calc_오픈정렬!AU49=""),"",Calc_오픈정렬!AU49/Calc_오픈정렬!$F49*100)</f>
        <v>243.51529145902725</v>
      </c>
      <c r="AV49">
        <f>IF(OR(Calc_오픈정렬!$F49="",Calc_오픈정렬!AV49=""),"",Calc_오픈정렬!AV49/Calc_오픈정렬!$F49*100)</f>
        <v>270.11518491592113</v>
      </c>
      <c r="AW49">
        <f>IF(OR(Calc_오픈정렬!$F49="",Calc_오픈정렬!AW49=""),"",Calc_오픈정렬!AW49/Calc_오픈정렬!$F49*100)</f>
        <v>268.77126679881394</v>
      </c>
      <c r="AX49">
        <f>IF(OR(Calc_오픈정렬!$F49="",Calc_오픈정렬!AX49=""),"",Calc_오픈정렬!AX49/Calc_오픈정렬!$F49*100)</f>
        <v>259.72518222646175</v>
      </c>
      <c r="AY49">
        <f>IF(OR(Calc_오픈정렬!$F49="",Calc_오픈정렬!AY49=""),"",Calc_오픈정렬!AY49/Calc_오픈정렬!$F49*100)</f>
        <v>272.58390996420064</v>
      </c>
      <c r="AZ49">
        <f>IF(OR(Calc_오픈정렬!$F49="",Calc_오픈정렬!AZ49=""),"",Calc_오픈정렬!AZ49/Calc_오픈정렬!$F49*100)</f>
        <v>249.60713142571493</v>
      </c>
      <c r="BA49">
        <f>IF(OR(Calc_오픈정렬!$F49="",Calc_오픈정렬!BA49=""),"",Calc_오픈정렬!BA49/Calc_오픈정렬!$F49*100)</f>
        <v>247.80846158349391</v>
      </c>
      <c r="BB49">
        <f>IF(OR(Calc_오픈정렬!$F49="",Calc_오픈정렬!BB49=""),"",Calc_오픈정렬!BB49/Calc_오픈정렬!$F49*100)</f>
        <v>258.03624641006923</v>
      </c>
      <c r="BC49">
        <f>IF(OR(Calc_오픈정렬!$F49="",Calc_오픈정렬!BC49=""),"",Calc_오픈정렬!BC49/Calc_오픈정렬!$F49*100)</f>
        <v>302.76991036192442</v>
      </c>
      <c r="BD49">
        <f>IF(OR(Calc_오픈정렬!$F49="",Calc_오픈정렬!BD49=""),"",Calc_오픈정렬!BD49/Calc_오픈정렬!$F49*100)</f>
        <v>286.90230819256476</v>
      </c>
      <c r="BE49">
        <f>IF(OR(Calc_오픈정렬!$F49="",Calc_오픈정렬!BE49=""),"",Calc_오픈정렬!BE49/Calc_오픈정렬!$F49*100)</f>
        <v>307.61032618146635</v>
      </c>
      <c r="BF49" t="str">
        <f>IF(OR(Calc_오픈정렬!$F49="",Calc_오픈정렬!BF49=""),"",Calc_오픈정렬!BF49/Calc_오픈정렬!$F49*100)</f>
        <v/>
      </c>
      <c r="BG49" t="str">
        <f>IF(OR(Calc_오픈정렬!$F49="",Calc_오픈정렬!BG49=""),"",Calc_오픈정렬!BG49/Calc_오픈정렬!$F49*100)</f>
        <v/>
      </c>
      <c r="BH49" t="str">
        <f>IF(OR(Calc_오픈정렬!$F49="",Calc_오픈정렬!BH49=""),"",Calc_오픈정렬!BH49/Calc_오픈정렬!$F49*100)</f>
        <v/>
      </c>
      <c r="BI49" t="str">
        <f>IF(OR(Calc_오픈정렬!$F49="",Calc_오픈정렬!BI49=""),"",Calc_오픈정렬!BI49/Calc_오픈정렬!$F49*100)</f>
        <v/>
      </c>
      <c r="BJ49" t="str">
        <f>IF(OR(Calc_오픈정렬!$F49="",Calc_오픈정렬!BJ49=""),"",Calc_오픈정렬!BJ49/Calc_오픈정렬!$F49*100)</f>
        <v/>
      </c>
      <c r="BK49" t="str">
        <f>IF(OR(Calc_오픈정렬!$F49="",Calc_오픈정렬!BK49=""),"",Calc_오픈정렬!BK49/Calc_오픈정렬!$F49*100)</f>
        <v/>
      </c>
      <c r="BL49" t="str">
        <f>IF(OR(Calc_오픈정렬!$F49="",Calc_오픈정렬!BL49=""),"",Calc_오픈정렬!BL49/Calc_오픈정렬!$F49*100)</f>
        <v/>
      </c>
      <c r="BM49" t="str">
        <f>IF(OR(Calc_오픈정렬!$F49="",Calc_오픈정렬!BM49=""),"",Calc_오픈정렬!BM49/Calc_오픈정렬!$F49*100)</f>
        <v/>
      </c>
      <c r="BN49" t="str">
        <f>IF(OR(Calc_오픈정렬!$F49="",Calc_오픈정렬!BN49=""),"",Calc_오픈정렬!BN49/Calc_오픈정렬!$F49*100)</f>
        <v/>
      </c>
    </row>
    <row r="50" spans="1:66" x14ac:dyDescent="0.4">
      <c r="A50" t="str">
        <f>Calc_오픈정렬!A50</f>
        <v>(1039) #이문점</v>
      </c>
      <c r="B50" t="str">
        <f>Calc_오픈정렬!B50</f>
        <v>150-2</v>
      </c>
      <c r="C50">
        <f>Calc_오픈정렬!C50</f>
        <v>2</v>
      </c>
      <c r="D50" t="str">
        <f>Calc_오픈정렬!D50</f>
        <v>2</v>
      </c>
      <c r="E50" s="1">
        <f>Calc_오픈정렬!E50</f>
        <v>44652</v>
      </c>
      <c r="F50">
        <f>Calc_오픈정렬!F50</f>
        <v>7086949.8513906868</v>
      </c>
      <c r="G50">
        <f>IF(OR(Calc_오픈정렬!$F50="",Calc_오픈정렬!G50=""),"",Calc_오픈정렬!G50/Calc_오픈정렬!$F50*100)</f>
        <v>62.10062498616503</v>
      </c>
      <c r="H50">
        <f>IF(OR(Calc_오픈정렬!$F50="",Calc_오픈정렬!H50=""),"",Calc_오픈정렬!H50/Calc_오픈정렬!$F50*100)</f>
        <v>71.431404864836139</v>
      </c>
      <c r="I50">
        <f>IF(OR(Calc_오픈정렬!$F50="",Calc_오픈정렬!I50=""),"",Calc_오픈정렬!I50/Calc_오픈정렬!$F50*100)</f>
        <v>92.074745353279127</v>
      </c>
      <c r="J50">
        <f>IF(OR(Calc_오픈정렬!$F50="",Calc_오픈정렬!J50=""),"",Calc_오픈정렬!J50/Calc_오픈정렬!$F50*100)</f>
        <v>96.636481812036607</v>
      </c>
      <c r="K50">
        <f>IF(OR(Calc_오픈정렬!$F50="",Calc_오픈정렬!K50=""),"",Calc_오픈정렬!K50/Calc_오픈정렬!$F50*100)</f>
        <v>106.94294802864957</v>
      </c>
      <c r="L50">
        <f>IF(OR(Calc_오픈정렬!$F50="",Calc_오픈정렬!L50=""),"",Calc_오픈정렬!L50/Calc_오픈정렬!$F50*100)</f>
        <v>105.07055876811293</v>
      </c>
      <c r="M50">
        <f>IF(OR(Calc_오픈정렬!$F50="",Calc_오픈정렬!M50=""),"",Calc_오픈정렬!M50/Calc_오픈정렬!$F50*100)</f>
        <v>102.1407287829357</v>
      </c>
      <c r="N50">
        <f>IF(OR(Calc_오픈정렬!$F50="",Calc_오픈정렬!N50=""),"",Calc_오픈정렬!N50/Calc_오픈정렬!$F50*100)</f>
        <v>96.809583473712649</v>
      </c>
      <c r="O50">
        <f>IF(OR(Calc_오픈정렬!$F50="",Calc_오픈정렬!O50=""),"",Calc_오픈정렬!O50/Calc_오픈정렬!$F50*100)</f>
        <v>92.399699134552606</v>
      </c>
      <c r="P50">
        <f>IF(OR(Calc_오픈정렬!$F50="",Calc_오픈정렬!P50=""),"",Calc_오픈정렬!P50/Calc_오픈정렬!$F50*100)</f>
        <v>96.624342255903656</v>
      </c>
      <c r="Q50">
        <f>IF(OR(Calc_오픈정렬!$F50="",Calc_오픈정렬!Q50=""),"",Calc_오픈정렬!Q50/Calc_오픈정렬!$F50*100)</f>
        <v>114.38147256987791</v>
      </c>
      <c r="R50">
        <f>IF(OR(Calc_오픈정렬!$F50="",Calc_오픈정렬!R50=""),"",Calc_오픈정렬!R50/Calc_오픈정렬!$F50*100)</f>
        <v>112.21225700874894</v>
      </c>
      <c r="S50">
        <f>IF(OR(Calc_오픈정렬!$F50="",Calc_오픈정렬!S50=""),"",Calc_오픈정렬!S50/Calc_오픈정렬!$F50*100)</f>
        <v>112.86901913543863</v>
      </c>
      <c r="T50">
        <f>IF(OR(Calc_오픈정렬!$F50="",Calc_오픈정렬!T50=""),"",Calc_오픈정렬!T50/Calc_오픈정렬!$F50*100)</f>
        <v>121.34232461197603</v>
      </c>
      <c r="U50">
        <f>IF(OR(Calc_오픈정렬!$F50="",Calc_오픈정렬!U50=""),"",Calc_오픈정렬!U50/Calc_오픈정렬!$F50*100)</f>
        <v>126.60929573507561</v>
      </c>
      <c r="V50">
        <f>IF(OR(Calc_오픈정렬!$F50="",Calc_오픈정렬!V50=""),"",Calc_오픈정렬!V50/Calc_오픈정렬!$F50*100)</f>
        <v>128.73990559269589</v>
      </c>
      <c r="W50">
        <f>IF(OR(Calc_오픈정렬!$F50="",Calc_오픈정렬!W50=""),"",Calc_오픈정렬!W50/Calc_오픈정렬!$F50*100)</f>
        <v>131.24502084483157</v>
      </c>
      <c r="X50">
        <f>IF(OR(Calc_오픈정렬!$F50="",Calc_오픈정렬!X50=""),"",Calc_오픈정렬!X50/Calc_오픈정렬!$F50*100)</f>
        <v>141.63350661439986</v>
      </c>
      <c r="Y50">
        <f>IF(OR(Calc_오픈정렬!$F50="",Calc_오픈정렬!Y50=""),"",Calc_오픈정렬!Y50/Calc_오픈정렬!$F50*100)</f>
        <v>133.42868922273033</v>
      </c>
      <c r="Z50">
        <f>IF(OR(Calc_오픈정렬!$F50="",Calc_오픈정렬!Z50=""),"",Calc_오픈정렬!Z50/Calc_오픈정렬!$F50*100)</f>
        <v>137.26211102140462</v>
      </c>
      <c r="AA50">
        <f>IF(OR(Calc_오픈정렬!$F50="",Calc_오픈정렬!AA50=""),"",Calc_오픈정렬!AA50/Calc_오픈정렬!$F50*100)</f>
        <v>136.07560923666384</v>
      </c>
      <c r="AB50">
        <f>IF(OR(Calc_오픈정렬!$F50="",Calc_오픈정렬!AB50=""),"",Calc_오픈정렬!AB50/Calc_오픈정렬!$F50*100)</f>
        <v>118.98070547166083</v>
      </c>
      <c r="AC50">
        <f>IF(OR(Calc_오픈정렬!$F50="",Calc_오픈정렬!AC50=""),"",Calc_오픈정렬!AC50/Calc_오픈정렬!$F50*100)</f>
        <v>126.82088669468928</v>
      </c>
      <c r="AD50">
        <f>IF(OR(Calc_오픈정렬!$F50="",Calc_오픈정렬!AD50=""),"",Calc_오픈정렬!AD50/Calc_오픈정렬!$F50*100)</f>
        <v>129.58537176582007</v>
      </c>
      <c r="AE50">
        <f>IF(OR(Calc_오픈정렬!$F50="",Calc_오픈정렬!AE50=""),"",Calc_오픈정렬!AE50/Calc_오픈정렬!$F50*100)</f>
        <v>140.04429357163778</v>
      </c>
      <c r="AF50">
        <f>IF(OR(Calc_오픈정렬!$F50="",Calc_오픈정렬!AF50=""),"",Calc_오픈정렬!AF50/Calc_오픈정렬!$F50*100)</f>
        <v>133.17524349809699</v>
      </c>
      <c r="AG50">
        <f>IF(OR(Calc_오픈정렬!$F50="",Calc_오픈정렬!AG50=""),"",Calc_오픈정렬!AG50/Calc_오픈정렬!$F50*100)</f>
        <v>141.97288747016063</v>
      </c>
      <c r="AH50">
        <f>IF(OR(Calc_오픈정렬!$F50="",Calc_오픈정렬!AH50=""),"",Calc_오픈정렬!AH50/Calc_오픈정렬!$F50*100)</f>
        <v>137.60824725598769</v>
      </c>
      <c r="AI50">
        <f>IF(OR(Calc_오픈정렬!$F50="",Calc_오픈정렬!AI50=""),"",Calc_오픈정렬!AI50/Calc_오픈정렬!$F50*100)</f>
        <v>148.75343710606711</v>
      </c>
      <c r="AJ50">
        <f>IF(OR(Calc_오픈정렬!$F50="",Calc_오픈정렬!AJ50=""),"",Calc_오픈정렬!AJ50/Calc_오픈정렬!$F50*100)</f>
        <v>139.63821592827694</v>
      </c>
      <c r="AK50">
        <f>IF(OR(Calc_오픈정렬!$F50="",Calc_오픈정렬!AK50=""),"",Calc_오픈정렬!AK50/Calc_오픈정렬!$F50*100)</f>
        <v>126.84200074421415</v>
      </c>
      <c r="AL50">
        <f>IF(OR(Calc_오픈정렬!$F50="",Calc_오픈정렬!AL50=""),"",Calc_오픈정렬!AL50/Calc_오픈정렬!$F50*100)</f>
        <v>134.49226997779235</v>
      </c>
      <c r="AM50">
        <f>IF(OR(Calc_오픈정렬!$F50="",Calc_오픈정렬!AM50=""),"",Calc_오픈정렬!AM50/Calc_오픈정렬!$F50*100)</f>
        <v>121.01281279428456</v>
      </c>
      <c r="AN50">
        <f>IF(OR(Calc_오픈정렬!$F50="",Calc_오픈정렬!AN50=""),"",Calc_오픈정렬!AN50/Calc_오픈정렬!$F50*100)</f>
        <v>118.63395219721393</v>
      </c>
      <c r="AO50">
        <f>IF(OR(Calc_오픈정렬!$F50="",Calc_오픈정렬!AO50=""),"",Calc_오픈정렬!AO50/Calc_오픈정렬!$F50*100)</f>
        <v>143.8973332508406</v>
      </c>
      <c r="AP50">
        <f>IF(OR(Calc_오픈정렬!$F50="",Calc_오픈정렬!AP50=""),"",Calc_오픈정렬!AP50/Calc_오픈정렬!$F50*100)</f>
        <v>144.00459233709765</v>
      </c>
      <c r="AQ50">
        <f>IF(OR(Calc_오픈정렬!$F50="",Calc_오픈정렬!AQ50=""),"",Calc_오픈정렬!AQ50/Calc_오픈정렬!$F50*100)</f>
        <v>156.27029346206578</v>
      </c>
      <c r="AR50">
        <f>IF(OR(Calc_오픈정렬!$F50="",Calc_오픈정렬!AR50=""),"",Calc_오픈정렬!AR50/Calc_오픈정렬!$F50*100)</f>
        <v>170.01812653559065</v>
      </c>
      <c r="AS50">
        <f>IF(OR(Calc_오픈정렬!$F50="",Calc_오픈정렬!AS50=""),"",Calc_오픈정렬!AS50/Calc_오픈정렬!$F50*100)</f>
        <v>160.62505908438359</v>
      </c>
      <c r="AT50">
        <f>IF(OR(Calc_오픈정렬!$F50="",Calc_오픈정렬!AT50=""),"",Calc_오픈정렬!AT50/Calc_오픈정렬!$F50*100)</f>
        <v>146.22950470786719</v>
      </c>
      <c r="AU50">
        <f>IF(OR(Calc_오픈정렬!$F50="",Calc_오픈정렬!AU50=""),"",Calc_오픈정렬!AU50/Calc_오픈정렬!$F50*100)</f>
        <v>157.28909942680735</v>
      </c>
      <c r="AV50">
        <f>IF(OR(Calc_오픈정렬!$F50="",Calc_오픈정렬!AV50=""),"",Calc_오픈정렬!AV50/Calc_오픈정렬!$F50*100)</f>
        <v>165.60870415740857</v>
      </c>
      <c r="AW50">
        <f>IF(OR(Calc_오픈정렬!$F50="",Calc_오픈정렬!AW50=""),"",Calc_오픈정렬!AW50/Calc_오픈정렬!$F50*100)</f>
        <v>158.22798210449005</v>
      </c>
      <c r="AX50">
        <f>IF(OR(Calc_오픈정렬!$F50="",Calc_오픈정렬!AX50=""),"",Calc_오픈정렬!AX50/Calc_오픈정렬!$F50*100)</f>
        <v>149.39495537552787</v>
      </c>
      <c r="AY50">
        <f>IF(OR(Calc_오픈정렬!$F50="",Calc_오픈정렬!AY50=""),"",Calc_오픈정렬!AY50/Calc_오픈정렬!$F50*100)</f>
        <v>147.21682944355055</v>
      </c>
      <c r="AZ50">
        <f>IF(OR(Calc_오픈정렬!$F50="",Calc_오픈정렬!AZ50=""),"",Calc_오픈정렬!AZ50/Calc_오픈정렬!$F50*100)</f>
        <v>151.45367684869419</v>
      </c>
      <c r="BA50">
        <f>IF(OR(Calc_오픈정렬!$F50="",Calc_오픈정렬!BA50=""),"",Calc_오픈정렬!BA50/Calc_오픈정렬!$F50*100)</f>
        <v>160.72333753408373</v>
      </c>
      <c r="BB50">
        <f>IF(OR(Calc_오픈정렬!$F50="",Calc_오픈정렬!BB50=""),"",Calc_오픈정렬!BB50/Calc_오픈정렬!$F50*100)</f>
        <v>159.84877425166459</v>
      </c>
      <c r="BC50">
        <f>IF(OR(Calc_오픈정렬!$F50="",Calc_오픈정렬!BC50=""),"",Calc_오픈정렬!BC50/Calc_오픈정렬!$F50*100)</f>
        <v>152.64222492625996</v>
      </c>
      <c r="BD50">
        <f>IF(OR(Calc_오픈정렬!$F50="",Calc_오픈정렬!BD50=""),"",Calc_오픈정렬!BD50/Calc_오픈정렬!$F50*100)</f>
        <v>174.32503581916393</v>
      </c>
      <c r="BE50" t="str">
        <f>IF(OR(Calc_오픈정렬!$F50="",Calc_오픈정렬!BE50=""),"",Calc_오픈정렬!BE50/Calc_오픈정렬!$F50*100)</f>
        <v/>
      </c>
      <c r="BF50" t="str">
        <f>IF(OR(Calc_오픈정렬!$F50="",Calc_오픈정렬!BF50=""),"",Calc_오픈정렬!BF50/Calc_오픈정렬!$F50*100)</f>
        <v/>
      </c>
      <c r="BG50" t="str">
        <f>IF(OR(Calc_오픈정렬!$F50="",Calc_오픈정렬!BG50=""),"",Calc_오픈정렬!BG50/Calc_오픈정렬!$F50*100)</f>
        <v/>
      </c>
      <c r="BH50" t="str">
        <f>IF(OR(Calc_오픈정렬!$F50="",Calc_오픈정렬!BH50=""),"",Calc_오픈정렬!BH50/Calc_오픈정렬!$F50*100)</f>
        <v/>
      </c>
      <c r="BI50" t="str">
        <f>IF(OR(Calc_오픈정렬!$F50="",Calc_오픈정렬!BI50=""),"",Calc_오픈정렬!BI50/Calc_오픈정렬!$F50*100)</f>
        <v/>
      </c>
      <c r="BJ50" t="str">
        <f>IF(OR(Calc_오픈정렬!$F50="",Calc_오픈정렬!BJ50=""),"",Calc_오픈정렬!BJ50/Calc_오픈정렬!$F50*100)</f>
        <v/>
      </c>
      <c r="BK50" t="str">
        <f>IF(OR(Calc_오픈정렬!$F50="",Calc_오픈정렬!BK50=""),"",Calc_오픈정렬!BK50/Calc_오픈정렬!$F50*100)</f>
        <v/>
      </c>
      <c r="BL50" t="str">
        <f>IF(OR(Calc_오픈정렬!$F50="",Calc_오픈정렬!BL50=""),"",Calc_오픈정렬!BL50/Calc_오픈정렬!$F50*100)</f>
        <v/>
      </c>
      <c r="BM50" t="str">
        <f>IF(OR(Calc_오픈정렬!$F50="",Calc_오픈정렬!BM50=""),"",Calc_오픈정렬!BM50/Calc_오픈정렬!$F50*100)</f>
        <v/>
      </c>
      <c r="BN50" t="str">
        <f>IF(OR(Calc_오픈정렬!$F50="",Calc_오픈정렬!BN50=""),"",Calc_오픈정렬!BN50/Calc_오픈정렬!$F50*100)</f>
        <v/>
      </c>
    </row>
    <row r="51" spans="1:66" x14ac:dyDescent="0.4">
      <c r="A51" t="str">
        <f>Calc_오픈정렬!A51</f>
        <v>(1040) #독산역점</v>
      </c>
      <c r="B51" t="str">
        <f>Calc_오픈정렬!B51</f>
        <v>150-1</v>
      </c>
      <c r="C51">
        <f>Calc_오픈정렬!C51</f>
        <v>1</v>
      </c>
      <c r="D51" t="str">
        <f>Calc_오픈정렬!D51</f>
        <v>1</v>
      </c>
      <c r="E51" s="1">
        <f>Calc_오픈정렬!E51</f>
        <v>44652</v>
      </c>
      <c r="F51">
        <f>Calc_오픈정렬!F51</f>
        <v>4543607.7917041583</v>
      </c>
      <c r="G51">
        <f>IF(OR(Calc_오픈정렬!$F51="",Calc_오픈정렬!G51=""),"",Calc_오픈정렬!G51/Calc_오픈정렬!$F51*100)</f>
        <v>71.258174616380217</v>
      </c>
      <c r="H51">
        <f>IF(OR(Calc_오픈정렬!$F51="",Calc_오픈정렬!H51=""),"",Calc_오픈정렬!H51/Calc_오픈정렬!$F51*100)</f>
        <v>75.582644149437215</v>
      </c>
      <c r="I51">
        <f>IF(OR(Calc_오픈정렬!$F51="",Calc_오픈정렬!I51=""),"",Calc_오픈정렬!I51/Calc_오픈정렬!$F51*100)</f>
        <v>98.123542227406091</v>
      </c>
      <c r="J51">
        <f>IF(OR(Calc_오픈정렬!$F51="",Calc_오픈정렬!J51=""),"",Calc_오픈정렬!J51/Calc_오픈정렬!$F51*100)</f>
        <v>99.596583014442274</v>
      </c>
      <c r="K51">
        <f>IF(OR(Calc_오픈정렬!$F51="",Calc_오픈정렬!K51=""),"",Calc_오픈정렬!K51/Calc_오픈정렬!$F51*100)</f>
        <v>99.039488219890373</v>
      </c>
      <c r="L51">
        <f>IF(OR(Calc_오픈정렬!$F51="",Calc_오픈정렬!L51=""),"",Calc_오픈정렬!L51/Calc_오픈정렬!$F51*100)</f>
        <v>98.335477951785052</v>
      </c>
      <c r="M51">
        <f>IF(OR(Calc_오픈정렬!$F51="",Calc_오픈정렬!M51=""),"",Calc_오픈정렬!M51/Calc_오픈정렬!$F51*100)</f>
        <v>98.245226186436852</v>
      </c>
      <c r="N51">
        <f>IF(OR(Calc_오픈정렬!$F51="",Calc_오픈정렬!N51=""),"",Calc_오픈정렬!N51/Calc_오픈정렬!$F51*100)</f>
        <v>104.14410991377368</v>
      </c>
      <c r="O51">
        <f>IF(OR(Calc_오픈정렬!$F51="",Calc_오픈정렬!O51=""),"",Calc_오픈정렬!O51/Calc_오픈정렬!$F51*100)</f>
        <v>100.63911471367174</v>
      </c>
      <c r="P51">
        <f>IF(OR(Calc_오픈정렬!$F51="",Calc_오픈정렬!P51=""),"",Calc_오픈정렬!P51/Calc_오픈정렬!$F51*100)</f>
        <v>121.16602078820604</v>
      </c>
      <c r="Q51">
        <f>IF(OR(Calc_오픈정렬!$F51="",Calc_오픈정렬!Q51=""),"",Calc_오픈정렬!Q51/Calc_오픈정렬!$F51*100)</f>
        <v>112.26710411819599</v>
      </c>
      <c r="R51">
        <f>IF(OR(Calc_오픈정렬!$F51="",Calc_오픈정렬!R51=""),"",Calc_오픈정렬!R51/Calc_오픈정렬!$F51*100)</f>
        <v>110.82430686827706</v>
      </c>
      <c r="S51">
        <f>IF(OR(Calc_오픈정렬!$F51="",Calc_오픈정렬!S51=""),"",Calc_오픈정렬!S51/Calc_오픈정렬!$F51*100)</f>
        <v>123.9686106726587</v>
      </c>
      <c r="T51">
        <f>IF(OR(Calc_오픈정렬!$F51="",Calc_오픈정렬!T51=""),"",Calc_오픈정렬!T51/Calc_오픈정렬!$F51*100)</f>
        <v>121.81821165168836</v>
      </c>
      <c r="U51">
        <f>IF(OR(Calc_오픈정렬!$F51="",Calc_오픈정렬!U51=""),"",Calc_오픈정렬!U51/Calc_오픈정렬!$F51*100)</f>
        <v>111.74199784260092</v>
      </c>
      <c r="V51">
        <f>IF(OR(Calc_오픈정렬!$F51="",Calc_오픈정렬!V51=""),"",Calc_오픈정렬!V51/Calc_오픈정렬!$F51*100)</f>
        <v>116.70061938392691</v>
      </c>
      <c r="W51">
        <f>IF(OR(Calc_오픈정렬!$F51="",Calc_오픈정렬!W51=""),"",Calc_오픈정렬!W51/Calc_오픈정렬!$F51*100)</f>
        <v>110.38416827295272</v>
      </c>
      <c r="X51">
        <f>IF(OR(Calc_오픈정렬!$F51="",Calc_오픈정렬!X51=""),"",Calc_오픈정렬!X51/Calc_오픈정렬!$F51*100)</f>
        <v>125.07564982258152</v>
      </c>
      <c r="Y51">
        <f>IF(OR(Calc_오픈정렬!$F51="",Calc_오픈정렬!Y51=""),"",Calc_오픈정렬!Y51/Calc_오픈정렬!$F51*100)</f>
        <v>126.34374167120812</v>
      </c>
      <c r="Z51">
        <f>IF(OR(Calc_오픈정렬!$F51="",Calc_오픈정렬!Z51=""),"",Calc_오픈정렬!Z51/Calc_오픈정렬!$F51*100)</f>
        <v>131.70482914651143</v>
      </c>
      <c r="AA51">
        <f>IF(OR(Calc_오픈정렬!$F51="",Calc_오픈정렬!AA51=""),"",Calc_오픈정렬!AA51/Calc_오픈정렬!$F51*100)</f>
        <v>133.03873285924823</v>
      </c>
      <c r="AB51">
        <f>IF(OR(Calc_오픈정렬!$F51="",Calc_오픈정렬!AB51=""),"",Calc_오픈정렬!AB51/Calc_오픈정렬!$F51*100)</f>
        <v>155.58693844071433</v>
      </c>
      <c r="AC51">
        <f>IF(OR(Calc_오픈정렬!$F51="",Calc_오픈정렬!AC51=""),"",Calc_오픈정렬!AC51/Calc_오픈정렬!$F51*100)</f>
        <v>144.63721311534567</v>
      </c>
      <c r="AD51">
        <f>IF(OR(Calc_오픈정렬!$F51="",Calc_오픈정렬!AD51=""),"",Calc_오픈정렬!AD51/Calc_오픈정렬!$F51*100)</f>
        <v>148.77342150443678</v>
      </c>
      <c r="AE51">
        <f>IF(OR(Calc_오픈정렬!$F51="",Calc_오픈정렬!AE51=""),"",Calc_오픈정렬!AE51/Calc_오픈정렬!$F51*100)</f>
        <v>149.32726749330243</v>
      </c>
      <c r="AF51">
        <f>IF(OR(Calc_오픈정렬!$F51="",Calc_오픈정렬!AF51=""),"",Calc_오픈정렬!AF51/Calc_오픈정렬!$F51*100)</f>
        <v>129.47216351992023</v>
      </c>
      <c r="AG51">
        <f>IF(OR(Calc_오픈정렬!$F51="",Calc_오픈정렬!AG51=""),"",Calc_오픈정렬!AG51/Calc_오픈정렬!$F51*100)</f>
        <v>149.94347885650731</v>
      </c>
      <c r="AH51">
        <f>IF(OR(Calc_오픈정렬!$F51="",Calc_오픈정렬!AH51=""),"",Calc_오픈정렬!AH51/Calc_오픈정렬!$F51*100)</f>
        <v>146.979284185474</v>
      </c>
      <c r="AI51">
        <f>IF(OR(Calc_오픈정렬!$F51="",Calc_오픈정렬!AI51=""),"",Calc_오픈정렬!AI51/Calc_오픈정렬!$F51*100)</f>
        <v>139.50009551864204</v>
      </c>
      <c r="AJ51">
        <f>IF(OR(Calc_오픈정렬!$F51="",Calc_오픈정렬!AJ51=""),"",Calc_오픈정렬!AJ51/Calc_오픈정렬!$F51*100)</f>
        <v>137.64504954262404</v>
      </c>
      <c r="AK51">
        <f>IF(OR(Calc_오픈정렬!$F51="",Calc_오픈정렬!AK51=""),"",Calc_오픈정렬!AK51/Calc_오픈정렬!$F51*100)</f>
        <v>133.84407925873199</v>
      </c>
      <c r="AL51">
        <f>IF(OR(Calc_오픈정렬!$F51="",Calc_오픈정렬!AL51=""),"",Calc_오픈정렬!AL51/Calc_오픈정렬!$F51*100)</f>
        <v>127.70923831837737</v>
      </c>
      <c r="AM51">
        <f>IF(OR(Calc_오픈정렬!$F51="",Calc_오픈정렬!AM51=""),"",Calc_오픈정렬!AM51/Calc_오픈정렬!$F51*100)</f>
        <v>132.74480274643369</v>
      </c>
      <c r="AN51">
        <f>IF(OR(Calc_오픈정렬!$F51="",Calc_오픈정렬!AN51=""),"",Calc_오픈정렬!AN51/Calc_오픈정렬!$F51*100)</f>
        <v>156.69378877129083</v>
      </c>
      <c r="AO51">
        <f>IF(OR(Calc_오픈정렬!$F51="",Calc_오픈정렬!AO51=""),"",Calc_오픈정렬!AO51/Calc_오픈정렬!$F51*100)</f>
        <v>131.23174536717949</v>
      </c>
      <c r="AP51">
        <f>IF(OR(Calc_오픈정렬!$F51="",Calc_오픈정렬!AP51=""),"",Calc_오픈정렬!AP51/Calc_오픈정렬!$F51*100)</f>
        <v>157.55103276209712</v>
      </c>
      <c r="AQ51">
        <f>IF(OR(Calc_오픈정렬!$F51="",Calc_오픈정렬!AQ51=""),"",Calc_오픈정렬!AQ51/Calc_오픈정렬!$F51*100)</f>
        <v>154.73462981588187</v>
      </c>
      <c r="AR51">
        <f>IF(OR(Calc_오픈정렬!$F51="",Calc_오픈정렬!AR51=""),"",Calc_오픈정렬!AR51/Calc_오픈정렬!$F51*100)</f>
        <v>151.59933878552087</v>
      </c>
      <c r="AS51">
        <f>IF(OR(Calc_오픈정렬!$F51="",Calc_오픈정렬!AS51=""),"",Calc_오픈정렬!AS51/Calc_오픈정렬!$F51*100)</f>
        <v>144.95068751091773</v>
      </c>
      <c r="AT51">
        <f>IF(OR(Calc_오픈정렬!$F51="",Calc_오픈정렬!AT51=""),"",Calc_오픈정렬!AT51/Calc_오픈정렬!$F51*100)</f>
        <v>137.61295828273518</v>
      </c>
      <c r="AU51">
        <f>IF(OR(Calc_오픈정렬!$F51="",Calc_오픈정렬!AU51=""),"",Calc_오픈정렬!AU51/Calc_오픈정렬!$F51*100)</f>
        <v>148.98562838430141</v>
      </c>
      <c r="AV51">
        <f>IF(OR(Calc_오픈정렬!$F51="",Calc_오픈정렬!AV51=""),"",Calc_오픈정렬!AV51/Calc_오픈정렬!$F51*100)</f>
        <v>125.62431496836817</v>
      </c>
      <c r="AW51">
        <f>IF(OR(Calc_오픈정렬!$F51="",Calc_오픈정렬!AW51=""),"",Calc_오픈정렬!AW51/Calc_오픈정렬!$F51*100)</f>
        <v>139.52288180957822</v>
      </c>
      <c r="AX51">
        <f>IF(OR(Calc_오픈정렬!$F51="",Calc_오픈정렬!AX51=""),"",Calc_오픈정렬!AX51/Calc_오픈정렬!$F51*100)</f>
        <v>152.02820392170736</v>
      </c>
      <c r="AY51">
        <f>IF(OR(Calc_오픈정렬!$F51="",Calc_오픈정렬!AY51=""),"",Calc_오픈정렬!AY51/Calc_오픈정렬!$F51*100)</f>
        <v>134.22212105257981</v>
      </c>
      <c r="AZ51">
        <f>IF(OR(Calc_오픈정렬!$F51="",Calc_오픈정렬!AZ51=""),"",Calc_오픈정렬!AZ51/Calc_오픈정렬!$F51*100)</f>
        <v>159.14177033465623</v>
      </c>
      <c r="BA51">
        <f>IF(OR(Calc_오픈정렬!$F51="",Calc_오픈정렬!BA51=""),"",Calc_오픈정렬!BA51/Calc_오픈정렬!$F51*100)</f>
        <v>164.86278667224121</v>
      </c>
      <c r="BB51">
        <f>IF(OR(Calc_오픈정렬!$F51="",Calc_오픈정렬!BB51=""),"",Calc_오픈정렬!BB51/Calc_오픈정렬!$F51*100)</f>
        <v>153.56199190257516</v>
      </c>
      <c r="BC51">
        <f>IF(OR(Calc_오픈정렬!$F51="",Calc_오픈정렬!BC51=""),"",Calc_오픈정렬!BC51/Calc_오픈정렬!$F51*100)</f>
        <v>160.63234723540958</v>
      </c>
      <c r="BD51">
        <f>IF(OR(Calc_오픈정렬!$F51="",Calc_오픈정렬!BD51=""),"",Calc_오픈정렬!BD51/Calc_오픈정렬!$F51*100)</f>
        <v>167.73189667082008</v>
      </c>
      <c r="BE51" t="str">
        <f>IF(OR(Calc_오픈정렬!$F51="",Calc_오픈정렬!BE51=""),"",Calc_오픈정렬!BE51/Calc_오픈정렬!$F51*100)</f>
        <v/>
      </c>
      <c r="BF51" t="str">
        <f>IF(OR(Calc_오픈정렬!$F51="",Calc_오픈정렬!BF51=""),"",Calc_오픈정렬!BF51/Calc_오픈정렬!$F51*100)</f>
        <v/>
      </c>
      <c r="BG51" t="str">
        <f>IF(OR(Calc_오픈정렬!$F51="",Calc_오픈정렬!BG51=""),"",Calc_오픈정렬!BG51/Calc_오픈정렬!$F51*100)</f>
        <v/>
      </c>
      <c r="BH51" t="str">
        <f>IF(OR(Calc_오픈정렬!$F51="",Calc_오픈정렬!BH51=""),"",Calc_오픈정렬!BH51/Calc_오픈정렬!$F51*100)</f>
        <v/>
      </c>
      <c r="BI51" t="str">
        <f>IF(OR(Calc_오픈정렬!$F51="",Calc_오픈정렬!BI51=""),"",Calc_오픈정렬!BI51/Calc_오픈정렬!$F51*100)</f>
        <v/>
      </c>
      <c r="BJ51" t="str">
        <f>IF(OR(Calc_오픈정렬!$F51="",Calc_오픈정렬!BJ51=""),"",Calc_오픈정렬!BJ51/Calc_오픈정렬!$F51*100)</f>
        <v/>
      </c>
      <c r="BK51" t="str">
        <f>IF(OR(Calc_오픈정렬!$F51="",Calc_오픈정렬!BK51=""),"",Calc_오픈정렬!BK51/Calc_오픈정렬!$F51*100)</f>
        <v/>
      </c>
      <c r="BL51" t="str">
        <f>IF(OR(Calc_오픈정렬!$F51="",Calc_오픈정렬!BL51=""),"",Calc_오픈정렬!BL51/Calc_오픈정렬!$F51*100)</f>
        <v/>
      </c>
      <c r="BM51" t="str">
        <f>IF(OR(Calc_오픈정렬!$F51="",Calc_오픈정렬!BM51=""),"",Calc_오픈정렬!BM51/Calc_오픈정렬!$F51*100)</f>
        <v/>
      </c>
      <c r="BN51" t="str">
        <f>IF(OR(Calc_오픈정렬!$F51="",Calc_오픈정렬!BN51=""),"",Calc_오픈정렬!BN51/Calc_오픈정렬!$F51*100)</f>
        <v/>
      </c>
    </row>
    <row r="52" spans="1:66" x14ac:dyDescent="0.4">
      <c r="A52" t="str">
        <f>Calc_오픈정렬!A52</f>
        <v>(1041) #인하대점</v>
      </c>
      <c r="B52" t="str">
        <f>Calc_오픈정렬!B52</f>
        <v>150-3</v>
      </c>
      <c r="C52">
        <f>Calc_오픈정렬!C52</f>
        <v>3</v>
      </c>
      <c r="D52" t="str">
        <f>Calc_오픈정렬!D52</f>
        <v>3+</v>
      </c>
      <c r="E52" s="1">
        <f>Calc_오픈정렬!E52</f>
        <v>44682</v>
      </c>
      <c r="F52">
        <f>Calc_오픈정렬!F52</f>
        <v>7489387.5084916456</v>
      </c>
      <c r="G52">
        <f>IF(OR(Calc_오픈정렬!$F52="",Calc_오픈정렬!G52=""),"",Calc_오픈정렬!G52/Calc_오픈정렬!$F52*100)</f>
        <v>77.443120005321447</v>
      </c>
      <c r="H52">
        <f>IF(OR(Calc_오픈정렬!$F52="",Calc_오픈정렬!H52=""),"",Calc_오픈정렬!H52/Calc_오픈정렬!$F52*100)</f>
        <v>96.980446100947347</v>
      </c>
      <c r="I52">
        <f>IF(OR(Calc_오픈정렬!$F52="",Calc_오픈정렬!I52=""),"",Calc_오픈정렬!I52/Calc_오픈정렬!$F52*100)</f>
        <v>96.233448868963293</v>
      </c>
      <c r="J52">
        <f>IF(OR(Calc_오픈정렬!$F52="",Calc_오픈정렬!J52=""),"",Calc_오픈정렬!J52/Calc_오픈정렬!$F52*100)</f>
        <v>113.94085186961789</v>
      </c>
      <c r="K52">
        <f>IF(OR(Calc_오픈정렬!$F52="",Calc_오픈정렬!K52=""),"",Calc_오픈정렬!K52/Calc_오픈정렬!$F52*100)</f>
        <v>115.11416208062842</v>
      </c>
      <c r="L52">
        <f>IF(OR(Calc_오픈정렬!$F52="",Calc_오픈정렬!L52=""),"",Calc_오픈정렬!L52/Calc_오픈정렬!$F52*100)</f>
        <v>97.258682092246403</v>
      </c>
      <c r="M52">
        <f>IF(OR(Calc_오픈정렬!$F52="",Calc_오픈정렬!M52=""),"",Calc_오픈정렬!M52/Calc_오픈정렬!$F52*100)</f>
        <v>94.884317308250843</v>
      </c>
      <c r="N52">
        <f>IF(OR(Calc_오픈정렬!$F52="",Calc_오픈정렬!N52=""),"",Calc_오픈정렬!N52/Calc_오픈정렬!$F52*100)</f>
        <v>91.93140811734483</v>
      </c>
      <c r="O52">
        <f>IF(OR(Calc_오픈정렬!$F52="",Calc_오픈정렬!O52=""),"",Calc_오픈정렬!O52/Calc_오픈정렬!$F52*100)</f>
        <v>86.870578531911576</v>
      </c>
      <c r="P52">
        <f>IF(OR(Calc_오픈정렬!$F52="",Calc_오픈정렬!P52=""),"",Calc_오픈정렬!P52/Calc_오픈정렬!$F52*100)</f>
        <v>93.708839462184969</v>
      </c>
      <c r="Q52">
        <f>IF(OR(Calc_오픈정렬!$F52="",Calc_오픈정렬!Q52=""),"",Calc_오픈정렬!Q52/Calc_오픈정렬!$F52*100)</f>
        <v>98.883448003925864</v>
      </c>
      <c r="R52">
        <f>IF(OR(Calc_오픈정렬!$F52="",Calc_오픈정렬!R52=""),"",Calc_오픈정렬!R52/Calc_오픈정렬!$F52*100)</f>
        <v>101.11172850723472</v>
      </c>
      <c r="S52">
        <f>IF(OR(Calc_오픈정렬!$F52="",Calc_오픈정렬!S52=""),"",Calc_오픈정렬!S52/Calc_오픈정렬!$F52*100)</f>
        <v>102.56306122675529</v>
      </c>
      <c r="T52">
        <f>IF(OR(Calc_오픈정렬!$F52="",Calc_오픈정렬!T52=""),"",Calc_오픈정렬!T52/Calc_오픈정렬!$F52*100)</f>
        <v>102.01425801764645</v>
      </c>
      <c r="U52">
        <f>IF(OR(Calc_오픈정렬!$F52="",Calc_오픈정렬!U52=""),"",Calc_오픈정렬!U52/Calc_오픈정렬!$F52*100)</f>
        <v>102.28463160386106</v>
      </c>
      <c r="V52">
        <f>IF(OR(Calc_오픈정렬!$F52="",Calc_오픈정렬!V52=""),"",Calc_오픈정렬!V52/Calc_오픈정렬!$F52*100)</f>
        <v>109.73022185909389</v>
      </c>
      <c r="W52">
        <f>IF(OR(Calc_오픈정렬!$F52="",Calc_오픈정렬!W52=""),"",Calc_오픈정렬!W52/Calc_오픈정렬!$F52*100)</f>
        <v>98.06841115715072</v>
      </c>
      <c r="X52">
        <f>IF(OR(Calc_오픈정렬!$F52="",Calc_오픈정렬!X52=""),"",Calc_오픈정렬!X52/Calc_오픈정렬!$F52*100)</f>
        <v>102.21171331328623</v>
      </c>
      <c r="Y52">
        <f>IF(OR(Calc_오픈정렬!$F52="",Calc_오픈정렬!Y52=""),"",Calc_오픈정렬!Y52/Calc_오픈정렬!$F52*100)</f>
        <v>97.893016482477464</v>
      </c>
      <c r="Z52">
        <f>IF(OR(Calc_오픈정렬!$F52="",Calc_오픈정렬!Z52=""),"",Calc_오픈정렬!Z52/Calc_오픈정렬!$F52*100)</f>
        <v>102.29719286563832</v>
      </c>
      <c r="AA52">
        <f>IF(OR(Calc_오픈정렬!$F52="",Calc_오픈정렬!AA52=""),"",Calc_오픈정렬!AA52/Calc_오픈정렬!$F52*100)</f>
        <v>101.87289642510518</v>
      </c>
      <c r="AB52">
        <f>IF(OR(Calc_오픈정렬!$F52="",Calc_오픈정렬!AB52=""),"",Calc_오픈정렬!AB52/Calc_오픈정렬!$F52*100)</f>
        <v>95.096531852834516</v>
      </c>
      <c r="AC52">
        <f>IF(OR(Calc_오픈정렬!$F52="",Calc_오픈정렬!AC52=""),"",Calc_오픈정렬!AC52/Calc_오픈정렬!$F52*100)</f>
        <v>105.4172333555464</v>
      </c>
      <c r="AD52">
        <f>IF(OR(Calc_오픈정렬!$F52="",Calc_오픈정렬!AD52=""),"",Calc_오픈정렬!AD52/Calc_오픈정렬!$F52*100)</f>
        <v>111.16119049404358</v>
      </c>
      <c r="AE52">
        <f>IF(OR(Calc_오픈정렬!$F52="",Calc_오픈정렬!AE52=""),"",Calc_오픈정렬!AE52/Calc_오픈정렬!$F52*100)</f>
        <v>114.57242827289002</v>
      </c>
      <c r="AF52">
        <f>IF(OR(Calc_오픈정렬!$F52="",Calc_오픈정렬!AF52=""),"",Calc_오픈정렬!AF52/Calc_오픈정렬!$F52*100)</f>
        <v>113.52772253834426</v>
      </c>
      <c r="AG52">
        <f>IF(OR(Calc_오픈정렬!$F52="",Calc_오픈정렬!AG52=""),"",Calc_오픈정렬!AG52/Calc_오픈정렬!$F52*100)</f>
        <v>117.13451975725056</v>
      </c>
      <c r="AH52">
        <f>IF(OR(Calc_오픈정렬!$F52="",Calc_오픈정렬!AH52=""),"",Calc_오픈정렬!AH52/Calc_오픈정렬!$F52*100)</f>
        <v>111.34617215834719</v>
      </c>
      <c r="AI52">
        <f>IF(OR(Calc_오픈정렬!$F52="",Calc_오픈정렬!AI52=""),"",Calc_오픈정렬!AI52/Calc_오픈정렬!$F52*100)</f>
        <v>119.87635708514559</v>
      </c>
      <c r="AJ52">
        <f>IF(OR(Calc_오픈정렬!$F52="",Calc_오픈정렬!AJ52=""),"",Calc_오픈정렬!AJ52/Calc_오픈정렬!$F52*100)</f>
        <v>107.50203117531103</v>
      </c>
      <c r="AK52">
        <f>IF(OR(Calc_오픈정렬!$F52="",Calc_오픈정렬!AK52=""),"",Calc_오픈정렬!AK52/Calc_오픈정렬!$F52*100)</f>
        <v>121.75356556026362</v>
      </c>
      <c r="AL52">
        <f>IF(OR(Calc_오픈정렬!$F52="",Calc_오픈정렬!AL52=""),"",Calc_오픈정렬!AL52/Calc_오픈정렬!$F52*100)</f>
        <v>105.42295119350193</v>
      </c>
      <c r="AM52">
        <f>IF(OR(Calc_오픈정렬!$F52="",Calc_오픈정렬!AM52=""),"",Calc_오픈정렬!AM52/Calc_오픈정렬!$F52*100)</f>
        <v>97.817224839782497</v>
      </c>
      <c r="AN52">
        <f>IF(OR(Calc_오픈정렬!$F52="",Calc_오픈정렬!AN52=""),"",Calc_오픈정렬!AN52/Calc_오픈정렬!$F52*100)</f>
        <v>101.70866431695691</v>
      </c>
      <c r="AO52">
        <f>IF(OR(Calc_오픈정렬!$F52="",Calc_오픈정렬!AO52=""),"",Calc_오픈정렬!AO52/Calc_오픈정렬!$F52*100)</f>
        <v>115.31890680323882</v>
      </c>
      <c r="AP52">
        <f>IF(OR(Calc_오픈정렬!$F52="",Calc_오픈정렬!AP52=""),"",Calc_오픈정렬!AP52/Calc_오픈정렬!$F52*100)</f>
        <v>108.88785082113613</v>
      </c>
      <c r="AQ52">
        <f>IF(OR(Calc_오픈정렬!$F52="",Calc_오픈정렬!AQ52=""),"",Calc_오픈정렬!AQ52/Calc_오픈정렬!$F52*100)</f>
        <v>100.02990466611128</v>
      </c>
      <c r="AR52">
        <f>IF(OR(Calc_오픈정렬!$F52="",Calc_오픈정렬!AR52=""),"",Calc_오픈정렬!AR52/Calc_오픈정렬!$F52*100)</f>
        <v>93.86013223671219</v>
      </c>
      <c r="AS52">
        <f>IF(OR(Calc_오픈정렬!$F52="",Calc_오픈정렬!AS52=""),"",Calc_오픈정렬!AS52/Calc_오픈정렬!$F52*100)</f>
        <v>85.177029824677078</v>
      </c>
      <c r="AT52">
        <f>IF(OR(Calc_오픈정렬!$F52="",Calc_오픈정렬!AT52=""),"",Calc_오픈정렬!AT52/Calc_오픈정렬!$F52*100)</f>
        <v>87.929940129653104</v>
      </c>
      <c r="AU52">
        <f>IF(OR(Calc_오픈정렬!$F52="",Calc_오픈정렬!AU52=""),"",Calc_오픈정렬!AU52/Calc_오픈정렬!$F52*100)</f>
        <v>80.642591464060246</v>
      </c>
      <c r="AV52">
        <f>IF(OR(Calc_오픈정렬!$F52="",Calc_오픈정렬!AV52=""),"",Calc_오픈정렬!AV52/Calc_오픈정렬!$F52*100)</f>
        <v>73.184270546324797</v>
      </c>
      <c r="AW52">
        <f>IF(OR(Calc_오픈정렬!$F52="",Calc_오픈정렬!AW52=""),"",Calc_오픈정렬!AW52/Calc_오픈정렬!$F52*100)</f>
        <v>68.612704953590878</v>
      </c>
      <c r="AX52">
        <f>IF(OR(Calc_오픈정렬!$F52="",Calc_오픈정렬!AX52=""),"",Calc_오픈정렬!AX52/Calc_오픈정렬!$F52*100)</f>
        <v>62.273530837011727</v>
      </c>
      <c r="AY52">
        <f>IF(OR(Calc_오픈정렬!$F52="",Calc_오픈정렬!AY52=""),"",Calc_오픈정렬!AY52/Calc_오픈정렬!$F52*100)</f>
        <v>56.936348617529951</v>
      </c>
      <c r="AZ52">
        <f>IF(OR(Calc_오픈정렬!$F52="",Calc_오픈정렬!AZ52=""),"",Calc_오픈정렬!AZ52/Calc_오픈정렬!$F52*100)</f>
        <v>66.336765468995992</v>
      </c>
      <c r="BA52">
        <f>IF(OR(Calc_오픈정렬!$F52="",Calc_오픈정렬!BA52=""),"",Calc_오픈정렬!BA52/Calc_오픈정렬!$F52*100)</f>
        <v>76.49544280225328</v>
      </c>
      <c r="BB52">
        <f>IF(OR(Calc_오픈정렬!$F52="",Calc_오픈정렬!BB52=""),"",Calc_오픈정렬!BB52/Calc_오픈정렬!$F52*100)</f>
        <v>69.531263081525523</v>
      </c>
      <c r="BC52">
        <f>IF(OR(Calc_오픈정렬!$F52="",Calc_오픈정렬!BC52=""),"",Calc_오픈정렬!BC52/Calc_오픈정렬!$F52*100)</f>
        <v>78.383391224930179</v>
      </c>
      <c r="BD52" t="str">
        <f>IF(OR(Calc_오픈정렬!$F52="",Calc_오픈정렬!BD52=""),"",Calc_오픈정렬!BD52/Calc_오픈정렬!$F52*100)</f>
        <v/>
      </c>
      <c r="BE52" t="str">
        <f>IF(OR(Calc_오픈정렬!$F52="",Calc_오픈정렬!BE52=""),"",Calc_오픈정렬!BE52/Calc_오픈정렬!$F52*100)</f>
        <v/>
      </c>
      <c r="BF52" t="str">
        <f>IF(OR(Calc_오픈정렬!$F52="",Calc_오픈정렬!BF52=""),"",Calc_오픈정렬!BF52/Calc_오픈정렬!$F52*100)</f>
        <v/>
      </c>
      <c r="BG52" t="str">
        <f>IF(OR(Calc_오픈정렬!$F52="",Calc_오픈정렬!BG52=""),"",Calc_오픈정렬!BG52/Calc_오픈정렬!$F52*100)</f>
        <v/>
      </c>
      <c r="BH52" t="str">
        <f>IF(OR(Calc_오픈정렬!$F52="",Calc_오픈정렬!BH52=""),"",Calc_오픈정렬!BH52/Calc_오픈정렬!$F52*100)</f>
        <v/>
      </c>
      <c r="BI52" t="str">
        <f>IF(OR(Calc_오픈정렬!$F52="",Calc_오픈정렬!BI52=""),"",Calc_오픈정렬!BI52/Calc_오픈정렬!$F52*100)</f>
        <v/>
      </c>
      <c r="BJ52" t="str">
        <f>IF(OR(Calc_오픈정렬!$F52="",Calc_오픈정렬!BJ52=""),"",Calc_오픈정렬!BJ52/Calc_오픈정렬!$F52*100)</f>
        <v/>
      </c>
      <c r="BK52" t="str">
        <f>IF(OR(Calc_오픈정렬!$F52="",Calc_오픈정렬!BK52=""),"",Calc_오픈정렬!BK52/Calc_오픈정렬!$F52*100)</f>
        <v/>
      </c>
      <c r="BL52" t="str">
        <f>IF(OR(Calc_오픈정렬!$F52="",Calc_오픈정렬!BL52=""),"",Calc_오픈정렬!BL52/Calc_오픈정렬!$F52*100)</f>
        <v/>
      </c>
      <c r="BM52" t="str">
        <f>IF(OR(Calc_오픈정렬!$F52="",Calc_오픈정렬!BM52=""),"",Calc_오픈정렬!BM52/Calc_오픈정렬!$F52*100)</f>
        <v/>
      </c>
      <c r="BN52" t="str">
        <f>IF(OR(Calc_오픈정렬!$F52="",Calc_오픈정렬!BN52=""),"",Calc_오픈정렬!BN52/Calc_오픈정렬!$F52*100)</f>
        <v/>
      </c>
    </row>
    <row r="53" spans="1:66" x14ac:dyDescent="0.4">
      <c r="A53" t="str">
        <f>Calc_오픈정렬!A53</f>
        <v>(1042) #연희점</v>
      </c>
      <c r="B53" t="str">
        <f>Calc_오픈정렬!B53</f>
        <v>150-1</v>
      </c>
      <c r="C53">
        <f>Calc_오픈정렬!C53</f>
        <v>1</v>
      </c>
      <c r="D53" t="str">
        <f>Calc_오픈정렬!D53</f>
        <v>1</v>
      </c>
      <c r="E53" s="1">
        <f>Calc_오픈정렬!E53</f>
        <v>44682</v>
      </c>
      <c r="F53">
        <f>Calc_오픈정렬!F53</f>
        <v>4987022.3279893976</v>
      </c>
      <c r="G53">
        <f>IF(OR(Calc_오픈정렬!$F53="",Calc_오픈정렬!G53=""),"",Calc_오픈정렬!G53/Calc_오픈정렬!$F53*100)</f>
        <v>65.78733596464896</v>
      </c>
      <c r="H53">
        <f>IF(OR(Calc_오픈정렬!$F53="",Calc_오픈정렬!H53=""),"",Calc_오픈정렬!H53/Calc_오픈정렬!$F53*100)</f>
        <v>81.975922972128345</v>
      </c>
      <c r="I53">
        <f>IF(OR(Calc_오픈정렬!$F53="",Calc_오픈정렬!I53=""),"",Calc_오픈정렬!I53/Calc_오픈정렬!$F53*100)</f>
        <v>92.474684756417389</v>
      </c>
      <c r="J53">
        <f>IF(OR(Calc_오픈정렬!$F53="",Calc_오픈정렬!J53=""),"",Calc_오픈정렬!J53/Calc_오픈정렬!$F53*100)</f>
        <v>101.91554079372152</v>
      </c>
      <c r="K53">
        <f>IF(OR(Calc_오픈정렬!$F53="",Calc_오픈정렬!K53=""),"",Calc_오픈정렬!K53/Calc_오픈정렬!$F53*100)</f>
        <v>102.14922268639579</v>
      </c>
      <c r="L53">
        <f>IF(OR(Calc_오픈정렬!$F53="",Calc_오픈정렬!L53=""),"",Calc_오픈정렬!L53/Calc_오픈정렬!$F53*100)</f>
        <v>104.16799137523682</v>
      </c>
      <c r="M53">
        <f>IF(OR(Calc_오픈정렬!$F53="",Calc_오픈정렬!M53=""),"",Calc_오픈정렬!M53/Calc_오픈정렬!$F53*100)</f>
        <v>96.338401459046764</v>
      </c>
      <c r="N53">
        <f>IF(OR(Calc_오픈정렬!$F53="",Calc_오픈정렬!N53=""),"",Calc_오픈정렬!N53/Calc_오픈정렬!$F53*100)</f>
        <v>92.360409347906227</v>
      </c>
      <c r="O53">
        <f>IF(OR(Calc_오픈정렬!$F53="",Calc_오픈정렬!O53=""),"",Calc_오픈정렬!O53/Calc_오픈정렬!$F53*100)</f>
        <v>103.06843433769284</v>
      </c>
      <c r="P53">
        <f>IF(OR(Calc_오픈정렬!$F53="",Calc_오픈정렬!P53=""),"",Calc_오픈정렬!P53/Calc_오픈정렬!$F53*100)</f>
        <v>111.18247488702571</v>
      </c>
      <c r="Q53">
        <f>IF(OR(Calc_오픈정렬!$F53="",Calc_오픈정렬!Q53=""),"",Calc_오픈정렬!Q53/Calc_오픈정렬!$F53*100)</f>
        <v>112.60904743209859</v>
      </c>
      <c r="R53">
        <f>IF(OR(Calc_오픈정렬!$F53="",Calc_오픈정렬!R53=""),"",Calc_오픈정렬!R53/Calc_오픈정렬!$F53*100)</f>
        <v>118.67081284748382</v>
      </c>
      <c r="S53">
        <f>IF(OR(Calc_오픈정렬!$F53="",Calc_오픈정렬!S53=""),"",Calc_오픈정렬!S53/Calc_오픈정렬!$F53*100)</f>
        <v>122.67174084026695</v>
      </c>
      <c r="T53">
        <f>IF(OR(Calc_오픈정렬!$F53="",Calc_오픈정렬!T53=""),"",Calc_오픈정렬!T53/Calc_오픈정렬!$F53*100)</f>
        <v>120.05005203193906</v>
      </c>
      <c r="U53">
        <f>IF(OR(Calc_오픈정렬!$F53="",Calc_오픈정렬!U53=""),"",Calc_오픈정렬!U53/Calc_오픈정렬!$F53*100)</f>
        <v>137.08589021303681</v>
      </c>
      <c r="V53">
        <f>IF(OR(Calc_오픈정렬!$F53="",Calc_오픈정렬!V53=""),"",Calc_오픈정렬!V53/Calc_오픈정렬!$F53*100)</f>
        <v>124.22161334503761</v>
      </c>
      <c r="W53">
        <f>IF(OR(Calc_오픈정렬!$F53="",Calc_오픈정렬!W53=""),"",Calc_오픈정렬!W53/Calc_오픈정렬!$F53*100)</f>
        <v>135.58379180977653</v>
      </c>
      <c r="X53">
        <f>IF(OR(Calc_오픈정렬!$F53="",Calc_오픈정렬!X53=""),"",Calc_오픈정렬!X53/Calc_오픈정렬!$F53*100)</f>
        <v>117.78563610286187</v>
      </c>
      <c r="Y53">
        <f>IF(OR(Calc_오픈정렬!$F53="",Calc_오픈정렬!Y53=""),"",Calc_오픈정렬!Y53/Calc_오픈정렬!$F53*100)</f>
        <v>115.13382713194851</v>
      </c>
      <c r="Z53">
        <f>IF(OR(Calc_오픈정렬!$F53="",Calc_오픈정렬!Z53=""),"",Calc_오픈정렬!Z53/Calc_오픈정렬!$F53*100)</f>
        <v>91.769318252468224</v>
      </c>
      <c r="AA53">
        <f>IF(OR(Calc_오픈정렬!$F53="",Calc_오픈정렬!AA53=""),"",Calc_오픈정렬!AA53/Calc_오픈정렬!$F53*100)</f>
        <v>95.135094601270509</v>
      </c>
      <c r="AB53">
        <f>IF(OR(Calc_오픈정렬!$F53="",Calc_오픈정렬!AB53=""),"",Calc_오픈정렬!AB53/Calc_오픈정렬!$F53*100)</f>
        <v>91.446782682729378</v>
      </c>
      <c r="AC53">
        <f>IF(OR(Calc_오픈정렬!$F53="",Calc_오픈정렬!AC53=""),"",Calc_오픈정렬!AC53/Calc_오픈정렬!$F53*100)</f>
        <v>98.990719639842922</v>
      </c>
      <c r="AD53">
        <f>IF(OR(Calc_오픈정렬!$F53="",Calc_오픈정렬!AD53=""),"",Calc_오픈정렬!AD53/Calc_오픈정렬!$F53*100)</f>
        <v>100.66115075624889</v>
      </c>
      <c r="AE53">
        <f>IF(OR(Calc_오픈정렬!$F53="",Calc_오픈정렬!AE53=""),"",Calc_오픈정렬!AE53/Calc_오픈정렬!$F53*100)</f>
        <v>104.15279921304507</v>
      </c>
      <c r="AF53">
        <f>IF(OR(Calc_오픈정렬!$F53="",Calc_오픈정렬!AF53=""),"",Calc_오픈정렬!AF53/Calc_오픈정렬!$F53*100)</f>
        <v>96.099504408325885</v>
      </c>
      <c r="AG53">
        <f>IF(OR(Calc_오픈정렬!$F53="",Calc_오픈정렬!AG53=""),"",Calc_오픈정렬!AG53/Calc_오픈정렬!$F53*100)</f>
        <v>110.38843435699974</v>
      </c>
      <c r="AH53">
        <f>IF(OR(Calc_오픈정렬!$F53="",Calc_오픈정렬!AH53=""),"",Calc_오픈정렬!AH53/Calc_오픈정렬!$F53*100)</f>
        <v>102.82475357161131</v>
      </c>
      <c r="AI53">
        <f>IF(OR(Calc_오픈정렬!$F53="",Calc_오픈정렬!AI53=""),"",Calc_오픈정렬!AI53/Calc_오픈정렬!$F53*100)</f>
        <v>107.8588044716452</v>
      </c>
      <c r="AJ53">
        <f>IF(OR(Calc_오픈정렬!$F53="",Calc_오픈정렬!AJ53=""),"",Calc_오픈정렬!AJ53/Calc_오픈정렬!$F53*100)</f>
        <v>91.657077346985645</v>
      </c>
      <c r="AK53">
        <f>IF(OR(Calc_오픈정렬!$F53="",Calc_오픈정렬!AK53=""),"",Calc_오픈정렬!AK53/Calc_오픈정렬!$F53*100)</f>
        <v>90.409602954221</v>
      </c>
      <c r="AL53">
        <f>IF(OR(Calc_오픈정렬!$F53="",Calc_오픈정렬!AL53=""),"",Calc_오픈정렬!AL53/Calc_오픈정렬!$F53*100)</f>
        <v>86.379444590028669</v>
      </c>
      <c r="AM53">
        <f>IF(OR(Calc_오픈정렬!$F53="",Calc_오픈정렬!AM53=""),"",Calc_오픈정렬!AM53/Calc_오픈정렬!$F53*100)</f>
        <v>81.144969930996496</v>
      </c>
      <c r="AN53">
        <f>IF(OR(Calc_오픈정렬!$F53="",Calc_오픈정렬!AN53=""),"",Calc_오픈정렬!AN53/Calc_오픈정렬!$F53*100)</f>
        <v>92.102672451133216</v>
      </c>
      <c r="AO53">
        <f>IF(OR(Calc_오픈정렬!$F53="",Calc_오픈정렬!AO53=""),"",Calc_오픈정렬!AO53/Calc_오픈정렬!$F53*100)</f>
        <v>103.28645454985575</v>
      </c>
      <c r="AP53">
        <f>IF(OR(Calc_오픈정렬!$F53="",Calc_오픈정렬!AP53=""),"",Calc_오픈정렬!AP53/Calc_오픈정렬!$F53*100)</f>
        <v>96.947259252093602</v>
      </c>
      <c r="AQ53">
        <f>IF(OR(Calc_오픈정렬!$F53="",Calc_오픈정렬!AQ53=""),"",Calc_오픈정렬!AQ53/Calc_오픈정렬!$F53*100)</f>
        <v>114.7892346261747</v>
      </c>
      <c r="AR53">
        <f>IF(OR(Calc_오픈정렬!$F53="",Calc_오픈정렬!AR53=""),"",Calc_오픈정렬!AR53/Calc_오픈정렬!$F53*100)</f>
        <v>112.48883636665168</v>
      </c>
      <c r="AS53">
        <f>IF(OR(Calc_오픈정렬!$F53="",Calc_오픈정렬!AS53=""),"",Calc_오픈정렬!AS53/Calc_오픈정렬!$F53*100)</f>
        <v>103.59789039028769</v>
      </c>
      <c r="AT53">
        <f>IF(OR(Calc_오픈정렬!$F53="",Calc_오픈정렬!AT53=""),"",Calc_오픈정렬!AT53/Calc_오픈정렬!$F53*100)</f>
        <v>121.79521192265088</v>
      </c>
      <c r="AU53">
        <f>IF(OR(Calc_오픈정렬!$F53="",Calc_오픈정렬!AU53=""),"",Calc_오픈정렬!AU53/Calc_오픈정렬!$F53*100)</f>
        <v>112.47089044212851</v>
      </c>
      <c r="AV53">
        <f>IF(OR(Calc_오픈정렬!$F53="",Calc_오픈정렬!AV53=""),"",Calc_오픈정렬!AV53/Calc_오픈정렬!$F53*100)</f>
        <v>103.55183033382995</v>
      </c>
      <c r="AW53">
        <f>IF(OR(Calc_오픈정렬!$F53="",Calc_오픈정렬!AW53=""),"",Calc_오픈정렬!AW53/Calc_오픈정렬!$F53*100)</f>
        <v>116.58718494364378</v>
      </c>
      <c r="AX53">
        <f>IF(OR(Calc_오픈정렬!$F53="",Calc_오픈정렬!AX53=""),"",Calc_오픈정렬!AX53/Calc_오픈정렬!$F53*100)</f>
        <v>99.465922004031739</v>
      </c>
      <c r="AY53">
        <f>IF(OR(Calc_오픈정렬!$F53="",Calc_오픈정렬!AY53=""),"",Calc_오픈정렬!AY53/Calc_오픈정렬!$F53*100)</f>
        <v>106.56073388458273</v>
      </c>
      <c r="AZ53">
        <f>IF(OR(Calc_오픈정렬!$F53="",Calc_오픈정렬!AZ53=""),"",Calc_오픈정렬!AZ53/Calc_오픈정렬!$F53*100)</f>
        <v>114.47500821843992</v>
      </c>
      <c r="BA53">
        <f>IF(OR(Calc_오픈정렬!$F53="",Calc_오픈정렬!BA53=""),"",Calc_오픈정렬!BA53/Calc_오픈정렬!$F53*100)</f>
        <v>120.02634558291288</v>
      </c>
      <c r="BB53">
        <f>IF(OR(Calc_오픈정렬!$F53="",Calc_오픈정렬!BB53=""),"",Calc_오픈정렬!BB53/Calc_오픈정렬!$F53*100)</f>
        <v>121.33306193556291</v>
      </c>
      <c r="BC53">
        <f>IF(OR(Calc_오픈정렬!$F53="",Calc_오픈정렬!BC53=""),"",Calc_오픈정렬!BC53/Calc_오픈정렬!$F53*100)</f>
        <v>122.56022107586671</v>
      </c>
      <c r="BD53" t="str">
        <f>IF(OR(Calc_오픈정렬!$F53="",Calc_오픈정렬!BD53=""),"",Calc_오픈정렬!BD53/Calc_오픈정렬!$F53*100)</f>
        <v/>
      </c>
      <c r="BE53" t="str">
        <f>IF(OR(Calc_오픈정렬!$F53="",Calc_오픈정렬!BE53=""),"",Calc_오픈정렬!BE53/Calc_오픈정렬!$F53*100)</f>
        <v/>
      </c>
      <c r="BF53" t="str">
        <f>IF(OR(Calc_오픈정렬!$F53="",Calc_오픈정렬!BF53=""),"",Calc_오픈정렬!BF53/Calc_오픈정렬!$F53*100)</f>
        <v/>
      </c>
      <c r="BG53" t="str">
        <f>IF(OR(Calc_오픈정렬!$F53="",Calc_오픈정렬!BG53=""),"",Calc_오픈정렬!BG53/Calc_오픈정렬!$F53*100)</f>
        <v/>
      </c>
      <c r="BH53" t="str">
        <f>IF(OR(Calc_오픈정렬!$F53="",Calc_오픈정렬!BH53=""),"",Calc_오픈정렬!BH53/Calc_오픈정렬!$F53*100)</f>
        <v/>
      </c>
      <c r="BI53" t="str">
        <f>IF(OR(Calc_오픈정렬!$F53="",Calc_오픈정렬!BI53=""),"",Calc_오픈정렬!BI53/Calc_오픈정렬!$F53*100)</f>
        <v/>
      </c>
      <c r="BJ53" t="str">
        <f>IF(OR(Calc_오픈정렬!$F53="",Calc_오픈정렬!BJ53=""),"",Calc_오픈정렬!BJ53/Calc_오픈정렬!$F53*100)</f>
        <v/>
      </c>
      <c r="BK53" t="str">
        <f>IF(OR(Calc_오픈정렬!$F53="",Calc_오픈정렬!BK53=""),"",Calc_오픈정렬!BK53/Calc_오픈정렬!$F53*100)</f>
        <v/>
      </c>
      <c r="BL53" t="str">
        <f>IF(OR(Calc_오픈정렬!$F53="",Calc_오픈정렬!BL53=""),"",Calc_오픈정렬!BL53/Calc_오픈정렬!$F53*100)</f>
        <v/>
      </c>
      <c r="BM53" t="str">
        <f>IF(OR(Calc_오픈정렬!$F53="",Calc_오픈정렬!BM53=""),"",Calc_오픈정렬!BM53/Calc_오픈정렬!$F53*100)</f>
        <v/>
      </c>
      <c r="BN53" t="str">
        <f>IF(OR(Calc_오픈정렬!$F53="",Calc_오픈정렬!BN53=""),"",Calc_오픈정렬!BN53/Calc_오픈정렬!$F53*100)</f>
        <v/>
      </c>
    </row>
    <row r="54" spans="1:66" x14ac:dyDescent="0.4">
      <c r="A54" t="str">
        <f>Calc_오픈정렬!A54</f>
        <v>(1043) #고대정문점</v>
      </c>
      <c r="B54" t="str">
        <f>Calc_오픈정렬!B54</f>
        <v>150-0</v>
      </c>
      <c r="C54">
        <f>Calc_오픈정렬!C54</f>
        <v>0</v>
      </c>
      <c r="D54" t="str">
        <f>Calc_오픈정렬!D54</f>
        <v>0</v>
      </c>
      <c r="E54" s="1">
        <f>Calc_오픈정렬!E54</f>
        <v>44713</v>
      </c>
      <c r="F54">
        <f>Calc_오픈정렬!F54</f>
        <v>4894821.8171262555</v>
      </c>
      <c r="G54">
        <f>IF(OR(Calc_오픈정렬!$F54="",Calc_오픈정렬!G54=""),"",Calc_오픈정렬!G54/Calc_오픈정렬!$F54*100)</f>
        <v>56.158586807356357</v>
      </c>
      <c r="H54">
        <f>IF(OR(Calc_오픈정렬!$F54="",Calc_오픈정렬!H54=""),"",Calc_오픈정렬!H54/Calc_오픈정렬!$F54*100)</f>
        <v>83.074325343251559</v>
      </c>
      <c r="I54">
        <f>IF(OR(Calc_오픈정렬!$F54="",Calc_오픈정렬!I54=""),"",Calc_오픈정렬!I54/Calc_오픈정렬!$F54*100)</f>
        <v>96.93826483994296</v>
      </c>
      <c r="J54">
        <f>IF(OR(Calc_오픈정렬!$F54="",Calc_오픈정렬!J54=""),"",Calc_오픈정렬!J54/Calc_오픈정렬!$F54*100)</f>
        <v>100.56375949308871</v>
      </c>
      <c r="K54">
        <f>IF(OR(Calc_오픈정렬!$F54="",Calc_오픈정렬!K54=""),"",Calc_오픈정렬!K54/Calc_오픈정렬!$F54*100)</f>
        <v>92.167968781152766</v>
      </c>
      <c r="L54">
        <f>IF(OR(Calc_오픈정렬!$F54="",Calc_오픈정렬!L54=""),"",Calc_오픈정렬!L54/Calc_오픈정렬!$F54*100)</f>
        <v>90.9318869668666</v>
      </c>
      <c r="M54">
        <f>IF(OR(Calc_오픈정렬!$F54="",Calc_오픈정렬!M54=""),"",Calc_오픈정렬!M54/Calc_오픈정렬!$F54*100)</f>
        <v>97.5699540535187</v>
      </c>
      <c r="N54">
        <f>IF(OR(Calc_오픈정렬!$F54="",Calc_오픈정렬!N54=""),"",Calc_오픈정렬!N54/Calc_오픈정렬!$F54*100)</f>
        <v>104.01116140345637</v>
      </c>
      <c r="O54">
        <f>IF(OR(Calc_오픈정렬!$F54="",Calc_오픈정렬!O54=""),"",Calc_오픈정렬!O54/Calc_오픈정렬!$F54*100)</f>
        <v>114.75526930191687</v>
      </c>
      <c r="P54">
        <f>IF(OR(Calc_오픈정렬!$F54="",Calc_오픈정렬!P54=""),"",Calc_오픈정렬!P54/Calc_오픈정렬!$F54*100)</f>
        <v>107.64496416243985</v>
      </c>
      <c r="Q54">
        <f>IF(OR(Calc_오픈정렬!$F54="",Calc_오픈정렬!Q54=""),"",Calc_오픈정렬!Q54/Calc_오픈정렬!$F54*100)</f>
        <v>117.06364562771266</v>
      </c>
      <c r="R54">
        <f>IF(OR(Calc_오픈정렬!$F54="",Calc_오픈정렬!R54=""),"",Calc_오픈정렬!R54/Calc_오픈정렬!$F54*100)</f>
        <v>129.04445285417887</v>
      </c>
      <c r="S54">
        <f>IF(OR(Calc_오픈정렬!$F54="",Calc_오픈정렬!S54=""),"",Calc_오픈정렬!S54/Calc_오픈정렬!$F54*100)</f>
        <v>124.45858769312035</v>
      </c>
      <c r="T54">
        <f>IF(OR(Calc_오픈정렬!$F54="",Calc_오픈정렬!T54=""),"",Calc_오픈정렬!T54/Calc_오픈정렬!$F54*100)</f>
        <v>128.87597095994067</v>
      </c>
      <c r="U54">
        <f>IF(OR(Calc_오픈정렬!$F54="",Calc_오픈정렬!U54=""),"",Calc_오픈정렬!U54/Calc_오픈정렬!$F54*100)</f>
        <v>124.18488432237179</v>
      </c>
      <c r="V54">
        <f>IF(OR(Calc_오픈정렬!$F54="",Calc_오픈정렬!V54=""),"",Calc_오픈정렬!V54/Calc_오픈정렬!$F54*100)</f>
        <v>134.33877707980372</v>
      </c>
      <c r="W54">
        <f>IF(OR(Calc_오픈정렬!$F54="",Calc_오픈정렬!W54=""),"",Calc_오픈정렬!W54/Calc_오픈정렬!$F54*100)</f>
        <v>127.91641565625108</v>
      </c>
      <c r="X54">
        <f>IF(OR(Calc_오픈정렬!$F54="",Calc_오픈정렬!X54=""),"",Calc_오픈정렬!X54/Calc_오픈정렬!$F54*100)</f>
        <v>134.38276884636647</v>
      </c>
      <c r="Y54">
        <f>IF(OR(Calc_오픈정렬!$F54="",Calc_오픈정렬!Y54=""),"",Calc_오픈정렬!Y54/Calc_오픈정렬!$F54*100)</f>
        <v>145.57615083910923</v>
      </c>
      <c r="Z54">
        <f>IF(OR(Calc_오픈정렬!$F54="",Calc_오픈정렬!Z54=""),"",Calc_오픈정렬!Z54/Calc_오픈정렬!$F54*100)</f>
        <v>132.7291940377161</v>
      </c>
      <c r="AA54">
        <f>IF(OR(Calc_오픈정렬!$F54="",Calc_오픈정렬!AA54=""),"",Calc_오픈정렬!AA54/Calc_오픈정렬!$F54*100)</f>
        <v>145.18983554945132</v>
      </c>
      <c r="AB54">
        <f>IF(OR(Calc_오픈정렬!$F54="",Calc_오픈정렬!AB54=""),"",Calc_오픈정렬!AB54/Calc_오픈정렬!$F54*100)</f>
        <v>164.91124412057533</v>
      </c>
      <c r="AC54">
        <f>IF(OR(Calc_오픈정렬!$F54="",Calc_오픈정렬!AC54=""),"",Calc_오픈정렬!AC54/Calc_오픈정렬!$F54*100)</f>
        <v>144.66267826829701</v>
      </c>
      <c r="AD54">
        <f>IF(OR(Calc_오픈정렬!$F54="",Calc_오픈정렬!AD54=""),"",Calc_오픈정렬!AD54/Calc_오픈정렬!$F54*100)</f>
        <v>139.52021386876595</v>
      </c>
      <c r="AE54">
        <f>IF(OR(Calc_오픈정렬!$F54="",Calc_오픈정렬!AE54=""),"",Calc_오픈정렬!AE54/Calc_오픈정렬!$F54*100)</f>
        <v>149.07712589951288</v>
      </c>
      <c r="AF54">
        <f>IF(OR(Calc_오픈정렬!$F54="",Calc_오픈정렬!AF54=""),"",Calc_오픈정렬!AF54/Calc_오픈정렬!$F54*100)</f>
        <v>153.8258455721442</v>
      </c>
      <c r="AG54">
        <f>IF(OR(Calc_오픈정렬!$F54="",Calc_오픈정렬!AG54=""),"",Calc_오픈정렬!AG54/Calc_오픈정렬!$F54*100)</f>
        <v>142.52507549432033</v>
      </c>
      <c r="AH54">
        <f>IF(OR(Calc_오픈정렬!$F54="",Calc_오픈정렬!AH54=""),"",Calc_오픈정렬!AH54/Calc_오픈정렬!$F54*100)</f>
        <v>156.41750609664388</v>
      </c>
      <c r="AI54">
        <f>IF(OR(Calc_오픈정렬!$F54="",Calc_오픈정렬!AI54=""),"",Calc_오픈정렬!AI54/Calc_오픈정렬!$F54*100)</f>
        <v>144.80710170882014</v>
      </c>
      <c r="AJ54">
        <f>IF(OR(Calc_오픈정렬!$F54="",Calc_오픈정렬!AJ54=""),"",Calc_오픈정렬!AJ54/Calc_오픈정렬!$F54*100)</f>
        <v>149.88082761339953</v>
      </c>
      <c r="AK54">
        <f>IF(OR(Calc_오픈정렬!$F54="",Calc_오픈정렬!AK54=""),"",Calc_오픈정렬!AK54/Calc_오픈정렬!$F54*100)</f>
        <v>160.88168361134652</v>
      </c>
      <c r="AL54">
        <f>IF(OR(Calc_오픈정렬!$F54="",Calc_오픈정렬!AL54=""),"",Calc_오픈정렬!AL54/Calc_오픈정렬!$F54*100)</f>
        <v>136.53100453329179</v>
      </c>
      <c r="AM54">
        <f>IF(OR(Calc_오픈정렬!$F54="",Calc_오픈정렬!AM54=""),"",Calc_오픈정렬!AM54/Calc_오픈정렬!$F54*100)</f>
        <v>150.86155020076583</v>
      </c>
      <c r="AN54">
        <f>IF(OR(Calc_오픈정렬!$F54="",Calc_오픈정렬!AN54=""),"",Calc_오픈정렬!AN54/Calc_오픈정렬!$F54*100)</f>
        <v>162.33680547571385</v>
      </c>
      <c r="AO54">
        <f>IF(OR(Calc_오픈정렬!$F54="",Calc_오픈정렬!AO54=""),"",Calc_오픈정렬!AO54/Calc_오픈정렬!$F54*100)</f>
        <v>160.32225642145852</v>
      </c>
      <c r="AP54">
        <f>IF(OR(Calc_오픈정렬!$F54="",Calc_오픈정렬!AP54=""),"",Calc_오픈정렬!AP54/Calc_오픈정렬!$F54*100)</f>
        <v>161.19126705944842</v>
      </c>
      <c r="AQ54">
        <f>IF(OR(Calc_오픈정렬!$F54="",Calc_오픈정렬!AQ54=""),"",Calc_오픈정렬!AQ54/Calc_오픈정렬!$F54*100)</f>
        <v>152.41951796208963</v>
      </c>
      <c r="AR54">
        <f>IF(OR(Calc_오픈정렬!$F54="",Calc_오픈정렬!AR54=""),"",Calc_오픈정렬!AR54/Calc_오픈정렬!$F54*100)</f>
        <v>138.1643292273238</v>
      </c>
      <c r="AS54">
        <f>IF(OR(Calc_오픈정렬!$F54="",Calc_오픈정렬!AS54=""),"",Calc_오픈정렬!AS54/Calc_오픈정렬!$F54*100)</f>
        <v>144.00657727006504</v>
      </c>
      <c r="AT54">
        <f>IF(OR(Calc_오픈정렬!$F54="",Calc_오픈정렬!AT54=""),"",Calc_오픈정렬!AT54/Calc_오픈정렬!$F54*100)</f>
        <v>143.17720622904312</v>
      </c>
      <c r="AU54">
        <f>IF(OR(Calc_오픈정렬!$F54="",Calc_오픈정렬!AU54=""),"",Calc_오픈정렬!AU54/Calc_오픈정렬!$F54*100)</f>
        <v>155.12213781609375</v>
      </c>
      <c r="AV54">
        <f>IF(OR(Calc_오픈정렬!$F54="",Calc_오픈정렬!AV54=""),"",Calc_오픈정렬!AV54/Calc_오픈정렬!$F54*100)</f>
        <v>122.76216818564605</v>
      </c>
      <c r="AW54">
        <f>IF(OR(Calc_오픈정렬!$F54="",Calc_오픈정렬!AW54=""),"",Calc_오픈정렬!AW54/Calc_오픈정렬!$F54*100)</f>
        <v>119.95054418301061</v>
      </c>
      <c r="AX54">
        <f>IF(OR(Calc_오픈정렬!$F54="",Calc_오픈정렬!AX54=""),"",Calc_오픈정렬!AX54/Calc_오픈정렬!$F54*100)</f>
        <v>125.04612553089569</v>
      </c>
      <c r="AY54">
        <f>IF(OR(Calc_오픈정렬!$F54="",Calc_오픈정렬!AY54=""),"",Calc_오픈정렬!AY54/Calc_오픈정렬!$F54*100)</f>
        <v>109.44954991228974</v>
      </c>
      <c r="AZ54">
        <f>IF(OR(Calc_오픈정렬!$F54="",Calc_오픈정렬!AZ54=""),"",Calc_오픈정렬!AZ54/Calc_오픈정렬!$F54*100)</f>
        <v>128.79572791186487</v>
      </c>
      <c r="BA54">
        <f>IF(OR(Calc_오픈정렬!$F54="",Calc_오픈정렬!BA54=""),"",Calc_오픈정렬!BA54/Calc_오픈정렬!$F54*100)</f>
        <v>124.69231260763669</v>
      </c>
      <c r="BB54">
        <f>IF(OR(Calc_오픈정렬!$F54="",Calc_오픈정렬!BB54=""),"",Calc_오픈정렬!BB54/Calc_오픈정렬!$F54*100)</f>
        <v>123.06910622648736</v>
      </c>
      <c r="BC54" t="str">
        <f>IF(OR(Calc_오픈정렬!$F54="",Calc_오픈정렬!BC54=""),"",Calc_오픈정렬!BC54/Calc_오픈정렬!$F54*100)</f>
        <v/>
      </c>
      <c r="BD54" t="str">
        <f>IF(OR(Calc_오픈정렬!$F54="",Calc_오픈정렬!BD54=""),"",Calc_오픈정렬!BD54/Calc_오픈정렬!$F54*100)</f>
        <v/>
      </c>
      <c r="BE54" t="str">
        <f>IF(OR(Calc_오픈정렬!$F54="",Calc_오픈정렬!BE54=""),"",Calc_오픈정렬!BE54/Calc_오픈정렬!$F54*100)</f>
        <v/>
      </c>
      <c r="BF54" t="str">
        <f>IF(OR(Calc_오픈정렬!$F54="",Calc_오픈정렬!BF54=""),"",Calc_오픈정렬!BF54/Calc_오픈정렬!$F54*100)</f>
        <v/>
      </c>
      <c r="BG54" t="str">
        <f>IF(OR(Calc_오픈정렬!$F54="",Calc_오픈정렬!BG54=""),"",Calc_오픈정렬!BG54/Calc_오픈정렬!$F54*100)</f>
        <v/>
      </c>
      <c r="BH54" t="str">
        <f>IF(OR(Calc_오픈정렬!$F54="",Calc_오픈정렬!BH54=""),"",Calc_오픈정렬!BH54/Calc_오픈정렬!$F54*100)</f>
        <v/>
      </c>
      <c r="BI54" t="str">
        <f>IF(OR(Calc_오픈정렬!$F54="",Calc_오픈정렬!BI54=""),"",Calc_오픈정렬!BI54/Calc_오픈정렬!$F54*100)</f>
        <v/>
      </c>
      <c r="BJ54" t="str">
        <f>IF(OR(Calc_오픈정렬!$F54="",Calc_오픈정렬!BJ54=""),"",Calc_오픈정렬!BJ54/Calc_오픈정렬!$F54*100)</f>
        <v/>
      </c>
      <c r="BK54" t="str">
        <f>IF(OR(Calc_오픈정렬!$F54="",Calc_오픈정렬!BK54=""),"",Calc_오픈정렬!BK54/Calc_오픈정렬!$F54*100)</f>
        <v/>
      </c>
      <c r="BL54" t="str">
        <f>IF(OR(Calc_오픈정렬!$F54="",Calc_오픈정렬!BL54=""),"",Calc_오픈정렬!BL54/Calc_오픈정렬!$F54*100)</f>
        <v/>
      </c>
      <c r="BM54" t="str">
        <f>IF(OR(Calc_오픈정렬!$F54="",Calc_오픈정렬!BM54=""),"",Calc_오픈정렬!BM54/Calc_오픈정렬!$F54*100)</f>
        <v/>
      </c>
      <c r="BN54" t="str">
        <f>IF(OR(Calc_오픈정렬!$F54="",Calc_오픈정렬!BN54=""),"",Calc_오픈정렬!BN54/Calc_오픈정렬!$F54*100)</f>
        <v/>
      </c>
    </row>
    <row r="55" spans="1:66" x14ac:dyDescent="0.4">
      <c r="A55" t="str">
        <f>Calc_오픈정렬!A55</f>
        <v>(1044) #정왕역점</v>
      </c>
      <c r="B55" t="str">
        <f>Calc_오픈정렬!B55</f>
        <v>150-2</v>
      </c>
      <c r="C55">
        <f>Calc_오픈정렬!C55</f>
        <v>2</v>
      </c>
      <c r="D55" t="str">
        <f>Calc_오픈정렬!D55</f>
        <v>2</v>
      </c>
      <c r="E55" s="1">
        <f>Calc_오픈정렬!E55</f>
        <v>44713</v>
      </c>
      <c r="F55">
        <f>Calc_오픈정렬!F55</f>
        <v>4905238.5817883424</v>
      </c>
      <c r="G55">
        <f>IF(OR(Calc_오픈정렬!$F55="",Calc_오픈정렬!G55=""),"",Calc_오픈정렬!G55/Calc_오픈정렬!$F55*100)</f>
        <v>58.528501939243704</v>
      </c>
      <c r="H55">
        <f>IF(OR(Calc_오픈정렬!$F55="",Calc_오픈정렬!H55=""),"",Calc_오픈정렬!H55/Calc_오픈정렬!$F55*100)</f>
        <v>76.168645517386906</v>
      </c>
      <c r="I55">
        <f>IF(OR(Calc_오픈정렬!$F55="",Calc_오픈정렬!I55=""),"",Calc_오픈정렬!I55/Calc_오픈정렬!$F55*100)</f>
        <v>88.698342847369886</v>
      </c>
      <c r="J55">
        <f>IF(OR(Calc_오픈정렬!$F55="",Calc_오픈정렬!J55=""),"",Calc_오픈정렬!J55/Calc_오픈정렬!$F55*100)</f>
        <v>88.459258164336035</v>
      </c>
      <c r="K55">
        <f>IF(OR(Calc_오픈정렬!$F55="",Calc_오픈정렬!K55=""),"",Calc_오픈정렬!K55/Calc_오픈정렬!$F55*100)</f>
        <v>98.26832717106322</v>
      </c>
      <c r="L55">
        <f>IF(OR(Calc_오픈정렬!$F55="",Calc_오픈정렬!L55=""),"",Calc_오픈정렬!L55/Calc_오픈정렬!$F55*100)</f>
        <v>92.824170394177898</v>
      </c>
      <c r="M55">
        <f>IF(OR(Calc_오픈정렬!$F55="",Calc_오픈정렬!M55=""),"",Calc_오픈정렬!M55/Calc_오픈정렬!$F55*100)</f>
        <v>101.25134597037133</v>
      </c>
      <c r="N55">
        <f>IF(OR(Calc_오픈정렬!$F55="",Calc_오픈정렬!N55=""),"",Calc_오픈정렬!N55/Calc_오픈정렬!$F55*100)</f>
        <v>112.34522735546994</v>
      </c>
      <c r="O55">
        <f>IF(OR(Calc_오픈정렬!$F55="",Calc_오픈정렬!O55=""),"",Calc_오픈정렬!O55/Calc_오픈정렬!$F55*100)</f>
        <v>106.85167094458154</v>
      </c>
      <c r="P55">
        <f>IF(OR(Calc_오픈정렬!$F55="",Calc_오픈정렬!P55=""),"",Calc_오픈정렬!P55/Calc_오픈정렬!$F55*100)</f>
        <v>113.91589885035262</v>
      </c>
      <c r="Q55">
        <f>IF(OR(Calc_오픈정렬!$F55="",Calc_오픈정렬!Q55=""),"",Calc_오픈정렬!Q55/Calc_오픈정렬!$F55*100)</f>
        <v>122.87392550265169</v>
      </c>
      <c r="R55">
        <f>IF(OR(Calc_오픈정렬!$F55="",Calc_오픈정렬!R55=""),"",Calc_오픈정렬!R55/Calc_오픈정렬!$F55*100)</f>
        <v>143.0763030406041</v>
      </c>
      <c r="S55">
        <f>IF(OR(Calc_오픈정렬!$F55="",Calc_오픈정렬!S55=""),"",Calc_오픈정렬!S55/Calc_오픈정렬!$F55*100)</f>
        <v>140.92093838115244</v>
      </c>
      <c r="T55">
        <f>IF(OR(Calc_오픈정렬!$F55="",Calc_오픈정렬!T55=""),"",Calc_오픈정렬!T55/Calc_오픈정렬!$F55*100)</f>
        <v>157.81332559997577</v>
      </c>
      <c r="U55">
        <f>IF(OR(Calc_오픈정렬!$F55="",Calc_오픈정렬!U55=""),"",Calc_오픈정렬!U55/Calc_오픈정렬!$F55*100)</f>
        <v>135.69706723345953</v>
      </c>
      <c r="V55">
        <f>IF(OR(Calc_오픈정렬!$F55="",Calc_오픈정렬!V55=""),"",Calc_오픈정렬!V55/Calc_오픈정렬!$F55*100)</f>
        <v>143.3062379588514</v>
      </c>
      <c r="W55">
        <f>IF(OR(Calc_오픈정렬!$F55="",Calc_오픈정렬!W55=""),"",Calc_오픈정렬!W55/Calc_오픈정렬!$F55*100)</f>
        <v>123.70663210852581</v>
      </c>
      <c r="X55">
        <f>IF(OR(Calc_오픈정렬!$F55="",Calc_오픈정렬!X55=""),"",Calc_오픈정렬!X55/Calc_오픈정렬!$F55*100)</f>
        <v>130.65092545534716</v>
      </c>
      <c r="Y55">
        <f>IF(OR(Calc_오픈정렬!$F55="",Calc_오픈정렬!Y55=""),"",Calc_오픈정렬!Y55/Calc_오픈정렬!$F55*100)</f>
        <v>131.8195023676538</v>
      </c>
      <c r="Z55">
        <f>IF(OR(Calc_오픈정렬!$F55="",Calc_오픈정렬!Z55=""),"",Calc_오픈정렬!Z55/Calc_오픈정렬!$F55*100)</f>
        <v>139.95171828761147</v>
      </c>
      <c r="AA55">
        <f>IF(OR(Calc_오픈정렬!$F55="",Calc_오픈정렬!AA55=""),"",Calc_오픈정렬!AA55/Calc_오픈정렬!$F55*100)</f>
        <v>105.75601684213471</v>
      </c>
      <c r="AB55">
        <f>IF(OR(Calc_오픈정렬!$F55="",Calc_오픈정렬!AB55=""),"",Calc_오픈정렬!AB55/Calc_오픈정렬!$F55*100)</f>
        <v>92.99698052119011</v>
      </c>
      <c r="AC55">
        <f>IF(OR(Calc_오픈정렬!$F55="",Calc_오픈정렬!AC55=""),"",Calc_오픈정렬!AC55/Calc_오픈정렬!$F55*100)</f>
        <v>84.461326210496608</v>
      </c>
      <c r="AD55">
        <f>IF(OR(Calc_오픈정렬!$F55="",Calc_오픈정렬!AD55=""),"",Calc_오픈정렬!AD55/Calc_오픈정렬!$F55*100)</f>
        <v>79.157575569365633</v>
      </c>
      <c r="AE55">
        <f>IF(OR(Calc_오픈정렬!$F55="",Calc_오픈정렬!AE55=""),"",Calc_오픈정렬!AE55/Calc_오픈정렬!$F55*100)</f>
        <v>77.797679990764763</v>
      </c>
      <c r="AF55">
        <f>IF(OR(Calc_오픈정렬!$F55="",Calc_오픈정렬!AF55=""),"",Calc_오픈정렬!AF55/Calc_오픈정렬!$F55*100)</f>
        <v>82.617660688881955</v>
      </c>
      <c r="AG55">
        <f>IF(OR(Calc_오픈정렬!$F55="",Calc_오픈정렬!AG55=""),"",Calc_오픈정렬!AG55/Calc_오픈정렬!$F55*100)</f>
        <v>78.643326813380057</v>
      </c>
      <c r="AH55">
        <f>IF(OR(Calc_오픈정렬!$F55="",Calc_오픈정렬!AH55=""),"",Calc_오픈정렬!AH55/Calc_오픈정렬!$F55*100)</f>
        <v>85.840807111295732</v>
      </c>
      <c r="AI55">
        <f>IF(OR(Calc_오픈정렬!$F55="",Calc_오픈정렬!AI55=""),"",Calc_오픈정렬!AI55/Calc_오픈정렬!$F55*100)</f>
        <v>80.272454765220985</v>
      </c>
      <c r="AJ55">
        <f>IF(OR(Calc_오픈정렬!$F55="",Calc_오픈정렬!AJ55=""),"",Calc_오픈정렬!AJ55/Calc_오픈정렬!$F55*100)</f>
        <v>81.256639825596409</v>
      </c>
      <c r="AK55">
        <f>IF(OR(Calc_오픈정렬!$F55="",Calc_오픈정렬!AK55=""),"",Calc_오픈정렬!AK55/Calc_오픈정렬!$F55*100)</f>
        <v>81.900720465283825</v>
      </c>
      <c r="AL55">
        <f>IF(OR(Calc_오픈정렬!$F55="",Calc_오픈정렬!AL55=""),"",Calc_오픈정렬!AL55/Calc_오픈정렬!$F55*100)</f>
        <v>84.641317557785484</v>
      </c>
      <c r="AM55">
        <f>IF(OR(Calc_오픈정렬!$F55="",Calc_오픈정렬!AM55=""),"",Calc_오픈정렬!AM55/Calc_오픈정렬!$F55*100)</f>
        <v>70.559398598831606</v>
      </c>
      <c r="AN55">
        <f>IF(OR(Calc_오픈정렬!$F55="",Calc_오픈정렬!AN55=""),"",Calc_오픈정렬!AN55/Calc_오픈정렬!$F55*100)</f>
        <v>68.87592147938085</v>
      </c>
      <c r="AO55">
        <f>IF(OR(Calc_오픈정렬!$F55="",Calc_오픈정렬!AO55=""),"",Calc_오픈정렬!AO55/Calc_오픈정렬!$F55*100)</f>
        <v>70.998283512504798</v>
      </c>
      <c r="AP55">
        <f>IF(OR(Calc_오픈정렬!$F55="",Calc_오픈정렬!AP55=""),"",Calc_오픈정렬!AP55/Calc_오픈정렬!$F55*100)</f>
        <v>73.466757165691092</v>
      </c>
      <c r="AQ55">
        <f>IF(OR(Calc_오픈정렬!$F55="",Calc_오픈정렬!AQ55=""),"",Calc_오픈정렬!AQ55/Calc_오픈정렬!$F55*100)</f>
        <v>81.206955162944411</v>
      </c>
      <c r="AR55">
        <f>IF(OR(Calc_오픈정렬!$F55="",Calc_오픈정렬!AR55=""),"",Calc_오픈정렬!AR55/Calc_오픈정렬!$F55*100)</f>
        <v>67.917396052329721</v>
      </c>
      <c r="AS55">
        <f>IF(OR(Calc_오픈정렬!$F55="",Calc_오픈정렬!AS55=""),"",Calc_오픈정렬!AS55/Calc_오픈정렬!$F55*100)</f>
        <v>66.451087963796994</v>
      </c>
      <c r="AT55">
        <f>IF(OR(Calc_오픈정렬!$F55="",Calc_오픈정렬!AT55=""),"",Calc_오픈정렬!AT55/Calc_오픈정렬!$F55*100)</f>
        <v>69.738351195382847</v>
      </c>
      <c r="AU55">
        <f>IF(OR(Calc_오픈정렬!$F55="",Calc_오픈정렬!AU55=""),"",Calc_오픈정렬!AU55/Calc_오픈정렬!$F55*100)</f>
        <v>69.108805967790431</v>
      </c>
      <c r="AV55">
        <f>IF(OR(Calc_오픈정렬!$F55="",Calc_오픈정렬!AV55=""),"",Calc_오픈정렬!AV55/Calc_오픈정렬!$F55*100)</f>
        <v>73.532877772651887</v>
      </c>
      <c r="AW55">
        <f>IF(OR(Calc_오픈정렬!$F55="",Calc_오픈정렬!AW55=""),"",Calc_오픈정렬!AW55/Calc_오픈정렬!$F55*100)</f>
        <v>72.5771762867452</v>
      </c>
      <c r="AX55">
        <f>IF(OR(Calc_오픈정렬!$F55="",Calc_오픈정렬!AX55=""),"",Calc_오픈정렬!AX55/Calc_오픈정렬!$F55*100)</f>
        <v>79.444524971752045</v>
      </c>
      <c r="AY55">
        <f>IF(OR(Calc_오픈정렬!$F55="",Calc_오픈정렬!AY55=""),"",Calc_오픈정렬!AY55/Calc_오픈정렬!$F55*100)</f>
        <v>81.651626588304765</v>
      </c>
      <c r="AZ55">
        <f>IF(OR(Calc_오픈정렬!$F55="",Calc_오픈정렬!AZ55=""),"",Calc_오픈정렬!AZ55/Calc_오픈정렬!$F55*100)</f>
        <v>76.114567945242797</v>
      </c>
      <c r="BA55">
        <f>IF(OR(Calc_오픈정렬!$F55="",Calc_오픈정렬!BA55=""),"",Calc_오픈정렬!BA55/Calc_오픈정렬!$F55*100)</f>
        <v>70.889696957979808</v>
      </c>
      <c r="BB55">
        <f>IF(OR(Calc_오픈정렬!$F55="",Calc_오픈정렬!BB55=""),"",Calc_오픈정렬!BB55/Calc_오픈정렬!$F55*100)</f>
        <v>77.817535170091517</v>
      </c>
      <c r="BC55" t="str">
        <f>IF(OR(Calc_오픈정렬!$F55="",Calc_오픈정렬!BC55=""),"",Calc_오픈정렬!BC55/Calc_오픈정렬!$F55*100)</f>
        <v/>
      </c>
      <c r="BD55" t="str">
        <f>IF(OR(Calc_오픈정렬!$F55="",Calc_오픈정렬!BD55=""),"",Calc_오픈정렬!BD55/Calc_오픈정렬!$F55*100)</f>
        <v/>
      </c>
      <c r="BE55" t="str">
        <f>IF(OR(Calc_오픈정렬!$F55="",Calc_오픈정렬!BE55=""),"",Calc_오픈정렬!BE55/Calc_오픈정렬!$F55*100)</f>
        <v/>
      </c>
      <c r="BF55" t="str">
        <f>IF(OR(Calc_오픈정렬!$F55="",Calc_오픈정렬!BF55=""),"",Calc_오픈정렬!BF55/Calc_오픈정렬!$F55*100)</f>
        <v/>
      </c>
      <c r="BG55" t="str">
        <f>IF(OR(Calc_오픈정렬!$F55="",Calc_오픈정렬!BG55=""),"",Calc_오픈정렬!BG55/Calc_오픈정렬!$F55*100)</f>
        <v/>
      </c>
      <c r="BH55" t="str">
        <f>IF(OR(Calc_오픈정렬!$F55="",Calc_오픈정렬!BH55=""),"",Calc_오픈정렬!BH55/Calc_오픈정렬!$F55*100)</f>
        <v/>
      </c>
      <c r="BI55" t="str">
        <f>IF(OR(Calc_오픈정렬!$F55="",Calc_오픈정렬!BI55=""),"",Calc_오픈정렬!BI55/Calc_오픈정렬!$F55*100)</f>
        <v/>
      </c>
      <c r="BJ55" t="str">
        <f>IF(OR(Calc_오픈정렬!$F55="",Calc_오픈정렬!BJ55=""),"",Calc_오픈정렬!BJ55/Calc_오픈정렬!$F55*100)</f>
        <v/>
      </c>
      <c r="BK55" t="str">
        <f>IF(OR(Calc_오픈정렬!$F55="",Calc_오픈정렬!BK55=""),"",Calc_오픈정렬!BK55/Calc_오픈정렬!$F55*100)</f>
        <v/>
      </c>
      <c r="BL55" t="str">
        <f>IF(OR(Calc_오픈정렬!$F55="",Calc_오픈정렬!BL55=""),"",Calc_오픈정렬!BL55/Calc_오픈정렬!$F55*100)</f>
        <v/>
      </c>
      <c r="BM55" t="str">
        <f>IF(OR(Calc_오픈정렬!$F55="",Calc_오픈정렬!BM55=""),"",Calc_오픈정렬!BM55/Calc_오픈정렬!$F55*100)</f>
        <v/>
      </c>
      <c r="BN55" t="str">
        <f>IF(OR(Calc_오픈정렬!$F55="",Calc_오픈정렬!BN55=""),"",Calc_오픈정렬!BN55/Calc_오픈정렬!$F55*100)</f>
        <v/>
      </c>
    </row>
    <row r="56" spans="1:66" x14ac:dyDescent="0.4">
      <c r="A56" t="str">
        <f>Calc_오픈정렬!A56</f>
        <v>(1045) #병점진안점</v>
      </c>
      <c r="B56" t="str">
        <f>Calc_오픈정렬!B56</f>
        <v>150-2</v>
      </c>
      <c r="C56">
        <f>Calc_오픈정렬!C56</f>
        <v>2</v>
      </c>
      <c r="D56" t="str">
        <f>Calc_오픈정렬!D56</f>
        <v>2</v>
      </c>
      <c r="E56" s="1">
        <f>Calc_오픈정렬!E56</f>
        <v>44774</v>
      </c>
      <c r="F56">
        <f>Calc_오픈정렬!F56</f>
        <v>3314580.2864709701</v>
      </c>
      <c r="G56">
        <f>IF(OR(Calc_오픈정렬!$F56="",Calc_오픈정렬!G56=""),"",Calc_오픈정렬!G56/Calc_오픈정렬!$F56*100)</f>
        <v>57.541002791824369</v>
      </c>
      <c r="H56">
        <f>IF(OR(Calc_오픈정렬!$F56="",Calc_오픈정렬!H56=""),"",Calc_오픈정렬!H56/Calc_오픈정렬!$F56*100)</f>
        <v>63.010058946284644</v>
      </c>
      <c r="I56">
        <f>IF(OR(Calc_오픈정렬!$F56="",Calc_오픈정렬!I56=""),"",Calc_오픈정렬!I56/Calc_오픈정렬!$F56*100)</f>
        <v>78.964375503237562</v>
      </c>
      <c r="J56">
        <f>IF(OR(Calc_오픈정렬!$F56="",Calc_오픈정렬!J56=""),"",Calc_오픈정렬!J56/Calc_오픈정렬!$F56*100)</f>
        <v>70.025354723038575</v>
      </c>
      <c r="K56">
        <f>IF(OR(Calc_오픈정렬!$F56="",Calc_오픈정렬!K56=""),"",Calc_오픈정렬!K56/Calc_오픈정렬!$F56*100)</f>
        <v>88.133872964670829</v>
      </c>
      <c r="L56">
        <f>IF(OR(Calc_오픈정렬!$F56="",Calc_오픈정렬!L56=""),"",Calc_오픈정렬!L56/Calc_오픈정렬!$F56*100)</f>
        <v>103.56404842708295</v>
      </c>
      <c r="M56">
        <f>IF(OR(Calc_오픈정렬!$F56="",Calc_오픈정렬!M56=""),"",Calc_오픈정렬!M56/Calc_오픈정렬!$F56*100)</f>
        <v>108.56235855517427</v>
      </c>
      <c r="N56">
        <f>IF(OR(Calc_오픈정렬!$F56="",Calc_오픈정렬!N56=""),"",Calc_오픈정렬!N56/Calc_오픈정렬!$F56*100)</f>
        <v>109.73876960799839</v>
      </c>
      <c r="O56">
        <f>IF(OR(Calc_오픈정렬!$F56="",Calc_오픈정렬!O56=""),"",Calc_오픈정렬!O56/Calc_오픈정렬!$F56*100)</f>
        <v>119.97559572203504</v>
      </c>
      <c r="P56">
        <f>IF(OR(Calc_오픈정렬!$F56="",Calc_오픈정렬!P56=""),"",Calc_오픈정렬!P56/Calc_오픈정렬!$F56*100)</f>
        <v>107.03018938133945</v>
      </c>
      <c r="Q56">
        <f>IF(OR(Calc_오픈정렬!$F56="",Calc_오픈정렬!Q56=""),"",Calc_오픈정렬!Q56/Calc_오픈정렬!$F56*100)</f>
        <v>85.224579486183742</v>
      </c>
      <c r="R56">
        <f>IF(OR(Calc_오픈정렬!$F56="",Calc_오픈정렬!R56=""),"",Calc_오픈정렬!R56/Calc_오픈정렬!$F56*100)</f>
        <v>106.23525814060648</v>
      </c>
      <c r="S56">
        <f>IF(OR(Calc_오픈정렬!$F56="",Calc_오픈정렬!S56=""),"",Calc_오픈정렬!S56/Calc_오픈정렬!$F56*100)</f>
        <v>90.025615157921749</v>
      </c>
      <c r="T56">
        <f>IF(OR(Calc_오픈정렬!$F56="",Calc_오픈정렬!T56=""),"",Calc_오픈정렬!T56/Calc_오픈정렬!$F56*100)</f>
        <v>100.7329286296349</v>
      </c>
      <c r="U56">
        <f>IF(OR(Calc_오픈정렬!$F56="",Calc_오픈정렬!U56=""),"",Calc_오픈정렬!U56/Calc_오픈정렬!$F56*100)</f>
        <v>90.47430430737829</v>
      </c>
      <c r="V56">
        <f>IF(OR(Calc_오픈정렬!$F56="",Calc_오픈정렬!V56=""),"",Calc_오픈정렬!V56/Calc_오픈정렬!$F56*100)</f>
        <v>113.79663480131283</v>
      </c>
      <c r="W56">
        <f>IF(OR(Calc_오픈정렬!$F56="",Calc_오픈정렬!W56=""),"",Calc_오픈정렬!W56/Calc_오픈정렬!$F56*100)</f>
        <v>134.29131011097974</v>
      </c>
      <c r="X56">
        <f>IF(OR(Calc_오픈정렬!$F56="",Calc_오픈정렬!X56=""),"",Calc_오픈정렬!X56/Calc_오픈정렬!$F56*100)</f>
        <v>145.99275902256471</v>
      </c>
      <c r="Y56">
        <f>IF(OR(Calc_오픈정렬!$F56="",Calc_오픈정렬!Y56=""),"",Calc_오픈정렬!Y56/Calc_오픈정렬!$F56*100)</f>
        <v>116.27590562693162</v>
      </c>
      <c r="Z56">
        <f>IF(OR(Calc_오픈정렬!$F56="",Calc_오픈정렬!Z56=""),"",Calc_오픈정렬!Z56/Calc_오픈정렬!$F56*100)</f>
        <v>136.59519504608545</v>
      </c>
      <c r="AA56">
        <f>IF(OR(Calc_오픈정렬!$F56="",Calc_오픈정렬!AA56=""),"",Calc_오픈정렬!AA56/Calc_오픈정렬!$F56*100)</f>
        <v>119.39721174265844</v>
      </c>
      <c r="AB56">
        <f>IF(OR(Calc_오픈정렬!$F56="",Calc_오픈정렬!AB56=""),"",Calc_오픈정렬!AB56/Calc_오픈정렬!$F56*100)</f>
        <v>111.72600293365078</v>
      </c>
      <c r="AC56">
        <f>IF(OR(Calc_오픈정렬!$F56="",Calc_오픈정렬!AC56=""),"",Calc_오픈정렬!AC56/Calc_오픈정렬!$F56*100)</f>
        <v>123.41200084369193</v>
      </c>
      <c r="AD56">
        <f>IF(OR(Calc_오픈정렬!$F56="",Calc_오픈정렬!AD56=""),"",Calc_오픈정렬!AD56/Calc_오픈정렬!$F56*100)</f>
        <v>114.62225220433857</v>
      </c>
      <c r="AE56">
        <f>IF(OR(Calc_오픈정렬!$F56="",Calc_오픈정렬!AE56=""),"",Calc_오픈정렬!AE56/Calc_오픈정렬!$F56*100)</f>
        <v>96.810796990021274</v>
      </c>
      <c r="AF56">
        <f>IF(OR(Calc_오픈정렬!$F56="",Calc_오픈정렬!AF56=""),"",Calc_오픈정렬!AF56/Calc_오픈정렬!$F56*100)</f>
        <v>96.649975644497147</v>
      </c>
      <c r="AG56">
        <f>IF(OR(Calc_오픈정렬!$F56="",Calc_오픈정렬!AG56=""),"",Calc_오픈정렬!AG56/Calc_오픈정렬!$F56*100)</f>
        <v>95.224433655118915</v>
      </c>
      <c r="AH56">
        <f>IF(OR(Calc_오픈정렬!$F56="",Calc_오픈정렬!AH56=""),"",Calc_오픈정렬!AH56/Calc_오픈정렬!$F56*100)</f>
        <v>95.004397045099097</v>
      </c>
      <c r="AI56">
        <f>IF(OR(Calc_오픈정렬!$F56="",Calc_오픈정렬!AI56=""),"",Calc_오픈정렬!AI56/Calc_오픈정렬!$F56*100)</f>
        <v>94.437491586903789</v>
      </c>
      <c r="AJ56">
        <f>IF(OR(Calc_오픈정렬!$F56="",Calc_오픈정렬!AJ56=""),"",Calc_오픈정렬!AJ56/Calc_오픈정렬!$F56*100)</f>
        <v>102.16178880523398</v>
      </c>
      <c r="AK56">
        <f>IF(OR(Calc_오픈정렬!$F56="",Calc_오픈정렬!AK56=""),"",Calc_오픈정렬!AK56/Calc_오픈정렬!$F56*100)</f>
        <v>103.3901657390771</v>
      </c>
      <c r="AL56">
        <f>IF(OR(Calc_오픈정렬!$F56="",Calc_오픈정렬!AL56=""),"",Calc_오픈정렬!AL56/Calc_오픈정렬!$F56*100)</f>
        <v>109.07123995838121</v>
      </c>
      <c r="AM56">
        <f>IF(OR(Calc_오픈정렬!$F56="",Calc_오픈정렬!AM56=""),"",Calc_오픈정렬!AM56/Calc_오픈정렬!$F56*100)</f>
        <v>112.40751951188963</v>
      </c>
      <c r="AN56">
        <f>IF(OR(Calc_오픈정렬!$F56="",Calc_오픈정렬!AN56=""),"",Calc_오픈정렬!AN56/Calc_오픈정렬!$F56*100)</f>
        <v>111.61719749768257</v>
      </c>
      <c r="AO56">
        <f>IF(OR(Calc_오픈정렬!$F56="",Calc_오픈정렬!AO56=""),"",Calc_오픈정렬!AO56/Calc_오픈정렬!$F56*100)</f>
        <v>101.74731688538046</v>
      </c>
      <c r="AP56">
        <f>IF(OR(Calc_오픈정렬!$F56="",Calc_오픈정렬!AP56=""),"",Calc_오픈정렬!AP56/Calc_오픈정렬!$F56*100)</f>
        <v>98.280583358510071</v>
      </c>
      <c r="AQ56">
        <f>IF(OR(Calc_오픈정렬!$F56="",Calc_오픈정렬!AQ56=""),"",Calc_오픈정렬!AQ56/Calc_오픈정렬!$F56*100)</f>
        <v>110.75072393483573</v>
      </c>
      <c r="AR56">
        <f>IF(OR(Calc_오픈정렬!$F56="",Calc_오픈정렬!AR56=""),"",Calc_오픈정렬!AR56/Calc_오픈정렬!$F56*100)</f>
        <v>110.43559181202869</v>
      </c>
      <c r="AS56">
        <f>IF(OR(Calc_오픈정렬!$F56="",Calc_오픈정렬!AS56=""),"",Calc_오픈정렬!AS56/Calc_오픈정렬!$F56*100)</f>
        <v>110.5840551998736</v>
      </c>
      <c r="AT56">
        <f>IF(OR(Calc_오픈정렬!$F56="",Calc_오픈정렬!AT56=""),"",Calc_오픈정렬!AT56/Calc_오픈정렬!$F56*100)</f>
        <v>102.00258581630281</v>
      </c>
      <c r="AU56">
        <f>IF(OR(Calc_오픈정렬!$F56="",Calc_오픈정렬!AU56=""),"",Calc_오픈정렬!AU56/Calc_오픈정렬!$F56*100)</f>
        <v>102.29146754512828</v>
      </c>
      <c r="AV56">
        <f>IF(OR(Calc_오픈정렬!$F56="",Calc_오픈정렬!AV56=""),"",Calc_오픈정렬!AV56/Calc_오픈정렬!$F56*100)</f>
        <v>122.09700890786115</v>
      </c>
      <c r="AW56">
        <f>IF(OR(Calc_오픈정렬!$F56="",Calc_오픈정렬!AW56=""),"",Calc_오픈정렬!AW56/Calc_오픈정렬!$F56*100)</f>
        <v>120.42797736857365</v>
      </c>
      <c r="AX56">
        <f>IF(OR(Calc_오픈정렬!$F56="",Calc_오픈정렬!AX56=""),"",Calc_오픈정렬!AX56/Calc_오픈정렬!$F56*100)</f>
        <v>115.93282379863234</v>
      </c>
      <c r="AY56">
        <f>IF(OR(Calc_오픈정렬!$F56="",Calc_오픈정렬!AY56=""),"",Calc_오픈정렬!AY56/Calc_오픈정렬!$F56*100)</f>
        <v>111.72190001633673</v>
      </c>
      <c r="AZ56">
        <f>IF(OR(Calc_오픈정렬!$F56="",Calc_오픈정렬!AZ56=""),"",Calc_오픈정렬!AZ56/Calc_오픈정렬!$F56*100)</f>
        <v>116.47908250489269</v>
      </c>
      <c r="BA56" t="str">
        <f>IF(OR(Calc_오픈정렬!$F56="",Calc_오픈정렬!BA56=""),"",Calc_오픈정렬!BA56/Calc_오픈정렬!$F56*100)</f>
        <v/>
      </c>
      <c r="BB56" t="str">
        <f>IF(OR(Calc_오픈정렬!$F56="",Calc_오픈정렬!BB56=""),"",Calc_오픈정렬!BB56/Calc_오픈정렬!$F56*100)</f>
        <v/>
      </c>
      <c r="BC56" t="str">
        <f>IF(OR(Calc_오픈정렬!$F56="",Calc_오픈정렬!BC56=""),"",Calc_오픈정렬!BC56/Calc_오픈정렬!$F56*100)</f>
        <v/>
      </c>
      <c r="BD56" t="str">
        <f>IF(OR(Calc_오픈정렬!$F56="",Calc_오픈정렬!BD56=""),"",Calc_오픈정렬!BD56/Calc_오픈정렬!$F56*100)</f>
        <v/>
      </c>
      <c r="BE56" t="str">
        <f>IF(OR(Calc_오픈정렬!$F56="",Calc_오픈정렬!BE56=""),"",Calc_오픈정렬!BE56/Calc_오픈정렬!$F56*100)</f>
        <v/>
      </c>
      <c r="BF56" t="str">
        <f>IF(OR(Calc_오픈정렬!$F56="",Calc_오픈정렬!BF56=""),"",Calc_오픈정렬!BF56/Calc_오픈정렬!$F56*100)</f>
        <v/>
      </c>
      <c r="BG56" t="str">
        <f>IF(OR(Calc_오픈정렬!$F56="",Calc_오픈정렬!BG56=""),"",Calc_오픈정렬!BG56/Calc_오픈정렬!$F56*100)</f>
        <v/>
      </c>
      <c r="BH56" t="str">
        <f>IF(OR(Calc_오픈정렬!$F56="",Calc_오픈정렬!BH56=""),"",Calc_오픈정렬!BH56/Calc_오픈정렬!$F56*100)</f>
        <v/>
      </c>
      <c r="BI56" t="str">
        <f>IF(OR(Calc_오픈정렬!$F56="",Calc_오픈정렬!BI56=""),"",Calc_오픈정렬!BI56/Calc_오픈정렬!$F56*100)</f>
        <v/>
      </c>
      <c r="BJ56" t="str">
        <f>IF(OR(Calc_오픈정렬!$F56="",Calc_오픈정렬!BJ56=""),"",Calc_오픈정렬!BJ56/Calc_오픈정렬!$F56*100)</f>
        <v/>
      </c>
      <c r="BK56" t="str">
        <f>IF(OR(Calc_오픈정렬!$F56="",Calc_오픈정렬!BK56=""),"",Calc_오픈정렬!BK56/Calc_오픈정렬!$F56*100)</f>
        <v/>
      </c>
      <c r="BL56" t="str">
        <f>IF(OR(Calc_오픈정렬!$F56="",Calc_오픈정렬!BL56=""),"",Calc_오픈정렬!BL56/Calc_오픈정렬!$F56*100)</f>
        <v/>
      </c>
      <c r="BM56" t="str">
        <f>IF(OR(Calc_오픈정렬!$F56="",Calc_오픈정렬!BM56=""),"",Calc_오픈정렬!BM56/Calc_오픈정렬!$F56*100)</f>
        <v/>
      </c>
      <c r="BN56" t="str">
        <f>IF(OR(Calc_오픈정렬!$F56="",Calc_오픈정렬!BN56=""),"",Calc_오픈정렬!BN56/Calc_오픈정렬!$F56*100)</f>
        <v/>
      </c>
    </row>
    <row r="57" spans="1:66" x14ac:dyDescent="0.4">
      <c r="A57" t="str">
        <f>Calc_오픈정렬!A57</f>
        <v>(1046) #인천시청점</v>
      </c>
      <c r="B57" t="str">
        <f>Calc_오픈정렬!B57</f>
        <v>150-3</v>
      </c>
      <c r="C57">
        <f>Calc_오픈정렬!C57</f>
        <v>3</v>
      </c>
      <c r="D57" t="str">
        <f>Calc_오픈정렬!D57</f>
        <v>3+</v>
      </c>
      <c r="E57" s="1">
        <f>Calc_오픈정렬!E57</f>
        <v>44805</v>
      </c>
      <c r="F57">
        <f>Calc_오픈정렬!F57</f>
        <v>4718044.3808412366</v>
      </c>
      <c r="G57">
        <f>IF(OR(Calc_오픈정렬!$F57="",Calc_오픈정렬!G57=""),"",Calc_오픈정렬!G57/Calc_오픈정렬!$F57*100)</f>
        <v>63.431399332476133</v>
      </c>
      <c r="H57">
        <f>IF(OR(Calc_오픈정렬!$F57="",Calc_오픈정렬!H57=""),"",Calc_오픈정렬!H57/Calc_오픈정렬!$F57*100)</f>
        <v>83.066076313046025</v>
      </c>
      <c r="I57">
        <f>IF(OR(Calc_오픈정렬!$F57="",Calc_오픈정렬!I57=""),"",Calc_오픈정렬!I57/Calc_오픈정렬!$F57*100)</f>
        <v>77.309492400200412</v>
      </c>
      <c r="J57">
        <f>IF(OR(Calc_오픈정렬!$F57="",Calc_오픈정렬!J57=""),"",Calc_오픈정렬!J57/Calc_오픈정렬!$F57*100)</f>
        <v>75.350103456274226</v>
      </c>
      <c r="K57">
        <f>IF(OR(Calc_오픈정렬!$F57="",Calc_오픈정렬!K57=""),"",Calc_오픈정렬!K57/Calc_오픈정렬!$F57*100)</f>
        <v>100.77183727197693</v>
      </c>
      <c r="L57">
        <f>IF(OR(Calc_오픈정렬!$F57="",Calc_오픈정렬!L57=""),"",Calc_오픈정렬!L57/Calc_오픈정렬!$F57*100)</f>
        <v>99.755208654667697</v>
      </c>
      <c r="M57">
        <f>IF(OR(Calc_오픈정렬!$F57="",Calc_오픈정렬!M57=""),"",Calc_오픈정렬!M57/Calc_오픈정렬!$F57*100)</f>
        <v>102.24448754316133</v>
      </c>
      <c r="N57">
        <f>IF(OR(Calc_오픈정렬!$F57="",Calc_오픈정렬!N57=""),"",Calc_오픈정렬!N57/Calc_오픈정렬!$F57*100)</f>
        <v>104.49363682769585</v>
      </c>
      <c r="O57">
        <f>IF(OR(Calc_오픈정렬!$F57="",Calc_오픈정렬!O57=""),"",Calc_오픈정렬!O57/Calc_오픈정렬!$F57*100)</f>
        <v>117.38472624622396</v>
      </c>
      <c r="P57">
        <f>IF(OR(Calc_오픈정렬!$F57="",Calc_오픈정렬!P57=""),"",Calc_오픈정렬!P57/Calc_오픈정렬!$F57*100)</f>
        <v>101.87801194544714</v>
      </c>
      <c r="Q57">
        <f>IF(OR(Calc_오픈정렬!$F57="",Calc_오픈정렬!Q57=""),"",Calc_오픈정렬!Q57/Calc_오픈정렬!$F57*100)</f>
        <v>122.97558684471836</v>
      </c>
      <c r="R57">
        <f>IF(OR(Calc_오픈정렬!$F57="",Calc_오픈정렬!R57=""),"",Calc_오픈정렬!R57/Calc_오픈정렬!$F57*100)</f>
        <v>107.71540888519749</v>
      </c>
      <c r="S57">
        <f>IF(OR(Calc_오픈정렬!$F57="",Calc_오픈정렬!S57=""),"",Calc_오픈정렬!S57/Calc_오픈정렬!$F57*100)</f>
        <v>121.89907711874748</v>
      </c>
      <c r="T57">
        <f>IF(OR(Calc_오픈정렬!$F57="",Calc_오픈정렬!T57=""),"",Calc_오픈정렬!T57/Calc_오픈정렬!$F57*100)</f>
        <v>133.8741106159693</v>
      </c>
      <c r="U57">
        <f>IF(OR(Calc_오픈정렬!$F57="",Calc_오픈정렬!U57=""),"",Calc_오픈정렬!U57/Calc_오픈정렬!$F57*100)</f>
        <v>119.79154197653172</v>
      </c>
      <c r="V57">
        <f>IF(OR(Calc_오픈정렬!$F57="",Calc_오픈정렬!V57=""),"",Calc_오픈정렬!V57/Calc_오픈정렬!$F57*100)</f>
        <v>114.60312808733528</v>
      </c>
      <c r="W57">
        <f>IF(OR(Calc_오픈정렬!$F57="",Calc_오픈정렬!W57=""),"",Calc_오픈정렬!W57/Calc_오픈정렬!$F57*100)</f>
        <v>117.15936835071142</v>
      </c>
      <c r="X57">
        <f>IF(OR(Calc_오픈정렬!$F57="",Calc_오픈정렬!X57=""),"",Calc_오픈정렬!X57/Calc_오픈정렬!$F57*100)</f>
        <v>119.90591168046336</v>
      </c>
      <c r="Y57">
        <f>IF(OR(Calc_오픈정렬!$F57="",Calc_오픈정렬!Y57=""),"",Calc_오픈정렬!Y57/Calc_오픈정렬!$F57*100)</f>
        <v>127.28179047037054</v>
      </c>
      <c r="Z57">
        <f>IF(OR(Calc_오픈정렬!$F57="",Calc_오픈정렬!Z57=""),"",Calc_오픈정렬!Z57/Calc_오픈정렬!$F57*100)</f>
        <v>110.13310843923117</v>
      </c>
      <c r="AA57">
        <f>IF(OR(Calc_오픈정렬!$F57="",Calc_오픈정렬!AA57=""),"",Calc_오픈정렬!AA57/Calc_오픈정렬!$F57*100)</f>
        <v>118.75419795607624</v>
      </c>
      <c r="AB57">
        <f>IF(OR(Calc_오픈정렬!$F57="",Calc_오픈정렬!AB57=""),"",Calc_오픈정렬!AB57/Calc_오픈정렬!$F57*100)</f>
        <v>130.53170544178894</v>
      </c>
      <c r="AC57">
        <f>IF(OR(Calc_오픈정렬!$F57="",Calc_오픈정렬!AC57=""),"",Calc_오픈정렬!AC57/Calc_오픈정렬!$F57*100)</f>
        <v>124.4557079278416</v>
      </c>
      <c r="AD57">
        <f>IF(OR(Calc_오픈정렬!$F57="",Calc_오픈정렬!AD57=""),"",Calc_오픈정렬!AD57/Calc_오픈정렬!$F57*100)</f>
        <v>130.66049415235477</v>
      </c>
      <c r="AE57">
        <f>IF(OR(Calc_오픈정렬!$F57="",Calc_오픈정렬!AE57=""),"",Calc_오픈정렬!AE57/Calc_오픈정렬!$F57*100)</f>
        <v>117.16567496192644</v>
      </c>
      <c r="AF57">
        <f>IF(OR(Calc_오픈정렬!$F57="",Calc_오픈정렬!AF57=""),"",Calc_오픈정렬!AF57/Calc_오픈정렬!$F57*100)</f>
        <v>118.10401347925716</v>
      </c>
      <c r="AG57">
        <f>IF(OR(Calc_오픈정렬!$F57="",Calc_오픈정렬!AG57=""),"",Calc_오픈정렬!AG57/Calc_오픈정렬!$F57*100)</f>
        <v>108.23858243941791</v>
      </c>
      <c r="AH57">
        <f>IF(OR(Calc_오픈정렬!$F57="",Calc_오픈정렬!AH57=""),"",Calc_오픈정렬!AH57/Calc_오픈정렬!$F57*100)</f>
        <v>100.16569135976398</v>
      </c>
      <c r="AI57">
        <f>IF(OR(Calc_오픈정렬!$F57="",Calc_오픈정렬!AI57=""),"",Calc_오픈정렬!AI57/Calc_오픈정렬!$F57*100)</f>
        <v>127.50850564984455</v>
      </c>
      <c r="AJ57">
        <f>IF(OR(Calc_오픈정렬!$F57="",Calc_오픈정렬!AJ57=""),"",Calc_오픈정렬!AJ57/Calc_오픈정렬!$F57*100)</f>
        <v>119.29485759165357</v>
      </c>
      <c r="AK57">
        <f>IF(OR(Calc_오픈정렬!$F57="",Calc_오픈정렬!AK57=""),"",Calc_오픈정렬!AK57/Calc_오픈정렬!$F57*100)</f>
        <v>114.39429542610355</v>
      </c>
      <c r="AL57">
        <f>IF(OR(Calc_오픈정렬!$F57="",Calc_오픈정렬!AL57=""),"",Calc_오픈정렬!AL57/Calc_오픈정렬!$F57*100)</f>
        <v>107.63360746792443</v>
      </c>
      <c r="AM57">
        <f>IF(OR(Calc_오픈정렬!$F57="",Calc_오픈정렬!AM57=""),"",Calc_오픈정렬!AM57/Calc_오픈정렬!$F57*100)</f>
        <v>127.31661464255856</v>
      </c>
      <c r="AN57">
        <f>IF(OR(Calc_오픈정렬!$F57="",Calc_오픈정렬!AN57=""),"",Calc_오픈정렬!AN57/Calc_오픈정렬!$F57*100)</f>
        <v>133.26027512919333</v>
      </c>
      <c r="AO57">
        <f>IF(OR(Calc_오픈정렬!$F57="",Calc_오픈정렬!AO57=""),"",Calc_오픈정렬!AO57/Calc_오픈정렬!$F57*100)</f>
        <v>118.77333883389218</v>
      </c>
      <c r="AP57">
        <f>IF(OR(Calc_오픈정렬!$F57="",Calc_오픈정렬!AP57=""),"",Calc_오픈정렬!AP57/Calc_오픈정렬!$F57*100)</f>
        <v>114.75450492669255</v>
      </c>
      <c r="AQ57">
        <f>IF(OR(Calc_오픈정렬!$F57="",Calc_오픈정렬!AQ57=""),"",Calc_오픈정렬!AQ57/Calc_오픈정렬!$F57*100)</f>
        <v>104.02180466152315</v>
      </c>
      <c r="AR57">
        <f>IF(OR(Calc_오픈정렬!$F57="",Calc_오픈정렬!AR57=""),"",Calc_오픈정렬!AR57/Calc_오픈정렬!$F57*100)</f>
        <v>112.79285701917827</v>
      </c>
      <c r="AS57">
        <f>IF(OR(Calc_오픈정렬!$F57="",Calc_오픈정렬!AS57=""),"",Calc_오픈정렬!AS57/Calc_오픈정렬!$F57*100)</f>
        <v>107.99265783949836</v>
      </c>
      <c r="AT57">
        <f>IF(OR(Calc_오픈정렬!$F57="",Calc_오픈정렬!AT57=""),"",Calc_오픈정렬!AT57/Calc_오픈정렬!$F57*100)</f>
        <v>105.01919387230613</v>
      </c>
      <c r="AU57">
        <f>IF(OR(Calc_오픈정렬!$F57="",Calc_오픈정렬!AU57=""),"",Calc_오픈정렬!AU57/Calc_오픈정렬!$F57*100)</f>
        <v>126.92129083099077</v>
      </c>
      <c r="AV57">
        <f>IF(OR(Calc_오픈정렬!$F57="",Calc_오픈정렬!AV57=""),"",Calc_오픈정렬!AV57/Calc_오픈정렬!$F57*100)</f>
        <v>127.93963844149015</v>
      </c>
      <c r="AW57">
        <f>IF(OR(Calc_오픈정렬!$F57="",Calc_오픈정렬!AW57=""),"",Calc_오픈정렬!AW57/Calc_오픈정렬!$F57*100)</f>
        <v>109.94243411249091</v>
      </c>
      <c r="AX57">
        <f>IF(OR(Calc_오픈정렬!$F57="",Calc_오픈정렬!AX57=""),"",Calc_오픈정렬!AX57/Calc_오픈정렬!$F57*100)</f>
        <v>109.92928270097346</v>
      </c>
      <c r="AY57">
        <f>IF(OR(Calc_오픈정렬!$F57="",Calc_오픈정렬!AY57=""),"",Calc_오픈정렬!AY57/Calc_오픈정렬!$F57*100)</f>
        <v>123.97862792791572</v>
      </c>
      <c r="AZ57" t="str">
        <f>IF(OR(Calc_오픈정렬!$F57="",Calc_오픈정렬!AZ57=""),"",Calc_오픈정렬!AZ57/Calc_오픈정렬!$F57*100)</f>
        <v/>
      </c>
      <c r="BA57" t="str">
        <f>IF(OR(Calc_오픈정렬!$F57="",Calc_오픈정렬!BA57=""),"",Calc_오픈정렬!BA57/Calc_오픈정렬!$F57*100)</f>
        <v/>
      </c>
      <c r="BB57" t="str">
        <f>IF(OR(Calc_오픈정렬!$F57="",Calc_오픈정렬!BB57=""),"",Calc_오픈정렬!BB57/Calc_오픈정렬!$F57*100)</f>
        <v/>
      </c>
      <c r="BC57" t="str">
        <f>IF(OR(Calc_오픈정렬!$F57="",Calc_오픈정렬!BC57=""),"",Calc_오픈정렬!BC57/Calc_오픈정렬!$F57*100)</f>
        <v/>
      </c>
      <c r="BD57" t="str">
        <f>IF(OR(Calc_오픈정렬!$F57="",Calc_오픈정렬!BD57=""),"",Calc_오픈정렬!BD57/Calc_오픈정렬!$F57*100)</f>
        <v/>
      </c>
      <c r="BE57" t="str">
        <f>IF(OR(Calc_오픈정렬!$F57="",Calc_오픈정렬!BE57=""),"",Calc_오픈정렬!BE57/Calc_오픈정렬!$F57*100)</f>
        <v/>
      </c>
      <c r="BF57" t="str">
        <f>IF(OR(Calc_오픈정렬!$F57="",Calc_오픈정렬!BF57=""),"",Calc_오픈정렬!BF57/Calc_오픈정렬!$F57*100)</f>
        <v/>
      </c>
      <c r="BG57" t="str">
        <f>IF(OR(Calc_오픈정렬!$F57="",Calc_오픈정렬!BG57=""),"",Calc_오픈정렬!BG57/Calc_오픈정렬!$F57*100)</f>
        <v/>
      </c>
      <c r="BH57" t="str">
        <f>IF(OR(Calc_오픈정렬!$F57="",Calc_오픈정렬!BH57=""),"",Calc_오픈정렬!BH57/Calc_오픈정렬!$F57*100)</f>
        <v/>
      </c>
      <c r="BI57" t="str">
        <f>IF(OR(Calc_오픈정렬!$F57="",Calc_오픈정렬!BI57=""),"",Calc_오픈정렬!BI57/Calc_오픈정렬!$F57*100)</f>
        <v/>
      </c>
      <c r="BJ57" t="str">
        <f>IF(OR(Calc_오픈정렬!$F57="",Calc_오픈정렬!BJ57=""),"",Calc_오픈정렬!BJ57/Calc_오픈정렬!$F57*100)</f>
        <v/>
      </c>
      <c r="BK57" t="str">
        <f>IF(OR(Calc_오픈정렬!$F57="",Calc_오픈정렬!BK57=""),"",Calc_오픈정렬!BK57/Calc_오픈정렬!$F57*100)</f>
        <v/>
      </c>
      <c r="BL57" t="str">
        <f>IF(OR(Calc_오픈정렬!$F57="",Calc_오픈정렬!BL57=""),"",Calc_오픈정렬!BL57/Calc_오픈정렬!$F57*100)</f>
        <v/>
      </c>
      <c r="BM57" t="str">
        <f>IF(OR(Calc_오픈정렬!$F57="",Calc_오픈정렬!BM57=""),"",Calc_오픈정렬!BM57/Calc_오픈정렬!$F57*100)</f>
        <v/>
      </c>
      <c r="BN57" t="str">
        <f>IF(OR(Calc_오픈정렬!$F57="",Calc_오픈정렬!BN57=""),"",Calc_오픈정렬!BN57/Calc_오픈정렬!$F57*100)</f>
        <v/>
      </c>
    </row>
    <row r="58" spans="1:66" x14ac:dyDescent="0.4">
      <c r="A58" t="str">
        <f>Calc_오픈정렬!A58</f>
        <v>(1047) #복우물공원점</v>
      </c>
      <c r="B58" t="str">
        <f>Calc_오픈정렬!B58</f>
        <v>150-2</v>
      </c>
      <c r="C58">
        <f>Calc_오픈정렬!C58</f>
        <v>2</v>
      </c>
      <c r="D58" t="str">
        <f>Calc_오픈정렬!D58</f>
        <v>2</v>
      </c>
      <c r="E58" s="1">
        <f>Calc_오픈정렬!E58</f>
        <v>44805</v>
      </c>
      <c r="F58">
        <f>Calc_오픈정렬!F58</f>
        <v>2818268.3051231508</v>
      </c>
      <c r="G58">
        <f>IF(OR(Calc_오픈정렬!$F58="",Calc_오픈정렬!G58=""),"",Calc_오픈정렬!G58/Calc_오픈정렬!$F58*100)</f>
        <v>78.328665014744146</v>
      </c>
      <c r="H58">
        <f>IF(OR(Calc_오픈정렬!$F58="",Calc_오픈정렬!H58=""),"",Calc_오픈정렬!H58/Calc_오픈정렬!$F58*100)</f>
        <v>85.141194890748281</v>
      </c>
      <c r="I58">
        <f>IF(OR(Calc_오픈정렬!$F58="",Calc_오픈정렬!I58=""),"",Calc_오픈정렬!I58/Calc_오픈정렬!$F58*100)</f>
        <v>89.05414416030537</v>
      </c>
      <c r="J58">
        <f>IF(OR(Calc_오픈정렬!$F58="",Calc_오픈정렬!J58=""),"",Calc_오픈정렬!J58/Calc_오픈정렬!$F58*100)</f>
        <v>85.315460479778068</v>
      </c>
      <c r="K58">
        <f>IF(OR(Calc_오픈정렬!$F58="",Calc_오픈정렬!K58=""),"",Calc_오픈정렬!K58/Calc_오픈정렬!$F58*100)</f>
        <v>103.41267465957461</v>
      </c>
      <c r="L58">
        <f>IF(OR(Calc_오픈정렬!$F58="",Calc_오픈정렬!L58=""),"",Calc_오픈정렬!L58/Calc_오픈정렬!$F58*100)</f>
        <v>100.19130266815969</v>
      </c>
      <c r="M58">
        <f>IF(OR(Calc_오픈정렬!$F58="",Calc_오픈정렬!M58=""),"",Calc_오픈정렬!M58/Calc_오픈정렬!$F58*100)</f>
        <v>98.88421430325694</v>
      </c>
      <c r="N58">
        <f>IF(OR(Calc_오픈정렬!$F58="",Calc_오픈정렬!N58=""),"",Calc_오픈정렬!N58/Calc_오픈정렬!$F58*100)</f>
        <v>98.929025137812303</v>
      </c>
      <c r="O58">
        <f>IF(OR(Calc_오픈정렬!$F58="",Calc_오픈정렬!O58=""),"",Calc_오픈정렬!O58/Calc_오픈정렬!$F58*100)</f>
        <v>113.26732275141842</v>
      </c>
      <c r="P58">
        <f>IF(OR(Calc_오픈정렬!$F58="",Calc_오픈정렬!P58=""),"",Calc_오픈정렬!P58/Calc_오픈정렬!$F58*100)</f>
        <v>103.06383979874812</v>
      </c>
      <c r="Q58">
        <f>IF(OR(Calc_오픈정렬!$F58="",Calc_오픈정렬!Q58=""),"",Calc_오픈정렬!Q58/Calc_오픈정렬!$F58*100)</f>
        <v>98.080583277420672</v>
      </c>
      <c r="R58">
        <f>IF(OR(Calc_오픈정렬!$F58="",Calc_오픈정렬!R58=""),"",Calc_오픈정렬!R58/Calc_오픈정렬!$F58*100)</f>
        <v>96.213090800395122</v>
      </c>
      <c r="S58">
        <f>IF(OR(Calc_오픈정렬!$F58="",Calc_오픈정렬!S58=""),"",Calc_오픈정렬!S58/Calc_오픈정렬!$F58*100)</f>
        <v>125.77296227438059</v>
      </c>
      <c r="T58">
        <f>IF(OR(Calc_오픈정렬!$F58="",Calc_오픈정렬!T58=""),"",Calc_오픈정렬!T58/Calc_오픈정렬!$F58*100)</f>
        <v>115.04820220302288</v>
      </c>
      <c r="U58">
        <f>IF(OR(Calc_오픈정렬!$F58="",Calc_오픈정렬!U58=""),"",Calc_오픈정렬!U58/Calc_오픈정렬!$F58*100)</f>
        <v>112.72352920406045</v>
      </c>
      <c r="V58">
        <f>IF(OR(Calc_오픈정렬!$F58="",Calc_오픈정렬!V58=""),"",Calc_오픈정렬!V58/Calc_오픈정렬!$F58*100)</f>
        <v>119.27537682238054</v>
      </c>
      <c r="W58">
        <f>IF(OR(Calc_오픈정렬!$F58="",Calc_오픈정렬!W58=""),"",Calc_오픈정렬!W58/Calc_오픈정렬!$F58*100)</f>
        <v>133.99059533525352</v>
      </c>
      <c r="X58">
        <f>IF(OR(Calc_오픈정렬!$F58="",Calc_오픈정렬!X58=""),"",Calc_오픈정렬!X58/Calc_오픈정렬!$F58*100)</f>
        <v>124.03935853434143</v>
      </c>
      <c r="Y58">
        <f>IF(OR(Calc_오픈정렬!$F58="",Calc_오픈정렬!Y58=""),"",Calc_오픈정렬!Y58/Calc_오픈정렬!$F58*100)</f>
        <v>129.90420693642415</v>
      </c>
      <c r="Z58">
        <f>IF(OR(Calc_오픈정렬!$F58="",Calc_오픈정렬!Z58=""),"",Calc_오픈정렬!Z58/Calc_오픈정렬!$F58*100)</f>
        <v>140.88331530032627</v>
      </c>
      <c r="AA58">
        <f>IF(OR(Calc_오픈정렬!$F58="",Calc_오픈정렬!AA58=""),"",Calc_오픈정렬!AA58/Calc_오픈정렬!$F58*100)</f>
        <v>116.55067758069247</v>
      </c>
      <c r="AB58">
        <f>IF(OR(Calc_오픈정렬!$F58="",Calc_오픈정렬!AB58=""),"",Calc_오픈정렬!AB58/Calc_오픈정렬!$F58*100)</f>
        <v>137.56804608876615</v>
      </c>
      <c r="AC58">
        <f>IF(OR(Calc_오픈정렬!$F58="",Calc_오픈정렬!AC58=""),"",Calc_오픈정렬!AC58/Calc_오픈정렬!$F58*100)</f>
        <v>135.02816778489898</v>
      </c>
      <c r="AD58">
        <f>IF(OR(Calc_오픈정렬!$F58="",Calc_오픈정렬!AD58=""),"",Calc_오픈정렬!AD58/Calc_오픈정렬!$F58*100)</f>
        <v>129.41999420277219</v>
      </c>
      <c r="AE58">
        <f>IF(OR(Calc_오픈정렬!$F58="",Calc_오픈정렬!AE58=""),"",Calc_오픈정렬!AE58/Calc_오픈정렬!$F58*100)</f>
        <v>128.12965486137588</v>
      </c>
      <c r="AF58">
        <f>IF(OR(Calc_오픈정렬!$F58="",Calc_오픈정렬!AF58=""),"",Calc_오픈정렬!AF58/Calc_오픈정렬!$F58*100)</f>
        <v>118.50149002261733</v>
      </c>
      <c r="AG58">
        <f>IF(OR(Calc_오픈정렬!$F58="",Calc_오픈정렬!AG58=""),"",Calc_오픈정렬!AG58/Calc_오픈정렬!$F58*100)</f>
        <v>122.57299252680379</v>
      </c>
      <c r="AH58">
        <f>IF(OR(Calc_오픈정렬!$F58="",Calc_오픈정렬!AH58=""),"",Calc_오픈정렬!AH58/Calc_오픈정렬!$F58*100)</f>
        <v>107.04737576107357</v>
      </c>
      <c r="AI58">
        <f>IF(OR(Calc_오픈정렬!$F58="",Calc_오픈정렬!AI58=""),"",Calc_오픈정렬!AI58/Calc_오픈정렬!$F58*100)</f>
        <v>123.28304143311706</v>
      </c>
      <c r="AJ58">
        <f>IF(OR(Calc_오픈정렬!$F58="",Calc_오픈정렬!AJ58=""),"",Calc_오픈정렬!AJ58/Calc_오픈정렬!$F58*100)</f>
        <v>146.24983386531665</v>
      </c>
      <c r="AK58">
        <f>IF(OR(Calc_오픈정렬!$F58="",Calc_오픈정렬!AK58=""),"",Calc_오픈정렬!AK58/Calc_오픈정렬!$F58*100)</f>
        <v>136.76183450147278</v>
      </c>
      <c r="AL58">
        <f>IF(OR(Calc_오픈정렬!$F58="",Calc_오픈정렬!AL58=""),"",Calc_오픈정렬!AL58/Calc_오픈정렬!$F58*100)</f>
        <v>142.12576531311447</v>
      </c>
      <c r="AM58">
        <f>IF(OR(Calc_오픈정렬!$F58="",Calc_오픈정렬!AM58=""),"",Calc_오픈정렬!AM58/Calc_오픈정렬!$F58*100)</f>
        <v>148.25508856650421</v>
      </c>
      <c r="AN58">
        <f>IF(OR(Calc_오픈정렬!$F58="",Calc_오픈정렬!AN58=""),"",Calc_오픈정렬!AN58/Calc_오픈정렬!$F58*100)</f>
        <v>153.97989672642242</v>
      </c>
      <c r="AO58">
        <f>IF(OR(Calc_오픈정렬!$F58="",Calc_오픈정렬!AO58=""),"",Calc_오픈정렬!AO58/Calc_오픈정렬!$F58*100)</f>
        <v>119.4444223707081</v>
      </c>
      <c r="AP58">
        <f>IF(OR(Calc_오픈정렬!$F58="",Calc_오픈정렬!AP58=""),"",Calc_오픈정렬!AP58/Calc_오픈정렬!$F58*100)</f>
        <v>137.42094548328211</v>
      </c>
      <c r="AQ58">
        <f>IF(OR(Calc_오픈정렬!$F58="",Calc_오픈정렬!AQ58=""),"",Calc_오픈정렬!AQ58/Calc_오픈정렬!$F58*100)</f>
        <v>128.73566152660325</v>
      </c>
      <c r="AR58">
        <f>IF(OR(Calc_오픈정렬!$F58="",Calc_오픈정렬!AR58=""),"",Calc_오픈정렬!AR58/Calc_오픈정렬!$F58*100)</f>
        <v>136.77168478015182</v>
      </c>
      <c r="AS58">
        <f>IF(OR(Calc_오픈정렬!$F58="",Calc_오픈정렬!AS58=""),"",Calc_오픈정렬!AS58/Calc_오픈정렬!$F58*100)</f>
        <v>124.66216934924033</v>
      </c>
      <c r="AT58">
        <f>IF(OR(Calc_오픈정렬!$F58="",Calc_오픈정렬!AT58=""),"",Calc_오픈정렬!AT58/Calc_오픈정렬!$F58*100)</f>
        <v>121.67908385493173</v>
      </c>
      <c r="AU58">
        <f>IF(OR(Calc_오픈정렬!$F58="",Calc_오픈정렬!AU58=""),"",Calc_오픈정렬!AU58/Calc_오픈정렬!$F58*100)</f>
        <v>127.00164588256671</v>
      </c>
      <c r="AV58">
        <f>IF(OR(Calc_오픈정렬!$F58="",Calc_오픈정렬!AV58=""),"",Calc_오픈정렬!AV58/Calc_오픈정렬!$F58*100)</f>
        <v>139.21539408554796</v>
      </c>
      <c r="AW58">
        <f>IF(OR(Calc_오픈정렬!$F58="",Calc_오픈정렬!AW58=""),"",Calc_오픈정렬!AW58/Calc_오픈정렬!$F58*100)</f>
        <v>130.17442229308739</v>
      </c>
      <c r="AX58">
        <f>IF(OR(Calc_오픈정렬!$F58="",Calc_오픈정렬!AX58=""),"",Calc_오픈정렬!AX58/Calc_오픈정렬!$F58*100)</f>
        <v>135.22445004527728</v>
      </c>
      <c r="AY58">
        <f>IF(OR(Calc_오픈정렬!$F58="",Calc_오픈정렬!AY58=""),"",Calc_오픈정렬!AY58/Calc_오픈정렬!$F58*100)</f>
        <v>139.28159562951288</v>
      </c>
      <c r="AZ58" t="str">
        <f>IF(OR(Calc_오픈정렬!$F58="",Calc_오픈정렬!AZ58=""),"",Calc_오픈정렬!AZ58/Calc_오픈정렬!$F58*100)</f>
        <v/>
      </c>
      <c r="BA58" t="str">
        <f>IF(OR(Calc_오픈정렬!$F58="",Calc_오픈정렬!BA58=""),"",Calc_오픈정렬!BA58/Calc_오픈정렬!$F58*100)</f>
        <v/>
      </c>
      <c r="BB58" t="str">
        <f>IF(OR(Calc_오픈정렬!$F58="",Calc_오픈정렬!BB58=""),"",Calc_오픈정렬!BB58/Calc_오픈정렬!$F58*100)</f>
        <v/>
      </c>
      <c r="BC58" t="str">
        <f>IF(OR(Calc_오픈정렬!$F58="",Calc_오픈정렬!BC58=""),"",Calc_오픈정렬!BC58/Calc_오픈정렬!$F58*100)</f>
        <v/>
      </c>
      <c r="BD58" t="str">
        <f>IF(OR(Calc_오픈정렬!$F58="",Calc_오픈정렬!BD58=""),"",Calc_오픈정렬!BD58/Calc_오픈정렬!$F58*100)</f>
        <v/>
      </c>
      <c r="BE58" t="str">
        <f>IF(OR(Calc_오픈정렬!$F58="",Calc_오픈정렬!BE58=""),"",Calc_오픈정렬!BE58/Calc_오픈정렬!$F58*100)</f>
        <v/>
      </c>
      <c r="BF58" t="str">
        <f>IF(OR(Calc_오픈정렬!$F58="",Calc_오픈정렬!BF58=""),"",Calc_오픈정렬!BF58/Calc_오픈정렬!$F58*100)</f>
        <v/>
      </c>
      <c r="BG58" t="str">
        <f>IF(OR(Calc_오픈정렬!$F58="",Calc_오픈정렬!BG58=""),"",Calc_오픈정렬!BG58/Calc_오픈정렬!$F58*100)</f>
        <v/>
      </c>
      <c r="BH58" t="str">
        <f>IF(OR(Calc_오픈정렬!$F58="",Calc_오픈정렬!BH58=""),"",Calc_오픈정렬!BH58/Calc_오픈정렬!$F58*100)</f>
        <v/>
      </c>
      <c r="BI58" t="str">
        <f>IF(OR(Calc_오픈정렬!$F58="",Calc_오픈정렬!BI58=""),"",Calc_오픈정렬!BI58/Calc_오픈정렬!$F58*100)</f>
        <v/>
      </c>
      <c r="BJ58" t="str">
        <f>IF(OR(Calc_오픈정렬!$F58="",Calc_오픈정렬!BJ58=""),"",Calc_오픈정렬!BJ58/Calc_오픈정렬!$F58*100)</f>
        <v/>
      </c>
      <c r="BK58" t="str">
        <f>IF(OR(Calc_오픈정렬!$F58="",Calc_오픈정렬!BK58=""),"",Calc_오픈정렬!BK58/Calc_오픈정렬!$F58*100)</f>
        <v/>
      </c>
      <c r="BL58" t="str">
        <f>IF(OR(Calc_오픈정렬!$F58="",Calc_오픈정렬!BL58=""),"",Calc_오픈정렬!BL58/Calc_오픈정렬!$F58*100)</f>
        <v/>
      </c>
      <c r="BM58" t="str">
        <f>IF(OR(Calc_오픈정렬!$F58="",Calc_오픈정렬!BM58=""),"",Calc_오픈정렬!BM58/Calc_오픈정렬!$F58*100)</f>
        <v/>
      </c>
      <c r="BN58" t="str">
        <f>IF(OR(Calc_오픈정렬!$F58="",Calc_오픈정렬!BN58=""),"",Calc_오픈정렬!BN58/Calc_오픈정렬!$F58*100)</f>
        <v/>
      </c>
    </row>
    <row r="59" spans="1:66" x14ac:dyDescent="0.4">
      <c r="A59" t="str">
        <f>Calc_오픈정렬!A59</f>
        <v>(1048) #라페스타호수점</v>
      </c>
      <c r="B59" t="str">
        <f>Calc_오픈정렬!B59</f>
        <v>150-2</v>
      </c>
      <c r="C59">
        <f>Calc_오픈정렬!C59</f>
        <v>2</v>
      </c>
      <c r="D59" t="str">
        <f>Calc_오픈정렬!D59</f>
        <v>2</v>
      </c>
      <c r="E59" s="1">
        <f>Calc_오픈정렬!E59</f>
        <v>44805</v>
      </c>
      <c r="F59">
        <f>Calc_오픈정렬!F59</f>
        <v>2392537.2372368961</v>
      </c>
      <c r="G59">
        <f>IF(OR(Calc_오픈정렬!$F59="",Calc_오픈정렬!G59=""),"",Calc_오픈정렬!G59/Calc_오픈정렬!$F59*100)</f>
        <v>50.739430942511731</v>
      </c>
      <c r="H59">
        <f>IF(OR(Calc_오픈정렬!$F59="",Calc_오픈정렬!H59=""),"",Calc_오픈정렬!H59/Calc_오픈정렬!$F59*100)</f>
        <v>69.748699225922422</v>
      </c>
      <c r="I59">
        <f>IF(OR(Calc_오픈정렬!$F59="",Calc_오픈정렬!I59=""),"",Calc_오픈정렬!I59/Calc_오픈정렬!$F59*100)</f>
        <v>89.002877614458953</v>
      </c>
      <c r="J59">
        <f>IF(OR(Calc_오픈정렬!$F59="",Calc_오픈정렬!J59=""),"",Calc_오픈정렬!J59/Calc_오픈정렬!$F59*100)</f>
        <v>71.264557121827551</v>
      </c>
      <c r="K59">
        <f>IF(OR(Calc_오픈정렬!$F59="",Calc_오픈정렬!K59=""),"",Calc_오픈정렬!K59/Calc_오픈정렬!$F59*100)</f>
        <v>92.747980075538351</v>
      </c>
      <c r="L59">
        <f>IF(OR(Calc_오픈정렬!$F59="",Calc_오픈정렬!L59=""),"",Calc_오픈정렬!L59/Calc_오픈정렬!$F59*100)</f>
        <v>99.299993857669108</v>
      </c>
      <c r="M59">
        <f>IF(OR(Calc_오픈정렬!$F59="",Calc_오픈정렬!M59=""),"",Calc_오픈정렬!M59/Calc_오픈정렬!$F59*100)</f>
        <v>110.45794449549342</v>
      </c>
      <c r="N59">
        <f>IF(OR(Calc_오픈정렬!$F59="",Calc_오픈정렬!N59=""),"",Calc_오픈정렬!N59/Calc_오픈정렬!$F59*100)</f>
        <v>107.99999523850505</v>
      </c>
      <c r="O59">
        <f>IF(OR(Calc_오픈정렬!$F59="",Calc_오픈정렬!O59=""),"",Calc_오픈정렬!O59/Calc_오픈정렬!$F59*100)</f>
        <v>118.22952921096656</v>
      </c>
      <c r="P59">
        <f>IF(OR(Calc_오픈정렬!$F59="",Calc_오픈정렬!P59=""),"",Calc_오픈정렬!P59/Calc_오픈정렬!$F59*100)</f>
        <v>129.39367543183064</v>
      </c>
      <c r="Q59">
        <f>IF(OR(Calc_오픈정렬!$F59="",Calc_오픈정렬!Q59=""),"",Calc_오픈정렬!Q59/Calc_오픈정렬!$F59*100)</f>
        <v>134.69885323866561</v>
      </c>
      <c r="R59">
        <f>IF(OR(Calc_오픈정렬!$F59="",Calc_오픈정렬!R59=""),"",Calc_오픈정렬!R59/Calc_오픈정렬!$F59*100)</f>
        <v>121.09508635676866</v>
      </c>
      <c r="S59">
        <f>IF(OR(Calc_오픈정렬!$F59="",Calc_오픈정렬!S59=""),"",Calc_오픈정렬!S59/Calc_오픈정렬!$F59*100)</f>
        <v>123.21049678872473</v>
      </c>
      <c r="T59">
        <f>IF(OR(Calc_오픈정렬!$F59="",Calc_오픈정렬!T59=""),"",Calc_오픈정렬!T59/Calc_오픈정렬!$F59*100)</f>
        <v>121.8703943706436</v>
      </c>
      <c r="U59">
        <f>IF(OR(Calc_오픈정렬!$F59="",Calc_오픈정렬!U59=""),"",Calc_오픈정렬!U59/Calc_오픈정렬!$F59*100)</f>
        <v>121.92230009702836</v>
      </c>
      <c r="V59">
        <f>IF(OR(Calc_오픈정렬!$F59="",Calc_오픈정렬!V59=""),"",Calc_오픈정렬!V59/Calc_오픈정렬!$F59*100)</f>
        <v>119.04324730815203</v>
      </c>
      <c r="W59">
        <f>IF(OR(Calc_오픈정렬!$F59="",Calc_오픈정렬!W59=""),"",Calc_오픈정렬!W59/Calc_오픈정렬!$F59*100)</f>
        <v>133.98246687331357</v>
      </c>
      <c r="X59">
        <f>IF(OR(Calc_오픈정렬!$F59="",Calc_오픈정렬!X59=""),"",Calc_오픈정렬!X59/Calc_오픈정렬!$F59*100)</f>
        <v>132.93306293830037</v>
      </c>
      <c r="Y59">
        <f>IF(OR(Calc_오픈정렬!$F59="",Calc_오픈정렬!Y59=""),"",Calc_오픈정렬!Y59/Calc_오픈정렬!$F59*100)</f>
        <v>137.19281030591941</v>
      </c>
      <c r="Z59">
        <f>IF(OR(Calc_오픈정렬!$F59="",Calc_오픈정렬!Z59=""),"",Calc_오픈정렬!Z59/Calc_오픈정렬!$F59*100)</f>
        <v>150.51998534303297</v>
      </c>
      <c r="AA59">
        <f>IF(OR(Calc_오픈정렬!$F59="",Calc_오픈정렬!AA59=""),"",Calc_오픈정렬!AA59/Calc_오픈정렬!$F59*100)</f>
        <v>120.13159461129061</v>
      </c>
      <c r="AB59">
        <f>IF(OR(Calc_오픈정렬!$F59="",Calc_오픈정렬!AB59=""),"",Calc_오픈정렬!AB59/Calc_오픈정렬!$F59*100)</f>
        <v>131.46551948062128</v>
      </c>
      <c r="AC59">
        <f>IF(OR(Calc_오픈정렬!$F59="",Calc_오픈정렬!AC59=""),"",Calc_오픈정렬!AC59/Calc_오픈정렬!$F59*100)</f>
        <v>126.17810763880458</v>
      </c>
      <c r="AD59">
        <f>IF(OR(Calc_오픈정렬!$F59="",Calc_오픈정렬!AD59=""),"",Calc_오픈정렬!AD59/Calc_오픈정렬!$F59*100)</f>
        <v>145.67863813465894</v>
      </c>
      <c r="AE59">
        <f>IF(OR(Calc_오픈정렬!$F59="",Calc_오픈정렬!AE59=""),"",Calc_오픈정렬!AE59/Calc_오픈정렬!$F59*100)</f>
        <v>141.79121578606896</v>
      </c>
      <c r="AF59">
        <f>IF(OR(Calc_오픈정렬!$F59="",Calc_오픈정렬!AF59=""),"",Calc_오픈정렬!AF59/Calc_오픈정렬!$F59*100)</f>
        <v>147.22254598404717</v>
      </c>
      <c r="AG59">
        <f>IF(OR(Calc_오픈정렬!$F59="",Calc_오픈정렬!AG59=""),"",Calc_오픈정렬!AG59/Calc_오픈정렬!$F59*100)</f>
        <v>138.99222502335579</v>
      </c>
      <c r="AH59">
        <f>IF(OR(Calc_오픈정렬!$F59="",Calc_오픈정렬!AH59=""),"",Calc_오픈정렬!AH59/Calc_오픈정렬!$F59*100)</f>
        <v>144.56450480941044</v>
      </c>
      <c r="AI59">
        <f>IF(OR(Calc_오픈정렬!$F59="",Calc_오픈정렬!AI59=""),"",Calc_오픈정렬!AI59/Calc_오픈정렬!$F59*100)</f>
        <v>169.1373393948785</v>
      </c>
      <c r="AJ59">
        <f>IF(OR(Calc_오픈정렬!$F59="",Calc_오픈정렬!AJ59=""),"",Calc_오픈정렬!AJ59/Calc_오픈정렬!$F59*100)</f>
        <v>158.90974297941892</v>
      </c>
      <c r="AK59">
        <f>IF(OR(Calc_오픈정렬!$F59="",Calc_오픈정렬!AK59=""),"",Calc_오픈정렬!AK59/Calc_오픈정렬!$F59*100)</f>
        <v>153.69483149193812</v>
      </c>
      <c r="AL59">
        <f>IF(OR(Calc_오픈정렬!$F59="",Calc_오픈정렬!AL59=""),"",Calc_오픈정렬!AL59/Calc_오픈정렬!$F59*100)</f>
        <v>168.65280988949382</v>
      </c>
      <c r="AM59">
        <f>IF(OR(Calc_오픈정렬!$F59="",Calc_오픈정렬!AM59=""),"",Calc_오픈정렬!AM59/Calc_오픈정렬!$F59*100)</f>
        <v>176.10864549069188</v>
      </c>
      <c r="AN59">
        <f>IF(OR(Calc_오픈정렬!$F59="",Calc_오픈정렬!AN59=""),"",Calc_오픈정렬!AN59/Calc_오픈정렬!$F59*100)</f>
        <v>167.08944448440982</v>
      </c>
      <c r="AO59">
        <f>IF(OR(Calc_오픈정렬!$F59="",Calc_오픈정렬!AO59=""),"",Calc_오픈정렬!AO59/Calc_오픈정렬!$F59*100)</f>
        <v>150.56245317692614</v>
      </c>
      <c r="AP59">
        <f>IF(OR(Calc_오픈정렬!$F59="",Calc_오픈정렬!AP59=""),"",Calc_오픈정렬!AP59/Calc_오픈정렬!$F59*100)</f>
        <v>154.6752678381138</v>
      </c>
      <c r="AQ59">
        <f>IF(OR(Calc_오픈정렬!$F59="",Calc_오픈정렬!AQ59=""),"",Calc_오픈정렬!AQ59/Calc_오픈정렬!$F59*100)</f>
        <v>144.13519999568672</v>
      </c>
      <c r="AR59">
        <f>IF(OR(Calc_오픈정렬!$F59="",Calc_오픈정렬!AR59=""),"",Calc_오픈정렬!AR59/Calc_오픈정렬!$F59*100)</f>
        <v>162.01476622942036</v>
      </c>
      <c r="AS59">
        <f>IF(OR(Calc_오픈정렬!$F59="",Calc_오픈정렬!AS59=""),"",Calc_오픈정렬!AS59/Calc_오픈정렬!$F59*100)</f>
        <v>138.34788754671527</v>
      </c>
      <c r="AT59">
        <f>IF(OR(Calc_오픈정렬!$F59="",Calc_오픈정렬!AT59=""),"",Calc_오픈정렬!AT59/Calc_오픈정렬!$F59*100)</f>
        <v>155.43920182060518</v>
      </c>
      <c r="AU59">
        <f>IF(OR(Calc_오픈정렬!$F59="",Calc_오픈정렬!AU59=""),"",Calc_오픈정렬!AU59/Calc_오픈정렬!$F59*100)</f>
        <v>194.11972839635891</v>
      </c>
      <c r="AV59">
        <f>IF(OR(Calc_오픈정렬!$F59="",Calc_오픈정렬!AV59=""),"",Calc_오픈정렬!AV59/Calc_오픈정렬!$F59*100)</f>
        <v>166.99010952079581</v>
      </c>
      <c r="AW59">
        <f>IF(OR(Calc_오픈정렬!$F59="",Calc_오픈정렬!AW59=""),"",Calc_오픈정렬!AW59/Calc_오픈정렬!$F59*100)</f>
        <v>159.40053489432412</v>
      </c>
      <c r="AX59">
        <f>IF(OR(Calc_오픈정렬!$F59="",Calc_오픈정렬!AX59=""),"",Calc_오픈정렬!AX59/Calc_오픈정렬!$F59*100)</f>
        <v>188.83648656129785</v>
      </c>
      <c r="AY59">
        <f>IF(OR(Calc_오픈정렬!$F59="",Calc_오픈정렬!AY59=""),"",Calc_오픈정렬!AY59/Calc_오픈정렬!$F59*100)</f>
        <v>197.66009766996319</v>
      </c>
      <c r="AZ59" t="str">
        <f>IF(OR(Calc_오픈정렬!$F59="",Calc_오픈정렬!AZ59=""),"",Calc_오픈정렬!AZ59/Calc_오픈정렬!$F59*100)</f>
        <v/>
      </c>
      <c r="BA59" t="str">
        <f>IF(OR(Calc_오픈정렬!$F59="",Calc_오픈정렬!BA59=""),"",Calc_오픈정렬!BA59/Calc_오픈정렬!$F59*100)</f>
        <v/>
      </c>
      <c r="BB59" t="str">
        <f>IF(OR(Calc_오픈정렬!$F59="",Calc_오픈정렬!BB59=""),"",Calc_오픈정렬!BB59/Calc_오픈정렬!$F59*100)</f>
        <v/>
      </c>
      <c r="BC59" t="str">
        <f>IF(OR(Calc_오픈정렬!$F59="",Calc_오픈정렬!BC59=""),"",Calc_오픈정렬!BC59/Calc_오픈정렬!$F59*100)</f>
        <v/>
      </c>
      <c r="BD59" t="str">
        <f>IF(OR(Calc_오픈정렬!$F59="",Calc_오픈정렬!BD59=""),"",Calc_오픈정렬!BD59/Calc_오픈정렬!$F59*100)</f>
        <v/>
      </c>
      <c r="BE59" t="str">
        <f>IF(OR(Calc_오픈정렬!$F59="",Calc_오픈정렬!BE59=""),"",Calc_오픈정렬!BE59/Calc_오픈정렬!$F59*100)</f>
        <v/>
      </c>
      <c r="BF59" t="str">
        <f>IF(OR(Calc_오픈정렬!$F59="",Calc_오픈정렬!BF59=""),"",Calc_오픈정렬!BF59/Calc_오픈정렬!$F59*100)</f>
        <v/>
      </c>
      <c r="BG59" t="str">
        <f>IF(OR(Calc_오픈정렬!$F59="",Calc_오픈정렬!BG59=""),"",Calc_오픈정렬!BG59/Calc_오픈정렬!$F59*100)</f>
        <v/>
      </c>
      <c r="BH59" t="str">
        <f>IF(OR(Calc_오픈정렬!$F59="",Calc_오픈정렬!BH59=""),"",Calc_오픈정렬!BH59/Calc_오픈정렬!$F59*100)</f>
        <v/>
      </c>
      <c r="BI59" t="str">
        <f>IF(OR(Calc_오픈정렬!$F59="",Calc_오픈정렬!BI59=""),"",Calc_오픈정렬!BI59/Calc_오픈정렬!$F59*100)</f>
        <v/>
      </c>
      <c r="BJ59" t="str">
        <f>IF(OR(Calc_오픈정렬!$F59="",Calc_오픈정렬!BJ59=""),"",Calc_오픈정렬!BJ59/Calc_오픈정렬!$F59*100)</f>
        <v/>
      </c>
      <c r="BK59" t="str">
        <f>IF(OR(Calc_오픈정렬!$F59="",Calc_오픈정렬!BK59=""),"",Calc_오픈정렬!BK59/Calc_오픈정렬!$F59*100)</f>
        <v/>
      </c>
      <c r="BL59" t="str">
        <f>IF(OR(Calc_오픈정렬!$F59="",Calc_오픈정렬!BL59=""),"",Calc_오픈정렬!BL59/Calc_오픈정렬!$F59*100)</f>
        <v/>
      </c>
      <c r="BM59" t="str">
        <f>IF(OR(Calc_오픈정렬!$F59="",Calc_오픈정렬!BM59=""),"",Calc_오픈정렬!BM59/Calc_오픈정렬!$F59*100)</f>
        <v/>
      </c>
      <c r="BN59" t="str">
        <f>IF(OR(Calc_오픈정렬!$F59="",Calc_오픈정렬!BN59=""),"",Calc_오픈정렬!BN59/Calc_오픈정렬!$F59*100)</f>
        <v/>
      </c>
    </row>
    <row r="60" spans="1:66" x14ac:dyDescent="0.4">
      <c r="A60" t="str">
        <f>Calc_오픈정렬!A60</f>
        <v>(1049) #천호역점</v>
      </c>
      <c r="B60" t="str">
        <f>Calc_오픈정렬!B60</f>
        <v>150-1</v>
      </c>
      <c r="C60">
        <f>Calc_오픈정렬!C60</f>
        <v>1</v>
      </c>
      <c r="D60" t="str">
        <f>Calc_오픈정렬!D60</f>
        <v>1</v>
      </c>
      <c r="E60" s="1">
        <f>Calc_오픈정렬!E60</f>
        <v>44805</v>
      </c>
      <c r="F60">
        <f>Calc_오픈정렬!F60</f>
        <v>4759207.7819465417</v>
      </c>
      <c r="G60">
        <f>IF(OR(Calc_오픈정렬!$F60="",Calc_오픈정렬!G60=""),"",Calc_오픈정렬!G60/Calc_오픈정렬!$F60*100)</f>
        <v>77.942296720118762</v>
      </c>
      <c r="H60">
        <f>IF(OR(Calc_오픈정렬!$F60="",Calc_오픈정렬!H60=""),"",Calc_오픈정렬!H60/Calc_오픈정렬!$F60*100)</f>
        <v>84.575967904889126</v>
      </c>
      <c r="I60">
        <f>IF(OR(Calc_오픈정렬!$F60="",Calc_오픈정렬!I60=""),"",Calc_오픈정렬!I60/Calc_오픈정렬!$F60*100)</f>
        <v>76.994009675697654</v>
      </c>
      <c r="J60">
        <f>IF(OR(Calc_오픈정렬!$F60="",Calc_오픈정렬!J60=""),"",Calc_오픈정렬!J60/Calc_오픈정렬!$F60*100)</f>
        <v>84.235213628938411</v>
      </c>
      <c r="K60">
        <f>IF(OR(Calc_오픈정렬!$F60="",Calc_오픈정렬!K60=""),"",Calc_오픈정렬!K60/Calc_오픈정렬!$F60*100)</f>
        <v>107.06729763802628</v>
      </c>
      <c r="L60">
        <f>IF(OR(Calc_오픈정렬!$F60="",Calc_오픈정렬!L60=""),"",Calc_오픈정렬!L60/Calc_오픈정렬!$F60*100)</f>
        <v>95.514557174058993</v>
      </c>
      <c r="M60">
        <f>IF(OR(Calc_오픈정렬!$F60="",Calc_오픈정렬!M60=""),"",Calc_오픈정렬!M60/Calc_오픈정렬!$F60*100)</f>
        <v>103.02516265764497</v>
      </c>
      <c r="N60">
        <f>IF(OR(Calc_오픈정렬!$F60="",Calc_오픈정렬!N60=""),"",Calc_오픈정렬!N60/Calc_오픈정렬!$F60*100)</f>
        <v>112.4736449050711</v>
      </c>
      <c r="O60">
        <f>IF(OR(Calc_오픈정렬!$F60="",Calc_오픈정렬!O60=""),"",Calc_오픈정렬!O60/Calc_오픈정렬!$F60*100)</f>
        <v>97.68412399626034</v>
      </c>
      <c r="P60">
        <f>IF(OR(Calc_오픈정렬!$F60="",Calc_오픈정렬!P60=""),"",Calc_오픈정렬!P60/Calc_오픈정렬!$F60*100)</f>
        <v>91.654562296947404</v>
      </c>
      <c r="Q60">
        <f>IF(OR(Calc_오픈정렬!$F60="",Calc_오픈정렬!Q60=""),"",Calc_오픈정렬!Q60/Calc_오픈정렬!$F60*100)</f>
        <v>112.59818135514566</v>
      </c>
      <c r="R60">
        <f>IF(OR(Calc_오픈정렬!$F60="",Calc_오픈정렬!R60=""),"",Calc_오픈정렬!R60/Calc_오픈정렬!$F60*100)</f>
        <v>103.98341008517842</v>
      </c>
      <c r="S60">
        <f>IF(OR(Calc_오픈정렬!$F60="",Calc_오픈정렬!S60=""),"",Calc_오픈정렬!S60/Calc_오픈정렬!$F60*100)</f>
        <v>134.78236538439825</v>
      </c>
      <c r="T60">
        <f>IF(OR(Calc_오픈정렬!$F60="",Calc_오픈정렬!T60=""),"",Calc_오픈정렬!T60/Calc_오픈정렬!$F60*100)</f>
        <v>150.99832691488314</v>
      </c>
      <c r="U60">
        <f>IF(OR(Calc_오픈정렬!$F60="",Calc_오픈정렬!U60=""),"",Calc_오픈정렬!U60/Calc_오픈정렬!$F60*100)</f>
        <v>138.39748921391785</v>
      </c>
      <c r="V60">
        <f>IF(OR(Calc_오픈정렬!$F60="",Calc_오픈정렬!V60=""),"",Calc_오픈정렬!V60/Calc_오픈정렬!$F60*100)</f>
        <v>129.34075581833491</v>
      </c>
      <c r="W60">
        <f>IF(OR(Calc_오픈정렬!$F60="",Calc_오픈정렬!W60=""),"",Calc_오픈정렬!W60/Calc_오픈정렬!$F60*100)</f>
        <v>146.86812577583993</v>
      </c>
      <c r="X60">
        <f>IF(OR(Calc_오픈정렬!$F60="",Calc_오픈정렬!X60=""),"",Calc_오픈정렬!X60/Calc_오픈정렬!$F60*100)</f>
        <v>129.31422110318542</v>
      </c>
      <c r="Y60">
        <f>IF(OR(Calc_오픈정렬!$F60="",Calc_오픈정렬!Y60=""),"",Calc_오픈정렬!Y60/Calc_오픈정렬!$F60*100)</f>
        <v>142.89738181585912</v>
      </c>
      <c r="Z60">
        <f>IF(OR(Calc_오픈정렬!$F60="",Calc_오픈정렬!Z60=""),"",Calc_오픈정렬!Z60/Calc_오픈정렬!$F60*100)</f>
        <v>161.45623842786637</v>
      </c>
      <c r="AA60">
        <f>IF(OR(Calc_오픈정렬!$F60="",Calc_오픈정렬!AA60=""),"",Calc_오픈정렬!AA60/Calc_오픈정렬!$F60*100)</f>
        <v>134.30535069610974</v>
      </c>
      <c r="AB60">
        <f>IF(OR(Calc_오픈정렬!$F60="",Calc_오픈정렬!AB60=""),"",Calc_오픈정렬!AB60/Calc_오픈정렬!$F60*100)</f>
        <v>151.80456809850693</v>
      </c>
      <c r="AC60">
        <f>IF(OR(Calc_오픈정렬!$F60="",Calc_오픈정렬!AC60=""),"",Calc_오픈정렬!AC60/Calc_오픈정렬!$F60*100)</f>
        <v>142.77959244091031</v>
      </c>
      <c r="AD60">
        <f>IF(OR(Calc_오픈정렬!$F60="",Calc_오픈정렬!AD60=""),"",Calc_오픈정렬!AD60/Calc_오픈정렬!$F60*100)</f>
        <v>130.89822886233472</v>
      </c>
      <c r="AE60">
        <f>IF(OR(Calc_오픈정렬!$F60="",Calc_오픈정렬!AE60=""),"",Calc_오픈정렬!AE60/Calc_오픈정렬!$F60*100)</f>
        <v>140.88130676672816</v>
      </c>
      <c r="AF60">
        <f>IF(OR(Calc_오픈정렬!$F60="",Calc_오픈정렬!AF60=""),"",Calc_오픈정렬!AF60/Calc_오픈정렬!$F60*100)</f>
        <v>135.41461611306929</v>
      </c>
      <c r="AG60">
        <f>IF(OR(Calc_오픈정렬!$F60="",Calc_오픈정렬!AG60=""),"",Calc_오픈정렬!AG60/Calc_오픈정렬!$F60*100)</f>
        <v>131.45692828928551</v>
      </c>
      <c r="AH60">
        <f>IF(OR(Calc_오픈정렬!$F60="",Calc_오픈정렬!AH60=""),"",Calc_오픈정렬!AH60/Calc_오픈정렬!$F60*100)</f>
        <v>133.56034524021564</v>
      </c>
      <c r="AI60">
        <f>IF(OR(Calc_오픈정렬!$F60="",Calc_오픈정렬!AI60=""),"",Calc_오픈정렬!AI60/Calc_오픈정렬!$F60*100)</f>
        <v>155.23177019238892</v>
      </c>
      <c r="AJ60">
        <f>IF(OR(Calc_오픈정렬!$F60="",Calc_오픈정렬!AJ60=""),"",Calc_오픈정렬!AJ60/Calc_오픈정렬!$F60*100)</f>
        <v>148.9044898635232</v>
      </c>
      <c r="AK60">
        <f>IF(OR(Calc_오픈정렬!$F60="",Calc_오픈정렬!AK60=""),"",Calc_오픈정렬!AK60/Calc_오픈정렬!$F60*100)</f>
        <v>158.27060867942353</v>
      </c>
      <c r="AL60">
        <f>IF(OR(Calc_오픈정렬!$F60="",Calc_오픈정렬!AL60=""),"",Calc_오픈정렬!AL60/Calc_오픈정렬!$F60*100)</f>
        <v>153.50393476080023</v>
      </c>
      <c r="AM60">
        <f>IF(OR(Calc_오픈정렬!$F60="",Calc_오픈정렬!AM60=""),"",Calc_오픈정렬!AM60/Calc_오픈정렬!$F60*100)</f>
        <v>145.35082572730064</v>
      </c>
      <c r="AN60">
        <f>IF(OR(Calc_오픈정렬!$F60="",Calc_오픈정렬!AN60=""),"",Calc_오픈정렬!AN60/Calc_오픈정렬!$F60*100)</f>
        <v>156.30051721994505</v>
      </c>
      <c r="AO60">
        <f>IF(OR(Calc_오픈정렬!$F60="",Calc_오픈정렬!AO60=""),"",Calc_오픈정렬!AO60/Calc_오픈정렬!$F60*100)</f>
        <v>152.40348014047797</v>
      </c>
      <c r="AP60">
        <f>IF(OR(Calc_오픈정렬!$F60="",Calc_오픈정렬!AP60=""),"",Calc_오픈정렬!AP60/Calc_오픈정렬!$F60*100)</f>
        <v>145.95852707429518</v>
      </c>
      <c r="AQ60">
        <f>IF(OR(Calc_오픈정렬!$F60="",Calc_오픈정렬!AQ60=""),"",Calc_오픈정렬!AQ60/Calc_오픈정렬!$F60*100)</f>
        <v>140.79001781547521</v>
      </c>
      <c r="AR60">
        <f>IF(OR(Calc_오픈정렬!$F60="",Calc_오픈정렬!AR60=""),"",Calc_오픈정렬!AR60/Calc_오픈정렬!$F60*100)</f>
        <v>159.14427493747078</v>
      </c>
      <c r="AS60">
        <f>IF(OR(Calc_오픈정렬!$F60="",Calc_오픈정렬!AS60=""),"",Calc_오픈정렬!AS60/Calc_오픈정렬!$F60*100)</f>
        <v>145.13058004170455</v>
      </c>
      <c r="AT60">
        <f>IF(OR(Calc_오픈정렬!$F60="",Calc_오픈정렬!AT60=""),"",Calc_오픈정렬!AT60/Calc_오픈정렬!$F60*100)</f>
        <v>138.67363113499727</v>
      </c>
      <c r="AU60">
        <f>IF(OR(Calc_오픈정렬!$F60="",Calc_오픈정렬!AU60=""),"",Calc_오픈정렬!AU60/Calc_오픈정렬!$F60*100)</f>
        <v>162.90848504599563</v>
      </c>
      <c r="AV60">
        <f>IF(OR(Calc_오픈정렬!$F60="",Calc_오픈정렬!AV60=""),"",Calc_오픈정렬!AV60/Calc_오픈정렬!$F60*100)</f>
        <v>172.16551904246472</v>
      </c>
      <c r="AW60">
        <f>IF(OR(Calc_오픈정렬!$F60="",Calc_오픈정렬!AW60=""),"",Calc_오픈정렬!AW60/Calc_오픈정렬!$F60*100)</f>
        <v>154.53579787152586</v>
      </c>
      <c r="AX60">
        <f>IF(OR(Calc_오픈정렬!$F60="",Calc_오픈정렬!AX60=""),"",Calc_오픈정렬!AX60/Calc_오픈정렬!$F60*100)</f>
        <v>160.17962826412918</v>
      </c>
      <c r="AY60">
        <f>IF(OR(Calc_오픈정렬!$F60="",Calc_오픈정렬!AY60=""),"",Calc_오픈정렬!AY60/Calc_오픈정렬!$F60*100)</f>
        <v>170.95250152808026</v>
      </c>
      <c r="AZ60" t="str">
        <f>IF(OR(Calc_오픈정렬!$F60="",Calc_오픈정렬!AZ60=""),"",Calc_오픈정렬!AZ60/Calc_오픈정렬!$F60*100)</f>
        <v/>
      </c>
      <c r="BA60" t="str">
        <f>IF(OR(Calc_오픈정렬!$F60="",Calc_오픈정렬!BA60=""),"",Calc_오픈정렬!BA60/Calc_오픈정렬!$F60*100)</f>
        <v/>
      </c>
      <c r="BB60" t="str">
        <f>IF(OR(Calc_오픈정렬!$F60="",Calc_오픈정렬!BB60=""),"",Calc_오픈정렬!BB60/Calc_오픈정렬!$F60*100)</f>
        <v/>
      </c>
      <c r="BC60" t="str">
        <f>IF(OR(Calc_오픈정렬!$F60="",Calc_오픈정렬!BC60=""),"",Calc_오픈정렬!BC60/Calc_오픈정렬!$F60*100)</f>
        <v/>
      </c>
      <c r="BD60" t="str">
        <f>IF(OR(Calc_오픈정렬!$F60="",Calc_오픈정렬!BD60=""),"",Calc_오픈정렬!BD60/Calc_오픈정렬!$F60*100)</f>
        <v/>
      </c>
      <c r="BE60" t="str">
        <f>IF(OR(Calc_오픈정렬!$F60="",Calc_오픈정렬!BE60=""),"",Calc_오픈정렬!BE60/Calc_오픈정렬!$F60*100)</f>
        <v/>
      </c>
      <c r="BF60" t="str">
        <f>IF(OR(Calc_오픈정렬!$F60="",Calc_오픈정렬!BF60=""),"",Calc_오픈정렬!BF60/Calc_오픈정렬!$F60*100)</f>
        <v/>
      </c>
      <c r="BG60" t="str">
        <f>IF(OR(Calc_오픈정렬!$F60="",Calc_오픈정렬!BG60=""),"",Calc_오픈정렬!BG60/Calc_오픈정렬!$F60*100)</f>
        <v/>
      </c>
      <c r="BH60" t="str">
        <f>IF(OR(Calc_오픈정렬!$F60="",Calc_오픈정렬!BH60=""),"",Calc_오픈정렬!BH60/Calc_오픈정렬!$F60*100)</f>
        <v/>
      </c>
      <c r="BI60" t="str">
        <f>IF(OR(Calc_오픈정렬!$F60="",Calc_오픈정렬!BI60=""),"",Calc_오픈정렬!BI60/Calc_오픈정렬!$F60*100)</f>
        <v/>
      </c>
      <c r="BJ60" t="str">
        <f>IF(OR(Calc_오픈정렬!$F60="",Calc_오픈정렬!BJ60=""),"",Calc_오픈정렬!BJ60/Calc_오픈정렬!$F60*100)</f>
        <v/>
      </c>
      <c r="BK60" t="str">
        <f>IF(OR(Calc_오픈정렬!$F60="",Calc_오픈정렬!BK60=""),"",Calc_오픈정렬!BK60/Calc_오픈정렬!$F60*100)</f>
        <v/>
      </c>
      <c r="BL60" t="str">
        <f>IF(OR(Calc_오픈정렬!$F60="",Calc_오픈정렬!BL60=""),"",Calc_오픈정렬!BL60/Calc_오픈정렬!$F60*100)</f>
        <v/>
      </c>
      <c r="BM60" t="str">
        <f>IF(OR(Calc_오픈정렬!$F60="",Calc_오픈정렬!BM60=""),"",Calc_오픈정렬!BM60/Calc_오픈정렬!$F60*100)</f>
        <v/>
      </c>
      <c r="BN60" t="str">
        <f>IF(OR(Calc_오픈정렬!$F60="",Calc_오픈정렬!BN60=""),"",Calc_오픈정렬!BN60/Calc_오픈정렬!$F60*100)</f>
        <v/>
      </c>
    </row>
    <row r="61" spans="1:66" x14ac:dyDescent="0.4">
      <c r="A61" t="str">
        <f>Calc_오픈정렬!A61</f>
        <v>(1050) #라페스타장항점</v>
      </c>
      <c r="B61" t="str">
        <f>Calc_오픈정렬!B61</f>
        <v>150-2</v>
      </c>
      <c r="C61">
        <f>Calc_오픈정렬!C61</f>
        <v>2</v>
      </c>
      <c r="D61" t="str">
        <f>Calc_오픈정렬!D61</f>
        <v>2</v>
      </c>
      <c r="E61" s="1">
        <f>Calc_오픈정렬!E61</f>
        <v>44835</v>
      </c>
      <c r="F61">
        <f>Calc_오픈정렬!F61</f>
        <v>2606158.6603749529</v>
      </c>
      <c r="G61">
        <f>IF(OR(Calc_오픈정렬!$F61="",Calc_오픈정렬!G61=""),"",Calc_오픈정렬!G61/Calc_오픈정렬!$F61*100)</f>
        <v>77.961805920360803</v>
      </c>
      <c r="H61">
        <f>IF(OR(Calc_오픈정렬!$F61="",Calc_오픈정렬!H61=""),"",Calc_오픈정렬!H61/Calc_오픈정렬!$F61*100)</f>
        <v>104.47392457565205</v>
      </c>
      <c r="I61">
        <f>IF(OR(Calc_오픈정렬!$F61="",Calc_오픈정렬!I61=""),"",Calc_오픈정렬!I61/Calc_오픈정렬!$F61*100)</f>
        <v>99.997336118686789</v>
      </c>
      <c r="J61">
        <f>IF(OR(Calc_오픈정렬!$F61="",Calc_오픈정렬!J61=""),"",Calc_오픈정렬!J61/Calc_오픈정렬!$F61*100)</f>
        <v>90.579371029778756</v>
      </c>
      <c r="K61">
        <f>IF(OR(Calc_오픈정렬!$F61="",Calc_오픈정렬!K61=""),"",Calc_오픈정렬!K61/Calc_오픈정렬!$F61*100)</f>
        <v>100.2197328861769</v>
      </c>
      <c r="L61">
        <f>IF(OR(Calc_오픈정렬!$F61="",Calc_오픈정렬!L61=""),"",Calc_오픈정렬!L61/Calc_오픈정렬!$F61*100)</f>
        <v>115.85636584658967</v>
      </c>
      <c r="M61">
        <f>IF(OR(Calc_오픈정렬!$F61="",Calc_오픈정렬!M61=""),"",Calc_오픈정렬!M61/Calc_오픈정렬!$F61*100)</f>
        <v>101.57296382281619</v>
      </c>
      <c r="N61">
        <f>IF(OR(Calc_오픈정렬!$F61="",Calc_오픈정렬!N61=""),"",Calc_오픈정렬!N61/Calc_오픈정렬!$F61*100)</f>
        <v>110.63243157955567</v>
      </c>
      <c r="O61">
        <f>IF(OR(Calc_오픈정렬!$F61="",Calc_오픈정렬!O61=""),"",Calc_오픈정렬!O61/Calc_오픈정렬!$F61*100)</f>
        <v>81.139134835082842</v>
      </c>
      <c r="P61">
        <f>IF(OR(Calc_오픈정렬!$F61="",Calc_오픈정렬!P61=""),"",Calc_오픈정렬!P61/Calc_오픈정렬!$F61*100)</f>
        <v>85.426014554512165</v>
      </c>
      <c r="Q61">
        <f>IF(OR(Calc_오픈정렬!$F61="",Calc_오픈정렬!Q61=""),"",Calc_오픈정렬!Q61/Calc_오픈정렬!$F61*100)</f>
        <v>85.957290649867005</v>
      </c>
      <c r="R61">
        <f>IF(OR(Calc_오픈정렬!$F61="",Calc_오픈정렬!R61=""),"",Calc_오픈정렬!R61/Calc_오픈정렬!$F61*100)</f>
        <v>40.948434399301462</v>
      </c>
      <c r="S61">
        <f>IF(OR(Calc_오픈정렬!$F61="",Calc_오픈정렬!S61=""),"",Calc_오픈정렬!S61/Calc_오픈정렬!$F61*100)</f>
        <v>91.350340148353922</v>
      </c>
      <c r="T61">
        <f>IF(OR(Calc_오픈정렬!$F61="",Calc_오픈정렬!T61=""),"",Calc_오픈정렬!T61/Calc_오픈정렬!$F61*100)</f>
        <v>86.074811656290137</v>
      </c>
      <c r="U61">
        <f>IF(OR(Calc_오픈정렬!$F61="",Calc_오픈정렬!U61=""),"",Calc_오픈정렬!U61/Calc_오픈정렬!$F61*100)</f>
        <v>89.235327609738206</v>
      </c>
      <c r="V61">
        <f>IF(OR(Calc_오픈정렬!$F61="",Calc_오픈정렬!V61=""),"",Calc_오픈정렬!V61/Calc_오픈정렬!$F61*100)</f>
        <v>102.23426241129201</v>
      </c>
      <c r="W61">
        <f>IF(OR(Calc_오픈정렬!$F61="",Calc_오픈정렬!W61=""),"",Calc_오픈정렬!W61/Calc_오픈정렬!$F61*100)</f>
        <v>111.26825851482789</v>
      </c>
      <c r="X61">
        <f>IF(OR(Calc_오픈정렬!$F61="",Calc_오픈정렬!X61=""),"",Calc_오픈정렬!X61/Calc_오픈정렬!$F61*100)</f>
        <v>107.19872841923291</v>
      </c>
      <c r="Y61">
        <f>IF(OR(Calc_오픈정렬!$F61="",Calc_오픈정렬!Y61=""),"",Calc_오픈정렬!Y61/Calc_오픈정렬!$F61*100)</f>
        <v>104.59887987171668</v>
      </c>
      <c r="Z61">
        <f>IF(OR(Calc_오픈정렬!$F61="",Calc_오픈정렬!Z61=""),"",Calc_오픈정렬!Z61/Calc_오픈정렬!$F61*100)</f>
        <v>85.019093610009762</v>
      </c>
      <c r="AA61">
        <f>IF(OR(Calc_오픈정렬!$F61="",Calc_오픈정렬!AA61=""),"",Calc_오픈정렬!AA61/Calc_오픈정렬!$F61*100)</f>
        <v>85.508739496893966</v>
      </c>
      <c r="AB61">
        <f>IF(OR(Calc_오픈정렬!$F61="",Calc_오픈정렬!AB61=""),"",Calc_오픈정렬!AB61/Calc_오픈정렬!$F61*100)</f>
        <v>82.948091969708472</v>
      </c>
      <c r="AC61">
        <f>IF(OR(Calc_오픈정렬!$F61="",Calc_오픈정렬!AC61=""),"",Calc_오픈정렬!AC61/Calc_오픈정렬!$F61*100)</f>
        <v>79.140117948720501</v>
      </c>
      <c r="AD61">
        <f>IF(OR(Calc_오픈정렬!$F61="",Calc_오픈정렬!AD61=""),"",Calc_오픈정렬!AD61/Calc_오픈정렬!$F61*100)</f>
        <v>77.757953576212131</v>
      </c>
      <c r="AE61">
        <f>IF(OR(Calc_오픈정렬!$F61="",Calc_오픈정렬!AE61=""),"",Calc_오픈정렬!AE61/Calc_오픈정렬!$F61*100)</f>
        <v>87.362061307937978</v>
      </c>
      <c r="AF61">
        <f>IF(OR(Calc_오픈정렬!$F61="",Calc_오픈정렬!AF61=""),"",Calc_오픈정렬!AF61/Calc_오픈정렬!$F61*100)</f>
        <v>98.281181864195645</v>
      </c>
      <c r="AG61">
        <f>IF(OR(Calc_오픈정렬!$F61="",Calc_오픈정렬!AG61=""),"",Calc_오픈정렬!AG61/Calc_오픈정렬!$F61*100)</f>
        <v>89.452558131363176</v>
      </c>
      <c r="AH61">
        <f>IF(OR(Calc_오픈정렬!$F61="",Calc_오픈정렬!AH61=""),"",Calc_오픈정렬!AH61/Calc_오픈정렬!$F61*100)</f>
        <v>89.860687854173676</v>
      </c>
      <c r="AI61">
        <f>IF(OR(Calc_오픈정렬!$F61="",Calc_오픈정렬!AI61=""),"",Calc_오픈정렬!AI61/Calc_오픈정렬!$F61*100)</f>
        <v>79.877608134785518</v>
      </c>
      <c r="AJ61">
        <f>IF(OR(Calc_오픈정렬!$F61="",Calc_오픈정렬!AJ61=""),"",Calc_오픈정렬!AJ61/Calc_오픈정렬!$F61*100)</f>
        <v>92.104626222621135</v>
      </c>
      <c r="AK61">
        <f>IF(OR(Calc_오픈정렬!$F61="",Calc_오픈정렬!AK61=""),"",Calc_오픈정렬!AK61/Calc_오픈정렬!$F61*100)</f>
        <v>82.49299252104349</v>
      </c>
      <c r="AL61">
        <f>IF(OR(Calc_오픈정렬!$F61="",Calc_오픈정렬!AL61=""),"",Calc_오픈정렬!AL61/Calc_오픈정렬!$F61*100)</f>
        <v>101.38635706406878</v>
      </c>
      <c r="AM61">
        <f>IF(OR(Calc_오픈정렬!$F61="",Calc_오픈정렬!AM61=""),"",Calc_오픈정렬!AM61/Calc_오픈정렬!$F61*100)</f>
        <v>92.390726847640465</v>
      </c>
      <c r="AN61">
        <f>IF(OR(Calc_오픈정렬!$F61="",Calc_오픈정렬!AN61=""),"",Calc_오픈정렬!AN61/Calc_오픈정렬!$F61*100)</f>
        <v>78.666710935609771</v>
      </c>
      <c r="AO61">
        <f>IF(OR(Calc_오픈정렬!$F61="",Calc_오픈정렬!AO61=""),"",Calc_오픈정렬!AO61/Calc_오픈정렬!$F61*100)</f>
        <v>71.789002322277369</v>
      </c>
      <c r="AP61">
        <f>IF(OR(Calc_오픈정렬!$F61="",Calc_오픈정렬!AP61=""),"",Calc_오픈정렬!AP61/Calc_오픈정렬!$F61*100)</f>
        <v>81.665012899570826</v>
      </c>
      <c r="AQ61">
        <f>IF(OR(Calc_오픈정렬!$F61="",Calc_오픈정렬!AQ61=""),"",Calc_오픈정렬!AQ61/Calc_오픈정렬!$F61*100)</f>
        <v>90.130454610398985</v>
      </c>
      <c r="AR61">
        <f>IF(OR(Calc_오픈정렬!$F61="",Calc_오픈정렬!AR61=""),"",Calc_오픈정렬!AR61/Calc_오픈정렬!$F61*100)</f>
        <v>90.482667564700463</v>
      </c>
      <c r="AS61">
        <f>IF(OR(Calc_오픈정렬!$F61="",Calc_오픈정렬!AS61=""),"",Calc_오픈정렬!AS61/Calc_오픈정렬!$F61*100)</f>
        <v>67.723935955491044</v>
      </c>
      <c r="AT61">
        <f>IF(OR(Calc_오픈정렬!$F61="",Calc_오픈정렬!AT61=""),"",Calc_오픈정렬!AT61/Calc_오픈정렬!$F61*100)</f>
        <v>93.281282558006609</v>
      </c>
      <c r="AU61">
        <f>IF(OR(Calc_오픈정렬!$F61="",Calc_오픈정렬!AU61=""),"",Calc_오픈정렬!AU61/Calc_오픈정렬!$F61*100)</f>
        <v>99.300160501756849</v>
      </c>
      <c r="AV61">
        <f>IF(OR(Calc_오픈정렬!$F61="",Calc_오픈정렬!AV61=""),"",Calc_오픈정렬!AV61/Calc_오픈정렬!$F61*100)</f>
        <v>84.039301504091497</v>
      </c>
      <c r="AW61">
        <f>IF(OR(Calc_오픈정렬!$F61="",Calc_오픈정렬!AW61=""),"",Calc_오픈정렬!AW61/Calc_오픈정렬!$F61*100)</f>
        <v>95.312379303770427</v>
      </c>
      <c r="AX61">
        <f>IF(OR(Calc_오픈정렬!$F61="",Calc_오픈정렬!AX61=""),"",Calc_오픈정렬!AX61/Calc_오픈정렬!$F61*100)</f>
        <v>110.8964490676899</v>
      </c>
      <c r="AY61" t="str">
        <f>IF(OR(Calc_오픈정렬!$F61="",Calc_오픈정렬!AY61=""),"",Calc_오픈정렬!AY61/Calc_오픈정렬!$F61*100)</f>
        <v/>
      </c>
      <c r="AZ61" t="str">
        <f>IF(OR(Calc_오픈정렬!$F61="",Calc_오픈정렬!AZ61=""),"",Calc_오픈정렬!AZ61/Calc_오픈정렬!$F61*100)</f>
        <v/>
      </c>
      <c r="BA61" t="str">
        <f>IF(OR(Calc_오픈정렬!$F61="",Calc_오픈정렬!BA61=""),"",Calc_오픈정렬!BA61/Calc_오픈정렬!$F61*100)</f>
        <v/>
      </c>
      <c r="BB61" t="str">
        <f>IF(OR(Calc_오픈정렬!$F61="",Calc_오픈정렬!BB61=""),"",Calc_오픈정렬!BB61/Calc_오픈정렬!$F61*100)</f>
        <v/>
      </c>
      <c r="BC61" t="str">
        <f>IF(OR(Calc_오픈정렬!$F61="",Calc_오픈정렬!BC61=""),"",Calc_오픈정렬!BC61/Calc_오픈정렬!$F61*100)</f>
        <v/>
      </c>
      <c r="BD61" t="str">
        <f>IF(OR(Calc_오픈정렬!$F61="",Calc_오픈정렬!BD61=""),"",Calc_오픈정렬!BD61/Calc_오픈정렬!$F61*100)</f>
        <v/>
      </c>
      <c r="BE61" t="str">
        <f>IF(OR(Calc_오픈정렬!$F61="",Calc_오픈정렬!BE61=""),"",Calc_오픈정렬!BE61/Calc_오픈정렬!$F61*100)</f>
        <v/>
      </c>
      <c r="BF61" t="str">
        <f>IF(OR(Calc_오픈정렬!$F61="",Calc_오픈정렬!BF61=""),"",Calc_오픈정렬!BF61/Calc_오픈정렬!$F61*100)</f>
        <v/>
      </c>
      <c r="BG61" t="str">
        <f>IF(OR(Calc_오픈정렬!$F61="",Calc_오픈정렬!BG61=""),"",Calc_오픈정렬!BG61/Calc_오픈정렬!$F61*100)</f>
        <v/>
      </c>
      <c r="BH61" t="str">
        <f>IF(OR(Calc_오픈정렬!$F61="",Calc_오픈정렬!BH61=""),"",Calc_오픈정렬!BH61/Calc_오픈정렬!$F61*100)</f>
        <v/>
      </c>
      <c r="BI61" t="str">
        <f>IF(OR(Calc_오픈정렬!$F61="",Calc_오픈정렬!BI61=""),"",Calc_오픈정렬!BI61/Calc_오픈정렬!$F61*100)</f>
        <v/>
      </c>
      <c r="BJ61" t="str">
        <f>IF(OR(Calc_오픈정렬!$F61="",Calc_오픈정렬!BJ61=""),"",Calc_오픈정렬!BJ61/Calc_오픈정렬!$F61*100)</f>
        <v/>
      </c>
      <c r="BK61" t="str">
        <f>IF(OR(Calc_오픈정렬!$F61="",Calc_오픈정렬!BK61=""),"",Calc_오픈정렬!BK61/Calc_오픈정렬!$F61*100)</f>
        <v/>
      </c>
      <c r="BL61" t="str">
        <f>IF(OR(Calc_오픈정렬!$F61="",Calc_오픈정렬!BL61=""),"",Calc_오픈정렬!BL61/Calc_오픈정렬!$F61*100)</f>
        <v/>
      </c>
      <c r="BM61" t="str">
        <f>IF(OR(Calc_오픈정렬!$F61="",Calc_오픈정렬!BM61=""),"",Calc_오픈정렬!BM61/Calc_오픈정렬!$F61*100)</f>
        <v/>
      </c>
      <c r="BN61" t="str">
        <f>IF(OR(Calc_오픈정렬!$F61="",Calc_오픈정렬!BN61=""),"",Calc_오픈정렬!BN61/Calc_오픈정렬!$F61*100)</f>
        <v/>
      </c>
    </row>
    <row r="62" spans="1:66" x14ac:dyDescent="0.4">
      <c r="A62" t="str">
        <f>Calc_오픈정렬!A62</f>
        <v>(1051) #오류행복주택점</v>
      </c>
      <c r="B62" t="str">
        <f>Calc_오픈정렬!B62</f>
        <v>150-2</v>
      </c>
      <c r="C62">
        <f>Calc_오픈정렬!C62</f>
        <v>2</v>
      </c>
      <c r="D62" t="str">
        <f>Calc_오픈정렬!D62</f>
        <v>2</v>
      </c>
      <c r="E62" s="1">
        <f>Calc_오픈정렬!E62</f>
        <v>44835</v>
      </c>
      <c r="F62">
        <f>Calc_오픈정렬!F62</f>
        <v>4437571.783019538</v>
      </c>
      <c r="G62">
        <f>IF(OR(Calc_오픈정렬!$F62="",Calc_오픈정렬!G62=""),"",Calc_오픈정렬!G62/Calc_오픈정렬!$F62*100)</f>
        <v>57.543176052937831</v>
      </c>
      <c r="H62">
        <f>IF(OR(Calc_오픈정렬!$F62="",Calc_오픈정렬!H62=""),"",Calc_오픈정렬!H62/Calc_오픈정렬!$F62*100)</f>
        <v>83.127355073525791</v>
      </c>
      <c r="I62">
        <f>IF(OR(Calc_오픈정렬!$F62="",Calc_오픈정렬!I62=""),"",Calc_오픈정렬!I62/Calc_오픈정렬!$F62*100)</f>
        <v>89.130240202502648</v>
      </c>
      <c r="J62">
        <f>IF(OR(Calc_오픈정렬!$F62="",Calc_오픈정렬!J62=""),"",Calc_오픈정렬!J62/Calc_오픈정렬!$F62*100)</f>
        <v>96.681904582624156</v>
      </c>
      <c r="K62">
        <f>IF(OR(Calc_오픈정렬!$F62="",Calc_오픈정렬!K62=""),"",Calc_오픈정렬!K62/Calc_오픈정렬!$F62*100)</f>
        <v>82.67985753890963</v>
      </c>
      <c r="L62">
        <f>IF(OR(Calc_오픈정렬!$F62="",Calc_오픈정렬!L62=""),"",Calc_오픈정렬!L62/Calc_오픈정렬!$F62*100)</f>
        <v>98.966630021450669</v>
      </c>
      <c r="M62">
        <f>IF(OR(Calc_오픈정렬!$F62="",Calc_오픈정렬!M62=""),"",Calc_오픈정렬!M62/Calc_오픈정렬!$F62*100)</f>
        <v>106.2408037479648</v>
      </c>
      <c r="N62">
        <f>IF(OR(Calc_오픈정렬!$F62="",Calc_오픈정렬!N62=""),"",Calc_오픈정렬!N62/Calc_오픈정렬!$F62*100)</f>
        <v>106.80674664050393</v>
      </c>
      <c r="O62">
        <f>IF(OR(Calc_오픈정렬!$F62="",Calc_오픈정렬!O62=""),"",Calc_오픈정렬!O62/Calc_오픈정렬!$F62*100)</f>
        <v>108.62405746854679</v>
      </c>
      <c r="P62">
        <f>IF(OR(Calc_오픈정렬!$F62="",Calc_오픈정렬!P62=""),"",Calc_오픈정렬!P62/Calc_오픈정렬!$F62*100)</f>
        <v>119.10168916925879</v>
      </c>
      <c r="Q62">
        <f>IF(OR(Calc_오픈정렬!$F62="",Calc_오픈정렬!Q62=""),"",Calc_오픈정렬!Q62/Calc_오픈정렬!$F62*100)</f>
        <v>106.91579966814602</v>
      </c>
      <c r="R62">
        <f>IF(OR(Calc_오픈정렬!$F62="",Calc_오픈정렬!R62=""),"",Calc_오픈정렬!R62/Calc_오픈정렬!$F62*100)</f>
        <v>119.05432378493914</v>
      </c>
      <c r="S62">
        <f>IF(OR(Calc_오픈정렬!$F62="",Calc_오픈정렬!S62=""),"",Calc_오픈정렬!S62/Calc_오픈정렬!$F62*100)</f>
        <v>118.91726127648504</v>
      </c>
      <c r="T62">
        <f>IF(OR(Calc_오픈정렬!$F62="",Calc_오픈정렬!T62=""),"",Calc_오픈정렬!T62/Calc_오픈정렬!$F62*100)</f>
        <v>124.89903822467015</v>
      </c>
      <c r="U62">
        <f>IF(OR(Calc_오픈정렬!$F62="",Calc_오픈정렬!U62=""),"",Calc_오픈정렬!U62/Calc_오픈정렬!$F62*100)</f>
        <v>127.7214315788527</v>
      </c>
      <c r="V62">
        <f>IF(OR(Calc_오픈정렬!$F62="",Calc_오픈정렬!V62=""),"",Calc_오픈정렬!V62/Calc_오픈정렬!$F62*100)</f>
        <v>121.08000590114851</v>
      </c>
      <c r="W62">
        <f>IF(OR(Calc_오픈정렬!$F62="",Calc_오픈정렬!W62=""),"",Calc_오픈정렬!W62/Calc_오픈정렬!$F62*100)</f>
        <v>117.30005942272837</v>
      </c>
      <c r="X62">
        <f>IF(OR(Calc_오픈정렬!$F62="",Calc_오픈정렬!X62=""),"",Calc_오픈정렬!X62/Calc_오픈정렬!$F62*100)</f>
        <v>126.36513860318297</v>
      </c>
      <c r="Y62">
        <f>IF(OR(Calc_오픈정렬!$F62="",Calc_오픈정렬!Y62=""),"",Calc_오픈정렬!Y62/Calc_오픈정렬!$F62*100)</f>
        <v>135.57302679923276</v>
      </c>
      <c r="Z62">
        <f>IF(OR(Calc_오픈정렬!$F62="",Calc_오픈정렬!Z62=""),"",Calc_오픈정렬!Z62/Calc_오픈정렬!$F62*100)</f>
        <v>116.1103114895399</v>
      </c>
      <c r="AA62">
        <f>IF(OR(Calc_오픈정렬!$F62="",Calc_오픈정렬!AA62=""),"",Calc_오픈정렬!AA62/Calc_오픈정렬!$F62*100)</f>
        <v>124.9776291117729</v>
      </c>
      <c r="AB62">
        <f>IF(OR(Calc_오픈정렬!$F62="",Calc_오픈정렬!AB62=""),"",Calc_오픈정렬!AB62/Calc_오픈정렬!$F62*100)</f>
        <v>114.33891326111478</v>
      </c>
      <c r="AC62">
        <f>IF(OR(Calc_오픈정렬!$F62="",Calc_오픈정렬!AC62=""),"",Calc_오픈정렬!AC62/Calc_오픈정렬!$F62*100)</f>
        <v>112.31911638048764</v>
      </c>
      <c r="AD62">
        <f>IF(OR(Calc_오픈정렬!$F62="",Calc_오픈정렬!AD62=""),"",Calc_오픈정렬!AD62/Calc_오픈정렬!$F62*100)</f>
        <v>118.81304839791457</v>
      </c>
      <c r="AE62">
        <f>IF(OR(Calc_오픈정렬!$F62="",Calc_오픈정렬!AE62=""),"",Calc_오픈정렬!AE62/Calc_오픈정렬!$F62*100)</f>
        <v>102.10110815161786</v>
      </c>
      <c r="AF62">
        <f>IF(OR(Calc_오픈정렬!$F62="",Calc_오픈정렬!AF62=""),"",Calc_오픈정렬!AF62/Calc_오픈정렬!$F62*100)</f>
        <v>127.48211731106802</v>
      </c>
      <c r="AG62">
        <f>IF(OR(Calc_오픈정렬!$F62="",Calc_오픈정렬!AG62=""),"",Calc_오픈정렬!AG62/Calc_오픈정렬!$F62*100)</f>
        <v>122.97116269680983</v>
      </c>
      <c r="AH62">
        <f>IF(OR(Calc_오픈정렬!$F62="",Calc_오픈정렬!AH62=""),"",Calc_오픈정렬!AH62/Calc_오픈정렬!$F62*100)</f>
        <v>140.83425662931199</v>
      </c>
      <c r="AI62">
        <f>IF(OR(Calc_오픈정렬!$F62="",Calc_오픈정렬!AI62=""),"",Calc_오픈정렬!AI62/Calc_오픈정렬!$F62*100)</f>
        <v>143.0309400993969</v>
      </c>
      <c r="AJ62">
        <f>IF(OR(Calc_오픈정렬!$F62="",Calc_오픈정렬!AJ62=""),"",Calc_오픈정렬!AJ62/Calc_오픈정렬!$F62*100)</f>
        <v>138.6270286928237</v>
      </c>
      <c r="AK62">
        <f>IF(OR(Calc_오픈정렬!$F62="",Calc_오픈정렬!AK62=""),"",Calc_오픈정렬!AK62/Calc_오픈정렬!$F62*100)</f>
        <v>134.5259144484121</v>
      </c>
      <c r="AL62">
        <f>IF(OR(Calc_오픈정렬!$F62="",Calc_오픈정렬!AL62=""),"",Calc_오픈정렬!AL62/Calc_오픈정렬!$F62*100)</f>
        <v>150.33573571487671</v>
      </c>
      <c r="AM62">
        <f>IF(OR(Calc_오픈정렬!$F62="",Calc_오픈정렬!AM62=""),"",Calc_오픈정렬!AM62/Calc_오픈정렬!$F62*100)</f>
        <v>152.38369038080256</v>
      </c>
      <c r="AN62">
        <f>IF(OR(Calc_오픈정렬!$F62="",Calc_오픈정렬!AN62=""),"",Calc_오픈정렬!AN62/Calc_오픈정렬!$F62*100)</f>
        <v>128.23070178726437</v>
      </c>
      <c r="AO62">
        <f>IF(OR(Calc_오픈정렬!$F62="",Calc_오픈정렬!AO62=""),"",Calc_오픈정렬!AO62/Calc_오픈정렬!$F62*100)</f>
        <v>126.25317220504755</v>
      </c>
      <c r="AP62">
        <f>IF(OR(Calc_오픈정렬!$F62="",Calc_오픈정렬!AP62=""),"",Calc_오픈정렬!AP62/Calc_오픈정렬!$F62*100)</f>
        <v>121.06960346350077</v>
      </c>
      <c r="AQ62">
        <f>IF(OR(Calc_오픈정렬!$F62="",Calc_오픈정렬!AQ62=""),"",Calc_오픈정렬!AQ62/Calc_오픈정렬!$F62*100)</f>
        <v>147.42498814767333</v>
      </c>
      <c r="AR62">
        <f>IF(OR(Calc_오픈정렬!$F62="",Calc_오픈정렬!AR62=""),"",Calc_오픈정렬!AR62/Calc_오픈정렬!$F62*100)</f>
        <v>133.82574743207937</v>
      </c>
      <c r="AS62">
        <f>IF(OR(Calc_오픈정렬!$F62="",Calc_오픈정렬!AS62=""),"",Calc_오픈정렬!AS62/Calc_오픈정렬!$F62*100)</f>
        <v>130.35106807594536</v>
      </c>
      <c r="AT62">
        <f>IF(OR(Calc_오픈정렬!$F62="",Calc_오픈정렬!AT62=""),"",Calc_오픈정렬!AT62/Calc_오픈정렬!$F62*100)</f>
        <v>162.77984833651885</v>
      </c>
      <c r="AU62">
        <f>IF(OR(Calc_오픈정렬!$F62="",Calc_오픈정렬!AU62=""),"",Calc_오픈정렬!AU62/Calc_오픈정렬!$F62*100)</f>
        <v>160.16979949319418</v>
      </c>
      <c r="AV62">
        <f>IF(OR(Calc_오픈정렬!$F62="",Calc_오픈정렬!AV62=""),"",Calc_오픈정렬!AV62/Calc_오픈정렬!$F62*100)</f>
        <v>159.96949843125162</v>
      </c>
      <c r="AW62">
        <f>IF(OR(Calc_오픈정렬!$F62="",Calc_오픈정렬!AW62=""),"",Calc_오픈정렬!AW62/Calc_오픈정렬!$F62*100)</f>
        <v>178.14641053654782</v>
      </c>
      <c r="AX62">
        <f>IF(OR(Calc_오픈정렬!$F62="",Calc_오픈정렬!AX62=""),"",Calc_오픈정렬!AX62/Calc_오픈정렬!$F62*100)</f>
        <v>178.26696179517941</v>
      </c>
      <c r="AY62" t="str">
        <f>IF(OR(Calc_오픈정렬!$F62="",Calc_오픈정렬!AY62=""),"",Calc_오픈정렬!AY62/Calc_오픈정렬!$F62*100)</f>
        <v/>
      </c>
      <c r="AZ62" t="str">
        <f>IF(OR(Calc_오픈정렬!$F62="",Calc_오픈정렬!AZ62=""),"",Calc_오픈정렬!AZ62/Calc_오픈정렬!$F62*100)</f>
        <v/>
      </c>
      <c r="BA62" t="str">
        <f>IF(OR(Calc_오픈정렬!$F62="",Calc_오픈정렬!BA62=""),"",Calc_오픈정렬!BA62/Calc_오픈정렬!$F62*100)</f>
        <v/>
      </c>
      <c r="BB62" t="str">
        <f>IF(OR(Calc_오픈정렬!$F62="",Calc_오픈정렬!BB62=""),"",Calc_오픈정렬!BB62/Calc_오픈정렬!$F62*100)</f>
        <v/>
      </c>
      <c r="BC62" t="str">
        <f>IF(OR(Calc_오픈정렬!$F62="",Calc_오픈정렬!BC62=""),"",Calc_오픈정렬!BC62/Calc_오픈정렬!$F62*100)</f>
        <v/>
      </c>
      <c r="BD62" t="str">
        <f>IF(OR(Calc_오픈정렬!$F62="",Calc_오픈정렬!BD62=""),"",Calc_오픈정렬!BD62/Calc_오픈정렬!$F62*100)</f>
        <v/>
      </c>
      <c r="BE62" t="str">
        <f>IF(OR(Calc_오픈정렬!$F62="",Calc_오픈정렬!BE62=""),"",Calc_오픈정렬!BE62/Calc_오픈정렬!$F62*100)</f>
        <v/>
      </c>
      <c r="BF62" t="str">
        <f>IF(OR(Calc_오픈정렬!$F62="",Calc_오픈정렬!BF62=""),"",Calc_오픈정렬!BF62/Calc_오픈정렬!$F62*100)</f>
        <v/>
      </c>
      <c r="BG62" t="str">
        <f>IF(OR(Calc_오픈정렬!$F62="",Calc_오픈정렬!BG62=""),"",Calc_오픈정렬!BG62/Calc_오픈정렬!$F62*100)</f>
        <v/>
      </c>
      <c r="BH62" t="str">
        <f>IF(OR(Calc_오픈정렬!$F62="",Calc_오픈정렬!BH62=""),"",Calc_오픈정렬!BH62/Calc_오픈정렬!$F62*100)</f>
        <v/>
      </c>
      <c r="BI62" t="str">
        <f>IF(OR(Calc_오픈정렬!$F62="",Calc_오픈정렬!BI62=""),"",Calc_오픈정렬!BI62/Calc_오픈정렬!$F62*100)</f>
        <v/>
      </c>
      <c r="BJ62" t="str">
        <f>IF(OR(Calc_오픈정렬!$F62="",Calc_오픈정렬!BJ62=""),"",Calc_오픈정렬!BJ62/Calc_오픈정렬!$F62*100)</f>
        <v/>
      </c>
      <c r="BK62" t="str">
        <f>IF(OR(Calc_오픈정렬!$F62="",Calc_오픈정렬!BK62=""),"",Calc_오픈정렬!BK62/Calc_오픈정렬!$F62*100)</f>
        <v/>
      </c>
      <c r="BL62" t="str">
        <f>IF(OR(Calc_오픈정렬!$F62="",Calc_오픈정렬!BL62=""),"",Calc_오픈정렬!BL62/Calc_오픈정렬!$F62*100)</f>
        <v/>
      </c>
      <c r="BM62" t="str">
        <f>IF(OR(Calc_오픈정렬!$F62="",Calc_오픈정렬!BM62=""),"",Calc_오픈정렬!BM62/Calc_오픈정렬!$F62*100)</f>
        <v/>
      </c>
      <c r="BN62" t="str">
        <f>IF(OR(Calc_오픈정렬!$F62="",Calc_오픈정렬!BN62=""),"",Calc_오픈정렬!BN62/Calc_오픈정렬!$F62*100)</f>
        <v/>
      </c>
    </row>
    <row r="63" spans="1:66" x14ac:dyDescent="0.4">
      <c r="A63" t="str">
        <f>Calc_오픈정렬!A63</f>
        <v>(1052) #길병원사거리점</v>
      </c>
      <c r="B63" t="str">
        <f>Calc_오픈정렬!B63</f>
        <v>150-0</v>
      </c>
      <c r="C63">
        <f>Calc_오픈정렬!C63</f>
        <v>0</v>
      </c>
      <c r="D63" t="str">
        <f>Calc_오픈정렬!D63</f>
        <v>0</v>
      </c>
      <c r="E63" s="1">
        <f>Calc_오픈정렬!E63</f>
        <v>44866</v>
      </c>
      <c r="F63">
        <f>Calc_오픈정렬!F63</f>
        <v>4480188.6874022102</v>
      </c>
      <c r="G63">
        <f>IF(OR(Calc_오픈정렬!$F63="",Calc_오픈정렬!G63=""),"",Calc_오픈정렬!G63/Calc_오픈정렬!$F63*100)</f>
        <v>68.036504932287826</v>
      </c>
      <c r="H63">
        <f>IF(OR(Calc_오픈정렬!$F63="",Calc_오픈정렬!H63=""),"",Calc_오픈정렬!H63/Calc_오픈정렬!$F63*100)</f>
        <v>85.413390302934516</v>
      </c>
      <c r="I63">
        <f>IF(OR(Calc_오픈정렬!$F63="",Calc_오픈정렬!I63=""),"",Calc_오픈정렬!I63/Calc_오픈정렬!$F63*100)</f>
        <v>103.22852862308469</v>
      </c>
      <c r="J63">
        <f>IF(OR(Calc_오픈정렬!$F63="",Calc_오픈정렬!J63=""),"",Calc_오픈정렬!J63/Calc_오픈정렬!$F63*100)</f>
        <v>102.21777004233772</v>
      </c>
      <c r="K63">
        <f>IF(OR(Calc_오픈정렬!$F63="",Calc_오픈정렬!K63=""),"",Calc_오픈정렬!K63/Calc_오픈정렬!$F63*100)</f>
        <v>92.5812977156599</v>
      </c>
      <c r="L63">
        <f>IF(OR(Calc_오픈정렬!$F63="",Calc_오픈정렬!L63=""),"",Calc_오픈정렬!L63/Calc_오픈정렬!$F63*100)</f>
        <v>107.61260542758613</v>
      </c>
      <c r="M63">
        <f>IF(OR(Calc_오픈정렬!$F63="",Calc_오픈정렬!M63=""),"",Calc_오픈정렬!M63/Calc_오픈정렬!$F63*100)</f>
        <v>98.440068505076709</v>
      </c>
      <c r="N63">
        <f>IF(OR(Calc_오픈정렬!$F63="",Calc_오픈정렬!N63=""),"",Calc_오픈정렬!N63/Calc_오픈정렬!$F63*100)</f>
        <v>96.233443920835086</v>
      </c>
      <c r="O63">
        <f>IF(OR(Calc_오픈정렬!$F63="",Calc_오픈정렬!O63=""),"",Calc_오픈정렬!O63/Calc_오픈정렬!$F63*100)</f>
        <v>102.91481438850454</v>
      </c>
      <c r="P63">
        <f>IF(OR(Calc_오픈정렬!$F63="",Calc_오픈정렬!P63=""),"",Calc_오픈정렬!P63/Calc_오픈정렬!$F63*100)</f>
        <v>83.019484890045348</v>
      </c>
      <c r="Q63">
        <f>IF(OR(Calc_오픈정렬!$F63="",Calc_오픈정렬!Q63=""),"",Calc_오픈정렬!Q63/Calc_오픈정렬!$F63*100)</f>
        <v>115.75162561137533</v>
      </c>
      <c r="R63">
        <f>IF(OR(Calc_오픈정렬!$F63="",Calc_오픈정렬!R63=""),"",Calc_오픈정렬!R63/Calc_오픈정렬!$F63*100)</f>
        <v>103.70633010421659</v>
      </c>
      <c r="S63">
        <f>IF(OR(Calc_오픈정렬!$F63="",Calc_오픈정렬!S63=""),"",Calc_오픈정렬!S63/Calc_오픈정렬!$F63*100)</f>
        <v>113.23123990092118</v>
      </c>
      <c r="T63">
        <f>IF(OR(Calc_오픈정렬!$F63="",Calc_오픈정렬!T63=""),"",Calc_오픈정렬!T63/Calc_오픈정렬!$F63*100)</f>
        <v>109.01159941436771</v>
      </c>
      <c r="U63">
        <f>IF(OR(Calc_오픈정렬!$F63="",Calc_오픈정렬!U63=""),"",Calc_오픈정렬!U63/Calc_오픈정렬!$F63*100)</f>
        <v>118.2591908667785</v>
      </c>
      <c r="V63">
        <f>IF(OR(Calc_오픈정렬!$F63="",Calc_오픈정렬!V63=""),"",Calc_오픈정렬!V63/Calc_오픈정렬!$F63*100)</f>
        <v>128.49117951060339</v>
      </c>
      <c r="W63">
        <f>IF(OR(Calc_오픈정렬!$F63="",Calc_오픈정렬!W63=""),"",Calc_오픈정렬!W63/Calc_오픈정렬!$F63*100)</f>
        <v>126.94008821884412</v>
      </c>
      <c r="X63">
        <f>IF(OR(Calc_오픈정렬!$F63="",Calc_오픈정렬!X63=""),"",Calc_오픈정렬!X63/Calc_오픈정렬!$F63*100)</f>
        <v>117.93902083718221</v>
      </c>
      <c r="Y63">
        <f>IF(OR(Calc_오픈정렬!$F63="",Calc_오픈정렬!Y63=""),"",Calc_오픈정렬!Y63/Calc_오픈정렬!$F63*100)</f>
        <v>119.79099276723871</v>
      </c>
      <c r="Z63">
        <f>IF(OR(Calc_오픈정렬!$F63="",Calc_오픈정렬!Z63=""),"",Calc_오픈정렬!Z63/Calc_오픈정렬!$F63*100)</f>
        <v>125.61162616348469</v>
      </c>
      <c r="AA63">
        <f>IF(OR(Calc_오픈정렬!$F63="",Calc_오픈정렬!AA63=""),"",Calc_오픈정렬!AA63/Calc_오픈정렬!$F63*100)</f>
        <v>125.16842384392</v>
      </c>
      <c r="AB63">
        <f>IF(OR(Calc_오픈정렬!$F63="",Calc_오픈정렬!AB63=""),"",Calc_오픈정렬!AB63/Calc_오픈정렬!$F63*100)</f>
        <v>115.52624486089</v>
      </c>
      <c r="AC63">
        <f>IF(OR(Calc_오픈정렬!$F63="",Calc_오픈정렬!AC63=""),"",Calc_오픈정렬!AC63/Calc_오픈정렬!$F63*100)</f>
        <v>112.17806753778493</v>
      </c>
      <c r="AD63">
        <f>IF(OR(Calc_오픈정렬!$F63="",Calc_오픈정렬!AD63=""),"",Calc_오픈정렬!AD63/Calc_오픈정렬!$F63*100)</f>
        <v>98.494752965777607</v>
      </c>
      <c r="AE63">
        <f>IF(OR(Calc_오픈정렬!$F63="",Calc_오픈정렬!AE63=""),"",Calc_오픈정렬!AE63/Calc_오픈정렬!$F63*100)</f>
        <v>118.31116687277124</v>
      </c>
      <c r="AF63">
        <f>IF(OR(Calc_오픈정렬!$F63="",Calc_오픈정렬!AF63=""),"",Calc_오픈정렬!AF63/Calc_오픈정렬!$F63*100)</f>
        <v>119.59274373250508</v>
      </c>
      <c r="AG63">
        <f>IF(OR(Calc_오픈정렬!$F63="",Calc_오픈정렬!AG63=""),"",Calc_오픈정렬!AG63/Calc_오픈정렬!$F63*100)</f>
        <v>130.71036588692158</v>
      </c>
      <c r="AH63">
        <f>IF(OR(Calc_오픈정렬!$F63="",Calc_오픈정렬!AH63=""),"",Calc_오픈정렬!AH63/Calc_오픈정렬!$F63*100)</f>
        <v>124.17737776451612</v>
      </c>
      <c r="AI63">
        <f>IF(OR(Calc_오픈정렬!$F63="",Calc_오픈정렬!AI63=""),"",Calc_오픈정렬!AI63/Calc_오픈정렬!$F63*100)</f>
        <v>122.08878687222526</v>
      </c>
      <c r="AJ63">
        <f>IF(OR(Calc_오픈정렬!$F63="",Calc_오픈정렬!AJ63=""),"",Calc_오픈정렬!AJ63/Calc_오픈정렬!$F63*100)</f>
        <v>118.30100628047975</v>
      </c>
      <c r="AK63">
        <f>IF(OR(Calc_오픈정렬!$F63="",Calc_오픈정렬!AK63=""),"",Calc_오픈정렬!AK63/Calc_오픈정렬!$F63*100)</f>
        <v>116.8899023041937</v>
      </c>
      <c r="AL63">
        <f>IF(OR(Calc_오픈정렬!$F63="",Calc_오픈정렬!AL63=""),"",Calc_오픈정렬!AL63/Calc_오픈정렬!$F63*100)</f>
        <v>118.4573650555711</v>
      </c>
      <c r="AM63">
        <f>IF(OR(Calc_오픈정렬!$F63="",Calc_오픈정렬!AM63=""),"",Calc_오픈정렬!AM63/Calc_오픈정렬!$F63*100)</f>
        <v>124.93920303076837</v>
      </c>
      <c r="AN63">
        <f>IF(OR(Calc_오픈정렬!$F63="",Calc_오픈정렬!AN63=""),"",Calc_오픈정렬!AN63/Calc_오픈정렬!$F63*100)</f>
        <v>121.12467383140961</v>
      </c>
      <c r="AO63">
        <f>IF(OR(Calc_오픈정렬!$F63="",Calc_오픈정렬!AO63=""),"",Calc_오픈정렬!AO63/Calc_오픈정렬!$F63*100)</f>
        <v>125.89602736675469</v>
      </c>
      <c r="AP63">
        <f>IF(OR(Calc_오픈정렬!$F63="",Calc_오픈정렬!AP63=""),"",Calc_오픈정렬!AP63/Calc_오픈정렬!$F63*100)</f>
        <v>137.75729603522888</v>
      </c>
      <c r="AQ63">
        <f>IF(OR(Calc_오픈정렬!$F63="",Calc_오픈정렬!AQ63=""),"",Calc_오픈정렬!AQ63/Calc_오픈정렬!$F63*100)</f>
        <v>127.61989990158449</v>
      </c>
      <c r="AR63">
        <f>IF(OR(Calc_오픈정렬!$F63="",Calc_오픈정렬!AR63=""),"",Calc_오픈정렬!AR63/Calc_오픈정렬!$F63*100)</f>
        <v>129.47618270926074</v>
      </c>
      <c r="AS63">
        <f>IF(OR(Calc_오픈정렬!$F63="",Calc_오픈정렬!AS63=""),"",Calc_오픈정렬!AS63/Calc_오픈정렬!$F63*100)</f>
        <v>139.56815827767915</v>
      </c>
      <c r="AT63">
        <f>IF(OR(Calc_오픈정렬!$F63="",Calc_오픈정렬!AT63=""),"",Calc_오픈정렬!AT63/Calc_오픈정렬!$F63*100)</f>
        <v>143.0386748403335</v>
      </c>
      <c r="AU63">
        <f>IF(OR(Calc_오픈정렬!$F63="",Calc_오픈정렬!AU63=""),"",Calc_오픈정렬!AU63/Calc_오픈정렬!$F63*100)</f>
        <v>140.28920648393674</v>
      </c>
      <c r="AV63">
        <f>IF(OR(Calc_오픈정렬!$F63="",Calc_오픈정렬!AV63=""),"",Calc_오픈정렬!AV63/Calc_오픈정렬!$F63*100)</f>
        <v>142.6072301200453</v>
      </c>
      <c r="AW63">
        <f>IF(OR(Calc_오픈정렬!$F63="",Calc_오픈정렬!AW63=""),"",Calc_오픈정렬!AW63/Calc_오픈정렬!$F63*100)</f>
        <v>156.97557943614046</v>
      </c>
      <c r="AX63" t="str">
        <f>IF(OR(Calc_오픈정렬!$F63="",Calc_오픈정렬!AX63=""),"",Calc_오픈정렬!AX63/Calc_오픈정렬!$F63*100)</f>
        <v/>
      </c>
      <c r="AY63" t="str">
        <f>IF(OR(Calc_오픈정렬!$F63="",Calc_오픈정렬!AY63=""),"",Calc_오픈정렬!AY63/Calc_오픈정렬!$F63*100)</f>
        <v/>
      </c>
      <c r="AZ63" t="str">
        <f>IF(OR(Calc_오픈정렬!$F63="",Calc_오픈정렬!AZ63=""),"",Calc_오픈정렬!AZ63/Calc_오픈정렬!$F63*100)</f>
        <v/>
      </c>
      <c r="BA63" t="str">
        <f>IF(OR(Calc_오픈정렬!$F63="",Calc_오픈정렬!BA63=""),"",Calc_오픈정렬!BA63/Calc_오픈정렬!$F63*100)</f>
        <v/>
      </c>
      <c r="BB63" t="str">
        <f>IF(OR(Calc_오픈정렬!$F63="",Calc_오픈정렬!BB63=""),"",Calc_오픈정렬!BB63/Calc_오픈정렬!$F63*100)</f>
        <v/>
      </c>
      <c r="BC63" t="str">
        <f>IF(OR(Calc_오픈정렬!$F63="",Calc_오픈정렬!BC63=""),"",Calc_오픈정렬!BC63/Calc_오픈정렬!$F63*100)</f>
        <v/>
      </c>
      <c r="BD63" t="str">
        <f>IF(OR(Calc_오픈정렬!$F63="",Calc_오픈정렬!BD63=""),"",Calc_오픈정렬!BD63/Calc_오픈정렬!$F63*100)</f>
        <v/>
      </c>
      <c r="BE63" t="str">
        <f>IF(OR(Calc_오픈정렬!$F63="",Calc_오픈정렬!BE63=""),"",Calc_오픈정렬!BE63/Calc_오픈정렬!$F63*100)</f>
        <v/>
      </c>
      <c r="BF63" t="str">
        <f>IF(OR(Calc_오픈정렬!$F63="",Calc_오픈정렬!BF63=""),"",Calc_오픈정렬!BF63/Calc_오픈정렬!$F63*100)</f>
        <v/>
      </c>
      <c r="BG63" t="str">
        <f>IF(OR(Calc_오픈정렬!$F63="",Calc_오픈정렬!BG63=""),"",Calc_오픈정렬!BG63/Calc_오픈정렬!$F63*100)</f>
        <v/>
      </c>
      <c r="BH63" t="str">
        <f>IF(OR(Calc_오픈정렬!$F63="",Calc_오픈정렬!BH63=""),"",Calc_오픈정렬!BH63/Calc_오픈정렬!$F63*100)</f>
        <v/>
      </c>
      <c r="BI63" t="str">
        <f>IF(OR(Calc_오픈정렬!$F63="",Calc_오픈정렬!BI63=""),"",Calc_오픈정렬!BI63/Calc_오픈정렬!$F63*100)</f>
        <v/>
      </c>
      <c r="BJ63" t="str">
        <f>IF(OR(Calc_오픈정렬!$F63="",Calc_오픈정렬!BJ63=""),"",Calc_오픈정렬!BJ63/Calc_오픈정렬!$F63*100)</f>
        <v/>
      </c>
      <c r="BK63" t="str">
        <f>IF(OR(Calc_오픈정렬!$F63="",Calc_오픈정렬!BK63=""),"",Calc_오픈정렬!BK63/Calc_오픈정렬!$F63*100)</f>
        <v/>
      </c>
      <c r="BL63" t="str">
        <f>IF(OR(Calc_오픈정렬!$F63="",Calc_오픈정렬!BL63=""),"",Calc_오픈정렬!BL63/Calc_오픈정렬!$F63*100)</f>
        <v/>
      </c>
      <c r="BM63" t="str">
        <f>IF(OR(Calc_오픈정렬!$F63="",Calc_오픈정렬!BM63=""),"",Calc_오픈정렬!BM63/Calc_오픈정렬!$F63*100)</f>
        <v/>
      </c>
      <c r="BN63" t="str">
        <f>IF(OR(Calc_오픈정렬!$F63="",Calc_오픈정렬!BN63=""),"",Calc_오픈정렬!BN63/Calc_오픈정렬!$F63*100)</f>
        <v/>
      </c>
    </row>
    <row r="64" spans="1:66" x14ac:dyDescent="0.4">
      <c r="A64" t="str">
        <f>Calc_오픈정렬!A64</f>
        <v>(1053) #인하용현점</v>
      </c>
      <c r="B64" t="str">
        <f>Calc_오픈정렬!B64</f>
        <v>150-2</v>
      </c>
      <c r="C64">
        <f>Calc_오픈정렬!C64</f>
        <v>2</v>
      </c>
      <c r="D64" t="str">
        <f>Calc_오픈정렬!D64</f>
        <v>2</v>
      </c>
      <c r="E64" s="1">
        <f>Calc_오픈정렬!E64</f>
        <v>44866</v>
      </c>
      <c r="F64">
        <f>Calc_오픈정렬!F64</f>
        <v>5637808.7396217017</v>
      </c>
      <c r="G64">
        <f>IF(OR(Calc_오픈정렬!$F64="",Calc_오픈정렬!G64=""),"",Calc_오픈정렬!G64/Calc_오픈정렬!$F64*100)</f>
        <v>63.357284019474079</v>
      </c>
      <c r="H64">
        <f>IF(OR(Calc_오픈정렬!$F64="",Calc_오픈정렬!H64=""),"",Calc_오픈정렬!H64/Calc_오픈정렬!$F64*100)</f>
        <v>78.034876027426364</v>
      </c>
      <c r="I64">
        <f>IF(OR(Calc_오픈정렬!$F64="",Calc_오픈정렬!I64=""),"",Calc_오픈정렬!I64/Calc_오픈정렬!$F64*100)</f>
        <v>75.368534943826788</v>
      </c>
      <c r="J64">
        <f>IF(OR(Calc_오픈정렬!$F64="",Calc_오픈정렬!J64=""),"",Calc_오픈정렬!J64/Calc_오픈정렬!$F64*100)</f>
        <v>87.637086422041705</v>
      </c>
      <c r="K64">
        <f>IF(OR(Calc_오픈정렬!$F64="",Calc_오픈정렬!K64=""),"",Calc_오픈정렬!K64/Calc_오픈정렬!$F64*100)</f>
        <v>91.151549654312902</v>
      </c>
      <c r="L64">
        <f>IF(OR(Calc_오픈정렬!$F64="",Calc_오픈정렬!L64=""),"",Calc_오픈정렬!L64/Calc_오픈정렬!$F64*100)</f>
        <v>105.58074522922034</v>
      </c>
      <c r="M64">
        <f>IF(OR(Calc_오픈정렬!$F64="",Calc_오픈정렬!M64=""),"",Calc_오픈정렬!M64/Calc_오픈정렬!$F64*100)</f>
        <v>102.66333090161146</v>
      </c>
      <c r="N64">
        <f>IF(OR(Calc_오픈정렬!$F64="",Calc_오픈정렬!N64=""),"",Calc_오픈정렬!N64/Calc_오픈정렬!$F64*100)</f>
        <v>103.42886308615763</v>
      </c>
      <c r="O64">
        <f>IF(OR(Calc_오픈정렬!$F64="",Calc_오픈정렬!O64=""),"",Calc_오픈정렬!O64/Calc_오픈정렬!$F64*100)</f>
        <v>109.53842470665592</v>
      </c>
      <c r="P64">
        <f>IF(OR(Calc_오픈정렬!$F64="",Calc_오픈정렬!P64=""),"",Calc_오픈정렬!P64/Calc_오픈정렬!$F64*100)</f>
        <v>98.29285157586088</v>
      </c>
      <c r="Q64">
        <f>IF(OR(Calc_오픈정렬!$F64="",Calc_오픈정렬!Q64=""),"",Calc_오픈정렬!Q64/Calc_오픈정렬!$F64*100)</f>
        <v>101.54167346265528</v>
      </c>
      <c r="R64">
        <f>IF(OR(Calc_오픈정렬!$F64="",Calc_오픈정렬!R64=""),"",Calc_오픈정렬!R64/Calc_오픈정렬!$F64*100)</f>
        <v>104.91636612013122</v>
      </c>
      <c r="S64">
        <f>IF(OR(Calc_오픈정렬!$F64="",Calc_오픈정렬!S64=""),"",Calc_오픈정렬!S64/Calc_오픈정렬!$F64*100)</f>
        <v>114.59769148529185</v>
      </c>
      <c r="T64">
        <f>IF(OR(Calc_오픈정렬!$F64="",Calc_오픈정렬!T64=""),"",Calc_오픈정렬!T64/Calc_오픈정렬!$F64*100)</f>
        <v>119.14718700098747</v>
      </c>
      <c r="U64">
        <f>IF(OR(Calc_오픈정렬!$F64="",Calc_오픈정렬!U64=""),"",Calc_오픈정렬!U64/Calc_오픈정렬!$F64*100)</f>
        <v>119.44003244536437</v>
      </c>
      <c r="V64">
        <f>IF(OR(Calc_오픈정렬!$F64="",Calc_오픈정렬!V64=""),"",Calc_오픈정렬!V64/Calc_오픈정렬!$F64*100)</f>
        <v>117.66244238481491</v>
      </c>
      <c r="W64">
        <f>IF(OR(Calc_오픈정렬!$F64="",Calc_오픈정렬!W64=""),"",Calc_오픈정렬!W64/Calc_오픈정렬!$F64*100)</f>
        <v>119.98687947426608</v>
      </c>
      <c r="X64">
        <f>IF(OR(Calc_오픈정렬!$F64="",Calc_오픈정렬!X64=""),"",Calc_오픈정렬!X64/Calc_오픈정렬!$F64*100)</f>
        <v>112.93303681392257</v>
      </c>
      <c r="Y64">
        <f>IF(OR(Calc_오픈정렬!$F64="",Calc_오픈정렬!Y64=""),"",Calc_오픈정렬!Y64/Calc_오픈정렬!$F64*100)</f>
        <v>117.82900741905185</v>
      </c>
      <c r="Z64">
        <f>IF(OR(Calc_오픈정렬!$F64="",Calc_오픈정렬!Z64=""),"",Calc_오픈정렬!Z64/Calc_오픈정렬!$F64*100)</f>
        <v>107.3461654838481</v>
      </c>
      <c r="AA64">
        <f>IF(OR(Calc_오픈정렬!$F64="",Calc_오픈정렬!AA64=""),"",Calc_오픈정렬!AA64/Calc_오픈정렬!$F64*100)</f>
        <v>113.29504451599392</v>
      </c>
      <c r="AB64">
        <f>IF(OR(Calc_오픈정렬!$F64="",Calc_오픈정렬!AB64=""),"",Calc_오픈정렬!AB64/Calc_오픈정렬!$F64*100)</f>
        <v>116.23965333222728</v>
      </c>
      <c r="AC64">
        <f>IF(OR(Calc_오픈정렬!$F64="",Calc_오픈정렬!AC64=""),"",Calc_오픈정렬!AC64/Calc_오픈정렬!$F64*100)</f>
        <v>118.94360406776472</v>
      </c>
      <c r="AD64">
        <f>IF(OR(Calc_오픈정렬!$F64="",Calc_오픈정렬!AD64=""),"",Calc_오픈정렬!AD64/Calc_오픈정렬!$F64*100)</f>
        <v>109.09313431533698</v>
      </c>
      <c r="AE64">
        <f>IF(OR(Calc_오픈정렬!$F64="",Calc_오픈정렬!AE64=""),"",Calc_오픈정렬!AE64/Calc_오픈정렬!$F64*100)</f>
        <v>124.151900269199</v>
      </c>
      <c r="AF64">
        <f>IF(OR(Calc_오픈정렬!$F64="",Calc_오픈정렬!AF64=""),"",Calc_오픈정렬!AF64/Calc_오픈정렬!$F64*100)</f>
        <v>119.49392932964145</v>
      </c>
      <c r="AG64">
        <f>IF(OR(Calc_오픈정렬!$F64="",Calc_오픈정렬!AG64=""),"",Calc_오픈정렬!AG64/Calc_오픈정렬!$F64*100)</f>
        <v>121.94387338132138</v>
      </c>
      <c r="AH64">
        <f>IF(OR(Calc_오픈정렬!$F64="",Calc_오픈정렬!AH64=""),"",Calc_오픈정렬!AH64/Calc_오픈정렬!$F64*100)</f>
        <v>115.85267184038086</v>
      </c>
      <c r="AI64">
        <f>IF(OR(Calc_오픈정렬!$F64="",Calc_오픈정렬!AI64=""),"",Calc_오픈정렬!AI64/Calc_오픈정렬!$F64*100)</f>
        <v>126.01971894093347</v>
      </c>
      <c r="AJ64">
        <f>IF(OR(Calc_오픈정렬!$F64="",Calc_오픈정렬!AJ64=""),"",Calc_오픈정렬!AJ64/Calc_오픈정렬!$F64*100)</f>
        <v>119.26152179545504</v>
      </c>
      <c r="AK64">
        <f>IF(OR(Calc_오픈정렬!$F64="",Calc_오픈정렬!AK64=""),"",Calc_오픈정렬!AK64/Calc_오픈정렬!$F64*100)</f>
        <v>131.38536139784495</v>
      </c>
      <c r="AL64">
        <f>IF(OR(Calc_오픈정렬!$F64="",Calc_오픈정렬!AL64=""),"",Calc_오픈정렬!AL64/Calc_오픈정렬!$F64*100)</f>
        <v>125.35022535834352</v>
      </c>
      <c r="AM64">
        <f>IF(OR(Calc_오픈정렬!$F64="",Calc_오픈정렬!AM64=""),"",Calc_오픈정렬!AM64/Calc_오픈정렬!$F64*100)</f>
        <v>116.00618195169119</v>
      </c>
      <c r="AN64">
        <f>IF(OR(Calc_오픈정렬!$F64="",Calc_오픈정렬!AN64=""),"",Calc_오픈정렬!AN64/Calc_오픈정렬!$F64*100)</f>
        <v>119.99587983058156</v>
      </c>
      <c r="AO64">
        <f>IF(OR(Calc_오픈정렬!$F64="",Calc_오픈정렬!AO64=""),"",Calc_오픈정렬!AO64/Calc_오픈정렬!$F64*100)</f>
        <v>121.2997648847041</v>
      </c>
      <c r="AP64">
        <f>IF(OR(Calc_오픈정렬!$F64="",Calc_오픈정렬!AP64=""),"",Calc_오픈정렬!AP64/Calc_오픈정렬!$F64*100)</f>
        <v>136.60118847972097</v>
      </c>
      <c r="AQ64">
        <f>IF(OR(Calc_오픈정렬!$F64="",Calc_오픈정렬!AQ64=""),"",Calc_오픈정렬!AQ64/Calc_오픈정렬!$F64*100)</f>
        <v>132.60383139918537</v>
      </c>
      <c r="AR64">
        <f>IF(OR(Calc_오픈정렬!$F64="",Calc_오픈정렬!AR64=""),"",Calc_오픈정렬!AR64/Calc_오픈정렬!$F64*100)</f>
        <v>131.90970786010695</v>
      </c>
      <c r="AS64">
        <f>IF(OR(Calc_오픈정렬!$F64="",Calc_오픈정렬!AS64=""),"",Calc_오픈정렬!AS64/Calc_오픈정렬!$F64*100)</f>
        <v>147.30963315119564</v>
      </c>
      <c r="AT64">
        <f>IF(OR(Calc_오픈정렬!$F64="",Calc_오픈정렬!AT64=""),"",Calc_오픈정렬!AT64/Calc_오픈정렬!$F64*100)</f>
        <v>139.75426933303424</v>
      </c>
      <c r="AU64">
        <f>IF(OR(Calc_오픈정렬!$F64="",Calc_오픈정렬!AU64=""),"",Calc_오픈정렬!AU64/Calc_오픈정렬!$F64*100)</f>
        <v>141.62296001841398</v>
      </c>
      <c r="AV64">
        <f>IF(OR(Calc_오픈정렬!$F64="",Calc_오픈정렬!AV64=""),"",Calc_오픈정렬!AV64/Calc_오픈정렬!$F64*100)</f>
        <v>136.68461477830317</v>
      </c>
      <c r="AW64">
        <f>IF(OR(Calc_오픈정렬!$F64="",Calc_오픈정렬!AW64=""),"",Calc_오픈정렬!AW64/Calc_오픈정렬!$F64*100)</f>
        <v>140.23663536040479</v>
      </c>
      <c r="AX64" t="str">
        <f>IF(OR(Calc_오픈정렬!$F64="",Calc_오픈정렬!AX64=""),"",Calc_오픈정렬!AX64/Calc_오픈정렬!$F64*100)</f>
        <v/>
      </c>
      <c r="AY64" t="str">
        <f>IF(OR(Calc_오픈정렬!$F64="",Calc_오픈정렬!AY64=""),"",Calc_오픈정렬!AY64/Calc_오픈정렬!$F64*100)</f>
        <v/>
      </c>
      <c r="AZ64" t="str">
        <f>IF(OR(Calc_오픈정렬!$F64="",Calc_오픈정렬!AZ64=""),"",Calc_오픈정렬!AZ64/Calc_오픈정렬!$F64*100)</f>
        <v/>
      </c>
      <c r="BA64" t="str">
        <f>IF(OR(Calc_오픈정렬!$F64="",Calc_오픈정렬!BA64=""),"",Calc_오픈정렬!BA64/Calc_오픈정렬!$F64*100)</f>
        <v/>
      </c>
      <c r="BB64" t="str">
        <f>IF(OR(Calc_오픈정렬!$F64="",Calc_오픈정렬!BB64=""),"",Calc_오픈정렬!BB64/Calc_오픈정렬!$F64*100)</f>
        <v/>
      </c>
      <c r="BC64" t="str">
        <f>IF(OR(Calc_오픈정렬!$F64="",Calc_오픈정렬!BC64=""),"",Calc_오픈정렬!BC64/Calc_오픈정렬!$F64*100)</f>
        <v/>
      </c>
      <c r="BD64" t="str">
        <f>IF(OR(Calc_오픈정렬!$F64="",Calc_오픈정렬!BD64=""),"",Calc_오픈정렬!BD64/Calc_오픈정렬!$F64*100)</f>
        <v/>
      </c>
      <c r="BE64" t="str">
        <f>IF(OR(Calc_오픈정렬!$F64="",Calc_오픈정렬!BE64=""),"",Calc_오픈정렬!BE64/Calc_오픈정렬!$F64*100)</f>
        <v/>
      </c>
      <c r="BF64" t="str">
        <f>IF(OR(Calc_오픈정렬!$F64="",Calc_오픈정렬!BF64=""),"",Calc_오픈정렬!BF64/Calc_오픈정렬!$F64*100)</f>
        <v/>
      </c>
      <c r="BG64" t="str">
        <f>IF(OR(Calc_오픈정렬!$F64="",Calc_오픈정렬!BG64=""),"",Calc_오픈정렬!BG64/Calc_오픈정렬!$F64*100)</f>
        <v/>
      </c>
      <c r="BH64" t="str">
        <f>IF(OR(Calc_오픈정렬!$F64="",Calc_오픈정렬!BH64=""),"",Calc_오픈정렬!BH64/Calc_오픈정렬!$F64*100)</f>
        <v/>
      </c>
      <c r="BI64" t="str">
        <f>IF(OR(Calc_오픈정렬!$F64="",Calc_오픈정렬!BI64=""),"",Calc_오픈정렬!BI64/Calc_오픈정렬!$F64*100)</f>
        <v/>
      </c>
      <c r="BJ64" t="str">
        <f>IF(OR(Calc_오픈정렬!$F64="",Calc_오픈정렬!BJ64=""),"",Calc_오픈정렬!BJ64/Calc_오픈정렬!$F64*100)</f>
        <v/>
      </c>
      <c r="BK64" t="str">
        <f>IF(OR(Calc_오픈정렬!$F64="",Calc_오픈정렬!BK64=""),"",Calc_오픈정렬!BK64/Calc_오픈정렬!$F64*100)</f>
        <v/>
      </c>
      <c r="BL64" t="str">
        <f>IF(OR(Calc_오픈정렬!$F64="",Calc_오픈정렬!BL64=""),"",Calc_오픈정렬!BL64/Calc_오픈정렬!$F64*100)</f>
        <v/>
      </c>
      <c r="BM64" t="str">
        <f>IF(OR(Calc_오픈정렬!$F64="",Calc_오픈정렬!BM64=""),"",Calc_오픈정렬!BM64/Calc_오픈정렬!$F64*100)</f>
        <v/>
      </c>
      <c r="BN64" t="str">
        <f>IF(OR(Calc_오픈정렬!$F64="",Calc_오픈정렬!BN64=""),"",Calc_오픈정렬!BN64/Calc_오픈정렬!$F64*100)</f>
        <v/>
      </c>
    </row>
    <row r="65" spans="1:66" x14ac:dyDescent="0.4">
      <c r="A65" t="str">
        <f>Calc_오픈정렬!A65</f>
        <v>(1054) #성대율전점</v>
      </c>
      <c r="B65" t="str">
        <f>Calc_오픈정렬!B65</f>
        <v>150-1</v>
      </c>
      <c r="C65">
        <f>Calc_오픈정렬!C65</f>
        <v>1</v>
      </c>
      <c r="D65" t="str">
        <f>Calc_오픈정렬!D65</f>
        <v>1</v>
      </c>
      <c r="E65" s="1">
        <f>Calc_오픈정렬!E65</f>
        <v>44866</v>
      </c>
      <c r="F65">
        <f>Calc_오픈정렬!F65</f>
        <v>5042023.2284119446</v>
      </c>
      <c r="G65">
        <f>IF(OR(Calc_오픈정렬!$F65="",Calc_오픈정렬!G65=""),"",Calc_오픈정렬!G65/Calc_오픈정렬!$F65*100)</f>
        <v>47.472869684938289</v>
      </c>
      <c r="H65">
        <f>IF(OR(Calc_오픈정렬!$F65="",Calc_오픈정렬!H65=""),"",Calc_오픈정렬!H65/Calc_오픈정렬!$F65*100)</f>
        <v>61.376017555500162</v>
      </c>
      <c r="I65">
        <f>IF(OR(Calc_오픈정렬!$F65="",Calc_오픈정렬!I65=""),"",Calc_오픈정렬!I65/Calc_오픈정렬!$F65*100)</f>
        <v>71.702943860042879</v>
      </c>
      <c r="J65">
        <f>IF(OR(Calc_오픈정렬!$F65="",Calc_오픈정렬!J65=""),"",Calc_오픈정렬!J65/Calc_오픈정렬!$F65*100)</f>
        <v>84.215544115407297</v>
      </c>
      <c r="K65">
        <f>IF(OR(Calc_오픈정렬!$F65="",Calc_오픈정렬!K65=""),"",Calc_오픈정렬!K65/Calc_오픈정렬!$F65*100)</f>
        <v>92.368176653061894</v>
      </c>
      <c r="L65">
        <f>IF(OR(Calc_오픈정렬!$F65="",Calc_오픈정렬!L65=""),"",Calc_오픈정렬!L65/Calc_오픈정렬!$F65*100)</f>
        <v>101.90013278138541</v>
      </c>
      <c r="M65">
        <f>IF(OR(Calc_오픈정렬!$F65="",Calc_오픈정렬!M65=""),"",Calc_오픈정렬!M65/Calc_오픈정렬!$F65*100)</f>
        <v>110.22795894899342</v>
      </c>
      <c r="N65">
        <f>IF(OR(Calc_오픈정렬!$F65="",Calc_오픈정렬!N65=""),"",Calc_오픈정렬!N65/Calc_오픈정렬!$F65*100)</f>
        <v>103.8026998532565</v>
      </c>
      <c r="O65">
        <f>IF(OR(Calc_오픈정렬!$F65="",Calc_오픈정렬!O65=""),"",Calc_오픈정렬!O65/Calc_오픈정렬!$F65*100)</f>
        <v>107.48548764789545</v>
      </c>
      <c r="P65">
        <f>IF(OR(Calc_오픈정렬!$F65="",Calc_오픈정렬!P65=""),"",Calc_오픈정렬!P65/Calc_오픈정렬!$F65*100)</f>
        <v>111.678127426871</v>
      </c>
      <c r="Q65">
        <f>IF(OR(Calc_오픈정렬!$F65="",Calc_오픈정렬!Q65=""),"",Calc_오픈정렬!Q65/Calc_오픈정렬!$F65*100)</f>
        <v>134.82700615993525</v>
      </c>
      <c r="R65">
        <f>IF(OR(Calc_오픈정렬!$F65="",Calc_오픈정렬!R65=""),"",Calc_오픈정렬!R65/Calc_오픈정렬!$F65*100)</f>
        <v>120.77199656788579</v>
      </c>
      <c r="S65">
        <f>IF(OR(Calc_오픈정렬!$F65="",Calc_오픈정렬!S65=""),"",Calc_오픈정렬!S65/Calc_오픈정렬!$F65*100)</f>
        <v>121.53365533367655</v>
      </c>
      <c r="T65">
        <f>IF(OR(Calc_오픈정렬!$F65="",Calc_오픈정렬!T65=""),"",Calc_오픈정렬!T65/Calc_오픈정렬!$F65*100)</f>
        <v>119.36740023726706</v>
      </c>
      <c r="U65">
        <f>IF(OR(Calc_오픈정렬!$F65="",Calc_오픈정렬!U65=""),"",Calc_오픈정렬!U65/Calc_오픈정렬!$F65*100)</f>
        <v>119.30925391567062</v>
      </c>
      <c r="V65">
        <f>IF(OR(Calc_오픈정렬!$F65="",Calc_오픈정렬!V65=""),"",Calc_오픈정렬!V65/Calc_오픈정렬!$F65*100)</f>
        <v>127.95350697956958</v>
      </c>
      <c r="W65">
        <f>IF(OR(Calc_오픈정렬!$F65="",Calc_오픈정렬!W65=""),"",Calc_오픈정렬!W65/Calc_오픈정렬!$F65*100)</f>
        <v>144.74545376355897</v>
      </c>
      <c r="X65">
        <f>IF(OR(Calc_오픈정렬!$F65="",Calc_오픈정렬!X65=""),"",Calc_오픈정렬!X65/Calc_오픈정렬!$F65*100)</f>
        <v>146.6321947001781</v>
      </c>
      <c r="Y65">
        <f>IF(OR(Calc_오픈정렬!$F65="",Calc_오픈정렬!Y65=""),"",Calc_오픈정렬!Y65/Calc_오픈정렬!$F65*100)</f>
        <v>137.69384497700113</v>
      </c>
      <c r="Z65">
        <f>IF(OR(Calc_오픈정렬!$F65="",Calc_오픈정렬!Z65=""),"",Calc_오픈정렬!Z65/Calc_오픈정렬!$F65*100)</f>
        <v>146.05779870011128</v>
      </c>
      <c r="AA65">
        <f>IF(OR(Calc_오픈정렬!$F65="",Calc_오픈정렬!AA65=""),"",Calc_오픈정렬!AA65/Calc_오픈정렬!$F65*100)</f>
        <v>153.77908739928074</v>
      </c>
      <c r="AB65">
        <f>IF(OR(Calc_오픈정렬!$F65="",Calc_오픈정렬!AB65=""),"",Calc_오픈정렬!AB65/Calc_오픈정렬!$F65*100)</f>
        <v>151.57555631989786</v>
      </c>
      <c r="AC65">
        <f>IF(OR(Calc_오픈정렬!$F65="",Calc_오픈정렬!AC65=""),"",Calc_오픈정렬!AC65/Calc_오픈정렬!$F65*100)</f>
        <v>148.21123709108448</v>
      </c>
      <c r="AD65">
        <f>IF(OR(Calc_오픈정렬!$F65="",Calc_오픈정렬!AD65=""),"",Calc_오픈정렬!AD65/Calc_오픈정렬!$F65*100)</f>
        <v>139.25833261498693</v>
      </c>
      <c r="AE65">
        <f>IF(OR(Calc_오픈정렬!$F65="",Calc_오픈정렬!AE65=""),"",Calc_오픈정렬!AE65/Calc_오픈정렬!$F65*100)</f>
        <v>145.48316307150651</v>
      </c>
      <c r="AF65">
        <f>IF(OR(Calc_오픈정렬!$F65="",Calc_오픈정렬!AF65=""),"",Calc_오픈정렬!AF65/Calc_오픈정렬!$F65*100)</f>
        <v>132.49826339831054</v>
      </c>
      <c r="AG65">
        <f>IF(OR(Calc_오픈정렬!$F65="",Calc_오픈정렬!AG65=""),"",Calc_오픈정렬!AG65/Calc_오픈정렬!$F65*100)</f>
        <v>120.98602649527224</v>
      </c>
      <c r="AH65">
        <f>IF(OR(Calc_오픈정렬!$F65="",Calc_오픈정렬!AH65=""),"",Calc_오픈정렬!AH65/Calc_오픈정렬!$F65*100)</f>
        <v>141.10044992680633</v>
      </c>
      <c r="AI65">
        <f>IF(OR(Calc_오픈정렬!$F65="",Calc_오픈정렬!AI65=""),"",Calc_오픈정렬!AI65/Calc_오픈정렬!$F65*100)</f>
        <v>139.62525029539253</v>
      </c>
      <c r="AJ65">
        <f>IF(OR(Calc_오픈정렬!$F65="",Calc_오픈정렬!AJ65=""),"",Calc_오픈정렬!AJ65/Calc_오픈정렬!$F65*100)</f>
        <v>143.96980196106944</v>
      </c>
      <c r="AK65">
        <f>IF(OR(Calc_오픈정렬!$F65="",Calc_오픈정렬!AK65=""),"",Calc_오픈정렬!AK65/Calc_오픈정렬!$F65*100)</f>
        <v>166.64863666635884</v>
      </c>
      <c r="AL65">
        <f>IF(OR(Calc_오픈정렬!$F65="",Calc_오픈정렬!AL65=""),"",Calc_오픈정렬!AL65/Calc_오픈정렬!$F65*100)</f>
        <v>148.20351116849716</v>
      </c>
      <c r="AM65">
        <f>IF(OR(Calc_오픈정렬!$F65="",Calc_오픈정렬!AM65=""),"",Calc_오픈정렬!AM65/Calc_오픈정렬!$F65*100)</f>
        <v>138.03463287334242</v>
      </c>
      <c r="AN65">
        <f>IF(OR(Calc_오픈정렬!$F65="",Calc_오픈정렬!AN65=""),"",Calc_오픈정렬!AN65/Calc_오픈정렬!$F65*100)</f>
        <v>149.327611276704</v>
      </c>
      <c r="AO65">
        <f>IF(OR(Calc_오픈정렬!$F65="",Calc_오픈정렬!AO65=""),"",Calc_오픈정렬!AO65/Calc_오픈정렬!$F65*100)</f>
        <v>163.61854364346641</v>
      </c>
      <c r="AP65">
        <f>IF(OR(Calc_오픈정렬!$F65="",Calc_오픈정렬!AP65=""),"",Calc_오픈정렬!AP65/Calc_오픈정렬!$F65*100)</f>
        <v>144.96050528529207</v>
      </c>
      <c r="AQ65">
        <f>IF(OR(Calc_오픈정렬!$F65="",Calc_오픈정렬!AQ65=""),"",Calc_오픈정렬!AQ65/Calc_오픈정렬!$F65*100)</f>
        <v>154.96962176008793</v>
      </c>
      <c r="AR65">
        <f>IF(OR(Calc_오픈정렬!$F65="",Calc_오픈정렬!AR65=""),"",Calc_오픈정렬!AR65/Calc_오픈정렬!$F65*100)</f>
        <v>146.26252199336335</v>
      </c>
      <c r="AS65">
        <f>IF(OR(Calc_오픈정렬!$F65="",Calc_오픈정렬!AS65=""),"",Calc_오픈정렬!AS65/Calc_오픈정렬!$F65*100)</f>
        <v>146.40690974599957</v>
      </c>
      <c r="AT65">
        <f>IF(OR(Calc_오픈정렬!$F65="",Calc_오픈정렬!AT65=""),"",Calc_오픈정렬!AT65/Calc_오픈정렬!$F65*100)</f>
        <v>149.8900208541238</v>
      </c>
      <c r="AU65">
        <f>IF(OR(Calc_오픈정렬!$F65="",Calc_오픈정렬!AU65=""),"",Calc_오픈정렬!AU65/Calc_오픈정렬!$F65*100)</f>
        <v>164.53638930877491</v>
      </c>
      <c r="AV65">
        <f>IF(OR(Calc_오픈정렬!$F65="",Calc_오픈정렬!AV65=""),"",Calc_오픈정렬!AV65/Calc_오픈정렬!$F65*100)</f>
        <v>156.13903726156525</v>
      </c>
      <c r="AW65">
        <f>IF(OR(Calc_오픈정렬!$F65="",Calc_오픈정렬!AW65=""),"",Calc_오픈정렬!AW65/Calc_오픈정렬!$F65*100)</f>
        <v>186.47009327353919</v>
      </c>
      <c r="AX65" t="str">
        <f>IF(OR(Calc_오픈정렬!$F65="",Calc_오픈정렬!AX65=""),"",Calc_오픈정렬!AX65/Calc_오픈정렬!$F65*100)</f>
        <v/>
      </c>
      <c r="AY65" t="str">
        <f>IF(OR(Calc_오픈정렬!$F65="",Calc_오픈정렬!AY65=""),"",Calc_오픈정렬!AY65/Calc_오픈정렬!$F65*100)</f>
        <v/>
      </c>
      <c r="AZ65" t="str">
        <f>IF(OR(Calc_오픈정렬!$F65="",Calc_오픈정렬!AZ65=""),"",Calc_오픈정렬!AZ65/Calc_오픈정렬!$F65*100)</f>
        <v/>
      </c>
      <c r="BA65" t="str">
        <f>IF(OR(Calc_오픈정렬!$F65="",Calc_오픈정렬!BA65=""),"",Calc_오픈정렬!BA65/Calc_오픈정렬!$F65*100)</f>
        <v/>
      </c>
      <c r="BB65" t="str">
        <f>IF(OR(Calc_오픈정렬!$F65="",Calc_오픈정렬!BB65=""),"",Calc_오픈정렬!BB65/Calc_오픈정렬!$F65*100)</f>
        <v/>
      </c>
      <c r="BC65" t="str">
        <f>IF(OR(Calc_오픈정렬!$F65="",Calc_오픈정렬!BC65=""),"",Calc_오픈정렬!BC65/Calc_오픈정렬!$F65*100)</f>
        <v/>
      </c>
      <c r="BD65" t="str">
        <f>IF(OR(Calc_오픈정렬!$F65="",Calc_오픈정렬!BD65=""),"",Calc_오픈정렬!BD65/Calc_오픈정렬!$F65*100)</f>
        <v/>
      </c>
      <c r="BE65" t="str">
        <f>IF(OR(Calc_오픈정렬!$F65="",Calc_오픈정렬!BE65=""),"",Calc_오픈정렬!BE65/Calc_오픈정렬!$F65*100)</f>
        <v/>
      </c>
      <c r="BF65" t="str">
        <f>IF(OR(Calc_오픈정렬!$F65="",Calc_오픈정렬!BF65=""),"",Calc_오픈정렬!BF65/Calc_오픈정렬!$F65*100)</f>
        <v/>
      </c>
      <c r="BG65" t="str">
        <f>IF(OR(Calc_오픈정렬!$F65="",Calc_오픈정렬!BG65=""),"",Calc_오픈정렬!BG65/Calc_오픈정렬!$F65*100)</f>
        <v/>
      </c>
      <c r="BH65" t="str">
        <f>IF(OR(Calc_오픈정렬!$F65="",Calc_오픈정렬!BH65=""),"",Calc_오픈정렬!BH65/Calc_오픈정렬!$F65*100)</f>
        <v/>
      </c>
      <c r="BI65" t="str">
        <f>IF(OR(Calc_오픈정렬!$F65="",Calc_오픈정렬!BI65=""),"",Calc_오픈정렬!BI65/Calc_오픈정렬!$F65*100)</f>
        <v/>
      </c>
      <c r="BJ65" t="str">
        <f>IF(OR(Calc_오픈정렬!$F65="",Calc_오픈정렬!BJ65=""),"",Calc_오픈정렬!BJ65/Calc_오픈정렬!$F65*100)</f>
        <v/>
      </c>
      <c r="BK65" t="str">
        <f>IF(OR(Calc_오픈정렬!$F65="",Calc_오픈정렬!BK65=""),"",Calc_오픈정렬!BK65/Calc_오픈정렬!$F65*100)</f>
        <v/>
      </c>
      <c r="BL65" t="str">
        <f>IF(OR(Calc_오픈정렬!$F65="",Calc_오픈정렬!BL65=""),"",Calc_오픈정렬!BL65/Calc_오픈정렬!$F65*100)</f>
        <v/>
      </c>
      <c r="BM65" t="str">
        <f>IF(OR(Calc_오픈정렬!$F65="",Calc_오픈정렬!BM65=""),"",Calc_오픈정렬!BM65/Calc_오픈정렬!$F65*100)</f>
        <v/>
      </c>
      <c r="BN65" t="str">
        <f>IF(OR(Calc_오픈정렬!$F65="",Calc_오픈정렬!BN65=""),"",Calc_오픈정렬!BN65/Calc_오픈정렬!$F65*100)</f>
        <v/>
      </c>
    </row>
    <row r="66" spans="1:66" x14ac:dyDescent="0.4">
      <c r="A66" t="str">
        <f>Calc_오픈정렬!A66</f>
        <v>(1055) #영통신원뽀송점</v>
      </c>
      <c r="B66" t="str">
        <f>Calc_오픈정렬!B66</f>
        <v>150-1</v>
      </c>
      <c r="C66">
        <f>Calc_오픈정렬!C66</f>
        <v>1</v>
      </c>
      <c r="D66" t="str">
        <f>Calc_오픈정렬!D66</f>
        <v>1</v>
      </c>
      <c r="E66" s="1">
        <f>Calc_오픈정렬!E66</f>
        <v>44866</v>
      </c>
      <c r="F66">
        <f>Calc_오픈정렬!F66</f>
        <v>4133779.8280782481</v>
      </c>
      <c r="G66">
        <f>IF(OR(Calc_오픈정렬!$F66="",Calc_오픈정렬!G66=""),"",Calc_오픈정렬!G66/Calc_오픈정렬!$F66*100)</f>
        <v>60.217267183192781</v>
      </c>
      <c r="H66">
        <f>IF(OR(Calc_오픈정렬!$F66="",Calc_오픈정렬!H66=""),"",Calc_오픈정렬!H66/Calc_오픈정렬!$F66*100)</f>
        <v>67.135028303867415</v>
      </c>
      <c r="I66">
        <f>IF(OR(Calc_오픈정렬!$F66="",Calc_오픈정렬!I66=""),"",Calc_오픈정렬!I66/Calc_오픈정렬!$F66*100)</f>
        <v>76.129296548628972</v>
      </c>
      <c r="J66">
        <f>IF(OR(Calc_오픈정렬!$F66="",Calc_오픈정렬!J66=""),"",Calc_오픈정렬!J66/Calc_오픈정렬!$F66*100)</f>
        <v>103.50170507363754</v>
      </c>
      <c r="K66">
        <f>IF(OR(Calc_오픈정렬!$F66="",Calc_오픈정렬!K66=""),"",Calc_오픈정렬!K66/Calc_오픈정렬!$F66*100)</f>
        <v>102.41830623586989</v>
      </c>
      <c r="L66">
        <f>IF(OR(Calc_오픈정렬!$F66="",Calc_오픈정렬!L66=""),"",Calc_오픈정렬!L66/Calc_오픈정렬!$F66*100)</f>
        <v>95.171986024987646</v>
      </c>
      <c r="M66">
        <f>IF(OR(Calc_오픈정렬!$F66="",Calc_오픈정렬!M66=""),"",Calc_오픈정렬!M66/Calc_오픈정렬!$F66*100)</f>
        <v>93.52245934312576</v>
      </c>
      <c r="N66">
        <f>IF(OR(Calc_오픈정렬!$F66="",Calc_오픈정렬!N66=""),"",Calc_오픈정렬!N66/Calc_오픈정렬!$F66*100)</f>
        <v>98.237359978188636</v>
      </c>
      <c r="O66">
        <f>IF(OR(Calc_오픈정렬!$F66="",Calc_오픈정렬!O66=""),"",Calc_오픈정렬!O66/Calc_오픈정렬!$F66*100)</f>
        <v>107.14818334419061</v>
      </c>
      <c r="P66">
        <f>IF(OR(Calc_오픈정렬!$F66="",Calc_오픈정렬!P66=""),"",Calc_오픈정렬!P66/Calc_오픈정렬!$F66*100)</f>
        <v>105.74103226843188</v>
      </c>
      <c r="Q66">
        <f>IF(OR(Calc_오픈정렬!$F66="",Calc_오픈정렬!Q66=""),"",Calc_오픈정렬!Q66/Calc_오픈정렬!$F66*100)</f>
        <v>108.35034877036476</v>
      </c>
      <c r="R66">
        <f>IF(OR(Calc_오픈정렬!$F66="",Calc_오픈정렬!R66=""),"",Calc_오픈정렬!R66/Calc_오픈정렬!$F66*100)</f>
        <v>114.60889919142778</v>
      </c>
      <c r="S66">
        <f>IF(OR(Calc_오픈정렬!$F66="",Calc_오픈정렬!S66=""),"",Calc_오픈정렬!S66/Calc_오픈정렬!$F66*100)</f>
        <v>110.49583430042725</v>
      </c>
      <c r="T66">
        <f>IF(OR(Calc_오픈정렬!$F66="",Calc_오픈정렬!T66=""),"",Calc_오픈정렬!T66/Calc_오픈정렬!$F66*100)</f>
        <v>125.51320182021961</v>
      </c>
      <c r="U66">
        <f>IF(OR(Calc_오픈정렬!$F66="",Calc_오픈정렬!U66=""),"",Calc_오픈정렬!U66/Calc_오픈정렬!$F66*100)</f>
        <v>129.62182418068849</v>
      </c>
      <c r="V66">
        <f>IF(OR(Calc_오픈정렬!$F66="",Calc_오픈정렬!V66=""),"",Calc_오픈정렬!V66/Calc_오픈정렬!$F66*100)</f>
        <v>142.57702269753443</v>
      </c>
      <c r="W66">
        <f>IF(OR(Calc_오픈정렬!$F66="",Calc_오픈정렬!W66=""),"",Calc_오픈정렬!W66/Calc_오픈정렬!$F66*100)</f>
        <v>126.60087655949637</v>
      </c>
      <c r="X66">
        <f>IF(OR(Calc_오픈정렬!$F66="",Calc_오픈정렬!X66=""),"",Calc_오픈정렬!X66/Calc_오픈정렬!$F66*100)</f>
        <v>139.99544700535881</v>
      </c>
      <c r="Y66">
        <f>IF(OR(Calc_오픈정렬!$F66="",Calc_오픈정렬!Y66=""),"",Calc_오픈정렬!Y66/Calc_오픈정렬!$F66*100)</f>
        <v>111.73425648301556</v>
      </c>
      <c r="Z66">
        <f>IF(OR(Calc_오픈정렬!$F66="",Calc_오픈정렬!Z66=""),"",Calc_오픈정렬!Z66/Calc_오픈정렬!$F66*100)</f>
        <v>120.38666028376441</v>
      </c>
      <c r="AA66">
        <f>IF(OR(Calc_오픈정렬!$F66="",Calc_오픈정렬!AA66=""),"",Calc_오픈정렬!AA66/Calc_오픈정렬!$F66*100)</f>
        <v>117.53599924265143</v>
      </c>
      <c r="AB66">
        <f>IF(OR(Calc_오픈정렬!$F66="",Calc_오픈정렬!AB66=""),"",Calc_오픈정렬!AB66/Calc_오픈정렬!$F66*100)</f>
        <v>128.68450122042304</v>
      </c>
      <c r="AC66">
        <f>IF(OR(Calc_오픈정렬!$F66="",Calc_오픈정렬!AC66=""),"",Calc_오픈정렬!AC66/Calc_오픈정렬!$F66*100)</f>
        <v>119.43931656424294</v>
      </c>
      <c r="AD66">
        <f>IF(OR(Calc_오픈정렬!$F66="",Calc_오픈정렬!AD66=""),"",Calc_오픈정렬!AD66/Calc_오픈정렬!$F66*100)</f>
        <v>113.86953419399637</v>
      </c>
      <c r="AE66">
        <f>IF(OR(Calc_오픈정렬!$F66="",Calc_오픈정렬!AE66=""),"",Calc_오픈정렬!AE66/Calc_오픈정렬!$F66*100)</f>
        <v>115.73053233628958</v>
      </c>
      <c r="AF66">
        <f>IF(OR(Calc_오픈정렬!$F66="",Calc_오픈정렬!AF66=""),"",Calc_오픈정렬!AF66/Calc_오픈정렬!$F66*100)</f>
        <v>111.51838769529323</v>
      </c>
      <c r="AG66">
        <f>IF(OR(Calc_오픈정렬!$F66="",Calc_오픈정렬!AG66=""),"",Calc_오픈정렬!AG66/Calc_오픈정렬!$F66*100)</f>
        <v>118.38608670337456</v>
      </c>
      <c r="AH66">
        <f>IF(OR(Calc_오픈정렬!$F66="",Calc_오픈정렬!AH66=""),"",Calc_오픈정렬!AH66/Calc_오픈정렬!$F66*100)</f>
        <v>109.87491753319478</v>
      </c>
      <c r="AI66">
        <f>IF(OR(Calc_오픈정렬!$F66="",Calc_오픈정렬!AI66=""),"",Calc_오픈정렬!AI66/Calc_오픈정렬!$F66*100)</f>
        <v>121.93105986437618</v>
      </c>
      <c r="AJ66">
        <f>IF(OR(Calc_오픈정렬!$F66="",Calc_오픈정렬!AJ66=""),"",Calc_오픈정렬!AJ66/Calc_오픈정렬!$F66*100)</f>
        <v>122.2929311693874</v>
      </c>
      <c r="AK66">
        <f>IF(OR(Calc_오픈정렬!$F66="",Calc_오픈정렬!AK66=""),"",Calc_오픈정렬!AK66/Calc_오픈정렬!$F66*100)</f>
        <v>136.41261454068731</v>
      </c>
      <c r="AL66">
        <f>IF(OR(Calc_오픈정렬!$F66="",Calc_오픈정렬!AL66=""),"",Calc_오픈정렬!AL66/Calc_오픈정렬!$F66*100)</f>
        <v>145.50614622164673</v>
      </c>
      <c r="AM66">
        <f>IF(OR(Calc_오픈정렬!$F66="",Calc_오픈정렬!AM66=""),"",Calc_오픈정렬!AM66/Calc_오픈정렬!$F66*100)</f>
        <v>122.32826038361657</v>
      </c>
      <c r="AN66">
        <f>IF(OR(Calc_오픈정렬!$F66="",Calc_오픈정렬!AN66=""),"",Calc_오픈정렬!AN66/Calc_오픈정렬!$F66*100)</f>
        <v>149.35337045351355</v>
      </c>
      <c r="AO66">
        <f>IF(OR(Calc_오픈정렬!$F66="",Calc_오픈정렬!AO66=""),"",Calc_오픈정렬!AO66/Calc_오픈정렬!$F66*100)</f>
        <v>144.60791023446012</v>
      </c>
      <c r="AP66">
        <f>IF(OR(Calc_오픈정렬!$F66="",Calc_오픈정렬!AP66=""),"",Calc_오픈정렬!AP66/Calc_오픈정렬!$F66*100)</f>
        <v>148.18460845349935</v>
      </c>
      <c r="AQ66">
        <f>IF(OR(Calc_오픈정렬!$F66="",Calc_오픈정렬!AQ66=""),"",Calc_오픈정렬!AQ66/Calc_오픈정렬!$F66*100)</f>
        <v>145.34866712395745</v>
      </c>
      <c r="AR66">
        <f>IF(OR(Calc_오픈정렬!$F66="",Calc_오픈정렬!AR66=""),"",Calc_오픈정렬!AR66/Calc_오픈정렬!$F66*100)</f>
        <v>128.85909056833265</v>
      </c>
      <c r="AS66">
        <f>IF(OR(Calc_오픈정렬!$F66="",Calc_오픈정렬!AS66=""),"",Calc_오픈정렬!AS66/Calc_오픈정렬!$F66*100)</f>
        <v>148.96095198193177</v>
      </c>
      <c r="AT66">
        <f>IF(OR(Calc_오픈정렬!$F66="",Calc_오픈정렬!AT66=""),"",Calc_오픈정렬!AT66/Calc_오픈정렬!$F66*100)</f>
        <v>148.79611396953953</v>
      </c>
      <c r="AU66">
        <f>IF(OR(Calc_오픈정렬!$F66="",Calc_오픈정렬!AU66=""),"",Calc_오픈정렬!AU66/Calc_오픈정렬!$F66*100)</f>
        <v>144.40881598989074</v>
      </c>
      <c r="AV66">
        <f>IF(OR(Calc_오픈정렬!$F66="",Calc_오픈정렬!AV66=""),"",Calc_오픈정렬!AV66/Calc_오픈정렬!$F66*100)</f>
        <v>160.63246374586996</v>
      </c>
      <c r="AW66">
        <f>IF(OR(Calc_오픈정렬!$F66="",Calc_오픈정렬!AW66=""),"",Calc_오픈정렬!AW66/Calc_오픈정렬!$F66*100)</f>
        <v>151.07384132648002</v>
      </c>
      <c r="AX66" t="str">
        <f>IF(OR(Calc_오픈정렬!$F66="",Calc_오픈정렬!AX66=""),"",Calc_오픈정렬!AX66/Calc_오픈정렬!$F66*100)</f>
        <v/>
      </c>
      <c r="AY66" t="str">
        <f>IF(OR(Calc_오픈정렬!$F66="",Calc_오픈정렬!AY66=""),"",Calc_오픈정렬!AY66/Calc_오픈정렬!$F66*100)</f>
        <v/>
      </c>
      <c r="AZ66" t="str">
        <f>IF(OR(Calc_오픈정렬!$F66="",Calc_오픈정렬!AZ66=""),"",Calc_오픈정렬!AZ66/Calc_오픈정렬!$F66*100)</f>
        <v/>
      </c>
      <c r="BA66" t="str">
        <f>IF(OR(Calc_오픈정렬!$F66="",Calc_오픈정렬!BA66=""),"",Calc_오픈정렬!BA66/Calc_오픈정렬!$F66*100)</f>
        <v/>
      </c>
      <c r="BB66" t="str">
        <f>IF(OR(Calc_오픈정렬!$F66="",Calc_오픈정렬!BB66=""),"",Calc_오픈정렬!BB66/Calc_오픈정렬!$F66*100)</f>
        <v/>
      </c>
      <c r="BC66" t="str">
        <f>IF(OR(Calc_오픈정렬!$F66="",Calc_오픈정렬!BC66=""),"",Calc_오픈정렬!BC66/Calc_오픈정렬!$F66*100)</f>
        <v/>
      </c>
      <c r="BD66" t="str">
        <f>IF(OR(Calc_오픈정렬!$F66="",Calc_오픈정렬!BD66=""),"",Calc_오픈정렬!BD66/Calc_오픈정렬!$F66*100)</f>
        <v/>
      </c>
      <c r="BE66" t="str">
        <f>IF(OR(Calc_오픈정렬!$F66="",Calc_오픈정렬!BE66=""),"",Calc_오픈정렬!BE66/Calc_오픈정렬!$F66*100)</f>
        <v/>
      </c>
      <c r="BF66" t="str">
        <f>IF(OR(Calc_오픈정렬!$F66="",Calc_오픈정렬!BF66=""),"",Calc_오픈정렬!BF66/Calc_오픈정렬!$F66*100)</f>
        <v/>
      </c>
      <c r="BG66" t="str">
        <f>IF(OR(Calc_오픈정렬!$F66="",Calc_오픈정렬!BG66=""),"",Calc_오픈정렬!BG66/Calc_오픈정렬!$F66*100)</f>
        <v/>
      </c>
      <c r="BH66" t="str">
        <f>IF(OR(Calc_오픈정렬!$F66="",Calc_오픈정렬!BH66=""),"",Calc_오픈정렬!BH66/Calc_오픈정렬!$F66*100)</f>
        <v/>
      </c>
      <c r="BI66" t="str">
        <f>IF(OR(Calc_오픈정렬!$F66="",Calc_오픈정렬!BI66=""),"",Calc_오픈정렬!BI66/Calc_오픈정렬!$F66*100)</f>
        <v/>
      </c>
      <c r="BJ66" t="str">
        <f>IF(OR(Calc_오픈정렬!$F66="",Calc_오픈정렬!BJ66=""),"",Calc_오픈정렬!BJ66/Calc_오픈정렬!$F66*100)</f>
        <v/>
      </c>
      <c r="BK66" t="str">
        <f>IF(OR(Calc_오픈정렬!$F66="",Calc_오픈정렬!BK66=""),"",Calc_오픈정렬!BK66/Calc_오픈정렬!$F66*100)</f>
        <v/>
      </c>
      <c r="BL66" t="str">
        <f>IF(OR(Calc_오픈정렬!$F66="",Calc_오픈정렬!BL66=""),"",Calc_오픈정렬!BL66/Calc_오픈정렬!$F66*100)</f>
        <v/>
      </c>
      <c r="BM66" t="str">
        <f>IF(OR(Calc_오픈정렬!$F66="",Calc_오픈정렬!BM66=""),"",Calc_오픈정렬!BM66/Calc_오픈정렬!$F66*100)</f>
        <v/>
      </c>
      <c r="BN66" t="str">
        <f>IF(OR(Calc_오픈정렬!$F66="",Calc_오픈정렬!BN66=""),"",Calc_오픈정렬!BN66/Calc_오픈정렬!$F66*100)</f>
        <v/>
      </c>
    </row>
    <row r="67" spans="1:66" x14ac:dyDescent="0.4">
      <c r="A67" t="str">
        <f>Calc_오픈정렬!A67</f>
        <v>(1056) #매탄삼성점</v>
      </c>
      <c r="B67" t="str">
        <f>Calc_오픈정렬!B67</f>
        <v>150-0</v>
      </c>
      <c r="C67">
        <f>Calc_오픈정렬!C67</f>
        <v>0</v>
      </c>
      <c r="D67" t="str">
        <f>Calc_오픈정렬!D67</f>
        <v>0</v>
      </c>
      <c r="E67" s="1">
        <f>Calc_오픈정렬!E67</f>
        <v>44866</v>
      </c>
      <c r="F67">
        <f>Calc_오픈정렬!F67</f>
        <v>3935080.6050733593</v>
      </c>
      <c r="G67">
        <f>IF(OR(Calc_오픈정렬!$F67="",Calc_오픈정렬!G67=""),"",Calc_오픈정렬!G67/Calc_오픈정렬!$F67*100)</f>
        <v>55.485700801747917</v>
      </c>
      <c r="H67">
        <f>IF(OR(Calc_오픈정렬!$F67="",Calc_오픈정렬!H67=""),"",Calc_오픈정렬!H67/Calc_오픈정렬!$F67*100)</f>
        <v>74.54027144075296</v>
      </c>
      <c r="I67">
        <f>IF(OR(Calc_오픈정렬!$F67="",Calc_오픈정렬!I67=""),"",Calc_오픈정렬!I67/Calc_오픈정렬!$F67*100)</f>
        <v>104.3796361888492</v>
      </c>
      <c r="J67">
        <f>IF(OR(Calc_오픈정렬!$F67="",Calc_오픈정렬!J67=""),"",Calc_오픈정렬!J67/Calc_오픈정렬!$F67*100)</f>
        <v>96.297870137701679</v>
      </c>
      <c r="K67">
        <f>IF(OR(Calc_오픈정렬!$F67="",Calc_오픈정렬!K67=""),"",Calc_오픈정렬!K67/Calc_오픈정렬!$F67*100)</f>
        <v>91.179389584862193</v>
      </c>
      <c r="L67">
        <f>IF(OR(Calc_오픈정렬!$F67="",Calc_오픈정렬!L67=""),"",Calc_오픈정렬!L67/Calc_오픈정렬!$F67*100)</f>
        <v>97.186210084431494</v>
      </c>
      <c r="M67">
        <f>IF(OR(Calc_오픈정렬!$F67="",Calc_오픈정렬!M67=""),"",Calc_오픈정렬!M67/Calc_오픈정렬!$F67*100)</f>
        <v>105.33551448298132</v>
      </c>
      <c r="N67">
        <f>IF(OR(Calc_오픈정렬!$F67="",Calc_오픈정렬!N67=""),"",Calc_오픈정렬!N67/Calc_오픈정렬!$F67*100)</f>
        <v>100.41634380797385</v>
      </c>
      <c r="O67">
        <f>IF(OR(Calc_오픈정렬!$F67="",Calc_오픈정렬!O67=""),"",Calc_오픈정렬!O67/Calc_오픈정렬!$F67*100)</f>
        <v>109.58467190204951</v>
      </c>
      <c r="P67">
        <f>IF(OR(Calc_오픈정렬!$F67="",Calc_오픈정렬!P67=""),"",Calc_오픈정렬!P67/Calc_오픈정렬!$F67*100)</f>
        <v>98.155636106180097</v>
      </c>
      <c r="Q67">
        <f>IF(OR(Calc_오픈정렬!$F67="",Calc_오픈정렬!Q67=""),"",Calc_오픈정렬!Q67/Calc_오픈정렬!$F67*100)</f>
        <v>117.22248996245008</v>
      </c>
      <c r="R67">
        <f>IF(OR(Calc_오픈정렬!$F67="",Calc_오픈정렬!R67=""),"",Calc_오픈정렬!R67/Calc_오픈정렬!$F67*100)</f>
        <v>107.98596564407157</v>
      </c>
      <c r="S67">
        <f>IF(OR(Calc_오픈정렬!$F67="",Calc_오픈정렬!S67=""),"",Calc_오픈정렬!S67/Calc_오픈정렬!$F67*100)</f>
        <v>102.07689633684225</v>
      </c>
      <c r="T67">
        <f>IF(OR(Calc_오픈정렬!$F67="",Calc_오픈정렬!T67=""),"",Calc_오픈정렬!T67/Calc_오픈정렬!$F67*100)</f>
        <v>135.20515029935419</v>
      </c>
      <c r="U67">
        <f>IF(OR(Calc_오픈정렬!$F67="",Calc_오픈정렬!U67=""),"",Calc_오픈정렬!U67/Calc_오픈정렬!$F67*100)</f>
        <v>135.84343842457167</v>
      </c>
      <c r="V67">
        <f>IF(OR(Calc_오픈정렬!$F67="",Calc_오픈정렬!V67=""),"",Calc_오픈정렬!V67/Calc_오픈정렬!$F67*100)</f>
        <v>130.73023788684449</v>
      </c>
      <c r="W67">
        <f>IF(OR(Calc_오픈정렬!$F67="",Calc_오픈정렬!W67=""),"",Calc_오픈정렬!W67/Calc_오픈정렬!$F67*100)</f>
        <v>147.46478113691381</v>
      </c>
      <c r="X67">
        <f>IF(OR(Calc_오픈정렬!$F67="",Calc_오픈정렬!X67=""),"",Calc_오픈정렬!X67/Calc_오픈정렬!$F67*100)</f>
        <v>130.53473440431247</v>
      </c>
      <c r="Y67">
        <f>IF(OR(Calc_오픈정렬!$F67="",Calc_오픈정렬!Y67=""),"",Calc_오픈정렬!Y67/Calc_오픈정렬!$F67*100)</f>
        <v>121.93185737506467</v>
      </c>
      <c r="Z67">
        <f>IF(OR(Calc_오픈정렬!$F67="",Calc_오픈정렬!Z67=""),"",Calc_오픈정렬!Z67/Calc_오픈정렬!$F67*100)</f>
        <v>136.30934568492225</v>
      </c>
      <c r="AA67">
        <f>IF(OR(Calc_오픈정렬!$F67="",Calc_오픈정렬!AA67=""),"",Calc_오픈정렬!AA67/Calc_오픈정렬!$F67*100)</f>
        <v>144.04145263254463</v>
      </c>
      <c r="AB67">
        <f>IF(OR(Calc_오픈정렬!$F67="",Calc_오픈정렬!AB67=""),"",Calc_오픈정렬!AB67/Calc_오픈정렬!$F67*100)</f>
        <v>128.7819875957405</v>
      </c>
      <c r="AC67">
        <f>IF(OR(Calc_오픈정렬!$F67="",Calc_오픈정렬!AC67=""),"",Calc_오픈정렬!AC67/Calc_오픈정렬!$F67*100)</f>
        <v>134.62730760169455</v>
      </c>
      <c r="AD67">
        <f>IF(OR(Calc_오픈정렬!$F67="",Calc_오픈정렬!AD67=""),"",Calc_오픈정렬!AD67/Calc_오픈정렬!$F67*100)</f>
        <v>138.48892316262803</v>
      </c>
      <c r="AE67">
        <f>IF(OR(Calc_오픈정렬!$F67="",Calc_오픈정렬!AE67=""),"",Calc_오픈정렬!AE67/Calc_오픈정렬!$F67*100)</f>
        <v>138.32883971523572</v>
      </c>
      <c r="AF67">
        <f>IF(OR(Calc_오픈정렬!$F67="",Calc_오픈정렬!AF67=""),"",Calc_오픈정렬!AF67/Calc_오픈정렬!$F67*100)</f>
        <v>140.39698675454392</v>
      </c>
      <c r="AG67">
        <f>IF(OR(Calc_오픈정렬!$F67="",Calc_오픈정렬!AG67=""),"",Calc_오픈정렬!AG67/Calc_오픈정렬!$F67*100)</f>
        <v>159.38985402763311</v>
      </c>
      <c r="AH67">
        <f>IF(OR(Calc_오픈정렬!$F67="",Calc_오픈정렬!AH67=""),"",Calc_오픈정렬!AH67/Calc_오픈정렬!$F67*100)</f>
        <v>168.08711828575474</v>
      </c>
      <c r="AI67">
        <f>IF(OR(Calc_오픈정렬!$F67="",Calc_오픈정렬!AI67=""),"",Calc_오픈정렬!AI67/Calc_오픈정렬!$F67*100)</f>
        <v>157.05868880053254</v>
      </c>
      <c r="AJ67">
        <f>IF(OR(Calc_오픈정렬!$F67="",Calc_오픈정렬!AJ67=""),"",Calc_오픈정렬!AJ67/Calc_오픈정렬!$F67*100)</f>
        <v>160.43690746725002</v>
      </c>
      <c r="AK67">
        <f>IF(OR(Calc_오픈정렬!$F67="",Calc_오픈정렬!AK67=""),"",Calc_오픈정렬!AK67/Calc_오픈정렬!$F67*100)</f>
        <v>153.51900562079237</v>
      </c>
      <c r="AL67">
        <f>IF(OR(Calc_오픈정렬!$F67="",Calc_오픈정렬!AL67=""),"",Calc_오픈정렬!AL67/Calc_오픈정렬!$F67*100)</f>
        <v>150.15426608516583</v>
      </c>
      <c r="AM67">
        <f>IF(OR(Calc_오픈정렬!$F67="",Calc_오픈정렬!AM67=""),"",Calc_오픈정렬!AM67/Calc_오픈정렬!$F67*100)</f>
        <v>126.50474916735111</v>
      </c>
      <c r="AN67">
        <f>IF(OR(Calc_오픈정렬!$F67="",Calc_오픈정렬!AN67=""),"",Calc_오픈정렬!AN67/Calc_오픈정렬!$F67*100)</f>
        <v>139.47339383526995</v>
      </c>
      <c r="AO67">
        <f>IF(OR(Calc_오픈정렬!$F67="",Calc_오픈정렬!AO67=""),"",Calc_오픈정렬!AO67/Calc_오픈정렬!$F67*100)</f>
        <v>135.42071997285967</v>
      </c>
      <c r="AP67">
        <f>IF(OR(Calc_오픈정렬!$F67="",Calc_오픈정렬!AP67=""),"",Calc_오픈정렬!AP67/Calc_오픈정렬!$F67*100)</f>
        <v>145.30773565526275</v>
      </c>
      <c r="AQ67">
        <f>IF(OR(Calc_오픈정렬!$F67="",Calc_오픈정렬!AQ67=""),"",Calc_오픈정렬!AQ67/Calc_오픈정렬!$F67*100)</f>
        <v>153.86688626475916</v>
      </c>
      <c r="AR67">
        <f>IF(OR(Calc_오픈정렬!$F67="",Calc_오픈정렬!AR67=""),"",Calc_오픈정렬!AR67/Calc_오픈정렬!$F67*100)</f>
        <v>142.47804971147707</v>
      </c>
      <c r="AS67">
        <f>IF(OR(Calc_오픈정렬!$F67="",Calc_오픈정렬!AS67=""),"",Calc_오픈정렬!AS67/Calc_오픈정렬!$F67*100)</f>
        <v>191.36480660799793</v>
      </c>
      <c r="AT67">
        <f>IF(OR(Calc_오픈정렬!$F67="",Calc_오픈정렬!AT67=""),"",Calc_오픈정렬!AT67/Calc_오픈정렬!$F67*100)</f>
        <v>174.09322307915849</v>
      </c>
      <c r="AU67">
        <f>IF(OR(Calc_오픈정렬!$F67="",Calc_오픈정렬!AU67=""),"",Calc_오픈정렬!AU67/Calc_오픈정렬!$F67*100)</f>
        <v>163.3728582602684</v>
      </c>
      <c r="AV67">
        <f>IF(OR(Calc_오픈정렬!$F67="",Calc_오픈정렬!AV67=""),"",Calc_오픈정렬!AV67/Calc_오픈정렬!$F67*100)</f>
        <v>170.14578483723463</v>
      </c>
      <c r="AW67">
        <f>IF(OR(Calc_오픈정렬!$F67="",Calc_오픈정렬!AW67=""),"",Calc_오픈정렬!AW67/Calc_오픈정렬!$F67*100)</f>
        <v>164.61957205374875</v>
      </c>
      <c r="AX67" t="str">
        <f>IF(OR(Calc_오픈정렬!$F67="",Calc_오픈정렬!AX67=""),"",Calc_오픈정렬!AX67/Calc_오픈정렬!$F67*100)</f>
        <v/>
      </c>
      <c r="AY67" t="str">
        <f>IF(OR(Calc_오픈정렬!$F67="",Calc_오픈정렬!AY67=""),"",Calc_오픈정렬!AY67/Calc_오픈정렬!$F67*100)</f>
        <v/>
      </c>
      <c r="AZ67" t="str">
        <f>IF(OR(Calc_오픈정렬!$F67="",Calc_오픈정렬!AZ67=""),"",Calc_오픈정렬!AZ67/Calc_오픈정렬!$F67*100)</f>
        <v/>
      </c>
      <c r="BA67" t="str">
        <f>IF(OR(Calc_오픈정렬!$F67="",Calc_오픈정렬!BA67=""),"",Calc_오픈정렬!BA67/Calc_오픈정렬!$F67*100)</f>
        <v/>
      </c>
      <c r="BB67" t="str">
        <f>IF(OR(Calc_오픈정렬!$F67="",Calc_오픈정렬!BB67=""),"",Calc_오픈정렬!BB67/Calc_오픈정렬!$F67*100)</f>
        <v/>
      </c>
      <c r="BC67" t="str">
        <f>IF(OR(Calc_오픈정렬!$F67="",Calc_오픈정렬!BC67=""),"",Calc_오픈정렬!BC67/Calc_오픈정렬!$F67*100)</f>
        <v/>
      </c>
      <c r="BD67" t="str">
        <f>IF(OR(Calc_오픈정렬!$F67="",Calc_오픈정렬!BD67=""),"",Calc_오픈정렬!BD67/Calc_오픈정렬!$F67*100)</f>
        <v/>
      </c>
      <c r="BE67" t="str">
        <f>IF(OR(Calc_오픈정렬!$F67="",Calc_오픈정렬!BE67=""),"",Calc_오픈정렬!BE67/Calc_오픈정렬!$F67*100)</f>
        <v/>
      </c>
      <c r="BF67" t="str">
        <f>IF(OR(Calc_오픈정렬!$F67="",Calc_오픈정렬!BF67=""),"",Calc_오픈정렬!BF67/Calc_오픈정렬!$F67*100)</f>
        <v/>
      </c>
      <c r="BG67" t="str">
        <f>IF(OR(Calc_오픈정렬!$F67="",Calc_오픈정렬!BG67=""),"",Calc_오픈정렬!BG67/Calc_오픈정렬!$F67*100)</f>
        <v/>
      </c>
      <c r="BH67" t="str">
        <f>IF(OR(Calc_오픈정렬!$F67="",Calc_오픈정렬!BH67=""),"",Calc_오픈정렬!BH67/Calc_오픈정렬!$F67*100)</f>
        <v/>
      </c>
      <c r="BI67" t="str">
        <f>IF(OR(Calc_오픈정렬!$F67="",Calc_오픈정렬!BI67=""),"",Calc_오픈정렬!BI67/Calc_오픈정렬!$F67*100)</f>
        <v/>
      </c>
      <c r="BJ67" t="str">
        <f>IF(OR(Calc_오픈정렬!$F67="",Calc_오픈정렬!BJ67=""),"",Calc_오픈정렬!BJ67/Calc_오픈정렬!$F67*100)</f>
        <v/>
      </c>
      <c r="BK67" t="str">
        <f>IF(OR(Calc_오픈정렬!$F67="",Calc_오픈정렬!BK67=""),"",Calc_오픈정렬!BK67/Calc_오픈정렬!$F67*100)</f>
        <v/>
      </c>
      <c r="BL67" t="str">
        <f>IF(OR(Calc_오픈정렬!$F67="",Calc_오픈정렬!BL67=""),"",Calc_오픈정렬!BL67/Calc_오픈정렬!$F67*100)</f>
        <v/>
      </c>
      <c r="BM67" t="str">
        <f>IF(OR(Calc_오픈정렬!$F67="",Calc_오픈정렬!BM67=""),"",Calc_오픈정렬!BM67/Calc_오픈정렬!$F67*100)</f>
        <v/>
      </c>
      <c r="BN67" t="str">
        <f>IF(OR(Calc_오픈정렬!$F67="",Calc_오픈정렬!BN67=""),"",Calc_오픈정렬!BN67/Calc_오픈정렬!$F67*100)</f>
        <v/>
      </c>
    </row>
    <row r="68" spans="1:66" x14ac:dyDescent="0.4">
      <c r="A68" t="str">
        <f>Calc_오픈정렬!A68</f>
        <v>(1057) #김포구래현대점</v>
      </c>
      <c r="B68" t="str">
        <f>Calc_오픈정렬!B68</f>
        <v>150-2</v>
      </c>
      <c r="C68">
        <f>Calc_오픈정렬!C68</f>
        <v>2</v>
      </c>
      <c r="D68" t="str">
        <f>Calc_오픈정렬!D68</f>
        <v>2</v>
      </c>
      <c r="E68" s="1">
        <f>Calc_오픈정렬!E68</f>
        <v>44866</v>
      </c>
      <c r="F68">
        <f>Calc_오픈정렬!F68</f>
        <v>2207057.8220750382</v>
      </c>
      <c r="G68">
        <f>IF(OR(Calc_오픈정렬!$F68="",Calc_오픈정렬!G68=""),"",Calc_오픈정렬!G68/Calc_오픈정렬!$F68*100)</f>
        <v>89.666594417202177</v>
      </c>
      <c r="H68">
        <f>IF(OR(Calc_오픈정렬!$F68="",Calc_오픈정렬!H68=""),"",Calc_오픈정렬!H68/Calc_오픈정렬!$F68*100)</f>
        <v>116.25921099594029</v>
      </c>
      <c r="I68">
        <f>IF(OR(Calc_오픈정렬!$F68="",Calc_오픈정렬!I68=""),"",Calc_오픈정렬!I68/Calc_오픈정렬!$F68*100)</f>
        <v>136.35514825516324</v>
      </c>
      <c r="J68">
        <f>IF(OR(Calc_오픈정렬!$F68="",Calc_오픈정렬!J68=""),"",Calc_오픈정렬!J68/Calc_오픈정렬!$F68*100)</f>
        <v>124.04046942322471</v>
      </c>
      <c r="K68">
        <f>IF(OR(Calc_오픈정렬!$F68="",Calc_오픈정렬!K68=""),"",Calc_오픈정렬!K68/Calc_오픈정렬!$F68*100)</f>
        <v>94.235219368436901</v>
      </c>
      <c r="L68">
        <f>IF(OR(Calc_오픈정렬!$F68="",Calc_오픈정렬!L68=""),"",Calc_오픈정렬!L68/Calc_오픈정렬!$F68*100)</f>
        <v>88.129971760615589</v>
      </c>
      <c r="M68">
        <f>IF(OR(Calc_오픈정렬!$F68="",Calc_오픈정렬!M68=""),"",Calc_오픈정렬!M68/Calc_오픈정렬!$F68*100)</f>
        <v>96.946485185057668</v>
      </c>
      <c r="N68">
        <f>IF(OR(Calc_오픈정렬!$F68="",Calc_오픈정렬!N68=""),"",Calc_오픈정렬!N68/Calc_오픈정렬!$F68*100)</f>
        <v>90.169020558217966</v>
      </c>
      <c r="O68">
        <f>IF(OR(Calc_오픈정렬!$F68="",Calc_오픈정렬!O68=""),"",Calc_오픈정렬!O68/Calc_오픈정렬!$F68*100)</f>
        <v>106.4788337044472</v>
      </c>
      <c r="P68">
        <f>IF(OR(Calc_오픈정렬!$F68="",Calc_오픈정렬!P68=""),"",Calc_오픈정렬!P68/Calc_오픈정렬!$F68*100)</f>
        <v>111.24693118726228</v>
      </c>
      <c r="Q68">
        <f>IF(OR(Calc_오픈정렬!$F68="",Calc_오픈정렬!Q68=""),"",Calc_오픈정렬!Q68/Calc_오픈정렬!$F68*100)</f>
        <v>123.36039950003897</v>
      </c>
      <c r="R68">
        <f>IF(OR(Calc_오픈정렬!$F68="",Calc_오픈정렬!R68=""),"",Calc_오픈정렬!R68/Calc_오픈정렬!$F68*100)</f>
        <v>122.27392957298311</v>
      </c>
      <c r="S68">
        <f>IF(OR(Calc_오픈정렬!$F68="",Calc_오픈정렬!S68=""),"",Calc_오픈정렬!S68/Calc_오픈정렬!$F68*100)</f>
        <v>122.00676450393921</v>
      </c>
      <c r="T68">
        <f>IF(OR(Calc_오픈정렬!$F68="",Calc_오픈정렬!T68=""),"",Calc_오픈정렬!T68/Calc_오픈정렬!$F68*100)</f>
        <v>138.10264787824309</v>
      </c>
      <c r="U68">
        <f>IF(OR(Calc_오픈정렬!$F68="",Calc_오픈정렬!U68=""),"",Calc_오픈정렬!U68/Calc_오픈정렬!$F68*100)</f>
        <v>156.79373724148107</v>
      </c>
      <c r="V68">
        <f>IF(OR(Calc_오픈정렬!$F68="",Calc_오픈정렬!V68=""),"",Calc_오픈정렬!V68/Calc_오픈정렬!$F68*100)</f>
        <v>146.66770877070812</v>
      </c>
      <c r="W68">
        <f>IF(OR(Calc_오픈정렬!$F68="",Calc_오픈정렬!W68=""),"",Calc_오픈정렬!W68/Calc_오픈정렬!$F68*100)</f>
        <v>149.37005004137825</v>
      </c>
      <c r="X68">
        <f>IF(OR(Calc_오픈정렬!$F68="",Calc_오픈정렬!X68=""),"",Calc_오픈정렬!X68/Calc_오픈정렬!$F68*100)</f>
        <v>140.6642620128892</v>
      </c>
      <c r="Y68">
        <f>IF(OR(Calc_오픈정렬!$F68="",Calc_오픈정렬!Y68=""),"",Calc_오픈정렬!Y68/Calc_오픈정렬!$F68*100)</f>
        <v>127.61803962637327</v>
      </c>
      <c r="Z68">
        <f>IF(OR(Calc_오픈정렬!$F68="",Calc_오픈정렬!Z68=""),"",Calc_오픈정렬!Z68/Calc_오픈정렬!$F68*100)</f>
        <v>114.30637030002089</v>
      </c>
      <c r="AA68">
        <f>IF(OR(Calc_오픈정렬!$F68="",Calc_오픈정렬!AA68=""),"",Calc_오픈정렬!AA68/Calc_오픈정렬!$F68*100)</f>
        <v>137.45032340724404</v>
      </c>
      <c r="AB68">
        <f>IF(OR(Calc_오픈정렬!$F68="",Calc_오픈정렬!AB68=""),"",Calc_오픈정렬!AB68/Calc_오픈정렬!$F68*100)</f>
        <v>160.16760822290934</v>
      </c>
      <c r="AC68">
        <f>IF(OR(Calc_오픈정렬!$F68="",Calc_오픈정렬!AC68=""),"",Calc_오픈정렬!AC68/Calc_오픈정렬!$F68*100)</f>
        <v>184.54914879570396</v>
      </c>
      <c r="AD68">
        <f>IF(OR(Calc_오픈정렬!$F68="",Calc_오픈정렬!AD68=""),"",Calc_오픈정렬!AD68/Calc_오픈정렬!$F68*100)</f>
        <v>156.27192229416227</v>
      </c>
      <c r="AE68">
        <f>IF(OR(Calc_오픈정렬!$F68="",Calc_오픈정렬!AE68=""),"",Calc_오픈정렬!AE68/Calc_오픈정렬!$F68*100)</f>
        <v>176.46917414847454</v>
      </c>
      <c r="AF68">
        <f>IF(OR(Calc_오픈정렬!$F68="",Calc_오픈정렬!AF68=""),"",Calc_오픈정렬!AF68/Calc_오픈정렬!$F68*100)</f>
        <v>175.84282397547696</v>
      </c>
      <c r="AG68">
        <f>IF(OR(Calc_오픈정렬!$F68="",Calc_오픈정렬!AG68=""),"",Calc_오픈정렬!AG68/Calc_오픈정렬!$F68*100)</f>
        <v>180.51589955519191</v>
      </c>
      <c r="AH68">
        <f>IF(OR(Calc_오픈정렬!$F68="",Calc_오픈정렬!AH68=""),"",Calc_오픈정렬!AH68/Calc_오픈정렬!$F68*100)</f>
        <v>159.16959044947708</v>
      </c>
      <c r="AI68">
        <f>IF(OR(Calc_오픈정렬!$F68="",Calc_오픈정렬!AI68=""),"",Calc_오픈정렬!AI68/Calc_오픈정렬!$F68*100)</f>
        <v>172.66587287594766</v>
      </c>
      <c r="AJ68">
        <f>IF(OR(Calc_오픈정렬!$F68="",Calc_오픈정렬!AJ68=""),"",Calc_오픈정렬!AJ68/Calc_오픈정렬!$F68*100)</f>
        <v>181.86514119239916</v>
      </c>
      <c r="AK68">
        <f>IF(OR(Calc_오픈정렬!$F68="",Calc_오픈정렬!AK68=""),"",Calc_오픈정렬!AK68/Calc_오픈정렬!$F68*100)</f>
        <v>206.55213017212427</v>
      </c>
      <c r="AL68">
        <f>IF(OR(Calc_오픈정렬!$F68="",Calc_오픈정렬!AL68=""),"",Calc_오픈정렬!AL68/Calc_오픈정렬!$F68*100)</f>
        <v>219.92601012279783</v>
      </c>
      <c r="AM68">
        <f>IF(OR(Calc_오픈정렬!$F68="",Calc_오픈정렬!AM68=""),"",Calc_오픈정렬!AM68/Calc_오픈정렬!$F68*100)</f>
        <v>196.62615165888425</v>
      </c>
      <c r="AN68">
        <f>IF(OR(Calc_오픈정렬!$F68="",Calc_오픈정렬!AN68=""),"",Calc_오픈정렬!AN68/Calc_오픈정렬!$F68*100)</f>
        <v>213.15453708778386</v>
      </c>
      <c r="AO68">
        <f>IF(OR(Calc_오픈정렬!$F68="",Calc_오픈정렬!AO68=""),"",Calc_오픈정렬!AO68/Calc_오픈정렬!$F68*100)</f>
        <v>186.32986476060728</v>
      </c>
      <c r="AP68">
        <f>IF(OR(Calc_오픈정렬!$F68="",Calc_오픈정렬!AP68=""),"",Calc_오픈정렬!AP68/Calc_오픈정렬!$F68*100)</f>
        <v>194.30677733517524</v>
      </c>
      <c r="AQ68">
        <f>IF(OR(Calc_오픈정렬!$F68="",Calc_오픈정렬!AQ68=""),"",Calc_오픈정렬!AQ68/Calc_오픈정렬!$F68*100)</f>
        <v>136.61841821615525</v>
      </c>
      <c r="AR68">
        <f>IF(OR(Calc_오픈정렬!$F68="",Calc_오픈정렬!AR68=""),"",Calc_오픈정렬!AR68/Calc_오픈정렬!$F68*100)</f>
        <v>115.8202901608836</v>
      </c>
      <c r="AS68">
        <f>IF(OR(Calc_오픈정렬!$F68="",Calc_오픈정렬!AS68=""),"",Calc_오픈정렬!AS68/Calc_오픈정렬!$F68*100)</f>
        <v>134.14021702780246</v>
      </c>
      <c r="AT68">
        <f>IF(OR(Calc_오픈정렬!$F68="",Calc_오픈정렬!AT68=""),"",Calc_오픈정렬!AT68/Calc_오픈정렬!$F68*100)</f>
        <v>136.09134371804529</v>
      </c>
      <c r="AU68">
        <f>IF(OR(Calc_오픈정렬!$F68="",Calc_오픈정렬!AU68=""),"",Calc_오픈정렬!AU68/Calc_오픈정렬!$F68*100)</f>
        <v>129.32233476801883</v>
      </c>
      <c r="AV68">
        <f>IF(OR(Calc_오픈정렬!$F68="",Calc_오픈정렬!AV68=""),"",Calc_오픈정렬!AV68/Calc_오픈정렬!$F68*100)</f>
        <v>129.47875153205197</v>
      </c>
      <c r="AW68">
        <f>IF(OR(Calc_오픈정렬!$F68="",Calc_오픈정렬!AW68=""),"",Calc_오픈정렬!AW68/Calc_오픈정렬!$F68*100)</f>
        <v>121.54496262362957</v>
      </c>
      <c r="AX68" t="str">
        <f>IF(OR(Calc_오픈정렬!$F68="",Calc_오픈정렬!AX68=""),"",Calc_오픈정렬!AX68/Calc_오픈정렬!$F68*100)</f>
        <v/>
      </c>
      <c r="AY68" t="str">
        <f>IF(OR(Calc_오픈정렬!$F68="",Calc_오픈정렬!AY68=""),"",Calc_오픈정렬!AY68/Calc_오픈정렬!$F68*100)</f>
        <v/>
      </c>
      <c r="AZ68" t="str">
        <f>IF(OR(Calc_오픈정렬!$F68="",Calc_오픈정렬!AZ68=""),"",Calc_오픈정렬!AZ68/Calc_오픈정렬!$F68*100)</f>
        <v/>
      </c>
      <c r="BA68" t="str">
        <f>IF(OR(Calc_오픈정렬!$F68="",Calc_오픈정렬!BA68=""),"",Calc_오픈정렬!BA68/Calc_오픈정렬!$F68*100)</f>
        <v/>
      </c>
      <c r="BB68" t="str">
        <f>IF(OR(Calc_오픈정렬!$F68="",Calc_오픈정렬!BB68=""),"",Calc_오픈정렬!BB68/Calc_오픈정렬!$F68*100)</f>
        <v/>
      </c>
      <c r="BC68" t="str">
        <f>IF(OR(Calc_오픈정렬!$F68="",Calc_오픈정렬!BC68=""),"",Calc_오픈정렬!BC68/Calc_오픈정렬!$F68*100)</f>
        <v/>
      </c>
      <c r="BD68" t="str">
        <f>IF(OR(Calc_오픈정렬!$F68="",Calc_오픈정렬!BD68=""),"",Calc_오픈정렬!BD68/Calc_오픈정렬!$F68*100)</f>
        <v/>
      </c>
      <c r="BE68" t="str">
        <f>IF(OR(Calc_오픈정렬!$F68="",Calc_오픈정렬!BE68=""),"",Calc_오픈정렬!BE68/Calc_오픈정렬!$F68*100)</f>
        <v/>
      </c>
      <c r="BF68" t="str">
        <f>IF(OR(Calc_오픈정렬!$F68="",Calc_오픈정렬!BF68=""),"",Calc_오픈정렬!BF68/Calc_오픈정렬!$F68*100)</f>
        <v/>
      </c>
      <c r="BG68" t="str">
        <f>IF(OR(Calc_오픈정렬!$F68="",Calc_오픈정렬!BG68=""),"",Calc_오픈정렬!BG68/Calc_오픈정렬!$F68*100)</f>
        <v/>
      </c>
      <c r="BH68" t="str">
        <f>IF(OR(Calc_오픈정렬!$F68="",Calc_오픈정렬!BH68=""),"",Calc_오픈정렬!BH68/Calc_오픈정렬!$F68*100)</f>
        <v/>
      </c>
      <c r="BI68" t="str">
        <f>IF(OR(Calc_오픈정렬!$F68="",Calc_오픈정렬!BI68=""),"",Calc_오픈정렬!BI68/Calc_오픈정렬!$F68*100)</f>
        <v/>
      </c>
      <c r="BJ68" t="str">
        <f>IF(OR(Calc_오픈정렬!$F68="",Calc_오픈정렬!BJ68=""),"",Calc_오픈정렬!BJ68/Calc_오픈정렬!$F68*100)</f>
        <v/>
      </c>
      <c r="BK68" t="str">
        <f>IF(OR(Calc_오픈정렬!$F68="",Calc_오픈정렬!BK68=""),"",Calc_오픈정렬!BK68/Calc_오픈정렬!$F68*100)</f>
        <v/>
      </c>
      <c r="BL68" t="str">
        <f>IF(OR(Calc_오픈정렬!$F68="",Calc_오픈정렬!BL68=""),"",Calc_오픈정렬!BL68/Calc_오픈정렬!$F68*100)</f>
        <v/>
      </c>
      <c r="BM68" t="str">
        <f>IF(OR(Calc_오픈정렬!$F68="",Calc_오픈정렬!BM68=""),"",Calc_오픈정렬!BM68/Calc_오픈정렬!$F68*100)</f>
        <v/>
      </c>
      <c r="BN68" t="str">
        <f>IF(OR(Calc_오픈정렬!$F68="",Calc_오픈정렬!BN68=""),"",Calc_오픈정렬!BN68/Calc_오픈정렬!$F68*100)</f>
        <v/>
      </c>
    </row>
    <row r="69" spans="1:66" x14ac:dyDescent="0.4">
      <c r="A69" t="str">
        <f>Calc_오픈정렬!A69</f>
        <v>(1058) #천안상명대점</v>
      </c>
      <c r="B69" t="str">
        <f>Calc_오픈정렬!B69</f>
        <v>150-0</v>
      </c>
      <c r="C69">
        <f>Calc_오픈정렬!C69</f>
        <v>0</v>
      </c>
      <c r="D69" t="str">
        <f>Calc_오픈정렬!D69</f>
        <v>0</v>
      </c>
      <c r="E69" s="1">
        <f>Calc_오픈정렬!E69</f>
        <v>44896</v>
      </c>
      <c r="F69">
        <f>Calc_오픈정렬!F69</f>
        <v>2824361.7122692238</v>
      </c>
      <c r="G69">
        <f>IF(OR(Calc_오픈정렬!$F69="",Calc_오픈정렬!G69=""),"",Calc_오픈정렬!G69/Calc_오픈정렬!$F69*100)</f>
        <v>93.771898177117976</v>
      </c>
      <c r="H69">
        <f>IF(OR(Calc_오픈정렬!$F69="",Calc_오픈정렬!H69=""),"",Calc_오픈정렬!H69/Calc_오픈정렬!$F69*100)</f>
        <v>80.023713153426286</v>
      </c>
      <c r="I69">
        <f>IF(OR(Calc_오픈정렬!$F69="",Calc_오픈정렬!I69=""),"",Calc_오픈정렬!I69/Calc_오픈정렬!$F69*100)</f>
        <v>87.310226743449107</v>
      </c>
      <c r="J69">
        <f>IF(OR(Calc_오픈정렬!$F69="",Calc_오픈정렬!J69=""),"",Calc_오픈정렬!J69/Calc_오픈정렬!$F69*100)</f>
        <v>100.18300452227584</v>
      </c>
      <c r="K69">
        <f>IF(OR(Calc_오픈정렬!$F69="",Calc_오픈정렬!K69=""),"",Calc_오픈정렬!K69/Calc_오픈정렬!$F69*100)</f>
        <v>110.67667000759265</v>
      </c>
      <c r="L69">
        <f>IF(OR(Calc_오픈정렬!$F69="",Calc_오픈정렬!L69=""),"",Calc_오픈정렬!L69/Calc_오픈정렬!$F69*100)</f>
        <v>114.8543062251301</v>
      </c>
      <c r="M69">
        <f>IF(OR(Calc_오픈정렬!$F69="",Calc_오픈정렬!M69=""),"",Calc_오픈정렬!M69/Calc_오픈정렬!$F69*100)</f>
        <v>92.214589102033386</v>
      </c>
      <c r="N69">
        <f>IF(OR(Calc_오픈정렬!$F69="",Calc_오픈정렬!N69=""),"",Calc_오픈정렬!N69/Calc_오픈정렬!$F69*100)</f>
        <v>93.404246605909179</v>
      </c>
      <c r="O69">
        <f>IF(OR(Calc_오픈정렬!$F69="",Calc_오픈정렬!O69=""),"",Calc_오픈정렬!O69/Calc_오픈정렬!$F69*100)</f>
        <v>88.667183537058705</v>
      </c>
      <c r="P69">
        <f>IF(OR(Calc_오픈정렬!$F69="",Calc_오픈정렬!P69=""),"",Calc_오픈정렬!P69/Calc_오픈정렬!$F69*100)</f>
        <v>148.04522590278643</v>
      </c>
      <c r="Q69">
        <f>IF(OR(Calc_오픈정렬!$F69="",Calc_오픈정렬!Q69=""),"",Calc_오픈정렬!Q69/Calc_오픈정렬!$F69*100)</f>
        <v>104.35527549919333</v>
      </c>
      <c r="R69">
        <f>IF(OR(Calc_오픈정렬!$F69="",Calc_오픈정렬!R69=""),"",Calc_오픈정렬!R69/Calc_오픈정렬!$F69*100)</f>
        <v>121.16929134774905</v>
      </c>
      <c r="S69">
        <f>IF(OR(Calc_오픈정렬!$F69="",Calc_오픈정렬!S69=""),"",Calc_오픈정렬!S69/Calc_오픈정렬!$F69*100)</f>
        <v>152.95883438358734</v>
      </c>
      <c r="T69">
        <f>IF(OR(Calc_오픈정렬!$F69="",Calc_오픈정렬!T69=""),"",Calc_오픈정렬!T69/Calc_오픈정렬!$F69*100)</f>
        <v>95.368563434257098</v>
      </c>
      <c r="U69">
        <f>IF(OR(Calc_오픈정렬!$F69="",Calc_오픈정렬!U69=""),"",Calc_오픈정렬!U69/Calc_오픈정렬!$F69*100)</f>
        <v>105.4586560733696</v>
      </c>
      <c r="V69">
        <f>IF(OR(Calc_오픈정렬!$F69="",Calc_오픈정렬!V69=""),"",Calc_오픈정렬!V69/Calc_오픈정렬!$F69*100)</f>
        <v>154.98323552478993</v>
      </c>
      <c r="W69">
        <f>IF(OR(Calc_오픈정렬!$F69="",Calc_오픈정렬!W69=""),"",Calc_오픈정렬!W69/Calc_오픈정렬!$F69*100)</f>
        <v>151.10841873899221</v>
      </c>
      <c r="X69">
        <f>IF(OR(Calc_오픈정렬!$F69="",Calc_오픈정렬!X69=""),"",Calc_오픈정렬!X69/Calc_오픈정렬!$F69*100)</f>
        <v>144.82731502170458</v>
      </c>
      <c r="Y69">
        <f>IF(OR(Calc_오픈정렬!$F69="",Calc_오픈정렬!Y69=""),"",Calc_오픈정렬!Y69/Calc_오픈정렬!$F69*100)</f>
        <v>148.9949386726145</v>
      </c>
      <c r="Z69">
        <f>IF(OR(Calc_오픈정렬!$F69="",Calc_오픈정렬!Z69=""),"",Calc_오픈정렬!Z69/Calc_오픈정렬!$F69*100)</f>
        <v>125.14105797303741</v>
      </c>
      <c r="AA69">
        <f>IF(OR(Calc_오픈정렬!$F69="",Calc_오픈정렬!AA69=""),"",Calc_오픈정렬!AA69/Calc_오픈정렬!$F69*100)</f>
        <v>137.32536061416133</v>
      </c>
      <c r="AB69">
        <f>IF(OR(Calc_오픈정렬!$F69="",Calc_오픈정렬!AB69=""),"",Calc_오픈정렬!AB69/Calc_오픈정렬!$F69*100)</f>
        <v>162.66550971916004</v>
      </c>
      <c r="AC69">
        <f>IF(OR(Calc_오픈정렬!$F69="",Calc_오픈정렬!AC69=""),"",Calc_오픈정렬!AC69/Calc_오픈정렬!$F69*100)</f>
        <v>143.71991094564277</v>
      </c>
      <c r="AD69">
        <f>IF(OR(Calc_오픈정렬!$F69="",Calc_오픈정렬!AD69=""),"",Calc_오픈정렬!AD69/Calc_오픈정렬!$F69*100)</f>
        <v>137.26477658546338</v>
      </c>
      <c r="AE69">
        <f>IF(OR(Calc_오픈정렬!$F69="",Calc_오픈정렬!AE69=""),"",Calc_오픈정렬!AE69/Calc_오픈정렬!$F69*100)</f>
        <v>148.86592933836619</v>
      </c>
      <c r="AF69">
        <f>IF(OR(Calc_오픈정렬!$F69="",Calc_오픈정렬!AF69=""),"",Calc_오픈정렬!AF69/Calc_오픈정렬!$F69*100)</f>
        <v>85.113122205557261</v>
      </c>
      <c r="AG69">
        <f>IF(OR(Calc_오픈정렬!$F69="",Calc_오픈정렬!AG69=""),"",Calc_오픈정렬!AG69/Calc_오픈정렬!$F69*100)</f>
        <v>106.9179571448478</v>
      </c>
      <c r="AH69">
        <f>IF(OR(Calc_오픈정렬!$F69="",Calc_오픈정렬!AH69=""),"",Calc_오픈정렬!AH69/Calc_오픈정렬!$F69*100)</f>
        <v>149.241523267063</v>
      </c>
      <c r="AI69">
        <f>IF(OR(Calc_오픈정렬!$F69="",Calc_오픈정렬!AI69=""),"",Calc_오픈정렬!AI69/Calc_오픈정렬!$F69*100)</f>
        <v>134.88831521604956</v>
      </c>
      <c r="AJ69">
        <f>IF(OR(Calc_오픈정렬!$F69="",Calc_오픈정렬!AJ69=""),"",Calc_오픈정렬!AJ69/Calc_오픈정렬!$F69*100)</f>
        <v>159.79634597375514</v>
      </c>
      <c r="AK69">
        <f>IF(OR(Calc_오픈정렬!$F69="",Calc_오픈정렬!AK69=""),"",Calc_오픈정렬!AK69/Calc_오픈정렬!$F69*100)</f>
        <v>160.04518821988432</v>
      </c>
      <c r="AL69">
        <f>IF(OR(Calc_오픈정렬!$F69="",Calc_오픈정렬!AL69=""),"",Calc_오픈정렬!AL69/Calc_오픈정렬!$F69*100)</f>
        <v>96.198425426156945</v>
      </c>
      <c r="AM69">
        <f>IF(OR(Calc_오픈정렬!$F69="",Calc_오픈정렬!AM69=""),"",Calc_오픈정렬!AM69/Calc_오픈정렬!$F69*100)</f>
        <v>157.07224152452963</v>
      </c>
      <c r="AN69">
        <f>IF(OR(Calc_오픈정렬!$F69="",Calc_오픈정렬!AN69=""),"",Calc_오픈정렬!AN69/Calc_오픈정렬!$F69*100)</f>
        <v>156.06261838258573</v>
      </c>
      <c r="AO69">
        <f>IF(OR(Calc_오픈정렬!$F69="",Calc_오픈정렬!AO69=""),"",Calc_오픈정렬!AO69/Calc_오픈정렬!$F69*100)</f>
        <v>137.33699463766598</v>
      </c>
      <c r="AP69">
        <f>IF(OR(Calc_오픈정렬!$F69="",Calc_오픈정렬!AP69=""),"",Calc_오픈정렬!AP69/Calc_오픈정렬!$F69*100)</f>
        <v>128.58636191831991</v>
      </c>
      <c r="AQ69">
        <f>IF(OR(Calc_오픈정렬!$F69="",Calc_오픈정렬!AQ69=""),"",Calc_오픈정렬!AQ69/Calc_오픈정렬!$F69*100)</f>
        <v>145.97982308504697</v>
      </c>
      <c r="AR69">
        <f>IF(OR(Calc_오픈정렬!$F69="",Calc_오픈정렬!AR69=""),"",Calc_오픈정렬!AR69/Calc_오픈정렬!$F69*100)</f>
        <v>83.127922067836479</v>
      </c>
      <c r="AS69">
        <f>IF(OR(Calc_오픈정렬!$F69="",Calc_오픈정렬!AS69=""),"",Calc_오픈정렬!AS69/Calc_오픈정렬!$F69*100)</f>
        <v>99.445445123971112</v>
      </c>
      <c r="AT69">
        <f>IF(OR(Calc_오픈정렬!$F69="",Calc_오픈정렬!AT69=""),"",Calc_오픈정렬!AT69/Calc_오픈정렬!$F69*100)</f>
        <v>154.46911215915645</v>
      </c>
      <c r="AU69">
        <f>IF(OR(Calc_오픈정렬!$F69="",Calc_오픈정렬!AU69=""),"",Calc_오픈정렬!AU69/Calc_오픈정렬!$F69*100)</f>
        <v>148.23665909652769</v>
      </c>
      <c r="AV69">
        <f>IF(OR(Calc_오픈정렬!$F69="",Calc_오픈정렬!AV69=""),"",Calc_오픈정렬!AV69/Calc_오픈정렬!$F69*100)</f>
        <v>179.74866938138987</v>
      </c>
      <c r="AW69" t="str">
        <f>IF(OR(Calc_오픈정렬!$F69="",Calc_오픈정렬!AW69=""),"",Calc_오픈정렬!AW69/Calc_오픈정렬!$F69*100)</f>
        <v/>
      </c>
      <c r="AX69" t="str">
        <f>IF(OR(Calc_오픈정렬!$F69="",Calc_오픈정렬!AX69=""),"",Calc_오픈정렬!AX69/Calc_오픈정렬!$F69*100)</f>
        <v/>
      </c>
      <c r="AY69" t="str">
        <f>IF(OR(Calc_오픈정렬!$F69="",Calc_오픈정렬!AY69=""),"",Calc_오픈정렬!AY69/Calc_오픈정렬!$F69*100)</f>
        <v/>
      </c>
      <c r="AZ69" t="str">
        <f>IF(OR(Calc_오픈정렬!$F69="",Calc_오픈정렬!AZ69=""),"",Calc_오픈정렬!AZ69/Calc_오픈정렬!$F69*100)</f>
        <v/>
      </c>
      <c r="BA69" t="str">
        <f>IF(OR(Calc_오픈정렬!$F69="",Calc_오픈정렬!BA69=""),"",Calc_오픈정렬!BA69/Calc_오픈정렬!$F69*100)</f>
        <v/>
      </c>
      <c r="BB69" t="str">
        <f>IF(OR(Calc_오픈정렬!$F69="",Calc_오픈정렬!BB69=""),"",Calc_오픈정렬!BB69/Calc_오픈정렬!$F69*100)</f>
        <v/>
      </c>
      <c r="BC69" t="str">
        <f>IF(OR(Calc_오픈정렬!$F69="",Calc_오픈정렬!BC69=""),"",Calc_오픈정렬!BC69/Calc_오픈정렬!$F69*100)</f>
        <v/>
      </c>
      <c r="BD69" t="str">
        <f>IF(OR(Calc_오픈정렬!$F69="",Calc_오픈정렬!BD69=""),"",Calc_오픈정렬!BD69/Calc_오픈정렬!$F69*100)</f>
        <v/>
      </c>
      <c r="BE69" t="str">
        <f>IF(OR(Calc_오픈정렬!$F69="",Calc_오픈정렬!BE69=""),"",Calc_오픈정렬!BE69/Calc_오픈정렬!$F69*100)</f>
        <v/>
      </c>
      <c r="BF69" t="str">
        <f>IF(OR(Calc_오픈정렬!$F69="",Calc_오픈정렬!BF69=""),"",Calc_오픈정렬!BF69/Calc_오픈정렬!$F69*100)</f>
        <v/>
      </c>
      <c r="BG69" t="str">
        <f>IF(OR(Calc_오픈정렬!$F69="",Calc_오픈정렬!BG69=""),"",Calc_오픈정렬!BG69/Calc_오픈정렬!$F69*100)</f>
        <v/>
      </c>
      <c r="BH69" t="str">
        <f>IF(OR(Calc_오픈정렬!$F69="",Calc_오픈정렬!BH69=""),"",Calc_오픈정렬!BH69/Calc_오픈정렬!$F69*100)</f>
        <v/>
      </c>
      <c r="BI69" t="str">
        <f>IF(OR(Calc_오픈정렬!$F69="",Calc_오픈정렬!BI69=""),"",Calc_오픈정렬!BI69/Calc_오픈정렬!$F69*100)</f>
        <v/>
      </c>
      <c r="BJ69" t="str">
        <f>IF(OR(Calc_오픈정렬!$F69="",Calc_오픈정렬!BJ69=""),"",Calc_오픈정렬!BJ69/Calc_오픈정렬!$F69*100)</f>
        <v/>
      </c>
      <c r="BK69" t="str">
        <f>IF(OR(Calc_오픈정렬!$F69="",Calc_오픈정렬!BK69=""),"",Calc_오픈정렬!BK69/Calc_오픈정렬!$F69*100)</f>
        <v/>
      </c>
      <c r="BL69" t="str">
        <f>IF(OR(Calc_오픈정렬!$F69="",Calc_오픈정렬!BL69=""),"",Calc_오픈정렬!BL69/Calc_오픈정렬!$F69*100)</f>
        <v/>
      </c>
      <c r="BM69" t="str">
        <f>IF(OR(Calc_오픈정렬!$F69="",Calc_오픈정렬!BM69=""),"",Calc_오픈정렬!BM69/Calc_오픈정렬!$F69*100)</f>
        <v/>
      </c>
      <c r="BN69" t="str">
        <f>IF(OR(Calc_오픈정렬!$F69="",Calc_오픈정렬!BN69=""),"",Calc_오픈정렬!BN69/Calc_오픈정렬!$F69*100)</f>
        <v/>
      </c>
    </row>
    <row r="70" spans="1:66" x14ac:dyDescent="0.4">
      <c r="A70" t="str">
        <f>Calc_오픈정렬!A70</f>
        <v>(1059) #평택동삭점</v>
      </c>
      <c r="B70" t="str">
        <f>Calc_오픈정렬!B70</f>
        <v>150-2</v>
      </c>
      <c r="C70">
        <f>Calc_오픈정렬!C70</f>
        <v>2</v>
      </c>
      <c r="D70" t="str">
        <f>Calc_오픈정렬!D70</f>
        <v>2</v>
      </c>
      <c r="E70" s="1">
        <f>Calc_오픈정렬!E70</f>
        <v>44896</v>
      </c>
      <c r="F70">
        <f>Calc_오픈정렬!F70</f>
        <v>3894023.9466378358</v>
      </c>
      <c r="G70">
        <f>IF(OR(Calc_오픈정렬!$F70="",Calc_오픈정렬!G70=""),"",Calc_오픈정렬!G70/Calc_오픈정렬!$F70*100)</f>
        <v>90.673498551720542</v>
      </c>
      <c r="H70">
        <f>IF(OR(Calc_오픈정렬!$F70="",Calc_오픈정렬!H70=""),"",Calc_오픈정렬!H70/Calc_오픈정렬!$F70*100)</f>
        <v>120.31227103372066</v>
      </c>
      <c r="I70">
        <f>IF(OR(Calc_오픈정렬!$F70="",Calc_오픈정렬!I70=""),"",Calc_오픈정렬!I70/Calc_오픈정렬!$F70*100)</f>
        <v>122.76878134753373</v>
      </c>
      <c r="J70">
        <f>IF(OR(Calc_오픈정렬!$F70="",Calc_오픈정렬!J70=""),"",Calc_오픈정렬!J70/Calc_오픈정렬!$F70*100)</f>
        <v>117.63041250187499</v>
      </c>
      <c r="K70">
        <f>IF(OR(Calc_오픈정렬!$F70="",Calc_오픈정렬!K70=""),"",Calc_오픈정렬!K70/Calc_오픈정렬!$F70*100)</f>
        <v>98.929412245844233</v>
      </c>
      <c r="L70">
        <f>IF(OR(Calc_오픈정렬!$F70="",Calc_오픈정렬!L70=""),"",Calc_오픈정렬!L70/Calc_오픈정렬!$F70*100)</f>
        <v>99.816848130129074</v>
      </c>
      <c r="M70">
        <f>IF(OR(Calc_오픈정렬!$F70="",Calc_오픈정렬!M70=""),"",Calc_오픈정렬!M70/Calc_오픈정렬!$F70*100)</f>
        <v>85.08516519675095</v>
      </c>
      <c r="N70">
        <f>IF(OR(Calc_오픈정렬!$F70="",Calc_오픈정렬!N70=""),"",Calc_오픈정렬!N70/Calc_오픈정렬!$F70*100)</f>
        <v>104.59466639771256</v>
      </c>
      <c r="O70">
        <f>IF(OR(Calc_오픈정렬!$F70="",Calc_오픈정렬!O70=""),"",Calc_오픈정렬!O70/Calc_오픈정렬!$F70*100)</f>
        <v>93.943495527688242</v>
      </c>
      <c r="P70">
        <f>IF(OR(Calc_오픈정렬!$F70="",Calc_오픈정렬!P70=""),"",Calc_오픈정렬!P70/Calc_오픈정렬!$F70*100)</f>
        <v>128.52553245912472</v>
      </c>
      <c r="Q70">
        <f>IF(OR(Calc_오픈정렬!$F70="",Calc_오픈정렬!Q70=""),"",Calc_오픈정렬!Q70/Calc_오픈정렬!$F70*100)</f>
        <v>105.33670466042926</v>
      </c>
      <c r="R70">
        <f>IF(OR(Calc_오픈정렬!$F70="",Calc_오픈정렬!R70=""),"",Calc_오픈정렬!R70/Calc_오픈정렬!$F70*100)</f>
        <v>122.39261195518164</v>
      </c>
      <c r="S70">
        <f>IF(OR(Calc_오픈정렬!$F70="",Calc_오픈정렬!S70=""),"",Calc_오픈정렬!S70/Calc_오픈정렬!$F70*100)</f>
        <v>131.81803156737539</v>
      </c>
      <c r="T70">
        <f>IF(OR(Calc_오픈정렬!$F70="",Calc_오픈정렬!T70=""),"",Calc_오픈정렬!T70/Calc_오픈정렬!$F70*100)</f>
        <v>160.88080510364301</v>
      </c>
      <c r="U70">
        <f>IF(OR(Calc_오픈정렬!$F70="",Calc_오픈정렬!U70=""),"",Calc_오픈정렬!U70/Calc_오픈정렬!$F70*100)</f>
        <v>135.02798833371244</v>
      </c>
      <c r="V70">
        <f>IF(OR(Calc_오픈정렬!$F70="",Calc_오픈정렬!V70=""),"",Calc_오픈정렬!V70/Calc_오픈정렬!$F70*100)</f>
        <v>136.70340030295412</v>
      </c>
      <c r="W70">
        <f>IF(OR(Calc_오픈정렬!$F70="",Calc_오픈정렬!W70=""),"",Calc_오픈정렬!W70/Calc_오픈정렬!$F70*100)</f>
        <v>111.66795456026004</v>
      </c>
      <c r="X70">
        <f>IF(OR(Calc_오픈정렬!$F70="",Calc_오픈정렬!X70=""),"",Calc_오픈정렬!X70/Calc_오픈정렬!$F70*100)</f>
        <v>102.5699457164505</v>
      </c>
      <c r="Y70">
        <f>IF(OR(Calc_오픈정렬!$F70="",Calc_오픈정렬!Y70=""),"",Calc_오픈정렬!Y70/Calc_오픈정렬!$F70*100)</f>
        <v>96.417444855623458</v>
      </c>
      <c r="Z70">
        <f>IF(OR(Calc_오픈정렬!$F70="",Calc_오픈정렬!Z70=""),"",Calc_오픈정렬!Z70/Calc_오픈정렬!$F70*100)</f>
        <v>98.113894022367489</v>
      </c>
      <c r="AA70">
        <f>IF(OR(Calc_오픈정렬!$F70="",Calc_오픈정렬!AA70=""),"",Calc_오픈정렬!AA70/Calc_오픈정렬!$F70*100)</f>
        <v>84.756762861633433</v>
      </c>
      <c r="AB70">
        <f>IF(OR(Calc_오픈정렬!$F70="",Calc_오픈정렬!AB70=""),"",Calc_오픈정렬!AB70/Calc_오픈정렬!$F70*100)</f>
        <v>101.84321128226831</v>
      </c>
      <c r="AC70">
        <f>IF(OR(Calc_오픈정렬!$F70="",Calc_오픈정렬!AC70=""),"",Calc_오픈정렬!AC70/Calc_오픈정렬!$F70*100)</f>
        <v>104.15392997813014</v>
      </c>
      <c r="AD70">
        <f>IF(OR(Calc_오픈정렬!$F70="",Calc_오픈정렬!AD70=""),"",Calc_오픈정렬!AD70/Calc_오픈정렬!$F70*100)</f>
        <v>95.922311366769065</v>
      </c>
      <c r="AE70">
        <f>IF(OR(Calc_오픈정렬!$F70="",Calc_오픈정렬!AE70=""),"",Calc_오픈정렬!AE70/Calc_오픈정렬!$F70*100)</f>
        <v>126.39699156477518</v>
      </c>
      <c r="AF70">
        <f>IF(OR(Calc_오픈정렬!$F70="",Calc_오픈정렬!AF70=""),"",Calc_오픈정렬!AF70/Calc_오픈정렬!$F70*100)</f>
        <v>132.37520707092298</v>
      </c>
      <c r="AG70">
        <f>IF(OR(Calc_오픈정렬!$F70="",Calc_오픈정렬!AG70=""),"",Calc_오픈정렬!AG70/Calc_오픈정렬!$F70*100)</f>
        <v>125.56722099681303</v>
      </c>
      <c r="AH70">
        <f>IF(OR(Calc_오픈정렬!$F70="",Calc_오픈정렬!AH70=""),"",Calc_오픈정렬!AH70/Calc_오픈정렬!$F70*100)</f>
        <v>135.49538274387513</v>
      </c>
      <c r="AI70">
        <f>IF(OR(Calc_오픈정렬!$F70="",Calc_오픈정렬!AI70=""),"",Calc_오픈정렬!AI70/Calc_오픈정렬!$F70*100)</f>
        <v>141.55647931498095</v>
      </c>
      <c r="AJ70">
        <f>IF(OR(Calc_오픈정렬!$F70="",Calc_오픈정렬!AJ70=""),"",Calc_오픈정렬!AJ70/Calc_오픈정렬!$F70*100)</f>
        <v>131.09921192258014</v>
      </c>
      <c r="AK70">
        <f>IF(OR(Calc_오픈정렬!$F70="",Calc_오픈정렬!AK70=""),"",Calc_오픈정렬!AK70/Calc_오픈정렬!$F70*100)</f>
        <v>142.14057114201722</v>
      </c>
      <c r="AL70">
        <f>IF(OR(Calc_오픈정렬!$F70="",Calc_오픈정렬!AL70=""),"",Calc_오픈정렬!AL70/Calc_오픈정렬!$F70*100)</f>
        <v>122.82114872448177</v>
      </c>
      <c r="AM70">
        <f>IF(OR(Calc_오픈정렬!$F70="",Calc_오픈정렬!AM70=""),"",Calc_오픈정렬!AM70/Calc_오픈정렬!$F70*100)</f>
        <v>126.13518586898573</v>
      </c>
      <c r="AN70">
        <f>IF(OR(Calc_오픈정렬!$F70="",Calc_오픈정렬!AN70=""),"",Calc_오픈정렬!AN70/Calc_오픈정렬!$F70*100)</f>
        <v>128.60632579922574</v>
      </c>
      <c r="AO70">
        <f>IF(OR(Calc_오픈정렬!$F70="",Calc_오픈정렬!AO70=""),"",Calc_오픈정렬!AO70/Calc_오픈정렬!$F70*100)</f>
        <v>132.91063929934765</v>
      </c>
      <c r="AP70">
        <f>IF(OR(Calc_오픈정렬!$F70="",Calc_오픈정렬!AP70=""),"",Calc_오픈정렬!AP70/Calc_오픈정렬!$F70*100)</f>
        <v>117.53341313309966</v>
      </c>
      <c r="AQ70">
        <f>IF(OR(Calc_오픈정렬!$F70="",Calc_오픈정렬!AQ70=""),"",Calc_오픈정렬!AQ70/Calc_오픈정렬!$F70*100)</f>
        <v>148.93557487912037</v>
      </c>
      <c r="AR70">
        <f>IF(OR(Calc_오픈정렬!$F70="",Calc_오픈정렬!AR70=""),"",Calc_오픈정렬!AR70/Calc_오픈정렬!$F70*100)</f>
        <v>177.71672558456436</v>
      </c>
      <c r="AS70">
        <f>IF(OR(Calc_오픈정렬!$F70="",Calc_오픈정렬!AS70=""),"",Calc_오픈정렬!AS70/Calc_오픈정렬!$F70*100)</f>
        <v>164.01171874589977</v>
      </c>
      <c r="AT70">
        <f>IF(OR(Calc_오픈정렬!$F70="",Calc_오픈정렬!AT70=""),"",Calc_오픈정렬!AT70/Calc_오픈정렬!$F70*100)</f>
        <v>164.66830645729789</v>
      </c>
      <c r="AU70">
        <f>IF(OR(Calc_오픈정렬!$F70="",Calc_오픈정렬!AU70=""),"",Calc_오픈정렬!AU70/Calc_오픈정렬!$F70*100)</f>
        <v>152.06441952194641</v>
      </c>
      <c r="AV70">
        <f>IF(OR(Calc_오픈정렬!$F70="",Calc_오픈정렬!AV70=""),"",Calc_오픈정렬!AV70/Calc_오픈정렬!$F70*100)</f>
        <v>151.98775492304611</v>
      </c>
      <c r="AW70" t="str">
        <f>IF(OR(Calc_오픈정렬!$F70="",Calc_오픈정렬!AW70=""),"",Calc_오픈정렬!AW70/Calc_오픈정렬!$F70*100)</f>
        <v/>
      </c>
      <c r="AX70" t="str">
        <f>IF(OR(Calc_오픈정렬!$F70="",Calc_오픈정렬!AX70=""),"",Calc_오픈정렬!AX70/Calc_오픈정렬!$F70*100)</f>
        <v/>
      </c>
      <c r="AY70" t="str">
        <f>IF(OR(Calc_오픈정렬!$F70="",Calc_오픈정렬!AY70=""),"",Calc_오픈정렬!AY70/Calc_오픈정렬!$F70*100)</f>
        <v/>
      </c>
      <c r="AZ70" t="str">
        <f>IF(OR(Calc_오픈정렬!$F70="",Calc_오픈정렬!AZ70=""),"",Calc_오픈정렬!AZ70/Calc_오픈정렬!$F70*100)</f>
        <v/>
      </c>
      <c r="BA70" t="str">
        <f>IF(OR(Calc_오픈정렬!$F70="",Calc_오픈정렬!BA70=""),"",Calc_오픈정렬!BA70/Calc_오픈정렬!$F70*100)</f>
        <v/>
      </c>
      <c r="BB70" t="str">
        <f>IF(OR(Calc_오픈정렬!$F70="",Calc_오픈정렬!BB70=""),"",Calc_오픈정렬!BB70/Calc_오픈정렬!$F70*100)</f>
        <v/>
      </c>
      <c r="BC70" t="str">
        <f>IF(OR(Calc_오픈정렬!$F70="",Calc_오픈정렬!BC70=""),"",Calc_오픈정렬!BC70/Calc_오픈정렬!$F70*100)</f>
        <v/>
      </c>
      <c r="BD70" t="str">
        <f>IF(OR(Calc_오픈정렬!$F70="",Calc_오픈정렬!BD70=""),"",Calc_오픈정렬!BD70/Calc_오픈정렬!$F70*100)</f>
        <v/>
      </c>
      <c r="BE70" t="str">
        <f>IF(OR(Calc_오픈정렬!$F70="",Calc_오픈정렬!BE70=""),"",Calc_오픈정렬!BE70/Calc_오픈정렬!$F70*100)</f>
        <v/>
      </c>
      <c r="BF70" t="str">
        <f>IF(OR(Calc_오픈정렬!$F70="",Calc_오픈정렬!BF70=""),"",Calc_오픈정렬!BF70/Calc_오픈정렬!$F70*100)</f>
        <v/>
      </c>
      <c r="BG70" t="str">
        <f>IF(OR(Calc_오픈정렬!$F70="",Calc_오픈정렬!BG70=""),"",Calc_오픈정렬!BG70/Calc_오픈정렬!$F70*100)</f>
        <v/>
      </c>
      <c r="BH70" t="str">
        <f>IF(OR(Calc_오픈정렬!$F70="",Calc_오픈정렬!BH70=""),"",Calc_오픈정렬!BH70/Calc_오픈정렬!$F70*100)</f>
        <v/>
      </c>
      <c r="BI70" t="str">
        <f>IF(OR(Calc_오픈정렬!$F70="",Calc_오픈정렬!BI70=""),"",Calc_오픈정렬!BI70/Calc_오픈정렬!$F70*100)</f>
        <v/>
      </c>
      <c r="BJ70" t="str">
        <f>IF(OR(Calc_오픈정렬!$F70="",Calc_오픈정렬!BJ70=""),"",Calc_오픈정렬!BJ70/Calc_오픈정렬!$F70*100)</f>
        <v/>
      </c>
      <c r="BK70" t="str">
        <f>IF(OR(Calc_오픈정렬!$F70="",Calc_오픈정렬!BK70=""),"",Calc_오픈정렬!BK70/Calc_오픈정렬!$F70*100)</f>
        <v/>
      </c>
      <c r="BL70" t="str">
        <f>IF(OR(Calc_오픈정렬!$F70="",Calc_오픈정렬!BL70=""),"",Calc_오픈정렬!BL70/Calc_오픈정렬!$F70*100)</f>
        <v/>
      </c>
      <c r="BM70" t="str">
        <f>IF(OR(Calc_오픈정렬!$F70="",Calc_오픈정렬!BM70=""),"",Calc_오픈정렬!BM70/Calc_오픈정렬!$F70*100)</f>
        <v/>
      </c>
      <c r="BN70" t="str">
        <f>IF(OR(Calc_오픈정렬!$F70="",Calc_오픈정렬!BN70=""),"",Calc_오픈정렬!BN70/Calc_오픈정렬!$F70*100)</f>
        <v/>
      </c>
    </row>
    <row r="71" spans="1:66" x14ac:dyDescent="0.4">
      <c r="A71" t="str">
        <f>Calc_오픈정렬!A71</f>
        <v>(1060) #숭실대중문점</v>
      </c>
      <c r="B71" t="str">
        <f>Calc_오픈정렬!B71</f>
        <v>150-1</v>
      </c>
      <c r="C71">
        <f>Calc_오픈정렬!C71</f>
        <v>1</v>
      </c>
      <c r="D71" t="str">
        <f>Calc_오픈정렬!D71</f>
        <v>1</v>
      </c>
      <c r="E71" s="1">
        <f>Calc_오픈정렬!E71</f>
        <v>44896</v>
      </c>
      <c r="F71">
        <f>Calc_오픈정렬!F71</f>
        <v>2803401.7028053156</v>
      </c>
      <c r="G71">
        <f>IF(OR(Calc_오픈정렬!$F71="",Calc_오픈정렬!G71=""),"",Calc_오픈정렬!G71/Calc_오픈정렬!$F71*100)</f>
        <v>69.560736145483631</v>
      </c>
      <c r="H71">
        <f>IF(OR(Calc_오픈정렬!$F71="",Calc_오픈정렬!H71=""),"",Calc_오픈정렬!H71/Calc_오픈정렬!$F71*100)</f>
        <v>97.605534708621917</v>
      </c>
      <c r="I71">
        <f>IF(OR(Calc_오픈정렬!$F71="",Calc_오픈정렬!I71=""),"",Calc_오픈정렬!I71/Calc_오픈정렬!$F71*100)</f>
        <v>91.72953163779772</v>
      </c>
      <c r="J71">
        <f>IF(OR(Calc_오픈정렬!$F71="",Calc_오픈정렬!J71=""),"",Calc_오픈정렬!J71/Calc_오픈정렬!$F71*100)</f>
        <v>89.974330155674721</v>
      </c>
      <c r="K71">
        <f>IF(OR(Calc_오픈정렬!$F71="",Calc_오픈정렬!K71=""),"",Calc_오픈정렬!K71/Calc_오픈정렬!$F71*100)</f>
        <v>94.352516442197071</v>
      </c>
      <c r="L71">
        <f>IF(OR(Calc_오픈정렬!$F71="",Calc_오픈정렬!L71=""),"",Calc_오픈정렬!L71/Calc_오픈정렬!$F71*100)</f>
        <v>100.54643029025834</v>
      </c>
      <c r="M71">
        <f>IF(OR(Calc_오픈정렬!$F71="",Calc_오픈정렬!M71=""),"",Calc_오픈정렬!M71/Calc_오픈정렬!$F71*100)</f>
        <v>103.03776848680968</v>
      </c>
      <c r="N71">
        <f>IF(OR(Calc_오픈정렬!$F71="",Calc_오픈정렬!N71=""),"",Calc_오픈정렬!N71/Calc_오픈정렬!$F71*100)</f>
        <v>106.59167854488642</v>
      </c>
      <c r="O71">
        <f>IF(OR(Calc_오픈정렬!$F71="",Calc_오픈정렬!O71=""),"",Calc_오픈정렬!O71/Calc_오픈정렬!$F71*100)</f>
        <v>105.49727608017375</v>
      </c>
      <c r="P71">
        <f>IF(OR(Calc_오픈정렬!$F71="",Calc_오픈정렬!P71=""),"",Calc_오픈정렬!P71/Calc_오픈정렬!$F71*100)</f>
        <v>95.533589402831709</v>
      </c>
      <c r="Q71">
        <f>IF(OR(Calc_오픈정렬!$F71="",Calc_오픈정렬!Q71=""),"",Calc_오픈정렬!Q71/Calc_오픈정렬!$F71*100)</f>
        <v>92.390869444937636</v>
      </c>
      <c r="R71">
        <f>IF(OR(Calc_오픈정렬!$F71="",Calc_오픈정렬!R71=""),"",Calc_오픈정렬!R71/Calc_오픈정렬!$F71*100)</f>
        <v>96.05329970193938</v>
      </c>
      <c r="S71">
        <f>IF(OR(Calc_오픈정렬!$F71="",Calc_오픈정렬!S71=""),"",Calc_오픈정렬!S71/Calc_오픈정렬!$F71*100)</f>
        <v>107.51667002238965</v>
      </c>
      <c r="T71">
        <f>IF(OR(Calc_오픈정렬!$F71="",Calc_오픈정렬!T71=""),"",Calc_오픈정렬!T71/Calc_오픈정렬!$F71*100)</f>
        <v>110.23942546250687</v>
      </c>
      <c r="U71">
        <f>IF(OR(Calc_오픈정렬!$F71="",Calc_오픈정렬!U71=""),"",Calc_오픈정렬!U71/Calc_오픈정렬!$F71*100)</f>
        <v>110.18123903991066</v>
      </c>
      <c r="V71">
        <f>IF(OR(Calc_오픈정렬!$F71="",Calc_오픈정렬!V71=""),"",Calc_오픈정렬!V71/Calc_오픈정렬!$F71*100)</f>
        <v>118.28265520649013</v>
      </c>
      <c r="W71">
        <f>IF(OR(Calc_오픈정렬!$F71="",Calc_오픈정렬!W71=""),"",Calc_오픈정렬!W71/Calc_오픈정렬!$F71*100)</f>
        <v>102.64186093276031</v>
      </c>
      <c r="X71">
        <f>IF(OR(Calc_오픈정렬!$F71="",Calc_오픈정렬!X71=""),"",Calc_오픈정렬!X71/Calc_오픈정렬!$F71*100)</f>
        <v>100.16218719807166</v>
      </c>
      <c r="Y71">
        <f>IF(OR(Calc_오픈정렬!$F71="",Calc_오픈정렬!Y71=""),"",Calc_오픈정렬!Y71/Calc_오픈정렬!$F71*100)</f>
        <v>109.66459970693643</v>
      </c>
      <c r="Z71">
        <f>IF(OR(Calc_오픈정렬!$F71="",Calc_오픈정렬!Z71=""),"",Calc_오픈정렬!Z71/Calc_오픈정렬!$F71*100)</f>
        <v>118.28166426254094</v>
      </c>
      <c r="AA71">
        <f>IF(OR(Calc_오픈정렬!$F71="",Calc_오픈정렬!AA71=""),"",Calc_오픈정렬!AA71/Calc_오픈정렬!$F71*100)</f>
        <v>119.48842410903045</v>
      </c>
      <c r="AB71">
        <f>IF(OR(Calc_오픈정렬!$F71="",Calc_오픈정렬!AB71=""),"",Calc_오픈정렬!AB71/Calc_오픈정렬!$F71*100)</f>
        <v>117.94114153966223</v>
      </c>
      <c r="AC71">
        <f>IF(OR(Calc_오픈정렬!$F71="",Calc_오픈정렬!AC71=""),"",Calc_오픈정렬!AC71/Calc_오픈정렬!$F71*100)</f>
        <v>105.32219671310767</v>
      </c>
      <c r="AD71">
        <f>IF(OR(Calc_오픈정렬!$F71="",Calc_오픈정렬!AD71=""),"",Calc_오픈정렬!AD71/Calc_오픈정렬!$F71*100)</f>
        <v>130.45226988233784</v>
      </c>
      <c r="AE71">
        <f>IF(OR(Calc_오픈정렬!$F71="",Calc_오픈정렬!AE71=""),"",Calc_오픈정렬!AE71/Calc_오픈정렬!$F71*100)</f>
        <v>124.16086017868675</v>
      </c>
      <c r="AF71">
        <f>IF(OR(Calc_오픈정렬!$F71="",Calc_오픈정렬!AF71=""),"",Calc_오픈정렬!AF71/Calc_오픈정렬!$F71*100)</f>
        <v>130.55921718865383</v>
      </c>
      <c r="AG71">
        <f>IF(OR(Calc_오픈정렬!$F71="",Calc_오픈정렬!AG71=""),"",Calc_오픈정렬!AG71/Calc_오픈정렬!$F71*100)</f>
        <v>127.01419000135658</v>
      </c>
      <c r="AH71">
        <f>IF(OR(Calc_오픈정렬!$F71="",Calc_오픈정렬!AH71=""),"",Calc_오픈정렬!AH71/Calc_오픈정렬!$F71*100)</f>
        <v>129.85340545743614</v>
      </c>
      <c r="AI71">
        <f>IF(OR(Calc_오픈정렬!$F71="",Calc_오픈정렬!AI71=""),"",Calc_오픈정렬!AI71/Calc_오픈정렬!$F71*100)</f>
        <v>127.52098382851771</v>
      </c>
      <c r="AJ71">
        <f>IF(OR(Calc_오픈정렬!$F71="",Calc_오픈정렬!AJ71=""),"",Calc_오픈정렬!AJ71/Calc_오픈정렬!$F71*100)</f>
        <v>136.11515318064889</v>
      </c>
      <c r="AK71">
        <f>IF(OR(Calc_오픈정렬!$F71="",Calc_오픈정렬!AK71=""),"",Calc_오픈정렬!AK71/Calc_오픈정렬!$F71*100)</f>
        <v>126.92663609809141</v>
      </c>
      <c r="AL71">
        <f>IF(OR(Calc_오픈정렬!$F71="",Calc_오픈정렬!AL71=""),"",Calc_오픈정렬!AL71/Calc_오픈정렬!$F71*100)</f>
        <v>126.67984814277983</v>
      </c>
      <c r="AM71">
        <f>IF(OR(Calc_오픈정렬!$F71="",Calc_오픈정렬!AM71=""),"",Calc_오픈정렬!AM71/Calc_오픈정렬!$F71*100)</f>
        <v>128.82168213202792</v>
      </c>
      <c r="AN71">
        <f>IF(OR(Calc_오픈정렬!$F71="",Calc_오픈정렬!AN71=""),"",Calc_오픈정렬!AN71/Calc_오픈정렬!$F71*100)</f>
        <v>126.73742840282058</v>
      </c>
      <c r="AO71">
        <f>IF(OR(Calc_오픈정렬!$F71="",Calc_오픈정렬!AO71=""),"",Calc_오픈정렬!AO71/Calc_오픈정렬!$F71*100)</f>
        <v>131.42246303793343</v>
      </c>
      <c r="AP71">
        <f>IF(OR(Calc_오픈정렬!$F71="",Calc_오픈정렬!AP71=""),"",Calc_오픈정렬!AP71/Calc_오픈정렬!$F71*100)</f>
        <v>129.51863249447345</v>
      </c>
      <c r="AQ71">
        <f>IF(OR(Calc_오픈정렬!$F71="",Calc_오픈정렬!AQ71=""),"",Calc_오픈정렬!AQ71/Calc_오픈정렬!$F71*100)</f>
        <v>131.49479816210544</v>
      </c>
      <c r="AR71">
        <f>IF(OR(Calc_오픈정렬!$F71="",Calc_오픈정렬!AR71=""),"",Calc_오픈정렬!AR71/Calc_오픈정렬!$F71*100)</f>
        <v>150.24811768581426</v>
      </c>
      <c r="AS71">
        <f>IF(OR(Calc_오픈정렬!$F71="",Calc_오픈정렬!AS71=""),"",Calc_오픈정렬!AS71/Calc_오픈정렬!$F71*100)</f>
        <v>153.40944208093882</v>
      </c>
      <c r="AT71">
        <f>IF(OR(Calc_오픈정렬!$F71="",Calc_오픈정렬!AT71=""),"",Calc_오픈정렬!AT71/Calc_오픈정렬!$F71*100)</f>
        <v>139.40698335340284</v>
      </c>
      <c r="AU71">
        <f>IF(OR(Calc_오픈정렬!$F71="",Calc_오픈정렬!AU71=""),"",Calc_오픈정렬!AU71/Calc_오픈정렬!$F71*100)</f>
        <v>143.65055113490465</v>
      </c>
      <c r="AV71">
        <f>IF(OR(Calc_오픈정렬!$F71="",Calc_오픈정렬!AV71=""),"",Calc_오픈정렬!AV71/Calc_오픈정렬!$F71*100)</f>
        <v>158.42495033932909</v>
      </c>
      <c r="AW71" t="str">
        <f>IF(OR(Calc_오픈정렬!$F71="",Calc_오픈정렬!AW71=""),"",Calc_오픈정렬!AW71/Calc_오픈정렬!$F71*100)</f>
        <v/>
      </c>
      <c r="AX71" t="str">
        <f>IF(OR(Calc_오픈정렬!$F71="",Calc_오픈정렬!AX71=""),"",Calc_오픈정렬!AX71/Calc_오픈정렬!$F71*100)</f>
        <v/>
      </c>
      <c r="AY71" t="str">
        <f>IF(OR(Calc_오픈정렬!$F71="",Calc_오픈정렬!AY71=""),"",Calc_오픈정렬!AY71/Calc_오픈정렬!$F71*100)</f>
        <v/>
      </c>
      <c r="AZ71" t="str">
        <f>IF(OR(Calc_오픈정렬!$F71="",Calc_오픈정렬!AZ71=""),"",Calc_오픈정렬!AZ71/Calc_오픈정렬!$F71*100)</f>
        <v/>
      </c>
      <c r="BA71" t="str">
        <f>IF(OR(Calc_오픈정렬!$F71="",Calc_오픈정렬!BA71=""),"",Calc_오픈정렬!BA71/Calc_오픈정렬!$F71*100)</f>
        <v/>
      </c>
      <c r="BB71" t="str">
        <f>IF(OR(Calc_오픈정렬!$F71="",Calc_오픈정렬!BB71=""),"",Calc_오픈정렬!BB71/Calc_오픈정렬!$F71*100)</f>
        <v/>
      </c>
      <c r="BC71" t="str">
        <f>IF(OR(Calc_오픈정렬!$F71="",Calc_오픈정렬!BC71=""),"",Calc_오픈정렬!BC71/Calc_오픈정렬!$F71*100)</f>
        <v/>
      </c>
      <c r="BD71" t="str">
        <f>IF(OR(Calc_오픈정렬!$F71="",Calc_오픈정렬!BD71=""),"",Calc_오픈정렬!BD71/Calc_오픈정렬!$F71*100)</f>
        <v/>
      </c>
      <c r="BE71" t="str">
        <f>IF(OR(Calc_오픈정렬!$F71="",Calc_오픈정렬!BE71=""),"",Calc_오픈정렬!BE71/Calc_오픈정렬!$F71*100)</f>
        <v/>
      </c>
      <c r="BF71" t="str">
        <f>IF(OR(Calc_오픈정렬!$F71="",Calc_오픈정렬!BF71=""),"",Calc_오픈정렬!BF71/Calc_오픈정렬!$F71*100)</f>
        <v/>
      </c>
      <c r="BG71" t="str">
        <f>IF(OR(Calc_오픈정렬!$F71="",Calc_오픈정렬!BG71=""),"",Calc_오픈정렬!BG71/Calc_오픈정렬!$F71*100)</f>
        <v/>
      </c>
      <c r="BH71" t="str">
        <f>IF(OR(Calc_오픈정렬!$F71="",Calc_오픈정렬!BH71=""),"",Calc_오픈정렬!BH71/Calc_오픈정렬!$F71*100)</f>
        <v/>
      </c>
      <c r="BI71" t="str">
        <f>IF(OR(Calc_오픈정렬!$F71="",Calc_오픈정렬!BI71=""),"",Calc_오픈정렬!BI71/Calc_오픈정렬!$F71*100)</f>
        <v/>
      </c>
      <c r="BJ71" t="str">
        <f>IF(OR(Calc_오픈정렬!$F71="",Calc_오픈정렬!BJ71=""),"",Calc_오픈정렬!BJ71/Calc_오픈정렬!$F71*100)</f>
        <v/>
      </c>
      <c r="BK71" t="str">
        <f>IF(OR(Calc_오픈정렬!$F71="",Calc_오픈정렬!BK71=""),"",Calc_오픈정렬!BK71/Calc_오픈정렬!$F71*100)</f>
        <v/>
      </c>
      <c r="BL71" t="str">
        <f>IF(OR(Calc_오픈정렬!$F71="",Calc_오픈정렬!BL71=""),"",Calc_오픈정렬!BL71/Calc_오픈정렬!$F71*100)</f>
        <v/>
      </c>
      <c r="BM71" t="str">
        <f>IF(OR(Calc_오픈정렬!$F71="",Calc_오픈정렬!BM71=""),"",Calc_오픈정렬!BM71/Calc_오픈정렬!$F71*100)</f>
        <v/>
      </c>
      <c r="BN71" t="str">
        <f>IF(OR(Calc_오픈정렬!$F71="",Calc_오픈정렬!BN71=""),"",Calc_오픈정렬!BN71/Calc_오픈정렬!$F71*100)</f>
        <v/>
      </c>
    </row>
    <row r="72" spans="1:66" x14ac:dyDescent="0.4">
      <c r="A72" t="str">
        <f>Calc_오픈정렬!A72</f>
        <v>(1061) #구로전화국점</v>
      </c>
      <c r="B72" t="str">
        <f>Calc_오픈정렬!B72</f>
        <v>150-1</v>
      </c>
      <c r="C72">
        <f>Calc_오픈정렬!C72</f>
        <v>1</v>
      </c>
      <c r="D72" t="str">
        <f>Calc_오픈정렬!D72</f>
        <v>1</v>
      </c>
      <c r="E72" s="1">
        <f>Calc_오픈정렬!E72</f>
        <v>44927</v>
      </c>
      <c r="F72">
        <f>Calc_오픈정렬!F72</f>
        <v>2304302.7129086517</v>
      </c>
      <c r="G72">
        <f>IF(OR(Calc_오픈정렬!$F72="",Calc_오픈정렬!G72=""),"",Calc_오픈정렬!G72/Calc_오픈정렬!$F72*100)</f>
        <v>87.059389879797081</v>
      </c>
      <c r="H72">
        <f>IF(OR(Calc_오픈정렬!$F72="",Calc_오픈정렬!H72=""),"",Calc_오픈정렬!H72/Calc_오픈정렬!$F72*100)</f>
        <v>94.596691345577085</v>
      </c>
      <c r="I72">
        <f>IF(OR(Calc_오픈정렬!$F72="",Calc_오픈정렬!I72=""),"",Calc_오픈정렬!I72/Calc_오픈정렬!$F72*100)</f>
        <v>77.909799424866819</v>
      </c>
      <c r="J72">
        <f>IF(OR(Calc_오픈정렬!$F72="",Calc_오픈정렬!J72=""),"",Calc_오픈정렬!J72/Calc_오픈정렬!$F72*100)</f>
        <v>100.42047274298397</v>
      </c>
      <c r="K72">
        <f>IF(OR(Calc_오픈정렬!$F72="",Calc_오픈정렬!K72=""),"",Calc_오픈정렬!K72/Calc_오픈정렬!$F72*100)</f>
        <v>91.722572310771881</v>
      </c>
      <c r="L72">
        <f>IF(OR(Calc_오픈정렬!$F72="",Calc_오픈정렬!L72=""),"",Calc_오픈정렬!L72/Calc_오픈정렬!$F72*100)</f>
        <v>98.3546196722004</v>
      </c>
      <c r="M72">
        <f>IF(OR(Calc_오픈정렬!$F72="",Calc_오픈정렬!M72=""),"",Calc_오픈정렬!M72/Calc_오픈정렬!$F72*100)</f>
        <v>106.98089379103473</v>
      </c>
      <c r="N72">
        <f>IF(OR(Calc_오픈정렬!$F72="",Calc_오픈정렬!N72=""),"",Calc_오픈정렬!N72/Calc_오픈정렬!$F72*100)</f>
        <v>90.391776518813103</v>
      </c>
      <c r="O72">
        <f>IF(OR(Calc_오픈정렬!$F72="",Calc_오픈정렬!O72=""),"",Calc_오픈정렬!O72/Calc_오픈정렬!$F72*100)</f>
        <v>112.12966496419585</v>
      </c>
      <c r="P72">
        <f>IF(OR(Calc_오픈정렬!$F72="",Calc_오픈정렬!P72=""),"",Calc_오픈정렬!P72/Calc_오픈정렬!$F72*100)</f>
        <v>106.97732179628031</v>
      </c>
      <c r="Q72">
        <f>IF(OR(Calc_오픈정렬!$F72="",Calc_오픈정렬!Q72=""),"",Calc_오픈정렬!Q72/Calc_오픈정렬!$F72*100)</f>
        <v>104.56145917750818</v>
      </c>
      <c r="R72">
        <f>IF(OR(Calc_오픈정렬!$F72="",Calc_오픈정렬!R72=""),"",Calc_오픈정렬!R72/Calc_오픈정렬!$F72*100)</f>
        <v>106.44966454962118</v>
      </c>
      <c r="S72">
        <f>IF(OR(Calc_오픈정렬!$F72="",Calc_오픈정렬!S72=""),"",Calc_오픈정렬!S72/Calc_오픈정렬!$F72*100)</f>
        <v>116.91140188028517</v>
      </c>
      <c r="T72">
        <f>IF(OR(Calc_오픈정렬!$F72="",Calc_오픈정렬!T72=""),"",Calc_오픈정렬!T72/Calc_오픈정렬!$F72*100)</f>
        <v>111.29180000269179</v>
      </c>
      <c r="U72">
        <f>IF(OR(Calc_오픈정렬!$F72="",Calc_오픈정렬!U72=""),"",Calc_오픈정렬!U72/Calc_오픈정렬!$F72*100)</f>
        <v>123.51505639287888</v>
      </c>
      <c r="V72">
        <f>IF(OR(Calc_오픈정렬!$F72="",Calc_오픈정렬!V72=""),"",Calc_오픈정렬!V72/Calc_오픈정렬!$F72*100)</f>
        <v>151.44693463184504</v>
      </c>
      <c r="W72">
        <f>IF(OR(Calc_오픈정렬!$F72="",Calc_오픈정렬!W72=""),"",Calc_오픈정렬!W72/Calc_오픈정렬!$F72*100)</f>
        <v>133.91001318096659</v>
      </c>
      <c r="X72">
        <f>IF(OR(Calc_오픈정렬!$F72="",Calc_오픈정렬!X72=""),"",Calc_오픈정렬!X72/Calc_오픈정렬!$F72*100)</f>
        <v>135.03863396805414</v>
      </c>
      <c r="Y72">
        <f>IF(OR(Calc_오픈정렬!$F72="",Calc_오픈정렬!Y72=""),"",Calc_오픈정렬!Y72/Calc_오픈정렬!$F72*100)</f>
        <v>137.80863749303566</v>
      </c>
      <c r="Z72">
        <f>IF(OR(Calc_오픈정렬!$F72="",Calc_오픈정렬!Z72=""),"",Calc_오픈정렬!Z72/Calc_오픈정렬!$F72*100)</f>
        <v>108.85500388914606</v>
      </c>
      <c r="AA72">
        <f>IF(OR(Calc_오픈정렬!$F72="",Calc_오픈정렬!AA72=""),"",Calc_오픈정렬!AA72/Calc_오픈정렬!$F72*100)</f>
        <v>124.64510398948059</v>
      </c>
      <c r="AB72">
        <f>IF(OR(Calc_오픈정렬!$F72="",Calc_오픈정렬!AB72=""),"",Calc_오픈정렬!AB72/Calc_오픈정렬!$F72*100)</f>
        <v>132.56252790407638</v>
      </c>
      <c r="AC72">
        <f>IF(OR(Calc_오픈정렬!$F72="",Calc_오픈정렬!AC72=""),"",Calc_오픈정렬!AC72/Calc_오픈정렬!$F72*100)</f>
        <v>135.90488721359637</v>
      </c>
      <c r="AD72">
        <f>IF(OR(Calc_오픈정렬!$F72="",Calc_오픈정렬!AD72=""),"",Calc_오픈정렬!AD72/Calc_오픈정렬!$F72*100)</f>
        <v>149.47638671287328</v>
      </c>
      <c r="AE72">
        <f>IF(OR(Calc_오픈정렬!$F72="",Calc_오픈정렬!AE72=""),"",Calc_오픈정렬!AE72/Calc_오픈정렬!$F72*100)</f>
        <v>158.22500755217339</v>
      </c>
      <c r="AF72">
        <f>IF(OR(Calc_오픈정렬!$F72="",Calc_오픈정렬!AF72=""),"",Calc_오픈정렬!AF72/Calc_오픈정렬!$F72*100)</f>
        <v>132.55790645965425</v>
      </c>
      <c r="AG72">
        <f>IF(OR(Calc_오픈정렬!$F72="",Calc_오픈정렬!AG72=""),"",Calc_오픈정렬!AG72/Calc_오픈정렬!$F72*100)</f>
        <v>143.18744822358084</v>
      </c>
      <c r="AH72">
        <f>IF(OR(Calc_오픈정렬!$F72="",Calc_오픈정렬!AH72=""),"",Calc_오픈정렬!AH72/Calc_오픈정렬!$F72*100)</f>
        <v>160.84139802459444</v>
      </c>
      <c r="AI72">
        <f>IF(OR(Calc_오픈정렬!$F72="",Calc_오픈정렬!AI72=""),"",Calc_오픈정렬!AI72/Calc_오픈정렬!$F72*100)</f>
        <v>150.88095432180788</v>
      </c>
      <c r="AJ72">
        <f>IF(OR(Calc_오픈정렬!$F72="",Calc_오픈정렬!AJ72=""),"",Calc_오픈정렬!AJ72/Calc_오픈정렬!$F72*100)</f>
        <v>149.66621842198583</v>
      </c>
      <c r="AK72">
        <f>IF(OR(Calc_오픈정렬!$F72="",Calc_오픈정렬!AK72=""),"",Calc_오픈정렬!AK72/Calc_오픈정렬!$F72*100)</f>
        <v>137.14531863984575</v>
      </c>
      <c r="AL72">
        <f>IF(OR(Calc_오픈정렬!$F72="",Calc_오픈정렬!AL72=""),"",Calc_오픈정렬!AL72/Calc_오픈정렬!$F72*100)</f>
        <v>146.08978155606999</v>
      </c>
      <c r="AM72">
        <f>IF(OR(Calc_오픈정렬!$F72="",Calc_오픈정렬!AM72=""),"",Calc_오픈정렬!AM72/Calc_오픈정렬!$F72*100)</f>
        <v>142.28591328226287</v>
      </c>
      <c r="AN72">
        <f>IF(OR(Calc_오픈정렬!$F72="",Calc_오픈정렬!AN72=""),"",Calc_오픈정렬!AN72/Calc_오픈정렬!$F72*100)</f>
        <v>160.18629115296321</v>
      </c>
      <c r="AO72">
        <f>IF(OR(Calc_오픈정렬!$F72="",Calc_오픈정렬!AO72=""),"",Calc_오픈정렬!AO72/Calc_오픈정렬!$F72*100)</f>
        <v>130.5569760266423</v>
      </c>
      <c r="AP72">
        <f>IF(OR(Calc_오픈정렬!$F72="",Calc_오픈정렬!AP72=""),"",Calc_오픈정렬!AP72/Calc_오픈정렬!$F72*100)</f>
        <v>142.09737735798464</v>
      </c>
      <c r="AQ72">
        <f>IF(OR(Calc_오픈정렬!$F72="",Calc_오픈정렬!AQ72=""),"",Calc_오픈정렬!AQ72/Calc_오픈정렬!$F72*100)</f>
        <v>173.26352233315325</v>
      </c>
      <c r="AR72">
        <f>IF(OR(Calc_오픈정렬!$F72="",Calc_오픈정렬!AR72=""),"",Calc_오픈정렬!AR72/Calc_오픈정렬!$F72*100)</f>
        <v>152.67379788115156</v>
      </c>
      <c r="AS72">
        <f>IF(OR(Calc_오픈정렬!$F72="",Calc_오픈정렬!AS72=""),"",Calc_오픈정렬!AS72/Calc_오픈정렬!$F72*100)</f>
        <v>150.21697096905177</v>
      </c>
      <c r="AT72">
        <f>IF(OR(Calc_오픈정렬!$F72="",Calc_오픈정렬!AT72=""),"",Calc_오픈정렬!AT72/Calc_오픈정렬!$F72*100)</f>
        <v>160.52660030439699</v>
      </c>
      <c r="AU72">
        <f>IF(OR(Calc_오픈정렬!$F72="",Calc_오픈정렬!AU72=""),"",Calc_오픈정렬!AU72/Calc_오픈정렬!$F72*100)</f>
        <v>169.01747642196432</v>
      </c>
      <c r="AV72" t="str">
        <f>IF(OR(Calc_오픈정렬!$F72="",Calc_오픈정렬!AV72=""),"",Calc_오픈정렬!AV72/Calc_오픈정렬!$F72*100)</f>
        <v/>
      </c>
      <c r="AW72" t="str">
        <f>IF(OR(Calc_오픈정렬!$F72="",Calc_오픈정렬!AW72=""),"",Calc_오픈정렬!AW72/Calc_오픈정렬!$F72*100)</f>
        <v/>
      </c>
      <c r="AX72" t="str">
        <f>IF(OR(Calc_오픈정렬!$F72="",Calc_오픈정렬!AX72=""),"",Calc_오픈정렬!AX72/Calc_오픈정렬!$F72*100)</f>
        <v/>
      </c>
      <c r="AY72" t="str">
        <f>IF(OR(Calc_오픈정렬!$F72="",Calc_오픈정렬!AY72=""),"",Calc_오픈정렬!AY72/Calc_오픈정렬!$F72*100)</f>
        <v/>
      </c>
      <c r="AZ72" t="str">
        <f>IF(OR(Calc_오픈정렬!$F72="",Calc_오픈정렬!AZ72=""),"",Calc_오픈정렬!AZ72/Calc_오픈정렬!$F72*100)</f>
        <v/>
      </c>
      <c r="BA72" t="str">
        <f>IF(OR(Calc_오픈정렬!$F72="",Calc_오픈정렬!BA72=""),"",Calc_오픈정렬!BA72/Calc_오픈정렬!$F72*100)</f>
        <v/>
      </c>
      <c r="BB72" t="str">
        <f>IF(OR(Calc_오픈정렬!$F72="",Calc_오픈정렬!BB72=""),"",Calc_오픈정렬!BB72/Calc_오픈정렬!$F72*100)</f>
        <v/>
      </c>
      <c r="BC72" t="str">
        <f>IF(OR(Calc_오픈정렬!$F72="",Calc_오픈정렬!BC72=""),"",Calc_오픈정렬!BC72/Calc_오픈정렬!$F72*100)</f>
        <v/>
      </c>
      <c r="BD72" t="str">
        <f>IF(OR(Calc_오픈정렬!$F72="",Calc_오픈정렬!BD72=""),"",Calc_오픈정렬!BD72/Calc_오픈정렬!$F72*100)</f>
        <v/>
      </c>
      <c r="BE72" t="str">
        <f>IF(OR(Calc_오픈정렬!$F72="",Calc_오픈정렬!BE72=""),"",Calc_오픈정렬!BE72/Calc_오픈정렬!$F72*100)</f>
        <v/>
      </c>
      <c r="BF72" t="str">
        <f>IF(OR(Calc_오픈정렬!$F72="",Calc_오픈정렬!BF72=""),"",Calc_오픈정렬!BF72/Calc_오픈정렬!$F72*100)</f>
        <v/>
      </c>
      <c r="BG72" t="str">
        <f>IF(OR(Calc_오픈정렬!$F72="",Calc_오픈정렬!BG72=""),"",Calc_오픈정렬!BG72/Calc_오픈정렬!$F72*100)</f>
        <v/>
      </c>
      <c r="BH72" t="str">
        <f>IF(OR(Calc_오픈정렬!$F72="",Calc_오픈정렬!BH72=""),"",Calc_오픈정렬!BH72/Calc_오픈정렬!$F72*100)</f>
        <v/>
      </c>
      <c r="BI72" t="str">
        <f>IF(OR(Calc_오픈정렬!$F72="",Calc_오픈정렬!BI72=""),"",Calc_오픈정렬!BI72/Calc_오픈정렬!$F72*100)</f>
        <v/>
      </c>
      <c r="BJ72" t="str">
        <f>IF(OR(Calc_오픈정렬!$F72="",Calc_오픈정렬!BJ72=""),"",Calc_오픈정렬!BJ72/Calc_오픈정렬!$F72*100)</f>
        <v/>
      </c>
      <c r="BK72" t="str">
        <f>IF(OR(Calc_오픈정렬!$F72="",Calc_오픈정렬!BK72=""),"",Calc_오픈정렬!BK72/Calc_오픈정렬!$F72*100)</f>
        <v/>
      </c>
      <c r="BL72" t="str">
        <f>IF(OR(Calc_오픈정렬!$F72="",Calc_오픈정렬!BL72=""),"",Calc_오픈정렬!BL72/Calc_오픈정렬!$F72*100)</f>
        <v/>
      </c>
      <c r="BM72" t="str">
        <f>IF(OR(Calc_오픈정렬!$F72="",Calc_오픈정렬!BM72=""),"",Calc_오픈정렬!BM72/Calc_오픈정렬!$F72*100)</f>
        <v/>
      </c>
      <c r="BN72" t="str">
        <f>IF(OR(Calc_오픈정렬!$F72="",Calc_오픈정렬!BN72=""),"",Calc_오픈정렬!BN72/Calc_오픈정렬!$F72*100)</f>
        <v/>
      </c>
    </row>
    <row r="73" spans="1:66" x14ac:dyDescent="0.4">
      <c r="A73" t="str">
        <f>Calc_오픈정렬!A73</f>
        <v>(1062) #봉천중앙점</v>
      </c>
      <c r="B73" t="str">
        <f>Calc_오픈정렬!B73</f>
        <v>150-3</v>
      </c>
      <c r="C73">
        <f>Calc_오픈정렬!C73</f>
        <v>3</v>
      </c>
      <c r="D73" t="str">
        <f>Calc_오픈정렬!D73</f>
        <v>3+</v>
      </c>
      <c r="E73" s="1">
        <f>Calc_오픈정렬!E73</f>
        <v>44927</v>
      </c>
      <c r="F73">
        <f>Calc_오픈정렬!F73</f>
        <v>4197069.7163739577</v>
      </c>
      <c r="G73">
        <f>IF(OR(Calc_오픈정렬!$F73="",Calc_오픈정렬!G73=""),"",Calc_오픈정렬!G73/Calc_오픈정렬!$F73*100)</f>
        <v>83.92176849119366</v>
      </c>
      <c r="H73">
        <f>IF(OR(Calc_오픈정렬!$F73="",Calc_오픈정렬!H73=""),"",Calc_오픈정렬!H73/Calc_오픈정렬!$F73*100)</f>
        <v>104.82254780075732</v>
      </c>
      <c r="I73">
        <f>IF(OR(Calc_오픈정렬!$F73="",Calc_오픈정렬!I73=""),"",Calc_오픈정렬!I73/Calc_오픈정렬!$F73*100)</f>
        <v>117.79245115229122</v>
      </c>
      <c r="J73">
        <f>IF(OR(Calc_오픈정렬!$F73="",Calc_오픈정렬!J73=""),"",Calc_오픈정렬!J73/Calc_오픈정렬!$F73*100)</f>
        <v>119.7234079181743</v>
      </c>
      <c r="K73">
        <f>IF(OR(Calc_오픈정렬!$F73="",Calc_오픈정렬!K73=""),"",Calc_오픈정렬!K73/Calc_오픈정렬!$F73*100)</f>
        <v>116.56764599897625</v>
      </c>
      <c r="L73">
        <f>IF(OR(Calc_오픈정렬!$F73="",Calc_오픈정렬!L73=""),"",Calc_오픈정렬!L73/Calc_오픈정렬!$F73*100)</f>
        <v>95.411508560466601</v>
      </c>
      <c r="M73">
        <f>IF(OR(Calc_오픈정렬!$F73="",Calc_오픈정렬!M73=""),"",Calc_오픈정렬!M73/Calc_오픈정렬!$F73*100)</f>
        <v>95.574400185530024</v>
      </c>
      <c r="N73">
        <f>IF(OR(Calc_오픈정렬!$F73="",Calc_오픈정렬!N73=""),"",Calc_오픈정렬!N73/Calc_오픈정렬!$F73*100)</f>
        <v>84.603713554980757</v>
      </c>
      <c r="O73">
        <f>IF(OR(Calc_오픈정렬!$F73="",Calc_오픈정렬!O73=""),"",Calc_오픈정렬!O73/Calc_오픈정렬!$F73*100)</f>
        <v>88.119323781872055</v>
      </c>
      <c r="P73">
        <f>IF(OR(Calc_오픈정렬!$F73="",Calc_오픈정렬!P73=""),"",Calc_오픈정렬!P73/Calc_오픈정렬!$F73*100)</f>
        <v>94.175419991145361</v>
      </c>
      <c r="Q73">
        <f>IF(OR(Calc_오픈정렬!$F73="",Calc_오픈정렬!Q73=""),"",Calc_오픈정렬!Q73/Calc_오픈정렬!$F73*100)</f>
        <v>91.974806757075086</v>
      </c>
      <c r="R73">
        <f>IF(OR(Calc_오픈정렬!$F73="",Calc_오픈정렬!R73=""),"",Calc_오픈정렬!R73/Calc_오픈정렬!$F73*100)</f>
        <v>96.689821810084865</v>
      </c>
      <c r="S73">
        <f>IF(OR(Calc_오픈정렬!$F73="",Calc_오픈정렬!S73=""),"",Calc_오픈정렬!S73/Calc_오픈정렬!$F73*100)</f>
        <v>112.88131161593211</v>
      </c>
      <c r="T73">
        <f>IF(OR(Calc_오픈정렬!$F73="",Calc_오픈정렬!T73=""),"",Calc_오픈정렬!T73/Calc_오픈정렬!$F73*100)</f>
        <v>117.68657556965148</v>
      </c>
      <c r="U73">
        <f>IF(OR(Calc_오픈정렬!$F73="",Calc_오픈정렬!U73=""),"",Calc_오픈정렬!U73/Calc_오픈정렬!$F73*100)</f>
        <v>118.16514999856827</v>
      </c>
      <c r="V73">
        <f>IF(OR(Calc_오픈정렬!$F73="",Calc_오픈정렬!V73=""),"",Calc_오픈정렬!V73/Calc_오픈정렬!$F73*100)</f>
        <v>121.33198288741933</v>
      </c>
      <c r="W73">
        <f>IF(OR(Calc_오픈정렬!$F73="",Calc_오픈정렬!W73=""),"",Calc_오픈정렬!W73/Calc_오픈정렬!$F73*100)</f>
        <v>112.72690600422821</v>
      </c>
      <c r="X73">
        <f>IF(OR(Calc_오픈정렬!$F73="",Calc_오픈정렬!X73=""),"",Calc_오픈정렬!X73/Calc_오픈정렬!$F73*100)</f>
        <v>127.773998138034</v>
      </c>
      <c r="Y73">
        <f>IF(OR(Calc_오픈정렬!$F73="",Calc_오픈정렬!Y73=""),"",Calc_오픈정렬!Y73/Calc_오픈정렬!$F73*100)</f>
        <v>118.17857661426301</v>
      </c>
      <c r="Z73">
        <f>IF(OR(Calc_오픈정렬!$F73="",Calc_오픈정렬!Z73=""),"",Calc_오픈정렬!Z73/Calc_오픈정렬!$F73*100)</f>
        <v>121.36844582037961</v>
      </c>
      <c r="AA73">
        <f>IF(OR(Calc_오픈정렬!$F73="",Calc_오픈정렬!AA73=""),"",Calc_오픈정렬!AA73/Calc_오픈정렬!$F73*100)</f>
        <v>96.656403826902178</v>
      </c>
      <c r="AB73">
        <f>IF(OR(Calc_오픈정렬!$F73="",Calc_오픈정렬!AB73=""),"",Calc_오픈정렬!AB73/Calc_오픈정렬!$F73*100)</f>
        <v>95.254448933263205</v>
      </c>
      <c r="AC73">
        <f>IF(OR(Calc_오픈정렬!$F73="",Calc_오픈정렬!AC73=""),"",Calc_오픈정렬!AC73/Calc_오픈정렬!$F73*100)</f>
        <v>95.328603206502649</v>
      </c>
      <c r="AD73">
        <f>IF(OR(Calc_오픈정렬!$F73="",Calc_오픈정렬!AD73=""),"",Calc_오픈정렬!AD73/Calc_오픈정렬!$F73*100)</f>
        <v>101.50431017712928</v>
      </c>
      <c r="AE73">
        <f>IF(OR(Calc_오픈정렬!$F73="",Calc_오픈정렬!AE73=""),"",Calc_오픈정렬!AE73/Calc_오픈정렬!$F73*100)</f>
        <v>110.61334670919732</v>
      </c>
      <c r="AF73">
        <f>IF(OR(Calc_오픈정렬!$F73="",Calc_오픈정렬!AF73=""),"",Calc_오픈정렬!AF73/Calc_오픈정렬!$F73*100)</f>
        <v>108.67061868978686</v>
      </c>
      <c r="AG73">
        <f>IF(OR(Calc_오픈정렬!$F73="",Calc_오픈정렬!AG73=""),"",Calc_오픈정렬!AG73/Calc_오픈정렬!$F73*100)</f>
        <v>118.08055716832774</v>
      </c>
      <c r="AH73">
        <f>IF(OR(Calc_오픈정렬!$F73="",Calc_오픈정렬!AH73=""),"",Calc_오픈정렬!AH73/Calc_오픈정렬!$F73*100)</f>
        <v>105.36598129321692</v>
      </c>
      <c r="AI73">
        <f>IF(OR(Calc_오픈정렬!$F73="",Calc_오픈정렬!AI73=""),"",Calc_오픈정렬!AI73/Calc_오픈정렬!$F73*100)</f>
        <v>109.63803297930868</v>
      </c>
      <c r="AJ73">
        <f>IF(OR(Calc_오픈정렬!$F73="",Calc_오픈정렬!AJ73=""),"",Calc_오픈정렬!AJ73/Calc_오픈정렬!$F73*100)</f>
        <v>101.33763882370354</v>
      </c>
      <c r="AK73">
        <f>IF(OR(Calc_오픈정렬!$F73="",Calc_오픈정렬!AK73=""),"",Calc_오픈정렬!AK73/Calc_오픈정렬!$F73*100)</f>
        <v>94.908406627676115</v>
      </c>
      <c r="AL73">
        <f>IF(OR(Calc_오픈정렬!$F73="",Calc_오픈정렬!AL73=""),"",Calc_오픈정렬!AL73/Calc_오픈정렬!$F73*100)</f>
        <v>109.88209370685047</v>
      </c>
      <c r="AM73">
        <f>IF(OR(Calc_오픈정렬!$F73="",Calc_오픈정렬!AM73=""),"",Calc_오픈정렬!AM73/Calc_오픈정렬!$F73*100)</f>
        <v>100.65211423905831</v>
      </c>
      <c r="AN73">
        <f>IF(OR(Calc_오픈정렬!$F73="",Calc_오픈정렬!AN73=""),"",Calc_오픈정렬!AN73/Calc_오픈정렬!$F73*100)</f>
        <v>107.56011959273215</v>
      </c>
      <c r="AO73">
        <f>IF(OR(Calc_오픈정렬!$F73="",Calc_오픈정렬!AO73=""),"",Calc_오픈정렬!AO73/Calc_오픈정렬!$F73*100)</f>
        <v>104.95471989379514</v>
      </c>
      <c r="AP73">
        <f>IF(OR(Calc_오픈정렬!$F73="",Calc_오픈정렬!AP73=""),"",Calc_오픈정렬!AP73/Calc_오픈정렬!$F73*100)</f>
        <v>99.070318836012376</v>
      </c>
      <c r="AQ73">
        <f>IF(OR(Calc_오픈정렬!$F73="",Calc_오픈정렬!AQ73=""),"",Calc_오픈정렬!AQ73/Calc_오픈정렬!$F73*100)</f>
        <v>104.91843840674655</v>
      </c>
      <c r="AR73">
        <f>IF(OR(Calc_오픈정렬!$F73="",Calc_오픈정렬!AR73=""),"",Calc_오픈정렬!AR73/Calc_오픈정렬!$F73*100)</f>
        <v>111.49031362242989</v>
      </c>
      <c r="AS73">
        <f>IF(OR(Calc_오픈정렬!$F73="",Calc_오픈정렬!AS73=""),"",Calc_오픈정렬!AS73/Calc_오픈정렬!$F73*100)</f>
        <v>105.89281450185027</v>
      </c>
      <c r="AT73">
        <f>IF(OR(Calc_오픈정렬!$F73="",Calc_오픈정렬!AT73=""),"",Calc_오픈정렬!AT73/Calc_오픈정렬!$F73*100)</f>
        <v>115.7462896365782</v>
      </c>
      <c r="AU73">
        <f>IF(OR(Calc_오픈정렬!$F73="",Calc_오픈정렬!AU73=""),"",Calc_오픈정렬!AU73/Calc_오픈정렬!$F73*100)</f>
        <v>114.95876374624547</v>
      </c>
      <c r="AV73" t="str">
        <f>IF(OR(Calc_오픈정렬!$F73="",Calc_오픈정렬!AV73=""),"",Calc_오픈정렬!AV73/Calc_오픈정렬!$F73*100)</f>
        <v/>
      </c>
      <c r="AW73" t="str">
        <f>IF(OR(Calc_오픈정렬!$F73="",Calc_오픈정렬!AW73=""),"",Calc_오픈정렬!AW73/Calc_오픈정렬!$F73*100)</f>
        <v/>
      </c>
      <c r="AX73" t="str">
        <f>IF(OR(Calc_오픈정렬!$F73="",Calc_오픈정렬!AX73=""),"",Calc_오픈정렬!AX73/Calc_오픈정렬!$F73*100)</f>
        <v/>
      </c>
      <c r="AY73" t="str">
        <f>IF(OR(Calc_오픈정렬!$F73="",Calc_오픈정렬!AY73=""),"",Calc_오픈정렬!AY73/Calc_오픈정렬!$F73*100)</f>
        <v/>
      </c>
      <c r="AZ73" t="str">
        <f>IF(OR(Calc_오픈정렬!$F73="",Calc_오픈정렬!AZ73=""),"",Calc_오픈정렬!AZ73/Calc_오픈정렬!$F73*100)</f>
        <v/>
      </c>
      <c r="BA73" t="str">
        <f>IF(OR(Calc_오픈정렬!$F73="",Calc_오픈정렬!BA73=""),"",Calc_오픈정렬!BA73/Calc_오픈정렬!$F73*100)</f>
        <v/>
      </c>
      <c r="BB73" t="str">
        <f>IF(OR(Calc_오픈정렬!$F73="",Calc_오픈정렬!BB73=""),"",Calc_오픈정렬!BB73/Calc_오픈정렬!$F73*100)</f>
        <v/>
      </c>
      <c r="BC73" t="str">
        <f>IF(OR(Calc_오픈정렬!$F73="",Calc_오픈정렬!BC73=""),"",Calc_오픈정렬!BC73/Calc_오픈정렬!$F73*100)</f>
        <v/>
      </c>
      <c r="BD73" t="str">
        <f>IF(OR(Calc_오픈정렬!$F73="",Calc_오픈정렬!BD73=""),"",Calc_오픈정렬!BD73/Calc_오픈정렬!$F73*100)</f>
        <v/>
      </c>
      <c r="BE73" t="str">
        <f>IF(OR(Calc_오픈정렬!$F73="",Calc_오픈정렬!BE73=""),"",Calc_오픈정렬!BE73/Calc_오픈정렬!$F73*100)</f>
        <v/>
      </c>
      <c r="BF73" t="str">
        <f>IF(OR(Calc_오픈정렬!$F73="",Calc_오픈정렬!BF73=""),"",Calc_오픈정렬!BF73/Calc_오픈정렬!$F73*100)</f>
        <v/>
      </c>
      <c r="BG73" t="str">
        <f>IF(OR(Calc_오픈정렬!$F73="",Calc_오픈정렬!BG73=""),"",Calc_오픈정렬!BG73/Calc_오픈정렬!$F73*100)</f>
        <v/>
      </c>
      <c r="BH73" t="str">
        <f>IF(OR(Calc_오픈정렬!$F73="",Calc_오픈정렬!BH73=""),"",Calc_오픈정렬!BH73/Calc_오픈정렬!$F73*100)</f>
        <v/>
      </c>
      <c r="BI73" t="str">
        <f>IF(OR(Calc_오픈정렬!$F73="",Calc_오픈정렬!BI73=""),"",Calc_오픈정렬!BI73/Calc_오픈정렬!$F73*100)</f>
        <v/>
      </c>
      <c r="BJ73" t="str">
        <f>IF(OR(Calc_오픈정렬!$F73="",Calc_오픈정렬!BJ73=""),"",Calc_오픈정렬!BJ73/Calc_오픈정렬!$F73*100)</f>
        <v/>
      </c>
      <c r="BK73" t="str">
        <f>IF(OR(Calc_오픈정렬!$F73="",Calc_오픈정렬!BK73=""),"",Calc_오픈정렬!BK73/Calc_오픈정렬!$F73*100)</f>
        <v/>
      </c>
      <c r="BL73" t="str">
        <f>IF(OR(Calc_오픈정렬!$F73="",Calc_오픈정렬!BL73=""),"",Calc_오픈정렬!BL73/Calc_오픈정렬!$F73*100)</f>
        <v/>
      </c>
      <c r="BM73" t="str">
        <f>IF(OR(Calc_오픈정렬!$F73="",Calc_오픈정렬!BM73=""),"",Calc_오픈정렬!BM73/Calc_오픈정렬!$F73*100)</f>
        <v/>
      </c>
      <c r="BN73" t="str">
        <f>IF(OR(Calc_오픈정렬!$F73="",Calc_오픈정렬!BN73=""),"",Calc_오픈정렬!BN73/Calc_오픈정렬!$F73*100)</f>
        <v/>
      </c>
    </row>
    <row r="74" spans="1:66" x14ac:dyDescent="0.4">
      <c r="A74" t="str">
        <f>Calc_오픈정렬!A74</f>
        <v>(1063) #성대후문점</v>
      </c>
      <c r="B74" t="str">
        <f>Calc_오픈정렬!B74</f>
        <v>150-1</v>
      </c>
      <c r="C74">
        <f>Calc_오픈정렬!C74</f>
        <v>1</v>
      </c>
      <c r="D74" t="str">
        <f>Calc_오픈정렬!D74</f>
        <v>1</v>
      </c>
      <c r="E74" s="1">
        <f>Calc_오픈정렬!E74</f>
        <v>44927</v>
      </c>
      <c r="F74">
        <f>Calc_오픈정렬!F74</f>
        <v>3417266.6203491557</v>
      </c>
      <c r="G74">
        <f>IF(OR(Calc_오픈정렬!$F74="",Calc_오픈정렬!G74=""),"",Calc_오픈정렬!G74/Calc_오픈정렬!$F74*100)</f>
        <v>52.411820940138384</v>
      </c>
      <c r="H74">
        <f>IF(OR(Calc_오픈정렬!$F74="",Calc_오픈정렬!H74=""),"",Calc_오픈정렬!H74/Calc_오픈정렬!$F74*100)</f>
        <v>60.81057046046331</v>
      </c>
      <c r="I74">
        <f>IF(OR(Calc_오픈정렬!$F74="",Calc_오픈정렬!I74=""),"",Calc_오픈정렬!I74/Calc_오픈정렬!$F74*100)</f>
        <v>87.393510997352791</v>
      </c>
      <c r="J74">
        <f>IF(OR(Calc_오픈정렬!$F74="",Calc_오픈정렬!J74=""),"",Calc_오픈정렬!J74/Calc_오픈정렬!$F74*100)</f>
        <v>86.606882948594091</v>
      </c>
      <c r="K74">
        <f>IF(OR(Calc_오픈정렬!$F74="",Calc_오픈정렬!K74=""),"",Calc_오픈정렬!K74/Calc_오픈정렬!$F74*100)</f>
        <v>104.85548419715749</v>
      </c>
      <c r="L74">
        <f>IF(OR(Calc_오픈정렬!$F74="",Calc_오픈정렬!L74=""),"",Calc_오픈정렬!L74/Calc_오픈정렬!$F74*100)</f>
        <v>81.083539826769623</v>
      </c>
      <c r="M74">
        <f>IF(OR(Calc_오픈정렬!$F74="",Calc_오픈정렬!M74=""),"",Calc_오픈정렬!M74/Calc_오픈정렬!$F74*100)</f>
        <v>92.378048072776579</v>
      </c>
      <c r="N74">
        <f>IF(OR(Calc_오픈정렬!$F74="",Calc_오픈정렬!N74=""),"",Calc_오픈정렬!N74/Calc_오픈정렬!$F74*100)</f>
        <v>117.10111740366888</v>
      </c>
      <c r="O74">
        <f>IF(OR(Calc_오픈정렬!$F74="",Calc_오픈정렬!O74=""),"",Calc_오픈정렬!O74/Calc_오픈정렬!$F74*100)</f>
        <v>117.9749275510334</v>
      </c>
      <c r="P74">
        <f>IF(OR(Calc_오픈정렬!$F74="",Calc_오픈정렬!P74=""),"",Calc_오픈정렬!P74/Calc_오픈정렬!$F74*100)</f>
        <v>99.615854142338648</v>
      </c>
      <c r="Q74">
        <f>IF(OR(Calc_오픈정렬!$F74="",Calc_오픈정렬!Q74=""),"",Calc_오픈정렬!Q74/Calc_오픈정렬!$F74*100)</f>
        <v>93.695483378127847</v>
      </c>
      <c r="R74">
        <f>IF(OR(Calc_오픈정렬!$F74="",Calc_오픈정렬!R74=""),"",Calc_오픈정렬!R74/Calc_오픈정렬!$F74*100)</f>
        <v>96.527606737014466</v>
      </c>
      <c r="S74">
        <f>IF(OR(Calc_오픈정렬!$F74="",Calc_오픈정렬!S74=""),"",Calc_오픈정렬!S74/Calc_오픈정렬!$F74*100)</f>
        <v>90.192437155856638</v>
      </c>
      <c r="T74">
        <f>IF(OR(Calc_오픈정렬!$F74="",Calc_오픈정렬!T74=""),"",Calc_오픈정렬!T74/Calc_오픈정렬!$F74*100)</f>
        <v>99.966391063197875</v>
      </c>
      <c r="U74">
        <f>IF(OR(Calc_오픈정렬!$F74="",Calc_오픈정렬!U74=""),"",Calc_오픈정렬!U74/Calc_오픈정렬!$F74*100)</f>
        <v>130.64486676217294</v>
      </c>
      <c r="V74">
        <f>IF(OR(Calc_오픈정렬!$F74="",Calc_오픈정렬!V74=""),"",Calc_오픈정렬!V74/Calc_오픈정렬!$F74*100)</f>
        <v>132.06427641723241</v>
      </c>
      <c r="W74">
        <f>IF(OR(Calc_오픈정렬!$F74="",Calc_오픈정렬!W74=""),"",Calc_오픈정렬!W74/Calc_오픈정렬!$F74*100)</f>
        <v>118.4548975058112</v>
      </c>
      <c r="X74">
        <f>IF(OR(Calc_오픈정렬!$F74="",Calc_오픈정렬!X74=""),"",Calc_오픈정렬!X74/Calc_오픈정렬!$F74*100)</f>
        <v>124.51391084648311</v>
      </c>
      <c r="Y74">
        <f>IF(OR(Calc_오픈정렬!$F74="",Calc_오픈정렬!Y74=""),"",Calc_오픈정렬!Y74/Calc_오픈정렬!$F74*100)</f>
        <v>123.7273193359911</v>
      </c>
      <c r="Z74">
        <f>IF(OR(Calc_오픈정렬!$F74="",Calc_오픈정렬!Z74=""),"",Calc_오픈정렬!Z74/Calc_오픈정렬!$F74*100)</f>
        <v>146.16777409532037</v>
      </c>
      <c r="AA74">
        <f>IF(OR(Calc_오픈정렬!$F74="",Calc_오픈정렬!AA74=""),"",Calc_오픈정렬!AA74/Calc_오픈정렬!$F74*100)</f>
        <v>144.49787744673804</v>
      </c>
      <c r="AB74">
        <f>IF(OR(Calc_오픈정렬!$F74="",Calc_오픈정렬!AB74=""),"",Calc_오픈정렬!AB74/Calc_오픈정렬!$F74*100)</f>
        <v>123.88364323965216</v>
      </c>
      <c r="AC74">
        <f>IF(OR(Calc_오픈정렬!$F74="",Calc_오픈정렬!AC74=""),"",Calc_오픈정렬!AC74/Calc_오픈정렬!$F74*100)</f>
        <v>137.74824115625103</v>
      </c>
      <c r="AD74">
        <f>IF(OR(Calc_오픈정렬!$F74="",Calc_오픈정렬!AD74=""),"",Calc_오픈정렬!AD74/Calc_오픈정렬!$F74*100)</f>
        <v>117.51355593370076</v>
      </c>
      <c r="AE74">
        <f>IF(OR(Calc_오픈정렬!$F74="",Calc_오픈정렬!AE74=""),"",Calc_오픈정렬!AE74/Calc_오픈정렬!$F74*100)</f>
        <v>124.32859303056441</v>
      </c>
      <c r="AF74">
        <f>IF(OR(Calc_오픈정렬!$F74="",Calc_오픈정렬!AF74=""),"",Calc_오픈정렬!AF74/Calc_오픈정렬!$F74*100)</f>
        <v>140.03009121121582</v>
      </c>
      <c r="AG74">
        <f>IF(OR(Calc_오픈정렬!$F74="",Calc_오픈정렬!AG74=""),"",Calc_오픈정렬!AG74/Calc_오픈정렬!$F74*100)</f>
        <v>118.13422366305844</v>
      </c>
      <c r="AH74">
        <f>IF(OR(Calc_오픈정렬!$F74="",Calc_오픈정렬!AH74=""),"",Calc_오픈정렬!AH74/Calc_오픈정렬!$F74*100)</f>
        <v>125.51084032688902</v>
      </c>
      <c r="AI74">
        <f>IF(OR(Calc_오픈정렬!$F74="",Calc_오픈정렬!AI74=""),"",Calc_오픈정렬!AI74/Calc_오픈정렬!$F74*100)</f>
        <v>135.09791100335818</v>
      </c>
      <c r="AJ74">
        <f>IF(OR(Calc_오픈정렬!$F74="",Calc_오픈정렬!AJ74=""),"",Calc_오픈정렬!AJ74/Calc_오픈정렬!$F74*100)</f>
        <v>133.702429682049</v>
      </c>
      <c r="AK74">
        <f>IF(OR(Calc_오픈정렬!$F74="",Calc_오픈정렬!AK74=""),"",Calc_오픈정렬!AK74/Calc_오픈정렬!$F74*100)</f>
        <v>112.95533166345879</v>
      </c>
      <c r="AL74">
        <f>IF(OR(Calc_오픈정렬!$F74="",Calc_오픈정렬!AL74=""),"",Calc_오픈정렬!AL74/Calc_오픈정렬!$F74*100)</f>
        <v>132.56385611194176</v>
      </c>
      <c r="AM74">
        <f>IF(OR(Calc_오픈정렬!$F74="",Calc_오픈정렬!AM74=""),"",Calc_오픈정렬!AM74/Calc_오픈정렬!$F74*100)</f>
        <v>141.91449980614945</v>
      </c>
      <c r="AN74">
        <f>IF(OR(Calc_오픈정렬!$F74="",Calc_오픈정렬!AN74=""),"",Calc_오픈정렬!AN74/Calc_오픈정렬!$F74*100)</f>
        <v>134.1636956030882</v>
      </c>
      <c r="AO74">
        <f>IF(OR(Calc_오픈정렬!$F74="",Calc_오픈정렬!AO74=""),"",Calc_오픈정렬!AO74/Calc_오픈정렬!$F74*100)</f>
        <v>123.45627193827877</v>
      </c>
      <c r="AP74">
        <f>IF(OR(Calc_오픈정렬!$F74="",Calc_오픈정렬!AP74=""),"",Calc_오픈정렬!AP74/Calc_오픈정렬!$F74*100)</f>
        <v>132.02677957118024</v>
      </c>
      <c r="AQ74">
        <f>IF(OR(Calc_오픈정렬!$F74="",Calc_오픈정렬!AQ74=""),"",Calc_오픈정렬!AQ74/Calc_오픈정렬!$F74*100)</f>
        <v>128.69249433860153</v>
      </c>
      <c r="AR74">
        <f>IF(OR(Calc_오픈정렬!$F74="",Calc_오픈정렬!AR74=""),"",Calc_오픈정렬!AR74/Calc_오픈정렬!$F74*100)</f>
        <v>116.3294009479976</v>
      </c>
      <c r="AS74">
        <f>IF(OR(Calc_오픈정렬!$F74="",Calc_오픈정렬!AS74=""),"",Calc_오픈정렬!AS74/Calc_오픈정렬!$F74*100)</f>
        <v>141.80726468990511</v>
      </c>
      <c r="AT74">
        <f>IF(OR(Calc_오픈정렬!$F74="",Calc_오픈정렬!AT74=""),"",Calc_오픈정렬!AT74/Calc_오픈정렬!$F74*100)</f>
        <v>137.12695817783035</v>
      </c>
      <c r="AU74">
        <f>IF(OR(Calc_오픈정렬!$F74="",Calc_오픈정렬!AU74=""),"",Calc_오픈정렬!AU74/Calc_오픈정렬!$F74*100)</f>
        <v>138.35063893586278</v>
      </c>
      <c r="AV74" t="str">
        <f>IF(OR(Calc_오픈정렬!$F74="",Calc_오픈정렬!AV74=""),"",Calc_오픈정렬!AV74/Calc_오픈정렬!$F74*100)</f>
        <v/>
      </c>
      <c r="AW74" t="str">
        <f>IF(OR(Calc_오픈정렬!$F74="",Calc_오픈정렬!AW74=""),"",Calc_오픈정렬!AW74/Calc_오픈정렬!$F74*100)</f>
        <v/>
      </c>
      <c r="AX74" t="str">
        <f>IF(OR(Calc_오픈정렬!$F74="",Calc_오픈정렬!AX74=""),"",Calc_오픈정렬!AX74/Calc_오픈정렬!$F74*100)</f>
        <v/>
      </c>
      <c r="AY74" t="str">
        <f>IF(OR(Calc_오픈정렬!$F74="",Calc_오픈정렬!AY74=""),"",Calc_오픈정렬!AY74/Calc_오픈정렬!$F74*100)</f>
        <v/>
      </c>
      <c r="AZ74" t="str">
        <f>IF(OR(Calc_오픈정렬!$F74="",Calc_오픈정렬!AZ74=""),"",Calc_오픈정렬!AZ74/Calc_오픈정렬!$F74*100)</f>
        <v/>
      </c>
      <c r="BA74" t="str">
        <f>IF(OR(Calc_오픈정렬!$F74="",Calc_오픈정렬!BA74=""),"",Calc_오픈정렬!BA74/Calc_오픈정렬!$F74*100)</f>
        <v/>
      </c>
      <c r="BB74" t="str">
        <f>IF(OR(Calc_오픈정렬!$F74="",Calc_오픈정렬!BB74=""),"",Calc_오픈정렬!BB74/Calc_오픈정렬!$F74*100)</f>
        <v/>
      </c>
      <c r="BC74" t="str">
        <f>IF(OR(Calc_오픈정렬!$F74="",Calc_오픈정렬!BC74=""),"",Calc_오픈정렬!BC74/Calc_오픈정렬!$F74*100)</f>
        <v/>
      </c>
      <c r="BD74" t="str">
        <f>IF(OR(Calc_오픈정렬!$F74="",Calc_오픈정렬!BD74=""),"",Calc_오픈정렬!BD74/Calc_오픈정렬!$F74*100)</f>
        <v/>
      </c>
      <c r="BE74" t="str">
        <f>IF(OR(Calc_오픈정렬!$F74="",Calc_오픈정렬!BE74=""),"",Calc_오픈정렬!BE74/Calc_오픈정렬!$F74*100)</f>
        <v/>
      </c>
      <c r="BF74" t="str">
        <f>IF(OR(Calc_오픈정렬!$F74="",Calc_오픈정렬!BF74=""),"",Calc_오픈정렬!BF74/Calc_오픈정렬!$F74*100)</f>
        <v/>
      </c>
      <c r="BG74" t="str">
        <f>IF(OR(Calc_오픈정렬!$F74="",Calc_오픈정렬!BG74=""),"",Calc_오픈정렬!BG74/Calc_오픈정렬!$F74*100)</f>
        <v/>
      </c>
      <c r="BH74" t="str">
        <f>IF(OR(Calc_오픈정렬!$F74="",Calc_오픈정렬!BH74=""),"",Calc_오픈정렬!BH74/Calc_오픈정렬!$F74*100)</f>
        <v/>
      </c>
      <c r="BI74" t="str">
        <f>IF(OR(Calc_오픈정렬!$F74="",Calc_오픈정렬!BI74=""),"",Calc_오픈정렬!BI74/Calc_오픈정렬!$F74*100)</f>
        <v/>
      </c>
      <c r="BJ74" t="str">
        <f>IF(OR(Calc_오픈정렬!$F74="",Calc_오픈정렬!BJ74=""),"",Calc_오픈정렬!BJ74/Calc_오픈정렬!$F74*100)</f>
        <v/>
      </c>
      <c r="BK74" t="str">
        <f>IF(OR(Calc_오픈정렬!$F74="",Calc_오픈정렬!BK74=""),"",Calc_오픈정렬!BK74/Calc_오픈정렬!$F74*100)</f>
        <v/>
      </c>
      <c r="BL74" t="str">
        <f>IF(OR(Calc_오픈정렬!$F74="",Calc_오픈정렬!BL74=""),"",Calc_오픈정렬!BL74/Calc_오픈정렬!$F74*100)</f>
        <v/>
      </c>
      <c r="BM74" t="str">
        <f>IF(OR(Calc_오픈정렬!$F74="",Calc_오픈정렬!BM74=""),"",Calc_오픈정렬!BM74/Calc_오픈정렬!$F74*100)</f>
        <v/>
      </c>
      <c r="BN74" t="str">
        <f>IF(OR(Calc_오픈정렬!$F74="",Calc_오픈정렬!BN74=""),"",Calc_오픈정렬!BN74/Calc_오픈정렬!$F74*100)</f>
        <v/>
      </c>
    </row>
    <row r="75" spans="1:66" x14ac:dyDescent="0.4">
      <c r="A75" t="str">
        <f>Calc_오픈정렬!A75</f>
        <v>(1064) #병점역점</v>
      </c>
      <c r="B75" t="str">
        <f>Calc_오픈정렬!B75</f>
        <v>150-2</v>
      </c>
      <c r="C75">
        <f>Calc_오픈정렬!C75</f>
        <v>2</v>
      </c>
      <c r="D75" t="str">
        <f>Calc_오픈정렬!D75</f>
        <v>2</v>
      </c>
      <c r="E75" s="1">
        <f>Calc_오픈정렬!E75</f>
        <v>44927</v>
      </c>
      <c r="F75">
        <f>Calc_오픈정렬!F75</f>
        <v>2930189.1639360194</v>
      </c>
      <c r="G75">
        <f>IF(OR(Calc_오픈정렬!$F75="",Calc_오픈정렬!G75=""),"",Calc_오픈정렬!G75/Calc_오픈정렬!$F75*100)</f>
        <v>64.237286853727966</v>
      </c>
      <c r="H75">
        <f>IF(OR(Calc_오픈정렬!$F75="",Calc_오픈정렬!H75=""),"",Calc_오픈정렬!H75/Calc_오픈정렬!$F75*100)</f>
        <v>75.980104276938263</v>
      </c>
      <c r="I75">
        <f>IF(OR(Calc_오픈정렬!$F75="",Calc_오픈정렬!I75=""),"",Calc_오픈정렬!I75/Calc_오픈정렬!$F75*100)</f>
        <v>86.590449184151808</v>
      </c>
      <c r="J75">
        <f>IF(OR(Calc_오픈정렬!$F75="",Calc_오픈정렬!J75=""),"",Calc_오픈정렬!J75/Calc_오픈정렬!$F75*100)</f>
        <v>89.049838755586819</v>
      </c>
      <c r="K75">
        <f>IF(OR(Calc_오픈정렬!$F75="",Calc_오픈정렬!K75=""),"",Calc_오픈정렬!K75/Calc_오픈정렬!$F75*100)</f>
        <v>105.10287188078209</v>
      </c>
      <c r="L75">
        <f>IF(OR(Calc_오픈정렬!$F75="",Calc_오픈정렬!L75=""),"",Calc_오픈정렬!L75/Calc_오픈정렬!$F75*100)</f>
        <v>91.772795383085509</v>
      </c>
      <c r="M75">
        <f>IF(OR(Calc_오픈정렬!$F75="",Calc_오픈정렬!M75=""),"",Calc_오픈정렬!M75/Calc_오픈정렬!$F75*100)</f>
        <v>112.06988816968449</v>
      </c>
      <c r="N75">
        <f>IF(OR(Calc_오픈정렬!$F75="",Calc_오픈정렬!N75=""),"",Calc_오픈정렬!N75/Calc_오픈정렬!$F75*100)</f>
        <v>101.35051832970927</v>
      </c>
      <c r="O75">
        <f>IF(OR(Calc_오픈정렬!$F75="",Calc_오픈정렬!O75=""),"",Calc_오픈정렬!O75/Calc_오픈정렬!$F75*100)</f>
        <v>100.65408748115181</v>
      </c>
      <c r="P75">
        <f>IF(OR(Calc_오픈정렬!$F75="",Calc_오픈정렬!P75=""),"",Calc_오픈정렬!P75/Calc_오픈정렬!$F75*100)</f>
        <v>95.390228894341575</v>
      </c>
      <c r="Q75">
        <f>IF(OR(Calc_오픈정렬!$F75="",Calc_오픈정렬!Q75=""),"",Calc_오픈정렬!Q75/Calc_오픈정렬!$F75*100)</f>
        <v>108.53269415948542</v>
      </c>
      <c r="R75">
        <f>IF(OR(Calc_오픈정렬!$F75="",Calc_오픈정렬!R75=""),"",Calc_오픈정렬!R75/Calc_오픈정렬!$F75*100)</f>
        <v>124.56955705263147</v>
      </c>
      <c r="S75">
        <f>IF(OR(Calc_오픈정렬!$F75="",Calc_오픈정렬!S75=""),"",Calc_오픈정렬!S75/Calc_오픈정렬!$F75*100)</f>
        <v>132.8009480788493</v>
      </c>
      <c r="T75">
        <f>IF(OR(Calc_오픈정렬!$F75="",Calc_오픈정렬!T75=""),"",Calc_오픈정렬!T75/Calc_오픈정렬!$F75*100)</f>
        <v>116.87019903022487</v>
      </c>
      <c r="U75">
        <f>IF(OR(Calc_오픈정렬!$F75="",Calc_오픈정렬!U75=""),"",Calc_오픈정렬!U75/Calc_오픈정렬!$F75*100)</f>
        <v>134.19921624988319</v>
      </c>
      <c r="V75">
        <f>IF(OR(Calc_오픈정렬!$F75="",Calc_오픈정렬!V75=""),"",Calc_오픈정렬!V75/Calc_오픈정렬!$F75*100)</f>
        <v>140.91376629007578</v>
      </c>
      <c r="W75">
        <f>IF(OR(Calc_오픈정렬!$F75="",Calc_오픈정렬!W75=""),"",Calc_오픈정렬!W75/Calc_오픈정렬!$F75*100)</f>
        <v>129.64317787089368</v>
      </c>
      <c r="X75">
        <f>IF(OR(Calc_오픈정렬!$F75="",Calc_오픈정렬!X75=""),"",Calc_오픈정렬!X75/Calc_오픈정렬!$F75*100)</f>
        <v>140.22046421639786</v>
      </c>
      <c r="Y75">
        <f>IF(OR(Calc_오픈정렬!$F75="",Calc_오픈정렬!Y75=""),"",Calc_오픈정렬!Y75/Calc_오픈정렬!$F75*100)</f>
        <v>149.46096716399126</v>
      </c>
      <c r="Z75">
        <f>IF(OR(Calc_오픈정렬!$F75="",Calc_오픈정렬!Z75=""),"",Calc_오픈정렬!Z75/Calc_오픈정렬!$F75*100)</f>
        <v>127.06121012364227</v>
      </c>
      <c r="AA75">
        <f>IF(OR(Calc_오픈정렬!$F75="",Calc_오픈정렬!AA75=""),"",Calc_오픈정렬!AA75/Calc_오픈정렬!$F75*100)</f>
        <v>115.58586401446308</v>
      </c>
      <c r="AB75">
        <f>IF(OR(Calc_오픈정렬!$F75="",Calc_오픈정렬!AB75=""),"",Calc_오픈정렬!AB75/Calc_오픈정렬!$F75*100)</f>
        <v>114.56835912878147</v>
      </c>
      <c r="AC75">
        <f>IF(OR(Calc_오픈정렬!$F75="",Calc_오픈정렬!AC75=""),"",Calc_오픈정렬!AC75/Calc_오픈정렬!$F75*100)</f>
        <v>128.00072568719909</v>
      </c>
      <c r="AD75">
        <f>IF(OR(Calc_오픈정렬!$F75="",Calc_오픈정렬!AD75=""),"",Calc_오픈정렬!AD75/Calc_오픈정렬!$F75*100)</f>
        <v>140.4410504050928</v>
      </c>
      <c r="AE75">
        <f>IF(OR(Calc_오픈정렬!$F75="",Calc_오픈정렬!AE75=""),"",Calc_오픈정렬!AE75/Calc_오픈정렬!$F75*100)</f>
        <v>128.90383702246854</v>
      </c>
      <c r="AF75">
        <f>IF(OR(Calc_오픈정렬!$F75="",Calc_오픈정렬!AF75=""),"",Calc_오픈정렬!AF75/Calc_오픈정렬!$F75*100)</f>
        <v>149.66122887262927</v>
      </c>
      <c r="AG75">
        <f>IF(OR(Calc_오픈정렬!$F75="",Calc_오픈정렬!AG75=""),"",Calc_오픈정렬!AG75/Calc_오픈정렬!$F75*100)</f>
        <v>147.83172436398596</v>
      </c>
      <c r="AH75">
        <f>IF(OR(Calc_오픈정렬!$F75="",Calc_오픈정렬!AH75=""),"",Calc_오픈정렬!AH75/Calc_오픈정렬!$F75*100)</f>
        <v>138.13935808897341</v>
      </c>
      <c r="AI75">
        <f>IF(OR(Calc_오픈정렬!$F75="",Calc_오픈정렬!AI75=""),"",Calc_오픈정렬!AI75/Calc_오픈정렬!$F75*100)</f>
        <v>134.16535444161627</v>
      </c>
      <c r="AJ75">
        <f>IF(OR(Calc_오픈정렬!$F75="",Calc_오픈정렬!AJ75=""),"",Calc_오픈정렬!AJ75/Calc_오픈정렬!$F75*100)</f>
        <v>143.25022817396174</v>
      </c>
      <c r="AK75">
        <f>IF(OR(Calc_오픈정렬!$F75="",Calc_오픈정렬!AK75=""),"",Calc_오픈정렬!AK75/Calc_오픈정렬!$F75*100)</f>
        <v>133.0650202667066</v>
      </c>
      <c r="AL75">
        <f>IF(OR(Calc_오픈정렬!$F75="",Calc_오픈정렬!AL75=""),"",Calc_오픈정렬!AL75/Calc_오픈정렬!$F75*100)</f>
        <v>130.23834235968332</v>
      </c>
      <c r="AM75">
        <f>IF(OR(Calc_오픈정렬!$F75="",Calc_오픈정렬!AM75=""),"",Calc_오픈정렬!AM75/Calc_오픈정렬!$F75*100)</f>
        <v>131.42192532287592</v>
      </c>
      <c r="AN75">
        <f>IF(OR(Calc_오픈정렬!$F75="",Calc_오픈정렬!AN75=""),"",Calc_오픈정렬!AN75/Calc_오픈정렬!$F75*100)</f>
        <v>131.07727531359669</v>
      </c>
      <c r="AO75">
        <f>IF(OR(Calc_오픈정렬!$F75="",Calc_오픈정렬!AO75=""),"",Calc_오픈정렬!AO75/Calc_오픈정렬!$F75*100)</f>
        <v>130.37821777641307</v>
      </c>
      <c r="AP75">
        <f>IF(OR(Calc_오픈정렬!$F75="",Calc_오픈정렬!AP75=""),"",Calc_오픈정렬!AP75/Calc_오픈정렬!$F75*100)</f>
        <v>138.34845464428884</v>
      </c>
      <c r="AQ75">
        <f>IF(OR(Calc_오픈정렬!$F75="",Calc_오픈정렬!AQ75=""),"",Calc_오픈정렬!AQ75/Calc_오픈정렬!$F75*100)</f>
        <v>132.11450167728765</v>
      </c>
      <c r="AR75">
        <f>IF(OR(Calc_오픈정렬!$F75="",Calc_오픈정렬!AR75=""),"",Calc_오픈정렬!AR75/Calc_오픈정렬!$F75*100)</f>
        <v>144.12310909804313</v>
      </c>
      <c r="AS75">
        <f>IF(OR(Calc_오픈정렬!$F75="",Calc_오픈정렬!AS75=""),"",Calc_오픈정렬!AS75/Calc_오픈정렬!$F75*100)</f>
        <v>146.83991163433251</v>
      </c>
      <c r="AT75">
        <f>IF(OR(Calc_오픈정렬!$F75="",Calc_오픈정렬!AT75=""),"",Calc_오픈정렬!AT75/Calc_오픈정렬!$F75*100)</f>
        <v>135.55486157735373</v>
      </c>
      <c r="AU75">
        <f>IF(OR(Calc_오픈정렬!$F75="",Calc_오픈정렬!AU75=""),"",Calc_오픈정렬!AU75/Calc_오픈정렬!$F75*100)</f>
        <v>138.87085374110472</v>
      </c>
      <c r="AV75" t="str">
        <f>IF(OR(Calc_오픈정렬!$F75="",Calc_오픈정렬!AV75=""),"",Calc_오픈정렬!AV75/Calc_오픈정렬!$F75*100)</f>
        <v/>
      </c>
      <c r="AW75" t="str">
        <f>IF(OR(Calc_오픈정렬!$F75="",Calc_오픈정렬!AW75=""),"",Calc_오픈정렬!AW75/Calc_오픈정렬!$F75*100)</f>
        <v/>
      </c>
      <c r="AX75" t="str">
        <f>IF(OR(Calc_오픈정렬!$F75="",Calc_오픈정렬!AX75=""),"",Calc_오픈정렬!AX75/Calc_오픈정렬!$F75*100)</f>
        <v/>
      </c>
      <c r="AY75" t="str">
        <f>IF(OR(Calc_오픈정렬!$F75="",Calc_오픈정렬!AY75=""),"",Calc_오픈정렬!AY75/Calc_오픈정렬!$F75*100)</f>
        <v/>
      </c>
      <c r="AZ75" t="str">
        <f>IF(OR(Calc_오픈정렬!$F75="",Calc_오픈정렬!AZ75=""),"",Calc_오픈정렬!AZ75/Calc_오픈정렬!$F75*100)</f>
        <v/>
      </c>
      <c r="BA75" t="str">
        <f>IF(OR(Calc_오픈정렬!$F75="",Calc_오픈정렬!BA75=""),"",Calc_오픈정렬!BA75/Calc_오픈정렬!$F75*100)</f>
        <v/>
      </c>
      <c r="BB75" t="str">
        <f>IF(OR(Calc_오픈정렬!$F75="",Calc_오픈정렬!BB75=""),"",Calc_오픈정렬!BB75/Calc_오픈정렬!$F75*100)</f>
        <v/>
      </c>
      <c r="BC75" t="str">
        <f>IF(OR(Calc_오픈정렬!$F75="",Calc_오픈정렬!BC75=""),"",Calc_오픈정렬!BC75/Calc_오픈정렬!$F75*100)</f>
        <v/>
      </c>
      <c r="BD75" t="str">
        <f>IF(OR(Calc_오픈정렬!$F75="",Calc_오픈정렬!BD75=""),"",Calc_오픈정렬!BD75/Calc_오픈정렬!$F75*100)</f>
        <v/>
      </c>
      <c r="BE75" t="str">
        <f>IF(OR(Calc_오픈정렬!$F75="",Calc_오픈정렬!BE75=""),"",Calc_오픈정렬!BE75/Calc_오픈정렬!$F75*100)</f>
        <v/>
      </c>
      <c r="BF75" t="str">
        <f>IF(OR(Calc_오픈정렬!$F75="",Calc_오픈정렬!BF75=""),"",Calc_오픈정렬!BF75/Calc_오픈정렬!$F75*100)</f>
        <v/>
      </c>
      <c r="BG75" t="str">
        <f>IF(OR(Calc_오픈정렬!$F75="",Calc_오픈정렬!BG75=""),"",Calc_오픈정렬!BG75/Calc_오픈정렬!$F75*100)</f>
        <v/>
      </c>
      <c r="BH75" t="str">
        <f>IF(OR(Calc_오픈정렬!$F75="",Calc_오픈정렬!BH75=""),"",Calc_오픈정렬!BH75/Calc_오픈정렬!$F75*100)</f>
        <v/>
      </c>
      <c r="BI75" t="str">
        <f>IF(OR(Calc_오픈정렬!$F75="",Calc_오픈정렬!BI75=""),"",Calc_오픈정렬!BI75/Calc_오픈정렬!$F75*100)</f>
        <v/>
      </c>
      <c r="BJ75" t="str">
        <f>IF(OR(Calc_오픈정렬!$F75="",Calc_오픈정렬!BJ75=""),"",Calc_오픈정렬!BJ75/Calc_오픈정렬!$F75*100)</f>
        <v/>
      </c>
      <c r="BK75" t="str">
        <f>IF(OR(Calc_오픈정렬!$F75="",Calc_오픈정렬!BK75=""),"",Calc_오픈정렬!BK75/Calc_오픈정렬!$F75*100)</f>
        <v/>
      </c>
      <c r="BL75" t="str">
        <f>IF(OR(Calc_오픈정렬!$F75="",Calc_오픈정렬!BL75=""),"",Calc_오픈정렬!BL75/Calc_오픈정렬!$F75*100)</f>
        <v/>
      </c>
      <c r="BM75" t="str">
        <f>IF(OR(Calc_오픈정렬!$F75="",Calc_오픈정렬!BM75=""),"",Calc_오픈정렬!BM75/Calc_오픈정렬!$F75*100)</f>
        <v/>
      </c>
      <c r="BN75" t="str">
        <f>IF(OR(Calc_오픈정렬!$F75="",Calc_오픈정렬!BN75=""),"",Calc_오픈정렬!BN75/Calc_오픈정렬!$F75*100)</f>
        <v/>
      </c>
    </row>
    <row r="76" spans="1:66" x14ac:dyDescent="0.4">
      <c r="A76" t="str">
        <f>Calc_오픈정렬!A76</f>
        <v>(1065) #성대정문점</v>
      </c>
      <c r="B76" t="str">
        <f>Calc_오픈정렬!B76</f>
        <v>150-1</v>
      </c>
      <c r="C76">
        <f>Calc_오픈정렬!C76</f>
        <v>1</v>
      </c>
      <c r="D76" t="str">
        <f>Calc_오픈정렬!D76</f>
        <v>1</v>
      </c>
      <c r="E76" s="1">
        <f>Calc_오픈정렬!E76</f>
        <v>44958</v>
      </c>
      <c r="F76">
        <f>Calc_오픈정렬!F76</f>
        <v>8536857.6673867851</v>
      </c>
      <c r="G76">
        <f>IF(OR(Calc_오픈정렬!$F76="",Calc_오픈정렬!G76=""),"",Calc_오픈정렬!G76/Calc_오픈정렬!$F76*100)</f>
        <v>61.064598724263362</v>
      </c>
      <c r="H76">
        <f>IF(OR(Calc_오픈정렬!$F76="",Calc_오픈정렬!H76=""),"",Calc_오픈정렬!H76/Calc_오픈정렬!$F76*100)</f>
        <v>78.002736898530173</v>
      </c>
      <c r="I76">
        <f>IF(OR(Calc_오픈정렬!$F76="",Calc_오픈정렬!I76=""),"",Calc_오픈정렬!I76/Calc_오픈정렬!$F76*100)</f>
        <v>88.594883492151595</v>
      </c>
      <c r="J76">
        <f>IF(OR(Calc_오픈정렬!$F76="",Calc_오픈정렬!J76=""),"",Calc_오픈정렬!J76/Calc_오픈정렬!$F76*100)</f>
        <v>90.294330961689752</v>
      </c>
      <c r="K76">
        <f>IF(OR(Calc_오픈정렬!$F76="",Calc_오픈정렬!K76=""),"",Calc_오픈정렬!K76/Calc_오픈정렬!$F76*100)</f>
        <v>95.166921205397543</v>
      </c>
      <c r="L76">
        <f>IF(OR(Calc_오픈정렬!$F76="",Calc_오픈정렬!L76=""),"",Calc_오픈정렬!L76/Calc_오픈정렬!$F76*100)</f>
        <v>100.18724482847344</v>
      </c>
      <c r="M76">
        <f>IF(OR(Calc_오픈정렬!$F76="",Calc_오픈정렬!M76=""),"",Calc_오픈정렬!M76/Calc_오픈정렬!$F76*100)</f>
        <v>103.53035186813693</v>
      </c>
      <c r="N76">
        <f>IF(OR(Calc_오픈정렬!$F76="",Calc_오픈정렬!N76=""),"",Calc_오픈정렬!N76/Calc_오픈정렬!$F76*100)</f>
        <v>103.32372612646483</v>
      </c>
      <c r="O76">
        <f>IF(OR(Calc_오픈정렬!$F76="",Calc_오픈정렬!O76=""),"",Calc_오픈정렬!O76/Calc_오픈정렬!$F76*100)</f>
        <v>107.49742500983747</v>
      </c>
      <c r="P76">
        <f>IF(OR(Calc_오픈정렬!$F76="",Calc_오픈정렬!P76=""),"",Calc_오픈정렬!P76/Calc_오픈정렬!$F76*100)</f>
        <v>111.88760367201863</v>
      </c>
      <c r="Q76">
        <f>IF(OR(Calc_오픈정렬!$F76="",Calc_오픈정렬!Q76=""),"",Calc_오픈정렬!Q76/Calc_오픈정렬!$F76*100)</f>
        <v>109.8661027890347</v>
      </c>
      <c r="R76">
        <f>IF(OR(Calc_오픈정렬!$F76="",Calc_오픈정렬!R76=""),"",Calc_오픈정렬!R76/Calc_오픈정렬!$F76*100)</f>
        <v>117.42901842810416</v>
      </c>
      <c r="S76">
        <f>IF(OR(Calc_오픈정렬!$F76="",Calc_오픈정렬!S76=""),"",Calc_오픈정렬!S76/Calc_오픈정렬!$F76*100)</f>
        <v>128.37349294157139</v>
      </c>
      <c r="T76">
        <f>IF(OR(Calc_오픈정렬!$F76="",Calc_오픈정렬!T76=""),"",Calc_오픈정렬!T76/Calc_오픈정렬!$F76*100)</f>
        <v>87.576475136181273</v>
      </c>
      <c r="U76">
        <f>IF(OR(Calc_오픈정렬!$F76="",Calc_오픈정렬!U76=""),"",Calc_오픈정렬!U76/Calc_오픈정렬!$F76*100)</f>
        <v>75.02943303671772</v>
      </c>
      <c r="V76">
        <f>IF(OR(Calc_오픈정렬!$F76="",Calc_오픈정렬!V76=""),"",Calc_오픈정렬!V76/Calc_오픈정렬!$F76*100)</f>
        <v>72.520733487952754</v>
      </c>
      <c r="W76">
        <f>IF(OR(Calc_오픈정렬!$F76="",Calc_오픈정렬!W76=""),"",Calc_오픈정렬!W76/Calc_오픈정렬!$F76*100)</f>
        <v>70.614186034460658</v>
      </c>
      <c r="X76">
        <f>IF(OR(Calc_오픈정렬!$F76="",Calc_오픈정렬!X76=""),"",Calc_오픈정렬!X76/Calc_오픈정렬!$F76*100)</f>
        <v>73.272203919119676</v>
      </c>
      <c r="Y76">
        <f>IF(OR(Calc_오픈정렬!$F76="",Calc_오픈정렬!Y76=""),"",Calc_오픈정렬!Y76/Calc_오픈정렬!$F76*100)</f>
        <v>67.683871515966558</v>
      </c>
      <c r="Z76">
        <f>IF(OR(Calc_오픈정렬!$F76="",Calc_오픈정렬!Z76=""),"",Calc_오픈정렬!Z76/Calc_오픈정렬!$F76*100)</f>
        <v>70.16513420123961</v>
      </c>
      <c r="AA76">
        <f>IF(OR(Calc_오픈정렬!$F76="",Calc_오픈정렬!AA76=""),"",Calc_오픈정렬!AA76/Calc_오픈정렬!$F76*100)</f>
        <v>58.772960555435084</v>
      </c>
      <c r="AB76">
        <f>IF(OR(Calc_오픈정렬!$F76="",Calc_오픈정렬!AB76=""),"",Calc_오픈정렬!AB76/Calc_오픈정렬!$F76*100)</f>
        <v>54.048536429146075</v>
      </c>
      <c r="AC76">
        <f>IF(OR(Calc_오픈정렬!$F76="",Calc_오픈정렬!AC76=""),"",Calc_오픈정렬!AC76/Calc_오픈정렬!$F76*100)</f>
        <v>50.359968573849734</v>
      </c>
      <c r="AD76">
        <f>IF(OR(Calc_오픈정렬!$F76="",Calc_오픈정렬!AD76=""),"",Calc_오픈정렬!AD76/Calc_오픈정렬!$F76*100)</f>
        <v>53.05921737236968</v>
      </c>
      <c r="AE76">
        <f>IF(OR(Calc_오픈정렬!$F76="",Calc_오픈정렬!AE76=""),"",Calc_오픈정렬!AE76/Calc_오픈정렬!$F76*100)</f>
        <v>61.345745589065601</v>
      </c>
      <c r="AF76">
        <f>IF(OR(Calc_오픈정렬!$F76="",Calc_오픈정렬!AF76=""),"",Calc_오픈정렬!AF76/Calc_오픈정렬!$F76*100)</f>
        <v>55.130304978071734</v>
      </c>
      <c r="AG76">
        <f>IF(OR(Calc_오픈정렬!$F76="",Calc_오픈정렬!AG76=""),"",Calc_오픈정렬!AG76/Calc_오픈정렬!$F76*100)</f>
        <v>53.037727278836485</v>
      </c>
      <c r="AH76">
        <f>IF(OR(Calc_오픈정렬!$F76="",Calc_오픈정렬!AH76=""),"",Calc_오픈정렬!AH76/Calc_오픈정렬!$F76*100)</f>
        <v>66.93698186657646</v>
      </c>
      <c r="AI76">
        <f>IF(OR(Calc_오픈정렬!$F76="",Calc_오픈정렬!AI76=""),"",Calc_오픈정렬!AI76/Calc_오픈정렬!$F76*100)</f>
        <v>62.135150123219915</v>
      </c>
      <c r="AJ76">
        <f>IF(OR(Calc_오픈정렬!$F76="",Calc_오픈정렬!AJ76=""),"",Calc_오픈정렬!AJ76/Calc_오픈정렬!$F76*100)</f>
        <v>56.711598130930476</v>
      </c>
      <c r="AK76">
        <f>IF(OR(Calc_오픈정렬!$F76="",Calc_오픈정렬!AK76=""),"",Calc_오픈정렬!AK76/Calc_오픈정렬!$F76*100)</f>
        <v>60.042782845268547</v>
      </c>
      <c r="AL76">
        <f>IF(OR(Calc_오픈정렬!$F76="",Calc_오픈정렬!AL76=""),"",Calc_오픈정렬!AL76/Calc_오픈정렬!$F76*100)</f>
        <v>66.79569151036921</v>
      </c>
      <c r="AM76">
        <f>IF(OR(Calc_오픈정렬!$F76="",Calc_오픈정렬!AM76=""),"",Calc_오픈정렬!AM76/Calc_오픈정렬!$F76*100)</f>
        <v>68.069542164034729</v>
      </c>
      <c r="AN76">
        <f>IF(OR(Calc_오픈정렬!$F76="",Calc_오픈정렬!AN76=""),"",Calc_오픈정렬!AN76/Calc_오픈정렬!$F76*100)</f>
        <v>63.524300903234675</v>
      </c>
      <c r="AO76">
        <f>IF(OR(Calc_오픈정렬!$F76="",Calc_오픈정렬!AO76=""),"",Calc_오픈정렬!AO76/Calc_오픈정렬!$F76*100)</f>
        <v>61.298275272235202</v>
      </c>
      <c r="AP76">
        <f>IF(OR(Calc_오픈정렬!$F76="",Calc_오픈정렬!AP76=""),"",Calc_오픈정렬!AP76/Calc_오픈정렬!$F76*100)</f>
        <v>62.429799694917051</v>
      </c>
      <c r="AQ76">
        <f>IF(OR(Calc_오픈정렬!$F76="",Calc_오픈정렬!AQ76=""),"",Calc_오픈정렬!AQ76/Calc_오픈정렬!$F76*100)</f>
        <v>65.408686069784054</v>
      </c>
      <c r="AR76">
        <f>IF(OR(Calc_오픈정렬!$F76="",Calc_오픈정렬!AR76=""),"",Calc_오픈정렬!AR76/Calc_오픈정렬!$F76*100)</f>
        <v>64.332029866086842</v>
      </c>
      <c r="AS76">
        <f>IF(OR(Calc_오픈정렬!$F76="",Calc_오픈정렬!AS76=""),"",Calc_오픈정렬!AS76/Calc_오픈정렬!$F76*100)</f>
        <v>62.193037688845479</v>
      </c>
      <c r="AT76">
        <f>IF(OR(Calc_오픈정렬!$F76="",Calc_오픈정렬!AT76=""),"",Calc_오픈정렬!AT76/Calc_오픈정렬!$F76*100)</f>
        <v>67.23381252856575</v>
      </c>
      <c r="AU76" t="str">
        <f>IF(OR(Calc_오픈정렬!$F76="",Calc_오픈정렬!AU76=""),"",Calc_오픈정렬!AU76/Calc_오픈정렬!$F76*100)</f>
        <v/>
      </c>
      <c r="AV76" t="str">
        <f>IF(OR(Calc_오픈정렬!$F76="",Calc_오픈정렬!AV76=""),"",Calc_오픈정렬!AV76/Calc_오픈정렬!$F76*100)</f>
        <v/>
      </c>
      <c r="AW76" t="str">
        <f>IF(OR(Calc_오픈정렬!$F76="",Calc_오픈정렬!AW76=""),"",Calc_오픈정렬!AW76/Calc_오픈정렬!$F76*100)</f>
        <v/>
      </c>
      <c r="AX76" t="str">
        <f>IF(OR(Calc_오픈정렬!$F76="",Calc_오픈정렬!AX76=""),"",Calc_오픈정렬!AX76/Calc_오픈정렬!$F76*100)</f>
        <v/>
      </c>
      <c r="AY76" t="str">
        <f>IF(OR(Calc_오픈정렬!$F76="",Calc_오픈정렬!AY76=""),"",Calc_오픈정렬!AY76/Calc_오픈정렬!$F76*100)</f>
        <v/>
      </c>
      <c r="AZ76" t="str">
        <f>IF(OR(Calc_오픈정렬!$F76="",Calc_오픈정렬!AZ76=""),"",Calc_오픈정렬!AZ76/Calc_오픈정렬!$F76*100)</f>
        <v/>
      </c>
      <c r="BA76" t="str">
        <f>IF(OR(Calc_오픈정렬!$F76="",Calc_오픈정렬!BA76=""),"",Calc_오픈정렬!BA76/Calc_오픈정렬!$F76*100)</f>
        <v/>
      </c>
      <c r="BB76" t="str">
        <f>IF(OR(Calc_오픈정렬!$F76="",Calc_오픈정렬!BB76=""),"",Calc_오픈정렬!BB76/Calc_오픈정렬!$F76*100)</f>
        <v/>
      </c>
      <c r="BC76" t="str">
        <f>IF(OR(Calc_오픈정렬!$F76="",Calc_오픈정렬!BC76=""),"",Calc_오픈정렬!BC76/Calc_오픈정렬!$F76*100)</f>
        <v/>
      </c>
      <c r="BD76" t="str">
        <f>IF(OR(Calc_오픈정렬!$F76="",Calc_오픈정렬!BD76=""),"",Calc_오픈정렬!BD76/Calc_오픈정렬!$F76*100)</f>
        <v/>
      </c>
      <c r="BE76" t="str">
        <f>IF(OR(Calc_오픈정렬!$F76="",Calc_오픈정렬!BE76=""),"",Calc_오픈정렬!BE76/Calc_오픈정렬!$F76*100)</f>
        <v/>
      </c>
      <c r="BF76" t="str">
        <f>IF(OR(Calc_오픈정렬!$F76="",Calc_오픈정렬!BF76=""),"",Calc_오픈정렬!BF76/Calc_오픈정렬!$F76*100)</f>
        <v/>
      </c>
      <c r="BG76" t="str">
        <f>IF(OR(Calc_오픈정렬!$F76="",Calc_오픈정렬!BG76=""),"",Calc_오픈정렬!BG76/Calc_오픈정렬!$F76*100)</f>
        <v/>
      </c>
      <c r="BH76" t="str">
        <f>IF(OR(Calc_오픈정렬!$F76="",Calc_오픈정렬!BH76=""),"",Calc_오픈정렬!BH76/Calc_오픈정렬!$F76*100)</f>
        <v/>
      </c>
      <c r="BI76" t="str">
        <f>IF(OR(Calc_오픈정렬!$F76="",Calc_오픈정렬!BI76=""),"",Calc_오픈정렬!BI76/Calc_오픈정렬!$F76*100)</f>
        <v/>
      </c>
      <c r="BJ76" t="str">
        <f>IF(OR(Calc_오픈정렬!$F76="",Calc_오픈정렬!BJ76=""),"",Calc_오픈정렬!BJ76/Calc_오픈정렬!$F76*100)</f>
        <v/>
      </c>
      <c r="BK76" t="str">
        <f>IF(OR(Calc_오픈정렬!$F76="",Calc_오픈정렬!BK76=""),"",Calc_오픈정렬!BK76/Calc_오픈정렬!$F76*100)</f>
        <v/>
      </c>
      <c r="BL76" t="str">
        <f>IF(OR(Calc_오픈정렬!$F76="",Calc_오픈정렬!BL76=""),"",Calc_오픈정렬!BL76/Calc_오픈정렬!$F76*100)</f>
        <v/>
      </c>
      <c r="BM76" t="str">
        <f>IF(OR(Calc_오픈정렬!$F76="",Calc_오픈정렬!BM76=""),"",Calc_오픈정렬!BM76/Calc_오픈정렬!$F76*100)</f>
        <v/>
      </c>
      <c r="BN76" t="str">
        <f>IF(OR(Calc_오픈정렬!$F76="",Calc_오픈정렬!BN76=""),"",Calc_오픈정렬!BN76/Calc_오픈정렬!$F76*100)</f>
        <v/>
      </c>
    </row>
    <row r="77" spans="1:66" x14ac:dyDescent="0.4">
      <c r="A77" t="str">
        <f>Calc_오픈정렬!A77</f>
        <v>(1066) #원천삼성점</v>
      </c>
      <c r="B77" t="str">
        <f>Calc_오픈정렬!B77</f>
        <v>150-1</v>
      </c>
      <c r="C77">
        <f>Calc_오픈정렬!C77</f>
        <v>1</v>
      </c>
      <c r="D77" t="str">
        <f>Calc_오픈정렬!D77</f>
        <v>1</v>
      </c>
      <c r="E77" s="1">
        <f>Calc_오픈정렬!E77</f>
        <v>44986</v>
      </c>
      <c r="F77">
        <f>Calc_오픈정렬!F77</f>
        <v>3604587.7128884182</v>
      </c>
      <c r="G77">
        <f>IF(OR(Calc_오픈정렬!$F77="",Calc_오픈정렬!G77=""),"",Calc_오픈정렬!G77/Calc_오픈정렬!$F77*100)</f>
        <v>66.258677223478216</v>
      </c>
      <c r="H77">
        <f>IF(OR(Calc_오픈정렬!$F77="",Calc_오픈정렬!H77=""),"",Calc_오픈정렬!H77/Calc_오픈정렬!$F77*100)</f>
        <v>72.471899489875085</v>
      </c>
      <c r="I77">
        <f>IF(OR(Calc_오픈정렬!$F77="",Calc_오픈정렬!I77=""),"",Calc_오픈정렬!I77/Calc_오픈정렬!$F77*100)</f>
        <v>91.125839271943647</v>
      </c>
      <c r="J77">
        <f>IF(OR(Calc_오픈정렬!$F77="",Calc_오픈정렬!J77=""),"",Calc_오픈정렬!J77/Calc_오픈정렬!$F77*100)</f>
        <v>89.798438042792299</v>
      </c>
      <c r="K77">
        <f>IF(OR(Calc_오픈정렬!$F77="",Calc_오픈정렬!K77=""),"",Calc_오픈정렬!K77/Calc_오픈정렬!$F77*100)</f>
        <v>105.42681113104213</v>
      </c>
      <c r="L77">
        <f>IF(OR(Calc_오픈정렬!$F77="",Calc_오픈정렬!L77=""),"",Calc_오픈정렬!L77/Calc_오픈정렬!$F77*100)</f>
        <v>100.16830078133189</v>
      </c>
      <c r="M77">
        <f>IF(OR(Calc_오픈정렬!$F77="",Calc_오픈정렬!M77=""),"",Calc_오픈정렬!M77/Calc_오픈정렬!$F77*100)</f>
        <v>98.890500952504865</v>
      </c>
      <c r="N77">
        <f>IF(OR(Calc_오픈정렬!$F77="",Calc_오픈정렬!N77=""),"",Calc_오픈정렬!N77/Calc_오픈정렬!$F77*100)</f>
        <v>100.83501349626106</v>
      </c>
      <c r="O77">
        <f>IF(OR(Calc_오픈정렬!$F77="",Calc_오픈정렬!O77=""),"",Calc_오픈정렬!O77/Calc_오픈정렬!$F77*100)</f>
        <v>104.88093559606781</v>
      </c>
      <c r="P77">
        <f>IF(OR(Calc_오픈정렬!$F77="",Calc_오픈정렬!P77=""),"",Calc_오픈정렬!P77/Calc_오픈정렬!$F77*100)</f>
        <v>128.90882305515018</v>
      </c>
      <c r="Q77">
        <f>IF(OR(Calc_오픈정렬!$F77="",Calc_오픈정렬!Q77=""),"",Calc_오픈정렬!Q77/Calc_오픈정렬!$F77*100)</f>
        <v>131.51594178298001</v>
      </c>
      <c r="R77">
        <f>IF(OR(Calc_오픈정렬!$F77="",Calc_오픈정렬!R77=""),"",Calc_오픈정렬!R77/Calc_오픈정렬!$F77*100)</f>
        <v>103.78158615060318</v>
      </c>
      <c r="S77">
        <f>IF(OR(Calc_오픈정렬!$F77="",Calc_오픈정렬!S77=""),"",Calc_오픈정렬!S77/Calc_오픈정렬!$F77*100)</f>
        <v>129.91845433162842</v>
      </c>
      <c r="T77">
        <f>IF(OR(Calc_오픈정렬!$F77="",Calc_오픈정렬!T77=""),"",Calc_오픈정렬!T77/Calc_오픈정렬!$F77*100)</f>
        <v>133.71457587482442</v>
      </c>
      <c r="U77">
        <f>IF(OR(Calc_오픈정렬!$F77="",Calc_오픈정렬!U77=""),"",Calc_오픈정렬!U77/Calc_오픈정렬!$F77*100)</f>
        <v>116.90147142220503</v>
      </c>
      <c r="V77">
        <f>IF(OR(Calc_오픈정렬!$F77="",Calc_오픈정렬!V77=""),"",Calc_오픈정렬!V77/Calc_오픈정렬!$F77*100)</f>
        <v>109.45314876799861</v>
      </c>
      <c r="W77">
        <f>IF(OR(Calc_오픈정렬!$F77="",Calc_오픈정렬!W77=""),"",Calc_오픈정렬!W77/Calc_오픈정렬!$F77*100)</f>
        <v>128.73811550579163</v>
      </c>
      <c r="X77">
        <f>IF(OR(Calc_오픈정렬!$F77="",Calc_오픈정렬!X77=""),"",Calc_오픈정렬!X77/Calc_오픈정렬!$F77*100)</f>
        <v>126.94446067345882</v>
      </c>
      <c r="Y77">
        <f>IF(OR(Calc_오픈정렬!$F77="",Calc_오픈정렬!Y77=""),"",Calc_오픈정렬!Y77/Calc_오픈정렬!$F77*100)</f>
        <v>122.03930146266744</v>
      </c>
      <c r="Z77">
        <f>IF(OR(Calc_오픈정렬!$F77="",Calc_오픈정렬!Z77=""),"",Calc_오픈정렬!Z77/Calc_오픈정렬!$F77*100)</f>
        <v>116.00142511802167</v>
      </c>
      <c r="AA77">
        <f>IF(OR(Calc_오픈정렬!$F77="",Calc_오픈정렬!AA77=""),"",Calc_오픈정렬!AA77/Calc_오픈정렬!$F77*100)</f>
        <v>115.92407739969546</v>
      </c>
      <c r="AB77">
        <f>IF(OR(Calc_오픈정렬!$F77="",Calc_오픈정렬!AB77=""),"",Calc_오픈정렬!AB77/Calc_오픈정렬!$F77*100)</f>
        <v>136.00149982460724</v>
      </c>
      <c r="AC77">
        <f>IF(OR(Calc_오픈정렬!$F77="",Calc_오픈정렬!AC77=""),"",Calc_오픈정렬!AC77/Calc_오픈정렬!$F77*100)</f>
        <v>126.521835252637</v>
      </c>
      <c r="AD77">
        <f>IF(OR(Calc_오픈정렬!$F77="",Calc_오픈정렬!AD77=""),"",Calc_오픈정렬!AD77/Calc_오픈정렬!$F77*100)</f>
        <v>131.89140304182874</v>
      </c>
      <c r="AE77">
        <f>IF(OR(Calc_오픈정렬!$F77="",Calc_오픈정렬!AE77=""),"",Calc_오픈정렬!AE77/Calc_오픈정렬!$F77*100)</f>
        <v>129.35088172597401</v>
      </c>
      <c r="AF77">
        <f>IF(OR(Calc_오픈정렬!$F77="",Calc_오픈정렬!AF77=""),"",Calc_오픈정렬!AF77/Calc_오픈정렬!$F77*100)</f>
        <v>129.77601067929237</v>
      </c>
      <c r="AG77">
        <f>IF(OR(Calc_오픈정렬!$F77="",Calc_오픈정렬!AG77=""),"",Calc_오픈정렬!AG77/Calc_오픈정렬!$F77*100)</f>
        <v>140.37302319260866</v>
      </c>
      <c r="AH77">
        <f>IF(OR(Calc_오픈정렬!$F77="",Calc_오픈정렬!AH77=""),"",Calc_오픈정렬!AH77/Calc_오픈정렬!$F77*100)</f>
        <v>129.85199623406447</v>
      </c>
      <c r="AI77">
        <f>IF(OR(Calc_오픈정렬!$F77="",Calc_오픈정렬!AI77=""),"",Calc_오픈정렬!AI77/Calc_오픈정렬!$F77*100)</f>
        <v>125.84510627927963</v>
      </c>
      <c r="AJ77">
        <f>IF(OR(Calc_오픈정렬!$F77="",Calc_오픈정렬!AJ77=""),"",Calc_오픈정렬!AJ77/Calc_오픈정렬!$F77*100)</f>
        <v>136.16092305583888</v>
      </c>
      <c r="AK77">
        <f>IF(OR(Calc_오픈정렬!$F77="",Calc_오픈정렬!AK77=""),"",Calc_오픈정렬!AK77/Calc_오픈정렬!$F77*100)</f>
        <v>121.6469536079497</v>
      </c>
      <c r="AL77">
        <f>IF(OR(Calc_오픈정렬!$F77="",Calc_오픈정렬!AL77=""),"",Calc_오픈정렬!AL77/Calc_오픈정렬!$F77*100)</f>
        <v>133.56469329050736</v>
      </c>
      <c r="AM77">
        <f>IF(OR(Calc_오픈정렬!$F77="",Calc_오픈정렬!AM77=""),"",Calc_오픈정렬!AM77/Calc_오픈정렬!$F77*100)</f>
        <v>127.55024635546788</v>
      </c>
      <c r="AN77">
        <f>IF(OR(Calc_오픈정렬!$F77="",Calc_오픈정렬!AN77=""),"",Calc_오픈정렬!AN77/Calc_오픈정렬!$F77*100)</f>
        <v>124.64994155034674</v>
      </c>
      <c r="AO77">
        <f>IF(OR(Calc_오픈정렬!$F77="",Calc_오픈정렬!AO77=""),"",Calc_오픈정렬!AO77/Calc_오픈정렬!$F77*100)</f>
        <v>166.78493344936228</v>
      </c>
      <c r="AP77">
        <f>IF(OR(Calc_오픈정렬!$F77="",Calc_오픈정렬!AP77=""),"",Calc_오픈정렬!AP77/Calc_오픈정렬!$F77*100)</f>
        <v>160.59630387454811</v>
      </c>
      <c r="AQ77">
        <f>IF(OR(Calc_오픈정렬!$F77="",Calc_오픈정렬!AQ77=""),"",Calc_오픈정렬!AQ77/Calc_오픈정렬!$F77*100)</f>
        <v>143.32321740038381</v>
      </c>
      <c r="AR77">
        <f>IF(OR(Calc_오픈정렬!$F77="",Calc_오픈정렬!AR77=""),"",Calc_오픈정렬!AR77/Calc_오픈정렬!$F77*100)</f>
        <v>160.11963690250539</v>
      </c>
      <c r="AS77">
        <f>IF(OR(Calc_오픈정렬!$F77="",Calc_오픈정렬!AS77=""),"",Calc_오픈정렬!AS77/Calc_오픈정렬!$F77*100)</f>
        <v>160.06763140809741</v>
      </c>
      <c r="AT77" t="str">
        <f>IF(OR(Calc_오픈정렬!$F77="",Calc_오픈정렬!AT77=""),"",Calc_오픈정렬!AT77/Calc_오픈정렬!$F77*100)</f>
        <v/>
      </c>
      <c r="AU77" t="str">
        <f>IF(OR(Calc_오픈정렬!$F77="",Calc_오픈정렬!AU77=""),"",Calc_오픈정렬!AU77/Calc_오픈정렬!$F77*100)</f>
        <v/>
      </c>
      <c r="AV77" t="str">
        <f>IF(OR(Calc_오픈정렬!$F77="",Calc_오픈정렬!AV77=""),"",Calc_오픈정렬!AV77/Calc_오픈정렬!$F77*100)</f>
        <v/>
      </c>
      <c r="AW77" t="str">
        <f>IF(OR(Calc_오픈정렬!$F77="",Calc_오픈정렬!AW77=""),"",Calc_오픈정렬!AW77/Calc_오픈정렬!$F77*100)</f>
        <v/>
      </c>
      <c r="AX77" t="str">
        <f>IF(OR(Calc_오픈정렬!$F77="",Calc_오픈정렬!AX77=""),"",Calc_오픈정렬!AX77/Calc_오픈정렬!$F77*100)</f>
        <v/>
      </c>
      <c r="AY77" t="str">
        <f>IF(OR(Calc_오픈정렬!$F77="",Calc_오픈정렬!AY77=""),"",Calc_오픈정렬!AY77/Calc_오픈정렬!$F77*100)</f>
        <v/>
      </c>
      <c r="AZ77" t="str">
        <f>IF(OR(Calc_오픈정렬!$F77="",Calc_오픈정렬!AZ77=""),"",Calc_오픈정렬!AZ77/Calc_오픈정렬!$F77*100)</f>
        <v/>
      </c>
      <c r="BA77" t="str">
        <f>IF(OR(Calc_오픈정렬!$F77="",Calc_오픈정렬!BA77=""),"",Calc_오픈정렬!BA77/Calc_오픈정렬!$F77*100)</f>
        <v/>
      </c>
      <c r="BB77" t="str">
        <f>IF(OR(Calc_오픈정렬!$F77="",Calc_오픈정렬!BB77=""),"",Calc_오픈정렬!BB77/Calc_오픈정렬!$F77*100)</f>
        <v/>
      </c>
      <c r="BC77" t="str">
        <f>IF(OR(Calc_오픈정렬!$F77="",Calc_오픈정렬!BC77=""),"",Calc_오픈정렬!BC77/Calc_오픈정렬!$F77*100)</f>
        <v/>
      </c>
      <c r="BD77" t="str">
        <f>IF(OR(Calc_오픈정렬!$F77="",Calc_오픈정렬!BD77=""),"",Calc_오픈정렬!BD77/Calc_오픈정렬!$F77*100)</f>
        <v/>
      </c>
      <c r="BE77" t="str">
        <f>IF(OR(Calc_오픈정렬!$F77="",Calc_오픈정렬!BE77=""),"",Calc_오픈정렬!BE77/Calc_오픈정렬!$F77*100)</f>
        <v/>
      </c>
      <c r="BF77" t="str">
        <f>IF(OR(Calc_오픈정렬!$F77="",Calc_오픈정렬!BF77=""),"",Calc_오픈정렬!BF77/Calc_오픈정렬!$F77*100)</f>
        <v/>
      </c>
      <c r="BG77" t="str">
        <f>IF(OR(Calc_오픈정렬!$F77="",Calc_오픈정렬!BG77=""),"",Calc_오픈정렬!BG77/Calc_오픈정렬!$F77*100)</f>
        <v/>
      </c>
      <c r="BH77" t="str">
        <f>IF(OR(Calc_오픈정렬!$F77="",Calc_오픈정렬!BH77=""),"",Calc_오픈정렬!BH77/Calc_오픈정렬!$F77*100)</f>
        <v/>
      </c>
      <c r="BI77" t="str">
        <f>IF(OR(Calc_오픈정렬!$F77="",Calc_오픈정렬!BI77=""),"",Calc_오픈정렬!BI77/Calc_오픈정렬!$F77*100)</f>
        <v/>
      </c>
      <c r="BJ77" t="str">
        <f>IF(OR(Calc_오픈정렬!$F77="",Calc_오픈정렬!BJ77=""),"",Calc_오픈정렬!BJ77/Calc_오픈정렬!$F77*100)</f>
        <v/>
      </c>
      <c r="BK77" t="str">
        <f>IF(OR(Calc_오픈정렬!$F77="",Calc_오픈정렬!BK77=""),"",Calc_오픈정렬!BK77/Calc_오픈정렬!$F77*100)</f>
        <v/>
      </c>
      <c r="BL77" t="str">
        <f>IF(OR(Calc_오픈정렬!$F77="",Calc_오픈정렬!BL77=""),"",Calc_오픈정렬!BL77/Calc_오픈정렬!$F77*100)</f>
        <v/>
      </c>
      <c r="BM77" t="str">
        <f>IF(OR(Calc_오픈정렬!$F77="",Calc_오픈정렬!BM77=""),"",Calc_오픈정렬!BM77/Calc_오픈정렬!$F77*100)</f>
        <v/>
      </c>
      <c r="BN77" t="str">
        <f>IF(OR(Calc_오픈정렬!$F77="",Calc_오픈정렬!BN77=""),"",Calc_오픈정렬!BN77/Calc_오픈정렬!$F77*100)</f>
        <v/>
      </c>
    </row>
    <row r="78" spans="1:66" x14ac:dyDescent="0.4">
      <c r="A78" t="str">
        <f>Calc_오픈정렬!A78</f>
        <v>(1067) #곡반정파크점</v>
      </c>
      <c r="B78" t="str">
        <f>Calc_오픈정렬!B78</f>
        <v>150-0</v>
      </c>
      <c r="C78">
        <f>Calc_오픈정렬!C78</f>
        <v>0</v>
      </c>
      <c r="D78" t="str">
        <f>Calc_오픈정렬!D78</f>
        <v>0</v>
      </c>
      <c r="E78" s="1">
        <f>Calc_오픈정렬!E78</f>
        <v>44986</v>
      </c>
      <c r="F78">
        <f>Calc_오픈정렬!F78</f>
        <v>3877692.2993070427</v>
      </c>
      <c r="G78">
        <f>IF(OR(Calc_오픈정렬!$F78="",Calc_오픈정렬!G78=""),"",Calc_오픈정렬!G78/Calc_오픈정렬!$F78*100)</f>
        <v>65.887199403530033</v>
      </c>
      <c r="H78">
        <f>IF(OR(Calc_오픈정렬!$F78="",Calc_오픈정렬!H78=""),"",Calc_오픈정렬!H78/Calc_오픈정렬!$F78*100)</f>
        <v>72.609619199304845</v>
      </c>
      <c r="I78">
        <f>IF(OR(Calc_오픈정렬!$F78="",Calc_오픈정렬!I78=""),"",Calc_오픈정렬!I78/Calc_오픈정렬!$F78*100)</f>
        <v>66.965480166192918</v>
      </c>
      <c r="J78">
        <f>IF(OR(Calc_오픈정렬!$F78="",Calc_오픈정렬!J78=""),"",Calc_오픈정렬!J78/Calc_오픈정렬!$F78*100)</f>
        <v>77.360317593349919</v>
      </c>
      <c r="K78">
        <f>IF(OR(Calc_오픈정렬!$F78="",Calc_오픈정렬!K78=""),"",Calc_오픈정렬!K78/Calc_오픈정렬!$F78*100)</f>
        <v>104.34538158377593</v>
      </c>
      <c r="L78">
        <f>IF(OR(Calc_오픈정렬!$F78="",Calc_오픈정렬!L78=""),"",Calc_오픈정렬!L78/Calc_오픈정렬!$F78*100)</f>
        <v>97.055861523078761</v>
      </c>
      <c r="M78">
        <f>IF(OR(Calc_오픈정렬!$F78="",Calc_오픈정렬!M78=""),"",Calc_오픈정렬!M78/Calc_오픈정렬!$F78*100)</f>
        <v>119.09899812239387</v>
      </c>
      <c r="N78">
        <f>IF(OR(Calc_오픈정렬!$F78="",Calc_오픈정렬!N78=""),"",Calc_오픈정렬!N78/Calc_오픈정렬!$F78*100)</f>
        <v>99.901805203511969</v>
      </c>
      <c r="O78">
        <f>IF(OR(Calc_오픈정렬!$F78="",Calc_오픈정렬!O78=""),"",Calc_오픈정렬!O78/Calc_오픈정렬!$F78*100)</f>
        <v>102.23763597388955</v>
      </c>
      <c r="P78">
        <f>IF(OR(Calc_오픈정렬!$F78="",Calc_오픈정렬!P78=""),"",Calc_오픈정렬!P78/Calc_오픈정렬!$F78*100)</f>
        <v>115.27017224596872</v>
      </c>
      <c r="Q78">
        <f>IF(OR(Calc_오픈정렬!$F78="",Calc_오픈정렬!Q78=""),"",Calc_오픈정렬!Q78/Calc_오픈정렬!$F78*100)</f>
        <v>132.4582097549567</v>
      </c>
      <c r="R78">
        <f>IF(OR(Calc_오픈정렬!$F78="",Calc_오픈정렬!R78=""),"",Calc_오픈정렬!R78/Calc_오픈정렬!$F78*100)</f>
        <v>153.78865168244224</v>
      </c>
      <c r="S78">
        <f>IF(OR(Calc_오픈정렬!$F78="",Calc_오픈정렬!S78=""),"",Calc_오픈정렬!S78/Calc_오픈정렬!$F78*100)</f>
        <v>157.5582618353306</v>
      </c>
      <c r="T78">
        <f>IF(OR(Calc_오픈정렬!$F78="",Calc_오픈정렬!T78=""),"",Calc_오픈정렬!T78/Calc_오픈정렬!$F78*100)</f>
        <v>155.40905882778969</v>
      </c>
      <c r="U78">
        <f>IF(OR(Calc_오픈정렬!$F78="",Calc_오픈정렬!U78=""),"",Calc_오픈정렬!U78/Calc_오픈정렬!$F78*100)</f>
        <v>119.00710167834876</v>
      </c>
      <c r="V78">
        <f>IF(OR(Calc_오픈정렬!$F78="",Calc_오픈정렬!V78=""),"",Calc_오픈정렬!V78/Calc_오픈정렬!$F78*100)</f>
        <v>125.89564789261456</v>
      </c>
      <c r="W78">
        <f>IF(OR(Calc_오픈정렬!$F78="",Calc_오픈정렬!W78=""),"",Calc_오픈정렬!W78/Calc_오픈정렬!$F78*100)</f>
        <v>117.46892892639839</v>
      </c>
      <c r="X78">
        <f>IF(OR(Calc_오픈정렬!$F78="",Calc_오픈정렬!X78=""),"",Calc_오픈정렬!X78/Calc_오픈정렬!$F78*100)</f>
        <v>108.23706068263377</v>
      </c>
      <c r="Y78">
        <f>IF(OR(Calc_오픈정렬!$F78="",Calc_오픈정렬!Y78=""),"",Calc_오픈정렬!Y78/Calc_오픈정렬!$F78*100)</f>
        <v>109.35549466224674</v>
      </c>
      <c r="Z78">
        <f>IF(OR(Calc_오픈정렬!$F78="",Calc_오픈정렬!Z78=""),"",Calc_오픈정렬!Z78/Calc_오픈정렬!$F78*100)</f>
        <v>98.900779299206135</v>
      </c>
      <c r="AA78">
        <f>IF(OR(Calc_오픈정렬!$F78="",Calc_오픈정렬!AA78=""),"",Calc_오픈정렬!AA78/Calc_오픈정렬!$F78*100)</f>
        <v>106.16787115256359</v>
      </c>
      <c r="AB78">
        <f>IF(OR(Calc_오픈정렬!$F78="",Calc_오픈정렬!AB78=""),"",Calc_오픈정렬!AB78/Calc_오픈정렬!$F78*100)</f>
        <v>115.2047848898043</v>
      </c>
      <c r="AC78">
        <f>IF(OR(Calc_오픈정렬!$F78="",Calc_오픈정렬!AC78=""),"",Calc_오픈정렬!AC78/Calc_오픈정렬!$F78*100)</f>
        <v>132.37633718085578</v>
      </c>
      <c r="AD78">
        <f>IF(OR(Calc_오픈정렬!$F78="",Calc_오픈정렬!AD78=""),"",Calc_오픈정렬!AD78/Calc_오픈정렬!$F78*100)</f>
        <v>119.77405778903845</v>
      </c>
      <c r="AE78">
        <f>IF(OR(Calc_오픈정렬!$F78="",Calc_오픈정렬!AE78=""),"",Calc_오픈정렬!AE78/Calc_오픈정렬!$F78*100)</f>
        <v>119.01489773995841</v>
      </c>
      <c r="AF78">
        <f>IF(OR(Calc_오픈정렬!$F78="",Calc_오픈정렬!AF78=""),"",Calc_오픈정렬!AF78/Calc_오픈정렬!$F78*100)</f>
        <v>108.01557065540763</v>
      </c>
      <c r="AG78">
        <f>IF(OR(Calc_오픈정렬!$F78="",Calc_오픈정렬!AG78=""),"",Calc_오픈정렬!AG78/Calc_오픈정렬!$F78*100)</f>
        <v>129.10767768847498</v>
      </c>
      <c r="AH78">
        <f>IF(OR(Calc_오픈정렬!$F78="",Calc_오픈정렬!AH78=""),"",Calc_오픈정렬!AH78/Calc_오픈정렬!$F78*100)</f>
        <v>120.36258109831701</v>
      </c>
      <c r="AI78">
        <f>IF(OR(Calc_오픈정렬!$F78="",Calc_오픈정렬!AI78=""),"",Calc_오픈정렬!AI78/Calc_오픈정렬!$F78*100)</f>
        <v>110.88079483523245</v>
      </c>
      <c r="AJ78">
        <f>IF(OR(Calc_오픈정렬!$F78="",Calc_오픈정렬!AJ78=""),"",Calc_오픈정렬!AJ78/Calc_오픈정렬!$F78*100)</f>
        <v>113.42887325685621</v>
      </c>
      <c r="AK78">
        <f>IF(OR(Calc_오픈정렬!$F78="",Calc_오픈정렬!AK78=""),"",Calc_오픈정렬!AK78/Calc_오픈정렬!$F78*100)</f>
        <v>106.50757592903022</v>
      </c>
      <c r="AL78">
        <f>IF(OR(Calc_오픈정렬!$F78="",Calc_오픈정렬!AL78=""),"",Calc_오픈정렬!AL78/Calc_오픈정렬!$F78*100)</f>
        <v>118.94561470726855</v>
      </c>
      <c r="AM78">
        <f>IF(OR(Calc_오픈정렬!$F78="",Calc_오픈정렬!AM78=""),"",Calc_오픈정렬!AM78/Calc_오픈정렬!$F78*100)</f>
        <v>129.70197177404202</v>
      </c>
      <c r="AN78">
        <f>IF(OR(Calc_오픈정렬!$F78="",Calc_오픈정렬!AN78=""),"",Calc_오픈정렬!AN78/Calc_오픈정렬!$F78*100)</f>
        <v>132.24118601137738</v>
      </c>
      <c r="AO78">
        <f>IF(OR(Calc_오픈정렬!$F78="",Calc_오픈정렬!AO78=""),"",Calc_오픈정렬!AO78/Calc_오픈정렬!$F78*100)</f>
        <v>152.91218847496941</v>
      </c>
      <c r="AP78">
        <f>IF(OR(Calc_오픈정렬!$F78="",Calc_오픈정렬!AP78=""),"",Calc_오픈정렬!AP78/Calc_오픈정렬!$F78*100)</f>
        <v>138.44301357175485</v>
      </c>
      <c r="AQ78">
        <f>IF(OR(Calc_오픈정렬!$F78="",Calc_오픈정렬!AQ78=""),"",Calc_오픈정렬!AQ78/Calc_오픈정렬!$F78*100)</f>
        <v>139.17856121546032</v>
      </c>
      <c r="AR78">
        <f>IF(OR(Calc_오픈정렬!$F78="",Calc_오픈정렬!AR78=""),"",Calc_오픈정렬!AR78/Calc_오픈정렬!$F78*100)</f>
        <v>152.89380601164905</v>
      </c>
      <c r="AS78">
        <f>IF(OR(Calc_오픈정렬!$F78="",Calc_오픈정렬!AS78=""),"",Calc_오픈정렬!AS78/Calc_오픈정렬!$F78*100)</f>
        <v>150.96309303598139</v>
      </c>
      <c r="AT78" t="str">
        <f>IF(OR(Calc_오픈정렬!$F78="",Calc_오픈정렬!AT78=""),"",Calc_오픈정렬!AT78/Calc_오픈정렬!$F78*100)</f>
        <v/>
      </c>
      <c r="AU78" t="str">
        <f>IF(OR(Calc_오픈정렬!$F78="",Calc_오픈정렬!AU78=""),"",Calc_오픈정렬!AU78/Calc_오픈정렬!$F78*100)</f>
        <v/>
      </c>
      <c r="AV78" t="str">
        <f>IF(OR(Calc_오픈정렬!$F78="",Calc_오픈정렬!AV78=""),"",Calc_오픈정렬!AV78/Calc_오픈정렬!$F78*100)</f>
        <v/>
      </c>
      <c r="AW78" t="str">
        <f>IF(OR(Calc_오픈정렬!$F78="",Calc_오픈정렬!AW78=""),"",Calc_오픈정렬!AW78/Calc_오픈정렬!$F78*100)</f>
        <v/>
      </c>
      <c r="AX78" t="str">
        <f>IF(OR(Calc_오픈정렬!$F78="",Calc_오픈정렬!AX78=""),"",Calc_오픈정렬!AX78/Calc_오픈정렬!$F78*100)</f>
        <v/>
      </c>
      <c r="AY78" t="str">
        <f>IF(OR(Calc_오픈정렬!$F78="",Calc_오픈정렬!AY78=""),"",Calc_오픈정렬!AY78/Calc_오픈정렬!$F78*100)</f>
        <v/>
      </c>
      <c r="AZ78" t="str">
        <f>IF(OR(Calc_오픈정렬!$F78="",Calc_오픈정렬!AZ78=""),"",Calc_오픈정렬!AZ78/Calc_오픈정렬!$F78*100)</f>
        <v/>
      </c>
      <c r="BA78" t="str">
        <f>IF(OR(Calc_오픈정렬!$F78="",Calc_오픈정렬!BA78=""),"",Calc_오픈정렬!BA78/Calc_오픈정렬!$F78*100)</f>
        <v/>
      </c>
      <c r="BB78" t="str">
        <f>IF(OR(Calc_오픈정렬!$F78="",Calc_오픈정렬!BB78=""),"",Calc_오픈정렬!BB78/Calc_오픈정렬!$F78*100)</f>
        <v/>
      </c>
      <c r="BC78" t="str">
        <f>IF(OR(Calc_오픈정렬!$F78="",Calc_오픈정렬!BC78=""),"",Calc_오픈정렬!BC78/Calc_오픈정렬!$F78*100)</f>
        <v/>
      </c>
      <c r="BD78" t="str">
        <f>IF(OR(Calc_오픈정렬!$F78="",Calc_오픈정렬!BD78=""),"",Calc_오픈정렬!BD78/Calc_오픈정렬!$F78*100)</f>
        <v/>
      </c>
      <c r="BE78" t="str">
        <f>IF(OR(Calc_오픈정렬!$F78="",Calc_오픈정렬!BE78=""),"",Calc_오픈정렬!BE78/Calc_오픈정렬!$F78*100)</f>
        <v/>
      </c>
      <c r="BF78" t="str">
        <f>IF(OR(Calc_오픈정렬!$F78="",Calc_오픈정렬!BF78=""),"",Calc_오픈정렬!BF78/Calc_오픈정렬!$F78*100)</f>
        <v/>
      </c>
      <c r="BG78" t="str">
        <f>IF(OR(Calc_오픈정렬!$F78="",Calc_오픈정렬!BG78=""),"",Calc_오픈정렬!BG78/Calc_오픈정렬!$F78*100)</f>
        <v/>
      </c>
      <c r="BH78" t="str">
        <f>IF(OR(Calc_오픈정렬!$F78="",Calc_오픈정렬!BH78=""),"",Calc_오픈정렬!BH78/Calc_오픈정렬!$F78*100)</f>
        <v/>
      </c>
      <c r="BI78" t="str">
        <f>IF(OR(Calc_오픈정렬!$F78="",Calc_오픈정렬!BI78=""),"",Calc_오픈정렬!BI78/Calc_오픈정렬!$F78*100)</f>
        <v/>
      </c>
      <c r="BJ78" t="str">
        <f>IF(OR(Calc_오픈정렬!$F78="",Calc_오픈정렬!BJ78=""),"",Calc_오픈정렬!BJ78/Calc_오픈정렬!$F78*100)</f>
        <v/>
      </c>
      <c r="BK78" t="str">
        <f>IF(OR(Calc_오픈정렬!$F78="",Calc_오픈정렬!BK78=""),"",Calc_오픈정렬!BK78/Calc_오픈정렬!$F78*100)</f>
        <v/>
      </c>
      <c r="BL78" t="str">
        <f>IF(OR(Calc_오픈정렬!$F78="",Calc_오픈정렬!BL78=""),"",Calc_오픈정렬!BL78/Calc_오픈정렬!$F78*100)</f>
        <v/>
      </c>
      <c r="BM78" t="str">
        <f>IF(OR(Calc_오픈정렬!$F78="",Calc_오픈정렬!BM78=""),"",Calc_오픈정렬!BM78/Calc_오픈정렬!$F78*100)</f>
        <v/>
      </c>
      <c r="BN78" t="str">
        <f>IF(OR(Calc_오픈정렬!$F78="",Calc_오픈정렬!BN78=""),"",Calc_오픈정렬!BN78/Calc_오픈정렬!$F78*100)</f>
        <v/>
      </c>
    </row>
    <row r="79" spans="1:66" x14ac:dyDescent="0.4">
      <c r="A79" t="str">
        <f>Calc_오픈정렬!A79</f>
        <v>(1068) #용현사랑점</v>
      </c>
      <c r="B79" t="str">
        <f>Calc_오픈정렬!B79</f>
        <v>150-0</v>
      </c>
      <c r="C79">
        <f>Calc_오픈정렬!C79</f>
        <v>0</v>
      </c>
      <c r="D79" t="str">
        <f>Calc_오픈정렬!D79</f>
        <v>0</v>
      </c>
      <c r="E79" s="1">
        <f>Calc_오픈정렬!E79</f>
        <v>45017</v>
      </c>
      <c r="F79">
        <f>Calc_오픈정렬!F79</f>
        <v>6262257.4382678829</v>
      </c>
      <c r="G79">
        <f>IF(OR(Calc_오픈정렬!$F79="",Calc_오픈정렬!G79=""),"",Calc_오픈정렬!G79/Calc_오픈정렬!$F79*100)</f>
        <v>66.151111104034257</v>
      </c>
      <c r="H79">
        <f>IF(OR(Calc_오픈정렬!$F79="",Calc_오픈정렬!H79=""),"",Calc_오픈정렬!H79/Calc_오픈정렬!$F79*100)</f>
        <v>87.216949921970127</v>
      </c>
      <c r="I79">
        <f>IF(OR(Calc_오픈정렬!$F79="",Calc_오픈정렬!I79=""),"",Calc_오픈정렬!I79/Calc_오픈정렬!$F79*100)</f>
        <v>91.647169957151419</v>
      </c>
      <c r="J79">
        <f>IF(OR(Calc_오픈정렬!$F79="",Calc_오픈정렬!J79=""),"",Calc_오픈정렬!J79/Calc_오픈정렬!$F79*100)</f>
        <v>99.492826027925176</v>
      </c>
      <c r="K79">
        <f>IF(OR(Calc_오픈정렬!$F79="",Calc_오픈정렬!K79=""),"",Calc_오픈정렬!K79/Calc_오픈정렬!$F79*100)</f>
        <v>105.05710274800532</v>
      </c>
      <c r="L79">
        <f>IF(OR(Calc_오픈정렬!$F79="",Calc_오픈정렬!L79=""),"",Calc_오픈정렬!L79/Calc_오픈정렬!$F79*100)</f>
        <v>101.9378578371288</v>
      </c>
      <c r="M79">
        <f>IF(OR(Calc_오픈정렬!$F79="",Calc_오픈정렬!M79=""),"",Calc_오픈정렬!M79/Calc_오픈정렬!$F79*100)</f>
        <v>94.393718388298282</v>
      </c>
      <c r="N79">
        <f>IF(OR(Calc_오픈정렬!$F79="",Calc_오픈정렬!N79=""),"",Calc_오픈정렬!N79/Calc_오픈정렬!$F79*100)</f>
        <v>98.653427738510175</v>
      </c>
      <c r="O79">
        <f>IF(OR(Calc_오픈정렬!$F79="",Calc_오픈정렬!O79=""),"",Calc_오픈정렬!O79/Calc_오픈정렬!$F79*100)</f>
        <v>100.46506726013217</v>
      </c>
      <c r="P79">
        <f>IF(OR(Calc_오픈정렬!$F79="",Calc_오픈정렬!P79=""),"",Calc_오픈정렬!P79/Calc_오픈정렬!$F79*100)</f>
        <v>93.78915007940158</v>
      </c>
      <c r="Q79">
        <f>IF(OR(Calc_오픈정렬!$F79="",Calc_오픈정렬!Q79=""),"",Calc_오픈정렬!Q79/Calc_오픈정렬!$F79*100)</f>
        <v>93.145210587996331</v>
      </c>
      <c r="R79">
        <f>IF(OR(Calc_오픈정렬!$F79="",Calc_오픈정렬!R79=""),"",Calc_오픈정렬!R79/Calc_오픈정렬!$F79*100)</f>
        <v>115.41237940462983</v>
      </c>
      <c r="S79">
        <f>IF(OR(Calc_오픈정렬!$F79="",Calc_오픈정렬!S79=""),"",Calc_오픈정렬!S79/Calc_오픈정렬!$F79*100)</f>
        <v>107.10610137705542</v>
      </c>
      <c r="T79">
        <f>IF(OR(Calc_오픈정렬!$F79="",Calc_오픈정렬!T79=""),"",Calc_오픈정렬!T79/Calc_오픈정렬!$F79*100)</f>
        <v>109.03482717513033</v>
      </c>
      <c r="U79">
        <f>IF(OR(Calc_오픈정렬!$F79="",Calc_오픈정렬!U79=""),"",Calc_오픈정렬!U79/Calc_오픈정렬!$F79*100)</f>
        <v>115.02892801538383</v>
      </c>
      <c r="V79">
        <f>IF(OR(Calc_오픈정렬!$F79="",Calc_오픈정렬!V79=""),"",Calc_오픈정렬!V79/Calc_오픈정렬!$F79*100)</f>
        <v>115.45713796264209</v>
      </c>
      <c r="W79">
        <f>IF(OR(Calc_오픈정렬!$F79="",Calc_오픈정렬!W79=""),"",Calc_오픈정렬!W79/Calc_오픈정렬!$F79*100)</f>
        <v>102.9054156060003</v>
      </c>
      <c r="X79">
        <f>IF(OR(Calc_오픈정렬!$F79="",Calc_오픈정렬!X79=""),"",Calc_오픈정렬!X79/Calc_오픈정렬!$F79*100)</f>
        <v>104.73690251371744</v>
      </c>
      <c r="Y79">
        <f>IF(OR(Calc_오픈정렬!$F79="",Calc_오픈정렬!Y79=""),"",Calc_오픈정렬!Y79/Calc_오픈정렬!$F79*100)</f>
        <v>91.354552861381038</v>
      </c>
      <c r="Z79">
        <f>IF(OR(Calc_오픈정렬!$F79="",Calc_오픈정렬!Z79=""),"",Calc_오픈정렬!Z79/Calc_오픈정렬!$F79*100)</f>
        <v>103.62291010593513</v>
      </c>
      <c r="AA79">
        <f>IF(OR(Calc_오픈정렬!$F79="",Calc_오픈정렬!AA79=""),"",Calc_오픈정렬!AA79/Calc_오픈정렬!$F79*100)</f>
        <v>99.633653536305829</v>
      </c>
      <c r="AB79">
        <f>IF(OR(Calc_오픈정렬!$F79="",Calc_오픈정렬!AB79=""),"",Calc_오픈정렬!AB79/Calc_오픈정렬!$F79*100)</f>
        <v>95.366190122820299</v>
      </c>
      <c r="AC79">
        <f>IF(OR(Calc_오픈정렬!$F79="",Calc_오픈정렬!AC79=""),"",Calc_오픈정렬!AC79/Calc_오픈정렬!$F79*100)</f>
        <v>101.34289850041898</v>
      </c>
      <c r="AD79">
        <f>IF(OR(Calc_오픈정렬!$F79="",Calc_오픈정렬!AD79=""),"",Calc_오픈정렬!AD79/Calc_오픈정렬!$F79*100)</f>
        <v>104.65830549285569</v>
      </c>
      <c r="AE79">
        <f>IF(OR(Calc_오픈정렬!$F79="",Calc_오픈정렬!AE79=""),"",Calc_오픈정렬!AE79/Calc_오픈정렬!$F79*100)</f>
        <v>100.23211535742951</v>
      </c>
      <c r="AF79">
        <f>IF(OR(Calc_오픈정렬!$F79="",Calc_오픈정렬!AF79=""),"",Calc_오픈정렬!AF79/Calc_오픈정렬!$F79*100)</f>
        <v>117.87491539408279</v>
      </c>
      <c r="AG79">
        <f>IF(OR(Calc_오픈정렬!$F79="",Calc_오픈정렬!AG79=""),"",Calc_오픈정렬!AG79/Calc_오픈정렬!$F79*100)</f>
        <v>111.59235334263894</v>
      </c>
      <c r="AH79">
        <f>IF(OR(Calc_오픈정렬!$F79="",Calc_오픈정렬!AH79=""),"",Calc_오픈정렬!AH79/Calc_오픈정렬!$F79*100)</f>
        <v>101.97633293950847</v>
      </c>
      <c r="AI79">
        <f>IF(OR(Calc_오픈정렬!$F79="",Calc_오픈정렬!AI79=""),"",Calc_오픈정렬!AI79/Calc_오픈정렬!$F79*100)</f>
        <v>110.22741134232142</v>
      </c>
      <c r="AJ79">
        <f>IF(OR(Calc_오픈정렬!$F79="",Calc_오픈정렬!AJ79=""),"",Calc_오픈정렬!AJ79/Calc_오픈정렬!$F79*100)</f>
        <v>106.92988623469139</v>
      </c>
      <c r="AK79">
        <f>IF(OR(Calc_오픈정렬!$F79="",Calc_오픈정렬!AK79=""),"",Calc_오픈정렬!AK79/Calc_오픈정렬!$F79*100)</f>
        <v>104.79319024585878</v>
      </c>
      <c r="AL79">
        <f>IF(OR(Calc_오픈정렬!$F79="",Calc_오픈정렬!AL79=""),"",Calc_오픈정렬!AL79/Calc_오픈정렬!$F79*100)</f>
        <v>111.68451483531339</v>
      </c>
      <c r="AM79">
        <f>IF(OR(Calc_오픈정렬!$F79="",Calc_오픈정렬!AM79=""),"",Calc_오픈정렬!AM79/Calc_오픈정렬!$F79*100)</f>
        <v>104.20488363868195</v>
      </c>
      <c r="AN79">
        <f>IF(OR(Calc_오픈정렬!$F79="",Calc_오픈정렬!AN79=""),"",Calc_오픈정렬!AN79/Calc_오픈정렬!$F79*100)</f>
        <v>99.144771049988194</v>
      </c>
      <c r="AO79">
        <f>IF(OR(Calc_오픈정렬!$F79="",Calc_오픈정렬!AO79=""),"",Calc_오픈정렬!AO79/Calc_오픈정렬!$F79*100)</f>
        <v>109.76035341026274</v>
      </c>
      <c r="AP79">
        <f>IF(OR(Calc_오픈정렬!$F79="",Calc_오픈정렬!AP79=""),"",Calc_오픈정렬!AP79/Calc_오픈정렬!$F79*100)</f>
        <v>114.04839998122327</v>
      </c>
      <c r="AQ79">
        <f>IF(OR(Calc_오픈정렬!$F79="",Calc_오픈정렬!AQ79=""),"",Calc_오픈정렬!AQ79/Calc_오픈정렬!$F79*100)</f>
        <v>117.00007403265084</v>
      </c>
      <c r="AR79">
        <f>IF(OR(Calc_오픈정렬!$F79="",Calc_오픈정렬!AR79=""),"",Calc_오픈정렬!AR79/Calc_오픈정렬!$F79*100)</f>
        <v>127.88650853215925</v>
      </c>
      <c r="AS79" t="str">
        <f>IF(OR(Calc_오픈정렬!$F79="",Calc_오픈정렬!AS79=""),"",Calc_오픈정렬!AS79/Calc_오픈정렬!$F79*100)</f>
        <v/>
      </c>
      <c r="AT79" t="str">
        <f>IF(OR(Calc_오픈정렬!$F79="",Calc_오픈정렬!AT79=""),"",Calc_오픈정렬!AT79/Calc_오픈정렬!$F79*100)</f>
        <v/>
      </c>
      <c r="AU79" t="str">
        <f>IF(OR(Calc_오픈정렬!$F79="",Calc_오픈정렬!AU79=""),"",Calc_오픈정렬!AU79/Calc_오픈정렬!$F79*100)</f>
        <v/>
      </c>
      <c r="AV79" t="str">
        <f>IF(OR(Calc_오픈정렬!$F79="",Calc_오픈정렬!AV79=""),"",Calc_오픈정렬!AV79/Calc_오픈정렬!$F79*100)</f>
        <v/>
      </c>
      <c r="AW79" t="str">
        <f>IF(OR(Calc_오픈정렬!$F79="",Calc_오픈정렬!AW79=""),"",Calc_오픈정렬!AW79/Calc_오픈정렬!$F79*100)</f>
        <v/>
      </c>
      <c r="AX79" t="str">
        <f>IF(OR(Calc_오픈정렬!$F79="",Calc_오픈정렬!AX79=""),"",Calc_오픈정렬!AX79/Calc_오픈정렬!$F79*100)</f>
        <v/>
      </c>
      <c r="AY79" t="str">
        <f>IF(OR(Calc_오픈정렬!$F79="",Calc_오픈정렬!AY79=""),"",Calc_오픈정렬!AY79/Calc_오픈정렬!$F79*100)</f>
        <v/>
      </c>
      <c r="AZ79" t="str">
        <f>IF(OR(Calc_오픈정렬!$F79="",Calc_오픈정렬!AZ79=""),"",Calc_오픈정렬!AZ79/Calc_오픈정렬!$F79*100)</f>
        <v/>
      </c>
      <c r="BA79" t="str">
        <f>IF(OR(Calc_오픈정렬!$F79="",Calc_오픈정렬!BA79=""),"",Calc_오픈정렬!BA79/Calc_오픈정렬!$F79*100)</f>
        <v/>
      </c>
      <c r="BB79" t="str">
        <f>IF(OR(Calc_오픈정렬!$F79="",Calc_오픈정렬!BB79=""),"",Calc_오픈정렬!BB79/Calc_오픈정렬!$F79*100)</f>
        <v/>
      </c>
      <c r="BC79" t="str">
        <f>IF(OR(Calc_오픈정렬!$F79="",Calc_오픈정렬!BC79=""),"",Calc_오픈정렬!BC79/Calc_오픈정렬!$F79*100)</f>
        <v/>
      </c>
      <c r="BD79" t="str">
        <f>IF(OR(Calc_오픈정렬!$F79="",Calc_오픈정렬!BD79=""),"",Calc_오픈정렬!BD79/Calc_오픈정렬!$F79*100)</f>
        <v/>
      </c>
      <c r="BE79" t="str">
        <f>IF(OR(Calc_오픈정렬!$F79="",Calc_오픈정렬!BE79=""),"",Calc_오픈정렬!BE79/Calc_오픈정렬!$F79*100)</f>
        <v/>
      </c>
      <c r="BF79" t="str">
        <f>IF(OR(Calc_오픈정렬!$F79="",Calc_오픈정렬!BF79=""),"",Calc_오픈정렬!BF79/Calc_오픈정렬!$F79*100)</f>
        <v/>
      </c>
      <c r="BG79" t="str">
        <f>IF(OR(Calc_오픈정렬!$F79="",Calc_오픈정렬!BG79=""),"",Calc_오픈정렬!BG79/Calc_오픈정렬!$F79*100)</f>
        <v/>
      </c>
      <c r="BH79" t="str">
        <f>IF(OR(Calc_오픈정렬!$F79="",Calc_오픈정렬!BH79=""),"",Calc_오픈정렬!BH79/Calc_오픈정렬!$F79*100)</f>
        <v/>
      </c>
      <c r="BI79" t="str">
        <f>IF(OR(Calc_오픈정렬!$F79="",Calc_오픈정렬!BI79=""),"",Calc_오픈정렬!BI79/Calc_오픈정렬!$F79*100)</f>
        <v/>
      </c>
      <c r="BJ79" t="str">
        <f>IF(OR(Calc_오픈정렬!$F79="",Calc_오픈정렬!BJ79=""),"",Calc_오픈정렬!BJ79/Calc_오픈정렬!$F79*100)</f>
        <v/>
      </c>
      <c r="BK79" t="str">
        <f>IF(OR(Calc_오픈정렬!$F79="",Calc_오픈정렬!BK79=""),"",Calc_오픈정렬!BK79/Calc_오픈정렬!$F79*100)</f>
        <v/>
      </c>
      <c r="BL79" t="str">
        <f>IF(OR(Calc_오픈정렬!$F79="",Calc_오픈정렬!BL79=""),"",Calc_오픈정렬!BL79/Calc_오픈정렬!$F79*100)</f>
        <v/>
      </c>
      <c r="BM79" t="str">
        <f>IF(OR(Calc_오픈정렬!$F79="",Calc_오픈정렬!BM79=""),"",Calc_오픈정렬!BM79/Calc_오픈정렬!$F79*100)</f>
        <v/>
      </c>
      <c r="BN79" t="str">
        <f>IF(OR(Calc_오픈정렬!$F79="",Calc_오픈정렬!BN79=""),"",Calc_오픈정렬!BN79/Calc_오픈정렬!$F79*100)</f>
        <v/>
      </c>
    </row>
    <row r="80" spans="1:66" x14ac:dyDescent="0.4">
      <c r="A80" t="str">
        <f>Calc_오픈정렬!A80</f>
        <v>(1069) #숭실대입구역점</v>
      </c>
      <c r="B80" t="str">
        <f>Calc_오픈정렬!B80</f>
        <v>150-1</v>
      </c>
      <c r="C80">
        <f>Calc_오픈정렬!C80</f>
        <v>1</v>
      </c>
      <c r="D80" t="str">
        <f>Calc_오픈정렬!D80</f>
        <v>1</v>
      </c>
      <c r="E80" s="1">
        <f>Calc_오픈정렬!E80</f>
        <v>45017</v>
      </c>
      <c r="F80">
        <f>Calc_오픈정렬!F80</f>
        <v>4034615.3147528893</v>
      </c>
      <c r="G80">
        <f>IF(OR(Calc_오픈정렬!$F80="",Calc_오픈정렬!G80=""),"",Calc_오픈정렬!G80/Calc_오픈정렬!$F80*100)</f>
        <v>93.33537980723375</v>
      </c>
      <c r="H80">
        <f>IF(OR(Calc_오픈정렬!$F80="",Calc_오픈정렬!H80=""),"",Calc_오픈정렬!H80/Calc_오픈정렬!$F80*100)</f>
        <v>98.68102557900626</v>
      </c>
      <c r="I80">
        <f>IF(OR(Calc_오픈정렬!$F80="",Calc_오픈정렬!I80=""),"",Calc_오픈정렬!I80/Calc_오픈정렬!$F80*100)</f>
        <v>96.395757266388969</v>
      </c>
      <c r="J80">
        <f>IF(OR(Calc_오픈정렬!$F80="",Calc_오픈정렬!J80=""),"",Calc_오픈정렬!J80/Calc_오픈정렬!$F80*100)</f>
        <v>106.78648682600323</v>
      </c>
      <c r="K80">
        <f>IF(OR(Calc_오픈정렬!$F80="",Calc_오픈정렬!K80=""),"",Calc_오픈정렬!K80/Calc_오픈정렬!$F80*100)</f>
        <v>91.27713222079538</v>
      </c>
      <c r="L80">
        <f>IF(OR(Calc_오픈정렬!$F80="",Calc_오픈정렬!L80=""),"",Calc_오픈정렬!L80/Calc_오픈정렬!$F80*100)</f>
        <v>97.559132320431559</v>
      </c>
      <c r="M80">
        <f>IF(OR(Calc_오픈정렬!$F80="",Calc_오픈정렬!M80=""),"",Calc_오픈정렬!M80/Calc_오픈정렬!$F80*100)</f>
        <v>98.82507810944324</v>
      </c>
      <c r="N80">
        <f>IF(OR(Calc_오픈정렬!$F80="",Calc_오픈정렬!N80=""),"",Calc_오픈정렬!N80/Calc_오픈정렬!$F80*100)</f>
        <v>101.22509294440152</v>
      </c>
      <c r="O80">
        <f>IF(OR(Calc_오픈정렬!$F80="",Calc_오픈정렬!O80=""),"",Calc_오픈정렬!O80/Calc_오픈정렬!$F80*100)</f>
        <v>104.32707757892503</v>
      </c>
      <c r="P80">
        <f>IF(OR(Calc_오픈정렬!$F80="",Calc_오픈정렬!P80=""),"",Calc_오픈정렬!P80/Calc_오픈정렬!$F80*100)</f>
        <v>116.86669224544441</v>
      </c>
      <c r="Q80">
        <f>IF(OR(Calc_오픈정렬!$F80="",Calc_오픈정렬!Q80=""),"",Calc_오픈정렬!Q80/Calc_오픈정렬!$F80*100)</f>
        <v>98.715332173410701</v>
      </c>
      <c r="R80">
        <f>IF(OR(Calc_오픈정렬!$F80="",Calc_오픈정렬!R80=""),"",Calc_오픈정렬!R80/Calc_오픈정렬!$F80*100)</f>
        <v>113.58371848948946</v>
      </c>
      <c r="S80">
        <f>IF(OR(Calc_오픈정렬!$F80="",Calc_오픈정렬!S80=""),"",Calc_오픈정렬!S80/Calc_오픈정렬!$F80*100)</f>
        <v>104.82507930611318</v>
      </c>
      <c r="T80">
        <f>IF(OR(Calc_오픈정렬!$F80="",Calc_오픈정렬!T80=""),"",Calc_오픈정렬!T80/Calc_오픈정렬!$F80*100)</f>
        <v>106.71320207962304</v>
      </c>
      <c r="U80">
        <f>IF(OR(Calc_오픈정렬!$F80="",Calc_오픈정렬!U80=""),"",Calc_오픈정렬!U80/Calc_오픈정렬!$F80*100)</f>
        <v>111.93096743807087</v>
      </c>
      <c r="V80">
        <f>IF(OR(Calc_오픈정렬!$F80="",Calc_오픈정렬!V80=""),"",Calc_오픈정렬!V80/Calc_오픈정렬!$F80*100)</f>
        <v>117.99764727993764</v>
      </c>
      <c r="W80">
        <f>IF(OR(Calc_오픈정렬!$F80="",Calc_오픈정렬!W80=""),"",Calc_오픈정렬!W80/Calc_오픈정렬!$F80*100)</f>
        <v>129.7305995409973</v>
      </c>
      <c r="X80">
        <f>IF(OR(Calc_오픈정렬!$F80="",Calc_오픈정렬!X80=""),"",Calc_오픈정렬!X80/Calc_오픈정렬!$F80*100)</f>
        <v>126.98183780400734</v>
      </c>
      <c r="Y80">
        <f>IF(OR(Calc_오픈정렬!$F80="",Calc_오픈정렬!Y80=""),"",Calc_오픈정렬!Y80/Calc_오픈정렬!$F80*100)</f>
        <v>107.29586035242798</v>
      </c>
      <c r="Z80">
        <f>IF(OR(Calc_오픈정렬!$F80="",Calc_오픈정렬!Z80=""),"",Calc_오픈정렬!Z80/Calc_오픈정렬!$F80*100)</f>
        <v>118.34360836856209</v>
      </c>
      <c r="AA80">
        <f>IF(OR(Calc_오픈정렬!$F80="",Calc_오픈정렬!AA80=""),"",Calc_오픈정렬!AA80/Calc_오픈정렬!$F80*100)</f>
        <v>104.104724354336</v>
      </c>
      <c r="AB80">
        <f>IF(OR(Calc_오픈정렬!$F80="",Calc_오픈정렬!AB80=""),"",Calc_오픈정렬!AB80/Calc_오픈정렬!$F80*100)</f>
        <v>96.914194318404455</v>
      </c>
      <c r="AC80">
        <f>IF(OR(Calc_오픈정렬!$F80="",Calc_오픈정렬!AC80=""),"",Calc_오픈정렬!AC80/Calc_오픈정렬!$F80*100)</f>
        <v>119.14502446637378</v>
      </c>
      <c r="AD80">
        <f>IF(OR(Calc_오픈정렬!$F80="",Calc_오픈정렬!AD80=""),"",Calc_오픈정렬!AD80/Calc_오픈정렬!$F80*100)</f>
        <v>128.1129866822973</v>
      </c>
      <c r="AE80">
        <f>IF(OR(Calc_오픈정렬!$F80="",Calc_오픈정렬!AE80=""),"",Calc_오픈정렬!AE80/Calc_오픈정렬!$F80*100)</f>
        <v>133.35669438263264</v>
      </c>
      <c r="AF80">
        <f>IF(OR(Calc_오픈정렬!$F80="",Calc_오픈정렬!AF80=""),"",Calc_오픈정렬!AF80/Calc_오픈정렬!$F80*100)</f>
        <v>135.78391316297763</v>
      </c>
      <c r="AG80">
        <f>IF(OR(Calc_오픈정렬!$F80="",Calc_오픈정렬!AG80=""),"",Calc_오픈정렬!AG80/Calc_오픈정렬!$F80*100)</f>
        <v>128.1478806886573</v>
      </c>
      <c r="AH80">
        <f>IF(OR(Calc_오픈정렬!$F80="",Calc_오픈정렬!AH80=""),"",Calc_오픈정렬!AH80/Calc_오픈정렬!$F80*100)</f>
        <v>115.7136950583775</v>
      </c>
      <c r="AI80">
        <f>IF(OR(Calc_오픈정렬!$F80="",Calc_오픈정렬!AI80=""),"",Calc_오픈정렬!AI80/Calc_오픈정렬!$F80*100)</f>
        <v>124.25810069568932</v>
      </c>
      <c r="AJ80">
        <f>IF(OR(Calc_오픈정렬!$F80="",Calc_오픈정렬!AJ80=""),"",Calc_오픈정렬!AJ80/Calc_오픈정렬!$F80*100)</f>
        <v>138.37850700920407</v>
      </c>
      <c r="AK80">
        <f>IF(OR(Calc_오픈정렬!$F80="",Calc_오픈정렬!AK80=""),"",Calc_오픈정렬!AK80/Calc_오픈정렬!$F80*100)</f>
        <v>134.63153307539758</v>
      </c>
      <c r="AL80">
        <f>IF(OR(Calc_오픈정렬!$F80="",Calc_오픈정렬!AL80=""),"",Calc_오픈정렬!AL80/Calc_오픈정렬!$F80*100)</f>
        <v>124.2030938169171</v>
      </c>
      <c r="AM80">
        <f>IF(OR(Calc_오픈정렬!$F80="",Calc_오픈정렬!AM80=""),"",Calc_오픈정렬!AM80/Calc_오픈정렬!$F80*100)</f>
        <v>114.92159707932865</v>
      </c>
      <c r="AN80">
        <f>IF(OR(Calc_오픈정렬!$F80="",Calc_오픈정렬!AN80=""),"",Calc_오픈정렬!AN80/Calc_오픈정렬!$F80*100)</f>
        <v>127.58081333481428</v>
      </c>
      <c r="AO80">
        <f>IF(OR(Calc_오픈정렬!$F80="",Calc_오픈정렬!AO80=""),"",Calc_오픈정렬!AO80/Calc_오픈정렬!$F80*100)</f>
        <v>121.4989602246346</v>
      </c>
      <c r="AP80">
        <f>IF(OR(Calc_오픈정렬!$F80="",Calc_오픈정렬!AP80=""),"",Calc_오픈정렬!AP80/Calc_오픈정렬!$F80*100)</f>
        <v>124.20736267737695</v>
      </c>
      <c r="AQ80">
        <f>IF(OR(Calc_오픈정렬!$F80="",Calc_오픈정렬!AQ80=""),"",Calc_오픈정렬!AQ80/Calc_오픈정렬!$F80*100)</f>
        <v>125.94338020021753</v>
      </c>
      <c r="AR80">
        <f>IF(OR(Calc_오픈정렬!$F80="",Calc_오픈정렬!AR80=""),"",Calc_오픈정렬!AR80/Calc_오픈정렬!$F80*100)</f>
        <v>139.60993526754427</v>
      </c>
      <c r="AS80" t="str">
        <f>IF(OR(Calc_오픈정렬!$F80="",Calc_오픈정렬!AS80=""),"",Calc_오픈정렬!AS80/Calc_오픈정렬!$F80*100)</f>
        <v/>
      </c>
      <c r="AT80" t="str">
        <f>IF(OR(Calc_오픈정렬!$F80="",Calc_오픈정렬!AT80=""),"",Calc_오픈정렬!AT80/Calc_오픈정렬!$F80*100)</f>
        <v/>
      </c>
      <c r="AU80" t="str">
        <f>IF(OR(Calc_오픈정렬!$F80="",Calc_오픈정렬!AU80=""),"",Calc_오픈정렬!AU80/Calc_오픈정렬!$F80*100)</f>
        <v/>
      </c>
      <c r="AV80" t="str">
        <f>IF(OR(Calc_오픈정렬!$F80="",Calc_오픈정렬!AV80=""),"",Calc_오픈정렬!AV80/Calc_오픈정렬!$F80*100)</f>
        <v/>
      </c>
      <c r="AW80" t="str">
        <f>IF(OR(Calc_오픈정렬!$F80="",Calc_오픈정렬!AW80=""),"",Calc_오픈정렬!AW80/Calc_오픈정렬!$F80*100)</f>
        <v/>
      </c>
      <c r="AX80" t="str">
        <f>IF(OR(Calc_오픈정렬!$F80="",Calc_오픈정렬!AX80=""),"",Calc_오픈정렬!AX80/Calc_오픈정렬!$F80*100)</f>
        <v/>
      </c>
      <c r="AY80" t="str">
        <f>IF(OR(Calc_오픈정렬!$F80="",Calc_오픈정렬!AY80=""),"",Calc_오픈정렬!AY80/Calc_오픈정렬!$F80*100)</f>
        <v/>
      </c>
      <c r="AZ80" t="str">
        <f>IF(OR(Calc_오픈정렬!$F80="",Calc_오픈정렬!AZ80=""),"",Calc_오픈정렬!AZ80/Calc_오픈정렬!$F80*100)</f>
        <v/>
      </c>
      <c r="BA80" t="str">
        <f>IF(OR(Calc_오픈정렬!$F80="",Calc_오픈정렬!BA80=""),"",Calc_오픈정렬!BA80/Calc_오픈정렬!$F80*100)</f>
        <v/>
      </c>
      <c r="BB80" t="str">
        <f>IF(OR(Calc_오픈정렬!$F80="",Calc_오픈정렬!BB80=""),"",Calc_오픈정렬!BB80/Calc_오픈정렬!$F80*100)</f>
        <v/>
      </c>
      <c r="BC80" t="str">
        <f>IF(OR(Calc_오픈정렬!$F80="",Calc_오픈정렬!BC80=""),"",Calc_오픈정렬!BC80/Calc_오픈정렬!$F80*100)</f>
        <v/>
      </c>
      <c r="BD80" t="str">
        <f>IF(OR(Calc_오픈정렬!$F80="",Calc_오픈정렬!BD80=""),"",Calc_오픈정렬!BD80/Calc_오픈정렬!$F80*100)</f>
        <v/>
      </c>
      <c r="BE80" t="str">
        <f>IF(OR(Calc_오픈정렬!$F80="",Calc_오픈정렬!BE80=""),"",Calc_오픈정렬!BE80/Calc_오픈정렬!$F80*100)</f>
        <v/>
      </c>
      <c r="BF80" t="str">
        <f>IF(OR(Calc_오픈정렬!$F80="",Calc_오픈정렬!BF80=""),"",Calc_오픈정렬!BF80/Calc_오픈정렬!$F80*100)</f>
        <v/>
      </c>
      <c r="BG80" t="str">
        <f>IF(OR(Calc_오픈정렬!$F80="",Calc_오픈정렬!BG80=""),"",Calc_오픈정렬!BG80/Calc_오픈정렬!$F80*100)</f>
        <v/>
      </c>
      <c r="BH80" t="str">
        <f>IF(OR(Calc_오픈정렬!$F80="",Calc_오픈정렬!BH80=""),"",Calc_오픈정렬!BH80/Calc_오픈정렬!$F80*100)</f>
        <v/>
      </c>
      <c r="BI80" t="str">
        <f>IF(OR(Calc_오픈정렬!$F80="",Calc_오픈정렬!BI80=""),"",Calc_오픈정렬!BI80/Calc_오픈정렬!$F80*100)</f>
        <v/>
      </c>
      <c r="BJ80" t="str">
        <f>IF(OR(Calc_오픈정렬!$F80="",Calc_오픈정렬!BJ80=""),"",Calc_오픈정렬!BJ80/Calc_오픈정렬!$F80*100)</f>
        <v/>
      </c>
      <c r="BK80" t="str">
        <f>IF(OR(Calc_오픈정렬!$F80="",Calc_오픈정렬!BK80=""),"",Calc_오픈정렬!BK80/Calc_오픈정렬!$F80*100)</f>
        <v/>
      </c>
      <c r="BL80" t="str">
        <f>IF(OR(Calc_오픈정렬!$F80="",Calc_오픈정렬!BL80=""),"",Calc_오픈정렬!BL80/Calc_오픈정렬!$F80*100)</f>
        <v/>
      </c>
      <c r="BM80" t="str">
        <f>IF(OR(Calc_오픈정렬!$F80="",Calc_오픈정렬!BM80=""),"",Calc_오픈정렬!BM80/Calc_오픈정렬!$F80*100)</f>
        <v/>
      </c>
      <c r="BN80" t="str">
        <f>IF(OR(Calc_오픈정렬!$F80="",Calc_오픈정렬!BN80=""),"",Calc_오픈정렬!BN80/Calc_오픈정렬!$F80*100)</f>
        <v/>
      </c>
    </row>
    <row r="81" spans="1:66" x14ac:dyDescent="0.4">
      <c r="A81" t="str">
        <f>Calc_오픈정렬!A81</f>
        <v>(1070) #뉴신림로데오점</v>
      </c>
      <c r="B81" t="str">
        <f>Calc_오픈정렬!B81</f>
        <v>150-0</v>
      </c>
      <c r="C81">
        <f>Calc_오픈정렬!C81</f>
        <v>0</v>
      </c>
      <c r="D81" t="str">
        <f>Calc_오픈정렬!D81</f>
        <v>0</v>
      </c>
      <c r="E81" s="1">
        <f>Calc_오픈정렬!E81</f>
        <v>45017</v>
      </c>
      <c r="F81">
        <f>Calc_오픈정렬!F81</f>
        <v>7474898.2809341075</v>
      </c>
      <c r="G81">
        <f>IF(OR(Calc_오픈정렬!$F81="",Calc_오픈정렬!G81=""),"",Calc_오픈정렬!G81/Calc_오픈정렬!$F81*100)</f>
        <v>67.360845722785513</v>
      </c>
      <c r="H81">
        <f>IF(OR(Calc_오픈정렬!$F81="",Calc_오픈정렬!H81=""),"",Calc_오픈정렬!H81/Calc_오픈정렬!$F81*100)</f>
        <v>69.551155984526858</v>
      </c>
      <c r="I81">
        <f>IF(OR(Calc_오픈정렬!$F81="",Calc_오픈정렬!I81=""),"",Calc_오픈정렬!I81/Calc_오픈정렬!$F81*100)</f>
        <v>80.436796823146807</v>
      </c>
      <c r="J81">
        <f>IF(OR(Calc_오픈정렬!$F81="",Calc_오픈정렬!J81=""),"",Calc_오픈정렬!J81/Calc_오픈정렬!$F81*100)</f>
        <v>94.279307966280584</v>
      </c>
      <c r="K81">
        <f>IF(OR(Calc_오픈정렬!$F81="",Calc_오픈정렬!K81=""),"",Calc_오픈정렬!K81/Calc_오픈정렬!$F81*100)</f>
        <v>95.19157080009515</v>
      </c>
      <c r="L81">
        <f>IF(OR(Calc_오픈정렬!$F81="",Calc_오픈정렬!L81=""),"",Calc_오픈정렬!L81/Calc_오픈정렬!$F81*100)</f>
        <v>100.89341220536431</v>
      </c>
      <c r="M81">
        <f>IF(OR(Calc_오픈정렬!$F81="",Calc_오픈정렬!M81=""),"",Calc_오픈정렬!M81/Calc_오픈정렬!$F81*100)</f>
        <v>96.422969552938881</v>
      </c>
      <c r="N81">
        <f>IF(OR(Calc_오픈정렬!$F81="",Calc_오픈정렬!N81=""),"",Calc_오픈정렬!N81/Calc_오픈정렬!$F81*100)</f>
        <v>102.19337833131456</v>
      </c>
      <c r="O81">
        <f>IF(OR(Calc_오픈정렬!$F81="",Calc_오픈정렬!O81=""),"",Calc_오픈정렬!O81/Calc_오픈정렬!$F81*100)</f>
        <v>111.01936114400652</v>
      </c>
      <c r="P81">
        <f>IF(OR(Calc_오픈정렬!$F81="",Calc_오픈정렬!P81=""),"",Calc_오픈정렬!P81/Calc_오픈정렬!$F81*100)</f>
        <v>115.9226775163044</v>
      </c>
      <c r="Q81">
        <f>IF(OR(Calc_오픈정렬!$F81="",Calc_오픈정렬!Q81=""),"",Calc_오픈정렬!Q81/Calc_오픈정렬!$F81*100)</f>
        <v>117.0839959086164</v>
      </c>
      <c r="R81">
        <f>IF(OR(Calc_오픈정렬!$F81="",Calc_오픈정렬!R81=""),"",Calc_오픈정렬!R81/Calc_오픈정렬!$F81*100)</f>
        <v>116.92648683364433</v>
      </c>
      <c r="S81">
        <f>IF(OR(Calc_오픈정렬!$F81="",Calc_오픈정렬!S81=""),"",Calc_오픈정렬!S81/Calc_오픈정렬!$F81*100)</f>
        <v>119.91204299451137</v>
      </c>
      <c r="T81">
        <f>IF(OR(Calc_오픈정렬!$F81="",Calc_오픈정렬!T81=""),"",Calc_오픈정렬!T81/Calc_오픈정렬!$F81*100)</f>
        <v>115.15154440738011</v>
      </c>
      <c r="U81">
        <f>IF(OR(Calc_오픈정렬!$F81="",Calc_오픈정렬!U81=""),"",Calc_오픈정렬!U81/Calc_오픈정렬!$F81*100)</f>
        <v>112.35315464351562</v>
      </c>
      <c r="V81">
        <f>IF(OR(Calc_오픈정렬!$F81="",Calc_오픈정렬!V81=""),"",Calc_오픈정렬!V81/Calc_오픈정렬!$F81*100)</f>
        <v>113.36137855384376</v>
      </c>
      <c r="W81">
        <f>IF(OR(Calc_오픈정렬!$F81="",Calc_오픈정렬!W81=""),"",Calc_오픈정렬!W81/Calc_오픈정렬!$F81*100)</f>
        <v>105.78063341556752</v>
      </c>
      <c r="X81">
        <f>IF(OR(Calc_오픈정렬!$F81="",Calc_오픈정렬!X81=""),"",Calc_오픈정렬!X81/Calc_오픈정렬!$F81*100)</f>
        <v>108.39421141205554</v>
      </c>
      <c r="Y81">
        <f>IF(OR(Calc_오픈정렬!$F81="",Calc_오픈정렬!Y81=""),"",Calc_오픈정렬!Y81/Calc_오픈정렬!$F81*100)</f>
        <v>109.84360256655935</v>
      </c>
      <c r="Z81">
        <f>IF(OR(Calc_오픈정렬!$F81="",Calc_오픈정렬!Z81=""),"",Calc_오픈정렬!Z81/Calc_오픈정렬!$F81*100)</f>
        <v>111.4470639097499</v>
      </c>
      <c r="AA81">
        <f>IF(OR(Calc_오픈정렬!$F81="",Calc_오픈정렬!AA81=""),"",Calc_오픈정렬!AA81/Calc_오픈정렬!$F81*100)</f>
        <v>113.62515220571726</v>
      </c>
      <c r="AB81">
        <f>IF(OR(Calc_오픈정렬!$F81="",Calc_오픈정렬!AB81=""),"",Calc_오픈정렬!AB81/Calc_오픈정렬!$F81*100)</f>
        <v>121.04125951019549</v>
      </c>
      <c r="AC81">
        <f>IF(OR(Calc_오픈정렬!$F81="",Calc_오픈정렬!AC81=""),"",Calc_오픈정렬!AC81/Calc_오픈정렬!$F81*100)</f>
        <v>125.87689402465527</v>
      </c>
      <c r="AD81">
        <f>IF(OR(Calc_오픈정렬!$F81="",Calc_오픈정렬!AD81=""),"",Calc_오픈정렬!AD81/Calc_오픈정렬!$F81*100)</f>
        <v>117.58333466905957</v>
      </c>
      <c r="AE81">
        <f>IF(OR(Calc_오픈정렬!$F81="",Calc_오픈정렬!AE81=""),"",Calc_오픈정렬!AE81/Calc_오픈정렬!$F81*100)</f>
        <v>122.02176562877851</v>
      </c>
      <c r="AF81">
        <f>IF(OR(Calc_오픈정렬!$F81="",Calc_오픈정렬!AF81=""),"",Calc_오픈정렬!AF81/Calc_오픈정렬!$F81*100)</f>
        <v>120.82734229703914</v>
      </c>
      <c r="AG81">
        <f>IF(OR(Calc_오픈정렬!$F81="",Calc_오픈정렬!AG81=""),"",Calc_오픈정렬!AG81/Calc_오픈정렬!$F81*100)</f>
        <v>120.92266710765156</v>
      </c>
      <c r="AH81">
        <f>IF(OR(Calc_오픈정렬!$F81="",Calc_오픈정렬!AH81=""),"",Calc_오픈정렬!AH81/Calc_오픈정렬!$F81*100)</f>
        <v>116.10170242725164</v>
      </c>
      <c r="AI81">
        <f>IF(OR(Calc_오픈정렬!$F81="",Calc_오픈정렬!AI81=""),"",Calc_오픈정렬!AI81/Calc_오픈정렬!$F81*100)</f>
        <v>118.41865493481991</v>
      </c>
      <c r="AJ81">
        <f>IF(OR(Calc_오픈정렬!$F81="",Calc_오픈정렬!AJ81=""),"",Calc_오픈정렬!AJ81/Calc_오픈정렬!$F81*100)</f>
        <v>116.4480470816232</v>
      </c>
      <c r="AK81">
        <f>IF(OR(Calc_오픈정렬!$F81="",Calc_오픈정렬!AK81=""),"",Calc_오픈정렬!AK81/Calc_오픈정렬!$F81*100)</f>
        <v>119.70718106513505</v>
      </c>
      <c r="AL81">
        <f>IF(OR(Calc_오픈정렬!$F81="",Calc_오픈정렬!AL81=""),"",Calc_오픈정렬!AL81/Calc_오픈정렬!$F81*100)</f>
        <v>116.75693059249215</v>
      </c>
      <c r="AM81">
        <f>IF(OR(Calc_오픈정렬!$F81="",Calc_오픈정렬!AM81=""),"",Calc_오픈정렬!AM81/Calc_오픈정렬!$F81*100)</f>
        <v>111.83409971166915</v>
      </c>
      <c r="AN81">
        <f>IF(OR(Calc_오픈정렬!$F81="",Calc_오픈정렬!AN81=""),"",Calc_오픈정렬!AN81/Calc_오픈정렬!$F81*100)</f>
        <v>130.78433315190219</v>
      </c>
      <c r="AO81">
        <f>IF(OR(Calc_오픈정렬!$F81="",Calc_오픈정렬!AO81=""),"",Calc_오픈정렬!AO81/Calc_오픈정렬!$F81*100)</f>
        <v>130.18898370166289</v>
      </c>
      <c r="AP81">
        <f>IF(OR(Calc_오픈정렬!$F81="",Calc_오픈정렬!AP81=""),"",Calc_오픈정렬!AP81/Calc_오픈정렬!$F81*100)</f>
        <v>118.51415592566039</v>
      </c>
      <c r="AQ81">
        <f>IF(OR(Calc_오픈정렬!$F81="",Calc_오픈정렬!AQ81=""),"",Calc_오픈정렬!AQ81/Calc_오픈정렬!$F81*100)</f>
        <v>126.69967145399062</v>
      </c>
      <c r="AR81">
        <f>IF(OR(Calc_오픈정렬!$F81="",Calc_오픈정렬!AR81=""),"",Calc_오픈정렬!AR81/Calc_오픈정렬!$F81*100)</f>
        <v>130.91498335314938</v>
      </c>
      <c r="AS81" t="str">
        <f>IF(OR(Calc_오픈정렬!$F81="",Calc_오픈정렬!AS81=""),"",Calc_오픈정렬!AS81/Calc_오픈정렬!$F81*100)</f>
        <v/>
      </c>
      <c r="AT81" t="str">
        <f>IF(OR(Calc_오픈정렬!$F81="",Calc_오픈정렬!AT81=""),"",Calc_오픈정렬!AT81/Calc_오픈정렬!$F81*100)</f>
        <v/>
      </c>
      <c r="AU81" t="str">
        <f>IF(OR(Calc_오픈정렬!$F81="",Calc_오픈정렬!AU81=""),"",Calc_오픈정렬!AU81/Calc_오픈정렬!$F81*100)</f>
        <v/>
      </c>
      <c r="AV81" t="str">
        <f>IF(OR(Calc_오픈정렬!$F81="",Calc_오픈정렬!AV81=""),"",Calc_오픈정렬!AV81/Calc_오픈정렬!$F81*100)</f>
        <v/>
      </c>
      <c r="AW81" t="str">
        <f>IF(OR(Calc_오픈정렬!$F81="",Calc_오픈정렬!AW81=""),"",Calc_오픈정렬!AW81/Calc_오픈정렬!$F81*100)</f>
        <v/>
      </c>
      <c r="AX81" t="str">
        <f>IF(OR(Calc_오픈정렬!$F81="",Calc_오픈정렬!AX81=""),"",Calc_오픈정렬!AX81/Calc_오픈정렬!$F81*100)</f>
        <v/>
      </c>
      <c r="AY81" t="str">
        <f>IF(OR(Calc_오픈정렬!$F81="",Calc_오픈정렬!AY81=""),"",Calc_오픈정렬!AY81/Calc_오픈정렬!$F81*100)</f>
        <v/>
      </c>
      <c r="AZ81" t="str">
        <f>IF(OR(Calc_오픈정렬!$F81="",Calc_오픈정렬!AZ81=""),"",Calc_오픈정렬!AZ81/Calc_오픈정렬!$F81*100)</f>
        <v/>
      </c>
      <c r="BA81" t="str">
        <f>IF(OR(Calc_오픈정렬!$F81="",Calc_오픈정렬!BA81=""),"",Calc_오픈정렬!BA81/Calc_오픈정렬!$F81*100)</f>
        <v/>
      </c>
      <c r="BB81" t="str">
        <f>IF(OR(Calc_오픈정렬!$F81="",Calc_오픈정렬!BB81=""),"",Calc_오픈정렬!BB81/Calc_오픈정렬!$F81*100)</f>
        <v/>
      </c>
      <c r="BC81" t="str">
        <f>IF(OR(Calc_오픈정렬!$F81="",Calc_오픈정렬!BC81=""),"",Calc_오픈정렬!BC81/Calc_오픈정렬!$F81*100)</f>
        <v/>
      </c>
      <c r="BD81" t="str">
        <f>IF(OR(Calc_오픈정렬!$F81="",Calc_오픈정렬!BD81=""),"",Calc_오픈정렬!BD81/Calc_오픈정렬!$F81*100)</f>
        <v/>
      </c>
      <c r="BE81" t="str">
        <f>IF(OR(Calc_오픈정렬!$F81="",Calc_오픈정렬!BE81=""),"",Calc_오픈정렬!BE81/Calc_오픈정렬!$F81*100)</f>
        <v/>
      </c>
      <c r="BF81" t="str">
        <f>IF(OR(Calc_오픈정렬!$F81="",Calc_오픈정렬!BF81=""),"",Calc_오픈정렬!BF81/Calc_오픈정렬!$F81*100)</f>
        <v/>
      </c>
      <c r="BG81" t="str">
        <f>IF(OR(Calc_오픈정렬!$F81="",Calc_오픈정렬!BG81=""),"",Calc_오픈정렬!BG81/Calc_오픈정렬!$F81*100)</f>
        <v/>
      </c>
      <c r="BH81" t="str">
        <f>IF(OR(Calc_오픈정렬!$F81="",Calc_오픈정렬!BH81=""),"",Calc_오픈정렬!BH81/Calc_오픈정렬!$F81*100)</f>
        <v/>
      </c>
      <c r="BI81" t="str">
        <f>IF(OR(Calc_오픈정렬!$F81="",Calc_오픈정렬!BI81=""),"",Calc_오픈정렬!BI81/Calc_오픈정렬!$F81*100)</f>
        <v/>
      </c>
      <c r="BJ81" t="str">
        <f>IF(OR(Calc_오픈정렬!$F81="",Calc_오픈정렬!BJ81=""),"",Calc_오픈정렬!BJ81/Calc_오픈정렬!$F81*100)</f>
        <v/>
      </c>
      <c r="BK81" t="str">
        <f>IF(OR(Calc_오픈정렬!$F81="",Calc_오픈정렬!BK81=""),"",Calc_오픈정렬!BK81/Calc_오픈정렬!$F81*100)</f>
        <v/>
      </c>
      <c r="BL81" t="str">
        <f>IF(OR(Calc_오픈정렬!$F81="",Calc_오픈정렬!BL81=""),"",Calc_오픈정렬!BL81/Calc_오픈정렬!$F81*100)</f>
        <v/>
      </c>
      <c r="BM81" t="str">
        <f>IF(OR(Calc_오픈정렬!$F81="",Calc_오픈정렬!BM81=""),"",Calc_오픈정렬!BM81/Calc_오픈정렬!$F81*100)</f>
        <v/>
      </c>
      <c r="BN81" t="str">
        <f>IF(OR(Calc_오픈정렬!$F81="",Calc_오픈정렬!BN81=""),"",Calc_오픈정렬!BN81/Calc_오픈정렬!$F81*100)</f>
        <v/>
      </c>
    </row>
    <row r="82" spans="1:66" x14ac:dyDescent="0.4">
      <c r="A82" t="str">
        <f>Calc_오픈정렬!A82</f>
        <v>(1071) #성신정문점</v>
      </c>
      <c r="B82" t="str">
        <f>Calc_오픈정렬!B82</f>
        <v>150-0</v>
      </c>
      <c r="C82">
        <f>Calc_오픈정렬!C82</f>
        <v>0</v>
      </c>
      <c r="D82" t="str">
        <f>Calc_오픈정렬!D82</f>
        <v>0</v>
      </c>
      <c r="E82" s="1">
        <f>Calc_오픈정렬!E82</f>
        <v>45047</v>
      </c>
      <c r="F82">
        <f>Calc_오픈정렬!F82</f>
        <v>4051818.7242576</v>
      </c>
      <c r="G82">
        <f>IF(OR(Calc_오픈정렬!$F82="",Calc_오픈정렬!G82=""),"",Calc_오픈정렬!G82/Calc_오픈정렬!$F82*100)</f>
        <v>74.457783435507636</v>
      </c>
      <c r="H82">
        <f>IF(OR(Calc_오픈정렬!$F82="",Calc_오픈정렬!H82=""),"",Calc_오픈정렬!H82/Calc_오픈정렬!$F82*100)</f>
        <v>87.348052842959262</v>
      </c>
      <c r="I82">
        <f>IF(OR(Calc_오픈정렬!$F82="",Calc_오픈정렬!I82=""),"",Calc_오픈정렬!I82/Calc_오픈정렬!$F82*100)</f>
        <v>96.937580815002988</v>
      </c>
      <c r="J82">
        <f>IF(OR(Calc_오픈정렬!$F82="",Calc_오픈정렬!J82=""),"",Calc_오픈정렬!J82/Calc_오픈정렬!$F82*100)</f>
        <v>89.692394824447234</v>
      </c>
      <c r="K82">
        <f>IF(OR(Calc_오픈정렬!$F82="",Calc_오픈정렬!K82=""),"",Calc_오픈정렬!K82/Calc_오픈정렬!$F82*100)</f>
        <v>96.923062687120378</v>
      </c>
      <c r="L82">
        <f>IF(OR(Calc_오픈정렬!$F82="",Calc_오픈정렬!L82=""),"",Calc_오픈정렬!L82/Calc_오픈정렬!$F82*100)</f>
        <v>102.98521183283063</v>
      </c>
      <c r="M82">
        <f>IF(OR(Calc_오픈정렬!$F82="",Calc_오픈정렬!M82=""),"",Calc_오픈정렬!M82/Calc_오픈정렬!$F82*100)</f>
        <v>97.073560713705362</v>
      </c>
      <c r="N82">
        <f>IF(OR(Calc_오픈정렬!$F82="",Calc_오픈정렬!N82=""),"",Calc_오픈정렬!N82/Calc_오픈정렬!$F82*100)</f>
        <v>108.42479942386272</v>
      </c>
      <c r="O82">
        <f>IF(OR(Calc_오픈정렬!$F82="",Calc_오픈정렬!O82=""),"",Calc_오픈정렬!O82/Calc_오픈정렬!$F82*100)</f>
        <v>104.90097051803372</v>
      </c>
      <c r="P82">
        <f>IF(OR(Calc_오픈정렬!$F82="",Calc_오픈정렬!P82=""),"",Calc_오픈정렬!P82/Calc_오픈정렬!$F82*100)</f>
        <v>116.64804704548139</v>
      </c>
      <c r="Q82">
        <f>IF(OR(Calc_오픈정렬!$F82="",Calc_오픈정렬!Q82=""),"",Calc_오픈정렬!Q82/Calc_오픈정렬!$F82*100)</f>
        <v>126.21605222142725</v>
      </c>
      <c r="R82">
        <f>IF(OR(Calc_오픈정렬!$F82="",Calc_오픈정렬!R82=""),"",Calc_오픈정렬!R82/Calc_오픈정렬!$F82*100)</f>
        <v>137.81707840855771</v>
      </c>
      <c r="S82">
        <f>IF(OR(Calc_오픈정렬!$F82="",Calc_오픈정렬!S82=""),"",Calc_오픈정렬!S82/Calc_오픈정렬!$F82*100)</f>
        <v>125.55634952655974</v>
      </c>
      <c r="T82">
        <f>IF(OR(Calc_오픈정렬!$F82="",Calc_오픈정렬!T82=""),"",Calc_오픈정렬!T82/Calc_오픈정렬!$F82*100)</f>
        <v>143.41784113847314</v>
      </c>
      <c r="U82">
        <f>IF(OR(Calc_오픈정렬!$F82="",Calc_오픈정렬!U82=""),"",Calc_오픈정렬!U82/Calc_오픈정렬!$F82*100)</f>
        <v>130.06587822547621</v>
      </c>
      <c r="V82">
        <f>IF(OR(Calc_오픈정렬!$F82="",Calc_오픈정렬!V82=""),"",Calc_오픈정렬!V82/Calc_오픈정렬!$F82*100)</f>
        <v>131.50208686517041</v>
      </c>
      <c r="W82">
        <f>IF(OR(Calc_오픈정렬!$F82="",Calc_오픈정렬!W82=""),"",Calc_오픈정렬!W82/Calc_오픈정렬!$F82*100)</f>
        <v>142.4635912513256</v>
      </c>
      <c r="X82">
        <f>IF(OR(Calc_오픈정렬!$F82="",Calc_오픈정렬!X82=""),"",Calc_오픈정렬!X82/Calc_오픈정렬!$F82*100)</f>
        <v>136.40870097219101</v>
      </c>
      <c r="Y82">
        <f>IF(OR(Calc_오픈정렬!$F82="",Calc_오픈정렬!Y82=""),"",Calc_오픈정렬!Y82/Calc_오픈정렬!$F82*100)</f>
        <v>131.04338061669432</v>
      </c>
      <c r="Z82">
        <f>IF(OR(Calc_오픈정렬!$F82="",Calc_오픈정렬!Z82=""),"",Calc_오픈정렬!Z82/Calc_오픈정렬!$F82*100)</f>
        <v>127.68524555958163</v>
      </c>
      <c r="AA82">
        <f>IF(OR(Calc_오픈정렬!$F82="",Calc_오픈정렬!AA82=""),"",Calc_오픈정렬!AA82/Calc_오픈정렬!$F82*100)</f>
        <v>147.67716328254988</v>
      </c>
      <c r="AB82">
        <f>IF(OR(Calc_오픈정렬!$F82="",Calc_오픈정렬!AB82=""),"",Calc_오픈정렬!AB82/Calc_오픈정렬!$F82*100)</f>
        <v>134.65584094142645</v>
      </c>
      <c r="AC82">
        <f>IF(OR(Calc_오픈정렬!$F82="",Calc_오픈정렬!AC82=""),"",Calc_오픈정렬!AC82/Calc_오픈정렬!$F82*100)</f>
        <v>139.76750202678454</v>
      </c>
      <c r="AD82">
        <f>IF(OR(Calc_오픈정렬!$F82="",Calc_오픈정렬!AD82=""),"",Calc_오픈정렬!AD82/Calc_오픈정렬!$F82*100)</f>
        <v>142.32602794571986</v>
      </c>
      <c r="AE82">
        <f>IF(OR(Calc_오픈정렬!$F82="",Calc_오픈정렬!AE82=""),"",Calc_오픈정렬!AE82/Calc_오픈정렬!$F82*100)</f>
        <v>148.66095709378925</v>
      </c>
      <c r="AF82">
        <f>IF(OR(Calc_오픈정렬!$F82="",Calc_오픈정렬!AF82=""),"",Calc_오픈정렬!AF82/Calc_오픈정렬!$F82*100)</f>
        <v>143.72398937164752</v>
      </c>
      <c r="AG82">
        <f>IF(OR(Calc_오픈정렬!$F82="",Calc_오픈정렬!AG82=""),"",Calc_오픈정렬!AG82/Calc_오픈정렬!$F82*100)</f>
        <v>125.4919050579922</v>
      </c>
      <c r="AH82">
        <f>IF(OR(Calc_오픈정렬!$F82="",Calc_오픈정렬!AH82=""),"",Calc_오픈정렬!AH82/Calc_오픈정렬!$F82*100)</f>
        <v>141.39279870646953</v>
      </c>
      <c r="AI82">
        <f>IF(OR(Calc_오픈정렬!$F82="",Calc_오픈정렬!AI82=""),"",Calc_오픈정렬!AI82/Calc_오픈정렬!$F82*100)</f>
        <v>130.36916075604694</v>
      </c>
      <c r="AJ82">
        <f>IF(OR(Calc_오픈정렬!$F82="",Calc_오픈정렬!AJ82=""),"",Calc_오픈정렬!AJ82/Calc_오픈정렬!$F82*100)</f>
        <v>136.77700094194662</v>
      </c>
      <c r="AK82">
        <f>IF(OR(Calc_오픈정렬!$F82="",Calc_오픈정렬!AK82=""),"",Calc_오픈정렬!AK82/Calc_오픈정렬!$F82*100)</f>
        <v>115.42271570038267</v>
      </c>
      <c r="AL82">
        <f>IF(OR(Calc_오픈정렬!$F82="",Calc_오픈정렬!AL82=""),"",Calc_오픈정렬!AL82/Calc_오픈정렬!$F82*100)</f>
        <v>94.275632396581088</v>
      </c>
      <c r="AM82">
        <f>IF(OR(Calc_오픈정렬!$F82="",Calc_오픈정렬!AM82=""),"",Calc_오픈정렬!AM82/Calc_오픈정렬!$F82*100)</f>
        <v>94.264874544958332</v>
      </c>
      <c r="AN82">
        <f>IF(OR(Calc_오픈정렬!$F82="",Calc_오픈정렬!AN82=""),"",Calc_오픈정렬!AN82/Calc_오픈정렬!$F82*100)</f>
        <v>103.23736476199711</v>
      </c>
      <c r="AO82">
        <f>IF(OR(Calc_오픈정렬!$F82="",Calc_오픈정렬!AO82=""),"",Calc_오픈정렬!AO82/Calc_오픈정렬!$F82*100)</f>
        <v>92.824446825300882</v>
      </c>
      <c r="AP82">
        <f>IF(OR(Calc_오픈정렬!$F82="",Calc_오픈정렬!AP82=""),"",Calc_오픈정렬!AP82/Calc_오픈정렬!$F82*100)</f>
        <v>77.928356436375594</v>
      </c>
      <c r="AQ82">
        <f>IF(OR(Calc_오픈정렬!$F82="",Calc_오픈정렬!AQ82=""),"",Calc_오픈정렬!AQ82/Calc_오픈정렬!$F82*100)</f>
        <v>95.972895190174071</v>
      </c>
      <c r="AR82" t="str">
        <f>IF(OR(Calc_오픈정렬!$F82="",Calc_오픈정렬!AR82=""),"",Calc_오픈정렬!AR82/Calc_오픈정렬!$F82*100)</f>
        <v/>
      </c>
      <c r="AS82" t="str">
        <f>IF(OR(Calc_오픈정렬!$F82="",Calc_오픈정렬!AS82=""),"",Calc_오픈정렬!AS82/Calc_오픈정렬!$F82*100)</f>
        <v/>
      </c>
      <c r="AT82" t="str">
        <f>IF(OR(Calc_오픈정렬!$F82="",Calc_오픈정렬!AT82=""),"",Calc_오픈정렬!AT82/Calc_오픈정렬!$F82*100)</f>
        <v/>
      </c>
      <c r="AU82" t="str">
        <f>IF(OR(Calc_오픈정렬!$F82="",Calc_오픈정렬!AU82=""),"",Calc_오픈정렬!AU82/Calc_오픈정렬!$F82*100)</f>
        <v/>
      </c>
      <c r="AV82" t="str">
        <f>IF(OR(Calc_오픈정렬!$F82="",Calc_오픈정렬!AV82=""),"",Calc_오픈정렬!AV82/Calc_오픈정렬!$F82*100)</f>
        <v/>
      </c>
      <c r="AW82" t="str">
        <f>IF(OR(Calc_오픈정렬!$F82="",Calc_오픈정렬!AW82=""),"",Calc_오픈정렬!AW82/Calc_오픈정렬!$F82*100)</f>
        <v/>
      </c>
      <c r="AX82" t="str">
        <f>IF(OR(Calc_오픈정렬!$F82="",Calc_오픈정렬!AX82=""),"",Calc_오픈정렬!AX82/Calc_오픈정렬!$F82*100)</f>
        <v/>
      </c>
      <c r="AY82" t="str">
        <f>IF(OR(Calc_오픈정렬!$F82="",Calc_오픈정렬!AY82=""),"",Calc_오픈정렬!AY82/Calc_오픈정렬!$F82*100)</f>
        <v/>
      </c>
      <c r="AZ82" t="str">
        <f>IF(OR(Calc_오픈정렬!$F82="",Calc_오픈정렬!AZ82=""),"",Calc_오픈정렬!AZ82/Calc_오픈정렬!$F82*100)</f>
        <v/>
      </c>
      <c r="BA82" t="str">
        <f>IF(OR(Calc_오픈정렬!$F82="",Calc_오픈정렬!BA82=""),"",Calc_오픈정렬!BA82/Calc_오픈정렬!$F82*100)</f>
        <v/>
      </c>
      <c r="BB82" t="str">
        <f>IF(OR(Calc_오픈정렬!$F82="",Calc_오픈정렬!BB82=""),"",Calc_오픈정렬!BB82/Calc_오픈정렬!$F82*100)</f>
        <v/>
      </c>
      <c r="BC82" t="str">
        <f>IF(OR(Calc_오픈정렬!$F82="",Calc_오픈정렬!BC82=""),"",Calc_오픈정렬!BC82/Calc_오픈정렬!$F82*100)</f>
        <v/>
      </c>
      <c r="BD82" t="str">
        <f>IF(OR(Calc_오픈정렬!$F82="",Calc_오픈정렬!BD82=""),"",Calc_오픈정렬!BD82/Calc_오픈정렬!$F82*100)</f>
        <v/>
      </c>
      <c r="BE82" t="str">
        <f>IF(OR(Calc_오픈정렬!$F82="",Calc_오픈정렬!BE82=""),"",Calc_오픈정렬!BE82/Calc_오픈정렬!$F82*100)</f>
        <v/>
      </c>
      <c r="BF82" t="str">
        <f>IF(OR(Calc_오픈정렬!$F82="",Calc_오픈정렬!BF82=""),"",Calc_오픈정렬!BF82/Calc_오픈정렬!$F82*100)</f>
        <v/>
      </c>
      <c r="BG82" t="str">
        <f>IF(OR(Calc_오픈정렬!$F82="",Calc_오픈정렬!BG82=""),"",Calc_오픈정렬!BG82/Calc_오픈정렬!$F82*100)</f>
        <v/>
      </c>
      <c r="BH82" t="str">
        <f>IF(OR(Calc_오픈정렬!$F82="",Calc_오픈정렬!BH82=""),"",Calc_오픈정렬!BH82/Calc_오픈정렬!$F82*100)</f>
        <v/>
      </c>
      <c r="BI82" t="str">
        <f>IF(OR(Calc_오픈정렬!$F82="",Calc_오픈정렬!BI82=""),"",Calc_오픈정렬!BI82/Calc_오픈정렬!$F82*100)</f>
        <v/>
      </c>
      <c r="BJ82" t="str">
        <f>IF(OR(Calc_오픈정렬!$F82="",Calc_오픈정렬!BJ82=""),"",Calc_오픈정렬!BJ82/Calc_오픈정렬!$F82*100)</f>
        <v/>
      </c>
      <c r="BK82" t="str">
        <f>IF(OR(Calc_오픈정렬!$F82="",Calc_오픈정렬!BK82=""),"",Calc_오픈정렬!BK82/Calc_오픈정렬!$F82*100)</f>
        <v/>
      </c>
      <c r="BL82" t="str">
        <f>IF(OR(Calc_오픈정렬!$F82="",Calc_오픈정렬!BL82=""),"",Calc_오픈정렬!BL82/Calc_오픈정렬!$F82*100)</f>
        <v/>
      </c>
      <c r="BM82" t="str">
        <f>IF(OR(Calc_오픈정렬!$F82="",Calc_오픈정렬!BM82=""),"",Calc_오픈정렬!BM82/Calc_오픈정렬!$F82*100)</f>
        <v/>
      </c>
      <c r="BN82" t="str">
        <f>IF(OR(Calc_오픈정렬!$F82="",Calc_오픈정렬!BN82=""),"",Calc_오픈정렬!BN82/Calc_오픈정렬!$F82*100)</f>
        <v/>
      </c>
    </row>
    <row r="83" spans="1:66" x14ac:dyDescent="0.4">
      <c r="A83" t="str">
        <f>Calc_오픈정렬!A83</f>
        <v>(1072) #역삼센터필드점</v>
      </c>
      <c r="B83" t="str">
        <f>Calc_오픈정렬!B83</f>
        <v>150-1</v>
      </c>
      <c r="C83">
        <f>Calc_오픈정렬!C83</f>
        <v>1</v>
      </c>
      <c r="D83" t="str">
        <f>Calc_오픈정렬!D83</f>
        <v>1</v>
      </c>
      <c r="E83" s="1">
        <f>Calc_오픈정렬!E83</f>
        <v>45047</v>
      </c>
      <c r="F83">
        <f>Calc_오픈정렬!F83</f>
        <v>3892108.5047575212</v>
      </c>
      <c r="G83">
        <f>IF(OR(Calc_오픈정렬!$F83="",Calc_오픈정렬!G83=""),"",Calc_오픈정렬!G83/Calc_오픈정렬!$F83*100)</f>
        <v>61.68061827721607</v>
      </c>
      <c r="H83">
        <f>IF(OR(Calc_오픈정렬!$F83="",Calc_오픈정렬!H83=""),"",Calc_오픈정렬!H83/Calc_오픈정렬!$F83*100)</f>
        <v>79.871684405233239</v>
      </c>
      <c r="I83">
        <f>IF(OR(Calc_오픈정렬!$F83="",Calc_오픈정렬!I83=""),"",Calc_오픈정렬!I83/Calc_오픈정렬!$F83*100)</f>
        <v>101.41851879807639</v>
      </c>
      <c r="J83">
        <f>IF(OR(Calc_오픈정렬!$F83="",Calc_오픈정렬!J83=""),"",Calc_오픈정렬!J83/Calc_오픈정렬!$F83*100)</f>
        <v>99.138643322960647</v>
      </c>
      <c r="K83">
        <f>IF(OR(Calc_오픈정렬!$F83="",Calc_오픈정렬!K83=""),"",Calc_오픈정렬!K83/Calc_오픈정렬!$F83*100)</f>
        <v>103.63316814234848</v>
      </c>
      <c r="L83">
        <f>IF(OR(Calc_오픈정렬!$F83="",Calc_오픈정렬!L83=""),"",Calc_오픈정렬!L83/Calc_오픈정렬!$F83*100)</f>
        <v>99.087236411300779</v>
      </c>
      <c r="M83">
        <f>IF(OR(Calc_오픈정렬!$F83="",Calc_오픈정렬!M83=""),"",Calc_오픈정렬!M83/Calc_오픈정렬!$F83*100)</f>
        <v>88.360018887550552</v>
      </c>
      <c r="N83">
        <f>IF(OR(Calc_오픈정렬!$F83="",Calc_오픈정렬!N83=""),"",Calc_오픈정렬!N83/Calc_오픈정렬!$F83*100)</f>
        <v>100.51078299189501</v>
      </c>
      <c r="O83">
        <f>IF(OR(Calc_오픈정렬!$F83="",Calc_오픈정렬!O83=""),"",Calc_오픈정렬!O83/Calc_오픈정렬!$F83*100)</f>
        <v>109.27015024394451</v>
      </c>
      <c r="P83">
        <f>IF(OR(Calc_오픈정렬!$F83="",Calc_오픈정렬!P83=""),"",Calc_오픈정렬!P83/Calc_오픈정렬!$F83*100)</f>
        <v>119.27585607966982</v>
      </c>
      <c r="Q83">
        <f>IF(OR(Calc_오픈정렬!$F83="",Calc_오픈정렬!Q83=""),"",Calc_오픈정렬!Q83/Calc_오픈정렬!$F83*100)</f>
        <v>120.28241605507041</v>
      </c>
      <c r="R83">
        <f>IF(OR(Calc_오픈정렬!$F83="",Calc_오픈정렬!R83=""),"",Calc_오픈정렬!R83/Calc_오픈정렬!$F83*100)</f>
        <v>135.36290060836001</v>
      </c>
      <c r="S83">
        <f>IF(OR(Calc_오픈정렬!$F83="",Calc_오픈정렬!S83=""),"",Calc_오픈정렬!S83/Calc_오픈정렬!$F83*100)</f>
        <v>115.58410239722632</v>
      </c>
      <c r="T83">
        <f>IF(OR(Calc_오픈정렬!$F83="",Calc_오픈정렬!T83=""),"",Calc_오픈정렬!T83/Calc_오픈정렬!$F83*100)</f>
        <v>126.7139278660642</v>
      </c>
      <c r="U83">
        <f>IF(OR(Calc_오픈정렬!$F83="",Calc_오픈정렬!U83=""),"",Calc_오픈정렬!U83/Calc_오픈정렬!$F83*100)</f>
        <v>133.68713266028428</v>
      </c>
      <c r="V83">
        <f>IF(OR(Calc_오픈정렬!$F83="",Calc_오픈정렬!V83=""),"",Calc_오픈정렬!V83/Calc_오픈정렬!$F83*100)</f>
        <v>120.21898087779208</v>
      </c>
      <c r="W83">
        <f>IF(OR(Calc_오픈정렬!$F83="",Calc_오픈정렬!W83=""),"",Calc_오픈정렬!W83/Calc_오픈정렬!$F83*100)</f>
        <v>127.52435353392686</v>
      </c>
      <c r="X83">
        <f>IF(OR(Calc_오픈정렬!$F83="",Calc_오픈정렬!X83=""),"",Calc_오픈정렬!X83/Calc_오픈정렬!$F83*100)</f>
        <v>128.98344263270502</v>
      </c>
      <c r="Y83">
        <f>IF(OR(Calc_오픈정렬!$F83="",Calc_오픈정렬!Y83=""),"",Calc_오픈정렬!Y83/Calc_오픈정렬!$F83*100)</f>
        <v>131.14916932713584</v>
      </c>
      <c r="Z83">
        <f>IF(OR(Calc_오픈정렬!$F83="",Calc_오픈정렬!Z83=""),"",Calc_오픈정렬!Z83/Calc_오픈정렬!$F83*100)</f>
        <v>117.71432788908606</v>
      </c>
      <c r="AA83">
        <f>IF(OR(Calc_오픈정렬!$F83="",Calc_오픈정렬!AA83=""),"",Calc_오픈정렬!AA83/Calc_오픈정렬!$F83*100)</f>
        <v>135.16375276272231</v>
      </c>
      <c r="AB83">
        <f>IF(OR(Calc_오픈정렬!$F83="",Calc_오픈정렬!AB83=""),"",Calc_오픈정렬!AB83/Calc_오픈정렬!$F83*100)</f>
        <v>125.71863551630655</v>
      </c>
      <c r="AC83">
        <f>IF(OR(Calc_오픈정렬!$F83="",Calc_오픈정렬!AC83=""),"",Calc_오픈정렬!AC83/Calc_오픈정렬!$F83*100)</f>
        <v>125.3368523410884</v>
      </c>
      <c r="AD83">
        <f>IF(OR(Calc_오픈정렬!$F83="",Calc_오픈정렬!AD83=""),"",Calc_오픈정렬!AD83/Calc_오픈정렬!$F83*100)</f>
        <v>151.11792420284058</v>
      </c>
      <c r="AE83">
        <f>IF(OR(Calc_오픈정렬!$F83="",Calc_오픈정렬!AE83=""),"",Calc_오픈정렬!AE83/Calc_오픈정렬!$F83*100)</f>
        <v>155.10791076679493</v>
      </c>
      <c r="AF83">
        <f>IF(OR(Calc_오픈정렬!$F83="",Calc_오픈정렬!AF83=""),"",Calc_오픈정렬!AF83/Calc_오픈정렬!$F83*100)</f>
        <v>179.17348100421216</v>
      </c>
      <c r="AG83">
        <f>IF(OR(Calc_오픈정렬!$F83="",Calc_오픈정렬!AG83=""),"",Calc_오픈정렬!AG83/Calc_오픈정렬!$F83*100)</f>
        <v>191.20237973539182</v>
      </c>
      <c r="AH83">
        <f>IF(OR(Calc_오픈정렬!$F83="",Calc_오픈정렬!AH83=""),"",Calc_오픈정렬!AH83/Calc_오픈정렬!$F83*100)</f>
        <v>204.42501554501141</v>
      </c>
      <c r="AI83">
        <f>IF(OR(Calc_오픈정렬!$F83="",Calc_오픈정렬!AI83=""),"",Calc_오픈정렬!AI83/Calc_오픈정렬!$F83*100)</f>
        <v>196.76085585736107</v>
      </c>
      <c r="AJ83">
        <f>IF(OR(Calc_오픈정렬!$F83="",Calc_오픈정렬!AJ83=""),"",Calc_오픈정렬!AJ83/Calc_오픈정렬!$F83*100)</f>
        <v>202.62072916439533</v>
      </c>
      <c r="AK83">
        <f>IF(OR(Calc_오픈정렬!$F83="",Calc_오픈정렬!AK83=""),"",Calc_오픈정렬!AK83/Calc_오픈정렬!$F83*100)</f>
        <v>192.74625753931397</v>
      </c>
      <c r="AL83">
        <f>IF(OR(Calc_오픈정렬!$F83="",Calc_오픈정렬!AL83=""),"",Calc_오픈정렬!AL83/Calc_오픈정렬!$F83*100)</f>
        <v>186.29229409635414</v>
      </c>
      <c r="AM83">
        <f>IF(OR(Calc_오픈정렬!$F83="",Calc_오픈정렬!AM83=""),"",Calc_오픈정렬!AM83/Calc_오픈정렬!$F83*100)</f>
        <v>194.07289098561839</v>
      </c>
      <c r="AN83">
        <f>IF(OR(Calc_오픈정렬!$F83="",Calc_오픈정렬!AN83=""),"",Calc_오픈정렬!AN83/Calc_오픈정렬!$F83*100)</f>
        <v>178.05829299114924</v>
      </c>
      <c r="AO83">
        <f>IF(OR(Calc_오픈정렬!$F83="",Calc_오픈정렬!AO83=""),"",Calc_오픈정렬!AO83/Calc_오픈정렬!$F83*100)</f>
        <v>187.9980072729914</v>
      </c>
      <c r="AP83">
        <f>IF(OR(Calc_오픈정렬!$F83="",Calc_오픈정렬!AP83=""),"",Calc_오픈정렬!AP83/Calc_오픈정렬!$F83*100)</f>
        <v>214.45458874762403</v>
      </c>
      <c r="AQ83">
        <f>IF(OR(Calc_오픈정렬!$F83="",Calc_오픈정렬!AQ83=""),"",Calc_오픈정렬!AQ83/Calc_오픈정렬!$F83*100)</f>
        <v>213.64856050628168</v>
      </c>
      <c r="AR83" t="str">
        <f>IF(OR(Calc_오픈정렬!$F83="",Calc_오픈정렬!AR83=""),"",Calc_오픈정렬!AR83/Calc_오픈정렬!$F83*100)</f>
        <v/>
      </c>
      <c r="AS83" t="str">
        <f>IF(OR(Calc_오픈정렬!$F83="",Calc_오픈정렬!AS83=""),"",Calc_오픈정렬!AS83/Calc_오픈정렬!$F83*100)</f>
        <v/>
      </c>
      <c r="AT83" t="str">
        <f>IF(OR(Calc_오픈정렬!$F83="",Calc_오픈정렬!AT83=""),"",Calc_오픈정렬!AT83/Calc_오픈정렬!$F83*100)</f>
        <v/>
      </c>
      <c r="AU83" t="str">
        <f>IF(OR(Calc_오픈정렬!$F83="",Calc_오픈정렬!AU83=""),"",Calc_오픈정렬!AU83/Calc_오픈정렬!$F83*100)</f>
        <v/>
      </c>
      <c r="AV83" t="str">
        <f>IF(OR(Calc_오픈정렬!$F83="",Calc_오픈정렬!AV83=""),"",Calc_오픈정렬!AV83/Calc_오픈정렬!$F83*100)</f>
        <v/>
      </c>
      <c r="AW83" t="str">
        <f>IF(OR(Calc_오픈정렬!$F83="",Calc_오픈정렬!AW83=""),"",Calc_오픈정렬!AW83/Calc_오픈정렬!$F83*100)</f>
        <v/>
      </c>
      <c r="AX83" t="str">
        <f>IF(OR(Calc_오픈정렬!$F83="",Calc_오픈정렬!AX83=""),"",Calc_오픈정렬!AX83/Calc_오픈정렬!$F83*100)</f>
        <v/>
      </c>
      <c r="AY83" t="str">
        <f>IF(OR(Calc_오픈정렬!$F83="",Calc_오픈정렬!AY83=""),"",Calc_오픈정렬!AY83/Calc_오픈정렬!$F83*100)</f>
        <v/>
      </c>
      <c r="AZ83" t="str">
        <f>IF(OR(Calc_오픈정렬!$F83="",Calc_오픈정렬!AZ83=""),"",Calc_오픈정렬!AZ83/Calc_오픈정렬!$F83*100)</f>
        <v/>
      </c>
      <c r="BA83" t="str">
        <f>IF(OR(Calc_오픈정렬!$F83="",Calc_오픈정렬!BA83=""),"",Calc_오픈정렬!BA83/Calc_오픈정렬!$F83*100)</f>
        <v/>
      </c>
      <c r="BB83" t="str">
        <f>IF(OR(Calc_오픈정렬!$F83="",Calc_오픈정렬!BB83=""),"",Calc_오픈정렬!BB83/Calc_오픈정렬!$F83*100)</f>
        <v/>
      </c>
      <c r="BC83" t="str">
        <f>IF(OR(Calc_오픈정렬!$F83="",Calc_오픈정렬!BC83=""),"",Calc_오픈정렬!BC83/Calc_오픈정렬!$F83*100)</f>
        <v/>
      </c>
      <c r="BD83" t="str">
        <f>IF(OR(Calc_오픈정렬!$F83="",Calc_오픈정렬!BD83=""),"",Calc_오픈정렬!BD83/Calc_오픈정렬!$F83*100)</f>
        <v/>
      </c>
      <c r="BE83" t="str">
        <f>IF(OR(Calc_오픈정렬!$F83="",Calc_오픈정렬!BE83=""),"",Calc_오픈정렬!BE83/Calc_오픈정렬!$F83*100)</f>
        <v/>
      </c>
      <c r="BF83" t="str">
        <f>IF(OR(Calc_오픈정렬!$F83="",Calc_오픈정렬!BF83=""),"",Calc_오픈정렬!BF83/Calc_오픈정렬!$F83*100)</f>
        <v/>
      </c>
      <c r="BG83" t="str">
        <f>IF(OR(Calc_오픈정렬!$F83="",Calc_오픈정렬!BG83=""),"",Calc_오픈정렬!BG83/Calc_오픈정렬!$F83*100)</f>
        <v/>
      </c>
      <c r="BH83" t="str">
        <f>IF(OR(Calc_오픈정렬!$F83="",Calc_오픈정렬!BH83=""),"",Calc_오픈정렬!BH83/Calc_오픈정렬!$F83*100)</f>
        <v/>
      </c>
      <c r="BI83" t="str">
        <f>IF(OR(Calc_오픈정렬!$F83="",Calc_오픈정렬!BI83=""),"",Calc_오픈정렬!BI83/Calc_오픈정렬!$F83*100)</f>
        <v/>
      </c>
      <c r="BJ83" t="str">
        <f>IF(OR(Calc_오픈정렬!$F83="",Calc_오픈정렬!BJ83=""),"",Calc_오픈정렬!BJ83/Calc_오픈정렬!$F83*100)</f>
        <v/>
      </c>
      <c r="BK83" t="str">
        <f>IF(OR(Calc_오픈정렬!$F83="",Calc_오픈정렬!BK83=""),"",Calc_오픈정렬!BK83/Calc_오픈정렬!$F83*100)</f>
        <v/>
      </c>
      <c r="BL83" t="str">
        <f>IF(OR(Calc_오픈정렬!$F83="",Calc_오픈정렬!BL83=""),"",Calc_오픈정렬!BL83/Calc_오픈정렬!$F83*100)</f>
        <v/>
      </c>
      <c r="BM83" t="str">
        <f>IF(OR(Calc_오픈정렬!$F83="",Calc_오픈정렬!BM83=""),"",Calc_오픈정렬!BM83/Calc_오픈정렬!$F83*100)</f>
        <v/>
      </c>
      <c r="BN83" t="str">
        <f>IF(OR(Calc_오픈정렬!$F83="",Calc_오픈정렬!BN83=""),"",Calc_오픈정렬!BN83/Calc_오픈정렬!$F83*100)</f>
        <v/>
      </c>
    </row>
    <row r="84" spans="1:66" x14ac:dyDescent="0.4">
      <c r="A84" t="str">
        <f>Calc_오픈정렬!A84</f>
        <v>(1073) #고대후문점</v>
      </c>
      <c r="B84" t="str">
        <f>Calc_오픈정렬!B84</f>
        <v>150-0</v>
      </c>
      <c r="C84">
        <f>Calc_오픈정렬!C84</f>
        <v>0</v>
      </c>
      <c r="D84" t="str">
        <f>Calc_오픈정렬!D84</f>
        <v>0</v>
      </c>
      <c r="E84" s="1">
        <f>Calc_오픈정렬!E84</f>
        <v>45047</v>
      </c>
      <c r="F84">
        <f>Calc_오픈정렬!F84</f>
        <v>7861525.2935143588</v>
      </c>
      <c r="G84">
        <f>IF(OR(Calc_오픈정렬!$F84="",Calc_오픈정렬!G84=""),"",Calc_오픈정렬!G84/Calc_오픈정렬!$F84*100)</f>
        <v>61.061994157573963</v>
      </c>
      <c r="H84">
        <f>IF(OR(Calc_오픈정렬!$F84="",Calc_오픈정렬!H84=""),"",Calc_오픈정렬!H84/Calc_오픈정렬!$F84*100)</f>
        <v>66.441520508390226</v>
      </c>
      <c r="I84">
        <f>IF(OR(Calc_오픈정렬!$F84="",Calc_오픈정렬!I84=""),"",Calc_오픈정렬!I84/Calc_오픈정렬!$F84*100)</f>
        <v>100.14778230183569</v>
      </c>
      <c r="J84">
        <f>IF(OR(Calc_오픈정렬!$F84="",Calc_오픈정렬!J84=""),"",Calc_오픈정렬!J84/Calc_오픈정렬!$F84*100)</f>
        <v>93.040526307085386</v>
      </c>
      <c r="K84">
        <f>IF(OR(Calc_오픈정렬!$F84="",Calc_오픈정렬!K84=""),"",Calc_오픈정렬!K84/Calc_오픈정렬!$F84*100)</f>
        <v>104.2719996711245</v>
      </c>
      <c r="L84">
        <f>IF(OR(Calc_오픈정렬!$F84="",Calc_오픈정렬!L84=""),"",Calc_오픈정렬!L84/Calc_오픈정렬!$F84*100)</f>
        <v>94.211872533121266</v>
      </c>
      <c r="M84">
        <f>IF(OR(Calc_오픈정렬!$F84="",Calc_오픈정렬!M84=""),"",Calc_오픈정렬!M84/Calc_오픈정렬!$F84*100)</f>
        <v>102.56777759844957</v>
      </c>
      <c r="N84">
        <f>IF(OR(Calc_오픈정렬!$F84="",Calc_오픈정렬!N84=""),"",Calc_오픈정렬!N84/Calc_오픈정렬!$F84*100)</f>
        <v>100.05417813380943</v>
      </c>
      <c r="O84">
        <f>IF(OR(Calc_오픈정렬!$F84="",Calc_오픈정렬!O84=""),"",Calc_오픈정렬!O84/Calc_오픈정렬!$F84*100)</f>
        <v>105.85364575640983</v>
      </c>
      <c r="P84">
        <f>IF(OR(Calc_오픈정렬!$F84="",Calc_오픈정렬!P84=""),"",Calc_오픈정렬!P84/Calc_오픈정렬!$F84*100)</f>
        <v>103.50474565533496</v>
      </c>
      <c r="Q84">
        <f>IF(OR(Calc_오픈정렬!$F84="",Calc_오픈정렬!Q84=""),"",Calc_오픈정렬!Q84/Calc_오픈정렬!$F84*100)</f>
        <v>125.46232185773867</v>
      </c>
      <c r="R84">
        <f>IF(OR(Calc_오픈정렬!$F84="",Calc_오픈정렬!R84=""),"",Calc_오픈정렬!R84/Calc_오픈정렬!$F84*100)</f>
        <v>124.75724180286056</v>
      </c>
      <c r="S84">
        <f>IF(OR(Calc_오픈정렬!$F84="",Calc_오픈정렬!S84=""),"",Calc_오픈정렬!S84/Calc_오픈정렬!$F84*100)</f>
        <v>123.16039217878436</v>
      </c>
      <c r="T84">
        <f>IF(OR(Calc_오픈정렬!$F84="",Calc_오픈정렬!T84=""),"",Calc_오픈정렬!T84/Calc_오픈정렬!$F84*100)</f>
        <v>122.26369909432067</v>
      </c>
      <c r="U84">
        <f>IF(OR(Calc_오픈정렬!$F84="",Calc_오픈정렬!U84=""),"",Calc_오픈정렬!U84/Calc_오픈정렬!$F84*100)</f>
        <v>122.88727711458192</v>
      </c>
      <c r="V84">
        <f>IF(OR(Calc_오픈정렬!$F84="",Calc_오픈정렬!V84=""),"",Calc_오픈정렬!V84/Calc_오픈정렬!$F84*100)</f>
        <v>129.27958692943554</v>
      </c>
      <c r="W84">
        <f>IF(OR(Calc_오픈정렬!$F84="",Calc_오픈정렬!W84=""),"",Calc_오픈정렬!W84/Calc_오픈정렬!$F84*100)</f>
        <v>136.2834718089658</v>
      </c>
      <c r="X84">
        <f>IF(OR(Calc_오픈정렬!$F84="",Calc_오픈정렬!X84=""),"",Calc_오픈정렬!X84/Calc_오픈정렬!$F84*100)</f>
        <v>119.41111377161884</v>
      </c>
      <c r="Y84">
        <f>IF(OR(Calc_오픈정렬!$F84="",Calc_오픈정렬!Y84=""),"",Calc_오픈정렬!Y84/Calc_오픈정렬!$F84*100)</f>
        <v>116.99629659248045</v>
      </c>
      <c r="Z84">
        <f>IF(OR(Calc_오픈정렬!$F84="",Calc_오픈정렬!Z84=""),"",Calc_오픈정렬!Z84/Calc_오픈정렬!$F84*100)</f>
        <v>111.27144427039045</v>
      </c>
      <c r="AA84">
        <f>IF(OR(Calc_오픈정렬!$F84="",Calc_오픈정렬!AA84=""),"",Calc_오픈정렬!AA84/Calc_오픈정렬!$F84*100)</f>
        <v>97.248306987919449</v>
      </c>
      <c r="AB84">
        <f>IF(OR(Calc_오픈정렬!$F84="",Calc_오픈정렬!AB84=""),"",Calc_오픈정렬!AB84/Calc_오픈정렬!$F84*100)</f>
        <v>120.11188978644111</v>
      </c>
      <c r="AC84">
        <f>IF(OR(Calc_오픈정렬!$F84="",Calc_오픈정렬!AC84=""),"",Calc_오픈정렬!AC84/Calc_오픈정렬!$F84*100)</f>
        <v>126.12810099708815</v>
      </c>
      <c r="AD84">
        <f>IF(OR(Calc_오픈정렬!$F84="",Calc_오픈정렬!AD84=""),"",Calc_오픈정렬!AD84/Calc_오픈정렬!$F84*100)</f>
        <v>124.06428808280904</v>
      </c>
      <c r="AE84">
        <f>IF(OR(Calc_오픈정렬!$F84="",Calc_오픈정렬!AE84=""),"",Calc_오픈정렬!AE84/Calc_오픈정렬!$F84*100)</f>
        <v>146.47869441344517</v>
      </c>
      <c r="AF84">
        <f>IF(OR(Calc_오픈정렬!$F84="",Calc_오픈정렬!AF84=""),"",Calc_오픈정렬!AF84/Calc_오픈정렬!$F84*100)</f>
        <v>149.2273157240646</v>
      </c>
      <c r="AG84">
        <f>IF(OR(Calc_오픈정렬!$F84="",Calc_오픈정렬!AG84=""),"",Calc_오픈정렬!AG84/Calc_오픈정렬!$F84*100)</f>
        <v>125.4472641676096</v>
      </c>
      <c r="AH84">
        <f>IF(OR(Calc_오픈정렬!$F84="",Calc_오픈정렬!AH84=""),"",Calc_오픈정렬!AH84/Calc_오픈정렬!$F84*100)</f>
        <v>141.27114458048277</v>
      </c>
      <c r="AI84">
        <f>IF(OR(Calc_오픈정렬!$F84="",Calc_오픈정렬!AI84=""),"",Calc_오픈정렬!AI84/Calc_오픈정렬!$F84*100)</f>
        <v>152.64277348871161</v>
      </c>
      <c r="AJ84">
        <f>IF(OR(Calc_오픈정렬!$F84="",Calc_오픈정렬!AJ84=""),"",Calc_오픈정렬!AJ84/Calc_오픈정렬!$F84*100)</f>
        <v>137.01948496271845</v>
      </c>
      <c r="AK84">
        <f>IF(OR(Calc_오픈정렬!$F84="",Calc_오픈정렬!AK84=""),"",Calc_오픈정렬!AK84/Calc_오픈정렬!$F84*100)</f>
        <v>135.21230945852074</v>
      </c>
      <c r="AL84">
        <f>IF(OR(Calc_오픈정렬!$F84="",Calc_오픈정렬!AL84=""),"",Calc_오픈정렬!AL84/Calc_오픈정렬!$F84*100)</f>
        <v>133.32904350897047</v>
      </c>
      <c r="AM84">
        <f>IF(OR(Calc_오픈정렬!$F84="",Calc_오픈정렬!AM84=""),"",Calc_오픈정렬!AM84/Calc_오픈정렬!$F84*100)</f>
        <v>121.49495253021058</v>
      </c>
      <c r="AN84">
        <f>IF(OR(Calc_오픈정렬!$F84="",Calc_오픈정렬!AN84=""),"",Calc_오픈정렬!AN84/Calc_오픈정렬!$F84*100)</f>
        <v>126.19084341176449</v>
      </c>
      <c r="AO84">
        <f>IF(OR(Calc_오픈정렬!$F84="",Calc_오픈정렬!AO84=""),"",Calc_오픈정렬!AO84/Calc_오픈정렬!$F84*100)</f>
        <v>140.90117197470281</v>
      </c>
      <c r="AP84">
        <f>IF(OR(Calc_오픈정렬!$F84="",Calc_오픈정렬!AP84=""),"",Calc_오픈정렬!AP84/Calc_오픈정렬!$F84*100)</f>
        <v>147.10074822687659</v>
      </c>
      <c r="AQ84">
        <f>IF(OR(Calc_오픈정렬!$F84="",Calc_오픈정렬!AQ84=""),"",Calc_오픈정렬!AQ84/Calc_오픈정렬!$F84*100)</f>
        <v>161.26613129879084</v>
      </c>
      <c r="AR84" t="str">
        <f>IF(OR(Calc_오픈정렬!$F84="",Calc_오픈정렬!AR84=""),"",Calc_오픈정렬!AR84/Calc_오픈정렬!$F84*100)</f>
        <v/>
      </c>
      <c r="AS84" t="str">
        <f>IF(OR(Calc_오픈정렬!$F84="",Calc_오픈정렬!AS84=""),"",Calc_오픈정렬!AS84/Calc_오픈정렬!$F84*100)</f>
        <v/>
      </c>
      <c r="AT84" t="str">
        <f>IF(OR(Calc_오픈정렬!$F84="",Calc_오픈정렬!AT84=""),"",Calc_오픈정렬!AT84/Calc_오픈정렬!$F84*100)</f>
        <v/>
      </c>
      <c r="AU84" t="str">
        <f>IF(OR(Calc_오픈정렬!$F84="",Calc_오픈정렬!AU84=""),"",Calc_오픈정렬!AU84/Calc_오픈정렬!$F84*100)</f>
        <v/>
      </c>
      <c r="AV84" t="str">
        <f>IF(OR(Calc_오픈정렬!$F84="",Calc_오픈정렬!AV84=""),"",Calc_오픈정렬!AV84/Calc_오픈정렬!$F84*100)</f>
        <v/>
      </c>
      <c r="AW84" t="str">
        <f>IF(OR(Calc_오픈정렬!$F84="",Calc_오픈정렬!AW84=""),"",Calc_오픈정렬!AW84/Calc_오픈정렬!$F84*100)</f>
        <v/>
      </c>
      <c r="AX84" t="str">
        <f>IF(OR(Calc_오픈정렬!$F84="",Calc_오픈정렬!AX84=""),"",Calc_오픈정렬!AX84/Calc_오픈정렬!$F84*100)</f>
        <v/>
      </c>
      <c r="AY84" t="str">
        <f>IF(OR(Calc_오픈정렬!$F84="",Calc_오픈정렬!AY84=""),"",Calc_오픈정렬!AY84/Calc_오픈정렬!$F84*100)</f>
        <v/>
      </c>
      <c r="AZ84" t="str">
        <f>IF(OR(Calc_오픈정렬!$F84="",Calc_오픈정렬!AZ84=""),"",Calc_오픈정렬!AZ84/Calc_오픈정렬!$F84*100)</f>
        <v/>
      </c>
      <c r="BA84" t="str">
        <f>IF(OR(Calc_오픈정렬!$F84="",Calc_오픈정렬!BA84=""),"",Calc_오픈정렬!BA84/Calc_오픈정렬!$F84*100)</f>
        <v/>
      </c>
      <c r="BB84" t="str">
        <f>IF(OR(Calc_오픈정렬!$F84="",Calc_오픈정렬!BB84=""),"",Calc_오픈정렬!BB84/Calc_오픈정렬!$F84*100)</f>
        <v/>
      </c>
      <c r="BC84" t="str">
        <f>IF(OR(Calc_오픈정렬!$F84="",Calc_오픈정렬!BC84=""),"",Calc_오픈정렬!BC84/Calc_오픈정렬!$F84*100)</f>
        <v/>
      </c>
      <c r="BD84" t="str">
        <f>IF(OR(Calc_오픈정렬!$F84="",Calc_오픈정렬!BD84=""),"",Calc_오픈정렬!BD84/Calc_오픈정렬!$F84*100)</f>
        <v/>
      </c>
      <c r="BE84" t="str">
        <f>IF(OR(Calc_오픈정렬!$F84="",Calc_오픈정렬!BE84=""),"",Calc_오픈정렬!BE84/Calc_오픈정렬!$F84*100)</f>
        <v/>
      </c>
      <c r="BF84" t="str">
        <f>IF(OR(Calc_오픈정렬!$F84="",Calc_오픈정렬!BF84=""),"",Calc_오픈정렬!BF84/Calc_오픈정렬!$F84*100)</f>
        <v/>
      </c>
      <c r="BG84" t="str">
        <f>IF(OR(Calc_오픈정렬!$F84="",Calc_오픈정렬!BG84=""),"",Calc_오픈정렬!BG84/Calc_오픈정렬!$F84*100)</f>
        <v/>
      </c>
      <c r="BH84" t="str">
        <f>IF(OR(Calc_오픈정렬!$F84="",Calc_오픈정렬!BH84=""),"",Calc_오픈정렬!BH84/Calc_오픈정렬!$F84*100)</f>
        <v/>
      </c>
      <c r="BI84" t="str">
        <f>IF(OR(Calc_오픈정렬!$F84="",Calc_오픈정렬!BI84=""),"",Calc_오픈정렬!BI84/Calc_오픈정렬!$F84*100)</f>
        <v/>
      </c>
      <c r="BJ84" t="str">
        <f>IF(OR(Calc_오픈정렬!$F84="",Calc_오픈정렬!BJ84=""),"",Calc_오픈정렬!BJ84/Calc_오픈정렬!$F84*100)</f>
        <v/>
      </c>
      <c r="BK84" t="str">
        <f>IF(OR(Calc_오픈정렬!$F84="",Calc_오픈정렬!BK84=""),"",Calc_오픈정렬!BK84/Calc_오픈정렬!$F84*100)</f>
        <v/>
      </c>
      <c r="BL84" t="str">
        <f>IF(OR(Calc_오픈정렬!$F84="",Calc_오픈정렬!BL84=""),"",Calc_오픈정렬!BL84/Calc_오픈정렬!$F84*100)</f>
        <v/>
      </c>
      <c r="BM84" t="str">
        <f>IF(OR(Calc_오픈정렬!$F84="",Calc_오픈정렬!BM84=""),"",Calc_오픈정렬!BM84/Calc_오픈정렬!$F84*100)</f>
        <v/>
      </c>
      <c r="BN84" t="str">
        <f>IF(OR(Calc_오픈정렬!$F84="",Calc_오픈정렬!BN84=""),"",Calc_오픈정렬!BN84/Calc_오픈정렬!$F84*100)</f>
        <v/>
      </c>
    </row>
    <row r="85" spans="1:66" x14ac:dyDescent="0.4">
      <c r="A85" t="str">
        <f>Calc_오픈정렬!A85</f>
        <v>(1074) #평택용이파크점</v>
      </c>
      <c r="B85" t="str">
        <f>Calc_오픈정렬!B85</f>
        <v>150-1</v>
      </c>
      <c r="C85">
        <f>Calc_오픈정렬!C85</f>
        <v>1</v>
      </c>
      <c r="D85" t="str">
        <f>Calc_오픈정렬!D85</f>
        <v>1</v>
      </c>
      <c r="E85" s="1">
        <f>Calc_오픈정렬!E85</f>
        <v>45078</v>
      </c>
      <c r="F85">
        <f>Calc_오픈정렬!F85</f>
        <v>1863720.903358401</v>
      </c>
      <c r="G85">
        <f>IF(OR(Calc_오픈정렬!$F85="",Calc_오픈정렬!G85=""),"",Calc_오픈정렬!G85/Calc_오픈정렬!$F85*100)</f>
        <v>57.329228506386364</v>
      </c>
      <c r="H85">
        <f>IF(OR(Calc_오픈정렬!$F85="",Calc_오픈정렬!H85=""),"",Calc_오픈정렬!H85/Calc_오픈정렬!$F85*100)</f>
        <v>70.115714339788482</v>
      </c>
      <c r="I85">
        <f>IF(OR(Calc_오픈정렬!$F85="",Calc_오픈정렬!I85=""),"",Calc_오픈정렬!I85/Calc_오픈정렬!$F85*100)</f>
        <v>61.861208359013716</v>
      </c>
      <c r="J85">
        <f>IF(OR(Calc_오픈정렬!$F85="",Calc_오픈정렬!J85=""),"",Calc_오픈정렬!J85/Calc_오픈정렬!$F85*100)</f>
        <v>67.30888402859128</v>
      </c>
      <c r="K85">
        <f>IF(OR(Calc_오픈정렬!$F85="",Calc_오픈정렬!K85=""),"",Calc_오픈정렬!K85/Calc_오픈정렬!$F85*100)</f>
        <v>84.96444253975254</v>
      </c>
      <c r="L85">
        <f>IF(OR(Calc_오픈정렬!$F85="",Calc_오픈정렬!L85=""),"",Calc_오픈정렬!L85/Calc_오픈정렬!$F85*100)</f>
        <v>86.827917148136081</v>
      </c>
      <c r="M85">
        <f>IF(OR(Calc_오픈정렬!$F85="",Calc_오픈정렬!M85=""),"",Calc_오픈정렬!M85/Calc_오픈정렬!$F85*100)</f>
        <v>105.64087145137123</v>
      </c>
      <c r="N85">
        <f>IF(OR(Calc_오픈정렬!$F85="",Calc_오픈정렬!N85=""),"",Calc_오픈정렬!N85/Calc_오픈정렬!$F85*100)</f>
        <v>125.0036072856834</v>
      </c>
      <c r="O85">
        <f>IF(OR(Calc_오픈정렬!$F85="",Calc_오픈정렬!O85=""),"",Calc_오픈정렬!O85/Calc_오픈정렬!$F85*100)</f>
        <v>130.25427754646546</v>
      </c>
      <c r="P85">
        <f>IF(OR(Calc_오픈정렬!$F85="",Calc_오픈정렬!P85=""),"",Calc_오픈정렬!P85/Calc_오픈정렬!$F85*100)</f>
        <v>140.44392942619254</v>
      </c>
      <c r="Q85">
        <f>IF(OR(Calc_오픈정렬!$F85="",Calc_오픈정렬!Q85=""),"",Calc_오픈정렬!Q85/Calc_오픈정렬!$F85*100)</f>
        <v>138.37726453557218</v>
      </c>
      <c r="R85">
        <f>IF(OR(Calc_오픈정렬!$F85="",Calc_오픈정렬!R85=""),"",Calc_오픈정렬!R85/Calc_오픈정렬!$F85*100)</f>
        <v>114.79844546654851</v>
      </c>
      <c r="S85">
        <f>IF(OR(Calc_오픈정렬!$F85="",Calc_오픈정렬!S85=""),"",Calc_오픈정렬!S85/Calc_오픈정렬!$F85*100)</f>
        <v>109.76865557753428</v>
      </c>
      <c r="T85">
        <f>IF(OR(Calc_오픈정렬!$F85="",Calc_오픈정렬!T85=""),"",Calc_오픈정렬!T85/Calc_오픈정렬!$F85*100)</f>
        <v>116.46825507922172</v>
      </c>
      <c r="U85">
        <f>IF(OR(Calc_오픈정렬!$F85="",Calc_오픈정렬!U85=""),"",Calc_오픈정렬!U85/Calc_오픈정렬!$F85*100)</f>
        <v>107.86144476605422</v>
      </c>
      <c r="V85">
        <f>IF(OR(Calc_오픈정렬!$F85="",Calc_오픈정렬!V85=""),"",Calc_오픈정렬!V85/Calc_오픈정렬!$F85*100)</f>
        <v>114.67697526495419</v>
      </c>
      <c r="W85">
        <f>IF(OR(Calc_오픈정렬!$F85="",Calc_오픈정렬!W85=""),"",Calc_오픈정렬!W85/Calc_오픈정렬!$F85*100)</f>
        <v>104.52523979651983</v>
      </c>
      <c r="X85">
        <f>IF(OR(Calc_오픈정렬!$F85="",Calc_오픈정렬!X85=""),"",Calc_오픈정렬!X85/Calc_오픈정렬!$F85*100)</f>
        <v>127.36252308799291</v>
      </c>
      <c r="Y85">
        <f>IF(OR(Calc_오픈정렬!$F85="",Calc_오픈정렬!Y85=""),"",Calc_오픈정렬!Y85/Calc_오픈정렬!$F85*100)</f>
        <v>121.5484046761384</v>
      </c>
      <c r="Z85">
        <f>IF(OR(Calc_오픈정렬!$F85="",Calc_오픈정렬!Z85=""),"",Calc_오픈정렬!Z85/Calc_오픈정렬!$F85*100)</f>
        <v>139.70107255819792</v>
      </c>
      <c r="AA85">
        <f>IF(OR(Calc_오픈정렬!$F85="",Calc_오픈정렬!AA85=""),"",Calc_오픈정렬!AA85/Calc_오픈정렬!$F85*100)</f>
        <v>117.77089957961951</v>
      </c>
      <c r="AB85">
        <f>IF(OR(Calc_오픈정렬!$F85="",Calc_오픈정렬!AB85=""),"",Calc_오픈정렬!AB85/Calc_오픈정렬!$F85*100)</f>
        <v>121.80513236794042</v>
      </c>
      <c r="AC85">
        <f>IF(OR(Calc_오픈정렬!$F85="",Calc_오픈정렬!AC85=""),"",Calc_오픈정렬!AC85/Calc_오픈정렬!$F85*100)</f>
        <v>116.87866312412083</v>
      </c>
      <c r="AD85">
        <f>IF(OR(Calc_오픈정렬!$F85="",Calc_오픈정렬!AD85=""),"",Calc_오픈정렬!AD85/Calc_오픈정렬!$F85*100)</f>
        <v>109.4082374453299</v>
      </c>
      <c r="AE85">
        <f>IF(OR(Calc_오픈정렬!$F85="",Calc_오픈정렬!AE85=""),"",Calc_오픈정렬!AE85/Calc_오픈정렬!$F85*100)</f>
        <v>143.88450837962012</v>
      </c>
      <c r="AF85">
        <f>IF(OR(Calc_오픈정렬!$F85="",Calc_오픈정렬!AF85=""),"",Calc_오픈정렬!AF85/Calc_오픈정렬!$F85*100)</f>
        <v>99.079004337374172</v>
      </c>
      <c r="AG85">
        <f>IF(OR(Calc_오픈정렬!$F85="",Calc_오픈정렬!AG85=""),"",Calc_오픈정렬!AG85/Calc_오픈정렬!$F85*100)</f>
        <v>119.82881495093436</v>
      </c>
      <c r="AH85">
        <f>IF(OR(Calc_오픈정렬!$F85="",Calc_오픈정렬!AH85=""),"",Calc_오픈정렬!AH85/Calc_오픈정렬!$F85*100)</f>
        <v>105.6444016956715</v>
      </c>
      <c r="AI85">
        <f>IF(OR(Calc_오픈정렬!$F85="",Calc_오픈정렬!AI85=""),"",Calc_오픈정렬!AI85/Calc_오픈정렬!$F85*100)</f>
        <v>146.26385277031054</v>
      </c>
      <c r="AJ85">
        <f>IF(OR(Calc_오픈정렬!$F85="",Calc_오픈정렬!AJ85=""),"",Calc_오픈정렬!AJ85/Calc_오픈정렬!$F85*100)</f>
        <v>128.17164849263074</v>
      </c>
      <c r="AK85">
        <f>IF(OR(Calc_오픈정렬!$F85="",Calc_오픈정렬!AK85=""),"",Calc_오픈정렬!AK85/Calc_오픈정렬!$F85*100)</f>
        <v>142.56286100407468</v>
      </c>
      <c r="AL85">
        <f>IF(OR(Calc_오픈정렬!$F85="",Calc_오픈정렬!AL85=""),"",Calc_오픈정렬!AL85/Calc_오픈정렬!$F85*100)</f>
        <v>147.46977487589359</v>
      </c>
      <c r="AM85">
        <f>IF(OR(Calc_오픈정렬!$F85="",Calc_오픈정렬!AM85=""),"",Calc_오픈정렬!AM85/Calc_오픈정렬!$F85*100)</f>
        <v>139.51018349434617</v>
      </c>
      <c r="AN85">
        <f>IF(OR(Calc_오픈정렬!$F85="",Calc_오픈정렬!AN85=""),"",Calc_오픈정렬!AN85/Calc_오픈정렬!$F85*100)</f>
        <v>142.90664709408779</v>
      </c>
      <c r="AO85">
        <f>IF(OR(Calc_오픈정렬!$F85="",Calc_오픈정렬!AO85=""),"",Calc_오픈정렬!AO85/Calc_오픈정렬!$F85*100)</f>
        <v>168.22454046384604</v>
      </c>
      <c r="AP85">
        <f>IF(OR(Calc_오픈정렬!$F85="",Calc_오픈정렬!AP85=""),"",Calc_오픈정렬!AP85/Calc_오픈정렬!$F85*100)</f>
        <v>203.57010472955585</v>
      </c>
      <c r="AQ85" t="str">
        <f>IF(OR(Calc_오픈정렬!$F85="",Calc_오픈정렬!AQ85=""),"",Calc_오픈정렬!AQ85/Calc_오픈정렬!$F85*100)</f>
        <v/>
      </c>
      <c r="AR85" t="str">
        <f>IF(OR(Calc_오픈정렬!$F85="",Calc_오픈정렬!AR85=""),"",Calc_오픈정렬!AR85/Calc_오픈정렬!$F85*100)</f>
        <v/>
      </c>
      <c r="AS85" t="str">
        <f>IF(OR(Calc_오픈정렬!$F85="",Calc_오픈정렬!AS85=""),"",Calc_오픈정렬!AS85/Calc_오픈정렬!$F85*100)</f>
        <v/>
      </c>
      <c r="AT85" t="str">
        <f>IF(OR(Calc_오픈정렬!$F85="",Calc_오픈정렬!AT85=""),"",Calc_오픈정렬!AT85/Calc_오픈정렬!$F85*100)</f>
        <v/>
      </c>
      <c r="AU85" t="str">
        <f>IF(OR(Calc_오픈정렬!$F85="",Calc_오픈정렬!AU85=""),"",Calc_오픈정렬!AU85/Calc_오픈정렬!$F85*100)</f>
        <v/>
      </c>
      <c r="AV85" t="str">
        <f>IF(OR(Calc_오픈정렬!$F85="",Calc_오픈정렬!AV85=""),"",Calc_오픈정렬!AV85/Calc_오픈정렬!$F85*100)</f>
        <v/>
      </c>
      <c r="AW85" t="str">
        <f>IF(OR(Calc_오픈정렬!$F85="",Calc_오픈정렬!AW85=""),"",Calc_오픈정렬!AW85/Calc_오픈정렬!$F85*100)</f>
        <v/>
      </c>
      <c r="AX85" t="str">
        <f>IF(OR(Calc_오픈정렬!$F85="",Calc_오픈정렬!AX85=""),"",Calc_오픈정렬!AX85/Calc_오픈정렬!$F85*100)</f>
        <v/>
      </c>
      <c r="AY85" t="str">
        <f>IF(OR(Calc_오픈정렬!$F85="",Calc_오픈정렬!AY85=""),"",Calc_오픈정렬!AY85/Calc_오픈정렬!$F85*100)</f>
        <v/>
      </c>
      <c r="AZ85" t="str">
        <f>IF(OR(Calc_오픈정렬!$F85="",Calc_오픈정렬!AZ85=""),"",Calc_오픈정렬!AZ85/Calc_오픈정렬!$F85*100)</f>
        <v/>
      </c>
      <c r="BA85" t="str">
        <f>IF(OR(Calc_오픈정렬!$F85="",Calc_오픈정렬!BA85=""),"",Calc_오픈정렬!BA85/Calc_오픈정렬!$F85*100)</f>
        <v/>
      </c>
      <c r="BB85" t="str">
        <f>IF(OR(Calc_오픈정렬!$F85="",Calc_오픈정렬!BB85=""),"",Calc_오픈정렬!BB85/Calc_오픈정렬!$F85*100)</f>
        <v/>
      </c>
      <c r="BC85" t="str">
        <f>IF(OR(Calc_오픈정렬!$F85="",Calc_오픈정렬!BC85=""),"",Calc_오픈정렬!BC85/Calc_오픈정렬!$F85*100)</f>
        <v/>
      </c>
      <c r="BD85" t="str">
        <f>IF(OR(Calc_오픈정렬!$F85="",Calc_오픈정렬!BD85=""),"",Calc_오픈정렬!BD85/Calc_오픈정렬!$F85*100)</f>
        <v/>
      </c>
      <c r="BE85" t="str">
        <f>IF(OR(Calc_오픈정렬!$F85="",Calc_오픈정렬!BE85=""),"",Calc_오픈정렬!BE85/Calc_오픈정렬!$F85*100)</f>
        <v/>
      </c>
      <c r="BF85" t="str">
        <f>IF(OR(Calc_오픈정렬!$F85="",Calc_오픈정렬!BF85=""),"",Calc_오픈정렬!BF85/Calc_오픈정렬!$F85*100)</f>
        <v/>
      </c>
      <c r="BG85" t="str">
        <f>IF(OR(Calc_오픈정렬!$F85="",Calc_오픈정렬!BG85=""),"",Calc_오픈정렬!BG85/Calc_오픈정렬!$F85*100)</f>
        <v/>
      </c>
      <c r="BH85" t="str">
        <f>IF(OR(Calc_오픈정렬!$F85="",Calc_오픈정렬!BH85=""),"",Calc_오픈정렬!BH85/Calc_오픈정렬!$F85*100)</f>
        <v/>
      </c>
      <c r="BI85" t="str">
        <f>IF(OR(Calc_오픈정렬!$F85="",Calc_오픈정렬!BI85=""),"",Calc_오픈정렬!BI85/Calc_오픈정렬!$F85*100)</f>
        <v/>
      </c>
      <c r="BJ85" t="str">
        <f>IF(OR(Calc_오픈정렬!$F85="",Calc_오픈정렬!BJ85=""),"",Calc_오픈정렬!BJ85/Calc_오픈정렬!$F85*100)</f>
        <v/>
      </c>
      <c r="BK85" t="str">
        <f>IF(OR(Calc_오픈정렬!$F85="",Calc_오픈정렬!BK85=""),"",Calc_오픈정렬!BK85/Calc_오픈정렬!$F85*100)</f>
        <v/>
      </c>
      <c r="BL85" t="str">
        <f>IF(OR(Calc_오픈정렬!$F85="",Calc_오픈정렬!BL85=""),"",Calc_오픈정렬!BL85/Calc_오픈정렬!$F85*100)</f>
        <v/>
      </c>
      <c r="BM85" t="str">
        <f>IF(OR(Calc_오픈정렬!$F85="",Calc_오픈정렬!BM85=""),"",Calc_오픈정렬!BM85/Calc_오픈정렬!$F85*100)</f>
        <v/>
      </c>
      <c r="BN85" t="str">
        <f>IF(OR(Calc_오픈정렬!$F85="",Calc_오픈정렬!BN85=""),"",Calc_오픈정렬!BN85/Calc_오픈정렬!$F85*100)</f>
        <v/>
      </c>
    </row>
    <row r="86" spans="1:66" x14ac:dyDescent="0.4">
      <c r="A86" t="str">
        <f>Calc_오픈정렬!A86</f>
        <v>(1075) #연대동문점</v>
      </c>
      <c r="B86" t="str">
        <f>Calc_오픈정렬!B86</f>
        <v>150-1</v>
      </c>
      <c r="C86">
        <f>Calc_오픈정렬!C86</f>
        <v>1</v>
      </c>
      <c r="D86" t="str">
        <f>Calc_오픈정렬!D86</f>
        <v>1</v>
      </c>
      <c r="E86" s="1">
        <f>Calc_오픈정렬!E86</f>
        <v>45078</v>
      </c>
      <c r="F86">
        <f>Calc_오픈정렬!F86</f>
        <v>5522471.0536741242</v>
      </c>
      <c r="G86">
        <f>IF(OR(Calc_오픈정렬!$F86="",Calc_오픈정렬!G86=""),"",Calc_오픈정렬!G86/Calc_오픈정렬!$F86*100)</f>
        <v>71.657638205875045</v>
      </c>
      <c r="H86">
        <f>IF(OR(Calc_오픈정렬!$F86="",Calc_오픈정렬!H86=""),"",Calc_오픈정렬!H86/Calc_오픈정렬!$F86*100)</f>
        <v>85.532778356956797</v>
      </c>
      <c r="I86">
        <f>IF(OR(Calc_오픈정렬!$F86="",Calc_오픈정렬!I86=""),"",Calc_오픈정렬!I86/Calc_오픈정렬!$F86*100)</f>
        <v>92.72303075968648</v>
      </c>
      <c r="J86">
        <f>IF(OR(Calc_오픈정렬!$F86="",Calc_오픈정렬!J86=""),"",Calc_오픈정렬!J86/Calc_오픈정렬!$F86*100)</f>
        <v>96.983417553956997</v>
      </c>
      <c r="K86">
        <f>IF(OR(Calc_오픈정렬!$F86="",Calc_오픈정렬!K86=""),"",Calc_오픈정렬!K86/Calc_오픈정렬!$F86*100)</f>
        <v>101.72821567071696</v>
      </c>
      <c r="L86">
        <f>IF(OR(Calc_오픈정렬!$F86="",Calc_오픈정렬!L86=""),"",Calc_오픈정렬!L86/Calc_오픈정렬!$F86*100)</f>
        <v>94.076379275326644</v>
      </c>
      <c r="M86">
        <f>IF(OR(Calc_오픈정렬!$F86="",Calc_오픈정렬!M86=""),"",Calc_오픈정렬!M86/Calc_오픈정렬!$F86*100)</f>
        <v>103.30167205837417</v>
      </c>
      <c r="N86">
        <f>IF(OR(Calc_오픈정렬!$F86="",Calc_오픈정렬!N86=""),"",Calc_오픈정렬!N86/Calc_오픈정렬!$F86*100)</f>
        <v>100.73396079299049</v>
      </c>
      <c r="O86">
        <f>IF(OR(Calc_오픈정렬!$F86="",Calc_오픈정렬!O86=""),"",Calc_오픈정렬!O86/Calc_오픈정렬!$F86*100)</f>
        <v>103.1763546486347</v>
      </c>
      <c r="P86">
        <f>IF(OR(Calc_오픈정렬!$F86="",Calc_오픈정렬!P86=""),"",Calc_오픈정렬!P86/Calc_오픈정렬!$F86*100)</f>
        <v>118.47346175420903</v>
      </c>
      <c r="Q86">
        <f>IF(OR(Calc_오픈정렬!$F86="",Calc_오픈정렬!Q86=""),"",Calc_오픈정렬!Q86/Calc_오픈정렬!$F86*100)</f>
        <v>84.808546760546605</v>
      </c>
      <c r="R86">
        <f>IF(OR(Calc_오픈정렬!$F86="",Calc_오픈정렬!R86=""),"",Calc_오픈정렬!R86/Calc_오픈정렬!$F86*100)</f>
        <v>86.186985088000483</v>
      </c>
      <c r="S86">
        <f>IF(OR(Calc_오픈정렬!$F86="",Calc_오픈정렬!S86=""),"",Calc_오픈정렬!S86/Calc_오픈정렬!$F86*100)</f>
        <v>81.467804189875309</v>
      </c>
      <c r="T86">
        <f>IF(OR(Calc_오픈정렬!$F86="",Calc_오픈정렬!T86=""),"",Calc_오픈정렬!T86/Calc_오픈정렬!$F86*100)</f>
        <v>88.316452948868942</v>
      </c>
      <c r="U86">
        <f>IF(OR(Calc_오픈정렬!$F86="",Calc_오픈정렬!U86=""),"",Calc_오픈정렬!U86/Calc_오픈정렬!$F86*100)</f>
        <v>94.001729252708557</v>
      </c>
      <c r="V86">
        <f>IF(OR(Calc_오픈정렬!$F86="",Calc_오픈정렬!V86=""),"",Calc_오픈정렬!V86/Calc_오픈정렬!$F86*100)</f>
        <v>84.656531293704973</v>
      </c>
      <c r="W86">
        <f>IF(OR(Calc_오픈정렬!$F86="",Calc_오픈정렬!W86=""),"",Calc_오픈정렬!W86/Calc_오픈정렬!$F86*100)</f>
        <v>85.349722308456705</v>
      </c>
      <c r="X86">
        <f>IF(OR(Calc_오픈정렬!$F86="",Calc_오픈정렬!X86=""),"",Calc_오픈정렬!X86/Calc_오픈정렬!$F86*100)</f>
        <v>83.766936898648908</v>
      </c>
      <c r="Y86">
        <f>IF(OR(Calc_오픈정렬!$F86="",Calc_오픈정렬!Y86=""),"",Calc_오픈정렬!Y86/Calc_오픈정렬!$F86*100)</f>
        <v>79.613827320536146</v>
      </c>
      <c r="Z86">
        <f>IF(OR(Calc_오픈정렬!$F86="",Calc_오픈정렬!Z86=""),"",Calc_오픈정렬!Z86/Calc_오픈정렬!$F86*100)</f>
        <v>76.181547270221571</v>
      </c>
      <c r="AA86">
        <f>IF(OR(Calc_오픈정렬!$F86="",Calc_오픈정렬!AA86=""),"",Calc_오픈정렬!AA86/Calc_오픈정렬!$F86*100)</f>
        <v>87.283403792234054</v>
      </c>
      <c r="AB86">
        <f>IF(OR(Calc_오픈정렬!$F86="",Calc_오픈정렬!AB86=""),"",Calc_오픈정렬!AB86/Calc_오픈정렬!$F86*100)</f>
        <v>93.352491003820276</v>
      </c>
      <c r="AC86">
        <f>IF(OR(Calc_오픈정렬!$F86="",Calc_오픈정렬!AC86=""),"",Calc_오픈정렬!AC86/Calc_오픈정렬!$F86*100)</f>
        <v>80.595140465827356</v>
      </c>
      <c r="AD86">
        <f>IF(OR(Calc_오픈정렬!$F86="",Calc_오픈정렬!AD86=""),"",Calc_오픈정렬!AD86/Calc_오픈정렬!$F86*100)</f>
        <v>89.634052039596881</v>
      </c>
      <c r="AE86">
        <f>IF(OR(Calc_오픈정렬!$F86="",Calc_오픈정렬!AE86=""),"",Calc_오픈정렬!AE86/Calc_오픈정렬!$F86*100)</f>
        <v>88.248507764593569</v>
      </c>
      <c r="AF86">
        <f>IF(OR(Calc_오픈정렬!$F86="",Calc_오픈정렬!AF86=""),"",Calc_오픈정렬!AF86/Calc_오픈정렬!$F86*100)</f>
        <v>85.505965682227341</v>
      </c>
      <c r="AG86">
        <f>IF(OR(Calc_오픈정렬!$F86="",Calc_오픈정렬!AG86=""),"",Calc_오픈정렬!AG86/Calc_오픈정렬!$F86*100)</f>
        <v>92.985300586592771</v>
      </c>
      <c r="AH86">
        <f>IF(OR(Calc_오픈정렬!$F86="",Calc_오픈정렬!AH86=""),"",Calc_오픈정렬!AH86/Calc_오픈정렬!$F86*100)</f>
        <v>96.338489130651809</v>
      </c>
      <c r="AI86">
        <f>IF(OR(Calc_오픈정렬!$F86="",Calc_오픈정렬!AI86=""),"",Calc_오픈정렬!AI86/Calc_오픈정렬!$F86*100)</f>
        <v>83.105717551014422</v>
      </c>
      <c r="AJ86">
        <f>IF(OR(Calc_오픈정렬!$F86="",Calc_오픈정렬!AJ86=""),"",Calc_오픈정렬!AJ86/Calc_오픈정렬!$F86*100)</f>
        <v>85.36392213530273</v>
      </c>
      <c r="AK86">
        <f>IF(OR(Calc_오픈정렬!$F86="",Calc_오픈정렬!AK86=""),"",Calc_오픈정렬!AK86/Calc_오픈정렬!$F86*100)</f>
        <v>74.882356712862858</v>
      </c>
      <c r="AL86">
        <f>IF(OR(Calc_오픈정렬!$F86="",Calc_오픈정렬!AL86=""),"",Calc_오픈정렬!AL86/Calc_오픈정렬!$F86*100)</f>
        <v>75.699362916758886</v>
      </c>
      <c r="AM86">
        <f>IF(OR(Calc_오픈정렬!$F86="",Calc_오픈정렬!AM86=""),"",Calc_오픈정렬!AM86/Calc_오픈정렬!$F86*100)</f>
        <v>87.796426131917244</v>
      </c>
      <c r="AN86">
        <f>IF(OR(Calc_오픈정렬!$F86="",Calc_오픈정렬!AN86=""),"",Calc_오픈정렬!AN86/Calc_오픈정렬!$F86*100)</f>
        <v>89.731728859108216</v>
      </c>
      <c r="AO86">
        <f>IF(OR(Calc_오픈정렬!$F86="",Calc_오픈정렬!AO86=""),"",Calc_오픈정렬!AO86/Calc_오픈정렬!$F86*100)</f>
        <v>86.099927455311814</v>
      </c>
      <c r="AP86">
        <f>IF(OR(Calc_오픈정렬!$F86="",Calc_오픈정렬!AP86=""),"",Calc_오픈정렬!AP86/Calc_오픈정렬!$F86*100)</f>
        <v>102.23050564170883</v>
      </c>
      <c r="AQ86" t="str">
        <f>IF(OR(Calc_오픈정렬!$F86="",Calc_오픈정렬!AQ86=""),"",Calc_오픈정렬!AQ86/Calc_오픈정렬!$F86*100)</f>
        <v/>
      </c>
      <c r="AR86" t="str">
        <f>IF(OR(Calc_오픈정렬!$F86="",Calc_오픈정렬!AR86=""),"",Calc_오픈정렬!AR86/Calc_오픈정렬!$F86*100)</f>
        <v/>
      </c>
      <c r="AS86" t="str">
        <f>IF(OR(Calc_오픈정렬!$F86="",Calc_오픈정렬!AS86=""),"",Calc_오픈정렬!AS86/Calc_오픈정렬!$F86*100)</f>
        <v/>
      </c>
      <c r="AT86" t="str">
        <f>IF(OR(Calc_오픈정렬!$F86="",Calc_오픈정렬!AT86=""),"",Calc_오픈정렬!AT86/Calc_오픈정렬!$F86*100)</f>
        <v/>
      </c>
      <c r="AU86" t="str">
        <f>IF(OR(Calc_오픈정렬!$F86="",Calc_오픈정렬!AU86=""),"",Calc_오픈정렬!AU86/Calc_오픈정렬!$F86*100)</f>
        <v/>
      </c>
      <c r="AV86" t="str">
        <f>IF(OR(Calc_오픈정렬!$F86="",Calc_오픈정렬!AV86=""),"",Calc_오픈정렬!AV86/Calc_오픈정렬!$F86*100)</f>
        <v/>
      </c>
      <c r="AW86" t="str">
        <f>IF(OR(Calc_오픈정렬!$F86="",Calc_오픈정렬!AW86=""),"",Calc_오픈정렬!AW86/Calc_오픈정렬!$F86*100)</f>
        <v/>
      </c>
      <c r="AX86" t="str">
        <f>IF(OR(Calc_오픈정렬!$F86="",Calc_오픈정렬!AX86=""),"",Calc_오픈정렬!AX86/Calc_오픈정렬!$F86*100)</f>
        <v/>
      </c>
      <c r="AY86" t="str">
        <f>IF(OR(Calc_오픈정렬!$F86="",Calc_오픈정렬!AY86=""),"",Calc_오픈정렬!AY86/Calc_오픈정렬!$F86*100)</f>
        <v/>
      </c>
      <c r="AZ86" t="str">
        <f>IF(OR(Calc_오픈정렬!$F86="",Calc_오픈정렬!AZ86=""),"",Calc_오픈정렬!AZ86/Calc_오픈정렬!$F86*100)</f>
        <v/>
      </c>
      <c r="BA86" t="str">
        <f>IF(OR(Calc_오픈정렬!$F86="",Calc_오픈정렬!BA86=""),"",Calc_오픈정렬!BA86/Calc_오픈정렬!$F86*100)</f>
        <v/>
      </c>
      <c r="BB86" t="str">
        <f>IF(OR(Calc_오픈정렬!$F86="",Calc_오픈정렬!BB86=""),"",Calc_오픈정렬!BB86/Calc_오픈정렬!$F86*100)</f>
        <v/>
      </c>
      <c r="BC86" t="str">
        <f>IF(OR(Calc_오픈정렬!$F86="",Calc_오픈정렬!BC86=""),"",Calc_오픈정렬!BC86/Calc_오픈정렬!$F86*100)</f>
        <v/>
      </c>
      <c r="BD86" t="str">
        <f>IF(OR(Calc_오픈정렬!$F86="",Calc_오픈정렬!BD86=""),"",Calc_오픈정렬!BD86/Calc_오픈정렬!$F86*100)</f>
        <v/>
      </c>
      <c r="BE86" t="str">
        <f>IF(OR(Calc_오픈정렬!$F86="",Calc_오픈정렬!BE86=""),"",Calc_오픈정렬!BE86/Calc_오픈정렬!$F86*100)</f>
        <v/>
      </c>
      <c r="BF86" t="str">
        <f>IF(OR(Calc_오픈정렬!$F86="",Calc_오픈정렬!BF86=""),"",Calc_오픈정렬!BF86/Calc_오픈정렬!$F86*100)</f>
        <v/>
      </c>
      <c r="BG86" t="str">
        <f>IF(OR(Calc_오픈정렬!$F86="",Calc_오픈정렬!BG86=""),"",Calc_오픈정렬!BG86/Calc_오픈정렬!$F86*100)</f>
        <v/>
      </c>
      <c r="BH86" t="str">
        <f>IF(OR(Calc_오픈정렬!$F86="",Calc_오픈정렬!BH86=""),"",Calc_오픈정렬!BH86/Calc_오픈정렬!$F86*100)</f>
        <v/>
      </c>
      <c r="BI86" t="str">
        <f>IF(OR(Calc_오픈정렬!$F86="",Calc_오픈정렬!BI86=""),"",Calc_오픈정렬!BI86/Calc_오픈정렬!$F86*100)</f>
        <v/>
      </c>
      <c r="BJ86" t="str">
        <f>IF(OR(Calc_오픈정렬!$F86="",Calc_오픈정렬!BJ86=""),"",Calc_오픈정렬!BJ86/Calc_오픈정렬!$F86*100)</f>
        <v/>
      </c>
      <c r="BK86" t="str">
        <f>IF(OR(Calc_오픈정렬!$F86="",Calc_오픈정렬!BK86=""),"",Calc_오픈정렬!BK86/Calc_오픈정렬!$F86*100)</f>
        <v/>
      </c>
      <c r="BL86" t="str">
        <f>IF(OR(Calc_오픈정렬!$F86="",Calc_오픈정렬!BL86=""),"",Calc_오픈정렬!BL86/Calc_오픈정렬!$F86*100)</f>
        <v/>
      </c>
      <c r="BM86" t="str">
        <f>IF(OR(Calc_오픈정렬!$F86="",Calc_오픈정렬!BM86=""),"",Calc_오픈정렬!BM86/Calc_오픈정렬!$F86*100)</f>
        <v/>
      </c>
      <c r="BN86" t="str">
        <f>IF(OR(Calc_오픈정렬!$F86="",Calc_오픈정렬!BN86=""),"",Calc_오픈정렬!BN86/Calc_오픈정렬!$F86*100)</f>
        <v/>
      </c>
    </row>
    <row r="87" spans="1:66" x14ac:dyDescent="0.4">
      <c r="A87" t="str">
        <f>Calc_오픈정렬!A87</f>
        <v>(1076) #수원매탄스쿨점</v>
      </c>
      <c r="B87" t="str">
        <f>Calc_오픈정렬!B87</f>
        <v>150-0</v>
      </c>
      <c r="C87">
        <f>Calc_오픈정렬!C87</f>
        <v>0</v>
      </c>
      <c r="D87" t="str">
        <f>Calc_오픈정렬!D87</f>
        <v>0</v>
      </c>
      <c r="E87" s="1">
        <f>Calc_오픈정렬!E87</f>
        <v>45108</v>
      </c>
      <c r="F87">
        <f>Calc_오픈정렬!F87</f>
        <v>4865677.8820060771</v>
      </c>
      <c r="G87">
        <f>IF(OR(Calc_오픈정렬!$F87="",Calc_오픈정렬!G87=""),"",Calc_오픈정렬!G87/Calc_오픈정렬!$F87*100)</f>
        <v>67.448069801987202</v>
      </c>
      <c r="H87">
        <f>IF(OR(Calc_오픈정렬!$F87="",Calc_오픈정렬!H87=""),"",Calc_오픈정렬!H87/Calc_오픈정렬!$F87*100)</f>
        <v>76.104012017801452</v>
      </c>
      <c r="I87">
        <f>IF(OR(Calc_오픈정렬!$F87="",Calc_오픈정렬!I87=""),"",Calc_오픈정렬!I87/Calc_오픈정렬!$F87*100)</f>
        <v>90.564037600659617</v>
      </c>
      <c r="J87">
        <f>IF(OR(Calc_오픈정렬!$F87="",Calc_오픈정렬!J87=""),"",Calc_오픈정렬!J87/Calc_오픈정렬!$F87*100)</f>
        <v>80.514408843349401</v>
      </c>
      <c r="K87">
        <f>IF(OR(Calc_오픈정렬!$F87="",Calc_오픈정렬!K87=""),"",Calc_오픈정렬!K87/Calc_오픈정렬!$F87*100)</f>
        <v>90.479656342949042</v>
      </c>
      <c r="L87">
        <f>IF(OR(Calc_오픈정렬!$F87="",Calc_오픈정렬!L87=""),"",Calc_오픈정렬!L87/Calc_오픈정렬!$F87*100)</f>
        <v>98.770742125841466</v>
      </c>
      <c r="M87">
        <f>IF(OR(Calc_오픈정렬!$F87="",Calc_오픈정렬!M87=""),"",Calc_오픈정렬!M87/Calc_오픈정렬!$F87*100)</f>
        <v>108.75043667696038</v>
      </c>
      <c r="N87">
        <f>IF(OR(Calc_오픈정렬!$F87="",Calc_오픈정렬!N87=""),"",Calc_오픈정렬!N87/Calc_오픈정렬!$F87*100)</f>
        <v>112.25109161849412</v>
      </c>
      <c r="O87">
        <f>IF(OR(Calc_오픈정렬!$F87="",Calc_오픈정렬!O87=""),"",Calc_오픈정렬!O87/Calc_오픈정렬!$F87*100)</f>
        <v>109.23366439240554</v>
      </c>
      <c r="P87">
        <f>IF(OR(Calc_오픈정렬!$F87="",Calc_오픈정렬!P87=""),"",Calc_오픈정렬!P87/Calc_오픈정렬!$F87*100)</f>
        <v>105.36325604014766</v>
      </c>
      <c r="Q87">
        <f>IF(OR(Calc_오픈정렬!$F87="",Calc_오픈정렬!Q87=""),"",Calc_오픈정렬!Q87/Calc_오픈정렬!$F87*100)</f>
        <v>102.90517518628242</v>
      </c>
      <c r="R87">
        <f>IF(OR(Calc_오픈정렬!$F87="",Calc_오픈정렬!R87=""),"",Calc_오픈정렬!R87/Calc_오픈정렬!$F87*100)</f>
        <v>113.53059271392692</v>
      </c>
      <c r="S87">
        <f>IF(OR(Calc_오픈정렬!$F87="",Calc_오픈정렬!S87=""),"",Calc_오픈정렬!S87/Calc_오픈정렬!$F87*100)</f>
        <v>127.29442692086108</v>
      </c>
      <c r="T87">
        <f>IF(OR(Calc_오픈정렬!$F87="",Calc_오픈정렬!T87=""),"",Calc_오픈정렬!T87/Calc_오픈정렬!$F87*100)</f>
        <v>116.48573679055525</v>
      </c>
      <c r="U87">
        <f>IF(OR(Calc_오픈정렬!$F87="",Calc_오픈정렬!U87=""),"",Calc_오픈정렬!U87/Calc_오픈정렬!$F87*100)</f>
        <v>115.74564331402345</v>
      </c>
      <c r="V87">
        <f>IF(OR(Calc_오픈정렬!$F87="",Calc_오픈정렬!V87=""),"",Calc_오픈정렬!V87/Calc_오픈정렬!$F87*100)</f>
        <v>129.46809395345235</v>
      </c>
      <c r="W87">
        <f>IF(OR(Calc_오픈정렬!$F87="",Calc_오픈정렬!W87=""),"",Calc_오픈정렬!W87/Calc_오픈정렬!$F87*100)</f>
        <v>136.66050452486721</v>
      </c>
      <c r="X87">
        <f>IF(OR(Calc_오픈정렬!$F87="",Calc_오픈정렬!X87=""),"",Calc_오픈정렬!X87/Calc_오픈정렬!$F87*100)</f>
        <v>130.56082385565114</v>
      </c>
      <c r="Y87">
        <f>IF(OR(Calc_오픈정렬!$F87="",Calc_오픈정렬!Y87=""),"",Calc_오픈정렬!Y87/Calc_오픈정렬!$F87*100)</f>
        <v>148.27300071814378</v>
      </c>
      <c r="Z87">
        <f>IF(OR(Calc_오픈정렬!$F87="",Calc_오픈정렬!Z87=""),"",Calc_오픈정렬!Z87/Calc_오픈정렬!$F87*100)</f>
        <v>151.18923217067069</v>
      </c>
      <c r="AA87">
        <f>IF(OR(Calc_오픈정렬!$F87="",Calc_오픈정렬!AA87=""),"",Calc_오픈정렬!AA87/Calc_오픈정렬!$F87*100)</f>
        <v>153.77860041173108</v>
      </c>
      <c r="AB87">
        <f>IF(OR(Calc_오픈정렬!$F87="",Calc_오픈정렬!AB87=""),"",Calc_오픈정렬!AB87/Calc_오픈정렬!$F87*100)</f>
        <v>128.13076654549184</v>
      </c>
      <c r="AC87">
        <f>IF(OR(Calc_오픈정렬!$F87="",Calc_오픈정렬!AC87=""),"",Calc_오픈정렬!AC87/Calc_오픈정렬!$F87*100)</f>
        <v>139.80506854110845</v>
      </c>
      <c r="AD87">
        <f>IF(OR(Calc_오픈정렬!$F87="",Calc_오픈정렬!AD87=""),"",Calc_오픈정렬!AD87/Calc_오픈정렬!$F87*100)</f>
        <v>142.49620426779558</v>
      </c>
      <c r="AE87">
        <f>IF(OR(Calc_오픈정렬!$F87="",Calc_오픈정렬!AE87=""),"",Calc_오픈정렬!AE87/Calc_오픈정렬!$F87*100)</f>
        <v>123.89488006647534</v>
      </c>
      <c r="AF87">
        <f>IF(OR(Calc_오픈정렬!$F87="",Calc_오픈정렬!AF87=""),"",Calc_오픈정렬!AF87/Calc_오픈정렬!$F87*100)</f>
        <v>96.000323836455394</v>
      </c>
      <c r="AG87">
        <f>IF(OR(Calc_오픈정렬!$F87="",Calc_오픈정렬!AG87=""),"",Calc_오픈정렬!AG87/Calc_오픈정렬!$F87*100)</f>
        <v>70.835158756796972</v>
      </c>
      <c r="AH87">
        <f>IF(OR(Calc_오픈정렬!$F87="",Calc_오픈정렬!AH87=""),"",Calc_오픈정렬!AH87/Calc_오픈정렬!$F87*100)</f>
        <v>71.501631073476219</v>
      </c>
      <c r="AI87">
        <f>IF(OR(Calc_오픈정렬!$F87="",Calc_오픈정렬!AI87=""),"",Calc_오픈정렬!AI87/Calc_오픈정렬!$F87*100)</f>
        <v>71.249842351475195</v>
      </c>
      <c r="AJ87">
        <f>IF(OR(Calc_오픈정렬!$F87="",Calc_오픈정렬!AJ87=""),"",Calc_오픈정렬!AJ87/Calc_오픈정렬!$F87*100)</f>
        <v>65.543449723836872</v>
      </c>
      <c r="AK87">
        <f>IF(OR(Calc_오픈정렬!$F87="",Calc_오픈정렬!AK87=""),"",Calc_오픈정렬!AK87/Calc_오픈정렬!$F87*100)</f>
        <v>93.959418208307412</v>
      </c>
      <c r="AL87">
        <f>IF(OR(Calc_오픈정렬!$F87="",Calc_오픈정렬!AL87=""),"",Calc_오픈정렬!AL87/Calc_오픈정렬!$F87*100)</f>
        <v>86.09978465032107</v>
      </c>
      <c r="AM87">
        <f>IF(OR(Calc_오픈정렬!$F87="",Calc_오픈정렬!AM87=""),"",Calc_오픈정렬!AM87/Calc_오픈정렬!$F87*100)</f>
        <v>83.735241249180135</v>
      </c>
      <c r="AN87">
        <f>IF(OR(Calc_오픈정렬!$F87="",Calc_오픈정렬!AN87=""),"",Calc_오픈정렬!AN87/Calc_오픈정렬!$F87*100)</f>
        <v>87.137874742371864</v>
      </c>
      <c r="AO87">
        <f>IF(OR(Calc_오픈정렬!$F87="",Calc_오픈정렬!AO87=""),"",Calc_오픈정렬!AO87/Calc_오픈정렬!$F87*100)</f>
        <v>78.453161321876991</v>
      </c>
      <c r="AP87" t="str">
        <f>IF(OR(Calc_오픈정렬!$F87="",Calc_오픈정렬!AP87=""),"",Calc_오픈정렬!AP87/Calc_오픈정렬!$F87*100)</f>
        <v/>
      </c>
      <c r="AQ87" t="str">
        <f>IF(OR(Calc_오픈정렬!$F87="",Calc_오픈정렬!AQ87=""),"",Calc_오픈정렬!AQ87/Calc_오픈정렬!$F87*100)</f>
        <v/>
      </c>
      <c r="AR87" t="str">
        <f>IF(OR(Calc_오픈정렬!$F87="",Calc_오픈정렬!AR87=""),"",Calc_오픈정렬!AR87/Calc_오픈정렬!$F87*100)</f>
        <v/>
      </c>
      <c r="AS87" t="str">
        <f>IF(OR(Calc_오픈정렬!$F87="",Calc_오픈정렬!AS87=""),"",Calc_오픈정렬!AS87/Calc_오픈정렬!$F87*100)</f>
        <v/>
      </c>
      <c r="AT87" t="str">
        <f>IF(OR(Calc_오픈정렬!$F87="",Calc_오픈정렬!AT87=""),"",Calc_오픈정렬!AT87/Calc_오픈정렬!$F87*100)</f>
        <v/>
      </c>
      <c r="AU87" t="str">
        <f>IF(OR(Calc_오픈정렬!$F87="",Calc_오픈정렬!AU87=""),"",Calc_오픈정렬!AU87/Calc_오픈정렬!$F87*100)</f>
        <v/>
      </c>
      <c r="AV87" t="str">
        <f>IF(OR(Calc_오픈정렬!$F87="",Calc_오픈정렬!AV87=""),"",Calc_오픈정렬!AV87/Calc_오픈정렬!$F87*100)</f>
        <v/>
      </c>
      <c r="AW87" t="str">
        <f>IF(OR(Calc_오픈정렬!$F87="",Calc_오픈정렬!AW87=""),"",Calc_오픈정렬!AW87/Calc_오픈정렬!$F87*100)</f>
        <v/>
      </c>
      <c r="AX87" t="str">
        <f>IF(OR(Calc_오픈정렬!$F87="",Calc_오픈정렬!AX87=""),"",Calc_오픈정렬!AX87/Calc_오픈정렬!$F87*100)</f>
        <v/>
      </c>
      <c r="AY87" t="str">
        <f>IF(OR(Calc_오픈정렬!$F87="",Calc_오픈정렬!AY87=""),"",Calc_오픈정렬!AY87/Calc_오픈정렬!$F87*100)</f>
        <v/>
      </c>
      <c r="AZ87" t="str">
        <f>IF(OR(Calc_오픈정렬!$F87="",Calc_오픈정렬!AZ87=""),"",Calc_오픈정렬!AZ87/Calc_오픈정렬!$F87*100)</f>
        <v/>
      </c>
      <c r="BA87" t="str">
        <f>IF(OR(Calc_오픈정렬!$F87="",Calc_오픈정렬!BA87=""),"",Calc_오픈정렬!BA87/Calc_오픈정렬!$F87*100)</f>
        <v/>
      </c>
      <c r="BB87" t="str">
        <f>IF(OR(Calc_오픈정렬!$F87="",Calc_오픈정렬!BB87=""),"",Calc_오픈정렬!BB87/Calc_오픈정렬!$F87*100)</f>
        <v/>
      </c>
      <c r="BC87" t="str">
        <f>IF(OR(Calc_오픈정렬!$F87="",Calc_오픈정렬!BC87=""),"",Calc_오픈정렬!BC87/Calc_오픈정렬!$F87*100)</f>
        <v/>
      </c>
      <c r="BD87" t="str">
        <f>IF(OR(Calc_오픈정렬!$F87="",Calc_오픈정렬!BD87=""),"",Calc_오픈정렬!BD87/Calc_오픈정렬!$F87*100)</f>
        <v/>
      </c>
      <c r="BE87" t="str">
        <f>IF(OR(Calc_오픈정렬!$F87="",Calc_오픈정렬!BE87=""),"",Calc_오픈정렬!BE87/Calc_오픈정렬!$F87*100)</f>
        <v/>
      </c>
      <c r="BF87" t="str">
        <f>IF(OR(Calc_오픈정렬!$F87="",Calc_오픈정렬!BF87=""),"",Calc_오픈정렬!BF87/Calc_오픈정렬!$F87*100)</f>
        <v/>
      </c>
      <c r="BG87" t="str">
        <f>IF(OR(Calc_오픈정렬!$F87="",Calc_오픈정렬!BG87=""),"",Calc_오픈정렬!BG87/Calc_오픈정렬!$F87*100)</f>
        <v/>
      </c>
      <c r="BH87" t="str">
        <f>IF(OR(Calc_오픈정렬!$F87="",Calc_오픈정렬!BH87=""),"",Calc_오픈정렬!BH87/Calc_오픈정렬!$F87*100)</f>
        <v/>
      </c>
      <c r="BI87" t="str">
        <f>IF(OR(Calc_오픈정렬!$F87="",Calc_오픈정렬!BI87=""),"",Calc_오픈정렬!BI87/Calc_오픈정렬!$F87*100)</f>
        <v/>
      </c>
      <c r="BJ87" t="str">
        <f>IF(OR(Calc_오픈정렬!$F87="",Calc_오픈정렬!BJ87=""),"",Calc_오픈정렬!BJ87/Calc_오픈정렬!$F87*100)</f>
        <v/>
      </c>
      <c r="BK87" t="str">
        <f>IF(OR(Calc_오픈정렬!$F87="",Calc_오픈정렬!BK87=""),"",Calc_오픈정렬!BK87/Calc_오픈정렬!$F87*100)</f>
        <v/>
      </c>
      <c r="BL87" t="str">
        <f>IF(OR(Calc_오픈정렬!$F87="",Calc_오픈정렬!BL87=""),"",Calc_오픈정렬!BL87/Calc_오픈정렬!$F87*100)</f>
        <v/>
      </c>
      <c r="BM87" t="str">
        <f>IF(OR(Calc_오픈정렬!$F87="",Calc_오픈정렬!BM87=""),"",Calc_오픈정렬!BM87/Calc_오픈정렬!$F87*100)</f>
        <v/>
      </c>
      <c r="BN87" t="str">
        <f>IF(OR(Calc_오픈정렬!$F87="",Calc_오픈정렬!BN87=""),"",Calc_오픈정렬!BN87/Calc_오픈정렬!$F87*100)</f>
        <v/>
      </c>
    </row>
    <row r="88" spans="1:66" x14ac:dyDescent="0.4">
      <c r="A88" t="str">
        <f>Calc_오픈정렬!A88</f>
        <v>(1077) #양청송대공원점</v>
      </c>
      <c r="B88" t="str">
        <f>Calc_오픈정렬!B88</f>
        <v>150-0</v>
      </c>
      <c r="C88">
        <f>Calc_오픈정렬!C88</f>
        <v>0</v>
      </c>
      <c r="D88" t="str">
        <f>Calc_오픈정렬!D88</f>
        <v>0</v>
      </c>
      <c r="E88" s="1">
        <f>Calc_오픈정렬!E88</f>
        <v>45139</v>
      </c>
      <c r="F88">
        <f>Calc_오픈정렬!F88</f>
        <v>3799437.6680105771</v>
      </c>
      <c r="G88">
        <f>IF(OR(Calc_오픈정렬!$F88="",Calc_오픈정렬!G88=""),"",Calc_오픈정렬!G88/Calc_오픈정렬!$F88*100)</f>
        <v>50.752300611838287</v>
      </c>
      <c r="H88">
        <f>IF(OR(Calc_오픈정렬!$F88="",Calc_오픈정렬!H88=""),"",Calc_오픈정렬!H88/Calc_오픈정렬!$F88*100)</f>
        <v>52.673236657923439</v>
      </c>
      <c r="I88">
        <f>IF(OR(Calc_오픈정렬!$F88="",Calc_오픈정렬!I88=""),"",Calc_오픈정렬!I88/Calc_오픈정렬!$F88*100)</f>
        <v>71.21130045204157</v>
      </c>
      <c r="J88">
        <f>IF(OR(Calc_오픈정렬!$F88="",Calc_오픈정렬!J88=""),"",Calc_오픈정렬!J88/Calc_오픈정렬!$F88*100)</f>
        <v>84.207809405504136</v>
      </c>
      <c r="K88">
        <f>IF(OR(Calc_오픈정렬!$F88="",Calc_오픈정렬!K88=""),"",Calc_오픈정렬!K88/Calc_오픈정렬!$F88*100)</f>
        <v>89.164651576327387</v>
      </c>
      <c r="L88">
        <f>IF(OR(Calc_오픈정렬!$F88="",Calc_오픈정렬!L88=""),"",Calc_오픈정렬!L88/Calc_오픈정렬!$F88*100)</f>
        <v>110.96904688142379</v>
      </c>
      <c r="M88">
        <f>IF(OR(Calc_오픈정렬!$F88="",Calc_오픈정렬!M88=""),"",Calc_오픈정렬!M88/Calc_오픈정렬!$F88*100)</f>
        <v>106.36162116772464</v>
      </c>
      <c r="N88">
        <f>IF(OR(Calc_오픈정렬!$F88="",Calc_오픈정렬!N88=""),"",Calc_오픈정렬!N88/Calc_오픈정렬!$F88*100)</f>
        <v>109.46690218804187</v>
      </c>
      <c r="O88">
        <f>IF(OR(Calc_오픈정렬!$F88="",Calc_오픈정렬!O88=""),"",Calc_오픈정렬!O88/Calc_오픈정렬!$F88*100)</f>
        <v>99.829968780978177</v>
      </c>
      <c r="P88">
        <f>IF(OR(Calc_오픈정렬!$F88="",Calc_오픈정렬!P88=""),"",Calc_오픈정렬!P88/Calc_오픈정렬!$F88*100)</f>
        <v>90.012068545765615</v>
      </c>
      <c r="Q88">
        <f>IF(OR(Calc_오픈정렬!$F88="",Calc_오픈정렬!Q88=""),"",Calc_오픈정렬!Q88/Calc_오픈정렬!$F88*100)</f>
        <v>92.262188048888589</v>
      </c>
      <c r="R88">
        <f>IF(OR(Calc_오픈정렬!$F88="",Calc_오픈정렬!R88=""),"",Calc_오픈정렬!R88/Calc_오픈정렬!$F88*100)</f>
        <v>96.248616316880558</v>
      </c>
      <c r="S88">
        <f>IF(OR(Calc_오픈정렬!$F88="",Calc_오픈정렬!S88=""),"",Calc_오픈정렬!S88/Calc_오픈정렬!$F88*100)</f>
        <v>94.975053405929827</v>
      </c>
      <c r="T88">
        <f>IF(OR(Calc_오픈정렬!$F88="",Calc_오픈정렬!T88=""),"",Calc_오픈정렬!T88/Calc_오픈정렬!$F88*100)</f>
        <v>92.988861349897959</v>
      </c>
      <c r="U88">
        <f>IF(OR(Calc_오픈정렬!$F88="",Calc_오픈정렬!U88=""),"",Calc_오픈정렬!U88/Calc_오픈정렬!$F88*100)</f>
        <v>86.398427002616529</v>
      </c>
      <c r="V88">
        <f>IF(OR(Calc_오픈정렬!$F88="",Calc_오픈정렬!V88=""),"",Calc_오픈정렬!V88/Calc_오픈정렬!$F88*100)</f>
        <v>89.643270558394377</v>
      </c>
      <c r="W88">
        <f>IF(OR(Calc_오픈정렬!$F88="",Calc_오픈정렬!W88=""),"",Calc_오픈정렬!W88/Calc_오픈정렬!$F88*100)</f>
        <v>96.798573962852402</v>
      </c>
      <c r="X88">
        <f>IF(OR(Calc_오픈정렬!$F88="",Calc_오픈정렬!X88=""),"",Calc_오픈정렬!X88/Calc_오픈정렬!$F88*100)</f>
        <v>125.95123579993286</v>
      </c>
      <c r="Y88">
        <f>IF(OR(Calc_오픈정렬!$F88="",Calc_오픈정렬!Y88=""),"",Calc_오픈정렬!Y88/Calc_오픈정렬!$F88*100)</f>
        <v>114.98748591143308</v>
      </c>
      <c r="Z88">
        <f>IF(OR(Calc_오픈정렬!$F88="",Calc_오픈정렬!Z88=""),"",Calc_오픈정렬!Z88/Calc_오픈정렬!$F88*100)</f>
        <v>131.53151891613538</v>
      </c>
      <c r="AA88">
        <f>IF(OR(Calc_오픈정렬!$F88="",Calc_오픈정렬!AA88=""),"",Calc_오픈정렬!AA88/Calc_오픈정렬!$F88*100)</f>
        <v>107.71388034253174</v>
      </c>
      <c r="AB88">
        <f>IF(OR(Calc_오픈정렬!$F88="",Calc_오픈정렬!AB88=""),"",Calc_오픈정렬!AB88/Calc_오픈정렬!$F88*100)</f>
        <v>122.75388041970294</v>
      </c>
      <c r="AC88">
        <f>IF(OR(Calc_오픈정렬!$F88="",Calc_오픈정렬!AC88=""),"",Calc_오픈정렬!AC88/Calc_오픈정렬!$F88*100)</f>
        <v>112.26070215753555</v>
      </c>
      <c r="AD88">
        <f>IF(OR(Calc_오픈정렬!$F88="",Calc_오픈정렬!AD88=""),"",Calc_오픈정렬!AD88/Calc_오픈정렬!$F88*100)</f>
        <v>108.75289057673191</v>
      </c>
      <c r="AE88">
        <f>IF(OR(Calc_오픈정렬!$F88="",Calc_오픈정렬!AE88=""),"",Calc_오픈정렬!AE88/Calc_오픈정렬!$F88*100)</f>
        <v>99.136621348706868</v>
      </c>
      <c r="AF88">
        <f>IF(OR(Calc_오픈정렬!$F88="",Calc_오픈정렬!AF88=""),"",Calc_오픈정렬!AF88/Calc_오픈정렬!$F88*100)</f>
        <v>109.14996805176082</v>
      </c>
      <c r="AG88">
        <f>IF(OR(Calc_오픈정렬!$F88="",Calc_오픈정렬!AG88=""),"",Calc_오픈정렬!AG88/Calc_오픈정렬!$F88*100)</f>
        <v>109.06743506099339</v>
      </c>
      <c r="AH88">
        <f>IF(OR(Calc_오픈정렬!$F88="",Calc_오픈정렬!AH88=""),"",Calc_오픈정렬!AH88/Calc_오픈정렬!$F88*100)</f>
        <v>128.89356447588878</v>
      </c>
      <c r="AI88">
        <f>IF(OR(Calc_오픈정렬!$F88="",Calc_오픈정렬!AI88=""),"",Calc_오픈정렬!AI88/Calc_오픈정렬!$F88*100)</f>
        <v>111.87691427306923</v>
      </c>
      <c r="AJ88">
        <f>IF(OR(Calc_오픈정렬!$F88="",Calc_오픈정렬!AJ88=""),"",Calc_오픈정렬!AJ88/Calc_오픈정렬!$F88*100)</f>
        <v>131.59131375032376</v>
      </c>
      <c r="AK88">
        <f>IF(OR(Calc_오픈정렬!$F88="",Calc_오픈정렬!AK88=""),"",Calc_오픈정렬!AK88/Calc_오픈정렬!$F88*100)</f>
        <v>135.565406799443</v>
      </c>
      <c r="AL88">
        <f>IF(OR(Calc_오픈정렬!$F88="",Calc_오픈정렬!AL88=""),"",Calc_오픈정렬!AL88/Calc_오픈정렬!$F88*100)</f>
        <v>115.62187445154137</v>
      </c>
      <c r="AM88">
        <f>IF(OR(Calc_오픈정렬!$F88="",Calc_오픈정렬!AM88=""),"",Calc_오픈정렬!AM88/Calc_오픈정렬!$F88*100)</f>
        <v>115.05857882869641</v>
      </c>
      <c r="AN88">
        <f>IF(OR(Calc_오픈정렬!$F88="",Calc_오픈정렬!AN88=""),"",Calc_오픈정렬!AN88/Calc_오픈정렬!$F88*100)</f>
        <v>110.55135631666646</v>
      </c>
      <c r="AO88" t="str">
        <f>IF(OR(Calc_오픈정렬!$F88="",Calc_오픈정렬!AO88=""),"",Calc_오픈정렬!AO88/Calc_오픈정렬!$F88*100)</f>
        <v/>
      </c>
      <c r="AP88" t="str">
        <f>IF(OR(Calc_오픈정렬!$F88="",Calc_오픈정렬!AP88=""),"",Calc_오픈정렬!AP88/Calc_오픈정렬!$F88*100)</f>
        <v/>
      </c>
      <c r="AQ88" t="str">
        <f>IF(OR(Calc_오픈정렬!$F88="",Calc_오픈정렬!AQ88=""),"",Calc_오픈정렬!AQ88/Calc_오픈정렬!$F88*100)</f>
        <v/>
      </c>
      <c r="AR88" t="str">
        <f>IF(OR(Calc_오픈정렬!$F88="",Calc_오픈정렬!AR88=""),"",Calc_오픈정렬!AR88/Calc_오픈정렬!$F88*100)</f>
        <v/>
      </c>
      <c r="AS88" t="str">
        <f>IF(OR(Calc_오픈정렬!$F88="",Calc_오픈정렬!AS88=""),"",Calc_오픈정렬!AS88/Calc_오픈정렬!$F88*100)</f>
        <v/>
      </c>
      <c r="AT88" t="str">
        <f>IF(OR(Calc_오픈정렬!$F88="",Calc_오픈정렬!AT88=""),"",Calc_오픈정렬!AT88/Calc_오픈정렬!$F88*100)</f>
        <v/>
      </c>
      <c r="AU88" t="str">
        <f>IF(OR(Calc_오픈정렬!$F88="",Calc_오픈정렬!AU88=""),"",Calc_오픈정렬!AU88/Calc_오픈정렬!$F88*100)</f>
        <v/>
      </c>
      <c r="AV88" t="str">
        <f>IF(OR(Calc_오픈정렬!$F88="",Calc_오픈정렬!AV88=""),"",Calc_오픈정렬!AV88/Calc_오픈정렬!$F88*100)</f>
        <v/>
      </c>
      <c r="AW88" t="str">
        <f>IF(OR(Calc_오픈정렬!$F88="",Calc_오픈정렬!AW88=""),"",Calc_오픈정렬!AW88/Calc_오픈정렬!$F88*100)</f>
        <v/>
      </c>
      <c r="AX88" t="str">
        <f>IF(OR(Calc_오픈정렬!$F88="",Calc_오픈정렬!AX88=""),"",Calc_오픈정렬!AX88/Calc_오픈정렬!$F88*100)</f>
        <v/>
      </c>
      <c r="AY88" t="str">
        <f>IF(OR(Calc_오픈정렬!$F88="",Calc_오픈정렬!AY88=""),"",Calc_오픈정렬!AY88/Calc_오픈정렬!$F88*100)</f>
        <v/>
      </c>
      <c r="AZ88" t="str">
        <f>IF(OR(Calc_오픈정렬!$F88="",Calc_오픈정렬!AZ88=""),"",Calc_오픈정렬!AZ88/Calc_오픈정렬!$F88*100)</f>
        <v/>
      </c>
      <c r="BA88" t="str">
        <f>IF(OR(Calc_오픈정렬!$F88="",Calc_오픈정렬!BA88=""),"",Calc_오픈정렬!BA88/Calc_오픈정렬!$F88*100)</f>
        <v/>
      </c>
      <c r="BB88" t="str">
        <f>IF(OR(Calc_오픈정렬!$F88="",Calc_오픈정렬!BB88=""),"",Calc_오픈정렬!BB88/Calc_오픈정렬!$F88*100)</f>
        <v/>
      </c>
      <c r="BC88" t="str">
        <f>IF(OR(Calc_오픈정렬!$F88="",Calc_오픈정렬!BC88=""),"",Calc_오픈정렬!BC88/Calc_오픈정렬!$F88*100)</f>
        <v/>
      </c>
      <c r="BD88" t="str">
        <f>IF(OR(Calc_오픈정렬!$F88="",Calc_오픈정렬!BD88=""),"",Calc_오픈정렬!BD88/Calc_오픈정렬!$F88*100)</f>
        <v/>
      </c>
      <c r="BE88" t="str">
        <f>IF(OR(Calc_오픈정렬!$F88="",Calc_오픈정렬!BE88=""),"",Calc_오픈정렬!BE88/Calc_오픈정렬!$F88*100)</f>
        <v/>
      </c>
      <c r="BF88" t="str">
        <f>IF(OR(Calc_오픈정렬!$F88="",Calc_오픈정렬!BF88=""),"",Calc_오픈정렬!BF88/Calc_오픈정렬!$F88*100)</f>
        <v/>
      </c>
      <c r="BG88" t="str">
        <f>IF(OR(Calc_오픈정렬!$F88="",Calc_오픈정렬!BG88=""),"",Calc_오픈정렬!BG88/Calc_오픈정렬!$F88*100)</f>
        <v/>
      </c>
      <c r="BH88" t="str">
        <f>IF(OR(Calc_오픈정렬!$F88="",Calc_오픈정렬!BH88=""),"",Calc_오픈정렬!BH88/Calc_오픈정렬!$F88*100)</f>
        <v/>
      </c>
      <c r="BI88" t="str">
        <f>IF(OR(Calc_오픈정렬!$F88="",Calc_오픈정렬!BI88=""),"",Calc_오픈정렬!BI88/Calc_오픈정렬!$F88*100)</f>
        <v/>
      </c>
      <c r="BJ88" t="str">
        <f>IF(OR(Calc_오픈정렬!$F88="",Calc_오픈정렬!BJ88=""),"",Calc_오픈정렬!BJ88/Calc_오픈정렬!$F88*100)</f>
        <v/>
      </c>
      <c r="BK88" t="str">
        <f>IF(OR(Calc_오픈정렬!$F88="",Calc_오픈정렬!BK88=""),"",Calc_오픈정렬!BK88/Calc_오픈정렬!$F88*100)</f>
        <v/>
      </c>
      <c r="BL88" t="str">
        <f>IF(OR(Calc_오픈정렬!$F88="",Calc_오픈정렬!BL88=""),"",Calc_오픈정렬!BL88/Calc_오픈정렬!$F88*100)</f>
        <v/>
      </c>
      <c r="BM88" t="str">
        <f>IF(OR(Calc_오픈정렬!$F88="",Calc_오픈정렬!BM88=""),"",Calc_오픈정렬!BM88/Calc_오픈정렬!$F88*100)</f>
        <v/>
      </c>
      <c r="BN88" t="str">
        <f>IF(OR(Calc_오픈정렬!$F88="",Calc_오픈정렬!BN88=""),"",Calc_오픈정렬!BN88/Calc_오픈정렬!$F88*100)</f>
        <v/>
      </c>
    </row>
    <row r="89" spans="1:66" x14ac:dyDescent="0.4">
      <c r="A89" t="str">
        <f>Calc_오픈정렬!A89</f>
        <v>(1078) #오창양청파크점</v>
      </c>
      <c r="B89" t="str">
        <f>Calc_오픈정렬!B89</f>
        <v>150-0</v>
      </c>
      <c r="C89">
        <f>Calc_오픈정렬!C89</f>
        <v>0</v>
      </c>
      <c r="D89" t="str">
        <f>Calc_오픈정렬!D89</f>
        <v>0</v>
      </c>
      <c r="E89" s="1">
        <f>Calc_오픈정렬!E89</f>
        <v>45139</v>
      </c>
      <c r="F89">
        <f>Calc_오픈정렬!F89</f>
        <v>3626866.4647597629</v>
      </c>
      <c r="G89">
        <f>IF(OR(Calc_오픈정렬!$F89="",Calc_오픈정렬!G89=""),"",Calc_오픈정렬!G89/Calc_오픈정렬!$F89*100)</f>
        <v>38.646935459908498</v>
      </c>
      <c r="H89">
        <f>IF(OR(Calc_오픈정렬!$F89="",Calc_오픈정렬!H89=""),"",Calc_오픈정렬!H89/Calc_오픈정렬!$F89*100)</f>
        <v>55.549060050843913</v>
      </c>
      <c r="I89">
        <f>IF(OR(Calc_오픈정렬!$F89="",Calc_오픈정렬!I89=""),"",Calc_오픈정렬!I89/Calc_오픈정렬!$F89*100)</f>
        <v>69.932681068103335</v>
      </c>
      <c r="J89">
        <f>IF(OR(Calc_오픈정렬!$F89="",Calc_오픈정렬!J89=""),"",Calc_오픈정렬!J89/Calc_오픈정렬!$F89*100)</f>
        <v>83.566782207444774</v>
      </c>
      <c r="K89">
        <f>IF(OR(Calc_오픈정렬!$F89="",Calc_오픈정렬!K89=""),"",Calc_오픈정렬!K89/Calc_오픈정렬!$F89*100)</f>
        <v>84.682960269829124</v>
      </c>
      <c r="L89">
        <f>IF(OR(Calc_오픈정렬!$F89="",Calc_오픈정렬!L89=""),"",Calc_오픈정렬!L89/Calc_오픈정렬!$F89*100)</f>
        <v>117.05054618385012</v>
      </c>
      <c r="M89">
        <f>IF(OR(Calc_오픈정렬!$F89="",Calc_오픈정렬!M89=""),"",Calc_오픈정렬!M89/Calc_오픈정렬!$F89*100)</f>
        <v>101.33512700501814</v>
      </c>
      <c r="N89">
        <f>IF(OR(Calc_오픈정렬!$F89="",Calc_오픈정렬!N89=""),"",Calc_오픈정렬!N89/Calc_오픈정렬!$F89*100)</f>
        <v>113.35152839927606</v>
      </c>
      <c r="O89">
        <f>IF(OR(Calc_오픈정렬!$F89="",Calc_오픈정렬!O89=""),"",Calc_오픈정렬!O89/Calc_오픈정렬!$F89*100)</f>
        <v>100.01305593458174</v>
      </c>
      <c r="P89">
        <f>IF(OR(Calc_오픈정렬!$F89="",Calc_오픈정렬!P89=""),"",Calc_오픈정렬!P89/Calc_오픈정렬!$F89*100)</f>
        <v>97.619820178090492</v>
      </c>
      <c r="Q89">
        <f>IF(OR(Calc_오픈정렬!$F89="",Calc_오픈정렬!Q89=""),"",Calc_오픈정렬!Q89/Calc_오픈정렬!$F89*100)</f>
        <v>96.664218783033235</v>
      </c>
      <c r="R89">
        <f>IF(OR(Calc_오픈정렬!$F89="",Calc_오픈정렬!R89=""),"",Calc_오픈정렬!R89/Calc_오픈정렬!$F89*100)</f>
        <v>86.337749569454814</v>
      </c>
      <c r="S89">
        <f>IF(OR(Calc_오픈정렬!$F89="",Calc_오픈정렬!S89=""),"",Calc_오픈정렬!S89/Calc_오픈정렬!$F89*100)</f>
        <v>100.93287798423478</v>
      </c>
      <c r="T89">
        <f>IF(OR(Calc_오픈정렬!$F89="",Calc_오픈정렬!T89=""),"",Calc_오픈정렬!T89/Calc_오픈정렬!$F89*100)</f>
        <v>91.883220022826805</v>
      </c>
      <c r="U89">
        <f>IF(OR(Calc_오픈정렬!$F89="",Calc_오픈정렬!U89=""),"",Calc_오픈정렬!U89/Calc_오픈정렬!$F89*100)</f>
        <v>94.386817502310336</v>
      </c>
      <c r="V89">
        <f>IF(OR(Calc_오픈정렬!$F89="",Calc_오픈정렬!V89=""),"",Calc_오픈정렬!V89/Calc_오픈정렬!$F89*100)</f>
        <v>116.77818913594746</v>
      </c>
      <c r="W89">
        <f>IF(OR(Calc_오픈정렬!$F89="",Calc_오픈정렬!W89=""),"",Calc_오픈정렬!W89/Calc_오픈정렬!$F89*100)</f>
        <v>127.18867412168994</v>
      </c>
      <c r="X89">
        <f>IF(OR(Calc_오픈정렬!$F89="",Calc_오픈정렬!X89=""),"",Calc_오픈정렬!X89/Calc_오픈정렬!$F89*100)</f>
        <v>133.84660655298916</v>
      </c>
      <c r="Y89">
        <f>IF(OR(Calc_오픈정렬!$F89="",Calc_오픈정렬!Y89=""),"",Calc_오픈정렬!Y89/Calc_오픈정렬!$F89*100)</f>
        <v>117.07406051542044</v>
      </c>
      <c r="Z89">
        <f>IF(OR(Calc_오픈정렬!$F89="",Calc_오픈정렬!Z89=""),"",Calc_오픈정렬!Z89/Calc_오픈정렬!$F89*100)</f>
        <v>134.32514911577536</v>
      </c>
      <c r="AA89">
        <f>IF(OR(Calc_오픈정렬!$F89="",Calc_오픈정렬!AA89=""),"",Calc_오픈정렬!AA89/Calc_오픈정렬!$F89*100)</f>
        <v>118.87032765544194</v>
      </c>
      <c r="AB89">
        <f>IF(OR(Calc_오픈정렬!$F89="",Calc_오픈정렬!AB89=""),"",Calc_오픈정렬!AB89/Calc_오픈정렬!$F89*100)</f>
        <v>112.52017776671211</v>
      </c>
      <c r="AC89">
        <f>IF(OR(Calc_오픈정렬!$F89="",Calc_오픈정렬!AC89=""),"",Calc_오픈정렬!AC89/Calc_오픈정렬!$F89*100)</f>
        <v>111.812306160834</v>
      </c>
      <c r="AD89">
        <f>IF(OR(Calc_오픈정렬!$F89="",Calc_오픈정렬!AD89=""),"",Calc_오픈정렬!AD89/Calc_오픈정렬!$F89*100)</f>
        <v>92.491749987229653</v>
      </c>
      <c r="AE89">
        <f>IF(OR(Calc_오픈정렬!$F89="",Calc_오픈정렬!AE89=""),"",Calc_오픈정렬!AE89/Calc_오픈정렬!$F89*100)</f>
        <v>97.409277404423932</v>
      </c>
      <c r="AF89">
        <f>IF(OR(Calc_오픈정렬!$F89="",Calc_오픈정렬!AF89=""),"",Calc_오픈정렬!AF89/Calc_오픈정렬!$F89*100)</f>
        <v>98.72668313134227</v>
      </c>
      <c r="AG89">
        <f>IF(OR(Calc_오픈정렬!$F89="",Calc_오픈정렬!AG89=""),"",Calc_오픈정렬!AG89/Calc_오픈정렬!$F89*100)</f>
        <v>119.78622224400701</v>
      </c>
      <c r="AH89">
        <f>IF(OR(Calc_오픈정렬!$F89="",Calc_오픈정렬!AH89=""),"",Calc_오픈정렬!AH89/Calc_오픈정렬!$F89*100)</f>
        <v>117.6534488893799</v>
      </c>
      <c r="AI89">
        <f>IF(OR(Calc_오픈정렬!$F89="",Calc_오픈정렬!AI89=""),"",Calc_오픈정렬!AI89/Calc_오픈정렬!$F89*100)</f>
        <v>112.60616093756421</v>
      </c>
      <c r="AJ89">
        <f>IF(OR(Calc_오픈정렬!$F89="",Calc_오픈정렬!AJ89=""),"",Calc_오픈정렬!AJ89/Calc_오픈정렬!$F89*100)</f>
        <v>141.37065278366708</v>
      </c>
      <c r="AK89">
        <f>IF(OR(Calc_오픈정렬!$F89="",Calc_오픈정렬!AK89=""),"",Calc_오픈정렬!AK89/Calc_오픈정렬!$F89*100)</f>
        <v>138.02430361875241</v>
      </c>
      <c r="AL89">
        <f>IF(OR(Calc_오픈정렬!$F89="",Calc_오픈정렬!AL89=""),"",Calc_오픈정렬!AL89/Calc_오픈정렬!$F89*100)</f>
        <v>126.05368223391228</v>
      </c>
      <c r="AM89">
        <f>IF(OR(Calc_오픈정렬!$F89="",Calc_오픈정렬!AM89=""),"",Calc_오픈정렬!AM89/Calc_오픈정렬!$F89*100)</f>
        <v>130.98773691439555</v>
      </c>
      <c r="AN89">
        <f>IF(OR(Calc_오픈정렬!$F89="",Calc_오픈정렬!AN89=""),"",Calc_오픈정렬!AN89/Calc_오픈정렬!$F89*100)</f>
        <v>124.58161189850124</v>
      </c>
      <c r="AO89" t="str">
        <f>IF(OR(Calc_오픈정렬!$F89="",Calc_오픈정렬!AO89=""),"",Calc_오픈정렬!AO89/Calc_오픈정렬!$F89*100)</f>
        <v/>
      </c>
      <c r="AP89" t="str">
        <f>IF(OR(Calc_오픈정렬!$F89="",Calc_오픈정렬!AP89=""),"",Calc_오픈정렬!AP89/Calc_오픈정렬!$F89*100)</f>
        <v/>
      </c>
      <c r="AQ89" t="str">
        <f>IF(OR(Calc_오픈정렬!$F89="",Calc_오픈정렬!AQ89=""),"",Calc_오픈정렬!AQ89/Calc_오픈정렬!$F89*100)</f>
        <v/>
      </c>
      <c r="AR89" t="str">
        <f>IF(OR(Calc_오픈정렬!$F89="",Calc_오픈정렬!AR89=""),"",Calc_오픈정렬!AR89/Calc_오픈정렬!$F89*100)</f>
        <v/>
      </c>
      <c r="AS89" t="str">
        <f>IF(OR(Calc_오픈정렬!$F89="",Calc_오픈정렬!AS89=""),"",Calc_오픈정렬!AS89/Calc_오픈정렬!$F89*100)</f>
        <v/>
      </c>
      <c r="AT89" t="str">
        <f>IF(OR(Calc_오픈정렬!$F89="",Calc_오픈정렬!AT89=""),"",Calc_오픈정렬!AT89/Calc_오픈정렬!$F89*100)</f>
        <v/>
      </c>
      <c r="AU89" t="str">
        <f>IF(OR(Calc_오픈정렬!$F89="",Calc_오픈정렬!AU89=""),"",Calc_오픈정렬!AU89/Calc_오픈정렬!$F89*100)</f>
        <v/>
      </c>
      <c r="AV89" t="str">
        <f>IF(OR(Calc_오픈정렬!$F89="",Calc_오픈정렬!AV89=""),"",Calc_오픈정렬!AV89/Calc_오픈정렬!$F89*100)</f>
        <v/>
      </c>
      <c r="AW89" t="str">
        <f>IF(OR(Calc_오픈정렬!$F89="",Calc_오픈정렬!AW89=""),"",Calc_오픈정렬!AW89/Calc_오픈정렬!$F89*100)</f>
        <v/>
      </c>
      <c r="AX89" t="str">
        <f>IF(OR(Calc_오픈정렬!$F89="",Calc_오픈정렬!AX89=""),"",Calc_오픈정렬!AX89/Calc_오픈정렬!$F89*100)</f>
        <v/>
      </c>
      <c r="AY89" t="str">
        <f>IF(OR(Calc_오픈정렬!$F89="",Calc_오픈정렬!AY89=""),"",Calc_오픈정렬!AY89/Calc_오픈정렬!$F89*100)</f>
        <v/>
      </c>
      <c r="AZ89" t="str">
        <f>IF(OR(Calc_오픈정렬!$F89="",Calc_오픈정렬!AZ89=""),"",Calc_오픈정렬!AZ89/Calc_오픈정렬!$F89*100)</f>
        <v/>
      </c>
      <c r="BA89" t="str">
        <f>IF(OR(Calc_오픈정렬!$F89="",Calc_오픈정렬!BA89=""),"",Calc_오픈정렬!BA89/Calc_오픈정렬!$F89*100)</f>
        <v/>
      </c>
      <c r="BB89" t="str">
        <f>IF(OR(Calc_오픈정렬!$F89="",Calc_오픈정렬!BB89=""),"",Calc_오픈정렬!BB89/Calc_오픈정렬!$F89*100)</f>
        <v/>
      </c>
      <c r="BC89" t="str">
        <f>IF(OR(Calc_오픈정렬!$F89="",Calc_오픈정렬!BC89=""),"",Calc_오픈정렬!BC89/Calc_오픈정렬!$F89*100)</f>
        <v/>
      </c>
      <c r="BD89" t="str">
        <f>IF(OR(Calc_오픈정렬!$F89="",Calc_오픈정렬!BD89=""),"",Calc_오픈정렬!BD89/Calc_오픈정렬!$F89*100)</f>
        <v/>
      </c>
      <c r="BE89" t="str">
        <f>IF(OR(Calc_오픈정렬!$F89="",Calc_오픈정렬!BE89=""),"",Calc_오픈정렬!BE89/Calc_오픈정렬!$F89*100)</f>
        <v/>
      </c>
      <c r="BF89" t="str">
        <f>IF(OR(Calc_오픈정렬!$F89="",Calc_오픈정렬!BF89=""),"",Calc_오픈정렬!BF89/Calc_오픈정렬!$F89*100)</f>
        <v/>
      </c>
      <c r="BG89" t="str">
        <f>IF(OR(Calc_오픈정렬!$F89="",Calc_오픈정렬!BG89=""),"",Calc_오픈정렬!BG89/Calc_오픈정렬!$F89*100)</f>
        <v/>
      </c>
      <c r="BH89" t="str">
        <f>IF(OR(Calc_오픈정렬!$F89="",Calc_오픈정렬!BH89=""),"",Calc_오픈정렬!BH89/Calc_오픈정렬!$F89*100)</f>
        <v/>
      </c>
      <c r="BI89" t="str">
        <f>IF(OR(Calc_오픈정렬!$F89="",Calc_오픈정렬!BI89=""),"",Calc_오픈정렬!BI89/Calc_오픈정렬!$F89*100)</f>
        <v/>
      </c>
      <c r="BJ89" t="str">
        <f>IF(OR(Calc_오픈정렬!$F89="",Calc_오픈정렬!BJ89=""),"",Calc_오픈정렬!BJ89/Calc_오픈정렬!$F89*100)</f>
        <v/>
      </c>
      <c r="BK89" t="str">
        <f>IF(OR(Calc_오픈정렬!$F89="",Calc_오픈정렬!BK89=""),"",Calc_오픈정렬!BK89/Calc_오픈정렬!$F89*100)</f>
        <v/>
      </c>
      <c r="BL89" t="str">
        <f>IF(OR(Calc_오픈정렬!$F89="",Calc_오픈정렬!BL89=""),"",Calc_오픈정렬!BL89/Calc_오픈정렬!$F89*100)</f>
        <v/>
      </c>
      <c r="BM89" t="str">
        <f>IF(OR(Calc_오픈정렬!$F89="",Calc_오픈정렬!BM89=""),"",Calc_오픈정렬!BM89/Calc_오픈정렬!$F89*100)</f>
        <v/>
      </c>
      <c r="BN89" t="str">
        <f>IF(OR(Calc_오픈정렬!$F89="",Calc_오픈정렬!BN89=""),"",Calc_오픈정렬!BN89/Calc_오픈정렬!$F89*100)</f>
        <v/>
      </c>
    </row>
    <row r="90" spans="1:66" x14ac:dyDescent="0.4">
      <c r="A90" t="str">
        <f>Calc_오픈정렬!A90</f>
        <v>(1079) #충북대정문점</v>
      </c>
      <c r="B90" t="str">
        <f>Calc_오픈정렬!B90</f>
        <v>150-0</v>
      </c>
      <c r="C90">
        <f>Calc_오픈정렬!C90</f>
        <v>0</v>
      </c>
      <c r="D90" t="str">
        <f>Calc_오픈정렬!D90</f>
        <v>0</v>
      </c>
      <c r="E90" s="1">
        <f>Calc_오픈정렬!E90</f>
        <v>45139</v>
      </c>
      <c r="F90">
        <f>Calc_오픈정렬!F90</f>
        <v>3403714.7755188704</v>
      </c>
      <c r="G90">
        <f>IF(OR(Calc_오픈정렬!$F90="",Calc_오픈정렬!G90=""),"",Calc_오픈정렬!G90/Calc_오픈정렬!$F90*100)</f>
        <v>58.500663109772709</v>
      </c>
      <c r="H90">
        <f>IF(OR(Calc_오픈정렬!$F90="",Calc_오픈정렬!H90=""),"",Calc_오픈정렬!H90/Calc_오픈정렬!$F90*100)</f>
        <v>84.600843303482336</v>
      </c>
      <c r="I90">
        <f>IF(OR(Calc_오픈정렬!$F90="",Calc_오픈정렬!I90=""),"",Calc_오픈정렬!I90/Calc_오픈정렬!$F90*100)</f>
        <v>84.368845038728438</v>
      </c>
      <c r="J90">
        <f>IF(OR(Calc_오픈정렬!$F90="",Calc_오픈정렬!J90=""),"",Calc_오픈정렬!J90/Calc_오픈정렬!$F90*100)</f>
        <v>83.853199024867664</v>
      </c>
      <c r="K90">
        <f>IF(OR(Calc_오픈정렬!$F90="",Calc_오픈정렬!K90=""),"",Calc_오픈정렬!K90/Calc_오픈정렬!$F90*100)</f>
        <v>93.010728140382199</v>
      </c>
      <c r="L90">
        <f>IF(OR(Calc_오픈정렬!$F90="",Calc_오픈정렬!L90=""),"",Calc_오픈정렬!L90/Calc_오픈정렬!$F90*100)</f>
        <v>101.75630790367782</v>
      </c>
      <c r="M90">
        <f>IF(OR(Calc_오픈정렬!$F90="",Calc_오픈정렬!M90=""),"",Calc_오픈정렬!M90/Calc_오픈정렬!$F90*100)</f>
        <v>99.340674122354216</v>
      </c>
      <c r="N90">
        <f>IF(OR(Calc_오픈정렬!$F90="",Calc_오픈정렬!N90=""),"",Calc_오픈정렬!N90/Calc_오픈정렬!$F90*100)</f>
        <v>105.25771159396353</v>
      </c>
      <c r="O90">
        <f>IF(OR(Calc_오픈정렬!$F90="",Calc_오픈정렬!O90=""),"",Calc_오픈정렬!O90/Calc_오픈정렬!$F90*100)</f>
        <v>116.78137921475459</v>
      </c>
      <c r="P90">
        <f>IF(OR(Calc_오픈정렬!$F90="",Calc_오픈정렬!P90=""),"",Calc_오픈정렬!P90/Calc_오픈정렬!$F90*100)</f>
        <v>106.69277668366229</v>
      </c>
      <c r="Q90">
        <f>IF(OR(Calc_오픈정렬!$F90="",Calc_오픈정렬!Q90=""),"",Calc_오픈정렬!Q90/Calc_오픈정렬!$F90*100)</f>
        <v>105.59418422283477</v>
      </c>
      <c r="R90">
        <f>IF(OR(Calc_오픈정렬!$F90="",Calc_오픈정렬!R90=""),"",Calc_오픈정렬!R90/Calc_오픈정렬!$F90*100)</f>
        <v>106.29552896413009</v>
      </c>
      <c r="S90">
        <f>IF(OR(Calc_오픈정렬!$F90="",Calc_오픈정렬!S90=""),"",Calc_오픈정렬!S90/Calc_오픈정렬!$F90*100)</f>
        <v>117.30910019127829</v>
      </c>
      <c r="T90">
        <f>IF(OR(Calc_오픈정렬!$F90="",Calc_오픈정렬!T90=""),"",Calc_오픈정렬!T90/Calc_오픈정렬!$F90*100)</f>
        <v>110.25959452519764</v>
      </c>
      <c r="U90">
        <f>IF(OR(Calc_오픈정렬!$F90="",Calc_오픈정렬!U90=""),"",Calc_오픈정렬!U90/Calc_오픈정렬!$F90*100)</f>
        <v>122.49126158909445</v>
      </c>
      <c r="V90">
        <f>IF(OR(Calc_오픈정렬!$F90="",Calc_오픈정렬!V90=""),"",Calc_오픈정렬!V90/Calc_오픈정렬!$F90*100)</f>
        <v>118.17755999875217</v>
      </c>
      <c r="W90">
        <f>IF(OR(Calc_오픈정렬!$F90="",Calc_오픈정렬!W90=""),"",Calc_오픈정렬!W90/Calc_오픈정렬!$F90*100)</f>
        <v>147.34692849719454</v>
      </c>
      <c r="X90">
        <f>IF(OR(Calc_오픈정렬!$F90="",Calc_오픈정렬!X90=""),"",Calc_오픈정렬!X90/Calc_오픈정렬!$F90*100)</f>
        <v>142.13021115000123</v>
      </c>
      <c r="Y90">
        <f>IF(OR(Calc_오픈정렬!$F90="",Calc_오픈정렬!Y90=""),"",Calc_오픈정렬!Y90/Calc_오픈정렬!$F90*100)</f>
        <v>130.1174606567661</v>
      </c>
      <c r="Z90">
        <f>IF(OR(Calc_오픈정렬!$F90="",Calc_오픈정렬!Z90=""),"",Calc_오픈정렬!Z90/Calc_오픈정렬!$F90*100)</f>
        <v>161.55949413881675</v>
      </c>
      <c r="AA90">
        <f>IF(OR(Calc_오픈정렬!$F90="",Calc_오픈정렬!AA90=""),"",Calc_오픈정렬!AA90/Calc_오픈정렬!$F90*100)</f>
        <v>140.88216382706082</v>
      </c>
      <c r="AB90">
        <f>IF(OR(Calc_오픈정렬!$F90="",Calc_오픈정렬!AB90=""),"",Calc_오픈정렬!AB90/Calc_오픈정렬!$F90*100)</f>
        <v>154.98087643767946</v>
      </c>
      <c r="AC90">
        <f>IF(OR(Calc_오픈정렬!$F90="",Calc_오픈정렬!AC90=""),"",Calc_오픈정렬!AC90/Calc_오픈정렬!$F90*100)</f>
        <v>150.9816671335937</v>
      </c>
      <c r="AD90">
        <f>IF(OR(Calc_오픈정렬!$F90="",Calc_오픈정렬!AD90=""),"",Calc_오픈정렬!AD90/Calc_오픈정렬!$F90*100)</f>
        <v>149.8233497849034</v>
      </c>
      <c r="AE90">
        <f>IF(OR(Calc_오픈정렬!$F90="",Calc_오픈정렬!AE90=""),"",Calc_오픈정렬!AE90/Calc_오픈정렬!$F90*100)</f>
        <v>163.54717302598388</v>
      </c>
      <c r="AF90">
        <f>IF(OR(Calc_오픈정렬!$F90="",Calc_오픈정렬!AF90=""),"",Calc_오픈정렬!AF90/Calc_오픈정렬!$F90*100)</f>
        <v>166.42990883126711</v>
      </c>
      <c r="AG90">
        <f>IF(OR(Calc_오픈정렬!$F90="",Calc_오픈정렬!AG90=""),"",Calc_오픈정렬!AG90/Calc_오픈정렬!$F90*100)</f>
        <v>145.08365994876476</v>
      </c>
      <c r="AH90">
        <f>IF(OR(Calc_오픈정렬!$F90="",Calc_오픈정렬!AH90=""),"",Calc_오픈정렬!AH90/Calc_오픈정렬!$F90*100)</f>
        <v>170.93100012026255</v>
      </c>
      <c r="AI90">
        <f>IF(OR(Calc_오픈정렬!$F90="",Calc_오픈정렬!AI90=""),"",Calc_오픈정렬!AI90/Calc_오픈정렬!$F90*100)</f>
        <v>172.55874122116393</v>
      </c>
      <c r="AJ90">
        <f>IF(OR(Calc_오픈정렬!$F90="",Calc_오픈정렬!AJ90=""),"",Calc_오픈정렬!AJ90/Calc_오픈정렬!$F90*100)</f>
        <v>169.98931786345409</v>
      </c>
      <c r="AK90">
        <f>IF(OR(Calc_오픈정렬!$F90="",Calc_오픈정렬!AK90=""),"",Calc_오픈정렬!AK90/Calc_오픈정렬!$F90*100)</f>
        <v>183.67358661308708</v>
      </c>
      <c r="AL90">
        <f>IF(OR(Calc_오픈정렬!$F90="",Calc_오픈정렬!AL90=""),"",Calc_오픈정렬!AL90/Calc_오픈정렬!$F90*100)</f>
        <v>168.89537014174763</v>
      </c>
      <c r="AM90">
        <f>IF(OR(Calc_오픈정렬!$F90="",Calc_오픈정렬!AM90=""),"",Calc_오픈정렬!AM90/Calc_오픈정렬!$F90*100)</f>
        <v>145.09365879986348</v>
      </c>
      <c r="AN90">
        <f>IF(OR(Calc_오픈정렬!$F90="",Calc_오픈정렬!AN90=""),"",Calc_오픈정렬!AN90/Calc_오픈정렬!$F90*100)</f>
        <v>150.35449838525622</v>
      </c>
      <c r="AO90" t="str">
        <f>IF(OR(Calc_오픈정렬!$F90="",Calc_오픈정렬!AO90=""),"",Calc_오픈정렬!AO90/Calc_오픈정렬!$F90*100)</f>
        <v/>
      </c>
      <c r="AP90" t="str">
        <f>IF(OR(Calc_오픈정렬!$F90="",Calc_오픈정렬!AP90=""),"",Calc_오픈정렬!AP90/Calc_오픈정렬!$F90*100)</f>
        <v/>
      </c>
      <c r="AQ90" t="str">
        <f>IF(OR(Calc_오픈정렬!$F90="",Calc_오픈정렬!AQ90=""),"",Calc_오픈정렬!AQ90/Calc_오픈정렬!$F90*100)</f>
        <v/>
      </c>
      <c r="AR90" t="str">
        <f>IF(OR(Calc_오픈정렬!$F90="",Calc_오픈정렬!AR90=""),"",Calc_오픈정렬!AR90/Calc_오픈정렬!$F90*100)</f>
        <v/>
      </c>
      <c r="AS90" t="str">
        <f>IF(OR(Calc_오픈정렬!$F90="",Calc_오픈정렬!AS90=""),"",Calc_오픈정렬!AS90/Calc_오픈정렬!$F90*100)</f>
        <v/>
      </c>
      <c r="AT90" t="str">
        <f>IF(OR(Calc_오픈정렬!$F90="",Calc_오픈정렬!AT90=""),"",Calc_오픈정렬!AT90/Calc_오픈정렬!$F90*100)</f>
        <v/>
      </c>
      <c r="AU90" t="str">
        <f>IF(OR(Calc_오픈정렬!$F90="",Calc_오픈정렬!AU90=""),"",Calc_오픈정렬!AU90/Calc_오픈정렬!$F90*100)</f>
        <v/>
      </c>
      <c r="AV90" t="str">
        <f>IF(OR(Calc_오픈정렬!$F90="",Calc_오픈정렬!AV90=""),"",Calc_오픈정렬!AV90/Calc_오픈정렬!$F90*100)</f>
        <v/>
      </c>
      <c r="AW90" t="str">
        <f>IF(OR(Calc_오픈정렬!$F90="",Calc_오픈정렬!AW90=""),"",Calc_오픈정렬!AW90/Calc_오픈정렬!$F90*100)</f>
        <v/>
      </c>
      <c r="AX90" t="str">
        <f>IF(OR(Calc_오픈정렬!$F90="",Calc_오픈정렬!AX90=""),"",Calc_오픈정렬!AX90/Calc_오픈정렬!$F90*100)</f>
        <v/>
      </c>
      <c r="AY90" t="str">
        <f>IF(OR(Calc_오픈정렬!$F90="",Calc_오픈정렬!AY90=""),"",Calc_오픈정렬!AY90/Calc_오픈정렬!$F90*100)</f>
        <v/>
      </c>
      <c r="AZ90" t="str">
        <f>IF(OR(Calc_오픈정렬!$F90="",Calc_오픈정렬!AZ90=""),"",Calc_오픈정렬!AZ90/Calc_오픈정렬!$F90*100)</f>
        <v/>
      </c>
      <c r="BA90" t="str">
        <f>IF(OR(Calc_오픈정렬!$F90="",Calc_오픈정렬!BA90=""),"",Calc_오픈정렬!BA90/Calc_오픈정렬!$F90*100)</f>
        <v/>
      </c>
      <c r="BB90" t="str">
        <f>IF(OR(Calc_오픈정렬!$F90="",Calc_오픈정렬!BB90=""),"",Calc_오픈정렬!BB90/Calc_오픈정렬!$F90*100)</f>
        <v/>
      </c>
      <c r="BC90" t="str">
        <f>IF(OR(Calc_오픈정렬!$F90="",Calc_오픈정렬!BC90=""),"",Calc_오픈정렬!BC90/Calc_오픈정렬!$F90*100)</f>
        <v/>
      </c>
      <c r="BD90" t="str">
        <f>IF(OR(Calc_오픈정렬!$F90="",Calc_오픈정렬!BD90=""),"",Calc_오픈정렬!BD90/Calc_오픈정렬!$F90*100)</f>
        <v/>
      </c>
      <c r="BE90" t="str">
        <f>IF(OR(Calc_오픈정렬!$F90="",Calc_오픈정렬!BE90=""),"",Calc_오픈정렬!BE90/Calc_오픈정렬!$F90*100)</f>
        <v/>
      </c>
      <c r="BF90" t="str">
        <f>IF(OR(Calc_오픈정렬!$F90="",Calc_오픈정렬!BF90=""),"",Calc_오픈정렬!BF90/Calc_오픈정렬!$F90*100)</f>
        <v/>
      </c>
      <c r="BG90" t="str">
        <f>IF(OR(Calc_오픈정렬!$F90="",Calc_오픈정렬!BG90=""),"",Calc_오픈정렬!BG90/Calc_오픈정렬!$F90*100)</f>
        <v/>
      </c>
      <c r="BH90" t="str">
        <f>IF(OR(Calc_오픈정렬!$F90="",Calc_오픈정렬!BH90=""),"",Calc_오픈정렬!BH90/Calc_오픈정렬!$F90*100)</f>
        <v/>
      </c>
      <c r="BI90" t="str">
        <f>IF(OR(Calc_오픈정렬!$F90="",Calc_오픈정렬!BI90=""),"",Calc_오픈정렬!BI90/Calc_오픈정렬!$F90*100)</f>
        <v/>
      </c>
      <c r="BJ90" t="str">
        <f>IF(OR(Calc_오픈정렬!$F90="",Calc_오픈정렬!BJ90=""),"",Calc_오픈정렬!BJ90/Calc_오픈정렬!$F90*100)</f>
        <v/>
      </c>
      <c r="BK90" t="str">
        <f>IF(OR(Calc_오픈정렬!$F90="",Calc_오픈정렬!BK90=""),"",Calc_오픈정렬!BK90/Calc_오픈정렬!$F90*100)</f>
        <v/>
      </c>
      <c r="BL90" t="str">
        <f>IF(OR(Calc_오픈정렬!$F90="",Calc_오픈정렬!BL90=""),"",Calc_오픈정렬!BL90/Calc_오픈정렬!$F90*100)</f>
        <v/>
      </c>
      <c r="BM90" t="str">
        <f>IF(OR(Calc_오픈정렬!$F90="",Calc_오픈정렬!BM90=""),"",Calc_오픈정렬!BM90/Calc_오픈정렬!$F90*100)</f>
        <v/>
      </c>
      <c r="BN90" t="str">
        <f>IF(OR(Calc_오픈정렬!$F90="",Calc_오픈정렬!BN90=""),"",Calc_오픈정렬!BN90/Calc_오픈정렬!$F90*100)</f>
        <v/>
      </c>
    </row>
    <row r="91" spans="1:66" x14ac:dyDescent="0.4">
      <c r="A91" t="str">
        <f>Calc_오픈정렬!A91</f>
        <v>(1080) #오산대호스쿨점</v>
      </c>
      <c r="B91" t="str">
        <f>Calc_오픈정렬!B91</f>
        <v>150-1</v>
      </c>
      <c r="C91">
        <f>Calc_오픈정렬!C91</f>
        <v>1</v>
      </c>
      <c r="D91" t="str">
        <f>Calc_오픈정렬!D91</f>
        <v>1</v>
      </c>
      <c r="E91" s="1">
        <f>Calc_오픈정렬!E91</f>
        <v>45139</v>
      </c>
      <c r="F91">
        <f>Calc_오픈정렬!F91</f>
        <v>3199025.6071857153</v>
      </c>
      <c r="G91">
        <f>IF(OR(Calc_오픈정렬!$F91="",Calc_오픈정렬!G91=""),"",Calc_오픈정렬!G91/Calc_오픈정렬!$F91*100)</f>
        <v>35.136671454079682</v>
      </c>
      <c r="H91">
        <f>IF(OR(Calc_오픈정렬!$F91="",Calc_오픈정렬!H91=""),"",Calc_오픈정렬!H91/Calc_오픈정렬!$F91*100)</f>
        <v>47.839214869446735</v>
      </c>
      <c r="I91">
        <f>IF(OR(Calc_오픈정렬!$F91="",Calc_오픈정렬!I91=""),"",Calc_오픈정렬!I91/Calc_오픈정렬!$F91*100)</f>
        <v>60.518407491127782</v>
      </c>
      <c r="J91">
        <f>IF(OR(Calc_오픈정렬!$F91="",Calc_오픈정렬!J91=""),"",Calc_오픈정렬!J91/Calc_오픈정렬!$F91*100)</f>
        <v>76.51806561742589</v>
      </c>
      <c r="K91">
        <f>IF(OR(Calc_오픈정렬!$F91="",Calc_오픈정렬!K91=""),"",Calc_오픈정렬!K91/Calc_오픈정렬!$F91*100)</f>
        <v>104.13290866213276</v>
      </c>
      <c r="L91">
        <f>IF(OR(Calc_오픈정렬!$F91="",Calc_오픈정렬!L91=""),"",Calc_오픈정렬!L91/Calc_오픈정렬!$F91*100)</f>
        <v>99.592623545735577</v>
      </c>
      <c r="M91">
        <f>IF(OR(Calc_오픈정렬!$F91="",Calc_오픈정렬!M91=""),"",Calc_오픈정렬!M91/Calc_오픈정렬!$F91*100)</f>
        <v>110.86388512641491</v>
      </c>
      <c r="N91">
        <f>IF(OR(Calc_오픈정렬!$F91="",Calc_오픈정렬!N91=""),"",Calc_오픈정렬!N91/Calc_오픈정렬!$F91*100)</f>
        <v>101.26379454596946</v>
      </c>
      <c r="O91">
        <f>IF(OR(Calc_오픈정렬!$F91="",Calc_오픈정렬!O91=""),"",Calc_오픈정렬!O91/Calc_오픈정렬!$F91*100)</f>
        <v>107.62872250232132</v>
      </c>
      <c r="P91">
        <f>IF(OR(Calc_오픈정렬!$F91="",Calc_오픈정렬!P91=""),"",Calc_오픈정렬!P91/Calc_오픈정렬!$F91*100)</f>
        <v>86.033350365763766</v>
      </c>
      <c r="Q91">
        <f>IF(OR(Calc_오픈정렬!$F91="",Calc_오픈정렬!Q91=""),"",Calc_오픈정렬!Q91/Calc_오픈정렬!$F91*100)</f>
        <v>85.748691678161066</v>
      </c>
      <c r="R91">
        <f>IF(OR(Calc_오픈정렬!$F91="",Calc_오픈정렬!R91=""),"",Calc_오픈정렬!R91/Calc_오픈정렬!$F91*100)</f>
        <v>92.478662219149285</v>
      </c>
      <c r="S91">
        <f>IF(OR(Calc_오픈정렬!$F91="",Calc_오픈정렬!S91=""),"",Calc_오픈정렬!S91/Calc_오픈정렬!$F91*100)</f>
        <v>88.571356857057737</v>
      </c>
      <c r="T91">
        <f>IF(OR(Calc_오픈정렬!$F91="",Calc_오픈정렬!T91=""),"",Calc_오픈정렬!T91/Calc_오픈정렬!$F91*100)</f>
        <v>91.962826218901782</v>
      </c>
      <c r="U91">
        <f>IF(OR(Calc_오픈정렬!$F91="",Calc_오픈정렬!U91=""),"",Calc_오픈정렬!U91/Calc_오픈정렬!$F91*100)</f>
        <v>100.52408979745364</v>
      </c>
      <c r="V91">
        <f>IF(OR(Calc_오픈정렬!$F91="",Calc_오픈정렬!V91=""),"",Calc_오픈정렬!V91/Calc_오픈정렬!$F91*100)</f>
        <v>112.02472994462052</v>
      </c>
      <c r="W91">
        <f>IF(OR(Calc_오픈정렬!$F91="",Calc_오픈정렬!W91=""),"",Calc_오픈정렬!W91/Calc_오픈정렬!$F91*100)</f>
        <v>107.56888352896183</v>
      </c>
      <c r="X91">
        <f>IF(OR(Calc_오픈정렬!$F91="",Calc_오픈정렬!X91=""),"",Calc_오픈정렬!X91/Calc_오픈정렬!$F91*100)</f>
        <v>129.86888824343737</v>
      </c>
      <c r="Y91">
        <f>IF(OR(Calc_오픈정렬!$F91="",Calc_오픈정렬!Y91=""),"",Calc_오픈정렬!Y91/Calc_오픈정렬!$F91*100)</f>
        <v>109.16049497619471</v>
      </c>
      <c r="Z91">
        <f>IF(OR(Calc_오픈정렬!$F91="",Calc_오픈정렬!Z91=""),"",Calc_오픈정렬!Z91/Calc_오픈정렬!$F91*100)</f>
        <v>104.86097657490059</v>
      </c>
      <c r="AA91">
        <f>IF(OR(Calc_오픈정렬!$F91="",Calc_오픈정렬!AA91=""),"",Calc_오픈정렬!AA91/Calc_오픈정렬!$F91*100)</f>
        <v>107.33718269490748</v>
      </c>
      <c r="AB91">
        <f>IF(OR(Calc_오픈정렬!$F91="",Calc_오픈정렬!AB91=""),"",Calc_오픈정렬!AB91/Calc_오픈정렬!$F91*100)</f>
        <v>106.12908011784741</v>
      </c>
      <c r="AC91">
        <f>IF(OR(Calc_오픈정렬!$F91="",Calc_오픈정렬!AC91=""),"",Calc_오픈정렬!AC91/Calc_오픈정렬!$F91*100)</f>
        <v>101.38959901424481</v>
      </c>
      <c r="AD91">
        <f>IF(OR(Calc_오픈정렬!$F91="",Calc_오픈정렬!AD91=""),"",Calc_오픈정렬!AD91/Calc_오픈정렬!$F91*100)</f>
        <v>92.454772328591744</v>
      </c>
      <c r="AE91">
        <f>IF(OR(Calc_오픈정렬!$F91="",Calc_오픈정렬!AE91=""),"",Calc_오픈정렬!AE91/Calc_오픈정렬!$F91*100)</f>
        <v>83.508639824036734</v>
      </c>
      <c r="AF91">
        <f>IF(OR(Calc_오픈정렬!$F91="",Calc_오픈정렬!AF91=""),"",Calc_오픈정렬!AF91/Calc_오픈정렬!$F91*100)</f>
        <v>88.197581411650319</v>
      </c>
      <c r="AG91">
        <f>IF(OR(Calc_오픈정렬!$F91="",Calc_오픈정렬!AG91=""),"",Calc_오픈정렬!AG91/Calc_오픈정렬!$F91*100)</f>
        <v>109.56462708821104</v>
      </c>
      <c r="AH91">
        <f>IF(OR(Calc_오픈정렬!$F91="",Calc_오픈정렬!AH91=""),"",Calc_오픈정렬!AH91/Calc_오픈정렬!$F91*100)</f>
        <v>111.55454241957878</v>
      </c>
      <c r="AI91">
        <f>IF(OR(Calc_오픈정렬!$F91="",Calc_오픈정렬!AI91=""),"",Calc_오픈정렬!AI91/Calc_오픈정렬!$F91*100)</f>
        <v>96.029719475402374</v>
      </c>
      <c r="AJ91">
        <f>IF(OR(Calc_오픈정렬!$F91="",Calc_오픈정렬!AJ91=""),"",Calc_오픈정렬!AJ91/Calc_오픈정렬!$F91*100)</f>
        <v>114.53622161360553</v>
      </c>
      <c r="AK91">
        <f>IF(OR(Calc_오픈정렬!$F91="",Calc_오픈정렬!AK91=""),"",Calc_오픈정렬!AK91/Calc_오픈정렬!$F91*100)</f>
        <v>115.93845238647651</v>
      </c>
      <c r="AL91">
        <f>IF(OR(Calc_오픈정렬!$F91="",Calc_오픈정렬!AL91=""),"",Calc_오픈정렬!AL91/Calc_오픈정렬!$F91*100)</f>
        <v>112.60382886021125</v>
      </c>
      <c r="AM91">
        <f>IF(OR(Calc_오픈정렬!$F91="",Calc_오픈정렬!AM91=""),"",Calc_오픈정렬!AM91/Calc_오픈정렬!$F91*100)</f>
        <v>121.83902058191003</v>
      </c>
      <c r="AN91">
        <f>IF(OR(Calc_오픈정렬!$F91="",Calc_오픈정렬!AN91=""),"",Calc_오픈정렬!AN91/Calc_오픈정렬!$F91*100)</f>
        <v>114.67681865981167</v>
      </c>
      <c r="AO91" t="str">
        <f>IF(OR(Calc_오픈정렬!$F91="",Calc_오픈정렬!AO91=""),"",Calc_오픈정렬!AO91/Calc_오픈정렬!$F91*100)</f>
        <v/>
      </c>
      <c r="AP91" t="str">
        <f>IF(OR(Calc_오픈정렬!$F91="",Calc_오픈정렬!AP91=""),"",Calc_오픈정렬!AP91/Calc_오픈정렬!$F91*100)</f>
        <v/>
      </c>
      <c r="AQ91" t="str">
        <f>IF(OR(Calc_오픈정렬!$F91="",Calc_오픈정렬!AQ91=""),"",Calc_오픈정렬!AQ91/Calc_오픈정렬!$F91*100)</f>
        <v/>
      </c>
      <c r="AR91" t="str">
        <f>IF(OR(Calc_오픈정렬!$F91="",Calc_오픈정렬!AR91=""),"",Calc_오픈정렬!AR91/Calc_오픈정렬!$F91*100)</f>
        <v/>
      </c>
      <c r="AS91" t="str">
        <f>IF(OR(Calc_오픈정렬!$F91="",Calc_오픈정렬!AS91=""),"",Calc_오픈정렬!AS91/Calc_오픈정렬!$F91*100)</f>
        <v/>
      </c>
      <c r="AT91" t="str">
        <f>IF(OR(Calc_오픈정렬!$F91="",Calc_오픈정렬!AT91=""),"",Calc_오픈정렬!AT91/Calc_오픈정렬!$F91*100)</f>
        <v/>
      </c>
      <c r="AU91" t="str">
        <f>IF(OR(Calc_오픈정렬!$F91="",Calc_오픈정렬!AU91=""),"",Calc_오픈정렬!AU91/Calc_오픈정렬!$F91*100)</f>
        <v/>
      </c>
      <c r="AV91" t="str">
        <f>IF(OR(Calc_오픈정렬!$F91="",Calc_오픈정렬!AV91=""),"",Calc_오픈정렬!AV91/Calc_오픈정렬!$F91*100)</f>
        <v/>
      </c>
      <c r="AW91" t="str">
        <f>IF(OR(Calc_오픈정렬!$F91="",Calc_오픈정렬!AW91=""),"",Calc_오픈정렬!AW91/Calc_오픈정렬!$F91*100)</f>
        <v/>
      </c>
      <c r="AX91" t="str">
        <f>IF(OR(Calc_오픈정렬!$F91="",Calc_오픈정렬!AX91=""),"",Calc_오픈정렬!AX91/Calc_오픈정렬!$F91*100)</f>
        <v/>
      </c>
      <c r="AY91" t="str">
        <f>IF(OR(Calc_오픈정렬!$F91="",Calc_오픈정렬!AY91=""),"",Calc_오픈정렬!AY91/Calc_오픈정렬!$F91*100)</f>
        <v/>
      </c>
      <c r="AZ91" t="str">
        <f>IF(OR(Calc_오픈정렬!$F91="",Calc_오픈정렬!AZ91=""),"",Calc_오픈정렬!AZ91/Calc_오픈정렬!$F91*100)</f>
        <v/>
      </c>
      <c r="BA91" t="str">
        <f>IF(OR(Calc_오픈정렬!$F91="",Calc_오픈정렬!BA91=""),"",Calc_오픈정렬!BA91/Calc_오픈정렬!$F91*100)</f>
        <v/>
      </c>
      <c r="BB91" t="str">
        <f>IF(OR(Calc_오픈정렬!$F91="",Calc_오픈정렬!BB91=""),"",Calc_오픈정렬!BB91/Calc_오픈정렬!$F91*100)</f>
        <v/>
      </c>
      <c r="BC91" t="str">
        <f>IF(OR(Calc_오픈정렬!$F91="",Calc_오픈정렬!BC91=""),"",Calc_오픈정렬!BC91/Calc_오픈정렬!$F91*100)</f>
        <v/>
      </c>
      <c r="BD91" t="str">
        <f>IF(OR(Calc_오픈정렬!$F91="",Calc_오픈정렬!BD91=""),"",Calc_오픈정렬!BD91/Calc_오픈정렬!$F91*100)</f>
        <v/>
      </c>
      <c r="BE91" t="str">
        <f>IF(OR(Calc_오픈정렬!$F91="",Calc_오픈정렬!BE91=""),"",Calc_오픈정렬!BE91/Calc_오픈정렬!$F91*100)</f>
        <v/>
      </c>
      <c r="BF91" t="str">
        <f>IF(OR(Calc_오픈정렬!$F91="",Calc_오픈정렬!BF91=""),"",Calc_오픈정렬!BF91/Calc_오픈정렬!$F91*100)</f>
        <v/>
      </c>
      <c r="BG91" t="str">
        <f>IF(OR(Calc_오픈정렬!$F91="",Calc_오픈정렬!BG91=""),"",Calc_오픈정렬!BG91/Calc_오픈정렬!$F91*100)</f>
        <v/>
      </c>
      <c r="BH91" t="str">
        <f>IF(OR(Calc_오픈정렬!$F91="",Calc_오픈정렬!BH91=""),"",Calc_오픈정렬!BH91/Calc_오픈정렬!$F91*100)</f>
        <v/>
      </c>
      <c r="BI91" t="str">
        <f>IF(OR(Calc_오픈정렬!$F91="",Calc_오픈정렬!BI91=""),"",Calc_오픈정렬!BI91/Calc_오픈정렬!$F91*100)</f>
        <v/>
      </c>
      <c r="BJ91" t="str">
        <f>IF(OR(Calc_오픈정렬!$F91="",Calc_오픈정렬!BJ91=""),"",Calc_오픈정렬!BJ91/Calc_오픈정렬!$F91*100)</f>
        <v/>
      </c>
      <c r="BK91" t="str">
        <f>IF(OR(Calc_오픈정렬!$F91="",Calc_오픈정렬!BK91=""),"",Calc_오픈정렬!BK91/Calc_오픈정렬!$F91*100)</f>
        <v/>
      </c>
      <c r="BL91" t="str">
        <f>IF(OR(Calc_오픈정렬!$F91="",Calc_오픈정렬!BL91=""),"",Calc_오픈정렬!BL91/Calc_오픈정렬!$F91*100)</f>
        <v/>
      </c>
      <c r="BM91" t="str">
        <f>IF(OR(Calc_오픈정렬!$F91="",Calc_오픈정렬!BM91=""),"",Calc_오픈정렬!BM91/Calc_오픈정렬!$F91*100)</f>
        <v/>
      </c>
      <c r="BN91" t="str">
        <f>IF(OR(Calc_오픈정렬!$F91="",Calc_오픈정렬!BN91=""),"",Calc_오픈정렬!BN91/Calc_오픈정렬!$F91*100)</f>
        <v/>
      </c>
    </row>
    <row r="92" spans="1:66" x14ac:dyDescent="0.4">
      <c r="A92" t="str">
        <f>Calc_오픈정렬!A92</f>
        <v>(1081) #등마루증미역점</v>
      </c>
      <c r="B92" t="str">
        <f>Calc_오픈정렬!B92</f>
        <v>150-2</v>
      </c>
      <c r="C92">
        <f>Calc_오픈정렬!C92</f>
        <v>2</v>
      </c>
      <c r="D92" t="str">
        <f>Calc_오픈정렬!D92</f>
        <v>2</v>
      </c>
      <c r="E92" s="1">
        <f>Calc_오픈정렬!E92</f>
        <v>45139</v>
      </c>
      <c r="F92">
        <f>Calc_오픈정렬!F92</f>
        <v>5051239.645982069</v>
      </c>
      <c r="G92">
        <f>IF(OR(Calc_오픈정렬!$F92="",Calc_오픈정렬!G92=""),"",Calc_오픈정렬!G92/Calc_오픈정렬!$F92*100)</f>
        <v>59.027672468317803</v>
      </c>
      <c r="H92">
        <f>IF(OR(Calc_오픈정렬!$F92="",Calc_오픈정렬!H92=""),"",Calc_오픈정렬!H92/Calc_오픈정렬!$F92*100)</f>
        <v>78.616592109889936</v>
      </c>
      <c r="I92">
        <f>IF(OR(Calc_오픈정렬!$F92="",Calc_오픈정렬!I92=""),"",Calc_오픈정렬!I92/Calc_오픈정렬!$F92*100)</f>
        <v>78.490026346232384</v>
      </c>
      <c r="J92">
        <f>IF(OR(Calc_오픈정렬!$F92="",Calc_오픈정렬!J92=""),"",Calc_오픈정렬!J92/Calc_오픈정렬!$F92*100)</f>
        <v>85.263801483424018</v>
      </c>
      <c r="K92">
        <f>IF(OR(Calc_오픈정렬!$F92="",Calc_오픈정렬!K92=""),"",Calc_오픈정렬!K92/Calc_오픈정렬!$F92*100)</f>
        <v>86.948484239199331</v>
      </c>
      <c r="L92">
        <f>IF(OR(Calc_오픈정렬!$F92="",Calc_오픈정렬!L92=""),"",Calc_오픈정렬!L92/Calc_오픈정렬!$F92*100)</f>
        <v>89.956210704755861</v>
      </c>
      <c r="M92">
        <f>IF(OR(Calc_오픈정렬!$F92="",Calc_오픈정렬!M92=""),"",Calc_오픈정렬!M92/Calc_오픈정렬!$F92*100)</f>
        <v>112.54240015339923</v>
      </c>
      <c r="N92">
        <f>IF(OR(Calc_오픈정렬!$F92="",Calc_오픈정렬!N92=""),"",Calc_오픈정렬!N92/Calc_오픈정렬!$F92*100)</f>
        <v>122.73890298969323</v>
      </c>
      <c r="O92">
        <f>IF(OR(Calc_오픈정렬!$F92="",Calc_오픈정렬!O92=""),"",Calc_오픈정렬!O92/Calc_오픈정렬!$F92*100)</f>
        <v>102.55020042952829</v>
      </c>
      <c r="P92">
        <f>IF(OR(Calc_오픈정렬!$F92="",Calc_오픈정렬!P92=""),"",Calc_오픈정렬!P92/Calc_오픈정렬!$F92*100)</f>
        <v>91.763623479176772</v>
      </c>
      <c r="Q92">
        <f>IF(OR(Calc_오픈정렬!$F92="",Calc_오픈정렬!Q92=""),"",Calc_오픈정렬!Q92/Calc_오픈정렬!$F92*100)</f>
        <v>96.53516323771737</v>
      </c>
      <c r="R92">
        <f>IF(OR(Calc_오픈정렬!$F92="",Calc_오픈정렬!R92=""),"",Calc_오픈정렬!R92/Calc_오픈정렬!$F92*100)</f>
        <v>90.754552883677434</v>
      </c>
      <c r="S92">
        <f>IF(OR(Calc_오픈정렬!$F92="",Calc_오픈정렬!S92=""),"",Calc_오픈정렬!S92/Calc_오픈정렬!$F92*100)</f>
        <v>94.188463048816061</v>
      </c>
      <c r="T92">
        <f>IF(OR(Calc_오픈정렬!$F92="",Calc_오픈정렬!T92=""),"",Calc_오픈정렬!T92/Calc_오픈정렬!$F92*100)</f>
        <v>86.370252913903073</v>
      </c>
      <c r="U92">
        <f>IF(OR(Calc_오픈정렬!$F92="",Calc_오픈정렬!U92=""),"",Calc_오픈정렬!U92/Calc_오픈정렬!$F92*100)</f>
        <v>89.589608732222615</v>
      </c>
      <c r="V92">
        <f>IF(OR(Calc_오픈정렬!$F92="",Calc_오픈정렬!V92=""),"",Calc_오픈정렬!V92/Calc_오픈정렬!$F92*100)</f>
        <v>89.608186123236209</v>
      </c>
      <c r="W92">
        <f>IF(OR(Calc_오픈정렬!$F92="",Calc_오픈정렬!W92=""),"",Calc_오픈정렬!W92/Calc_오픈정렬!$F92*100)</f>
        <v>86.287123143122358</v>
      </c>
      <c r="X92">
        <f>IF(OR(Calc_오픈정렬!$F92="",Calc_오픈정렬!X92=""),"",Calc_오픈정렬!X92/Calc_오픈정렬!$F92*100)</f>
        <v>91.121459553266689</v>
      </c>
      <c r="Y92">
        <f>IF(OR(Calc_오픈정렬!$F92="",Calc_오픈정렬!Y92=""),"",Calc_오픈정렬!Y92/Calc_오픈정렬!$F92*100)</f>
        <v>105.20959190895975</v>
      </c>
      <c r="Z92">
        <f>IF(OR(Calc_오픈정렬!$F92="",Calc_오픈정렬!Z92=""),"",Calc_오픈정렬!Z92/Calc_오픈정렬!$F92*100)</f>
        <v>109.28005729611949</v>
      </c>
      <c r="AA92">
        <f>IF(OR(Calc_오픈정렬!$F92="",Calc_오픈정렬!AA92=""),"",Calc_오픈정렬!AA92/Calc_오픈정렬!$F92*100)</f>
        <v>106.83212647777059</v>
      </c>
      <c r="AB92">
        <f>IF(OR(Calc_오픈정렬!$F92="",Calc_오픈정렬!AB92=""),"",Calc_오픈정렬!AB92/Calc_오픈정렬!$F92*100)</f>
        <v>115.58041325438818</v>
      </c>
      <c r="AC92">
        <f>IF(OR(Calc_오픈정렬!$F92="",Calc_오픈정렬!AC92=""),"",Calc_오픈정렬!AC92/Calc_오픈정렬!$F92*100)</f>
        <v>104.10734168015388</v>
      </c>
      <c r="AD92">
        <f>IF(OR(Calc_오픈정렬!$F92="",Calc_오픈정렬!AD92=""),"",Calc_오픈정렬!AD92/Calc_오픈정렬!$F92*100)</f>
        <v>93.409837163175112</v>
      </c>
      <c r="AE92">
        <f>IF(OR(Calc_오픈정렬!$F92="",Calc_오픈정렬!AE92=""),"",Calc_오픈정렬!AE92/Calc_오픈정렬!$F92*100)</f>
        <v>99.694279912136906</v>
      </c>
      <c r="AF92">
        <f>IF(OR(Calc_오픈정렬!$F92="",Calc_오픈정렬!AF92=""),"",Calc_오픈정렬!AF92/Calc_오픈정렬!$F92*100)</f>
        <v>99.038612370044262</v>
      </c>
      <c r="AG92">
        <f>IF(OR(Calc_오픈정렬!$F92="",Calc_오픈정렬!AG92=""),"",Calc_오픈정렬!AG92/Calc_오픈정렬!$F92*100)</f>
        <v>105.66062573479245</v>
      </c>
      <c r="AH92">
        <f>IF(OR(Calc_오픈정렬!$F92="",Calc_오픈정렬!AH92=""),"",Calc_오픈정렬!AH92/Calc_오픈정렬!$F92*100)</f>
        <v>107.17454483162201</v>
      </c>
      <c r="AI92">
        <f>IF(OR(Calc_오픈정렬!$F92="",Calc_오픈정렬!AI92=""),"",Calc_오픈정렬!AI92/Calc_오픈정렬!$F92*100)</f>
        <v>104.2074798878087</v>
      </c>
      <c r="AJ92">
        <f>IF(OR(Calc_오픈정렬!$F92="",Calc_오픈정렬!AJ92=""),"",Calc_오픈정렬!AJ92/Calc_오픈정렬!$F92*100)</f>
        <v>117.46961068123107</v>
      </c>
      <c r="AK92">
        <f>IF(OR(Calc_오픈정렬!$F92="",Calc_오픈정렬!AK92=""),"",Calc_오픈정렬!AK92/Calc_오픈정렬!$F92*100)</f>
        <v>123.41454495887194</v>
      </c>
      <c r="AL92">
        <f>IF(OR(Calc_오픈정렬!$F92="",Calc_오픈정렬!AL92=""),"",Calc_오픈정렬!AL92/Calc_오픈정렬!$F92*100)</f>
        <v>130.52417524546493</v>
      </c>
      <c r="AM92">
        <f>IF(OR(Calc_오픈정렬!$F92="",Calc_오픈정렬!AM92=""),"",Calc_오픈정렬!AM92/Calc_오픈정렬!$F92*100)</f>
        <v>122.93735465385399</v>
      </c>
      <c r="AN92">
        <f>IF(OR(Calc_오픈정렬!$F92="",Calc_오픈정렬!AN92=""),"",Calc_오픈정렬!AN92/Calc_오픈정렬!$F92*100)</f>
        <v>126.63608135382718</v>
      </c>
      <c r="AO92" t="str">
        <f>IF(OR(Calc_오픈정렬!$F92="",Calc_오픈정렬!AO92=""),"",Calc_오픈정렬!AO92/Calc_오픈정렬!$F92*100)</f>
        <v/>
      </c>
      <c r="AP92" t="str">
        <f>IF(OR(Calc_오픈정렬!$F92="",Calc_오픈정렬!AP92=""),"",Calc_오픈정렬!AP92/Calc_오픈정렬!$F92*100)</f>
        <v/>
      </c>
      <c r="AQ92" t="str">
        <f>IF(OR(Calc_오픈정렬!$F92="",Calc_오픈정렬!AQ92=""),"",Calc_오픈정렬!AQ92/Calc_오픈정렬!$F92*100)</f>
        <v/>
      </c>
      <c r="AR92" t="str">
        <f>IF(OR(Calc_오픈정렬!$F92="",Calc_오픈정렬!AR92=""),"",Calc_오픈정렬!AR92/Calc_오픈정렬!$F92*100)</f>
        <v/>
      </c>
      <c r="AS92" t="str">
        <f>IF(OR(Calc_오픈정렬!$F92="",Calc_오픈정렬!AS92=""),"",Calc_오픈정렬!AS92/Calc_오픈정렬!$F92*100)</f>
        <v/>
      </c>
      <c r="AT92" t="str">
        <f>IF(OR(Calc_오픈정렬!$F92="",Calc_오픈정렬!AT92=""),"",Calc_오픈정렬!AT92/Calc_오픈정렬!$F92*100)</f>
        <v/>
      </c>
      <c r="AU92" t="str">
        <f>IF(OR(Calc_오픈정렬!$F92="",Calc_오픈정렬!AU92=""),"",Calc_오픈정렬!AU92/Calc_오픈정렬!$F92*100)</f>
        <v/>
      </c>
      <c r="AV92" t="str">
        <f>IF(OR(Calc_오픈정렬!$F92="",Calc_오픈정렬!AV92=""),"",Calc_오픈정렬!AV92/Calc_오픈정렬!$F92*100)</f>
        <v/>
      </c>
      <c r="AW92" t="str">
        <f>IF(OR(Calc_오픈정렬!$F92="",Calc_오픈정렬!AW92=""),"",Calc_오픈정렬!AW92/Calc_오픈정렬!$F92*100)</f>
        <v/>
      </c>
      <c r="AX92" t="str">
        <f>IF(OR(Calc_오픈정렬!$F92="",Calc_오픈정렬!AX92=""),"",Calc_오픈정렬!AX92/Calc_오픈정렬!$F92*100)</f>
        <v/>
      </c>
      <c r="AY92" t="str">
        <f>IF(OR(Calc_오픈정렬!$F92="",Calc_오픈정렬!AY92=""),"",Calc_오픈정렬!AY92/Calc_오픈정렬!$F92*100)</f>
        <v/>
      </c>
      <c r="AZ92" t="str">
        <f>IF(OR(Calc_오픈정렬!$F92="",Calc_오픈정렬!AZ92=""),"",Calc_오픈정렬!AZ92/Calc_오픈정렬!$F92*100)</f>
        <v/>
      </c>
      <c r="BA92" t="str">
        <f>IF(OR(Calc_오픈정렬!$F92="",Calc_오픈정렬!BA92=""),"",Calc_오픈정렬!BA92/Calc_오픈정렬!$F92*100)</f>
        <v/>
      </c>
      <c r="BB92" t="str">
        <f>IF(OR(Calc_오픈정렬!$F92="",Calc_오픈정렬!BB92=""),"",Calc_오픈정렬!BB92/Calc_오픈정렬!$F92*100)</f>
        <v/>
      </c>
      <c r="BC92" t="str">
        <f>IF(OR(Calc_오픈정렬!$F92="",Calc_오픈정렬!BC92=""),"",Calc_오픈정렬!BC92/Calc_오픈정렬!$F92*100)</f>
        <v/>
      </c>
      <c r="BD92" t="str">
        <f>IF(OR(Calc_오픈정렬!$F92="",Calc_오픈정렬!BD92=""),"",Calc_오픈정렬!BD92/Calc_오픈정렬!$F92*100)</f>
        <v/>
      </c>
      <c r="BE92" t="str">
        <f>IF(OR(Calc_오픈정렬!$F92="",Calc_오픈정렬!BE92=""),"",Calc_오픈정렬!BE92/Calc_오픈정렬!$F92*100)</f>
        <v/>
      </c>
      <c r="BF92" t="str">
        <f>IF(OR(Calc_오픈정렬!$F92="",Calc_오픈정렬!BF92=""),"",Calc_오픈정렬!BF92/Calc_오픈정렬!$F92*100)</f>
        <v/>
      </c>
      <c r="BG92" t="str">
        <f>IF(OR(Calc_오픈정렬!$F92="",Calc_오픈정렬!BG92=""),"",Calc_오픈정렬!BG92/Calc_오픈정렬!$F92*100)</f>
        <v/>
      </c>
      <c r="BH92" t="str">
        <f>IF(OR(Calc_오픈정렬!$F92="",Calc_오픈정렬!BH92=""),"",Calc_오픈정렬!BH92/Calc_오픈정렬!$F92*100)</f>
        <v/>
      </c>
      <c r="BI92" t="str">
        <f>IF(OR(Calc_오픈정렬!$F92="",Calc_오픈정렬!BI92=""),"",Calc_오픈정렬!BI92/Calc_오픈정렬!$F92*100)</f>
        <v/>
      </c>
      <c r="BJ92" t="str">
        <f>IF(OR(Calc_오픈정렬!$F92="",Calc_오픈정렬!BJ92=""),"",Calc_오픈정렬!BJ92/Calc_오픈정렬!$F92*100)</f>
        <v/>
      </c>
      <c r="BK92" t="str">
        <f>IF(OR(Calc_오픈정렬!$F92="",Calc_오픈정렬!BK92=""),"",Calc_오픈정렬!BK92/Calc_오픈정렬!$F92*100)</f>
        <v/>
      </c>
      <c r="BL92" t="str">
        <f>IF(OR(Calc_오픈정렬!$F92="",Calc_오픈정렬!BL92=""),"",Calc_오픈정렬!BL92/Calc_오픈정렬!$F92*100)</f>
        <v/>
      </c>
      <c r="BM92" t="str">
        <f>IF(OR(Calc_오픈정렬!$F92="",Calc_오픈정렬!BM92=""),"",Calc_오픈정렬!BM92/Calc_오픈정렬!$F92*100)</f>
        <v/>
      </c>
      <c r="BN92" t="str">
        <f>IF(OR(Calc_오픈정렬!$F92="",Calc_오픈정렬!BN92=""),"",Calc_오픈정렬!BN92/Calc_오픈정렬!$F92*100)</f>
        <v/>
      </c>
    </row>
    <row r="93" spans="1:66" x14ac:dyDescent="0.4">
      <c r="A93" t="str">
        <f>Calc_오픈정렬!A93</f>
        <v>(1082) #천천푸르지오서문점</v>
      </c>
      <c r="B93" t="str">
        <f>Calc_오픈정렬!B93</f>
        <v>150-0</v>
      </c>
      <c r="C93">
        <f>Calc_오픈정렬!C93</f>
        <v>0</v>
      </c>
      <c r="D93" t="str">
        <f>Calc_오픈정렬!D93</f>
        <v>0</v>
      </c>
      <c r="E93" s="1">
        <f>Calc_오픈정렬!E93</f>
        <v>45139</v>
      </c>
      <c r="F93">
        <f>Calc_오픈정렬!F93</f>
        <v>4390903.9323879359</v>
      </c>
      <c r="G93">
        <f>IF(OR(Calc_오픈정렬!$F93="",Calc_오픈정렬!G93=""),"",Calc_오픈정렬!G93/Calc_오픈정렬!$F93*100)</f>
        <v>56.74550313094997</v>
      </c>
      <c r="H93">
        <f>IF(OR(Calc_오픈정렬!$F93="",Calc_오픈정렬!H93=""),"",Calc_오픈정렬!H93/Calc_오픈정렬!$F93*100)</f>
        <v>57.657179028817239</v>
      </c>
      <c r="I93">
        <f>IF(OR(Calc_오픈정렬!$F93="",Calc_오픈정렬!I93=""),"",Calc_오픈정렬!I93/Calc_오픈정렬!$F93*100)</f>
        <v>74.473275468051924</v>
      </c>
      <c r="J93">
        <f>IF(OR(Calc_오픈정렬!$F93="",Calc_오픈정렬!J93=""),"",Calc_오픈정렬!J93/Calc_오픈정렬!$F93*100)</f>
        <v>80.586584081087224</v>
      </c>
      <c r="K93">
        <f>IF(OR(Calc_오픈정렬!$F93="",Calc_오픈정렬!K93=""),"",Calc_오픈정렬!K93/Calc_오픈정렬!$F93*100)</f>
        <v>88.744122327195115</v>
      </c>
      <c r="L93">
        <f>IF(OR(Calc_오픈정렬!$F93="",Calc_오픈정렬!L93=""),"",Calc_오픈정렬!L93/Calc_오픈정렬!$F93*100)</f>
        <v>94.902401432070121</v>
      </c>
      <c r="M93">
        <f>IF(OR(Calc_오픈정렬!$F93="",Calc_오픈정렬!M93=""),"",Calc_오픈정렬!M93/Calc_오픈정렬!$F93*100)</f>
        <v>108.77965741508353</v>
      </c>
      <c r="N93">
        <f>IF(OR(Calc_오픈정렬!$F93="",Calc_오픈정렬!N93=""),"",Calc_오픈정렬!N93/Calc_오픈정렬!$F93*100)</f>
        <v>107.83808229139993</v>
      </c>
      <c r="O93">
        <f>IF(OR(Calc_오픈정렬!$F93="",Calc_오픈정렬!O93=""),"",Calc_오픈정렬!O93/Calc_오픈정렬!$F93*100)</f>
        <v>119.14915245316402</v>
      </c>
      <c r="P93">
        <f>IF(OR(Calc_오픈정렬!$F93="",Calc_오픈정렬!P93=""),"",Calc_오픈정렬!P93/Calc_오픈정렬!$F93*100)</f>
        <v>112.49324859237622</v>
      </c>
      <c r="Q93">
        <f>IF(OR(Calc_오픈정렬!$F93="",Calc_오픈정렬!Q93=""),"",Calc_오픈정렬!Q93/Calc_오픈정렬!$F93*100)</f>
        <v>118.46267341046715</v>
      </c>
      <c r="R93">
        <f>IF(OR(Calc_오픈정렬!$F93="",Calc_오픈정렬!R93=""),"",Calc_오픈정렬!R93/Calc_오픈정렬!$F93*100)</f>
        <v>113.9043503940218</v>
      </c>
      <c r="S93">
        <f>IF(OR(Calc_오픈정렬!$F93="",Calc_오픈정렬!S93=""),"",Calc_오픈정렬!S93/Calc_오픈정렬!$F93*100)</f>
        <v>116.17808192341428</v>
      </c>
      <c r="T93">
        <f>IF(OR(Calc_오픈정렬!$F93="",Calc_오픈정렬!T93=""),"",Calc_오픈정렬!T93/Calc_오픈정렬!$F93*100)</f>
        <v>110.64591896031932</v>
      </c>
      <c r="U93">
        <f>IF(OR(Calc_오픈정렬!$F93="",Calc_오픈정렬!U93=""),"",Calc_오픈정렬!U93/Calc_오픈정렬!$F93*100)</f>
        <v>112.39416104784652</v>
      </c>
      <c r="V93">
        <f>IF(OR(Calc_오픈정렬!$F93="",Calc_오픈정렬!V93=""),"",Calc_오픈정렬!V93/Calc_오픈정렬!$F93*100)</f>
        <v>119.3558621930398</v>
      </c>
      <c r="W93">
        <f>IF(OR(Calc_오픈정렬!$F93="",Calc_오픈정렬!W93=""),"",Calc_오픈정렬!W93/Calc_오픈정렬!$F93*100)</f>
        <v>121.17600510490966</v>
      </c>
      <c r="X93">
        <f>IF(OR(Calc_오픈정렬!$F93="",Calc_오픈정렬!X93=""),"",Calc_오픈정렬!X93/Calc_오픈정렬!$F93*100)</f>
        <v>141.73089348502972</v>
      </c>
      <c r="Y93">
        <f>IF(OR(Calc_오픈정렬!$F93="",Calc_오픈정렬!Y93=""),"",Calc_오픈정렬!Y93/Calc_오픈정렬!$F93*100)</f>
        <v>134.88128477972202</v>
      </c>
      <c r="Z93">
        <f>IF(OR(Calc_오픈정렬!$F93="",Calc_오픈정렬!Z93=""),"",Calc_오픈정렬!Z93/Calc_오픈정렬!$F93*100)</f>
        <v>138.43283799158959</v>
      </c>
      <c r="AA93">
        <f>IF(OR(Calc_오픈정렬!$F93="",Calc_오픈정렬!AA93=""),"",Calc_오픈정렬!AA93/Calc_오픈정렬!$F93*100)</f>
        <v>126.98353709534319</v>
      </c>
      <c r="AB93">
        <f>IF(OR(Calc_오픈정렬!$F93="",Calc_오픈정렬!AB93=""),"",Calc_오픈정렬!AB93/Calc_오픈정렬!$F93*100)</f>
        <v>149.33377865792929</v>
      </c>
      <c r="AC93">
        <f>IF(OR(Calc_오픈정렬!$F93="",Calc_오픈정렬!AC93=""),"",Calc_오픈정렬!AC93/Calc_오픈정렬!$F93*100)</f>
        <v>143.90993656708815</v>
      </c>
      <c r="AD93">
        <f>IF(OR(Calc_오픈정렬!$F93="",Calc_오픈정렬!AD93=""),"",Calc_오픈정렬!AD93/Calc_오픈정렬!$F93*100)</f>
        <v>141.51850199075946</v>
      </c>
      <c r="AE93">
        <f>IF(OR(Calc_오픈정렬!$F93="",Calc_오픈정렬!AE93=""),"",Calc_오픈정렬!AE93/Calc_오픈정렬!$F93*100)</f>
        <v>138.31945146686749</v>
      </c>
      <c r="AF93">
        <f>IF(OR(Calc_오픈정렬!$F93="",Calc_오픈정렬!AF93=""),"",Calc_오픈정렬!AF93/Calc_오픈정렬!$F93*100)</f>
        <v>127.22906807305374</v>
      </c>
      <c r="AG93">
        <f>IF(OR(Calc_오픈정렬!$F93="",Calc_오픈정렬!AG93=""),"",Calc_오픈정렬!AG93/Calc_오픈정렬!$F93*100)</f>
        <v>134.64452973828153</v>
      </c>
      <c r="AH93">
        <f>IF(OR(Calc_오픈정렬!$F93="",Calc_오픈정렬!AH93=""),"",Calc_오픈정렬!AH93/Calc_오픈정렬!$F93*100)</f>
        <v>133.49482649451957</v>
      </c>
      <c r="AI93">
        <f>IF(OR(Calc_오픈정렬!$F93="",Calc_오픈정렬!AI93=""),"",Calc_오픈정렬!AI93/Calc_오픈정렬!$F93*100)</f>
        <v>135.6294064558914</v>
      </c>
      <c r="AJ93">
        <f>IF(OR(Calc_오픈정렬!$F93="",Calc_오픈정렬!AJ93=""),"",Calc_오픈정렬!AJ93/Calc_오픈정렬!$F93*100)</f>
        <v>159.88276344918339</v>
      </c>
      <c r="AK93">
        <f>IF(OR(Calc_오픈정렬!$F93="",Calc_오픈정렬!AK93=""),"",Calc_오픈정렬!AK93/Calc_오픈정렬!$F93*100)</f>
        <v>139.4662676449893</v>
      </c>
      <c r="AL93">
        <f>IF(OR(Calc_오픈정렬!$F93="",Calc_오픈정렬!AL93=""),"",Calc_오픈정렬!AL93/Calc_오픈정렬!$F93*100)</f>
        <v>140.66312698754484</v>
      </c>
      <c r="AM93">
        <f>IF(OR(Calc_오픈정렬!$F93="",Calc_오픈정렬!AM93=""),"",Calc_오픈정렬!AM93/Calc_오픈정렬!$F93*100)</f>
        <v>145.71115260657484</v>
      </c>
      <c r="AN93">
        <f>IF(OR(Calc_오픈정렬!$F93="",Calc_오픈정렬!AN93=""),"",Calc_오픈정렬!AN93/Calc_오픈정렬!$F93*100)</f>
        <v>159.20158093791852</v>
      </c>
      <c r="AO93" t="str">
        <f>IF(OR(Calc_오픈정렬!$F93="",Calc_오픈정렬!AO93=""),"",Calc_오픈정렬!AO93/Calc_오픈정렬!$F93*100)</f>
        <v/>
      </c>
      <c r="AP93" t="str">
        <f>IF(OR(Calc_오픈정렬!$F93="",Calc_오픈정렬!AP93=""),"",Calc_오픈정렬!AP93/Calc_오픈정렬!$F93*100)</f>
        <v/>
      </c>
      <c r="AQ93" t="str">
        <f>IF(OR(Calc_오픈정렬!$F93="",Calc_오픈정렬!AQ93=""),"",Calc_오픈정렬!AQ93/Calc_오픈정렬!$F93*100)</f>
        <v/>
      </c>
      <c r="AR93" t="str">
        <f>IF(OR(Calc_오픈정렬!$F93="",Calc_오픈정렬!AR93=""),"",Calc_오픈정렬!AR93/Calc_오픈정렬!$F93*100)</f>
        <v/>
      </c>
      <c r="AS93" t="str">
        <f>IF(OR(Calc_오픈정렬!$F93="",Calc_오픈정렬!AS93=""),"",Calc_오픈정렬!AS93/Calc_오픈정렬!$F93*100)</f>
        <v/>
      </c>
      <c r="AT93" t="str">
        <f>IF(OR(Calc_오픈정렬!$F93="",Calc_오픈정렬!AT93=""),"",Calc_오픈정렬!AT93/Calc_오픈정렬!$F93*100)</f>
        <v/>
      </c>
      <c r="AU93" t="str">
        <f>IF(OR(Calc_오픈정렬!$F93="",Calc_오픈정렬!AU93=""),"",Calc_오픈정렬!AU93/Calc_오픈정렬!$F93*100)</f>
        <v/>
      </c>
      <c r="AV93" t="str">
        <f>IF(OR(Calc_오픈정렬!$F93="",Calc_오픈정렬!AV93=""),"",Calc_오픈정렬!AV93/Calc_오픈정렬!$F93*100)</f>
        <v/>
      </c>
      <c r="AW93" t="str">
        <f>IF(OR(Calc_오픈정렬!$F93="",Calc_오픈정렬!AW93=""),"",Calc_오픈정렬!AW93/Calc_오픈정렬!$F93*100)</f>
        <v/>
      </c>
      <c r="AX93" t="str">
        <f>IF(OR(Calc_오픈정렬!$F93="",Calc_오픈정렬!AX93=""),"",Calc_오픈정렬!AX93/Calc_오픈정렬!$F93*100)</f>
        <v/>
      </c>
      <c r="AY93" t="str">
        <f>IF(OR(Calc_오픈정렬!$F93="",Calc_오픈정렬!AY93=""),"",Calc_오픈정렬!AY93/Calc_오픈정렬!$F93*100)</f>
        <v/>
      </c>
      <c r="AZ93" t="str">
        <f>IF(OR(Calc_오픈정렬!$F93="",Calc_오픈정렬!AZ93=""),"",Calc_오픈정렬!AZ93/Calc_오픈정렬!$F93*100)</f>
        <v/>
      </c>
      <c r="BA93" t="str">
        <f>IF(OR(Calc_오픈정렬!$F93="",Calc_오픈정렬!BA93=""),"",Calc_오픈정렬!BA93/Calc_오픈정렬!$F93*100)</f>
        <v/>
      </c>
      <c r="BB93" t="str">
        <f>IF(OR(Calc_오픈정렬!$F93="",Calc_오픈정렬!BB93=""),"",Calc_오픈정렬!BB93/Calc_오픈정렬!$F93*100)</f>
        <v/>
      </c>
      <c r="BC93" t="str">
        <f>IF(OR(Calc_오픈정렬!$F93="",Calc_오픈정렬!BC93=""),"",Calc_오픈정렬!BC93/Calc_오픈정렬!$F93*100)</f>
        <v/>
      </c>
      <c r="BD93" t="str">
        <f>IF(OR(Calc_오픈정렬!$F93="",Calc_오픈정렬!BD93=""),"",Calc_오픈정렬!BD93/Calc_오픈정렬!$F93*100)</f>
        <v/>
      </c>
      <c r="BE93" t="str">
        <f>IF(OR(Calc_오픈정렬!$F93="",Calc_오픈정렬!BE93=""),"",Calc_오픈정렬!BE93/Calc_오픈정렬!$F93*100)</f>
        <v/>
      </c>
      <c r="BF93" t="str">
        <f>IF(OR(Calc_오픈정렬!$F93="",Calc_오픈정렬!BF93=""),"",Calc_오픈정렬!BF93/Calc_오픈정렬!$F93*100)</f>
        <v/>
      </c>
      <c r="BG93" t="str">
        <f>IF(OR(Calc_오픈정렬!$F93="",Calc_오픈정렬!BG93=""),"",Calc_오픈정렬!BG93/Calc_오픈정렬!$F93*100)</f>
        <v/>
      </c>
      <c r="BH93" t="str">
        <f>IF(OR(Calc_오픈정렬!$F93="",Calc_오픈정렬!BH93=""),"",Calc_오픈정렬!BH93/Calc_오픈정렬!$F93*100)</f>
        <v/>
      </c>
      <c r="BI93" t="str">
        <f>IF(OR(Calc_오픈정렬!$F93="",Calc_오픈정렬!BI93=""),"",Calc_오픈정렬!BI93/Calc_오픈정렬!$F93*100)</f>
        <v/>
      </c>
      <c r="BJ93" t="str">
        <f>IF(OR(Calc_오픈정렬!$F93="",Calc_오픈정렬!BJ93=""),"",Calc_오픈정렬!BJ93/Calc_오픈정렬!$F93*100)</f>
        <v/>
      </c>
      <c r="BK93" t="str">
        <f>IF(OR(Calc_오픈정렬!$F93="",Calc_오픈정렬!BK93=""),"",Calc_오픈정렬!BK93/Calc_오픈정렬!$F93*100)</f>
        <v/>
      </c>
      <c r="BL93" t="str">
        <f>IF(OR(Calc_오픈정렬!$F93="",Calc_오픈정렬!BL93=""),"",Calc_오픈정렬!BL93/Calc_오픈정렬!$F93*100)</f>
        <v/>
      </c>
      <c r="BM93" t="str">
        <f>IF(OR(Calc_오픈정렬!$F93="",Calc_오픈정렬!BM93=""),"",Calc_오픈정렬!BM93/Calc_오픈정렬!$F93*100)</f>
        <v/>
      </c>
      <c r="BN93" t="str">
        <f>IF(OR(Calc_오픈정렬!$F93="",Calc_오픈정렬!BN93=""),"",Calc_오픈정렬!BN93/Calc_오픈정렬!$F93*100)</f>
        <v/>
      </c>
    </row>
    <row r="94" spans="1:66" x14ac:dyDescent="0.4">
      <c r="A94" t="str">
        <f>Calc_오픈정렬!A94</f>
        <v>(1083) #신촌창천스쿨점</v>
      </c>
      <c r="B94" t="str">
        <f>Calc_오픈정렬!B94</f>
        <v>150-0</v>
      </c>
      <c r="C94">
        <f>Calc_오픈정렬!C94</f>
        <v>0</v>
      </c>
      <c r="D94" t="str">
        <f>Calc_오픈정렬!D94</f>
        <v>0</v>
      </c>
      <c r="E94" s="1">
        <f>Calc_오픈정렬!E94</f>
        <v>45170</v>
      </c>
      <c r="F94">
        <f>Calc_오픈정렬!F94</f>
        <v>4125608.106100393</v>
      </c>
      <c r="G94">
        <f>IF(OR(Calc_오픈정렬!$F94="",Calc_오픈정렬!G94=""),"",Calc_오픈정렬!G94/Calc_오픈정렬!$F94*100)</f>
        <v>60.495945700241762</v>
      </c>
      <c r="H94">
        <f>IF(OR(Calc_오픈정렬!$F94="",Calc_오픈정렬!H94=""),"",Calc_오픈정렬!H94/Calc_오픈정렬!$F94*100)</f>
        <v>72.951259247487769</v>
      </c>
      <c r="I94">
        <f>IF(OR(Calc_오픈정렬!$F94="",Calc_오픈정렬!I94=""),"",Calc_오픈정렬!I94/Calc_오픈정렬!$F94*100)</f>
        <v>89.901125435178969</v>
      </c>
      <c r="J94">
        <f>IF(OR(Calc_오픈정렬!$F94="",Calc_오픈정렬!J94=""),"",Calc_오픈정렬!J94/Calc_오픈정렬!$F94*100)</f>
        <v>92.231723189078139</v>
      </c>
      <c r="K94">
        <f>IF(OR(Calc_오픈정렬!$F94="",Calc_오픈정렬!K94=""),"",Calc_오픈정렬!K94/Calc_오픈정렬!$F94*100)</f>
        <v>104.63648958560069</v>
      </c>
      <c r="L94">
        <f>IF(OR(Calc_오픈정렬!$F94="",Calc_오픈정렬!L94=""),"",Calc_오픈정렬!L94/Calc_오픈정렬!$F94*100)</f>
        <v>107.03651673806507</v>
      </c>
      <c r="M94">
        <f>IF(OR(Calc_오픈정렬!$F94="",Calc_오픈정렬!M94=""),"",Calc_오픈정렬!M94/Calc_오픈정렬!$F94*100)</f>
        <v>110.15561865318098</v>
      </c>
      <c r="N94">
        <f>IF(OR(Calc_오픈정렬!$F94="",Calc_오픈정렬!N94=""),"",Calc_오픈정렬!N94/Calc_오픈정렬!$F94*100)</f>
        <v>101.16149883491185</v>
      </c>
      <c r="O94">
        <f>IF(OR(Calc_오픈정렬!$F94="",Calc_오픈정렬!O94=""),"",Calc_오픈정렬!O94/Calc_오픈정렬!$F94*100)</f>
        <v>84.778152999163254</v>
      </c>
      <c r="P94">
        <f>IF(OR(Calc_오픈정렬!$F94="",Calc_오픈정렬!P94=""),"",Calc_오픈정렬!P94/Calc_오픈정렬!$F94*100)</f>
        <v>92.334302331463675</v>
      </c>
      <c r="Q94">
        <f>IF(OR(Calc_오픈정렬!$F94="",Calc_오픈정렬!Q94=""),"",Calc_오픈정렬!Q94/Calc_오픈정렬!$F94*100)</f>
        <v>101.28487846793386</v>
      </c>
      <c r="R94">
        <f>IF(OR(Calc_오픈정렬!$F94="",Calc_오픈정렬!R94=""),"",Calc_오픈정렬!R94/Calc_오픈정렬!$F94*100)</f>
        <v>102.05355157796139</v>
      </c>
      <c r="S94">
        <f>IF(OR(Calc_오픈정렬!$F94="",Calc_오픈정렬!S94=""),"",Calc_오픈정렬!S94/Calc_오픈정렬!$F94*100)</f>
        <v>118.58988103101123</v>
      </c>
      <c r="T94">
        <f>IF(OR(Calc_오픈정렬!$F94="",Calc_오픈정렬!T94=""),"",Calc_오픈정렬!T94/Calc_오픈정렬!$F94*100)</f>
        <v>101.55402918311009</v>
      </c>
      <c r="U94">
        <f>IF(OR(Calc_오픈정렬!$F94="",Calc_오픈정렬!U94=""),"",Calc_오픈정렬!U94/Calc_오픈정렬!$F94*100)</f>
        <v>110.13405876955593</v>
      </c>
      <c r="V94">
        <f>IF(OR(Calc_오픈정렬!$F94="",Calc_오픈정렬!V94=""),"",Calc_오픈정렬!V94/Calc_오픈정렬!$F94*100)</f>
        <v>105.61926841110072</v>
      </c>
      <c r="W94">
        <f>IF(OR(Calc_오픈정렬!$F94="",Calc_오픈정렬!W94=""),"",Calc_오픈정렬!W94/Calc_오픈정렬!$F94*100)</f>
        <v>108.41835493235739</v>
      </c>
      <c r="X94">
        <f>IF(OR(Calc_오픈정렬!$F94="",Calc_오픈정렬!X94=""),"",Calc_오픈정렬!X94/Calc_오픈정렬!$F94*100)</f>
        <v>100.01140687340859</v>
      </c>
      <c r="Y94">
        <f>IF(OR(Calc_오픈정렬!$F94="",Calc_오픈정렬!Y94=""),"",Calc_오픈정렬!Y94/Calc_오픈정렬!$F94*100)</f>
        <v>93.745959856067017</v>
      </c>
      <c r="Z94">
        <f>IF(OR(Calc_오픈정렬!$F94="",Calc_오픈정렬!Z94=""),"",Calc_오픈정렬!Z94/Calc_오픈정렬!$F94*100)</f>
        <v>118.82749229493501</v>
      </c>
      <c r="AA94">
        <f>IF(OR(Calc_오픈정렬!$F94="",Calc_오픈정렬!AA94=""),"",Calc_오픈정렬!AA94/Calc_오픈정렬!$F94*100)</f>
        <v>122.75812510522121</v>
      </c>
      <c r="AB94">
        <f>IF(OR(Calc_오픈정렬!$F94="",Calc_오픈정렬!AB94=""),"",Calc_오픈정렬!AB94/Calc_오픈정렬!$F94*100)</f>
        <v>119.07199278345408</v>
      </c>
      <c r="AC94">
        <f>IF(OR(Calc_오픈정렬!$F94="",Calc_오픈정렬!AC94=""),"",Calc_오픈정렬!AC94/Calc_오픈정렬!$F94*100)</f>
        <v>99.342596224673443</v>
      </c>
      <c r="AD94">
        <f>IF(OR(Calc_오픈정렬!$F94="",Calc_오픈정렬!AD94=""),"",Calc_오픈정렬!AD94/Calc_오픈정렬!$F94*100)</f>
        <v>96.534530549123716</v>
      </c>
      <c r="AE94">
        <f>IF(OR(Calc_오픈정렬!$F94="",Calc_오픈정렬!AE94=""),"",Calc_오픈정렬!AE94/Calc_오픈정렬!$F94*100)</f>
        <v>92.995228309575253</v>
      </c>
      <c r="AF94">
        <f>IF(OR(Calc_오픈정렬!$F94="",Calc_오픈정렬!AF94=""),"",Calc_오픈정렬!AF94/Calc_오픈정렬!$F94*100)</f>
        <v>101.63182361771059</v>
      </c>
      <c r="AG94">
        <f>IF(OR(Calc_오픈정렬!$F94="",Calc_오픈정렬!AG94=""),"",Calc_오픈정렬!AG94/Calc_오픈정렬!$F94*100)</f>
        <v>101.08411302848049</v>
      </c>
      <c r="AH94">
        <f>IF(OR(Calc_오픈정렬!$F94="",Calc_오픈정렬!AH94=""),"",Calc_오픈정렬!AH94/Calc_오픈정렬!$F94*100)</f>
        <v>95.266158376071488</v>
      </c>
      <c r="AI94">
        <f>IF(OR(Calc_오픈정렬!$F94="",Calc_오픈정렬!AI94=""),"",Calc_오픈정렬!AI94/Calc_오픈정렬!$F94*100)</f>
        <v>109.70711282000805</v>
      </c>
      <c r="AJ94">
        <f>IF(OR(Calc_오픈정렬!$F94="",Calc_오픈정렬!AJ94=""),"",Calc_오픈정렬!AJ94/Calc_오픈정렬!$F94*100)</f>
        <v>102.09256942981773</v>
      </c>
      <c r="AK94">
        <f>IF(OR(Calc_오픈정렬!$F94="",Calc_오픈정렬!AK94=""),"",Calc_오픈정렬!AK94/Calc_오픈정렬!$F94*100)</f>
        <v>107.12612399496177</v>
      </c>
      <c r="AL94">
        <f>IF(OR(Calc_오픈정렬!$F94="",Calc_오픈정렬!AL94=""),"",Calc_오픈정렬!AL94/Calc_오픈정렬!$F94*100)</f>
        <v>97.006981235116839</v>
      </c>
      <c r="AM94">
        <f>IF(OR(Calc_오픈정렬!$F94="",Calc_오픈정렬!AM94=""),"",Calc_오픈정렬!AM94/Calc_오픈정렬!$F94*100)</f>
        <v>104.48886135751192</v>
      </c>
      <c r="AN94" t="str">
        <f>IF(OR(Calc_오픈정렬!$F94="",Calc_오픈정렬!AN94=""),"",Calc_오픈정렬!AN94/Calc_오픈정렬!$F94*100)</f>
        <v/>
      </c>
      <c r="AO94" t="str">
        <f>IF(OR(Calc_오픈정렬!$F94="",Calc_오픈정렬!AO94=""),"",Calc_오픈정렬!AO94/Calc_오픈정렬!$F94*100)</f>
        <v/>
      </c>
      <c r="AP94" t="str">
        <f>IF(OR(Calc_오픈정렬!$F94="",Calc_오픈정렬!AP94=""),"",Calc_오픈정렬!AP94/Calc_오픈정렬!$F94*100)</f>
        <v/>
      </c>
      <c r="AQ94" t="str">
        <f>IF(OR(Calc_오픈정렬!$F94="",Calc_오픈정렬!AQ94=""),"",Calc_오픈정렬!AQ94/Calc_오픈정렬!$F94*100)</f>
        <v/>
      </c>
      <c r="AR94" t="str">
        <f>IF(OR(Calc_오픈정렬!$F94="",Calc_오픈정렬!AR94=""),"",Calc_오픈정렬!AR94/Calc_오픈정렬!$F94*100)</f>
        <v/>
      </c>
      <c r="AS94" t="str">
        <f>IF(OR(Calc_오픈정렬!$F94="",Calc_오픈정렬!AS94=""),"",Calc_오픈정렬!AS94/Calc_오픈정렬!$F94*100)</f>
        <v/>
      </c>
      <c r="AT94" t="str">
        <f>IF(OR(Calc_오픈정렬!$F94="",Calc_오픈정렬!AT94=""),"",Calc_오픈정렬!AT94/Calc_오픈정렬!$F94*100)</f>
        <v/>
      </c>
      <c r="AU94" t="str">
        <f>IF(OR(Calc_오픈정렬!$F94="",Calc_오픈정렬!AU94=""),"",Calc_오픈정렬!AU94/Calc_오픈정렬!$F94*100)</f>
        <v/>
      </c>
      <c r="AV94" t="str">
        <f>IF(OR(Calc_오픈정렬!$F94="",Calc_오픈정렬!AV94=""),"",Calc_오픈정렬!AV94/Calc_오픈정렬!$F94*100)</f>
        <v/>
      </c>
      <c r="AW94" t="str">
        <f>IF(OR(Calc_오픈정렬!$F94="",Calc_오픈정렬!AW94=""),"",Calc_오픈정렬!AW94/Calc_오픈정렬!$F94*100)</f>
        <v/>
      </c>
      <c r="AX94" t="str">
        <f>IF(OR(Calc_오픈정렬!$F94="",Calc_오픈정렬!AX94=""),"",Calc_오픈정렬!AX94/Calc_오픈정렬!$F94*100)</f>
        <v/>
      </c>
      <c r="AY94" t="str">
        <f>IF(OR(Calc_오픈정렬!$F94="",Calc_오픈정렬!AY94=""),"",Calc_오픈정렬!AY94/Calc_오픈정렬!$F94*100)</f>
        <v/>
      </c>
      <c r="AZ94" t="str">
        <f>IF(OR(Calc_오픈정렬!$F94="",Calc_오픈정렬!AZ94=""),"",Calc_오픈정렬!AZ94/Calc_오픈정렬!$F94*100)</f>
        <v/>
      </c>
      <c r="BA94" t="str">
        <f>IF(OR(Calc_오픈정렬!$F94="",Calc_오픈정렬!BA94=""),"",Calc_오픈정렬!BA94/Calc_오픈정렬!$F94*100)</f>
        <v/>
      </c>
      <c r="BB94" t="str">
        <f>IF(OR(Calc_오픈정렬!$F94="",Calc_오픈정렬!BB94=""),"",Calc_오픈정렬!BB94/Calc_오픈정렬!$F94*100)</f>
        <v/>
      </c>
      <c r="BC94" t="str">
        <f>IF(OR(Calc_오픈정렬!$F94="",Calc_오픈정렬!BC94=""),"",Calc_오픈정렬!BC94/Calc_오픈정렬!$F94*100)</f>
        <v/>
      </c>
      <c r="BD94" t="str">
        <f>IF(OR(Calc_오픈정렬!$F94="",Calc_오픈정렬!BD94=""),"",Calc_오픈정렬!BD94/Calc_오픈정렬!$F94*100)</f>
        <v/>
      </c>
      <c r="BE94" t="str">
        <f>IF(OR(Calc_오픈정렬!$F94="",Calc_오픈정렬!BE94=""),"",Calc_오픈정렬!BE94/Calc_오픈정렬!$F94*100)</f>
        <v/>
      </c>
      <c r="BF94" t="str">
        <f>IF(OR(Calc_오픈정렬!$F94="",Calc_오픈정렬!BF94=""),"",Calc_오픈정렬!BF94/Calc_오픈정렬!$F94*100)</f>
        <v/>
      </c>
      <c r="BG94" t="str">
        <f>IF(OR(Calc_오픈정렬!$F94="",Calc_오픈정렬!BG94=""),"",Calc_오픈정렬!BG94/Calc_오픈정렬!$F94*100)</f>
        <v/>
      </c>
      <c r="BH94" t="str">
        <f>IF(OR(Calc_오픈정렬!$F94="",Calc_오픈정렬!BH94=""),"",Calc_오픈정렬!BH94/Calc_오픈정렬!$F94*100)</f>
        <v/>
      </c>
      <c r="BI94" t="str">
        <f>IF(OR(Calc_오픈정렬!$F94="",Calc_오픈정렬!BI94=""),"",Calc_오픈정렬!BI94/Calc_오픈정렬!$F94*100)</f>
        <v/>
      </c>
      <c r="BJ94" t="str">
        <f>IF(OR(Calc_오픈정렬!$F94="",Calc_오픈정렬!BJ94=""),"",Calc_오픈정렬!BJ94/Calc_오픈정렬!$F94*100)</f>
        <v/>
      </c>
      <c r="BK94" t="str">
        <f>IF(OR(Calc_오픈정렬!$F94="",Calc_오픈정렬!BK94=""),"",Calc_오픈정렬!BK94/Calc_오픈정렬!$F94*100)</f>
        <v/>
      </c>
      <c r="BL94" t="str">
        <f>IF(OR(Calc_오픈정렬!$F94="",Calc_오픈정렬!BL94=""),"",Calc_오픈정렬!BL94/Calc_오픈정렬!$F94*100)</f>
        <v/>
      </c>
      <c r="BM94" t="str">
        <f>IF(OR(Calc_오픈정렬!$F94="",Calc_오픈정렬!BM94=""),"",Calc_오픈정렬!BM94/Calc_오픈정렬!$F94*100)</f>
        <v/>
      </c>
      <c r="BN94" t="str">
        <f>IF(OR(Calc_오픈정렬!$F94="",Calc_오픈정렬!BN94=""),"",Calc_오픈정렬!BN94/Calc_오픈정렬!$F94*100)</f>
        <v/>
      </c>
    </row>
    <row r="95" spans="1:66" x14ac:dyDescent="0.4">
      <c r="A95" t="str">
        <f>Calc_오픈정렬!A95</f>
        <v>(1084) #신대방삼거리점</v>
      </c>
      <c r="B95" t="str">
        <f>Calc_오픈정렬!B95</f>
        <v>150-2</v>
      </c>
      <c r="C95">
        <f>Calc_오픈정렬!C95</f>
        <v>2</v>
      </c>
      <c r="D95" t="str">
        <f>Calc_오픈정렬!D95</f>
        <v>2</v>
      </c>
      <c r="E95" s="1">
        <f>Calc_오픈정렬!E95</f>
        <v>45170</v>
      </c>
      <c r="F95">
        <f>Calc_오픈정렬!F95</f>
        <v>7324183.247677044</v>
      </c>
      <c r="G95">
        <f>IF(OR(Calc_오픈정렬!$F95="",Calc_오픈정렬!G95=""),"",Calc_오픈정렬!G95/Calc_오픈정렬!$F95*100)</f>
        <v>54.88083033522507</v>
      </c>
      <c r="H95">
        <f>IF(OR(Calc_오픈정렬!$F95="",Calc_오픈정렬!H95=""),"",Calc_오픈정렬!H95/Calc_오픈정렬!$F95*100)</f>
        <v>72.662179578198334</v>
      </c>
      <c r="I95">
        <f>IF(OR(Calc_오픈정렬!$F95="",Calc_오픈정렬!I95=""),"",Calc_오픈정렬!I95/Calc_오픈정렬!$F95*100)</f>
        <v>69.49151484437084</v>
      </c>
      <c r="J95">
        <f>IF(OR(Calc_오픈정렬!$F95="",Calc_오픈정렬!J95=""),"",Calc_오픈정렬!J95/Calc_오픈정렬!$F95*100)</f>
        <v>85.238082403517694</v>
      </c>
      <c r="K95">
        <f>IF(OR(Calc_오픈정렬!$F95="",Calc_오픈정렬!K95=""),"",Calc_오픈정렬!K95/Calc_오픈정렬!$F95*100)</f>
        <v>87.570137038161405</v>
      </c>
      <c r="L95">
        <f>IF(OR(Calc_오픈정렬!$F95="",Calc_오픈정렬!L95=""),"",Calc_오픈정렬!L95/Calc_오픈정렬!$F95*100)</f>
        <v>92.582825383768537</v>
      </c>
      <c r="M95">
        <f>IF(OR(Calc_오픈정렬!$F95="",Calc_오픈정렬!M95=""),"",Calc_오픈정렬!M95/Calc_오픈정렬!$F95*100)</f>
        <v>115.62413702340572</v>
      </c>
      <c r="N95">
        <f>IF(OR(Calc_오픈정렬!$F95="",Calc_오픈정렬!N95=""),"",Calc_오픈정렬!N95/Calc_오픈정렬!$F95*100)</f>
        <v>115.96910653142454</v>
      </c>
      <c r="O95">
        <f>IF(OR(Calc_오픈정렬!$F95="",Calc_오픈정렬!O95=""),"",Calc_오픈정렬!O95/Calc_오픈정렬!$F95*100)</f>
        <v>103.01571161972217</v>
      </c>
      <c r="P95">
        <f>IF(OR(Calc_오픈정렬!$F95="",Calc_오픈정렬!P95=""),"",Calc_오픈정렬!P95/Calc_오픈정렬!$F95*100)</f>
        <v>116.97446275214884</v>
      </c>
      <c r="Q95">
        <f>IF(OR(Calc_오픈정렬!$F95="",Calc_오픈정렬!Q95=""),"",Calc_오픈정렬!Q95/Calc_오픈정렬!$F95*100)</f>
        <v>112.49722036577839</v>
      </c>
      <c r="R95">
        <f>IF(OR(Calc_오픈정렬!$F95="",Calc_오픈정렬!R95=""),"",Calc_오픈정렬!R95/Calc_오픈정렬!$F95*100)</f>
        <v>117.58797169799753</v>
      </c>
      <c r="S95">
        <f>IF(OR(Calc_오픈정렬!$F95="",Calc_오픈정렬!S95=""),"",Calc_오픈정렬!S95/Calc_오픈정렬!$F95*100)</f>
        <v>117.59476620826565</v>
      </c>
      <c r="T95">
        <f>IF(OR(Calc_오픈정렬!$F95="",Calc_오픈정렬!T95=""),"",Calc_오픈정렬!T95/Calc_오픈정렬!$F95*100)</f>
        <v>116.66764395427289</v>
      </c>
      <c r="U95">
        <f>IF(OR(Calc_오픈정렬!$F95="",Calc_오픈정렬!U95=""),"",Calc_오픈정렬!U95/Calc_오픈정렬!$F95*100)</f>
        <v>112.33521724040018</v>
      </c>
      <c r="V95">
        <f>IF(OR(Calc_오픈정렬!$F95="",Calc_오픈정렬!V95=""),"",Calc_오픈정렬!V95/Calc_오픈정렬!$F95*100)</f>
        <v>116.72503797127195</v>
      </c>
      <c r="W95">
        <f>IF(OR(Calc_오픈정렬!$F95="",Calc_오픈정렬!W95=""),"",Calc_오픈정렬!W95/Calc_오픈정렬!$F95*100)</f>
        <v>131.43244906255109</v>
      </c>
      <c r="X95">
        <f>IF(OR(Calc_오픈정렬!$F95="",Calc_오픈정렬!X95=""),"",Calc_오픈정렬!X95/Calc_오픈정렬!$F95*100)</f>
        <v>120.77640557455658</v>
      </c>
      <c r="Y95">
        <f>IF(OR(Calc_오픈정렬!$F95="",Calc_오픈정렬!Y95=""),"",Calc_오픈정렬!Y95/Calc_오픈정렬!$F95*100)</f>
        <v>134.75431840113896</v>
      </c>
      <c r="Z95">
        <f>IF(OR(Calc_오픈정렬!$F95="",Calc_오픈정렬!Z95=""),"",Calc_오픈정렬!Z95/Calc_오픈정렬!$F95*100)</f>
        <v>116.71190871441723</v>
      </c>
      <c r="AA95">
        <f>IF(OR(Calc_오픈정렬!$F95="",Calc_오픈정렬!AA95=""),"",Calc_오픈정렬!AA95/Calc_오픈정렬!$F95*100)</f>
        <v>134.49834972680102</v>
      </c>
      <c r="AB95">
        <f>IF(OR(Calc_오픈정렬!$F95="",Calc_오픈정렬!AB95=""),"",Calc_오픈정렬!AB95/Calc_오픈정렬!$F95*100)</f>
        <v>129.94048286257043</v>
      </c>
      <c r="AC95">
        <f>IF(OR(Calc_오픈정렬!$F95="",Calc_오픈정렬!AC95=""),"",Calc_오픈정렬!AC95/Calc_오픈정렬!$F95*100)</f>
        <v>114.02718256275297</v>
      </c>
      <c r="AD95">
        <f>IF(OR(Calc_오픈정렬!$F95="",Calc_오픈정렬!AD95=""),"",Calc_오픈정렬!AD95/Calc_오픈정렬!$F95*100)</f>
        <v>117.18791704091498</v>
      </c>
      <c r="AE95">
        <f>IF(OR(Calc_오픈정렬!$F95="",Calc_오픈정렬!AE95=""),"",Calc_오픈정렬!AE95/Calc_오픈정렬!$F95*100)</f>
        <v>114.46790589730659</v>
      </c>
      <c r="AF95">
        <f>IF(OR(Calc_오픈정렬!$F95="",Calc_오픈정렬!AF95=""),"",Calc_오픈정렬!AF95/Calc_오픈정렬!$F95*100)</f>
        <v>131.29376832871748</v>
      </c>
      <c r="AG95">
        <f>IF(OR(Calc_오픈정렬!$F95="",Calc_오픈정렬!AG95=""),"",Calc_오픈정렬!AG95/Calc_오픈정렬!$F95*100)</f>
        <v>119.89679630423566</v>
      </c>
      <c r="AH95">
        <f>IF(OR(Calc_오픈정렬!$F95="",Calc_오픈정렬!AH95=""),"",Calc_오픈정렬!AH95/Calc_오픈정렬!$F95*100)</f>
        <v>120.63745406175119</v>
      </c>
      <c r="AI95">
        <f>IF(OR(Calc_오픈정렬!$F95="",Calc_오픈정렬!AI95=""),"",Calc_오픈정렬!AI95/Calc_오픈정렬!$F95*100)</f>
        <v>132.50485889353999</v>
      </c>
      <c r="AJ95">
        <f>IF(OR(Calc_오픈정렬!$F95="",Calc_오픈정렬!AJ95=""),"",Calc_오픈정렬!AJ95/Calc_오픈정렬!$F95*100)</f>
        <v>140.09479898767569</v>
      </c>
      <c r="AK95">
        <f>IF(OR(Calc_오픈정렬!$F95="",Calc_오픈정렬!AK95=""),"",Calc_오픈정렬!AK95/Calc_오픈정렬!$F95*100)</f>
        <v>133.67802615469435</v>
      </c>
      <c r="AL95">
        <f>IF(OR(Calc_오픈정렬!$F95="",Calc_오픈정렬!AL95=""),"",Calc_오픈정렬!AL95/Calc_오픈정렬!$F95*100)</f>
        <v>127.52144905358742</v>
      </c>
      <c r="AM95">
        <f>IF(OR(Calc_오픈정렬!$F95="",Calc_오픈정렬!AM95=""),"",Calc_오픈정렬!AM95/Calc_오픈정렬!$F95*100)</f>
        <v>133.14553962704011</v>
      </c>
      <c r="AN95" t="str">
        <f>IF(OR(Calc_오픈정렬!$F95="",Calc_오픈정렬!AN95=""),"",Calc_오픈정렬!AN95/Calc_오픈정렬!$F95*100)</f>
        <v/>
      </c>
      <c r="AO95" t="str">
        <f>IF(OR(Calc_오픈정렬!$F95="",Calc_오픈정렬!AO95=""),"",Calc_오픈정렬!AO95/Calc_오픈정렬!$F95*100)</f>
        <v/>
      </c>
      <c r="AP95" t="str">
        <f>IF(OR(Calc_오픈정렬!$F95="",Calc_오픈정렬!AP95=""),"",Calc_오픈정렬!AP95/Calc_오픈정렬!$F95*100)</f>
        <v/>
      </c>
      <c r="AQ95" t="str">
        <f>IF(OR(Calc_오픈정렬!$F95="",Calc_오픈정렬!AQ95=""),"",Calc_오픈정렬!AQ95/Calc_오픈정렬!$F95*100)</f>
        <v/>
      </c>
      <c r="AR95" t="str">
        <f>IF(OR(Calc_오픈정렬!$F95="",Calc_오픈정렬!AR95=""),"",Calc_오픈정렬!AR95/Calc_오픈정렬!$F95*100)</f>
        <v/>
      </c>
      <c r="AS95" t="str">
        <f>IF(OR(Calc_오픈정렬!$F95="",Calc_오픈정렬!AS95=""),"",Calc_오픈정렬!AS95/Calc_오픈정렬!$F95*100)</f>
        <v/>
      </c>
      <c r="AT95" t="str">
        <f>IF(OR(Calc_오픈정렬!$F95="",Calc_오픈정렬!AT95=""),"",Calc_오픈정렬!AT95/Calc_오픈정렬!$F95*100)</f>
        <v/>
      </c>
      <c r="AU95" t="str">
        <f>IF(OR(Calc_오픈정렬!$F95="",Calc_오픈정렬!AU95=""),"",Calc_오픈정렬!AU95/Calc_오픈정렬!$F95*100)</f>
        <v/>
      </c>
      <c r="AV95" t="str">
        <f>IF(OR(Calc_오픈정렬!$F95="",Calc_오픈정렬!AV95=""),"",Calc_오픈정렬!AV95/Calc_오픈정렬!$F95*100)</f>
        <v/>
      </c>
      <c r="AW95" t="str">
        <f>IF(OR(Calc_오픈정렬!$F95="",Calc_오픈정렬!AW95=""),"",Calc_오픈정렬!AW95/Calc_오픈정렬!$F95*100)</f>
        <v/>
      </c>
      <c r="AX95" t="str">
        <f>IF(OR(Calc_오픈정렬!$F95="",Calc_오픈정렬!AX95=""),"",Calc_오픈정렬!AX95/Calc_오픈정렬!$F95*100)</f>
        <v/>
      </c>
      <c r="AY95" t="str">
        <f>IF(OR(Calc_오픈정렬!$F95="",Calc_오픈정렬!AY95=""),"",Calc_오픈정렬!AY95/Calc_오픈정렬!$F95*100)</f>
        <v/>
      </c>
      <c r="AZ95" t="str">
        <f>IF(OR(Calc_오픈정렬!$F95="",Calc_오픈정렬!AZ95=""),"",Calc_오픈정렬!AZ95/Calc_오픈정렬!$F95*100)</f>
        <v/>
      </c>
      <c r="BA95" t="str">
        <f>IF(OR(Calc_오픈정렬!$F95="",Calc_오픈정렬!BA95=""),"",Calc_오픈정렬!BA95/Calc_오픈정렬!$F95*100)</f>
        <v/>
      </c>
      <c r="BB95" t="str">
        <f>IF(OR(Calc_오픈정렬!$F95="",Calc_오픈정렬!BB95=""),"",Calc_오픈정렬!BB95/Calc_오픈정렬!$F95*100)</f>
        <v/>
      </c>
      <c r="BC95" t="str">
        <f>IF(OR(Calc_오픈정렬!$F95="",Calc_오픈정렬!BC95=""),"",Calc_오픈정렬!BC95/Calc_오픈정렬!$F95*100)</f>
        <v/>
      </c>
      <c r="BD95" t="str">
        <f>IF(OR(Calc_오픈정렬!$F95="",Calc_오픈정렬!BD95=""),"",Calc_오픈정렬!BD95/Calc_오픈정렬!$F95*100)</f>
        <v/>
      </c>
      <c r="BE95" t="str">
        <f>IF(OR(Calc_오픈정렬!$F95="",Calc_오픈정렬!BE95=""),"",Calc_오픈정렬!BE95/Calc_오픈정렬!$F95*100)</f>
        <v/>
      </c>
      <c r="BF95" t="str">
        <f>IF(OR(Calc_오픈정렬!$F95="",Calc_오픈정렬!BF95=""),"",Calc_오픈정렬!BF95/Calc_오픈정렬!$F95*100)</f>
        <v/>
      </c>
      <c r="BG95" t="str">
        <f>IF(OR(Calc_오픈정렬!$F95="",Calc_오픈정렬!BG95=""),"",Calc_오픈정렬!BG95/Calc_오픈정렬!$F95*100)</f>
        <v/>
      </c>
      <c r="BH95" t="str">
        <f>IF(OR(Calc_오픈정렬!$F95="",Calc_오픈정렬!BH95=""),"",Calc_오픈정렬!BH95/Calc_오픈정렬!$F95*100)</f>
        <v/>
      </c>
      <c r="BI95" t="str">
        <f>IF(OR(Calc_오픈정렬!$F95="",Calc_오픈정렬!BI95=""),"",Calc_오픈정렬!BI95/Calc_오픈정렬!$F95*100)</f>
        <v/>
      </c>
      <c r="BJ95" t="str">
        <f>IF(OR(Calc_오픈정렬!$F95="",Calc_오픈정렬!BJ95=""),"",Calc_오픈정렬!BJ95/Calc_오픈정렬!$F95*100)</f>
        <v/>
      </c>
      <c r="BK95" t="str">
        <f>IF(OR(Calc_오픈정렬!$F95="",Calc_오픈정렬!BK95=""),"",Calc_오픈정렬!BK95/Calc_오픈정렬!$F95*100)</f>
        <v/>
      </c>
      <c r="BL95" t="str">
        <f>IF(OR(Calc_오픈정렬!$F95="",Calc_오픈정렬!BL95=""),"",Calc_오픈정렬!BL95/Calc_오픈정렬!$F95*100)</f>
        <v/>
      </c>
      <c r="BM95" t="str">
        <f>IF(OR(Calc_오픈정렬!$F95="",Calc_오픈정렬!BM95=""),"",Calc_오픈정렬!BM95/Calc_오픈정렬!$F95*100)</f>
        <v/>
      </c>
      <c r="BN95" t="str">
        <f>IF(OR(Calc_오픈정렬!$F95="",Calc_오픈정렬!BN95=""),"",Calc_오픈정렬!BN95/Calc_오픈정렬!$F95*100)</f>
        <v/>
      </c>
    </row>
    <row r="96" spans="1:66" x14ac:dyDescent="0.4">
      <c r="A96" t="str">
        <f>Calc_오픈정렬!A96</f>
        <v>(1085) #신설동오거리점</v>
      </c>
      <c r="B96" t="str">
        <f>Calc_오픈정렬!B96</f>
        <v>150-3</v>
      </c>
      <c r="C96">
        <f>Calc_오픈정렬!C96</f>
        <v>3</v>
      </c>
      <c r="D96" t="str">
        <f>Calc_오픈정렬!D96</f>
        <v>3+</v>
      </c>
      <c r="E96" s="1">
        <f>Calc_오픈정렬!E96</f>
        <v>45170</v>
      </c>
      <c r="F96">
        <f>Calc_오픈정렬!F96</f>
        <v>7701241.1406098483</v>
      </c>
      <c r="G96">
        <f>IF(OR(Calc_오픈정렬!$F96="",Calc_오픈정렬!G96=""),"",Calc_오픈정렬!G96/Calc_오픈정렬!$F96*100)</f>
        <v>78.477105513449615</v>
      </c>
      <c r="H96">
        <f>IF(OR(Calc_오픈정렬!$F96="",Calc_오픈정렬!H96=""),"",Calc_오픈정렬!H96/Calc_오픈정렬!$F96*100)</f>
        <v>81.900168875457865</v>
      </c>
      <c r="I96">
        <f>IF(OR(Calc_오픈정렬!$F96="",Calc_오픈정렬!I96=""),"",Calc_오픈정렬!I96/Calc_오픈정렬!$F96*100)</f>
        <v>89.873280979230671</v>
      </c>
      <c r="J96">
        <f>IF(OR(Calc_오픈정렬!$F96="",Calc_오픈정렬!J96=""),"",Calc_오픈정렬!J96/Calc_오픈정렬!$F96*100)</f>
        <v>82.35280802986307</v>
      </c>
      <c r="K96">
        <f>IF(OR(Calc_오픈정렬!$F96="",Calc_오픈정렬!K96=""),"",Calc_오픈정렬!K96/Calc_오픈정렬!$F96*100)</f>
        <v>96.206182766213232</v>
      </c>
      <c r="L96">
        <f>IF(OR(Calc_오픈정렬!$F96="",Calc_오픈정렬!L96=""),"",Calc_오픈정렬!L96/Calc_오픈정렬!$F96*100)</f>
        <v>98.363864324137353</v>
      </c>
      <c r="M96">
        <f>IF(OR(Calc_오픈정렬!$F96="",Calc_오픈정렬!M96=""),"",Calc_오픈정렬!M96/Calc_오픈정렬!$F96*100)</f>
        <v>104.1702957846806</v>
      </c>
      <c r="N96">
        <f>IF(OR(Calc_오픈정렬!$F96="",Calc_오픈정렬!N96=""),"",Calc_오픈정렬!N96/Calc_오픈정렬!$F96*100)</f>
        <v>114.12610981229155</v>
      </c>
      <c r="O96">
        <f>IF(OR(Calc_오픈정렬!$F96="",Calc_오픈정렬!O96=""),"",Calc_오픈정렬!O96/Calc_오픈정렬!$F96*100)</f>
        <v>104.78073928281417</v>
      </c>
      <c r="P96">
        <f>IF(OR(Calc_오픈정렬!$F96="",Calc_오픈정렬!P96=""),"",Calc_오픈정렬!P96/Calc_오픈정렬!$F96*100)</f>
        <v>110.65355822359912</v>
      </c>
      <c r="Q96">
        <f>IF(OR(Calc_오픈정렬!$F96="",Calc_오픈정렬!Q96=""),"",Calc_오픈정렬!Q96/Calc_오픈정렬!$F96*100)</f>
        <v>113.53268400558171</v>
      </c>
      <c r="R96">
        <f>IF(OR(Calc_오픈정렬!$F96="",Calc_오픈정렬!R96=""),"",Calc_오픈정렬!R96/Calc_오픈정렬!$F96*100)</f>
        <v>112.04697851552996</v>
      </c>
      <c r="S96">
        <f>IF(OR(Calc_오픈정렬!$F96="",Calc_오픈정렬!S96=""),"",Calc_오픈정렬!S96/Calc_오픈정렬!$F96*100)</f>
        <v>76.658996413748312</v>
      </c>
      <c r="T96">
        <f>IF(OR(Calc_오픈정렬!$F96="",Calc_오픈정렬!T96=""),"",Calc_오픈정렬!T96/Calc_오픈정렬!$F96*100)</f>
        <v>81.18147142470032</v>
      </c>
      <c r="U96">
        <f>IF(OR(Calc_오픈정렬!$F96="",Calc_오픈정렬!U96=""),"",Calc_오픈정렬!U96/Calc_오픈정렬!$F96*100)</f>
        <v>78.208088301922288</v>
      </c>
      <c r="V96">
        <f>IF(OR(Calc_오픈정렬!$F96="",Calc_오픈정렬!V96=""),"",Calc_오픈정렬!V96/Calc_오픈정렬!$F96*100)</f>
        <v>77.406738717197456</v>
      </c>
      <c r="W96">
        <f>IF(OR(Calc_오픈정렬!$F96="",Calc_오픈정렬!W96=""),"",Calc_오픈정렬!W96/Calc_오픈정렬!$F96*100)</f>
        <v>79.639947392323833</v>
      </c>
      <c r="X96">
        <f>IF(OR(Calc_오픈정렬!$F96="",Calc_오픈정렬!X96=""),"",Calc_오픈정렬!X96/Calc_오픈정렬!$F96*100)</f>
        <v>80.945218417478685</v>
      </c>
      <c r="Y96">
        <f>IF(OR(Calc_오픈정렬!$F96="",Calc_오픈정렬!Y96=""),"",Calc_오픈정렬!Y96/Calc_오픈정렬!$F96*100)</f>
        <v>86.599317190589858</v>
      </c>
      <c r="Z96">
        <f>IF(OR(Calc_오픈정렬!$F96="",Calc_오픈정렬!Z96=""),"",Calc_오픈정렬!Z96/Calc_오픈정렬!$F96*100)</f>
        <v>89.250479712923848</v>
      </c>
      <c r="AA96">
        <f>IF(OR(Calc_오픈정렬!$F96="",Calc_오픈정렬!AA96=""),"",Calc_오픈정렬!AA96/Calc_오픈정렬!$F96*100)</f>
        <v>89.773524831013802</v>
      </c>
      <c r="AB96">
        <f>IF(OR(Calc_오픈정렬!$F96="",Calc_오픈정렬!AB96=""),"",Calc_오픈정렬!AB96/Calc_오픈정렬!$F96*100)</f>
        <v>84.777882450576556</v>
      </c>
      <c r="AC96">
        <f>IF(OR(Calc_오픈정렬!$F96="",Calc_오픈정렬!AC96=""),"",Calc_오픈정렬!AC96/Calc_오픈정렬!$F96*100)</f>
        <v>78.861954500462801</v>
      </c>
      <c r="AD96">
        <f>IF(OR(Calc_오픈정렬!$F96="",Calc_오픈정렬!AD96=""),"",Calc_오픈정렬!AD96/Calc_오픈정렬!$F96*100)</f>
        <v>88.431131141135438</v>
      </c>
      <c r="AE96">
        <f>IF(OR(Calc_오픈정렬!$F96="",Calc_오픈정렬!AE96=""),"",Calc_오픈정렬!AE96/Calc_오픈정렬!$F96*100)</f>
        <v>103.94956749294397</v>
      </c>
      <c r="AF96">
        <f>IF(OR(Calc_오픈정렬!$F96="",Calc_오픈정렬!AF96=""),"",Calc_오픈정렬!AF96/Calc_오픈정렬!$F96*100)</f>
        <v>99.601491630666771</v>
      </c>
      <c r="AG96">
        <f>IF(OR(Calc_오픈정렬!$F96="",Calc_오픈정렬!AG96=""),"",Calc_오픈정렬!AG96/Calc_오픈정렬!$F96*100)</f>
        <v>90.785608276431702</v>
      </c>
      <c r="AH96">
        <f>IF(OR(Calc_오픈정렬!$F96="",Calc_오픈정렬!AH96=""),"",Calc_오픈정렬!AH96/Calc_오픈정렬!$F96*100)</f>
        <v>87.69747825360021</v>
      </c>
      <c r="AI96">
        <f>IF(OR(Calc_오픈정렬!$F96="",Calc_오픈정렬!AI96=""),"",Calc_오픈정렬!AI96/Calc_오픈정렬!$F96*100)</f>
        <v>85.127601120841874</v>
      </c>
      <c r="AJ96">
        <f>IF(OR(Calc_오픈정렬!$F96="",Calc_오픈정렬!AJ96=""),"",Calc_오픈정렬!AJ96/Calc_오픈정렬!$F96*100)</f>
        <v>86.531238339785986</v>
      </c>
      <c r="AK96">
        <f>IF(OR(Calc_오픈정렬!$F96="",Calc_오픈정렬!AK96=""),"",Calc_오픈정렬!AK96/Calc_오픈정렬!$F96*100)</f>
        <v>94.880558381492591</v>
      </c>
      <c r="AL96">
        <f>IF(OR(Calc_오픈정렬!$F96="",Calc_오픈정렬!AL96=""),"",Calc_오픈정렬!AL96/Calc_오픈정렬!$F96*100)</f>
        <v>99.724004305684005</v>
      </c>
      <c r="AM96">
        <f>IF(OR(Calc_오픈정렬!$F96="",Calc_오픈정렬!AM96=""),"",Calc_오픈정렬!AM96/Calc_오픈정렬!$F96*100)</f>
        <v>100.46824626256978</v>
      </c>
      <c r="AN96" t="str">
        <f>IF(OR(Calc_오픈정렬!$F96="",Calc_오픈정렬!AN96=""),"",Calc_오픈정렬!AN96/Calc_오픈정렬!$F96*100)</f>
        <v/>
      </c>
      <c r="AO96" t="str">
        <f>IF(OR(Calc_오픈정렬!$F96="",Calc_오픈정렬!AO96=""),"",Calc_오픈정렬!AO96/Calc_오픈정렬!$F96*100)</f>
        <v/>
      </c>
      <c r="AP96" t="str">
        <f>IF(OR(Calc_오픈정렬!$F96="",Calc_오픈정렬!AP96=""),"",Calc_오픈정렬!AP96/Calc_오픈정렬!$F96*100)</f>
        <v/>
      </c>
      <c r="AQ96" t="str">
        <f>IF(OR(Calc_오픈정렬!$F96="",Calc_오픈정렬!AQ96=""),"",Calc_오픈정렬!AQ96/Calc_오픈정렬!$F96*100)</f>
        <v/>
      </c>
      <c r="AR96" t="str">
        <f>IF(OR(Calc_오픈정렬!$F96="",Calc_오픈정렬!AR96=""),"",Calc_오픈정렬!AR96/Calc_오픈정렬!$F96*100)</f>
        <v/>
      </c>
      <c r="AS96" t="str">
        <f>IF(OR(Calc_오픈정렬!$F96="",Calc_오픈정렬!AS96=""),"",Calc_오픈정렬!AS96/Calc_오픈정렬!$F96*100)</f>
        <v/>
      </c>
      <c r="AT96" t="str">
        <f>IF(OR(Calc_오픈정렬!$F96="",Calc_오픈정렬!AT96=""),"",Calc_오픈정렬!AT96/Calc_오픈정렬!$F96*100)</f>
        <v/>
      </c>
      <c r="AU96" t="str">
        <f>IF(OR(Calc_오픈정렬!$F96="",Calc_오픈정렬!AU96=""),"",Calc_오픈정렬!AU96/Calc_오픈정렬!$F96*100)</f>
        <v/>
      </c>
      <c r="AV96" t="str">
        <f>IF(OR(Calc_오픈정렬!$F96="",Calc_오픈정렬!AV96=""),"",Calc_오픈정렬!AV96/Calc_오픈정렬!$F96*100)</f>
        <v/>
      </c>
      <c r="AW96" t="str">
        <f>IF(OR(Calc_오픈정렬!$F96="",Calc_오픈정렬!AW96=""),"",Calc_오픈정렬!AW96/Calc_오픈정렬!$F96*100)</f>
        <v/>
      </c>
      <c r="AX96" t="str">
        <f>IF(OR(Calc_오픈정렬!$F96="",Calc_오픈정렬!AX96=""),"",Calc_오픈정렬!AX96/Calc_오픈정렬!$F96*100)</f>
        <v/>
      </c>
      <c r="AY96" t="str">
        <f>IF(OR(Calc_오픈정렬!$F96="",Calc_오픈정렬!AY96=""),"",Calc_오픈정렬!AY96/Calc_오픈정렬!$F96*100)</f>
        <v/>
      </c>
      <c r="AZ96" t="str">
        <f>IF(OR(Calc_오픈정렬!$F96="",Calc_오픈정렬!AZ96=""),"",Calc_오픈정렬!AZ96/Calc_오픈정렬!$F96*100)</f>
        <v/>
      </c>
      <c r="BA96" t="str">
        <f>IF(OR(Calc_오픈정렬!$F96="",Calc_오픈정렬!BA96=""),"",Calc_오픈정렬!BA96/Calc_오픈정렬!$F96*100)</f>
        <v/>
      </c>
      <c r="BB96" t="str">
        <f>IF(OR(Calc_오픈정렬!$F96="",Calc_오픈정렬!BB96=""),"",Calc_오픈정렬!BB96/Calc_오픈정렬!$F96*100)</f>
        <v/>
      </c>
      <c r="BC96" t="str">
        <f>IF(OR(Calc_오픈정렬!$F96="",Calc_오픈정렬!BC96=""),"",Calc_오픈정렬!BC96/Calc_오픈정렬!$F96*100)</f>
        <v/>
      </c>
      <c r="BD96" t="str">
        <f>IF(OR(Calc_오픈정렬!$F96="",Calc_오픈정렬!BD96=""),"",Calc_오픈정렬!BD96/Calc_오픈정렬!$F96*100)</f>
        <v/>
      </c>
      <c r="BE96" t="str">
        <f>IF(OR(Calc_오픈정렬!$F96="",Calc_오픈정렬!BE96=""),"",Calc_오픈정렬!BE96/Calc_오픈정렬!$F96*100)</f>
        <v/>
      </c>
      <c r="BF96" t="str">
        <f>IF(OR(Calc_오픈정렬!$F96="",Calc_오픈정렬!BF96=""),"",Calc_오픈정렬!BF96/Calc_오픈정렬!$F96*100)</f>
        <v/>
      </c>
      <c r="BG96" t="str">
        <f>IF(OR(Calc_오픈정렬!$F96="",Calc_오픈정렬!BG96=""),"",Calc_오픈정렬!BG96/Calc_오픈정렬!$F96*100)</f>
        <v/>
      </c>
      <c r="BH96" t="str">
        <f>IF(OR(Calc_오픈정렬!$F96="",Calc_오픈정렬!BH96=""),"",Calc_오픈정렬!BH96/Calc_오픈정렬!$F96*100)</f>
        <v/>
      </c>
      <c r="BI96" t="str">
        <f>IF(OR(Calc_오픈정렬!$F96="",Calc_오픈정렬!BI96=""),"",Calc_오픈정렬!BI96/Calc_오픈정렬!$F96*100)</f>
        <v/>
      </c>
      <c r="BJ96" t="str">
        <f>IF(OR(Calc_오픈정렬!$F96="",Calc_오픈정렬!BJ96=""),"",Calc_오픈정렬!BJ96/Calc_오픈정렬!$F96*100)</f>
        <v/>
      </c>
      <c r="BK96" t="str">
        <f>IF(OR(Calc_오픈정렬!$F96="",Calc_오픈정렬!BK96=""),"",Calc_오픈정렬!BK96/Calc_오픈정렬!$F96*100)</f>
        <v/>
      </c>
      <c r="BL96" t="str">
        <f>IF(OR(Calc_오픈정렬!$F96="",Calc_오픈정렬!BL96=""),"",Calc_오픈정렬!BL96/Calc_오픈정렬!$F96*100)</f>
        <v/>
      </c>
      <c r="BM96" t="str">
        <f>IF(OR(Calc_오픈정렬!$F96="",Calc_오픈정렬!BM96=""),"",Calc_오픈정렬!BM96/Calc_오픈정렬!$F96*100)</f>
        <v/>
      </c>
      <c r="BN96" t="str">
        <f>IF(OR(Calc_오픈정렬!$F96="",Calc_오픈정렬!BN96=""),"",Calc_오픈정렬!BN96/Calc_오픈정렬!$F96*100)</f>
        <v/>
      </c>
    </row>
    <row r="97" spans="1:66" x14ac:dyDescent="0.4">
      <c r="A97" t="str">
        <f>Calc_오픈정렬!A97</f>
        <v>(1086) #궁동로데오점</v>
      </c>
      <c r="B97" t="str">
        <f>Calc_오픈정렬!B97</f>
        <v>150-2</v>
      </c>
      <c r="C97">
        <f>Calc_오픈정렬!C97</f>
        <v>2</v>
      </c>
      <c r="D97" t="str">
        <f>Calc_오픈정렬!D97</f>
        <v>2</v>
      </c>
      <c r="E97" s="1">
        <f>Calc_오픈정렬!E97</f>
        <v>45200</v>
      </c>
      <c r="F97" t="str">
        <f>Calc_오픈정렬!F97</f>
        <v/>
      </c>
      <c r="G97" t="str">
        <f>IF(OR(Calc_오픈정렬!$F97="",Calc_오픈정렬!G97=""),"",Calc_오픈정렬!G97/Calc_오픈정렬!$F97*100)</f>
        <v/>
      </c>
      <c r="H97" t="str">
        <f>IF(OR(Calc_오픈정렬!$F97="",Calc_오픈정렬!H97=""),"",Calc_오픈정렬!H97/Calc_오픈정렬!$F97*100)</f>
        <v/>
      </c>
      <c r="I97" t="str">
        <f>IF(OR(Calc_오픈정렬!$F97="",Calc_오픈정렬!I97=""),"",Calc_오픈정렬!I97/Calc_오픈정렬!$F97*100)</f>
        <v/>
      </c>
      <c r="J97" t="str">
        <f>IF(OR(Calc_오픈정렬!$F97="",Calc_오픈정렬!J97=""),"",Calc_오픈정렬!J97/Calc_오픈정렬!$F97*100)</f>
        <v/>
      </c>
      <c r="K97" t="str">
        <f>IF(OR(Calc_오픈정렬!$F97="",Calc_오픈정렬!K97=""),"",Calc_오픈정렬!K97/Calc_오픈정렬!$F97*100)</f>
        <v/>
      </c>
      <c r="L97" t="str">
        <f>IF(OR(Calc_오픈정렬!$F97="",Calc_오픈정렬!L97=""),"",Calc_오픈정렬!L97/Calc_오픈정렬!$F97*100)</f>
        <v/>
      </c>
      <c r="M97" t="str">
        <f>IF(OR(Calc_오픈정렬!$F97="",Calc_오픈정렬!M97=""),"",Calc_오픈정렬!M97/Calc_오픈정렬!$F97*100)</f>
        <v/>
      </c>
      <c r="N97" t="str">
        <f>IF(OR(Calc_오픈정렬!$F97="",Calc_오픈정렬!N97=""),"",Calc_오픈정렬!N97/Calc_오픈정렬!$F97*100)</f>
        <v/>
      </c>
      <c r="O97" t="str">
        <f>IF(OR(Calc_오픈정렬!$F97="",Calc_오픈정렬!O97=""),"",Calc_오픈정렬!O97/Calc_오픈정렬!$F97*100)</f>
        <v/>
      </c>
      <c r="P97" t="str">
        <f>IF(OR(Calc_오픈정렬!$F97="",Calc_오픈정렬!P97=""),"",Calc_오픈정렬!P97/Calc_오픈정렬!$F97*100)</f>
        <v/>
      </c>
      <c r="Q97" t="str">
        <f>IF(OR(Calc_오픈정렬!$F97="",Calc_오픈정렬!Q97=""),"",Calc_오픈정렬!Q97/Calc_오픈정렬!$F97*100)</f>
        <v/>
      </c>
      <c r="R97" t="str">
        <f>IF(OR(Calc_오픈정렬!$F97="",Calc_오픈정렬!R97=""),"",Calc_오픈정렬!R97/Calc_오픈정렬!$F97*100)</f>
        <v/>
      </c>
      <c r="S97" t="str">
        <f>IF(OR(Calc_오픈정렬!$F97="",Calc_오픈정렬!S97=""),"",Calc_오픈정렬!S97/Calc_오픈정렬!$F97*100)</f>
        <v/>
      </c>
      <c r="T97" t="str">
        <f>IF(OR(Calc_오픈정렬!$F97="",Calc_오픈정렬!T97=""),"",Calc_오픈정렬!T97/Calc_오픈정렬!$F97*100)</f>
        <v/>
      </c>
      <c r="U97" t="str">
        <f>IF(OR(Calc_오픈정렬!$F97="",Calc_오픈정렬!U97=""),"",Calc_오픈정렬!U97/Calc_오픈정렬!$F97*100)</f>
        <v/>
      </c>
      <c r="V97" t="str">
        <f>IF(OR(Calc_오픈정렬!$F97="",Calc_오픈정렬!V97=""),"",Calc_오픈정렬!V97/Calc_오픈정렬!$F97*100)</f>
        <v/>
      </c>
      <c r="W97" t="str">
        <f>IF(OR(Calc_오픈정렬!$F97="",Calc_오픈정렬!W97=""),"",Calc_오픈정렬!W97/Calc_오픈정렬!$F97*100)</f>
        <v/>
      </c>
      <c r="X97" t="str">
        <f>IF(OR(Calc_오픈정렬!$F97="",Calc_오픈정렬!X97=""),"",Calc_오픈정렬!X97/Calc_오픈정렬!$F97*100)</f>
        <v/>
      </c>
      <c r="Y97" t="str">
        <f>IF(OR(Calc_오픈정렬!$F97="",Calc_오픈정렬!Y97=""),"",Calc_오픈정렬!Y97/Calc_오픈정렬!$F97*100)</f>
        <v/>
      </c>
      <c r="Z97" t="str">
        <f>IF(OR(Calc_오픈정렬!$F97="",Calc_오픈정렬!Z97=""),"",Calc_오픈정렬!Z97/Calc_오픈정렬!$F97*100)</f>
        <v/>
      </c>
      <c r="AA97" t="str">
        <f>IF(OR(Calc_오픈정렬!$F97="",Calc_오픈정렬!AA97=""),"",Calc_오픈정렬!AA97/Calc_오픈정렬!$F97*100)</f>
        <v/>
      </c>
      <c r="AB97" t="str">
        <f>IF(OR(Calc_오픈정렬!$F97="",Calc_오픈정렬!AB97=""),"",Calc_오픈정렬!AB97/Calc_오픈정렬!$F97*100)</f>
        <v/>
      </c>
      <c r="AC97" t="str">
        <f>IF(OR(Calc_오픈정렬!$F97="",Calc_오픈정렬!AC97=""),"",Calc_오픈정렬!AC97/Calc_오픈정렬!$F97*100)</f>
        <v/>
      </c>
      <c r="AD97" t="str">
        <f>IF(OR(Calc_오픈정렬!$F97="",Calc_오픈정렬!AD97=""),"",Calc_오픈정렬!AD97/Calc_오픈정렬!$F97*100)</f>
        <v/>
      </c>
      <c r="AE97" t="str">
        <f>IF(OR(Calc_오픈정렬!$F97="",Calc_오픈정렬!AE97=""),"",Calc_오픈정렬!AE97/Calc_오픈정렬!$F97*100)</f>
        <v/>
      </c>
      <c r="AF97" t="str">
        <f>IF(OR(Calc_오픈정렬!$F97="",Calc_오픈정렬!AF97=""),"",Calc_오픈정렬!AF97/Calc_오픈정렬!$F97*100)</f>
        <v/>
      </c>
      <c r="AG97" t="str">
        <f>IF(OR(Calc_오픈정렬!$F97="",Calc_오픈정렬!AG97=""),"",Calc_오픈정렬!AG97/Calc_오픈정렬!$F97*100)</f>
        <v/>
      </c>
      <c r="AH97" t="str">
        <f>IF(OR(Calc_오픈정렬!$F97="",Calc_오픈정렬!AH97=""),"",Calc_오픈정렬!AH97/Calc_오픈정렬!$F97*100)</f>
        <v/>
      </c>
      <c r="AI97" t="str">
        <f>IF(OR(Calc_오픈정렬!$F97="",Calc_오픈정렬!AI97=""),"",Calc_오픈정렬!AI97/Calc_오픈정렬!$F97*100)</f>
        <v/>
      </c>
      <c r="AJ97" t="str">
        <f>IF(OR(Calc_오픈정렬!$F97="",Calc_오픈정렬!AJ97=""),"",Calc_오픈정렬!AJ97/Calc_오픈정렬!$F97*100)</f>
        <v/>
      </c>
      <c r="AK97" t="str">
        <f>IF(OR(Calc_오픈정렬!$F97="",Calc_오픈정렬!AK97=""),"",Calc_오픈정렬!AK97/Calc_오픈정렬!$F97*100)</f>
        <v/>
      </c>
      <c r="AL97" t="str">
        <f>IF(OR(Calc_오픈정렬!$F97="",Calc_오픈정렬!AL97=""),"",Calc_오픈정렬!AL97/Calc_오픈정렬!$F97*100)</f>
        <v/>
      </c>
      <c r="AM97" t="str">
        <f>IF(OR(Calc_오픈정렬!$F97="",Calc_오픈정렬!AM97=""),"",Calc_오픈정렬!AM97/Calc_오픈정렬!$F97*100)</f>
        <v/>
      </c>
      <c r="AN97" t="str">
        <f>IF(OR(Calc_오픈정렬!$F97="",Calc_오픈정렬!AN97=""),"",Calc_오픈정렬!AN97/Calc_오픈정렬!$F97*100)</f>
        <v/>
      </c>
      <c r="AO97" t="str">
        <f>IF(OR(Calc_오픈정렬!$F97="",Calc_오픈정렬!AO97=""),"",Calc_오픈정렬!AO97/Calc_오픈정렬!$F97*100)</f>
        <v/>
      </c>
      <c r="AP97" t="str">
        <f>IF(OR(Calc_오픈정렬!$F97="",Calc_오픈정렬!AP97=""),"",Calc_오픈정렬!AP97/Calc_오픈정렬!$F97*100)</f>
        <v/>
      </c>
      <c r="AQ97" t="str">
        <f>IF(OR(Calc_오픈정렬!$F97="",Calc_오픈정렬!AQ97=""),"",Calc_오픈정렬!AQ97/Calc_오픈정렬!$F97*100)</f>
        <v/>
      </c>
      <c r="AR97" t="str">
        <f>IF(OR(Calc_오픈정렬!$F97="",Calc_오픈정렬!AR97=""),"",Calc_오픈정렬!AR97/Calc_오픈정렬!$F97*100)</f>
        <v/>
      </c>
      <c r="AS97" t="str">
        <f>IF(OR(Calc_오픈정렬!$F97="",Calc_오픈정렬!AS97=""),"",Calc_오픈정렬!AS97/Calc_오픈정렬!$F97*100)</f>
        <v/>
      </c>
      <c r="AT97" t="str">
        <f>IF(OR(Calc_오픈정렬!$F97="",Calc_오픈정렬!AT97=""),"",Calc_오픈정렬!AT97/Calc_오픈정렬!$F97*100)</f>
        <v/>
      </c>
      <c r="AU97" t="str">
        <f>IF(OR(Calc_오픈정렬!$F97="",Calc_오픈정렬!AU97=""),"",Calc_오픈정렬!AU97/Calc_오픈정렬!$F97*100)</f>
        <v/>
      </c>
      <c r="AV97" t="str">
        <f>IF(OR(Calc_오픈정렬!$F97="",Calc_오픈정렬!AV97=""),"",Calc_오픈정렬!AV97/Calc_오픈정렬!$F97*100)</f>
        <v/>
      </c>
      <c r="AW97" t="str">
        <f>IF(OR(Calc_오픈정렬!$F97="",Calc_오픈정렬!AW97=""),"",Calc_오픈정렬!AW97/Calc_오픈정렬!$F97*100)</f>
        <v/>
      </c>
      <c r="AX97" t="str">
        <f>IF(OR(Calc_오픈정렬!$F97="",Calc_오픈정렬!AX97=""),"",Calc_오픈정렬!AX97/Calc_오픈정렬!$F97*100)</f>
        <v/>
      </c>
      <c r="AY97" t="str">
        <f>IF(OR(Calc_오픈정렬!$F97="",Calc_오픈정렬!AY97=""),"",Calc_오픈정렬!AY97/Calc_오픈정렬!$F97*100)</f>
        <v/>
      </c>
      <c r="AZ97" t="str">
        <f>IF(OR(Calc_오픈정렬!$F97="",Calc_오픈정렬!AZ97=""),"",Calc_오픈정렬!AZ97/Calc_오픈정렬!$F97*100)</f>
        <v/>
      </c>
      <c r="BA97" t="str">
        <f>IF(OR(Calc_오픈정렬!$F97="",Calc_오픈정렬!BA97=""),"",Calc_오픈정렬!BA97/Calc_오픈정렬!$F97*100)</f>
        <v/>
      </c>
      <c r="BB97" t="str">
        <f>IF(OR(Calc_오픈정렬!$F97="",Calc_오픈정렬!BB97=""),"",Calc_오픈정렬!BB97/Calc_오픈정렬!$F97*100)</f>
        <v/>
      </c>
      <c r="BC97" t="str">
        <f>IF(OR(Calc_오픈정렬!$F97="",Calc_오픈정렬!BC97=""),"",Calc_오픈정렬!BC97/Calc_오픈정렬!$F97*100)</f>
        <v/>
      </c>
      <c r="BD97" t="str">
        <f>IF(OR(Calc_오픈정렬!$F97="",Calc_오픈정렬!BD97=""),"",Calc_오픈정렬!BD97/Calc_오픈정렬!$F97*100)</f>
        <v/>
      </c>
      <c r="BE97" t="str">
        <f>IF(OR(Calc_오픈정렬!$F97="",Calc_오픈정렬!BE97=""),"",Calc_오픈정렬!BE97/Calc_오픈정렬!$F97*100)</f>
        <v/>
      </c>
      <c r="BF97" t="str">
        <f>IF(OR(Calc_오픈정렬!$F97="",Calc_오픈정렬!BF97=""),"",Calc_오픈정렬!BF97/Calc_오픈정렬!$F97*100)</f>
        <v/>
      </c>
      <c r="BG97" t="str">
        <f>IF(OR(Calc_오픈정렬!$F97="",Calc_오픈정렬!BG97=""),"",Calc_오픈정렬!BG97/Calc_오픈정렬!$F97*100)</f>
        <v/>
      </c>
      <c r="BH97" t="str">
        <f>IF(OR(Calc_오픈정렬!$F97="",Calc_오픈정렬!BH97=""),"",Calc_오픈정렬!BH97/Calc_오픈정렬!$F97*100)</f>
        <v/>
      </c>
      <c r="BI97" t="str">
        <f>IF(OR(Calc_오픈정렬!$F97="",Calc_오픈정렬!BI97=""),"",Calc_오픈정렬!BI97/Calc_오픈정렬!$F97*100)</f>
        <v/>
      </c>
      <c r="BJ97" t="str">
        <f>IF(OR(Calc_오픈정렬!$F97="",Calc_오픈정렬!BJ97=""),"",Calc_오픈정렬!BJ97/Calc_오픈정렬!$F97*100)</f>
        <v/>
      </c>
      <c r="BK97" t="str">
        <f>IF(OR(Calc_오픈정렬!$F97="",Calc_오픈정렬!BK97=""),"",Calc_오픈정렬!BK97/Calc_오픈정렬!$F97*100)</f>
        <v/>
      </c>
      <c r="BL97" t="str">
        <f>IF(OR(Calc_오픈정렬!$F97="",Calc_오픈정렬!BL97=""),"",Calc_오픈정렬!BL97/Calc_오픈정렬!$F97*100)</f>
        <v/>
      </c>
      <c r="BM97" t="str">
        <f>IF(OR(Calc_오픈정렬!$F97="",Calc_오픈정렬!BM97=""),"",Calc_오픈정렬!BM97/Calc_오픈정렬!$F97*100)</f>
        <v/>
      </c>
      <c r="BN97" t="str">
        <f>IF(OR(Calc_오픈정렬!$F97="",Calc_오픈정렬!BN97=""),"",Calc_오픈정렬!BN97/Calc_오픈정렬!$F97*100)</f>
        <v/>
      </c>
    </row>
    <row r="98" spans="1:66" x14ac:dyDescent="0.4">
      <c r="A98" t="str">
        <f>Calc_오픈정렬!A98</f>
        <v>(1087) #둔산스쿨점</v>
      </c>
      <c r="B98" t="str">
        <f>Calc_오픈정렬!B98</f>
        <v>150-0</v>
      </c>
      <c r="C98">
        <f>Calc_오픈정렬!C98</f>
        <v>0</v>
      </c>
      <c r="D98" t="str">
        <f>Calc_오픈정렬!D98</f>
        <v>0</v>
      </c>
      <c r="E98" s="1">
        <f>Calc_오픈정렬!E98</f>
        <v>45200</v>
      </c>
      <c r="F98">
        <f>Calc_오픈정렬!F98</f>
        <v>4746255.6335823089</v>
      </c>
      <c r="G98">
        <f>IF(OR(Calc_오픈정렬!$F98="",Calc_오픈정렬!G98=""),"",Calc_오픈정렬!G98/Calc_오픈정렬!$F98*100)</f>
        <v>67.751000063982815</v>
      </c>
      <c r="H98">
        <f>IF(OR(Calc_오픈정렬!$F98="",Calc_오픈정렬!H98=""),"",Calc_오픈정렬!H98/Calc_오픈정렬!$F98*100)</f>
        <v>76.681601006972244</v>
      </c>
      <c r="I98">
        <f>IF(OR(Calc_오픈정렬!$F98="",Calc_오픈정렬!I98=""),"",Calc_오픈정렬!I98/Calc_오픈정렬!$F98*100)</f>
        <v>99.60620303877613</v>
      </c>
      <c r="J98">
        <f>IF(OR(Calc_오픈정렬!$F98="",Calc_오픈정렬!J98=""),"",Calc_오픈정렬!J98/Calc_오픈정렬!$F98*100)</f>
        <v>107.48307155144279</v>
      </c>
      <c r="K98">
        <f>IF(OR(Calc_오픈정렬!$F98="",Calc_오픈정렬!K98=""),"",Calc_오픈정렬!K98/Calc_오픈정렬!$F98*100)</f>
        <v>110.60830508224346</v>
      </c>
      <c r="L98">
        <f>IF(OR(Calc_오픈정렬!$F98="",Calc_오픈정렬!L98=""),"",Calc_오픈정렬!L98/Calc_오픈정렬!$F98*100)</f>
        <v>94.05546791163934</v>
      </c>
      <c r="M98">
        <f>IF(OR(Calc_오픈정렬!$F98="",Calc_오픈정렬!M98=""),"",Calc_오픈정렬!M98/Calc_오픈정렬!$F98*100)</f>
        <v>107.87613329133117</v>
      </c>
      <c r="N98">
        <f>IF(OR(Calc_오픈정렬!$F98="",Calc_오픈정렬!N98=""),"",Calc_오픈정렬!N98/Calc_오픈정렬!$F98*100)</f>
        <v>82.087622343895987</v>
      </c>
      <c r="O98">
        <f>IF(OR(Calc_오픈정렬!$F98="",Calc_오픈정렬!O98=""),"",Calc_오픈정렬!O98/Calc_오픈정렬!$F98*100)</f>
        <v>97.889399819447164</v>
      </c>
      <c r="P98">
        <f>IF(OR(Calc_오픈정렬!$F98="",Calc_오픈정렬!P98=""),"",Calc_오픈정렬!P98/Calc_오픈정렬!$F98*100)</f>
        <v>101.2346981417092</v>
      </c>
      <c r="Q98">
        <f>IF(OR(Calc_오픈정렬!$F98="",Calc_오픈정렬!Q98=""),"",Calc_오픈정렬!Q98/Calc_오픈정렬!$F98*100)</f>
        <v>97.538945984001941</v>
      </c>
      <c r="R98">
        <f>IF(OR(Calc_오픈정렬!$F98="",Calc_오픈정렬!R98=""),"",Calc_오픈정렬!R98/Calc_오픈정렬!$F98*100)</f>
        <v>89.210268794521312</v>
      </c>
      <c r="S98">
        <f>IF(OR(Calc_오픈정렬!$F98="",Calc_오픈정렬!S98=""),"",Calc_오픈정렬!S98/Calc_오픈정렬!$F98*100)</f>
        <v>108.55415878267046</v>
      </c>
      <c r="T98">
        <f>IF(OR(Calc_오픈정렬!$F98="",Calc_오픈정렬!T98=""),"",Calc_오픈정렬!T98/Calc_오픈정렬!$F98*100)</f>
        <v>98.347930525784946</v>
      </c>
      <c r="U98">
        <f>IF(OR(Calc_오픈정렬!$F98="",Calc_오픈정렬!U98=""),"",Calc_오픈정렬!U98/Calc_오픈정렬!$F98*100)</f>
        <v>93.341208003752257</v>
      </c>
      <c r="V98">
        <f>IF(OR(Calc_오픈정렬!$F98="",Calc_오픈정렬!V98=""),"",Calc_오픈정렬!V98/Calc_오픈정렬!$F98*100)</f>
        <v>119.19922258578946</v>
      </c>
      <c r="W98">
        <f>IF(OR(Calc_오픈정렬!$F98="",Calc_오픈정렬!W98=""),"",Calc_오픈정렬!W98/Calc_오픈정렬!$F98*100)</f>
        <v>104.0408979104977</v>
      </c>
      <c r="X98">
        <f>IF(OR(Calc_오픈정렬!$F98="",Calc_오픈정렬!X98=""),"",Calc_오픈정렬!X98/Calc_오픈정렬!$F98*100)</f>
        <v>120.39602926878557</v>
      </c>
      <c r="Y98">
        <f>IF(OR(Calc_오픈정렬!$F98="",Calc_오픈정렬!Y98=""),"",Calc_오픈정렬!Y98/Calc_오픈정렬!$F98*100)</f>
        <v>99.018529566691555</v>
      </c>
      <c r="Z98">
        <f>IF(OR(Calc_오픈정렬!$F98="",Calc_오픈정렬!Z98=""),"",Calc_오픈정렬!Z98/Calc_오픈정렬!$F98*100)</f>
        <v>104.01650064664373</v>
      </c>
      <c r="AA98">
        <f>IF(OR(Calc_오픈정렬!$F98="",Calc_오픈정렬!AA98=""),"",Calc_오픈정렬!AA98/Calc_오픈정렬!$F98*100)</f>
        <v>106.30502744398471</v>
      </c>
      <c r="AB98">
        <f>IF(OR(Calc_오픈정렬!$F98="",Calc_오픈정렬!AB98=""),"",Calc_오픈정렬!AB98/Calc_오픈정렬!$F98*100)</f>
        <v>95.818577584265441</v>
      </c>
      <c r="AC98">
        <f>IF(OR(Calc_오픈정렬!$F98="",Calc_오픈정렬!AC98=""),"",Calc_오픈정렬!AC98/Calc_오픈정렬!$F98*100)</f>
        <v>104.87522552902621</v>
      </c>
      <c r="AD98">
        <f>IF(OR(Calc_오픈정렬!$F98="",Calc_오픈정렬!AD98=""),"",Calc_오픈정렬!AD98/Calc_오픈정렬!$F98*100)</f>
        <v>92.209771484530492</v>
      </c>
      <c r="AE98">
        <f>IF(OR(Calc_오픈정렬!$F98="",Calc_오픈정렬!AE98=""),"",Calc_오픈정렬!AE98/Calc_오픈정렬!$F98*100)</f>
        <v>108.40961991352319</v>
      </c>
      <c r="AF98">
        <f>IF(OR(Calc_오픈정렬!$F98="",Calc_오픈정렬!AF98=""),"",Calc_오픈정렬!AF98/Calc_오픈정렬!$F98*100)</f>
        <v>108.68194990575908</v>
      </c>
      <c r="AG98">
        <f>IF(OR(Calc_오픈정렬!$F98="",Calc_오픈정렬!AG98=""),"",Calc_오픈정렬!AG98/Calc_오픈정렬!$F98*100)</f>
        <v>98.882362240288373</v>
      </c>
      <c r="AH98">
        <f>IF(OR(Calc_오픈정렬!$F98="",Calc_오픈정렬!AH98=""),"",Calc_오픈정렬!AH98/Calc_오픈정렬!$F98*100)</f>
        <v>113.78669410024625</v>
      </c>
      <c r="AI98">
        <f>IF(OR(Calc_오픈정렬!$F98="",Calc_오픈정렬!AI98=""),"",Calc_오픈정렬!AI98/Calc_오픈정렬!$F98*100)</f>
        <v>112.42132240864973</v>
      </c>
      <c r="AJ98">
        <f>IF(OR(Calc_오픈정렬!$F98="",Calc_오픈정렬!AJ98=""),"",Calc_오픈정렬!AJ98/Calc_오픈정렬!$F98*100)</f>
        <v>107.37589995904449</v>
      </c>
      <c r="AK98">
        <f>IF(OR(Calc_오픈정렬!$F98="",Calc_오픈정렬!AK98=""),"",Calc_오픈정렬!AK98/Calc_오픈정렬!$F98*100)</f>
        <v>109.63350597440504</v>
      </c>
      <c r="AL98">
        <f>IF(OR(Calc_오픈정렬!$F98="",Calc_오픈정렬!AL98=""),"",Calc_오픈정렬!AL98/Calc_오픈정렬!$F98*100)</f>
        <v>116.63081464415015</v>
      </c>
      <c r="AM98" t="str">
        <f>IF(OR(Calc_오픈정렬!$F98="",Calc_오픈정렬!AM98=""),"",Calc_오픈정렬!AM98/Calc_오픈정렬!$F98*100)</f>
        <v/>
      </c>
      <c r="AN98" t="str">
        <f>IF(OR(Calc_오픈정렬!$F98="",Calc_오픈정렬!AN98=""),"",Calc_오픈정렬!AN98/Calc_오픈정렬!$F98*100)</f>
        <v/>
      </c>
      <c r="AO98" t="str">
        <f>IF(OR(Calc_오픈정렬!$F98="",Calc_오픈정렬!AO98=""),"",Calc_오픈정렬!AO98/Calc_오픈정렬!$F98*100)</f>
        <v/>
      </c>
      <c r="AP98" t="str">
        <f>IF(OR(Calc_오픈정렬!$F98="",Calc_오픈정렬!AP98=""),"",Calc_오픈정렬!AP98/Calc_오픈정렬!$F98*100)</f>
        <v/>
      </c>
      <c r="AQ98" t="str">
        <f>IF(OR(Calc_오픈정렬!$F98="",Calc_오픈정렬!AQ98=""),"",Calc_오픈정렬!AQ98/Calc_오픈정렬!$F98*100)</f>
        <v/>
      </c>
      <c r="AR98" t="str">
        <f>IF(OR(Calc_오픈정렬!$F98="",Calc_오픈정렬!AR98=""),"",Calc_오픈정렬!AR98/Calc_오픈정렬!$F98*100)</f>
        <v/>
      </c>
      <c r="AS98" t="str">
        <f>IF(OR(Calc_오픈정렬!$F98="",Calc_오픈정렬!AS98=""),"",Calc_오픈정렬!AS98/Calc_오픈정렬!$F98*100)</f>
        <v/>
      </c>
      <c r="AT98" t="str">
        <f>IF(OR(Calc_오픈정렬!$F98="",Calc_오픈정렬!AT98=""),"",Calc_오픈정렬!AT98/Calc_오픈정렬!$F98*100)</f>
        <v/>
      </c>
      <c r="AU98" t="str">
        <f>IF(OR(Calc_오픈정렬!$F98="",Calc_오픈정렬!AU98=""),"",Calc_오픈정렬!AU98/Calc_오픈정렬!$F98*100)</f>
        <v/>
      </c>
      <c r="AV98" t="str">
        <f>IF(OR(Calc_오픈정렬!$F98="",Calc_오픈정렬!AV98=""),"",Calc_오픈정렬!AV98/Calc_오픈정렬!$F98*100)</f>
        <v/>
      </c>
      <c r="AW98" t="str">
        <f>IF(OR(Calc_오픈정렬!$F98="",Calc_오픈정렬!AW98=""),"",Calc_오픈정렬!AW98/Calc_오픈정렬!$F98*100)</f>
        <v/>
      </c>
      <c r="AX98" t="str">
        <f>IF(OR(Calc_오픈정렬!$F98="",Calc_오픈정렬!AX98=""),"",Calc_오픈정렬!AX98/Calc_오픈정렬!$F98*100)</f>
        <v/>
      </c>
      <c r="AY98" t="str">
        <f>IF(OR(Calc_오픈정렬!$F98="",Calc_오픈정렬!AY98=""),"",Calc_오픈정렬!AY98/Calc_오픈정렬!$F98*100)</f>
        <v/>
      </c>
      <c r="AZ98" t="str">
        <f>IF(OR(Calc_오픈정렬!$F98="",Calc_오픈정렬!AZ98=""),"",Calc_오픈정렬!AZ98/Calc_오픈정렬!$F98*100)</f>
        <v/>
      </c>
      <c r="BA98" t="str">
        <f>IF(OR(Calc_오픈정렬!$F98="",Calc_오픈정렬!BA98=""),"",Calc_오픈정렬!BA98/Calc_오픈정렬!$F98*100)</f>
        <v/>
      </c>
      <c r="BB98" t="str">
        <f>IF(OR(Calc_오픈정렬!$F98="",Calc_오픈정렬!BB98=""),"",Calc_오픈정렬!BB98/Calc_오픈정렬!$F98*100)</f>
        <v/>
      </c>
      <c r="BC98" t="str">
        <f>IF(OR(Calc_오픈정렬!$F98="",Calc_오픈정렬!BC98=""),"",Calc_오픈정렬!BC98/Calc_오픈정렬!$F98*100)</f>
        <v/>
      </c>
      <c r="BD98" t="str">
        <f>IF(OR(Calc_오픈정렬!$F98="",Calc_오픈정렬!BD98=""),"",Calc_오픈정렬!BD98/Calc_오픈정렬!$F98*100)</f>
        <v/>
      </c>
      <c r="BE98" t="str">
        <f>IF(OR(Calc_오픈정렬!$F98="",Calc_오픈정렬!BE98=""),"",Calc_오픈정렬!BE98/Calc_오픈정렬!$F98*100)</f>
        <v/>
      </c>
      <c r="BF98" t="str">
        <f>IF(OR(Calc_오픈정렬!$F98="",Calc_오픈정렬!BF98=""),"",Calc_오픈정렬!BF98/Calc_오픈정렬!$F98*100)</f>
        <v/>
      </c>
      <c r="BG98" t="str">
        <f>IF(OR(Calc_오픈정렬!$F98="",Calc_오픈정렬!BG98=""),"",Calc_오픈정렬!BG98/Calc_오픈정렬!$F98*100)</f>
        <v/>
      </c>
      <c r="BH98" t="str">
        <f>IF(OR(Calc_오픈정렬!$F98="",Calc_오픈정렬!BH98=""),"",Calc_오픈정렬!BH98/Calc_오픈정렬!$F98*100)</f>
        <v/>
      </c>
      <c r="BI98" t="str">
        <f>IF(OR(Calc_오픈정렬!$F98="",Calc_오픈정렬!BI98=""),"",Calc_오픈정렬!BI98/Calc_오픈정렬!$F98*100)</f>
        <v/>
      </c>
      <c r="BJ98" t="str">
        <f>IF(OR(Calc_오픈정렬!$F98="",Calc_오픈정렬!BJ98=""),"",Calc_오픈정렬!BJ98/Calc_오픈정렬!$F98*100)</f>
        <v/>
      </c>
      <c r="BK98" t="str">
        <f>IF(OR(Calc_오픈정렬!$F98="",Calc_오픈정렬!BK98=""),"",Calc_오픈정렬!BK98/Calc_오픈정렬!$F98*100)</f>
        <v/>
      </c>
      <c r="BL98" t="str">
        <f>IF(OR(Calc_오픈정렬!$F98="",Calc_오픈정렬!BL98=""),"",Calc_오픈정렬!BL98/Calc_오픈정렬!$F98*100)</f>
        <v/>
      </c>
      <c r="BM98" t="str">
        <f>IF(OR(Calc_오픈정렬!$F98="",Calc_오픈정렬!BM98=""),"",Calc_오픈정렬!BM98/Calc_오픈정렬!$F98*100)</f>
        <v/>
      </c>
      <c r="BN98" t="str">
        <f>IF(OR(Calc_오픈정렬!$F98="",Calc_오픈정렬!BN98=""),"",Calc_오픈정렬!BN98/Calc_오픈정렬!$F98*100)</f>
        <v/>
      </c>
    </row>
    <row r="99" spans="1:66" x14ac:dyDescent="0.4">
      <c r="A99" t="str">
        <f>Calc_오픈정렬!A99</f>
        <v>(1088) #유성온천점</v>
      </c>
      <c r="B99" t="str">
        <f>Calc_오픈정렬!B99</f>
        <v>150-1</v>
      </c>
      <c r="C99">
        <f>Calc_오픈정렬!C99</f>
        <v>1</v>
      </c>
      <c r="D99" t="str">
        <f>Calc_오픈정렬!D99</f>
        <v>1</v>
      </c>
      <c r="E99" s="1">
        <f>Calc_오픈정렬!E99</f>
        <v>45200</v>
      </c>
      <c r="F99">
        <f>Calc_오픈정렬!F99</f>
        <v>3315583.6477071545</v>
      </c>
      <c r="G99">
        <f>IF(OR(Calc_오픈정렬!$F99="",Calc_오픈정렬!G99=""),"",Calc_오픈정렬!G99/Calc_오픈정렬!$F99*100)</f>
        <v>59.717931202744332</v>
      </c>
      <c r="H99">
        <f>IF(OR(Calc_오픈정렬!$F99="",Calc_오픈정렬!H99=""),"",Calc_오픈정렬!H99/Calc_오픈정렬!$F99*100)</f>
        <v>69.2283674706499</v>
      </c>
      <c r="I99">
        <f>IF(OR(Calc_오픈정렬!$F99="",Calc_오픈정렬!I99=""),"",Calc_오픈정렬!I99/Calc_오픈정렬!$F99*100)</f>
        <v>86.22165058074485</v>
      </c>
      <c r="J99">
        <f>IF(OR(Calc_오픈정렬!$F99="",Calc_오픈정렬!J99=""),"",Calc_오픈정렬!J99/Calc_오픈정렬!$F99*100)</f>
        <v>75.82368272646643</v>
      </c>
      <c r="K99">
        <f>IF(OR(Calc_오픈정렬!$F99="",Calc_오픈정렬!K99=""),"",Calc_오픈정렬!K99/Calc_오픈정렬!$F99*100)</f>
        <v>92.428994071332298</v>
      </c>
      <c r="L99">
        <f>IF(OR(Calc_오픈정렬!$F99="",Calc_오픈정렬!L99=""),"",Calc_오픈정렬!L99/Calc_오픈정렬!$F99*100)</f>
        <v>103.51182881229988</v>
      </c>
      <c r="M99">
        <f>IF(OR(Calc_오픈정렬!$F99="",Calc_오픈정렬!M99=""),"",Calc_오픈정렬!M99/Calc_오픈정렬!$F99*100)</f>
        <v>118.36562275488622</v>
      </c>
      <c r="N99">
        <f>IF(OR(Calc_오픈정렬!$F99="",Calc_오픈정렬!N99=""),"",Calc_오픈정렬!N99/Calc_오픈정렬!$F99*100)</f>
        <v>101.40317178533249</v>
      </c>
      <c r="O99">
        <f>IF(OR(Calc_오픈정렬!$F99="",Calc_오픈정렬!O99=""),"",Calc_오픈정렬!O99/Calc_오픈정렬!$F99*100)</f>
        <v>108.46669984968267</v>
      </c>
      <c r="P99">
        <f>IF(OR(Calc_오픈정렬!$F99="",Calc_오픈정렬!P99=""),"",Calc_오픈정렬!P99/Calc_오픈정렬!$F99*100)</f>
        <v>116.25005015902639</v>
      </c>
      <c r="Q99">
        <f>IF(OR(Calc_오픈정렬!$F99="",Calc_오픈정렬!Q99=""),"",Calc_오픈정렬!Q99/Calc_오픈정렬!$F99*100)</f>
        <v>115.68115816793802</v>
      </c>
      <c r="R99">
        <f>IF(OR(Calc_오픈정렬!$F99="",Calc_오픈정렬!R99=""),"",Calc_오픈정렬!R99/Calc_오픈정렬!$F99*100)</f>
        <v>118.52042155813105</v>
      </c>
      <c r="S99">
        <f>IF(OR(Calc_오픈정렬!$F99="",Calc_오픈정렬!S99=""),"",Calc_오픈정렬!S99/Calc_오픈정렬!$F99*100)</f>
        <v>115.95418415048961</v>
      </c>
      <c r="T99">
        <f>IF(OR(Calc_오픈정렬!$F99="",Calc_오픈정렬!T99=""),"",Calc_오픈정렬!T99/Calc_오픈정렬!$F99*100)</f>
        <v>119.79214458022611</v>
      </c>
      <c r="U99">
        <f>IF(OR(Calc_오픈정렬!$F99="",Calc_오픈정렬!U99=""),"",Calc_오픈정렬!U99/Calc_오픈정렬!$F99*100)</f>
        <v>103.81185969465341</v>
      </c>
      <c r="V99">
        <f>IF(OR(Calc_오픈정렬!$F99="",Calc_오픈정렬!V99=""),"",Calc_오픈정렬!V99/Calc_오픈정렬!$F99*100)</f>
        <v>125.30207320038762</v>
      </c>
      <c r="W99">
        <f>IF(OR(Calc_오픈정렬!$F99="",Calc_오픈정렬!W99=""),"",Calc_오픈정렬!W99/Calc_오픈정렬!$F99*100)</f>
        <v>122.1091122000819</v>
      </c>
      <c r="X99">
        <f>IF(OR(Calc_오픈정렬!$F99="",Calc_오픈정렬!X99=""),"",Calc_오픈정렬!X99/Calc_오픈정렬!$F99*100)</f>
        <v>114.48859255972333</v>
      </c>
      <c r="Y99">
        <f>IF(OR(Calc_오픈정렬!$F99="",Calc_오픈정렬!Y99=""),"",Calc_오픈정렬!Y99/Calc_오픈정렬!$F99*100)</f>
        <v>107.85472169935153</v>
      </c>
      <c r="Z99">
        <f>IF(OR(Calc_오픈정렬!$F99="",Calc_오픈정렬!Z99=""),"",Calc_오픈정렬!Z99/Calc_오픈정렬!$F99*100)</f>
        <v>126.14891764874159</v>
      </c>
      <c r="AA99">
        <f>IF(OR(Calc_오픈정렬!$F99="",Calc_오픈정렬!AA99=""),"",Calc_오픈정렬!AA99/Calc_오픈정렬!$F99*100)</f>
        <v>123.76785653694125</v>
      </c>
      <c r="AB99">
        <f>IF(OR(Calc_오픈정렬!$F99="",Calc_오픈정렬!AB99=""),"",Calc_오픈정렬!AB99/Calc_오픈정렬!$F99*100)</f>
        <v>118.61123974202692</v>
      </c>
      <c r="AC99">
        <f>IF(OR(Calc_오픈정렬!$F99="",Calc_오픈정렬!AC99=""),"",Calc_오픈정렬!AC99/Calc_오픈정렬!$F99*100)</f>
        <v>116.08903256150911</v>
      </c>
      <c r="AD99">
        <f>IF(OR(Calc_오픈정렬!$F99="",Calc_오픈정렬!AD99=""),"",Calc_오픈정렬!AD99/Calc_오픈정렬!$F99*100)</f>
        <v>118.32160727873502</v>
      </c>
      <c r="AE99">
        <f>IF(OR(Calc_오픈정렬!$F99="",Calc_오픈정렬!AE99=""),"",Calc_오픈정렬!AE99/Calc_오픈정렬!$F99*100)</f>
        <v>116.53863853382278</v>
      </c>
      <c r="AF99">
        <f>IF(OR(Calc_오픈정렬!$F99="",Calc_오픈정렬!AF99=""),"",Calc_오픈정렬!AF99/Calc_오픈정렬!$F99*100)</f>
        <v>120.2991062454992</v>
      </c>
      <c r="AG99">
        <f>IF(OR(Calc_오픈정렬!$F99="",Calc_오픈정렬!AG99=""),"",Calc_오픈정렬!AG99/Calc_오픈정렬!$F99*100)</f>
        <v>123.7269010593258</v>
      </c>
      <c r="AH99">
        <f>IF(OR(Calc_오픈정렬!$F99="",Calc_오픈정렬!AH99=""),"",Calc_오픈정렬!AH99/Calc_오픈정렬!$F99*100)</f>
        <v>137.87584973291723</v>
      </c>
      <c r="AI99">
        <f>IF(OR(Calc_오픈정렬!$F99="",Calc_오픈정렬!AI99=""),"",Calc_오픈정렬!AI99/Calc_오픈정렬!$F99*100)</f>
        <v>126.54797970731124</v>
      </c>
      <c r="AJ99">
        <f>IF(OR(Calc_오픈정렬!$F99="",Calc_오픈정렬!AJ99=""),"",Calc_오픈정렬!AJ99/Calc_오픈정렬!$F99*100)</f>
        <v>127.65201827803885</v>
      </c>
      <c r="AK99">
        <f>IF(OR(Calc_오픈정렬!$F99="",Calc_오픈정렬!AK99=""),"",Calc_오픈정렬!AK99/Calc_오픈정렬!$F99*100)</f>
        <v>124.03675863513234</v>
      </c>
      <c r="AL99">
        <f>IF(OR(Calc_오픈정렬!$F99="",Calc_오픈정렬!AL99=""),"",Calc_오픈정렬!AL99/Calc_오픈정렬!$F99*100)</f>
        <v>127.07348397770413</v>
      </c>
      <c r="AM99" t="str">
        <f>IF(OR(Calc_오픈정렬!$F99="",Calc_오픈정렬!AM99=""),"",Calc_오픈정렬!AM99/Calc_오픈정렬!$F99*100)</f>
        <v/>
      </c>
      <c r="AN99" t="str">
        <f>IF(OR(Calc_오픈정렬!$F99="",Calc_오픈정렬!AN99=""),"",Calc_오픈정렬!AN99/Calc_오픈정렬!$F99*100)</f>
        <v/>
      </c>
      <c r="AO99" t="str">
        <f>IF(OR(Calc_오픈정렬!$F99="",Calc_오픈정렬!AO99=""),"",Calc_오픈정렬!AO99/Calc_오픈정렬!$F99*100)</f>
        <v/>
      </c>
      <c r="AP99" t="str">
        <f>IF(OR(Calc_오픈정렬!$F99="",Calc_오픈정렬!AP99=""),"",Calc_오픈정렬!AP99/Calc_오픈정렬!$F99*100)</f>
        <v/>
      </c>
      <c r="AQ99" t="str">
        <f>IF(OR(Calc_오픈정렬!$F99="",Calc_오픈정렬!AQ99=""),"",Calc_오픈정렬!AQ99/Calc_오픈정렬!$F99*100)</f>
        <v/>
      </c>
      <c r="AR99" t="str">
        <f>IF(OR(Calc_오픈정렬!$F99="",Calc_오픈정렬!AR99=""),"",Calc_오픈정렬!AR99/Calc_오픈정렬!$F99*100)</f>
        <v/>
      </c>
      <c r="AS99" t="str">
        <f>IF(OR(Calc_오픈정렬!$F99="",Calc_오픈정렬!AS99=""),"",Calc_오픈정렬!AS99/Calc_오픈정렬!$F99*100)</f>
        <v/>
      </c>
      <c r="AT99" t="str">
        <f>IF(OR(Calc_오픈정렬!$F99="",Calc_오픈정렬!AT99=""),"",Calc_오픈정렬!AT99/Calc_오픈정렬!$F99*100)</f>
        <v/>
      </c>
      <c r="AU99" t="str">
        <f>IF(OR(Calc_오픈정렬!$F99="",Calc_오픈정렬!AU99=""),"",Calc_오픈정렬!AU99/Calc_오픈정렬!$F99*100)</f>
        <v/>
      </c>
      <c r="AV99" t="str">
        <f>IF(OR(Calc_오픈정렬!$F99="",Calc_오픈정렬!AV99=""),"",Calc_오픈정렬!AV99/Calc_오픈정렬!$F99*100)</f>
        <v/>
      </c>
      <c r="AW99" t="str">
        <f>IF(OR(Calc_오픈정렬!$F99="",Calc_오픈정렬!AW99=""),"",Calc_오픈정렬!AW99/Calc_오픈정렬!$F99*100)</f>
        <v/>
      </c>
      <c r="AX99" t="str">
        <f>IF(OR(Calc_오픈정렬!$F99="",Calc_오픈정렬!AX99=""),"",Calc_오픈정렬!AX99/Calc_오픈정렬!$F99*100)</f>
        <v/>
      </c>
      <c r="AY99" t="str">
        <f>IF(OR(Calc_오픈정렬!$F99="",Calc_오픈정렬!AY99=""),"",Calc_오픈정렬!AY99/Calc_오픈정렬!$F99*100)</f>
        <v/>
      </c>
      <c r="AZ99" t="str">
        <f>IF(OR(Calc_오픈정렬!$F99="",Calc_오픈정렬!AZ99=""),"",Calc_오픈정렬!AZ99/Calc_오픈정렬!$F99*100)</f>
        <v/>
      </c>
      <c r="BA99" t="str">
        <f>IF(OR(Calc_오픈정렬!$F99="",Calc_오픈정렬!BA99=""),"",Calc_오픈정렬!BA99/Calc_오픈정렬!$F99*100)</f>
        <v/>
      </c>
      <c r="BB99" t="str">
        <f>IF(OR(Calc_오픈정렬!$F99="",Calc_오픈정렬!BB99=""),"",Calc_오픈정렬!BB99/Calc_오픈정렬!$F99*100)</f>
        <v/>
      </c>
      <c r="BC99" t="str">
        <f>IF(OR(Calc_오픈정렬!$F99="",Calc_오픈정렬!BC99=""),"",Calc_오픈정렬!BC99/Calc_오픈정렬!$F99*100)</f>
        <v/>
      </c>
      <c r="BD99" t="str">
        <f>IF(OR(Calc_오픈정렬!$F99="",Calc_오픈정렬!BD99=""),"",Calc_오픈정렬!BD99/Calc_오픈정렬!$F99*100)</f>
        <v/>
      </c>
      <c r="BE99" t="str">
        <f>IF(OR(Calc_오픈정렬!$F99="",Calc_오픈정렬!BE99=""),"",Calc_오픈정렬!BE99/Calc_오픈정렬!$F99*100)</f>
        <v/>
      </c>
      <c r="BF99" t="str">
        <f>IF(OR(Calc_오픈정렬!$F99="",Calc_오픈정렬!BF99=""),"",Calc_오픈정렬!BF99/Calc_오픈정렬!$F99*100)</f>
        <v/>
      </c>
      <c r="BG99" t="str">
        <f>IF(OR(Calc_오픈정렬!$F99="",Calc_오픈정렬!BG99=""),"",Calc_오픈정렬!BG99/Calc_오픈정렬!$F99*100)</f>
        <v/>
      </c>
      <c r="BH99" t="str">
        <f>IF(OR(Calc_오픈정렬!$F99="",Calc_오픈정렬!BH99=""),"",Calc_오픈정렬!BH99/Calc_오픈정렬!$F99*100)</f>
        <v/>
      </c>
      <c r="BI99" t="str">
        <f>IF(OR(Calc_오픈정렬!$F99="",Calc_오픈정렬!BI99=""),"",Calc_오픈정렬!BI99/Calc_오픈정렬!$F99*100)</f>
        <v/>
      </c>
      <c r="BJ99" t="str">
        <f>IF(OR(Calc_오픈정렬!$F99="",Calc_오픈정렬!BJ99=""),"",Calc_오픈정렬!BJ99/Calc_오픈정렬!$F99*100)</f>
        <v/>
      </c>
      <c r="BK99" t="str">
        <f>IF(OR(Calc_오픈정렬!$F99="",Calc_오픈정렬!BK99=""),"",Calc_오픈정렬!BK99/Calc_오픈정렬!$F99*100)</f>
        <v/>
      </c>
      <c r="BL99" t="str">
        <f>IF(OR(Calc_오픈정렬!$F99="",Calc_오픈정렬!BL99=""),"",Calc_오픈정렬!BL99/Calc_오픈정렬!$F99*100)</f>
        <v/>
      </c>
      <c r="BM99" t="str">
        <f>IF(OR(Calc_오픈정렬!$F99="",Calc_오픈정렬!BM99=""),"",Calc_오픈정렬!BM99/Calc_오픈정렬!$F99*100)</f>
        <v/>
      </c>
      <c r="BN99" t="str">
        <f>IF(OR(Calc_오픈정렬!$F99="",Calc_오픈정렬!BN99=""),"",Calc_오픈정렬!BN99/Calc_오픈정렬!$F99*100)</f>
        <v/>
      </c>
    </row>
    <row r="100" spans="1:66" x14ac:dyDescent="0.4">
      <c r="A100" t="str">
        <f>Calc_오픈정렬!A100</f>
        <v>(1089) #경희대정문점</v>
      </c>
      <c r="B100" t="str">
        <f>Calc_오픈정렬!B100</f>
        <v>150-1</v>
      </c>
      <c r="C100">
        <f>Calc_오픈정렬!C100</f>
        <v>1</v>
      </c>
      <c r="D100" t="str">
        <f>Calc_오픈정렬!D100</f>
        <v>1</v>
      </c>
      <c r="E100" s="1">
        <f>Calc_오픈정렬!E100</f>
        <v>45200</v>
      </c>
      <c r="F100">
        <f>Calc_오픈정렬!F100</f>
        <v>5637211.2460196763</v>
      </c>
      <c r="G100">
        <f>IF(OR(Calc_오픈정렬!$F100="",Calc_오픈정렬!G100=""),"",Calc_오픈정렬!G100/Calc_오픈정렬!$F100*100)</f>
        <v>71.185842786700434</v>
      </c>
      <c r="H100">
        <f>IF(OR(Calc_오픈정렬!$F100="",Calc_오픈정렬!H100=""),"",Calc_오픈정렬!H100/Calc_오픈정렬!$F100*100)</f>
        <v>81.876048169586241</v>
      </c>
      <c r="I100">
        <f>IF(OR(Calc_오픈정렬!$F100="",Calc_오픈정렬!I100=""),"",Calc_오픈정렬!I100/Calc_오픈정렬!$F100*100)</f>
        <v>86.608933648184788</v>
      </c>
      <c r="J100">
        <f>IF(OR(Calc_오픈정렬!$F100="",Calc_오픈정렬!J100=""),"",Calc_오픈정렬!J100/Calc_오픈정렬!$F100*100)</f>
        <v>83.2493556524106</v>
      </c>
      <c r="K100">
        <f>IF(OR(Calc_오픈정렬!$F100="",Calc_오픈정렬!K100=""),"",Calc_오픈정렬!K100/Calc_오픈정렬!$F100*100)</f>
        <v>88.709201900497405</v>
      </c>
      <c r="L100">
        <f>IF(OR(Calc_오픈정렬!$F100="",Calc_오픈정렬!L100=""),"",Calc_오픈정렬!L100/Calc_오픈정렬!$F100*100)</f>
        <v>106.04683476901133</v>
      </c>
      <c r="M100">
        <f>IF(OR(Calc_오픈정렬!$F100="",Calc_오픈정렬!M100=""),"",Calc_오픈정렬!M100/Calc_오픈정렬!$F100*100)</f>
        <v>114.06451173696585</v>
      </c>
      <c r="N100">
        <f>IF(OR(Calc_오픈정렬!$F100="",Calc_오픈정렬!N100=""),"",Calc_오픈정렬!N100/Calc_오픈정렬!$F100*100)</f>
        <v>101.76340081086941</v>
      </c>
      <c r="O100">
        <f>IF(OR(Calc_오픈정렬!$F100="",Calc_오픈정렬!O100=""),"",Calc_오픈정렬!O100/Calc_오픈정렬!$F100*100)</f>
        <v>106.1666951302453</v>
      </c>
      <c r="P100">
        <f>IF(OR(Calc_오픈정렬!$F100="",Calc_오픈정렬!P100=""),"",Calc_오픈정렬!P100/Calc_오픈정렬!$F100*100)</f>
        <v>118.27743334148808</v>
      </c>
      <c r="Q100">
        <f>IF(OR(Calc_오픈정렬!$F100="",Calc_오픈정렬!Q100=""),"",Calc_오픈정렬!Q100/Calc_오픈정렬!$F100*100)</f>
        <v>109.11768981080033</v>
      </c>
      <c r="R100">
        <f>IF(OR(Calc_오픈정렬!$F100="",Calc_오픈정렬!R100=""),"",Calc_오픈정렬!R100/Calc_오픈정렬!$F100*100)</f>
        <v>123.34834767255316</v>
      </c>
      <c r="S100">
        <f>IF(OR(Calc_오픈정렬!$F100="",Calc_오픈정렬!S100=""),"",Calc_오픈정렬!S100/Calc_오픈정렬!$F100*100)</f>
        <v>112.19540357591625</v>
      </c>
      <c r="T100">
        <f>IF(OR(Calc_오픈정렬!$F100="",Calc_오픈정렬!T100=""),"",Calc_오픈정렬!T100/Calc_오픈정렬!$F100*100)</f>
        <v>121.37414400147493</v>
      </c>
      <c r="U100">
        <f>IF(OR(Calc_오픈정렬!$F100="",Calc_오픈정렬!U100=""),"",Calc_오픈정렬!U100/Calc_오픈정렬!$F100*100)</f>
        <v>121.2885583979763</v>
      </c>
      <c r="V100">
        <f>IF(OR(Calc_오픈정렬!$F100="",Calc_오픈정렬!V100=""),"",Calc_오픈정렬!V100/Calc_오픈정렬!$F100*100)</f>
        <v>117.39289405095663</v>
      </c>
      <c r="W100">
        <f>IF(OR(Calc_오픈정렬!$F100="",Calc_오픈정렬!W100=""),"",Calc_오픈정렬!W100/Calc_오픈정렬!$F100*100)</f>
        <v>121.4358469669917</v>
      </c>
      <c r="X100">
        <f>IF(OR(Calc_오픈정렬!$F100="",Calc_오픈정렬!X100=""),"",Calc_오픈정렬!X100/Calc_오픈정렬!$F100*100)</f>
        <v>119.90284227282947</v>
      </c>
      <c r="Y100">
        <f>IF(OR(Calc_오픈정렬!$F100="",Calc_오픈정렬!Y100=""),"",Calc_오픈정렬!Y100/Calc_오픈정렬!$F100*100)</f>
        <v>120.27418007939086</v>
      </c>
      <c r="Z100">
        <f>IF(OR(Calc_오픈정렬!$F100="",Calc_오픈정렬!Z100=""),"",Calc_오픈정렬!Z100/Calc_오픈정렬!$F100*100)</f>
        <v>129.6197533597427</v>
      </c>
      <c r="AA100">
        <f>IF(OR(Calc_오픈정렬!$F100="",Calc_오픈정렬!AA100=""),"",Calc_오픈정렬!AA100/Calc_오픈정렬!$F100*100)</f>
        <v>131.69571657812938</v>
      </c>
      <c r="AB100">
        <f>IF(OR(Calc_오픈정렬!$F100="",Calc_오픈정렬!AB100=""),"",Calc_오픈정렬!AB100/Calc_오픈정렬!$F100*100)</f>
        <v>119.58908508454007</v>
      </c>
      <c r="AC100">
        <f>IF(OR(Calc_오픈정렬!$F100="",Calc_오픈정렬!AC100=""),"",Calc_오픈정렬!AC100/Calc_오픈정렬!$F100*100)</f>
        <v>132.78911855309229</v>
      </c>
      <c r="AD100">
        <f>IF(OR(Calc_오픈정렬!$F100="",Calc_오픈정렬!AD100=""),"",Calc_오픈정렬!AD100/Calc_오픈정렬!$F100*100)</f>
        <v>128.07002745634165</v>
      </c>
      <c r="AE100">
        <f>IF(OR(Calc_오픈정렬!$F100="",Calc_오픈정렬!AE100=""),"",Calc_오픈정렬!AE100/Calc_오픈정렬!$F100*100)</f>
        <v>137.58093723687651</v>
      </c>
      <c r="AF100">
        <f>IF(OR(Calc_오픈정렬!$F100="",Calc_오픈정렬!AF100=""),"",Calc_오픈정렬!AF100/Calc_오픈정렬!$F100*100)</f>
        <v>124.28944070094181</v>
      </c>
      <c r="AG100">
        <f>IF(OR(Calc_오픈정렬!$F100="",Calc_오픈정렬!AG100=""),"",Calc_오픈정렬!AG100/Calc_오픈정렬!$F100*100)</f>
        <v>126.09196367741377</v>
      </c>
      <c r="AH100">
        <f>IF(OR(Calc_오픈정렬!$F100="",Calc_오픈정렬!AH100=""),"",Calc_오픈정렬!AH100/Calc_오픈정렬!$F100*100)</f>
        <v>127.55352467763427</v>
      </c>
      <c r="AI100">
        <f>IF(OR(Calc_오픈정렬!$F100="",Calc_오픈정렬!AI100=""),"",Calc_오픈정렬!AI100/Calc_오픈정렬!$F100*100)</f>
        <v>127.6233927223289</v>
      </c>
      <c r="AJ100">
        <f>IF(OR(Calc_오픈정렬!$F100="",Calc_오픈정렬!AJ100=""),"",Calc_오픈정렬!AJ100/Calc_오픈정렬!$F100*100)</f>
        <v>153.44204778800034</v>
      </c>
      <c r="AK100">
        <f>IF(OR(Calc_오픈정렬!$F100="",Calc_오픈정렬!AK100=""),"",Calc_오픈정렬!AK100/Calc_오픈정렬!$F100*100)</f>
        <v>112.95603630461468</v>
      </c>
      <c r="AL100">
        <f>IF(OR(Calc_오픈정렬!$F100="",Calc_오픈정렬!AL100=""),"",Calc_오픈정렬!AL100/Calc_오픈정렬!$F100*100)</f>
        <v>102.44019603174739</v>
      </c>
      <c r="AM100" t="str">
        <f>IF(OR(Calc_오픈정렬!$F100="",Calc_오픈정렬!AM100=""),"",Calc_오픈정렬!AM100/Calc_오픈정렬!$F100*100)</f>
        <v/>
      </c>
      <c r="AN100" t="str">
        <f>IF(OR(Calc_오픈정렬!$F100="",Calc_오픈정렬!AN100=""),"",Calc_오픈정렬!AN100/Calc_오픈정렬!$F100*100)</f>
        <v/>
      </c>
      <c r="AO100" t="str">
        <f>IF(OR(Calc_오픈정렬!$F100="",Calc_오픈정렬!AO100=""),"",Calc_오픈정렬!AO100/Calc_오픈정렬!$F100*100)</f>
        <v/>
      </c>
      <c r="AP100" t="str">
        <f>IF(OR(Calc_오픈정렬!$F100="",Calc_오픈정렬!AP100=""),"",Calc_오픈정렬!AP100/Calc_오픈정렬!$F100*100)</f>
        <v/>
      </c>
      <c r="AQ100" t="str">
        <f>IF(OR(Calc_오픈정렬!$F100="",Calc_오픈정렬!AQ100=""),"",Calc_오픈정렬!AQ100/Calc_오픈정렬!$F100*100)</f>
        <v/>
      </c>
      <c r="AR100" t="str">
        <f>IF(OR(Calc_오픈정렬!$F100="",Calc_오픈정렬!AR100=""),"",Calc_오픈정렬!AR100/Calc_오픈정렬!$F100*100)</f>
        <v/>
      </c>
      <c r="AS100" t="str">
        <f>IF(OR(Calc_오픈정렬!$F100="",Calc_오픈정렬!AS100=""),"",Calc_오픈정렬!AS100/Calc_오픈정렬!$F100*100)</f>
        <v/>
      </c>
      <c r="AT100" t="str">
        <f>IF(OR(Calc_오픈정렬!$F100="",Calc_오픈정렬!AT100=""),"",Calc_오픈정렬!AT100/Calc_오픈정렬!$F100*100)</f>
        <v/>
      </c>
      <c r="AU100" t="str">
        <f>IF(OR(Calc_오픈정렬!$F100="",Calc_오픈정렬!AU100=""),"",Calc_오픈정렬!AU100/Calc_오픈정렬!$F100*100)</f>
        <v/>
      </c>
      <c r="AV100" t="str">
        <f>IF(OR(Calc_오픈정렬!$F100="",Calc_오픈정렬!AV100=""),"",Calc_오픈정렬!AV100/Calc_오픈정렬!$F100*100)</f>
        <v/>
      </c>
      <c r="AW100" t="str">
        <f>IF(OR(Calc_오픈정렬!$F100="",Calc_오픈정렬!AW100=""),"",Calc_오픈정렬!AW100/Calc_오픈정렬!$F100*100)</f>
        <v/>
      </c>
      <c r="AX100" t="str">
        <f>IF(OR(Calc_오픈정렬!$F100="",Calc_오픈정렬!AX100=""),"",Calc_오픈정렬!AX100/Calc_오픈정렬!$F100*100)</f>
        <v/>
      </c>
      <c r="AY100" t="str">
        <f>IF(OR(Calc_오픈정렬!$F100="",Calc_오픈정렬!AY100=""),"",Calc_오픈정렬!AY100/Calc_오픈정렬!$F100*100)</f>
        <v/>
      </c>
      <c r="AZ100" t="str">
        <f>IF(OR(Calc_오픈정렬!$F100="",Calc_오픈정렬!AZ100=""),"",Calc_오픈정렬!AZ100/Calc_오픈정렬!$F100*100)</f>
        <v/>
      </c>
      <c r="BA100" t="str">
        <f>IF(OR(Calc_오픈정렬!$F100="",Calc_오픈정렬!BA100=""),"",Calc_오픈정렬!BA100/Calc_오픈정렬!$F100*100)</f>
        <v/>
      </c>
      <c r="BB100" t="str">
        <f>IF(OR(Calc_오픈정렬!$F100="",Calc_오픈정렬!BB100=""),"",Calc_오픈정렬!BB100/Calc_오픈정렬!$F100*100)</f>
        <v/>
      </c>
      <c r="BC100" t="str">
        <f>IF(OR(Calc_오픈정렬!$F100="",Calc_오픈정렬!BC100=""),"",Calc_오픈정렬!BC100/Calc_오픈정렬!$F100*100)</f>
        <v/>
      </c>
      <c r="BD100" t="str">
        <f>IF(OR(Calc_오픈정렬!$F100="",Calc_오픈정렬!BD100=""),"",Calc_오픈정렬!BD100/Calc_오픈정렬!$F100*100)</f>
        <v/>
      </c>
      <c r="BE100" t="str">
        <f>IF(OR(Calc_오픈정렬!$F100="",Calc_오픈정렬!BE100=""),"",Calc_오픈정렬!BE100/Calc_오픈정렬!$F100*100)</f>
        <v/>
      </c>
      <c r="BF100" t="str">
        <f>IF(OR(Calc_오픈정렬!$F100="",Calc_오픈정렬!BF100=""),"",Calc_오픈정렬!BF100/Calc_오픈정렬!$F100*100)</f>
        <v/>
      </c>
      <c r="BG100" t="str">
        <f>IF(OR(Calc_오픈정렬!$F100="",Calc_오픈정렬!BG100=""),"",Calc_오픈정렬!BG100/Calc_오픈정렬!$F100*100)</f>
        <v/>
      </c>
      <c r="BH100" t="str">
        <f>IF(OR(Calc_오픈정렬!$F100="",Calc_오픈정렬!BH100=""),"",Calc_오픈정렬!BH100/Calc_오픈정렬!$F100*100)</f>
        <v/>
      </c>
      <c r="BI100" t="str">
        <f>IF(OR(Calc_오픈정렬!$F100="",Calc_오픈정렬!BI100=""),"",Calc_오픈정렬!BI100/Calc_오픈정렬!$F100*100)</f>
        <v/>
      </c>
      <c r="BJ100" t="str">
        <f>IF(OR(Calc_오픈정렬!$F100="",Calc_오픈정렬!BJ100=""),"",Calc_오픈정렬!BJ100/Calc_오픈정렬!$F100*100)</f>
        <v/>
      </c>
      <c r="BK100" t="str">
        <f>IF(OR(Calc_오픈정렬!$F100="",Calc_오픈정렬!BK100=""),"",Calc_오픈정렬!BK100/Calc_오픈정렬!$F100*100)</f>
        <v/>
      </c>
      <c r="BL100" t="str">
        <f>IF(OR(Calc_오픈정렬!$F100="",Calc_오픈정렬!BL100=""),"",Calc_오픈정렬!BL100/Calc_오픈정렬!$F100*100)</f>
        <v/>
      </c>
      <c r="BM100" t="str">
        <f>IF(OR(Calc_오픈정렬!$F100="",Calc_오픈정렬!BM100=""),"",Calc_오픈정렬!BM100/Calc_오픈정렬!$F100*100)</f>
        <v/>
      </c>
      <c r="BN100" t="str">
        <f>IF(OR(Calc_오픈정렬!$F100="",Calc_오픈정렬!BN100=""),"",Calc_오픈정렬!BN100/Calc_오픈정렬!$F100*100)</f>
        <v/>
      </c>
    </row>
    <row r="101" spans="1:66" x14ac:dyDescent="0.4">
      <c r="A101" t="str">
        <f>Calc_오픈정렬!A101</f>
        <v>(1090) #중앙대후문점</v>
      </c>
      <c r="B101" t="str">
        <f>Calc_오픈정렬!B101</f>
        <v>150-1</v>
      </c>
      <c r="C101">
        <f>Calc_오픈정렬!C101</f>
        <v>1</v>
      </c>
      <c r="D101" t="str">
        <f>Calc_오픈정렬!D101</f>
        <v>1</v>
      </c>
      <c r="E101" s="1">
        <f>Calc_오픈정렬!E101</f>
        <v>45200</v>
      </c>
      <c r="F101">
        <f>Calc_오픈정렬!F101</f>
        <v>4920743.9503227388</v>
      </c>
      <c r="G101">
        <f>IF(OR(Calc_오픈정렬!$F101="",Calc_오픈정렬!G101=""),"",Calc_오픈정렬!G101/Calc_오픈정렬!$F101*100)</f>
        <v>74.262947670154745</v>
      </c>
      <c r="H101">
        <f>IF(OR(Calc_오픈정렬!$F101="",Calc_오픈정렬!H101=""),"",Calc_오픈정렬!H101/Calc_오픈정렬!$F101*100)</f>
        <v>85.010662396088108</v>
      </c>
      <c r="I101">
        <f>IF(OR(Calc_오픈정렬!$F101="",Calc_오픈정렬!I101=""),"",Calc_오픈정렬!I101/Calc_오픈정렬!$F101*100)</f>
        <v>84.193834855586275</v>
      </c>
      <c r="J101">
        <f>IF(OR(Calc_오픈정렬!$F101="",Calc_오픈정렬!J101=""),"",Calc_오픈정렬!J101/Calc_오픈정렬!$F101*100)</f>
        <v>94.109241437115472</v>
      </c>
      <c r="K101">
        <f>IF(OR(Calc_오픈정렬!$F101="",Calc_오픈정렬!K101=""),"",Calc_오픈정렬!K101/Calc_오픈정렬!$F101*100)</f>
        <v>91.679842430463353</v>
      </c>
      <c r="L101">
        <f>IF(OR(Calc_오픈정렬!$F101="",Calc_오픈정렬!L101=""),"",Calc_오픈정렬!L101/Calc_오픈정렬!$F101*100)</f>
        <v>108.64642195613941</v>
      </c>
      <c r="M101">
        <f>IF(OR(Calc_오픈정렬!$F101="",Calc_오픈정렬!M101=""),"",Calc_오픈정렬!M101/Calc_오픈정렬!$F101*100)</f>
        <v>106.09635544606249</v>
      </c>
      <c r="N101">
        <f>IF(OR(Calc_오픈정렬!$F101="",Calc_오픈정렬!N101=""),"",Calc_오픈정렬!N101/Calc_오픈정렬!$F101*100)</f>
        <v>101.01568394302993</v>
      </c>
      <c r="O101">
        <f>IF(OR(Calc_오픈정렬!$F101="",Calc_오픈정렬!O101=""),"",Calc_오픈정렬!O101/Calc_오픈정렬!$F101*100)</f>
        <v>98.452454787189396</v>
      </c>
      <c r="P101">
        <f>IF(OR(Calc_오픈정렬!$F101="",Calc_오픈정렬!P101=""),"",Calc_오픈정렬!P101/Calc_오픈정렬!$F101*100)</f>
        <v>120.20070080509566</v>
      </c>
      <c r="Q101">
        <f>IF(OR(Calc_오픈정렬!$F101="",Calc_오픈정렬!Q101=""),"",Calc_오픈정렬!Q101/Calc_오픈정렬!$F101*100)</f>
        <v>99.912695909347363</v>
      </c>
      <c r="R101">
        <f>IF(OR(Calc_오픈정렬!$F101="",Calc_오픈정렬!R101=""),"",Calc_오픈정렬!R101/Calc_오픈정렬!$F101*100)</f>
        <v>101.28226507504161</v>
      </c>
      <c r="S101">
        <f>IF(OR(Calc_오픈정렬!$F101="",Calc_오픈정렬!S101=""),"",Calc_오픈정렬!S101/Calc_오픈정렬!$F101*100)</f>
        <v>100.73640443306758</v>
      </c>
      <c r="T101">
        <f>IF(OR(Calc_오픈정렬!$F101="",Calc_오픈정렬!T101=""),"",Calc_오픈정렬!T101/Calc_오픈정렬!$F101*100)</f>
        <v>104.99481148435726</v>
      </c>
      <c r="U101">
        <f>IF(OR(Calc_오픈정렬!$F101="",Calc_오픈정렬!U101=""),"",Calc_오픈정렬!U101/Calc_오픈정렬!$F101*100)</f>
        <v>104.02589817452419</v>
      </c>
      <c r="V101">
        <f>IF(OR(Calc_오픈정렬!$F101="",Calc_오픈정렬!V101=""),"",Calc_오픈정렬!V101/Calc_오픈정렬!$F101*100)</f>
        <v>120.15978676577636</v>
      </c>
      <c r="W101">
        <f>IF(OR(Calc_오픈정렬!$F101="",Calc_오픈정렬!W101=""),"",Calc_오픈정렬!W101/Calc_오픈정렬!$F101*100)</f>
        <v>124.96426648707208</v>
      </c>
      <c r="X101">
        <f>IF(OR(Calc_오픈정렬!$F101="",Calc_오픈정렬!X101=""),"",Calc_오픈정렬!X101/Calc_오픈정렬!$F101*100)</f>
        <v>136.1771534023496</v>
      </c>
      <c r="Y101">
        <f>IF(OR(Calc_오픈정렬!$F101="",Calc_오픈정렬!Y101=""),"",Calc_오픈정렬!Y101/Calc_오픈정렬!$F101*100)</f>
        <v>119.75536619285012</v>
      </c>
      <c r="Z101">
        <f>IF(OR(Calc_오픈정렬!$F101="",Calc_오픈정렬!Z101=""),"",Calc_오픈정렬!Z101/Calc_오픈정렬!$F101*100)</f>
        <v>144.18192780611255</v>
      </c>
      <c r="AA101">
        <f>IF(OR(Calc_오픈정렬!$F101="",Calc_오픈정렬!AA101=""),"",Calc_오픈정렬!AA101/Calc_오픈정렬!$F101*100)</f>
        <v>129.68162485172715</v>
      </c>
      <c r="AB101">
        <f>IF(OR(Calc_오픈정렬!$F101="",Calc_오픈정렬!AB101=""),"",Calc_오픈정렬!AB101/Calc_오픈정렬!$F101*100)</f>
        <v>122.91475361500478</v>
      </c>
      <c r="AC101">
        <f>IF(OR(Calc_오픈정렬!$F101="",Calc_오픈정렬!AC101=""),"",Calc_오픈정렬!AC101/Calc_오픈정렬!$F101*100)</f>
        <v>143.30909926913586</v>
      </c>
      <c r="AD101">
        <f>IF(OR(Calc_오픈정렬!$F101="",Calc_오픈정렬!AD101=""),"",Calc_오픈정렬!AD101/Calc_오픈정렬!$F101*100)</f>
        <v>129.1947642596503</v>
      </c>
      <c r="AE101">
        <f>IF(OR(Calc_오픈정렬!$F101="",Calc_오픈정렬!AE101=""),"",Calc_오픈정렬!AE101/Calc_오픈정렬!$F101*100)</f>
        <v>133.05819842088516</v>
      </c>
      <c r="AF101">
        <f>IF(OR(Calc_오픈정렬!$F101="",Calc_오픈정렬!AF101=""),"",Calc_오픈정렬!AF101/Calc_오픈정렬!$F101*100)</f>
        <v>127.77784624259148</v>
      </c>
      <c r="AG101">
        <f>IF(OR(Calc_오픈정렬!$F101="",Calc_오픈정렬!AG101=""),"",Calc_오픈정렬!AG101/Calc_오픈정렬!$F101*100)</f>
        <v>119.84002165207077</v>
      </c>
      <c r="AH101">
        <f>IF(OR(Calc_오픈정렬!$F101="",Calc_오픈정렬!AH101=""),"",Calc_오픈정렬!AH101/Calc_오픈정렬!$F101*100)</f>
        <v>142.90629515156144</v>
      </c>
      <c r="AI101">
        <f>IF(OR(Calc_오픈정렬!$F101="",Calc_오픈정렬!AI101=""),"",Calc_오픈정렬!AI101/Calc_오픈정렬!$F101*100)</f>
        <v>144.0259583807011</v>
      </c>
      <c r="AJ101">
        <f>IF(OR(Calc_오픈정렬!$F101="",Calc_오픈정렬!AJ101=""),"",Calc_오픈정렬!AJ101/Calc_오픈정렬!$F101*100)</f>
        <v>157.50280431066054</v>
      </c>
      <c r="AK101">
        <f>IF(OR(Calc_오픈정렬!$F101="",Calc_오픈정렬!AK101=""),"",Calc_오픈정렬!AK101/Calc_오픈정렬!$F101*100)</f>
        <v>155.5202412333519</v>
      </c>
      <c r="AL101">
        <f>IF(OR(Calc_오픈정렬!$F101="",Calc_오픈정렬!AL101=""),"",Calc_오픈정렬!AL101/Calc_오픈정렬!$F101*100)</f>
        <v>155.27002645983055</v>
      </c>
      <c r="AM101" t="str">
        <f>IF(OR(Calc_오픈정렬!$F101="",Calc_오픈정렬!AM101=""),"",Calc_오픈정렬!AM101/Calc_오픈정렬!$F101*100)</f>
        <v/>
      </c>
      <c r="AN101" t="str">
        <f>IF(OR(Calc_오픈정렬!$F101="",Calc_오픈정렬!AN101=""),"",Calc_오픈정렬!AN101/Calc_오픈정렬!$F101*100)</f>
        <v/>
      </c>
      <c r="AO101" t="str">
        <f>IF(OR(Calc_오픈정렬!$F101="",Calc_오픈정렬!AO101=""),"",Calc_오픈정렬!AO101/Calc_오픈정렬!$F101*100)</f>
        <v/>
      </c>
      <c r="AP101" t="str">
        <f>IF(OR(Calc_오픈정렬!$F101="",Calc_오픈정렬!AP101=""),"",Calc_오픈정렬!AP101/Calc_오픈정렬!$F101*100)</f>
        <v/>
      </c>
      <c r="AQ101" t="str">
        <f>IF(OR(Calc_오픈정렬!$F101="",Calc_오픈정렬!AQ101=""),"",Calc_오픈정렬!AQ101/Calc_오픈정렬!$F101*100)</f>
        <v/>
      </c>
      <c r="AR101" t="str">
        <f>IF(OR(Calc_오픈정렬!$F101="",Calc_오픈정렬!AR101=""),"",Calc_오픈정렬!AR101/Calc_오픈정렬!$F101*100)</f>
        <v/>
      </c>
      <c r="AS101" t="str">
        <f>IF(OR(Calc_오픈정렬!$F101="",Calc_오픈정렬!AS101=""),"",Calc_오픈정렬!AS101/Calc_오픈정렬!$F101*100)</f>
        <v/>
      </c>
      <c r="AT101" t="str">
        <f>IF(OR(Calc_오픈정렬!$F101="",Calc_오픈정렬!AT101=""),"",Calc_오픈정렬!AT101/Calc_오픈정렬!$F101*100)</f>
        <v/>
      </c>
      <c r="AU101" t="str">
        <f>IF(OR(Calc_오픈정렬!$F101="",Calc_오픈정렬!AU101=""),"",Calc_오픈정렬!AU101/Calc_오픈정렬!$F101*100)</f>
        <v/>
      </c>
      <c r="AV101" t="str">
        <f>IF(OR(Calc_오픈정렬!$F101="",Calc_오픈정렬!AV101=""),"",Calc_오픈정렬!AV101/Calc_오픈정렬!$F101*100)</f>
        <v/>
      </c>
      <c r="AW101" t="str">
        <f>IF(OR(Calc_오픈정렬!$F101="",Calc_오픈정렬!AW101=""),"",Calc_오픈정렬!AW101/Calc_오픈정렬!$F101*100)</f>
        <v/>
      </c>
      <c r="AX101" t="str">
        <f>IF(OR(Calc_오픈정렬!$F101="",Calc_오픈정렬!AX101=""),"",Calc_오픈정렬!AX101/Calc_오픈정렬!$F101*100)</f>
        <v/>
      </c>
      <c r="AY101" t="str">
        <f>IF(OR(Calc_오픈정렬!$F101="",Calc_오픈정렬!AY101=""),"",Calc_오픈정렬!AY101/Calc_오픈정렬!$F101*100)</f>
        <v/>
      </c>
      <c r="AZ101" t="str">
        <f>IF(OR(Calc_오픈정렬!$F101="",Calc_오픈정렬!AZ101=""),"",Calc_오픈정렬!AZ101/Calc_오픈정렬!$F101*100)</f>
        <v/>
      </c>
      <c r="BA101" t="str">
        <f>IF(OR(Calc_오픈정렬!$F101="",Calc_오픈정렬!BA101=""),"",Calc_오픈정렬!BA101/Calc_오픈정렬!$F101*100)</f>
        <v/>
      </c>
      <c r="BB101" t="str">
        <f>IF(OR(Calc_오픈정렬!$F101="",Calc_오픈정렬!BB101=""),"",Calc_오픈정렬!BB101/Calc_오픈정렬!$F101*100)</f>
        <v/>
      </c>
      <c r="BC101" t="str">
        <f>IF(OR(Calc_오픈정렬!$F101="",Calc_오픈정렬!BC101=""),"",Calc_오픈정렬!BC101/Calc_오픈정렬!$F101*100)</f>
        <v/>
      </c>
      <c r="BD101" t="str">
        <f>IF(OR(Calc_오픈정렬!$F101="",Calc_오픈정렬!BD101=""),"",Calc_오픈정렬!BD101/Calc_오픈정렬!$F101*100)</f>
        <v/>
      </c>
      <c r="BE101" t="str">
        <f>IF(OR(Calc_오픈정렬!$F101="",Calc_오픈정렬!BE101=""),"",Calc_오픈정렬!BE101/Calc_오픈정렬!$F101*100)</f>
        <v/>
      </c>
      <c r="BF101" t="str">
        <f>IF(OR(Calc_오픈정렬!$F101="",Calc_오픈정렬!BF101=""),"",Calc_오픈정렬!BF101/Calc_오픈정렬!$F101*100)</f>
        <v/>
      </c>
      <c r="BG101" t="str">
        <f>IF(OR(Calc_오픈정렬!$F101="",Calc_오픈정렬!BG101=""),"",Calc_오픈정렬!BG101/Calc_오픈정렬!$F101*100)</f>
        <v/>
      </c>
      <c r="BH101" t="str">
        <f>IF(OR(Calc_오픈정렬!$F101="",Calc_오픈정렬!BH101=""),"",Calc_오픈정렬!BH101/Calc_오픈정렬!$F101*100)</f>
        <v/>
      </c>
      <c r="BI101" t="str">
        <f>IF(OR(Calc_오픈정렬!$F101="",Calc_오픈정렬!BI101=""),"",Calc_오픈정렬!BI101/Calc_오픈정렬!$F101*100)</f>
        <v/>
      </c>
      <c r="BJ101" t="str">
        <f>IF(OR(Calc_오픈정렬!$F101="",Calc_오픈정렬!BJ101=""),"",Calc_오픈정렬!BJ101/Calc_오픈정렬!$F101*100)</f>
        <v/>
      </c>
      <c r="BK101" t="str">
        <f>IF(OR(Calc_오픈정렬!$F101="",Calc_오픈정렬!BK101=""),"",Calc_오픈정렬!BK101/Calc_오픈정렬!$F101*100)</f>
        <v/>
      </c>
      <c r="BL101" t="str">
        <f>IF(OR(Calc_오픈정렬!$F101="",Calc_오픈정렬!BL101=""),"",Calc_오픈정렬!BL101/Calc_오픈정렬!$F101*100)</f>
        <v/>
      </c>
      <c r="BM101" t="str">
        <f>IF(OR(Calc_오픈정렬!$F101="",Calc_오픈정렬!BM101=""),"",Calc_오픈정렬!BM101/Calc_오픈정렬!$F101*100)</f>
        <v/>
      </c>
      <c r="BN101" t="str">
        <f>IF(OR(Calc_오픈정렬!$F101="",Calc_오픈정렬!BN101=""),"",Calc_오픈정렬!BN101/Calc_오픈정렬!$F101*100)</f>
        <v/>
      </c>
    </row>
    <row r="102" spans="1:66" x14ac:dyDescent="0.4">
      <c r="A102" t="str">
        <f>Calc_오픈정렬!A102</f>
        <v>(1091) #선릉역점</v>
      </c>
      <c r="B102" t="str">
        <f>Calc_오픈정렬!B102</f>
        <v>150-2</v>
      </c>
      <c r="C102">
        <f>Calc_오픈정렬!C102</f>
        <v>2</v>
      </c>
      <c r="D102" t="str">
        <f>Calc_오픈정렬!D102</f>
        <v>2</v>
      </c>
      <c r="E102" s="1">
        <f>Calc_오픈정렬!E102</f>
        <v>45200</v>
      </c>
      <c r="F102">
        <f>Calc_오픈정렬!F102</f>
        <v>5167974.0052194102</v>
      </c>
      <c r="G102">
        <f>IF(OR(Calc_오픈정렬!$F102="",Calc_오픈정렬!G102=""),"",Calc_오픈정렬!G102/Calc_오픈정렬!$F102*100)</f>
        <v>49.849369765081889</v>
      </c>
      <c r="H102">
        <f>IF(OR(Calc_오픈정렬!$F102="",Calc_오픈정렬!H102=""),"",Calc_오픈정렬!H102/Calc_오픈정렬!$F102*100)</f>
        <v>65.27302213960877</v>
      </c>
      <c r="I102">
        <f>IF(OR(Calc_오픈정렬!$F102="",Calc_오픈정렬!I102=""),"",Calc_오픈정렬!I102/Calc_오픈정렬!$F102*100)</f>
        <v>93.602016827893834</v>
      </c>
      <c r="J102">
        <f>IF(OR(Calc_오픈정렬!$F102="",Calc_오픈정렬!J102=""),"",Calc_오픈정렬!J102/Calc_오픈정렬!$F102*100)</f>
        <v>109.37217778250177</v>
      </c>
      <c r="K102">
        <f>IF(OR(Calc_오픈정렬!$F102="",Calc_오픈정렬!K102=""),"",Calc_오픈정렬!K102/Calc_오픈정렬!$F102*100)</f>
        <v>89.664292008250285</v>
      </c>
      <c r="L102">
        <f>IF(OR(Calc_오픈정렬!$F102="",Calc_오픈정렬!L102=""),"",Calc_오픈정렬!L102/Calc_오픈정렬!$F102*100)</f>
        <v>91.854259239909325</v>
      </c>
      <c r="M102">
        <f>IF(OR(Calc_오픈정렬!$F102="",Calc_오픈정렬!M102=""),"",Calc_오픈정렬!M102/Calc_오픈정렬!$F102*100)</f>
        <v>108.14000630320089</v>
      </c>
      <c r="N102">
        <f>IF(OR(Calc_오픈정렬!$F102="",Calc_오픈정렬!N102=""),"",Calc_오픈정렬!N102/Calc_오픈정렬!$F102*100)</f>
        <v>98.898925353555484</v>
      </c>
      <c r="O102">
        <f>IF(OR(Calc_오픈정렬!$F102="",Calc_오픈정렬!O102=""),"",Calc_오픈정렬!O102/Calc_오픈정렬!$F102*100)</f>
        <v>102.07033931258222</v>
      </c>
      <c r="P102">
        <f>IF(OR(Calc_오픈정렬!$F102="",Calc_오픈정렬!P102=""),"",Calc_오픈정렬!P102/Calc_오픈정렬!$F102*100)</f>
        <v>105.16740733717008</v>
      </c>
      <c r="Q102">
        <f>IF(OR(Calc_오픈정렬!$F102="",Calc_오픈정렬!Q102=""),"",Calc_오픈정렬!Q102/Calc_오픈정렬!$F102*100)</f>
        <v>105.29270246126173</v>
      </c>
      <c r="R102">
        <f>IF(OR(Calc_오픈정렬!$F102="",Calc_오픈정렬!R102=""),"",Calc_오픈정렬!R102/Calc_오픈정렬!$F102*100)</f>
        <v>106.8885684408387</v>
      </c>
      <c r="S102">
        <f>IF(OR(Calc_오픈정렬!$F102="",Calc_오픈정렬!S102=""),"",Calc_오픈정렬!S102/Calc_오픈정렬!$F102*100)</f>
        <v>102.4823496304796</v>
      </c>
      <c r="T102">
        <f>IF(OR(Calc_오픈정렬!$F102="",Calc_오픈정렬!T102=""),"",Calc_오픈정렬!T102/Calc_오픈정렬!$F102*100)</f>
        <v>120.3826911585566</v>
      </c>
      <c r="U102">
        <f>IF(OR(Calc_오픈정렬!$F102="",Calc_오픈정렬!U102=""),"",Calc_오픈정렬!U102/Calc_오픈정렬!$F102*100)</f>
        <v>108.14052514535713</v>
      </c>
      <c r="V102">
        <f>IF(OR(Calc_오픈정렬!$F102="",Calc_오픈정렬!V102=""),"",Calc_오픈정렬!V102/Calc_오픈정렬!$F102*100)</f>
        <v>132.18050042859531</v>
      </c>
      <c r="W102">
        <f>IF(OR(Calc_오픈정렬!$F102="",Calc_오픈정렬!W102=""),"",Calc_오픈정렬!W102/Calc_오픈정렬!$F102*100)</f>
        <v>125.01049196378833</v>
      </c>
      <c r="X102">
        <f>IF(OR(Calc_오픈정렬!$F102="",Calc_오픈정렬!X102=""),"",Calc_오픈정렬!X102/Calc_오픈정렬!$F102*100)</f>
        <v>136.50654794610361</v>
      </c>
      <c r="Y102">
        <f>IF(OR(Calc_오픈정렬!$F102="",Calc_오픈정렬!Y102=""),"",Calc_오픈정렬!Y102/Calc_오픈정렬!$F102*100)</f>
        <v>113.29190798008099</v>
      </c>
      <c r="Z102">
        <f>IF(OR(Calc_오픈정렬!$F102="",Calc_오픈정렬!Z102=""),"",Calc_오픈정렬!Z102/Calc_오픈정렬!$F102*100)</f>
        <v>119.16782613715347</v>
      </c>
      <c r="AA102">
        <f>IF(OR(Calc_오픈정렬!$F102="",Calc_오픈정렬!AA102=""),"",Calc_오픈정렬!AA102/Calc_오픈정렬!$F102*100)</f>
        <v>135.99049537957967</v>
      </c>
      <c r="AB102">
        <f>IF(OR(Calc_오픈정렬!$F102="",Calc_오픈정렬!AB102=""),"",Calc_오픈정렬!AB102/Calc_오픈정렬!$F102*100)</f>
        <v>120.40263365692098</v>
      </c>
      <c r="AC102">
        <f>IF(OR(Calc_오픈정렬!$F102="",Calc_오픈정렬!AC102=""),"",Calc_오픈정렬!AC102/Calc_오픈정렬!$F102*100)</f>
        <v>130.88455629020046</v>
      </c>
      <c r="AD102">
        <f>IF(OR(Calc_오픈정렬!$F102="",Calc_오픈정렬!AD102=""),"",Calc_오픈정렬!AD102/Calc_오픈정렬!$F102*100)</f>
        <v>147.48914021198985</v>
      </c>
      <c r="AE102">
        <f>IF(OR(Calc_오픈정렬!$F102="",Calc_오픈정렬!AE102=""),"",Calc_오픈정렬!AE102/Calc_오픈정렬!$F102*100)</f>
        <v>151.64891552285789</v>
      </c>
      <c r="AF102">
        <f>IF(OR(Calc_오픈정렬!$F102="",Calc_오픈정렬!AF102=""),"",Calc_오픈정렬!AF102/Calc_오픈정렬!$F102*100)</f>
        <v>144.53598794558269</v>
      </c>
      <c r="AG102">
        <f>IF(OR(Calc_오픈정렬!$F102="",Calc_오픈정렬!AG102=""),"",Calc_오픈정렬!AG102/Calc_오픈정렬!$F102*100)</f>
        <v>139.20568344810752</v>
      </c>
      <c r="AH102">
        <f>IF(OR(Calc_오픈정렬!$F102="",Calc_오픈정렬!AH102=""),"",Calc_오픈정렬!AH102/Calc_오픈정렬!$F102*100)</f>
        <v>147.23080488629671</v>
      </c>
      <c r="AI102">
        <f>IF(OR(Calc_오픈정렬!$F102="",Calc_오픈정렬!AI102=""),"",Calc_오픈정렬!AI102/Calc_오픈정렬!$F102*100)</f>
        <v>156.92921222993718</v>
      </c>
      <c r="AJ102">
        <f>IF(OR(Calc_오픈정렬!$F102="",Calc_오픈정렬!AJ102=""),"",Calc_오픈정렬!AJ102/Calc_오픈정렬!$F102*100)</f>
        <v>146.91535916184372</v>
      </c>
      <c r="AK102">
        <f>IF(OR(Calc_오픈정렬!$F102="",Calc_오픈정렬!AK102=""),"",Calc_오픈정렬!AK102/Calc_오픈정렬!$F102*100)</f>
        <v>163.93005042254657</v>
      </c>
      <c r="AL102">
        <f>IF(OR(Calc_오픈정렬!$F102="",Calc_오픈정렬!AL102=""),"",Calc_오픈정렬!AL102/Calc_오픈정렬!$F102*100)</f>
        <v>169.2512256769204</v>
      </c>
      <c r="AM102" t="str">
        <f>IF(OR(Calc_오픈정렬!$F102="",Calc_오픈정렬!AM102=""),"",Calc_오픈정렬!AM102/Calc_오픈정렬!$F102*100)</f>
        <v/>
      </c>
      <c r="AN102" t="str">
        <f>IF(OR(Calc_오픈정렬!$F102="",Calc_오픈정렬!AN102=""),"",Calc_오픈정렬!AN102/Calc_오픈정렬!$F102*100)</f>
        <v/>
      </c>
      <c r="AO102" t="str">
        <f>IF(OR(Calc_오픈정렬!$F102="",Calc_오픈정렬!AO102=""),"",Calc_오픈정렬!AO102/Calc_오픈정렬!$F102*100)</f>
        <v/>
      </c>
      <c r="AP102" t="str">
        <f>IF(OR(Calc_오픈정렬!$F102="",Calc_오픈정렬!AP102=""),"",Calc_오픈정렬!AP102/Calc_오픈정렬!$F102*100)</f>
        <v/>
      </c>
      <c r="AQ102" t="str">
        <f>IF(OR(Calc_오픈정렬!$F102="",Calc_오픈정렬!AQ102=""),"",Calc_오픈정렬!AQ102/Calc_오픈정렬!$F102*100)</f>
        <v/>
      </c>
      <c r="AR102" t="str">
        <f>IF(OR(Calc_오픈정렬!$F102="",Calc_오픈정렬!AR102=""),"",Calc_오픈정렬!AR102/Calc_오픈정렬!$F102*100)</f>
        <v/>
      </c>
      <c r="AS102" t="str">
        <f>IF(OR(Calc_오픈정렬!$F102="",Calc_오픈정렬!AS102=""),"",Calc_오픈정렬!AS102/Calc_오픈정렬!$F102*100)</f>
        <v/>
      </c>
      <c r="AT102" t="str">
        <f>IF(OR(Calc_오픈정렬!$F102="",Calc_오픈정렬!AT102=""),"",Calc_오픈정렬!AT102/Calc_오픈정렬!$F102*100)</f>
        <v/>
      </c>
      <c r="AU102" t="str">
        <f>IF(OR(Calc_오픈정렬!$F102="",Calc_오픈정렬!AU102=""),"",Calc_오픈정렬!AU102/Calc_오픈정렬!$F102*100)</f>
        <v/>
      </c>
      <c r="AV102" t="str">
        <f>IF(OR(Calc_오픈정렬!$F102="",Calc_오픈정렬!AV102=""),"",Calc_오픈정렬!AV102/Calc_오픈정렬!$F102*100)</f>
        <v/>
      </c>
      <c r="AW102" t="str">
        <f>IF(OR(Calc_오픈정렬!$F102="",Calc_오픈정렬!AW102=""),"",Calc_오픈정렬!AW102/Calc_오픈정렬!$F102*100)</f>
        <v/>
      </c>
      <c r="AX102" t="str">
        <f>IF(OR(Calc_오픈정렬!$F102="",Calc_오픈정렬!AX102=""),"",Calc_오픈정렬!AX102/Calc_오픈정렬!$F102*100)</f>
        <v/>
      </c>
      <c r="AY102" t="str">
        <f>IF(OR(Calc_오픈정렬!$F102="",Calc_오픈정렬!AY102=""),"",Calc_오픈정렬!AY102/Calc_오픈정렬!$F102*100)</f>
        <v/>
      </c>
      <c r="AZ102" t="str">
        <f>IF(OR(Calc_오픈정렬!$F102="",Calc_오픈정렬!AZ102=""),"",Calc_오픈정렬!AZ102/Calc_오픈정렬!$F102*100)</f>
        <v/>
      </c>
      <c r="BA102" t="str">
        <f>IF(OR(Calc_오픈정렬!$F102="",Calc_오픈정렬!BA102=""),"",Calc_오픈정렬!BA102/Calc_오픈정렬!$F102*100)</f>
        <v/>
      </c>
      <c r="BB102" t="str">
        <f>IF(OR(Calc_오픈정렬!$F102="",Calc_오픈정렬!BB102=""),"",Calc_오픈정렬!BB102/Calc_오픈정렬!$F102*100)</f>
        <v/>
      </c>
      <c r="BC102" t="str">
        <f>IF(OR(Calc_오픈정렬!$F102="",Calc_오픈정렬!BC102=""),"",Calc_오픈정렬!BC102/Calc_오픈정렬!$F102*100)</f>
        <v/>
      </c>
      <c r="BD102" t="str">
        <f>IF(OR(Calc_오픈정렬!$F102="",Calc_오픈정렬!BD102=""),"",Calc_오픈정렬!BD102/Calc_오픈정렬!$F102*100)</f>
        <v/>
      </c>
      <c r="BE102" t="str">
        <f>IF(OR(Calc_오픈정렬!$F102="",Calc_오픈정렬!BE102=""),"",Calc_오픈정렬!BE102/Calc_오픈정렬!$F102*100)</f>
        <v/>
      </c>
      <c r="BF102" t="str">
        <f>IF(OR(Calc_오픈정렬!$F102="",Calc_오픈정렬!BF102=""),"",Calc_오픈정렬!BF102/Calc_오픈정렬!$F102*100)</f>
        <v/>
      </c>
      <c r="BG102" t="str">
        <f>IF(OR(Calc_오픈정렬!$F102="",Calc_오픈정렬!BG102=""),"",Calc_오픈정렬!BG102/Calc_오픈정렬!$F102*100)</f>
        <v/>
      </c>
      <c r="BH102" t="str">
        <f>IF(OR(Calc_오픈정렬!$F102="",Calc_오픈정렬!BH102=""),"",Calc_오픈정렬!BH102/Calc_오픈정렬!$F102*100)</f>
        <v/>
      </c>
      <c r="BI102" t="str">
        <f>IF(OR(Calc_오픈정렬!$F102="",Calc_오픈정렬!BI102=""),"",Calc_오픈정렬!BI102/Calc_오픈정렬!$F102*100)</f>
        <v/>
      </c>
      <c r="BJ102" t="str">
        <f>IF(OR(Calc_오픈정렬!$F102="",Calc_오픈정렬!BJ102=""),"",Calc_오픈정렬!BJ102/Calc_오픈정렬!$F102*100)</f>
        <v/>
      </c>
      <c r="BK102" t="str">
        <f>IF(OR(Calc_오픈정렬!$F102="",Calc_오픈정렬!BK102=""),"",Calc_오픈정렬!BK102/Calc_오픈정렬!$F102*100)</f>
        <v/>
      </c>
      <c r="BL102" t="str">
        <f>IF(OR(Calc_오픈정렬!$F102="",Calc_오픈정렬!BL102=""),"",Calc_오픈정렬!BL102/Calc_오픈정렬!$F102*100)</f>
        <v/>
      </c>
      <c r="BM102" t="str">
        <f>IF(OR(Calc_오픈정렬!$F102="",Calc_오픈정렬!BM102=""),"",Calc_오픈정렬!BM102/Calc_오픈정렬!$F102*100)</f>
        <v/>
      </c>
      <c r="BN102" t="str">
        <f>IF(OR(Calc_오픈정렬!$F102="",Calc_오픈정렬!BN102=""),"",Calc_오픈정렬!BN102/Calc_오픈정렬!$F102*100)</f>
        <v/>
      </c>
    </row>
    <row r="103" spans="1:66" x14ac:dyDescent="0.4">
      <c r="A103" t="str">
        <f>Calc_오픈정렬!A103</f>
        <v>(1092) #신대방역조원점</v>
      </c>
      <c r="B103" t="str">
        <f>Calc_오픈정렬!B103</f>
        <v>150-1</v>
      </c>
      <c r="C103">
        <f>Calc_오픈정렬!C103</f>
        <v>1</v>
      </c>
      <c r="D103" t="str">
        <f>Calc_오픈정렬!D103</f>
        <v>1</v>
      </c>
      <c r="E103" s="1">
        <f>Calc_오픈정렬!E103</f>
        <v>45231</v>
      </c>
      <c r="F103">
        <f>Calc_오픈정렬!F103</f>
        <v>6669354.4803625876</v>
      </c>
      <c r="G103">
        <f>IF(OR(Calc_오픈정렬!$F103="",Calc_오픈정렬!G103=""),"",Calc_오픈정렬!G103/Calc_오픈정렬!$F103*100)</f>
        <v>75.084040618315015</v>
      </c>
      <c r="H103">
        <f>IF(OR(Calc_오픈정렬!$F103="",Calc_오픈정렬!H103=""),"",Calc_오픈정렬!H103/Calc_오픈정렬!$F103*100)</f>
        <v>72.981952317075809</v>
      </c>
      <c r="I103">
        <f>IF(OR(Calc_오픈정렬!$F103="",Calc_오픈정렬!I103=""),"",Calc_오픈정렬!I103/Calc_오픈정렬!$F103*100)</f>
        <v>95.152561616124103</v>
      </c>
      <c r="J103">
        <f>IF(OR(Calc_오픈정렬!$F103="",Calc_오픈정렬!J103=""),"",Calc_오픈정렬!J103/Calc_오픈정렬!$F103*100)</f>
        <v>103.4832539915907</v>
      </c>
      <c r="K103">
        <f>IF(OR(Calc_오픈정렬!$F103="",Calc_오픈정렬!K103=""),"",Calc_오픈정렬!K103/Calc_오픈정렬!$F103*100)</f>
        <v>100.97306344713675</v>
      </c>
      <c r="L103">
        <f>IF(OR(Calc_오픈정렬!$F103="",Calc_오픈정렬!L103=""),"",Calc_오픈정렬!L103/Calc_오픈정렬!$F103*100)</f>
        <v>107.91819181675137</v>
      </c>
      <c r="M103">
        <f>IF(OR(Calc_오픈정렬!$F103="",Calc_오픈정렬!M103=""),"",Calc_오픈정렬!M103/Calc_오픈정렬!$F103*100)</f>
        <v>86.600447769224132</v>
      </c>
      <c r="N103">
        <f>IF(OR(Calc_오픈정렬!$F103="",Calc_오픈정렬!N103=""),"",Calc_오픈정렬!N103/Calc_오픈정렬!$F103*100)</f>
        <v>97.369756508355323</v>
      </c>
      <c r="O103">
        <f>IF(OR(Calc_오픈정렬!$F103="",Calc_오픈정렬!O103=""),"",Calc_오픈정렬!O103/Calc_오픈정렬!$F103*100)</f>
        <v>103.65528646694173</v>
      </c>
      <c r="P103">
        <f>IF(OR(Calc_오픈정렬!$F103="",Calc_오픈정렬!P103=""),"",Calc_오픈정렬!P103/Calc_오픈정렬!$F103*100)</f>
        <v>89.044756339599246</v>
      </c>
      <c r="Q103">
        <f>IF(OR(Calc_오픈정렬!$F103="",Calc_오픈정렬!Q103=""),"",Calc_오픈정렬!Q103/Calc_오픈정렬!$F103*100)</f>
        <v>92.320792100580078</v>
      </c>
      <c r="R103">
        <f>IF(OR(Calc_오픈정렬!$F103="",Calc_오픈정렬!R103=""),"",Calc_오픈정렬!R103/Calc_오픈정렬!$F103*100)</f>
        <v>80.750913938012431</v>
      </c>
      <c r="S103">
        <f>IF(OR(Calc_오픈정렬!$F103="",Calc_오픈정렬!S103=""),"",Calc_오픈정렬!S103/Calc_오픈정렬!$F103*100)</f>
        <v>89.141091755411111</v>
      </c>
      <c r="T103">
        <f>IF(OR(Calc_오픈정렬!$F103="",Calc_오픈정렬!T103=""),"",Calc_오픈정렬!T103/Calc_오픈정렬!$F103*100)</f>
        <v>94.919634162664153</v>
      </c>
      <c r="U103">
        <f>IF(OR(Calc_오픈정렬!$F103="",Calc_오픈정렬!U103=""),"",Calc_오픈정렬!U103/Calc_오픈정렬!$F103*100)</f>
        <v>95.612277999943984</v>
      </c>
      <c r="V103">
        <f>IF(OR(Calc_오픈정렬!$F103="",Calc_오픈정렬!V103=""),"",Calc_오픈정렬!V103/Calc_오픈정렬!$F103*100)</f>
        <v>88.84272685895111</v>
      </c>
      <c r="W103">
        <f>IF(OR(Calc_오픈정렬!$F103="",Calc_오픈정렬!W103=""),"",Calc_오픈정렬!W103/Calc_오픈정렬!$F103*100)</f>
        <v>71.770900124968094</v>
      </c>
      <c r="X103">
        <f>IF(OR(Calc_오픈정렬!$F103="",Calc_오픈정렬!X103=""),"",Calc_오픈정렬!X103/Calc_오픈정렬!$F103*100)</f>
        <v>107.36287117519765</v>
      </c>
      <c r="Y103">
        <f>IF(OR(Calc_오픈정렬!$F103="",Calc_오픈정렬!Y103=""),"",Calc_오픈정렬!Y103/Calc_오픈정렬!$F103*100)</f>
        <v>108.41609279312603</v>
      </c>
      <c r="Z103">
        <f>IF(OR(Calc_오픈정렬!$F103="",Calc_오픈정렬!Z103=""),"",Calc_오픈정렬!Z103/Calc_오픈정렬!$F103*100)</f>
        <v>108.11041189003467</v>
      </c>
      <c r="AA103">
        <f>IF(OR(Calc_오픈정렬!$F103="",Calc_오픈정렬!AA103=""),"",Calc_오픈정렬!AA103/Calc_오픈정렬!$F103*100)</f>
        <v>129.70683137000574</v>
      </c>
      <c r="AB103">
        <f>IF(OR(Calc_오픈정렬!$F103="",Calc_오픈정렬!AB103=""),"",Calc_오픈정렬!AB103/Calc_오픈정렬!$F103*100)</f>
        <v>101.02828682271887</v>
      </c>
      <c r="AC103">
        <f>IF(OR(Calc_오픈정렬!$F103="",Calc_오픈정렬!AC103=""),"",Calc_오픈정렬!AC103/Calc_오픈정렬!$F103*100)</f>
        <v>101.93892338678656</v>
      </c>
      <c r="AD103">
        <f>IF(OR(Calc_오픈정렬!$F103="",Calc_오픈정렬!AD103=""),"",Calc_오픈정렬!AD103/Calc_오픈정렬!$F103*100)</f>
        <v>111.70892018941001</v>
      </c>
      <c r="AE103">
        <f>IF(OR(Calc_오픈정렬!$F103="",Calc_오픈정렬!AE103=""),"",Calc_오픈정렬!AE103/Calc_오픈정렬!$F103*100)</f>
        <v>99.685572306035198</v>
      </c>
      <c r="AF103">
        <f>IF(OR(Calc_오픈정렬!$F103="",Calc_오픈정렬!AF103=""),"",Calc_오픈정렬!AF103/Calc_오픈정렬!$F103*100)</f>
        <v>96.992457426640271</v>
      </c>
      <c r="AG103">
        <f>IF(OR(Calc_오픈정렬!$F103="",Calc_오픈정렬!AG103=""),"",Calc_오픈정렬!AG103/Calc_오픈정렬!$F103*100)</f>
        <v>102.38613550069371</v>
      </c>
      <c r="AH103">
        <f>IF(OR(Calc_오픈정렬!$F103="",Calc_오픈정렬!AH103=""),"",Calc_오픈정렬!AH103/Calc_오픈정렬!$F103*100)</f>
        <v>107.29081213483343</v>
      </c>
      <c r="AI103">
        <f>IF(OR(Calc_오픈정렬!$F103="",Calc_오픈정렬!AI103=""),"",Calc_오픈정렬!AI103/Calc_오픈정렬!$F103*100)</f>
        <v>103.42217460770901</v>
      </c>
      <c r="AJ103">
        <f>IF(OR(Calc_오픈정렬!$F103="",Calc_오픈정렬!AJ103=""),"",Calc_오픈정렬!AJ103/Calc_오픈정렬!$F103*100)</f>
        <v>102.5354349657872</v>
      </c>
      <c r="AK103">
        <f>IF(OR(Calc_오픈정렬!$F103="",Calc_오픈정렬!AK103=""),"",Calc_오픈정렬!AK103/Calc_오픈정렬!$F103*100)</f>
        <v>113.28539086838695</v>
      </c>
      <c r="AL103" t="str">
        <f>IF(OR(Calc_오픈정렬!$F103="",Calc_오픈정렬!AL103=""),"",Calc_오픈정렬!AL103/Calc_오픈정렬!$F103*100)</f>
        <v/>
      </c>
      <c r="AM103" t="str">
        <f>IF(OR(Calc_오픈정렬!$F103="",Calc_오픈정렬!AM103=""),"",Calc_오픈정렬!AM103/Calc_오픈정렬!$F103*100)</f>
        <v/>
      </c>
      <c r="AN103" t="str">
        <f>IF(OR(Calc_오픈정렬!$F103="",Calc_오픈정렬!AN103=""),"",Calc_오픈정렬!AN103/Calc_오픈정렬!$F103*100)</f>
        <v/>
      </c>
      <c r="AO103" t="str">
        <f>IF(OR(Calc_오픈정렬!$F103="",Calc_오픈정렬!AO103=""),"",Calc_오픈정렬!AO103/Calc_오픈정렬!$F103*100)</f>
        <v/>
      </c>
      <c r="AP103" t="str">
        <f>IF(OR(Calc_오픈정렬!$F103="",Calc_오픈정렬!AP103=""),"",Calc_오픈정렬!AP103/Calc_오픈정렬!$F103*100)</f>
        <v/>
      </c>
      <c r="AQ103" t="str">
        <f>IF(OR(Calc_오픈정렬!$F103="",Calc_오픈정렬!AQ103=""),"",Calc_오픈정렬!AQ103/Calc_오픈정렬!$F103*100)</f>
        <v/>
      </c>
      <c r="AR103" t="str">
        <f>IF(OR(Calc_오픈정렬!$F103="",Calc_오픈정렬!AR103=""),"",Calc_오픈정렬!AR103/Calc_오픈정렬!$F103*100)</f>
        <v/>
      </c>
      <c r="AS103" t="str">
        <f>IF(OR(Calc_오픈정렬!$F103="",Calc_오픈정렬!AS103=""),"",Calc_오픈정렬!AS103/Calc_오픈정렬!$F103*100)</f>
        <v/>
      </c>
      <c r="AT103" t="str">
        <f>IF(OR(Calc_오픈정렬!$F103="",Calc_오픈정렬!AT103=""),"",Calc_오픈정렬!AT103/Calc_오픈정렬!$F103*100)</f>
        <v/>
      </c>
      <c r="AU103" t="str">
        <f>IF(OR(Calc_오픈정렬!$F103="",Calc_오픈정렬!AU103=""),"",Calc_오픈정렬!AU103/Calc_오픈정렬!$F103*100)</f>
        <v/>
      </c>
      <c r="AV103" t="str">
        <f>IF(OR(Calc_오픈정렬!$F103="",Calc_오픈정렬!AV103=""),"",Calc_오픈정렬!AV103/Calc_오픈정렬!$F103*100)</f>
        <v/>
      </c>
      <c r="AW103" t="str">
        <f>IF(OR(Calc_오픈정렬!$F103="",Calc_오픈정렬!AW103=""),"",Calc_오픈정렬!AW103/Calc_오픈정렬!$F103*100)</f>
        <v/>
      </c>
      <c r="AX103" t="str">
        <f>IF(OR(Calc_오픈정렬!$F103="",Calc_오픈정렬!AX103=""),"",Calc_오픈정렬!AX103/Calc_오픈정렬!$F103*100)</f>
        <v/>
      </c>
      <c r="AY103" t="str">
        <f>IF(OR(Calc_오픈정렬!$F103="",Calc_오픈정렬!AY103=""),"",Calc_오픈정렬!AY103/Calc_오픈정렬!$F103*100)</f>
        <v/>
      </c>
      <c r="AZ103" t="str">
        <f>IF(OR(Calc_오픈정렬!$F103="",Calc_오픈정렬!AZ103=""),"",Calc_오픈정렬!AZ103/Calc_오픈정렬!$F103*100)</f>
        <v/>
      </c>
      <c r="BA103" t="str">
        <f>IF(OR(Calc_오픈정렬!$F103="",Calc_오픈정렬!BA103=""),"",Calc_오픈정렬!BA103/Calc_오픈정렬!$F103*100)</f>
        <v/>
      </c>
      <c r="BB103" t="str">
        <f>IF(OR(Calc_오픈정렬!$F103="",Calc_오픈정렬!BB103=""),"",Calc_오픈정렬!BB103/Calc_오픈정렬!$F103*100)</f>
        <v/>
      </c>
      <c r="BC103" t="str">
        <f>IF(OR(Calc_오픈정렬!$F103="",Calc_오픈정렬!BC103=""),"",Calc_오픈정렬!BC103/Calc_오픈정렬!$F103*100)</f>
        <v/>
      </c>
      <c r="BD103" t="str">
        <f>IF(OR(Calc_오픈정렬!$F103="",Calc_오픈정렬!BD103=""),"",Calc_오픈정렬!BD103/Calc_오픈정렬!$F103*100)</f>
        <v/>
      </c>
      <c r="BE103" t="str">
        <f>IF(OR(Calc_오픈정렬!$F103="",Calc_오픈정렬!BE103=""),"",Calc_오픈정렬!BE103/Calc_오픈정렬!$F103*100)</f>
        <v/>
      </c>
      <c r="BF103" t="str">
        <f>IF(OR(Calc_오픈정렬!$F103="",Calc_오픈정렬!BF103=""),"",Calc_오픈정렬!BF103/Calc_오픈정렬!$F103*100)</f>
        <v/>
      </c>
      <c r="BG103" t="str">
        <f>IF(OR(Calc_오픈정렬!$F103="",Calc_오픈정렬!BG103=""),"",Calc_오픈정렬!BG103/Calc_오픈정렬!$F103*100)</f>
        <v/>
      </c>
      <c r="BH103" t="str">
        <f>IF(OR(Calc_오픈정렬!$F103="",Calc_오픈정렬!BH103=""),"",Calc_오픈정렬!BH103/Calc_오픈정렬!$F103*100)</f>
        <v/>
      </c>
      <c r="BI103" t="str">
        <f>IF(OR(Calc_오픈정렬!$F103="",Calc_오픈정렬!BI103=""),"",Calc_오픈정렬!BI103/Calc_오픈정렬!$F103*100)</f>
        <v/>
      </c>
      <c r="BJ103" t="str">
        <f>IF(OR(Calc_오픈정렬!$F103="",Calc_오픈정렬!BJ103=""),"",Calc_오픈정렬!BJ103/Calc_오픈정렬!$F103*100)</f>
        <v/>
      </c>
      <c r="BK103" t="str">
        <f>IF(OR(Calc_오픈정렬!$F103="",Calc_오픈정렬!BK103=""),"",Calc_오픈정렬!BK103/Calc_오픈정렬!$F103*100)</f>
        <v/>
      </c>
      <c r="BL103" t="str">
        <f>IF(OR(Calc_오픈정렬!$F103="",Calc_오픈정렬!BL103=""),"",Calc_오픈정렬!BL103/Calc_오픈정렬!$F103*100)</f>
        <v/>
      </c>
      <c r="BM103" t="str">
        <f>IF(OR(Calc_오픈정렬!$F103="",Calc_오픈정렬!BM103=""),"",Calc_오픈정렬!BM103/Calc_오픈정렬!$F103*100)</f>
        <v/>
      </c>
      <c r="BN103" t="str">
        <f>IF(OR(Calc_오픈정렬!$F103="",Calc_오픈정렬!BN103=""),"",Calc_오픈정렬!BN103/Calc_오픈정렬!$F103*100)</f>
        <v/>
      </c>
    </row>
    <row r="104" spans="1:66" x14ac:dyDescent="0.4">
      <c r="A104" t="str">
        <f>Calc_오픈정렬!A104</f>
        <v>(1093) #영통망포뽀송점</v>
      </c>
      <c r="B104" t="str">
        <f>Calc_오픈정렬!B104</f>
        <v>150-2</v>
      </c>
      <c r="C104">
        <f>Calc_오픈정렬!C104</f>
        <v>2</v>
      </c>
      <c r="D104" t="str">
        <f>Calc_오픈정렬!D104</f>
        <v>2</v>
      </c>
      <c r="E104" s="1">
        <f>Calc_오픈정렬!E104</f>
        <v>45231</v>
      </c>
      <c r="F104">
        <f>Calc_오픈정렬!F104</f>
        <v>5930227.6075647073</v>
      </c>
      <c r="G104">
        <f>IF(OR(Calc_오픈정렬!$F104="",Calc_오픈정렬!G104=""),"",Calc_오픈정렬!G104/Calc_오픈정렬!$F104*100)</f>
        <v>45.823615074473118</v>
      </c>
      <c r="H104">
        <f>IF(OR(Calc_오픈정렬!$F104="",Calc_오픈정렬!H104=""),"",Calc_오픈정렬!H104/Calc_오픈정렬!$F104*100)</f>
        <v>60.142497194057384</v>
      </c>
      <c r="I104">
        <f>IF(OR(Calc_오픈정렬!$F104="",Calc_오픈정렬!I104=""),"",Calc_오픈정렬!I104/Calc_오픈정렬!$F104*100)</f>
        <v>84.660648561118208</v>
      </c>
      <c r="J104">
        <f>IF(OR(Calc_오픈정렬!$F104="",Calc_오픈정렬!J104=""),"",Calc_오픈정렬!J104/Calc_오픈정렬!$F104*100)</f>
        <v>89.64246382288033</v>
      </c>
      <c r="K104">
        <f>IF(OR(Calc_오픈정렬!$F104="",Calc_오픈정렬!K104=""),"",Calc_오픈정렬!K104/Calc_오픈정렬!$F104*100)</f>
        <v>100.39536532718762</v>
      </c>
      <c r="L104">
        <f>IF(OR(Calc_오픈정렬!$F104="",Calc_오픈정렬!L104=""),"",Calc_오픈정렬!L104/Calc_오픈정렬!$F104*100)</f>
        <v>108.46905137917391</v>
      </c>
      <c r="M104">
        <f>IF(OR(Calc_오픈정렬!$F104="",Calc_오픈정렬!M104=""),"",Calc_오픈정렬!M104/Calc_오픈정렬!$F104*100)</f>
        <v>95.170190273297877</v>
      </c>
      <c r="N104">
        <f>IF(OR(Calc_오픈정렬!$F104="",Calc_오픈정렬!N104=""),"",Calc_오픈정렬!N104/Calc_오픈정렬!$F104*100)</f>
        <v>100.99311640331588</v>
      </c>
      <c r="O104">
        <f>IF(OR(Calc_오픈정렬!$F104="",Calc_오픈정렬!O104=""),"",Calc_오픈정렬!O104/Calc_오픈정렬!$F104*100)</f>
        <v>105.32981279414435</v>
      </c>
      <c r="P104">
        <f>IF(OR(Calc_오픈정렬!$F104="",Calc_오픈정렬!P104=""),"",Calc_오픈정렬!P104/Calc_오픈정렬!$F104*100)</f>
        <v>103.49906392040282</v>
      </c>
      <c r="Q104">
        <f>IF(OR(Calc_오픈정렬!$F104="",Calc_오픈정렬!Q104=""),"",Calc_오픈정렬!Q104/Calc_오픈정렬!$F104*100)</f>
        <v>108.4001524003001</v>
      </c>
      <c r="R104">
        <f>IF(OR(Calc_오픈정렬!$F104="",Calc_오픈정렬!R104=""),"",Calc_오픈정렬!R104/Calc_오픈정렬!$F104*100)</f>
        <v>96.191394235223981</v>
      </c>
      <c r="S104">
        <f>IF(OR(Calc_오픈정렬!$F104="",Calc_오픈정렬!S104=""),"",Calc_오픈정렬!S104/Calc_오픈정렬!$F104*100)</f>
        <v>105.53101455508167</v>
      </c>
      <c r="T104">
        <f>IF(OR(Calc_오픈정렬!$F104="",Calc_오픈정렬!T104=""),"",Calc_오픈정렬!T104/Calc_오픈정렬!$F104*100)</f>
        <v>103.60041321929161</v>
      </c>
      <c r="U104">
        <f>IF(OR(Calc_오픈정렬!$F104="",Calc_오픈정렬!U104=""),"",Calc_오픈정렬!U104/Calc_오픈정렬!$F104*100)</f>
        <v>100.07437572965534</v>
      </c>
      <c r="V104">
        <f>IF(OR(Calc_오픈정렬!$F104="",Calc_오픈정렬!V104=""),"",Calc_오픈정렬!V104/Calc_오픈정렬!$F104*100)</f>
        <v>104.02290165142793</v>
      </c>
      <c r="W104">
        <f>IF(OR(Calc_오픈정렬!$F104="",Calc_오픈정렬!W104=""),"",Calc_오픈정렬!W104/Calc_오픈정렬!$F104*100)</f>
        <v>112.89741069796757</v>
      </c>
      <c r="X104">
        <f>IF(OR(Calc_오픈정렬!$F104="",Calc_오픈정렬!X104=""),"",Calc_오픈정렬!X104/Calc_오픈정렬!$F104*100)</f>
        <v>109.25941746210182</v>
      </c>
      <c r="Y104">
        <f>IF(OR(Calc_오픈정렬!$F104="",Calc_오픈정렬!Y104=""),"",Calc_오픈정렬!Y104/Calc_오픈정렬!$F104*100)</f>
        <v>119.06808311278469</v>
      </c>
      <c r="Z104">
        <f>IF(OR(Calc_오픈정렬!$F104="",Calc_오픈정렬!Z104=""),"",Calc_오픈정렬!Z104/Calc_오픈정렬!$F104*100)</f>
        <v>103.27288109335385</v>
      </c>
      <c r="AA104">
        <f>IF(OR(Calc_오픈정렬!$F104="",Calc_오픈정렬!AA104=""),"",Calc_오픈정렬!AA104/Calc_오픈정렬!$F104*100)</f>
        <v>106.88852661801963</v>
      </c>
      <c r="AB104">
        <f>IF(OR(Calc_오픈정렬!$F104="",Calc_오픈정렬!AB104=""),"",Calc_오픈정렬!AB104/Calc_오픈정렬!$F104*100)</f>
        <v>103.44254913439556</v>
      </c>
      <c r="AC104">
        <f>IF(OR(Calc_오픈정렬!$F104="",Calc_오픈정렬!AC104=""),"",Calc_오픈정렬!AC104/Calc_오픈정렬!$F104*100)</f>
        <v>100.37883888827912</v>
      </c>
      <c r="AD104">
        <f>IF(OR(Calc_오픈정렬!$F104="",Calc_오픈정렬!AD104=""),"",Calc_오픈정렬!AD104/Calc_오픈정렬!$F104*100)</f>
        <v>94.108687180721986</v>
      </c>
      <c r="AE104">
        <f>IF(OR(Calc_오픈정렬!$F104="",Calc_오픈정렬!AE104=""),"",Calc_오픈정렬!AE104/Calc_오픈정렬!$F104*100)</f>
        <v>109.04763526233801</v>
      </c>
      <c r="AF104">
        <f>IF(OR(Calc_오픈정렬!$F104="",Calc_오픈정렬!AF104=""),"",Calc_오픈정렬!AF104/Calc_오픈정렬!$F104*100)</f>
        <v>93.761014383287858</v>
      </c>
      <c r="AG104">
        <f>IF(OR(Calc_오픈정렬!$F104="",Calc_오픈정렬!AG104=""),"",Calc_오픈정렬!AG104/Calc_오픈정렬!$F104*100)</f>
        <v>130.94406554642424</v>
      </c>
      <c r="AH104">
        <f>IF(OR(Calc_오픈정렬!$F104="",Calc_오픈정렬!AH104=""),"",Calc_오픈정렬!AH104/Calc_오픈정렬!$F104*100)</f>
        <v>125.94926816691429</v>
      </c>
      <c r="AI104">
        <f>IF(OR(Calc_오픈정렬!$F104="",Calc_오픈정렬!AI104=""),"",Calc_오픈정렬!AI104/Calc_오픈정렬!$F104*100)</f>
        <v>135.08761715254334</v>
      </c>
      <c r="AJ104">
        <f>IF(OR(Calc_오픈정렬!$F104="",Calc_오픈정렬!AJ104=""),"",Calc_오픈정렬!AJ104/Calc_오픈정렬!$F104*100)</f>
        <v>134.86042859308466</v>
      </c>
      <c r="AK104">
        <f>IF(OR(Calc_오픈정렬!$F104="",Calc_오픈정렬!AK104=""),"",Calc_오픈정렬!AK104/Calc_오픈정렬!$F104*100)</f>
        <v>143.52691051425271</v>
      </c>
      <c r="AL104" t="str">
        <f>IF(OR(Calc_오픈정렬!$F104="",Calc_오픈정렬!AL104=""),"",Calc_오픈정렬!AL104/Calc_오픈정렬!$F104*100)</f>
        <v/>
      </c>
      <c r="AM104" t="str">
        <f>IF(OR(Calc_오픈정렬!$F104="",Calc_오픈정렬!AM104=""),"",Calc_오픈정렬!AM104/Calc_오픈정렬!$F104*100)</f>
        <v/>
      </c>
      <c r="AN104" t="str">
        <f>IF(OR(Calc_오픈정렬!$F104="",Calc_오픈정렬!AN104=""),"",Calc_오픈정렬!AN104/Calc_오픈정렬!$F104*100)</f>
        <v/>
      </c>
      <c r="AO104" t="str">
        <f>IF(OR(Calc_오픈정렬!$F104="",Calc_오픈정렬!AO104=""),"",Calc_오픈정렬!AO104/Calc_오픈정렬!$F104*100)</f>
        <v/>
      </c>
      <c r="AP104" t="str">
        <f>IF(OR(Calc_오픈정렬!$F104="",Calc_오픈정렬!AP104=""),"",Calc_오픈정렬!AP104/Calc_오픈정렬!$F104*100)</f>
        <v/>
      </c>
      <c r="AQ104" t="str">
        <f>IF(OR(Calc_오픈정렬!$F104="",Calc_오픈정렬!AQ104=""),"",Calc_오픈정렬!AQ104/Calc_오픈정렬!$F104*100)</f>
        <v/>
      </c>
      <c r="AR104" t="str">
        <f>IF(OR(Calc_오픈정렬!$F104="",Calc_오픈정렬!AR104=""),"",Calc_오픈정렬!AR104/Calc_오픈정렬!$F104*100)</f>
        <v/>
      </c>
      <c r="AS104" t="str">
        <f>IF(OR(Calc_오픈정렬!$F104="",Calc_오픈정렬!AS104=""),"",Calc_오픈정렬!AS104/Calc_오픈정렬!$F104*100)</f>
        <v/>
      </c>
      <c r="AT104" t="str">
        <f>IF(OR(Calc_오픈정렬!$F104="",Calc_오픈정렬!AT104=""),"",Calc_오픈정렬!AT104/Calc_오픈정렬!$F104*100)</f>
        <v/>
      </c>
      <c r="AU104" t="str">
        <f>IF(OR(Calc_오픈정렬!$F104="",Calc_오픈정렬!AU104=""),"",Calc_오픈정렬!AU104/Calc_오픈정렬!$F104*100)</f>
        <v/>
      </c>
      <c r="AV104" t="str">
        <f>IF(OR(Calc_오픈정렬!$F104="",Calc_오픈정렬!AV104=""),"",Calc_오픈정렬!AV104/Calc_오픈정렬!$F104*100)</f>
        <v/>
      </c>
      <c r="AW104" t="str">
        <f>IF(OR(Calc_오픈정렬!$F104="",Calc_오픈정렬!AW104=""),"",Calc_오픈정렬!AW104/Calc_오픈정렬!$F104*100)</f>
        <v/>
      </c>
      <c r="AX104" t="str">
        <f>IF(OR(Calc_오픈정렬!$F104="",Calc_오픈정렬!AX104=""),"",Calc_오픈정렬!AX104/Calc_오픈정렬!$F104*100)</f>
        <v/>
      </c>
      <c r="AY104" t="str">
        <f>IF(OR(Calc_오픈정렬!$F104="",Calc_오픈정렬!AY104=""),"",Calc_오픈정렬!AY104/Calc_오픈정렬!$F104*100)</f>
        <v/>
      </c>
      <c r="AZ104" t="str">
        <f>IF(OR(Calc_오픈정렬!$F104="",Calc_오픈정렬!AZ104=""),"",Calc_오픈정렬!AZ104/Calc_오픈정렬!$F104*100)</f>
        <v/>
      </c>
      <c r="BA104" t="str">
        <f>IF(OR(Calc_오픈정렬!$F104="",Calc_오픈정렬!BA104=""),"",Calc_오픈정렬!BA104/Calc_오픈정렬!$F104*100)</f>
        <v/>
      </c>
      <c r="BB104" t="str">
        <f>IF(OR(Calc_오픈정렬!$F104="",Calc_오픈정렬!BB104=""),"",Calc_오픈정렬!BB104/Calc_오픈정렬!$F104*100)</f>
        <v/>
      </c>
      <c r="BC104" t="str">
        <f>IF(OR(Calc_오픈정렬!$F104="",Calc_오픈정렬!BC104=""),"",Calc_오픈정렬!BC104/Calc_오픈정렬!$F104*100)</f>
        <v/>
      </c>
      <c r="BD104" t="str">
        <f>IF(OR(Calc_오픈정렬!$F104="",Calc_오픈정렬!BD104=""),"",Calc_오픈정렬!BD104/Calc_오픈정렬!$F104*100)</f>
        <v/>
      </c>
      <c r="BE104" t="str">
        <f>IF(OR(Calc_오픈정렬!$F104="",Calc_오픈정렬!BE104=""),"",Calc_오픈정렬!BE104/Calc_오픈정렬!$F104*100)</f>
        <v/>
      </c>
      <c r="BF104" t="str">
        <f>IF(OR(Calc_오픈정렬!$F104="",Calc_오픈정렬!BF104=""),"",Calc_오픈정렬!BF104/Calc_오픈정렬!$F104*100)</f>
        <v/>
      </c>
      <c r="BG104" t="str">
        <f>IF(OR(Calc_오픈정렬!$F104="",Calc_오픈정렬!BG104=""),"",Calc_오픈정렬!BG104/Calc_오픈정렬!$F104*100)</f>
        <v/>
      </c>
      <c r="BH104" t="str">
        <f>IF(OR(Calc_오픈정렬!$F104="",Calc_오픈정렬!BH104=""),"",Calc_오픈정렬!BH104/Calc_오픈정렬!$F104*100)</f>
        <v/>
      </c>
      <c r="BI104" t="str">
        <f>IF(OR(Calc_오픈정렬!$F104="",Calc_오픈정렬!BI104=""),"",Calc_오픈정렬!BI104/Calc_오픈정렬!$F104*100)</f>
        <v/>
      </c>
      <c r="BJ104" t="str">
        <f>IF(OR(Calc_오픈정렬!$F104="",Calc_오픈정렬!BJ104=""),"",Calc_오픈정렬!BJ104/Calc_오픈정렬!$F104*100)</f>
        <v/>
      </c>
      <c r="BK104" t="str">
        <f>IF(OR(Calc_오픈정렬!$F104="",Calc_오픈정렬!BK104=""),"",Calc_오픈정렬!BK104/Calc_오픈정렬!$F104*100)</f>
        <v/>
      </c>
      <c r="BL104" t="str">
        <f>IF(OR(Calc_오픈정렬!$F104="",Calc_오픈정렬!BL104=""),"",Calc_오픈정렬!BL104/Calc_오픈정렬!$F104*100)</f>
        <v/>
      </c>
      <c r="BM104" t="str">
        <f>IF(OR(Calc_오픈정렬!$F104="",Calc_오픈정렬!BM104=""),"",Calc_오픈정렬!BM104/Calc_오픈정렬!$F104*100)</f>
        <v/>
      </c>
      <c r="BN104" t="str">
        <f>IF(OR(Calc_오픈정렬!$F104="",Calc_오픈정렬!BN104=""),"",Calc_오픈정렬!BN104/Calc_오픈정렬!$F104*100)</f>
        <v/>
      </c>
    </row>
    <row r="105" spans="1:66" x14ac:dyDescent="0.4">
      <c r="A105" t="str">
        <f>Calc_오픈정렬!A105</f>
        <v>(1094) #숙명여대정문점</v>
      </c>
      <c r="B105" t="str">
        <f>Calc_오픈정렬!B105</f>
        <v>150-1</v>
      </c>
      <c r="C105">
        <f>Calc_오픈정렬!C105</f>
        <v>1</v>
      </c>
      <c r="D105" t="str">
        <f>Calc_오픈정렬!D105</f>
        <v>1</v>
      </c>
      <c r="E105" s="1">
        <f>Calc_오픈정렬!E105</f>
        <v>45261</v>
      </c>
      <c r="F105">
        <f>Calc_오픈정렬!F105</f>
        <v>4274869.6454020981</v>
      </c>
      <c r="G105">
        <f>IF(OR(Calc_오픈정렬!$F105="",Calc_오픈정렬!G105=""),"",Calc_오픈정렬!G105/Calc_오픈정렬!$F105*100)</f>
        <v>74.624292183855701</v>
      </c>
      <c r="H105">
        <f>IF(OR(Calc_오픈정렬!$F105="",Calc_오픈정렬!H105=""),"",Calc_오픈정렬!H105/Calc_오픈정렬!$F105*100)</f>
        <v>76.081337614281324</v>
      </c>
      <c r="I105">
        <f>IF(OR(Calc_오픈정렬!$F105="",Calc_오픈정렬!I105=""),"",Calc_오픈정렬!I105/Calc_오픈정렬!$F105*100)</f>
        <v>79.902196247857589</v>
      </c>
      <c r="J105">
        <f>IF(OR(Calc_오픈정렬!$F105="",Calc_오픈정렬!J105=""),"",Calc_오픈정렬!J105/Calc_오픈정렬!$F105*100)</f>
        <v>94.456391046374435</v>
      </c>
      <c r="K105">
        <f>IF(OR(Calc_오픈정렬!$F105="",Calc_오픈정렬!K105=""),"",Calc_오픈정렬!K105/Calc_오픈정렬!$F105*100)</f>
        <v>104.24179425830586</v>
      </c>
      <c r="L105">
        <f>IF(OR(Calc_오픈정렬!$F105="",Calc_오픈정렬!L105=""),"",Calc_오픈정렬!L105/Calc_오픈정렬!$F105*100)</f>
        <v>90.656477917250328</v>
      </c>
      <c r="M105">
        <f>IF(OR(Calc_오픈정렬!$F105="",Calc_오픈정렬!M105=""),"",Calc_오픈정렬!M105/Calc_오픈정렬!$F105*100)</f>
        <v>103.81410942152289</v>
      </c>
      <c r="N105">
        <f>IF(OR(Calc_오픈정렬!$F105="",Calc_오픈정렬!N105=""),"",Calc_오픈정렬!N105/Calc_오픈정렬!$F105*100)</f>
        <v>104.81944536252981</v>
      </c>
      <c r="O105">
        <f>IF(OR(Calc_오픈정렬!$F105="",Calc_오픈정렬!O105=""),"",Calc_오픈정렬!O105/Calc_오픈정렬!$F105*100)</f>
        <v>102.01178199401666</v>
      </c>
      <c r="P105">
        <f>IF(OR(Calc_오픈정렬!$F105="",Calc_오픈정렬!P105=""),"",Calc_오픈정렬!P105/Calc_오픈정렬!$F105*100)</f>
        <v>104.26847958106184</v>
      </c>
      <c r="Q105">
        <f>IF(OR(Calc_오픈정렬!$F105="",Calc_오픈정렬!Q105=""),"",Calc_오픈정렬!Q105/Calc_오픈정렬!$F105*100)</f>
        <v>104.42279364627431</v>
      </c>
      <c r="R105">
        <f>IF(OR(Calc_오픈정렬!$F105="",Calc_오픈정렬!R105=""),"",Calc_오픈정렬!R105/Calc_오픈정렬!$F105*100)</f>
        <v>102.88822944674945</v>
      </c>
      <c r="S105">
        <f>IF(OR(Calc_오픈정렬!$F105="",Calc_오픈정렬!S105=""),"",Calc_오픈정렬!S105/Calc_오픈정렬!$F105*100)</f>
        <v>112.35366132195799</v>
      </c>
      <c r="T105">
        <f>IF(OR(Calc_오픈정렬!$F105="",Calc_오픈정렬!T105=""),"",Calc_오픈정렬!T105/Calc_오픈정렬!$F105*100)</f>
        <v>111.25172286719329</v>
      </c>
      <c r="U105">
        <f>IF(OR(Calc_오픈정렬!$F105="",Calc_오픈정렬!U105=""),"",Calc_오픈정렬!U105/Calc_오픈정렬!$F105*100)</f>
        <v>119.49236445365305</v>
      </c>
      <c r="V105">
        <f>IF(OR(Calc_오픈정렬!$F105="",Calc_오픈정렬!V105=""),"",Calc_오픈정렬!V105/Calc_오픈정렬!$F105*100)</f>
        <v>113.31647010515893</v>
      </c>
      <c r="W105">
        <f>IF(OR(Calc_오픈정렬!$F105="",Calc_오픈정렬!W105=""),"",Calc_오픈정렬!W105/Calc_오픈정렬!$F105*100)</f>
        <v>116.63160212052782</v>
      </c>
      <c r="X105">
        <f>IF(OR(Calc_오픈정렬!$F105="",Calc_오픈정렬!X105=""),"",Calc_오픈정렬!X105/Calc_오픈정렬!$F105*100)</f>
        <v>120.82897778947037</v>
      </c>
      <c r="Y105">
        <f>IF(OR(Calc_오픈정렬!$F105="",Calc_오픈정렬!Y105=""),"",Calc_오픈정렬!Y105/Calc_오픈정렬!$F105*100)</f>
        <v>116.07471164174932</v>
      </c>
      <c r="Z105">
        <f>IF(OR(Calc_오픈정렬!$F105="",Calc_오픈정렬!Z105=""),"",Calc_오픈정렬!Z105/Calc_오픈정렬!$F105*100)</f>
        <v>111.50432362510665</v>
      </c>
      <c r="AA105">
        <f>IF(OR(Calc_오픈정렬!$F105="",Calc_오픈정렬!AA105=""),"",Calc_오픈정렬!AA105/Calc_오픈정렬!$F105*100)</f>
        <v>106.98140807062752</v>
      </c>
      <c r="AB105">
        <f>IF(OR(Calc_오픈정렬!$F105="",Calc_오픈정렬!AB105=""),"",Calc_오픈정렬!AB105/Calc_오픈정렬!$F105*100)</f>
        <v>112.58757556780321</v>
      </c>
      <c r="AC105">
        <f>IF(OR(Calc_오픈정렬!$F105="",Calc_오픈정렬!AC105=""),"",Calc_오픈정렬!AC105/Calc_오픈정렬!$F105*100)</f>
        <v>122.1349661824805</v>
      </c>
      <c r="AD105">
        <f>IF(OR(Calc_오픈정렬!$F105="",Calc_오픈정렬!AD105=""),"",Calc_오픈정렬!AD105/Calc_오픈정렬!$F105*100)</f>
        <v>109.27804770670659</v>
      </c>
      <c r="AE105">
        <f>IF(OR(Calc_오픈정렬!$F105="",Calc_오픈정렬!AE105=""),"",Calc_오픈정렬!AE105/Calc_오픈정렬!$F105*100)</f>
        <v>104.83685501421208</v>
      </c>
      <c r="AF105">
        <f>IF(OR(Calc_오픈정렬!$F105="",Calc_오픈정렬!AF105=""),"",Calc_오픈정렬!AF105/Calc_오픈정렬!$F105*100)</f>
        <v>118.63615979044997</v>
      </c>
      <c r="AG105">
        <f>IF(OR(Calc_오픈정렬!$F105="",Calc_오픈정렬!AG105=""),"",Calc_오픈정렬!AG105/Calc_오픈정렬!$F105*100)</f>
        <v>112.47303381972145</v>
      </c>
      <c r="AH105">
        <f>IF(OR(Calc_오픈정렬!$F105="",Calc_오픈정렬!AH105=""),"",Calc_오픈정렬!AH105/Calc_오픈정렬!$F105*100)</f>
        <v>106.64067039644922</v>
      </c>
      <c r="AI105">
        <f>IF(OR(Calc_오픈정렬!$F105="",Calc_오픈정렬!AI105=""),"",Calc_오픈정렬!AI105/Calc_오픈정렬!$F105*100)</f>
        <v>117.3753154214082</v>
      </c>
      <c r="AJ105">
        <f>IF(OR(Calc_오픈정렬!$F105="",Calc_오픈정렬!AJ105=""),"",Calc_오픈정렬!AJ105/Calc_오픈정렬!$F105*100)</f>
        <v>113.80524536810984</v>
      </c>
      <c r="AK105" t="str">
        <f>IF(OR(Calc_오픈정렬!$F105="",Calc_오픈정렬!AK105=""),"",Calc_오픈정렬!AK105/Calc_오픈정렬!$F105*100)</f>
        <v/>
      </c>
      <c r="AL105" t="str">
        <f>IF(OR(Calc_오픈정렬!$F105="",Calc_오픈정렬!AL105=""),"",Calc_오픈정렬!AL105/Calc_오픈정렬!$F105*100)</f>
        <v/>
      </c>
      <c r="AM105" t="str">
        <f>IF(OR(Calc_오픈정렬!$F105="",Calc_오픈정렬!AM105=""),"",Calc_오픈정렬!AM105/Calc_오픈정렬!$F105*100)</f>
        <v/>
      </c>
      <c r="AN105" t="str">
        <f>IF(OR(Calc_오픈정렬!$F105="",Calc_오픈정렬!AN105=""),"",Calc_오픈정렬!AN105/Calc_오픈정렬!$F105*100)</f>
        <v/>
      </c>
      <c r="AO105" t="str">
        <f>IF(OR(Calc_오픈정렬!$F105="",Calc_오픈정렬!AO105=""),"",Calc_오픈정렬!AO105/Calc_오픈정렬!$F105*100)</f>
        <v/>
      </c>
      <c r="AP105" t="str">
        <f>IF(OR(Calc_오픈정렬!$F105="",Calc_오픈정렬!AP105=""),"",Calc_오픈정렬!AP105/Calc_오픈정렬!$F105*100)</f>
        <v/>
      </c>
      <c r="AQ105" t="str">
        <f>IF(OR(Calc_오픈정렬!$F105="",Calc_오픈정렬!AQ105=""),"",Calc_오픈정렬!AQ105/Calc_오픈정렬!$F105*100)</f>
        <v/>
      </c>
      <c r="AR105" t="str">
        <f>IF(OR(Calc_오픈정렬!$F105="",Calc_오픈정렬!AR105=""),"",Calc_오픈정렬!AR105/Calc_오픈정렬!$F105*100)</f>
        <v/>
      </c>
      <c r="AS105" t="str">
        <f>IF(OR(Calc_오픈정렬!$F105="",Calc_오픈정렬!AS105=""),"",Calc_오픈정렬!AS105/Calc_오픈정렬!$F105*100)</f>
        <v/>
      </c>
      <c r="AT105" t="str">
        <f>IF(OR(Calc_오픈정렬!$F105="",Calc_오픈정렬!AT105=""),"",Calc_오픈정렬!AT105/Calc_오픈정렬!$F105*100)</f>
        <v/>
      </c>
      <c r="AU105" t="str">
        <f>IF(OR(Calc_오픈정렬!$F105="",Calc_오픈정렬!AU105=""),"",Calc_오픈정렬!AU105/Calc_오픈정렬!$F105*100)</f>
        <v/>
      </c>
      <c r="AV105" t="str">
        <f>IF(OR(Calc_오픈정렬!$F105="",Calc_오픈정렬!AV105=""),"",Calc_오픈정렬!AV105/Calc_오픈정렬!$F105*100)</f>
        <v/>
      </c>
      <c r="AW105" t="str">
        <f>IF(OR(Calc_오픈정렬!$F105="",Calc_오픈정렬!AW105=""),"",Calc_오픈정렬!AW105/Calc_오픈정렬!$F105*100)</f>
        <v/>
      </c>
      <c r="AX105" t="str">
        <f>IF(OR(Calc_오픈정렬!$F105="",Calc_오픈정렬!AX105=""),"",Calc_오픈정렬!AX105/Calc_오픈정렬!$F105*100)</f>
        <v/>
      </c>
      <c r="AY105" t="str">
        <f>IF(OR(Calc_오픈정렬!$F105="",Calc_오픈정렬!AY105=""),"",Calc_오픈정렬!AY105/Calc_오픈정렬!$F105*100)</f>
        <v/>
      </c>
      <c r="AZ105" t="str">
        <f>IF(OR(Calc_오픈정렬!$F105="",Calc_오픈정렬!AZ105=""),"",Calc_오픈정렬!AZ105/Calc_오픈정렬!$F105*100)</f>
        <v/>
      </c>
      <c r="BA105" t="str">
        <f>IF(OR(Calc_오픈정렬!$F105="",Calc_오픈정렬!BA105=""),"",Calc_오픈정렬!BA105/Calc_오픈정렬!$F105*100)</f>
        <v/>
      </c>
      <c r="BB105" t="str">
        <f>IF(OR(Calc_오픈정렬!$F105="",Calc_오픈정렬!BB105=""),"",Calc_오픈정렬!BB105/Calc_오픈정렬!$F105*100)</f>
        <v/>
      </c>
      <c r="BC105" t="str">
        <f>IF(OR(Calc_오픈정렬!$F105="",Calc_오픈정렬!BC105=""),"",Calc_오픈정렬!BC105/Calc_오픈정렬!$F105*100)</f>
        <v/>
      </c>
      <c r="BD105" t="str">
        <f>IF(OR(Calc_오픈정렬!$F105="",Calc_오픈정렬!BD105=""),"",Calc_오픈정렬!BD105/Calc_오픈정렬!$F105*100)</f>
        <v/>
      </c>
      <c r="BE105" t="str">
        <f>IF(OR(Calc_오픈정렬!$F105="",Calc_오픈정렬!BE105=""),"",Calc_오픈정렬!BE105/Calc_오픈정렬!$F105*100)</f>
        <v/>
      </c>
      <c r="BF105" t="str">
        <f>IF(OR(Calc_오픈정렬!$F105="",Calc_오픈정렬!BF105=""),"",Calc_오픈정렬!BF105/Calc_오픈정렬!$F105*100)</f>
        <v/>
      </c>
      <c r="BG105" t="str">
        <f>IF(OR(Calc_오픈정렬!$F105="",Calc_오픈정렬!BG105=""),"",Calc_오픈정렬!BG105/Calc_오픈정렬!$F105*100)</f>
        <v/>
      </c>
      <c r="BH105" t="str">
        <f>IF(OR(Calc_오픈정렬!$F105="",Calc_오픈정렬!BH105=""),"",Calc_오픈정렬!BH105/Calc_오픈정렬!$F105*100)</f>
        <v/>
      </c>
      <c r="BI105" t="str">
        <f>IF(OR(Calc_오픈정렬!$F105="",Calc_오픈정렬!BI105=""),"",Calc_오픈정렬!BI105/Calc_오픈정렬!$F105*100)</f>
        <v/>
      </c>
      <c r="BJ105" t="str">
        <f>IF(OR(Calc_오픈정렬!$F105="",Calc_오픈정렬!BJ105=""),"",Calc_오픈정렬!BJ105/Calc_오픈정렬!$F105*100)</f>
        <v/>
      </c>
      <c r="BK105" t="str">
        <f>IF(OR(Calc_오픈정렬!$F105="",Calc_오픈정렬!BK105=""),"",Calc_오픈정렬!BK105/Calc_오픈정렬!$F105*100)</f>
        <v/>
      </c>
      <c r="BL105" t="str">
        <f>IF(OR(Calc_오픈정렬!$F105="",Calc_오픈정렬!BL105=""),"",Calc_오픈정렬!BL105/Calc_오픈정렬!$F105*100)</f>
        <v/>
      </c>
      <c r="BM105" t="str">
        <f>IF(OR(Calc_오픈정렬!$F105="",Calc_오픈정렬!BM105=""),"",Calc_오픈정렬!BM105/Calc_오픈정렬!$F105*100)</f>
        <v/>
      </c>
      <c r="BN105" t="str">
        <f>IF(OR(Calc_오픈정렬!$F105="",Calc_오픈정렬!BN105=""),"",Calc_오픈정렬!BN105/Calc_오픈정렬!$F105*100)</f>
        <v/>
      </c>
    </row>
    <row r="106" spans="1:66" x14ac:dyDescent="0.4">
      <c r="A106" t="str">
        <f>Calc_오픈정렬!A106</f>
        <v>(1095) #상도역점</v>
      </c>
      <c r="B106" t="str">
        <f>Calc_오픈정렬!B106</f>
        <v>150-2</v>
      </c>
      <c r="C106">
        <f>Calc_오픈정렬!C106</f>
        <v>2</v>
      </c>
      <c r="D106" t="str">
        <f>Calc_오픈정렬!D106</f>
        <v>2</v>
      </c>
      <c r="E106" s="1">
        <f>Calc_오픈정렬!E106</f>
        <v>45261</v>
      </c>
      <c r="F106">
        <f>Calc_오픈정렬!F106</f>
        <v>4436251.6146927839</v>
      </c>
      <c r="G106">
        <f>IF(OR(Calc_오픈정렬!$F106="",Calc_오픈정렬!G106=""),"",Calc_오픈정렬!G106/Calc_오픈정렬!$F106*100)</f>
        <v>57.546797333357155</v>
      </c>
      <c r="H106">
        <f>IF(OR(Calc_오픈정렬!$F106="",Calc_오픈정렬!H106=""),"",Calc_오픈정렬!H106/Calc_오픈정렬!$F106*100)</f>
        <v>67.671719869582134</v>
      </c>
      <c r="I106">
        <f>IF(OR(Calc_오픈정렬!$F106="",Calc_오픈정렬!I106=""),"",Calc_오픈정렬!I106/Calc_오픈정렬!$F106*100)</f>
        <v>88.29787769618504</v>
      </c>
      <c r="J106">
        <f>IF(OR(Calc_오픈정렬!$F106="",Calc_오픈정렬!J106=""),"",Calc_오픈정렬!J106/Calc_오픈정렬!$F106*100)</f>
        <v>99.836764916804981</v>
      </c>
      <c r="K106">
        <f>IF(OR(Calc_오픈정렬!$F106="",Calc_오픈정렬!K106=""),"",Calc_오픈정렬!K106/Calc_오픈정렬!$F106*100)</f>
        <v>101.39970240991789</v>
      </c>
      <c r="L106">
        <f>IF(OR(Calc_오픈정렬!$F106="",Calc_오픈정렬!L106=""),"",Calc_오픈정렬!L106/Calc_오픈정렬!$F106*100)</f>
        <v>94.926056080300725</v>
      </c>
      <c r="M106">
        <f>IF(OR(Calc_오픈정렬!$F106="",Calc_오픈정렬!M106=""),"",Calc_오픈정렬!M106/Calc_오픈정렬!$F106*100)</f>
        <v>104.48184574822025</v>
      </c>
      <c r="N106">
        <f>IF(OR(Calc_오픈정렬!$F106="",Calc_오픈정렬!N106=""),"",Calc_오픈정렬!N106/Calc_오픈정렬!$F106*100)</f>
        <v>96.550067059751115</v>
      </c>
      <c r="O106">
        <f>IF(OR(Calc_오픈정렬!$F106="",Calc_오픈정렬!O106=""),"",Calc_오픈정렬!O106/Calc_오픈정렬!$F106*100)</f>
        <v>102.80556378500505</v>
      </c>
      <c r="P106">
        <f>IF(OR(Calc_오픈정렬!$F106="",Calc_오픈정렬!P106=""),"",Calc_오픈정렬!P106/Calc_오픈정렬!$F106*100)</f>
        <v>112.22801805940448</v>
      </c>
      <c r="Q106">
        <f>IF(OR(Calc_오픈정렬!$F106="",Calc_오픈정렬!Q106=""),"",Calc_오픈정렬!Q106/Calc_오픈정렬!$F106*100)</f>
        <v>105.64509759538687</v>
      </c>
      <c r="R106">
        <f>IF(OR(Calc_오픈정렬!$F106="",Calc_오픈정렬!R106=""),"",Calc_오픈정렬!R106/Calc_오픈정렬!$F106*100)</f>
        <v>114.10565367069856</v>
      </c>
      <c r="S106">
        <f>IF(OR(Calc_오픈정렬!$F106="",Calc_오픈정렬!S106=""),"",Calc_오픈정렬!S106/Calc_오픈정렬!$F106*100)</f>
        <v>111.51859821223378</v>
      </c>
      <c r="T106">
        <f>IF(OR(Calc_오픈정렬!$F106="",Calc_오픈정렬!T106=""),"",Calc_오픈정렬!T106/Calc_오픈정렬!$F106*100)</f>
        <v>108.07278731255087</v>
      </c>
      <c r="U106">
        <f>IF(OR(Calc_오픈정렬!$F106="",Calc_오픈정렬!U106=""),"",Calc_오픈정렬!U106/Calc_오픈정렬!$F106*100)</f>
        <v>113.18757491251188</v>
      </c>
      <c r="V106">
        <f>IF(OR(Calc_오픈정렬!$F106="",Calc_오픈정렬!V106=""),"",Calc_오픈정렬!V106/Calc_오픈정렬!$F106*100)</f>
        <v>137.97258392189858</v>
      </c>
      <c r="W106">
        <f>IF(OR(Calc_오픈정렬!$F106="",Calc_오픈정렬!W106=""),"",Calc_오픈정렬!W106/Calc_오픈정렬!$F106*100)</f>
        <v>122.74131592618716</v>
      </c>
      <c r="X106">
        <f>IF(OR(Calc_오픈정렬!$F106="",Calc_오픈정렬!X106=""),"",Calc_오픈정렬!X106/Calc_오픈정렬!$F106*100)</f>
        <v>137.08149394850767</v>
      </c>
      <c r="Y106">
        <f>IF(OR(Calc_오픈정렬!$F106="",Calc_오픈정렬!Y106=""),"",Calc_오픈정렬!Y106/Calc_오픈정렬!$F106*100)</f>
        <v>118.83492732349343</v>
      </c>
      <c r="Z106">
        <f>IF(OR(Calc_오픈정렬!$F106="",Calc_오픈정렬!Z106=""),"",Calc_오픈정렬!Z106/Calc_오픈정렬!$F106*100)</f>
        <v>117.11896104095665</v>
      </c>
      <c r="AA106">
        <f>IF(OR(Calc_오픈정렬!$F106="",Calc_오픈정렬!AA106=""),"",Calc_오픈정렬!AA106/Calc_오픈정렬!$F106*100)</f>
        <v>127.45111899997761</v>
      </c>
      <c r="AB106">
        <f>IF(OR(Calc_오픈정렬!$F106="",Calc_오픈정렬!AB106=""),"",Calc_오픈정렬!AB106/Calc_오픈정렬!$F106*100)</f>
        <v>129.90647439242542</v>
      </c>
      <c r="AC106">
        <f>IF(OR(Calc_오픈정렬!$F106="",Calc_오픈정렬!AC106=""),"",Calc_오픈정렬!AC106/Calc_오픈정렬!$F106*100)</f>
        <v>131.27737456251785</v>
      </c>
      <c r="AD106">
        <f>IF(OR(Calc_오픈정렬!$F106="",Calc_오픈정렬!AD106=""),"",Calc_오픈정렬!AD106/Calc_오픈정렬!$F106*100)</f>
        <v>134.45210170777167</v>
      </c>
      <c r="AE106">
        <f>IF(OR(Calc_오픈정렬!$F106="",Calc_오픈정렬!AE106=""),"",Calc_오픈정렬!AE106/Calc_오픈정렬!$F106*100)</f>
        <v>123.83431702076155</v>
      </c>
      <c r="AF106">
        <f>IF(OR(Calc_오픈정렬!$F106="",Calc_오픈정렬!AF106=""),"",Calc_오픈정렬!AF106/Calc_오픈정렬!$F106*100)</f>
        <v>152.53691651107562</v>
      </c>
      <c r="AG106">
        <f>IF(OR(Calc_오픈정렬!$F106="",Calc_오픈정렬!AG106=""),"",Calc_오픈정렬!AG106/Calc_오픈정렬!$F106*100)</f>
        <v>134.50299522059734</v>
      </c>
      <c r="AH106">
        <f>IF(OR(Calc_오픈정렬!$F106="",Calc_오픈정렬!AH106=""),"",Calc_오픈정렬!AH106/Calc_오픈정렬!$F106*100)</f>
        <v>135.73586402867122</v>
      </c>
      <c r="AI106">
        <f>IF(OR(Calc_오픈정렬!$F106="",Calc_오픈정렬!AI106=""),"",Calc_오픈정렬!AI106/Calc_오픈정렬!$F106*100)</f>
        <v>136.72409872758246</v>
      </c>
      <c r="AJ106">
        <f>IF(OR(Calc_오픈정렬!$F106="",Calc_오픈정렬!AJ106=""),"",Calc_오픈정렬!AJ106/Calc_오픈정렬!$F106*100)</f>
        <v>159.7636092829614</v>
      </c>
      <c r="AK106" t="str">
        <f>IF(OR(Calc_오픈정렬!$F106="",Calc_오픈정렬!AK106=""),"",Calc_오픈정렬!AK106/Calc_오픈정렬!$F106*100)</f>
        <v/>
      </c>
      <c r="AL106" t="str">
        <f>IF(OR(Calc_오픈정렬!$F106="",Calc_오픈정렬!AL106=""),"",Calc_오픈정렬!AL106/Calc_오픈정렬!$F106*100)</f>
        <v/>
      </c>
      <c r="AM106" t="str">
        <f>IF(OR(Calc_오픈정렬!$F106="",Calc_오픈정렬!AM106=""),"",Calc_오픈정렬!AM106/Calc_오픈정렬!$F106*100)</f>
        <v/>
      </c>
      <c r="AN106" t="str">
        <f>IF(OR(Calc_오픈정렬!$F106="",Calc_오픈정렬!AN106=""),"",Calc_오픈정렬!AN106/Calc_오픈정렬!$F106*100)</f>
        <v/>
      </c>
      <c r="AO106" t="str">
        <f>IF(OR(Calc_오픈정렬!$F106="",Calc_오픈정렬!AO106=""),"",Calc_오픈정렬!AO106/Calc_오픈정렬!$F106*100)</f>
        <v/>
      </c>
      <c r="AP106" t="str">
        <f>IF(OR(Calc_오픈정렬!$F106="",Calc_오픈정렬!AP106=""),"",Calc_오픈정렬!AP106/Calc_오픈정렬!$F106*100)</f>
        <v/>
      </c>
      <c r="AQ106" t="str">
        <f>IF(OR(Calc_오픈정렬!$F106="",Calc_오픈정렬!AQ106=""),"",Calc_오픈정렬!AQ106/Calc_오픈정렬!$F106*100)</f>
        <v/>
      </c>
      <c r="AR106" t="str">
        <f>IF(OR(Calc_오픈정렬!$F106="",Calc_오픈정렬!AR106=""),"",Calc_오픈정렬!AR106/Calc_오픈정렬!$F106*100)</f>
        <v/>
      </c>
      <c r="AS106" t="str">
        <f>IF(OR(Calc_오픈정렬!$F106="",Calc_오픈정렬!AS106=""),"",Calc_오픈정렬!AS106/Calc_오픈정렬!$F106*100)</f>
        <v/>
      </c>
      <c r="AT106" t="str">
        <f>IF(OR(Calc_오픈정렬!$F106="",Calc_오픈정렬!AT106=""),"",Calc_오픈정렬!AT106/Calc_오픈정렬!$F106*100)</f>
        <v/>
      </c>
      <c r="AU106" t="str">
        <f>IF(OR(Calc_오픈정렬!$F106="",Calc_오픈정렬!AU106=""),"",Calc_오픈정렬!AU106/Calc_오픈정렬!$F106*100)</f>
        <v/>
      </c>
      <c r="AV106" t="str">
        <f>IF(OR(Calc_오픈정렬!$F106="",Calc_오픈정렬!AV106=""),"",Calc_오픈정렬!AV106/Calc_오픈정렬!$F106*100)</f>
        <v/>
      </c>
      <c r="AW106" t="str">
        <f>IF(OR(Calc_오픈정렬!$F106="",Calc_오픈정렬!AW106=""),"",Calc_오픈정렬!AW106/Calc_오픈정렬!$F106*100)</f>
        <v/>
      </c>
      <c r="AX106" t="str">
        <f>IF(OR(Calc_오픈정렬!$F106="",Calc_오픈정렬!AX106=""),"",Calc_오픈정렬!AX106/Calc_오픈정렬!$F106*100)</f>
        <v/>
      </c>
      <c r="AY106" t="str">
        <f>IF(OR(Calc_오픈정렬!$F106="",Calc_오픈정렬!AY106=""),"",Calc_오픈정렬!AY106/Calc_오픈정렬!$F106*100)</f>
        <v/>
      </c>
      <c r="AZ106" t="str">
        <f>IF(OR(Calc_오픈정렬!$F106="",Calc_오픈정렬!AZ106=""),"",Calc_오픈정렬!AZ106/Calc_오픈정렬!$F106*100)</f>
        <v/>
      </c>
      <c r="BA106" t="str">
        <f>IF(OR(Calc_오픈정렬!$F106="",Calc_오픈정렬!BA106=""),"",Calc_오픈정렬!BA106/Calc_오픈정렬!$F106*100)</f>
        <v/>
      </c>
      <c r="BB106" t="str">
        <f>IF(OR(Calc_오픈정렬!$F106="",Calc_오픈정렬!BB106=""),"",Calc_오픈정렬!BB106/Calc_오픈정렬!$F106*100)</f>
        <v/>
      </c>
      <c r="BC106" t="str">
        <f>IF(OR(Calc_오픈정렬!$F106="",Calc_오픈정렬!BC106=""),"",Calc_오픈정렬!BC106/Calc_오픈정렬!$F106*100)</f>
        <v/>
      </c>
      <c r="BD106" t="str">
        <f>IF(OR(Calc_오픈정렬!$F106="",Calc_오픈정렬!BD106=""),"",Calc_오픈정렬!BD106/Calc_오픈정렬!$F106*100)</f>
        <v/>
      </c>
      <c r="BE106" t="str">
        <f>IF(OR(Calc_오픈정렬!$F106="",Calc_오픈정렬!BE106=""),"",Calc_오픈정렬!BE106/Calc_오픈정렬!$F106*100)</f>
        <v/>
      </c>
      <c r="BF106" t="str">
        <f>IF(OR(Calc_오픈정렬!$F106="",Calc_오픈정렬!BF106=""),"",Calc_오픈정렬!BF106/Calc_오픈정렬!$F106*100)</f>
        <v/>
      </c>
      <c r="BG106" t="str">
        <f>IF(OR(Calc_오픈정렬!$F106="",Calc_오픈정렬!BG106=""),"",Calc_오픈정렬!BG106/Calc_오픈정렬!$F106*100)</f>
        <v/>
      </c>
      <c r="BH106" t="str">
        <f>IF(OR(Calc_오픈정렬!$F106="",Calc_오픈정렬!BH106=""),"",Calc_오픈정렬!BH106/Calc_오픈정렬!$F106*100)</f>
        <v/>
      </c>
      <c r="BI106" t="str">
        <f>IF(OR(Calc_오픈정렬!$F106="",Calc_오픈정렬!BI106=""),"",Calc_오픈정렬!BI106/Calc_오픈정렬!$F106*100)</f>
        <v/>
      </c>
      <c r="BJ106" t="str">
        <f>IF(OR(Calc_오픈정렬!$F106="",Calc_오픈정렬!BJ106=""),"",Calc_오픈정렬!BJ106/Calc_오픈정렬!$F106*100)</f>
        <v/>
      </c>
      <c r="BK106" t="str">
        <f>IF(OR(Calc_오픈정렬!$F106="",Calc_오픈정렬!BK106=""),"",Calc_오픈정렬!BK106/Calc_오픈정렬!$F106*100)</f>
        <v/>
      </c>
      <c r="BL106" t="str">
        <f>IF(OR(Calc_오픈정렬!$F106="",Calc_오픈정렬!BL106=""),"",Calc_오픈정렬!BL106/Calc_오픈정렬!$F106*100)</f>
        <v/>
      </c>
      <c r="BM106" t="str">
        <f>IF(OR(Calc_오픈정렬!$F106="",Calc_오픈정렬!BM106=""),"",Calc_오픈정렬!BM106/Calc_오픈정렬!$F106*100)</f>
        <v/>
      </c>
      <c r="BN106" t="str">
        <f>IF(OR(Calc_오픈정렬!$F106="",Calc_오픈정렬!BN106=""),"",Calc_오픈정렬!BN106/Calc_오픈정렬!$F106*100)</f>
        <v/>
      </c>
    </row>
    <row r="107" spans="1:66" x14ac:dyDescent="0.4">
      <c r="A107" t="str">
        <f>Calc_오픈정렬!A107</f>
        <v>(1096) #논현역점</v>
      </c>
      <c r="B107" t="str">
        <f>Calc_오픈정렬!B107</f>
        <v>150-2</v>
      </c>
      <c r="C107">
        <f>Calc_오픈정렬!C107</f>
        <v>2</v>
      </c>
      <c r="D107" t="str">
        <f>Calc_오픈정렬!D107</f>
        <v>2</v>
      </c>
      <c r="E107" s="1">
        <f>Calc_오픈정렬!E107</f>
        <v>45292</v>
      </c>
      <c r="F107">
        <f>Calc_오픈정렬!F107</f>
        <v>9842940.2337399367</v>
      </c>
      <c r="G107">
        <f>IF(OR(Calc_오픈정렬!$F107="",Calc_오픈정렬!G107=""),"",Calc_오픈정렬!G107/Calc_오픈정렬!$F107*100)</f>
        <v>50.478793319142291</v>
      </c>
      <c r="H107">
        <f>IF(OR(Calc_오픈정렬!$F107="",Calc_오픈정렬!H107=""),"",Calc_오픈정렬!H107/Calc_오픈정렬!$F107*100)</f>
        <v>95.164219619236206</v>
      </c>
      <c r="I107">
        <f>IF(OR(Calc_오픈정렬!$F107="",Calc_오픈정렬!I107=""),"",Calc_오픈정렬!I107/Calc_오픈정렬!$F107*100)</f>
        <v>92.406928356824835</v>
      </c>
      <c r="J107">
        <f>IF(OR(Calc_오픈정렬!$F107="",Calc_오픈정렬!J107=""),"",Calc_오픈정렬!J107/Calc_오픈정렬!$F107*100)</f>
        <v>99.732493129325306</v>
      </c>
      <c r="K107">
        <f>IF(OR(Calc_오픈정렬!$F107="",Calc_오픈정렬!K107=""),"",Calc_오픈정렬!K107/Calc_오픈정렬!$F107*100)</f>
        <v>102.3415101089133</v>
      </c>
      <c r="L107">
        <f>IF(OR(Calc_오픈정렬!$F107="",Calc_오픈정렬!L107=""),"",Calc_오픈정렬!L107/Calc_오픈정렬!$F107*100)</f>
        <v>93.913974315365067</v>
      </c>
      <c r="M107">
        <f>IF(OR(Calc_오픈정렬!$F107="",Calc_오픈정렬!M107=""),"",Calc_오픈정렬!M107/Calc_오픈정렬!$F107*100)</f>
        <v>105.18702717352626</v>
      </c>
      <c r="N107">
        <f>IF(OR(Calc_오픈정렬!$F107="",Calc_오픈정렬!N107=""),"",Calc_오픈정렬!N107/Calc_오픈정렬!$F107*100)</f>
        <v>102.71956813462617</v>
      </c>
      <c r="O107">
        <f>IF(OR(Calc_오픈정렬!$F107="",Calc_오픈정렬!O107=""),"",Calc_오픈정렬!O107/Calc_오픈정렬!$F107*100)</f>
        <v>96.105427138243925</v>
      </c>
      <c r="P107">
        <f>IF(OR(Calc_오픈정렬!$F107="",Calc_오픈정렬!P107=""),"",Calc_오픈정렬!P107/Calc_오픈정렬!$F107*100)</f>
        <v>82.418608651907846</v>
      </c>
      <c r="Q107">
        <f>IF(OR(Calc_오픈정렬!$F107="",Calc_오픈정렬!Q107=""),"",Calc_오픈정렬!Q107/Calc_오픈정렬!$F107*100)</f>
        <v>93.447988156273809</v>
      </c>
      <c r="R107">
        <f>IF(OR(Calc_오픈정렬!$F107="",Calc_오픈정렬!R107=""),"",Calc_오픈정렬!R107/Calc_오픈정렬!$F107*100)</f>
        <v>56.803182414736867</v>
      </c>
      <c r="S107">
        <f>IF(OR(Calc_오픈정렬!$F107="",Calc_오픈정렬!S107=""),"",Calc_오픈정렬!S107/Calc_오픈정렬!$F107*100)</f>
        <v>69.310810771322153</v>
      </c>
      <c r="T107">
        <f>IF(OR(Calc_오픈정렬!$F107="",Calc_오픈정렬!T107=""),"",Calc_오픈정렬!T107/Calc_오픈정렬!$F107*100)</f>
        <v>56.840588426236764</v>
      </c>
      <c r="U107">
        <f>IF(OR(Calc_오픈정렬!$F107="",Calc_오픈정렬!U107=""),"",Calc_오픈정렬!U107/Calc_오픈정렬!$F107*100)</f>
        <v>66.170231915520134</v>
      </c>
      <c r="V107">
        <f>IF(OR(Calc_오픈정렬!$F107="",Calc_오픈정렬!V107=""),"",Calc_오픈정렬!V107/Calc_오픈정렬!$F107*100)</f>
        <v>73.068083537807254</v>
      </c>
      <c r="W107">
        <f>IF(OR(Calc_오픈정렬!$F107="",Calc_오픈정렬!W107=""),"",Calc_오픈정렬!W107/Calc_오픈정렬!$F107*100)</f>
        <v>78.986273171456617</v>
      </c>
      <c r="X107">
        <f>IF(OR(Calc_오픈정렬!$F107="",Calc_오픈정렬!X107=""),"",Calc_오픈정렬!X107/Calc_오픈정렬!$F107*100)</f>
        <v>59.914587402214067</v>
      </c>
      <c r="Y107">
        <f>IF(OR(Calc_오픈정렬!$F107="",Calc_오픈정렬!Y107=""),"",Calc_오픈정렬!Y107/Calc_오픈정렬!$F107*100)</f>
        <v>61.828569452422123</v>
      </c>
      <c r="Z107">
        <f>IF(OR(Calc_오픈정렬!$F107="",Calc_오픈정렬!Z107=""),"",Calc_오픈정렬!Z107/Calc_오픈정렬!$F107*100)</f>
        <v>56.018618824365241</v>
      </c>
      <c r="AA107">
        <f>IF(OR(Calc_오픈정렬!$F107="",Calc_오픈정렬!AA107=""),"",Calc_오픈정렬!AA107/Calc_오픈정렬!$F107*100)</f>
        <v>49.136263754678247</v>
      </c>
      <c r="AB107">
        <f>IF(OR(Calc_오픈정렬!$F107="",Calc_오픈정렬!AB107=""),"",Calc_오픈정렬!AB107/Calc_오픈정렬!$F107*100)</f>
        <v>53.83865175351221</v>
      </c>
      <c r="AC107">
        <f>IF(OR(Calc_오픈정렬!$F107="",Calc_오픈정렬!AC107=""),"",Calc_오픈정렬!AC107/Calc_오픈정렬!$F107*100)</f>
        <v>68.7770674315082</v>
      </c>
      <c r="AD107">
        <f>IF(OR(Calc_오픈정렬!$F107="",Calc_오픈정렬!AD107=""),"",Calc_오픈정렬!AD107/Calc_오픈정렬!$F107*100)</f>
        <v>62.095048961929237</v>
      </c>
      <c r="AE107">
        <f>IF(OR(Calc_오픈정렬!$F107="",Calc_오픈정렬!AE107=""),"",Calc_오픈정렬!AE107/Calc_오픈정렬!$F107*100)</f>
        <v>75.959762030766584</v>
      </c>
      <c r="AF107">
        <f>IF(OR(Calc_오픈정렬!$F107="",Calc_오픈정렬!AF107=""),"",Calc_오픈정렬!AF107/Calc_오픈정렬!$F107*100)</f>
        <v>75.619707704351796</v>
      </c>
      <c r="AG107">
        <f>IF(OR(Calc_오픈정렬!$F107="",Calc_오픈정렬!AG107=""),"",Calc_오픈정렬!AG107/Calc_오픈정렬!$F107*100)</f>
        <v>73.546747779836863</v>
      </c>
      <c r="AH107">
        <f>IF(OR(Calc_오픈정렬!$F107="",Calc_오픈정렬!AH107=""),"",Calc_오픈정렬!AH107/Calc_오픈정렬!$F107*100)</f>
        <v>72.798986404645348</v>
      </c>
      <c r="AI107">
        <f>IF(OR(Calc_오픈정렬!$F107="",Calc_오픈정렬!AI107=""),"",Calc_오픈정렬!AI107/Calc_오픈정렬!$F107*100)</f>
        <v>73.232555285513769</v>
      </c>
      <c r="AJ107" t="str">
        <f>IF(OR(Calc_오픈정렬!$F107="",Calc_오픈정렬!AJ107=""),"",Calc_오픈정렬!AJ107/Calc_오픈정렬!$F107*100)</f>
        <v/>
      </c>
      <c r="AK107" t="str">
        <f>IF(OR(Calc_오픈정렬!$F107="",Calc_오픈정렬!AK107=""),"",Calc_오픈정렬!AK107/Calc_오픈정렬!$F107*100)</f>
        <v/>
      </c>
      <c r="AL107" t="str">
        <f>IF(OR(Calc_오픈정렬!$F107="",Calc_오픈정렬!AL107=""),"",Calc_오픈정렬!AL107/Calc_오픈정렬!$F107*100)</f>
        <v/>
      </c>
      <c r="AM107" t="str">
        <f>IF(OR(Calc_오픈정렬!$F107="",Calc_오픈정렬!AM107=""),"",Calc_오픈정렬!AM107/Calc_오픈정렬!$F107*100)</f>
        <v/>
      </c>
      <c r="AN107" t="str">
        <f>IF(OR(Calc_오픈정렬!$F107="",Calc_오픈정렬!AN107=""),"",Calc_오픈정렬!AN107/Calc_오픈정렬!$F107*100)</f>
        <v/>
      </c>
      <c r="AO107" t="str">
        <f>IF(OR(Calc_오픈정렬!$F107="",Calc_오픈정렬!AO107=""),"",Calc_오픈정렬!AO107/Calc_오픈정렬!$F107*100)</f>
        <v/>
      </c>
      <c r="AP107" t="str">
        <f>IF(OR(Calc_오픈정렬!$F107="",Calc_오픈정렬!AP107=""),"",Calc_오픈정렬!AP107/Calc_오픈정렬!$F107*100)</f>
        <v/>
      </c>
      <c r="AQ107" t="str">
        <f>IF(OR(Calc_오픈정렬!$F107="",Calc_오픈정렬!AQ107=""),"",Calc_오픈정렬!AQ107/Calc_오픈정렬!$F107*100)</f>
        <v/>
      </c>
      <c r="AR107" t="str">
        <f>IF(OR(Calc_오픈정렬!$F107="",Calc_오픈정렬!AR107=""),"",Calc_오픈정렬!AR107/Calc_오픈정렬!$F107*100)</f>
        <v/>
      </c>
      <c r="AS107" t="str">
        <f>IF(OR(Calc_오픈정렬!$F107="",Calc_오픈정렬!AS107=""),"",Calc_오픈정렬!AS107/Calc_오픈정렬!$F107*100)</f>
        <v/>
      </c>
      <c r="AT107" t="str">
        <f>IF(OR(Calc_오픈정렬!$F107="",Calc_오픈정렬!AT107=""),"",Calc_오픈정렬!AT107/Calc_오픈정렬!$F107*100)</f>
        <v/>
      </c>
      <c r="AU107" t="str">
        <f>IF(OR(Calc_오픈정렬!$F107="",Calc_오픈정렬!AU107=""),"",Calc_오픈정렬!AU107/Calc_오픈정렬!$F107*100)</f>
        <v/>
      </c>
      <c r="AV107" t="str">
        <f>IF(OR(Calc_오픈정렬!$F107="",Calc_오픈정렬!AV107=""),"",Calc_오픈정렬!AV107/Calc_오픈정렬!$F107*100)</f>
        <v/>
      </c>
      <c r="AW107" t="str">
        <f>IF(OR(Calc_오픈정렬!$F107="",Calc_오픈정렬!AW107=""),"",Calc_오픈정렬!AW107/Calc_오픈정렬!$F107*100)</f>
        <v/>
      </c>
      <c r="AX107" t="str">
        <f>IF(OR(Calc_오픈정렬!$F107="",Calc_오픈정렬!AX107=""),"",Calc_오픈정렬!AX107/Calc_오픈정렬!$F107*100)</f>
        <v/>
      </c>
      <c r="AY107" t="str">
        <f>IF(OR(Calc_오픈정렬!$F107="",Calc_오픈정렬!AY107=""),"",Calc_오픈정렬!AY107/Calc_오픈정렬!$F107*100)</f>
        <v/>
      </c>
      <c r="AZ107" t="str">
        <f>IF(OR(Calc_오픈정렬!$F107="",Calc_오픈정렬!AZ107=""),"",Calc_오픈정렬!AZ107/Calc_오픈정렬!$F107*100)</f>
        <v/>
      </c>
      <c r="BA107" t="str">
        <f>IF(OR(Calc_오픈정렬!$F107="",Calc_오픈정렬!BA107=""),"",Calc_오픈정렬!BA107/Calc_오픈정렬!$F107*100)</f>
        <v/>
      </c>
      <c r="BB107" t="str">
        <f>IF(OR(Calc_오픈정렬!$F107="",Calc_오픈정렬!BB107=""),"",Calc_오픈정렬!BB107/Calc_오픈정렬!$F107*100)</f>
        <v/>
      </c>
      <c r="BC107" t="str">
        <f>IF(OR(Calc_오픈정렬!$F107="",Calc_오픈정렬!BC107=""),"",Calc_오픈정렬!BC107/Calc_오픈정렬!$F107*100)</f>
        <v/>
      </c>
      <c r="BD107" t="str">
        <f>IF(OR(Calc_오픈정렬!$F107="",Calc_오픈정렬!BD107=""),"",Calc_오픈정렬!BD107/Calc_오픈정렬!$F107*100)</f>
        <v/>
      </c>
      <c r="BE107" t="str">
        <f>IF(OR(Calc_오픈정렬!$F107="",Calc_오픈정렬!BE107=""),"",Calc_오픈정렬!BE107/Calc_오픈정렬!$F107*100)</f>
        <v/>
      </c>
      <c r="BF107" t="str">
        <f>IF(OR(Calc_오픈정렬!$F107="",Calc_오픈정렬!BF107=""),"",Calc_오픈정렬!BF107/Calc_오픈정렬!$F107*100)</f>
        <v/>
      </c>
      <c r="BG107" t="str">
        <f>IF(OR(Calc_오픈정렬!$F107="",Calc_오픈정렬!BG107=""),"",Calc_오픈정렬!BG107/Calc_오픈정렬!$F107*100)</f>
        <v/>
      </c>
      <c r="BH107" t="str">
        <f>IF(OR(Calc_오픈정렬!$F107="",Calc_오픈정렬!BH107=""),"",Calc_오픈정렬!BH107/Calc_오픈정렬!$F107*100)</f>
        <v/>
      </c>
      <c r="BI107" t="str">
        <f>IF(OR(Calc_오픈정렬!$F107="",Calc_오픈정렬!BI107=""),"",Calc_오픈정렬!BI107/Calc_오픈정렬!$F107*100)</f>
        <v/>
      </c>
      <c r="BJ107" t="str">
        <f>IF(OR(Calc_오픈정렬!$F107="",Calc_오픈정렬!BJ107=""),"",Calc_오픈정렬!BJ107/Calc_오픈정렬!$F107*100)</f>
        <v/>
      </c>
      <c r="BK107" t="str">
        <f>IF(OR(Calc_오픈정렬!$F107="",Calc_오픈정렬!BK107=""),"",Calc_오픈정렬!BK107/Calc_오픈정렬!$F107*100)</f>
        <v/>
      </c>
      <c r="BL107" t="str">
        <f>IF(OR(Calc_오픈정렬!$F107="",Calc_오픈정렬!BL107=""),"",Calc_오픈정렬!BL107/Calc_오픈정렬!$F107*100)</f>
        <v/>
      </c>
      <c r="BM107" t="str">
        <f>IF(OR(Calc_오픈정렬!$F107="",Calc_오픈정렬!BM107=""),"",Calc_오픈정렬!BM107/Calc_오픈정렬!$F107*100)</f>
        <v/>
      </c>
      <c r="BN107" t="str">
        <f>IF(OR(Calc_오픈정렬!$F107="",Calc_오픈정렬!BN107=""),"",Calc_오픈정렬!BN107/Calc_오픈정렬!$F107*100)</f>
        <v/>
      </c>
    </row>
    <row r="108" spans="1:66" x14ac:dyDescent="0.4">
      <c r="A108" t="str">
        <f>Calc_오픈정렬!A108</f>
        <v>(1097) #궁동한빛점</v>
      </c>
      <c r="B108" t="str">
        <f>Calc_오픈정렬!B108</f>
        <v>150-1</v>
      </c>
      <c r="C108">
        <f>Calc_오픈정렬!C108</f>
        <v>1</v>
      </c>
      <c r="D108" t="str">
        <f>Calc_오픈정렬!D108</f>
        <v>1</v>
      </c>
      <c r="E108" s="1">
        <f>Calc_오픈정렬!E108</f>
        <v>45292</v>
      </c>
      <c r="F108" t="str">
        <f>Calc_오픈정렬!F108</f>
        <v/>
      </c>
      <c r="G108" t="str">
        <f>IF(OR(Calc_오픈정렬!$F108="",Calc_오픈정렬!G108=""),"",Calc_오픈정렬!G108/Calc_오픈정렬!$F108*100)</f>
        <v/>
      </c>
      <c r="H108" t="str">
        <f>IF(OR(Calc_오픈정렬!$F108="",Calc_오픈정렬!H108=""),"",Calc_오픈정렬!H108/Calc_오픈정렬!$F108*100)</f>
        <v/>
      </c>
      <c r="I108" t="str">
        <f>IF(OR(Calc_오픈정렬!$F108="",Calc_오픈정렬!I108=""),"",Calc_오픈정렬!I108/Calc_오픈정렬!$F108*100)</f>
        <v/>
      </c>
      <c r="J108" t="str">
        <f>IF(OR(Calc_오픈정렬!$F108="",Calc_오픈정렬!J108=""),"",Calc_오픈정렬!J108/Calc_오픈정렬!$F108*100)</f>
        <v/>
      </c>
      <c r="K108" t="str">
        <f>IF(OR(Calc_오픈정렬!$F108="",Calc_오픈정렬!K108=""),"",Calc_오픈정렬!K108/Calc_오픈정렬!$F108*100)</f>
        <v/>
      </c>
      <c r="L108" t="str">
        <f>IF(OR(Calc_오픈정렬!$F108="",Calc_오픈정렬!L108=""),"",Calc_오픈정렬!L108/Calc_오픈정렬!$F108*100)</f>
        <v/>
      </c>
      <c r="M108" t="str">
        <f>IF(OR(Calc_오픈정렬!$F108="",Calc_오픈정렬!M108=""),"",Calc_오픈정렬!M108/Calc_오픈정렬!$F108*100)</f>
        <v/>
      </c>
      <c r="N108" t="str">
        <f>IF(OR(Calc_오픈정렬!$F108="",Calc_오픈정렬!N108=""),"",Calc_오픈정렬!N108/Calc_오픈정렬!$F108*100)</f>
        <v/>
      </c>
      <c r="O108" t="str">
        <f>IF(OR(Calc_오픈정렬!$F108="",Calc_오픈정렬!O108=""),"",Calc_오픈정렬!O108/Calc_오픈정렬!$F108*100)</f>
        <v/>
      </c>
      <c r="P108" t="str">
        <f>IF(OR(Calc_오픈정렬!$F108="",Calc_오픈정렬!P108=""),"",Calc_오픈정렬!P108/Calc_오픈정렬!$F108*100)</f>
        <v/>
      </c>
      <c r="Q108" t="str">
        <f>IF(OR(Calc_오픈정렬!$F108="",Calc_오픈정렬!Q108=""),"",Calc_오픈정렬!Q108/Calc_오픈정렬!$F108*100)</f>
        <v/>
      </c>
      <c r="R108" t="str">
        <f>IF(OR(Calc_오픈정렬!$F108="",Calc_오픈정렬!R108=""),"",Calc_오픈정렬!R108/Calc_오픈정렬!$F108*100)</f>
        <v/>
      </c>
      <c r="S108" t="str">
        <f>IF(OR(Calc_오픈정렬!$F108="",Calc_오픈정렬!S108=""),"",Calc_오픈정렬!S108/Calc_오픈정렬!$F108*100)</f>
        <v/>
      </c>
      <c r="T108" t="str">
        <f>IF(OR(Calc_오픈정렬!$F108="",Calc_오픈정렬!T108=""),"",Calc_오픈정렬!T108/Calc_오픈정렬!$F108*100)</f>
        <v/>
      </c>
      <c r="U108" t="str">
        <f>IF(OR(Calc_오픈정렬!$F108="",Calc_오픈정렬!U108=""),"",Calc_오픈정렬!U108/Calc_오픈정렬!$F108*100)</f>
        <v/>
      </c>
      <c r="V108" t="str">
        <f>IF(OR(Calc_오픈정렬!$F108="",Calc_오픈정렬!V108=""),"",Calc_오픈정렬!V108/Calc_오픈정렬!$F108*100)</f>
        <v/>
      </c>
      <c r="W108" t="str">
        <f>IF(OR(Calc_오픈정렬!$F108="",Calc_오픈정렬!W108=""),"",Calc_오픈정렬!W108/Calc_오픈정렬!$F108*100)</f>
        <v/>
      </c>
      <c r="X108" t="str">
        <f>IF(OR(Calc_오픈정렬!$F108="",Calc_오픈정렬!X108=""),"",Calc_오픈정렬!X108/Calc_오픈정렬!$F108*100)</f>
        <v/>
      </c>
      <c r="Y108" t="str">
        <f>IF(OR(Calc_오픈정렬!$F108="",Calc_오픈정렬!Y108=""),"",Calc_오픈정렬!Y108/Calc_오픈정렬!$F108*100)</f>
        <v/>
      </c>
      <c r="Z108" t="str">
        <f>IF(OR(Calc_오픈정렬!$F108="",Calc_오픈정렬!Z108=""),"",Calc_오픈정렬!Z108/Calc_오픈정렬!$F108*100)</f>
        <v/>
      </c>
      <c r="AA108" t="str">
        <f>IF(OR(Calc_오픈정렬!$F108="",Calc_오픈정렬!AA108=""),"",Calc_오픈정렬!AA108/Calc_오픈정렬!$F108*100)</f>
        <v/>
      </c>
      <c r="AB108" t="str">
        <f>IF(OR(Calc_오픈정렬!$F108="",Calc_오픈정렬!AB108=""),"",Calc_오픈정렬!AB108/Calc_오픈정렬!$F108*100)</f>
        <v/>
      </c>
      <c r="AC108" t="str">
        <f>IF(OR(Calc_오픈정렬!$F108="",Calc_오픈정렬!AC108=""),"",Calc_오픈정렬!AC108/Calc_오픈정렬!$F108*100)</f>
        <v/>
      </c>
      <c r="AD108" t="str">
        <f>IF(OR(Calc_오픈정렬!$F108="",Calc_오픈정렬!AD108=""),"",Calc_오픈정렬!AD108/Calc_오픈정렬!$F108*100)</f>
        <v/>
      </c>
      <c r="AE108" t="str">
        <f>IF(OR(Calc_오픈정렬!$F108="",Calc_오픈정렬!AE108=""),"",Calc_오픈정렬!AE108/Calc_오픈정렬!$F108*100)</f>
        <v/>
      </c>
      <c r="AF108" t="str">
        <f>IF(OR(Calc_오픈정렬!$F108="",Calc_오픈정렬!AF108=""),"",Calc_오픈정렬!AF108/Calc_오픈정렬!$F108*100)</f>
        <v/>
      </c>
      <c r="AG108" t="str">
        <f>IF(OR(Calc_오픈정렬!$F108="",Calc_오픈정렬!AG108=""),"",Calc_오픈정렬!AG108/Calc_오픈정렬!$F108*100)</f>
        <v/>
      </c>
      <c r="AH108" t="str">
        <f>IF(OR(Calc_오픈정렬!$F108="",Calc_오픈정렬!AH108=""),"",Calc_오픈정렬!AH108/Calc_오픈정렬!$F108*100)</f>
        <v/>
      </c>
      <c r="AI108" t="str">
        <f>IF(OR(Calc_오픈정렬!$F108="",Calc_오픈정렬!AI108=""),"",Calc_오픈정렬!AI108/Calc_오픈정렬!$F108*100)</f>
        <v/>
      </c>
      <c r="AJ108" t="str">
        <f>IF(OR(Calc_오픈정렬!$F108="",Calc_오픈정렬!AJ108=""),"",Calc_오픈정렬!AJ108/Calc_오픈정렬!$F108*100)</f>
        <v/>
      </c>
      <c r="AK108" t="str">
        <f>IF(OR(Calc_오픈정렬!$F108="",Calc_오픈정렬!AK108=""),"",Calc_오픈정렬!AK108/Calc_오픈정렬!$F108*100)</f>
        <v/>
      </c>
      <c r="AL108" t="str">
        <f>IF(OR(Calc_오픈정렬!$F108="",Calc_오픈정렬!AL108=""),"",Calc_오픈정렬!AL108/Calc_오픈정렬!$F108*100)</f>
        <v/>
      </c>
      <c r="AM108" t="str">
        <f>IF(OR(Calc_오픈정렬!$F108="",Calc_오픈정렬!AM108=""),"",Calc_오픈정렬!AM108/Calc_오픈정렬!$F108*100)</f>
        <v/>
      </c>
      <c r="AN108" t="str">
        <f>IF(OR(Calc_오픈정렬!$F108="",Calc_오픈정렬!AN108=""),"",Calc_오픈정렬!AN108/Calc_오픈정렬!$F108*100)</f>
        <v/>
      </c>
      <c r="AO108" t="str">
        <f>IF(OR(Calc_오픈정렬!$F108="",Calc_오픈정렬!AO108=""),"",Calc_오픈정렬!AO108/Calc_오픈정렬!$F108*100)</f>
        <v/>
      </c>
      <c r="AP108" t="str">
        <f>IF(OR(Calc_오픈정렬!$F108="",Calc_오픈정렬!AP108=""),"",Calc_오픈정렬!AP108/Calc_오픈정렬!$F108*100)</f>
        <v/>
      </c>
      <c r="AQ108" t="str">
        <f>IF(OR(Calc_오픈정렬!$F108="",Calc_오픈정렬!AQ108=""),"",Calc_오픈정렬!AQ108/Calc_오픈정렬!$F108*100)</f>
        <v/>
      </c>
      <c r="AR108" t="str">
        <f>IF(OR(Calc_오픈정렬!$F108="",Calc_오픈정렬!AR108=""),"",Calc_오픈정렬!AR108/Calc_오픈정렬!$F108*100)</f>
        <v/>
      </c>
      <c r="AS108" t="str">
        <f>IF(OR(Calc_오픈정렬!$F108="",Calc_오픈정렬!AS108=""),"",Calc_오픈정렬!AS108/Calc_오픈정렬!$F108*100)</f>
        <v/>
      </c>
      <c r="AT108" t="str">
        <f>IF(OR(Calc_오픈정렬!$F108="",Calc_오픈정렬!AT108=""),"",Calc_오픈정렬!AT108/Calc_오픈정렬!$F108*100)</f>
        <v/>
      </c>
      <c r="AU108" t="str">
        <f>IF(OR(Calc_오픈정렬!$F108="",Calc_오픈정렬!AU108=""),"",Calc_오픈정렬!AU108/Calc_오픈정렬!$F108*100)</f>
        <v/>
      </c>
      <c r="AV108" t="str">
        <f>IF(OR(Calc_오픈정렬!$F108="",Calc_오픈정렬!AV108=""),"",Calc_오픈정렬!AV108/Calc_오픈정렬!$F108*100)</f>
        <v/>
      </c>
      <c r="AW108" t="str">
        <f>IF(OR(Calc_오픈정렬!$F108="",Calc_오픈정렬!AW108=""),"",Calc_오픈정렬!AW108/Calc_오픈정렬!$F108*100)</f>
        <v/>
      </c>
      <c r="AX108" t="str">
        <f>IF(OR(Calc_오픈정렬!$F108="",Calc_오픈정렬!AX108=""),"",Calc_오픈정렬!AX108/Calc_오픈정렬!$F108*100)</f>
        <v/>
      </c>
      <c r="AY108" t="str">
        <f>IF(OR(Calc_오픈정렬!$F108="",Calc_오픈정렬!AY108=""),"",Calc_오픈정렬!AY108/Calc_오픈정렬!$F108*100)</f>
        <v/>
      </c>
      <c r="AZ108" t="str">
        <f>IF(OR(Calc_오픈정렬!$F108="",Calc_오픈정렬!AZ108=""),"",Calc_오픈정렬!AZ108/Calc_오픈정렬!$F108*100)</f>
        <v/>
      </c>
      <c r="BA108" t="str">
        <f>IF(OR(Calc_오픈정렬!$F108="",Calc_오픈정렬!BA108=""),"",Calc_오픈정렬!BA108/Calc_오픈정렬!$F108*100)</f>
        <v/>
      </c>
      <c r="BB108" t="str">
        <f>IF(OR(Calc_오픈정렬!$F108="",Calc_오픈정렬!BB108=""),"",Calc_오픈정렬!BB108/Calc_오픈정렬!$F108*100)</f>
        <v/>
      </c>
      <c r="BC108" t="str">
        <f>IF(OR(Calc_오픈정렬!$F108="",Calc_오픈정렬!BC108=""),"",Calc_오픈정렬!BC108/Calc_오픈정렬!$F108*100)</f>
        <v/>
      </c>
      <c r="BD108" t="str">
        <f>IF(OR(Calc_오픈정렬!$F108="",Calc_오픈정렬!BD108=""),"",Calc_오픈정렬!BD108/Calc_오픈정렬!$F108*100)</f>
        <v/>
      </c>
      <c r="BE108" t="str">
        <f>IF(OR(Calc_오픈정렬!$F108="",Calc_오픈정렬!BE108=""),"",Calc_오픈정렬!BE108/Calc_오픈정렬!$F108*100)</f>
        <v/>
      </c>
      <c r="BF108" t="str">
        <f>IF(OR(Calc_오픈정렬!$F108="",Calc_오픈정렬!BF108=""),"",Calc_오픈정렬!BF108/Calc_오픈정렬!$F108*100)</f>
        <v/>
      </c>
      <c r="BG108" t="str">
        <f>IF(OR(Calc_오픈정렬!$F108="",Calc_오픈정렬!BG108=""),"",Calc_오픈정렬!BG108/Calc_오픈정렬!$F108*100)</f>
        <v/>
      </c>
      <c r="BH108" t="str">
        <f>IF(OR(Calc_오픈정렬!$F108="",Calc_오픈정렬!BH108=""),"",Calc_오픈정렬!BH108/Calc_오픈정렬!$F108*100)</f>
        <v/>
      </c>
      <c r="BI108" t="str">
        <f>IF(OR(Calc_오픈정렬!$F108="",Calc_오픈정렬!BI108=""),"",Calc_오픈정렬!BI108/Calc_오픈정렬!$F108*100)</f>
        <v/>
      </c>
      <c r="BJ108" t="str">
        <f>IF(OR(Calc_오픈정렬!$F108="",Calc_오픈정렬!BJ108=""),"",Calc_오픈정렬!BJ108/Calc_오픈정렬!$F108*100)</f>
        <v/>
      </c>
      <c r="BK108" t="str">
        <f>IF(OR(Calc_오픈정렬!$F108="",Calc_오픈정렬!BK108=""),"",Calc_오픈정렬!BK108/Calc_오픈정렬!$F108*100)</f>
        <v/>
      </c>
      <c r="BL108" t="str">
        <f>IF(OR(Calc_오픈정렬!$F108="",Calc_오픈정렬!BL108=""),"",Calc_오픈정렬!BL108/Calc_오픈정렬!$F108*100)</f>
        <v/>
      </c>
      <c r="BM108" t="str">
        <f>IF(OR(Calc_오픈정렬!$F108="",Calc_오픈정렬!BM108=""),"",Calc_오픈정렬!BM108/Calc_오픈정렬!$F108*100)</f>
        <v/>
      </c>
      <c r="BN108" t="str">
        <f>IF(OR(Calc_오픈정렬!$F108="",Calc_오픈정렬!BN108=""),"",Calc_오픈정렬!BN108/Calc_오픈정렬!$F108*100)</f>
        <v/>
      </c>
    </row>
    <row r="109" spans="1:66" x14ac:dyDescent="0.4">
      <c r="A109" t="str">
        <f>Calc_오픈정렬!A109</f>
        <v>(1098) #공릉역점</v>
      </c>
      <c r="B109" t="str">
        <f>Calc_오픈정렬!B109</f>
        <v>150-0</v>
      </c>
      <c r="C109">
        <f>Calc_오픈정렬!C109</f>
        <v>0</v>
      </c>
      <c r="D109" t="str">
        <f>Calc_오픈정렬!D109</f>
        <v>0</v>
      </c>
      <c r="E109" s="1">
        <f>Calc_오픈정렬!E109</f>
        <v>45323</v>
      </c>
      <c r="F109">
        <f>Calc_오픈정렬!F109</f>
        <v>5951090.0711587481</v>
      </c>
      <c r="G109">
        <f>IF(OR(Calc_오픈정렬!$F109="",Calc_오픈정렬!G109=""),"",Calc_오픈정렬!G109/Calc_오픈정렬!$F109*100)</f>
        <v>83.161991418838724</v>
      </c>
      <c r="H109">
        <f>IF(OR(Calc_오픈정렬!$F109="",Calc_오픈정렬!H109=""),"",Calc_오픈정렬!H109/Calc_오픈정렬!$F109*100)</f>
        <v>95.073476893604564</v>
      </c>
      <c r="I109">
        <f>IF(OR(Calc_오픈정렬!$F109="",Calc_오픈정렬!I109=""),"",Calc_오픈정렬!I109/Calc_오픈정렬!$F109*100)</f>
        <v>100.78521226411867</v>
      </c>
      <c r="J109">
        <f>IF(OR(Calc_오픈정렬!$F109="",Calc_오픈정렬!J109=""),"",Calc_오픈정렬!J109/Calc_오픈정렬!$F109*100)</f>
        <v>87.253089449901523</v>
      </c>
      <c r="K109">
        <f>IF(OR(Calc_오픈정렬!$F109="",Calc_오픈정렬!K109=""),"",Calc_오픈정렬!K109/Calc_오픈정렬!$F109*100)</f>
        <v>104.62055697828237</v>
      </c>
      <c r="L109">
        <f>IF(OR(Calc_오픈정렬!$F109="",Calc_오픈정렬!L109=""),"",Calc_오픈정렬!L109/Calc_오픈정렬!$F109*100)</f>
        <v>111.72930193737474</v>
      </c>
      <c r="M109">
        <f>IF(OR(Calc_오픈정렬!$F109="",Calc_오픈정렬!M109=""),"",Calc_오픈정렬!M109/Calc_오픈정렬!$F109*100)</f>
        <v>96.4915242359167</v>
      </c>
      <c r="N109">
        <f>IF(OR(Calc_오픈정렬!$F109="",Calc_오픈정렬!N109=""),"",Calc_오픈정렬!N109/Calc_오픈정렬!$F109*100)</f>
        <v>106.97976675395262</v>
      </c>
      <c r="O109">
        <f>IF(OR(Calc_오픈정렬!$F109="",Calc_오픈정렬!O109=""),"",Calc_오픈정렬!O109/Calc_오픈정렬!$F109*100)</f>
        <v>92.925760644572136</v>
      </c>
      <c r="P109">
        <f>IF(OR(Calc_오픈정렬!$F109="",Calc_오픈정렬!P109=""),"",Calc_오픈정렬!P109/Calc_오픈정렬!$F109*100)</f>
        <v>103.0749786917053</v>
      </c>
      <c r="Q109">
        <f>IF(OR(Calc_오픈정렬!$F109="",Calc_오픈정렬!Q109=""),"",Calc_오픈정렬!Q109/Calc_오픈정렬!$F109*100)</f>
        <v>105.15742240291893</v>
      </c>
      <c r="R109">
        <f>IF(OR(Calc_오픈정렬!$F109="",Calc_오픈정렬!R109=""),"",Calc_오픈정렬!R109/Calc_오픈정렬!$F109*100)</f>
        <v>107.78642797607657</v>
      </c>
      <c r="S109">
        <f>IF(OR(Calc_오픈정렬!$F109="",Calc_오픈정렬!S109=""),"",Calc_오픈정렬!S109/Calc_오픈정렬!$F109*100)</f>
        <v>122.77609749940505</v>
      </c>
      <c r="T109">
        <f>IF(OR(Calc_오픈정렬!$F109="",Calc_오픈정렬!T109=""),"",Calc_오픈정렬!T109/Calc_오픈정렬!$F109*100)</f>
        <v>115.9169499967222</v>
      </c>
      <c r="U109">
        <f>IF(OR(Calc_오픈정렬!$F109="",Calc_오픈정렬!U109=""),"",Calc_오픈정렬!U109/Calc_오픈정렬!$F109*100)</f>
        <v>112.77292517486634</v>
      </c>
      <c r="V109">
        <f>IF(OR(Calc_오픈정렬!$F109="",Calc_오픈정렬!V109=""),"",Calc_오픈정렬!V109/Calc_오픈정렬!$F109*100)</f>
        <v>129.626062448005</v>
      </c>
      <c r="W109">
        <f>IF(OR(Calc_오픈정렬!$F109="",Calc_오픈정렬!W109=""),"",Calc_오픈정렬!W109/Calc_오픈정렬!$F109*100)</f>
        <v>129.89043076831723</v>
      </c>
      <c r="X109">
        <f>IF(OR(Calc_오픈정렬!$F109="",Calc_오픈정렬!X109=""),"",Calc_오픈정렬!X109/Calc_오픈정렬!$F109*100)</f>
        <v>121.8828920729209</v>
      </c>
      <c r="Y109">
        <f>IF(OR(Calc_오픈정렬!$F109="",Calc_오픈정렬!Y109=""),"",Calc_오픈정렬!Y109/Calc_오픈정렬!$F109*100)</f>
        <v>136.00243992196135</v>
      </c>
      <c r="Z109">
        <f>IF(OR(Calc_오픈정렬!$F109="",Calc_오픈정렬!Z109=""),"",Calc_오픈정렬!Z109/Calc_오픈정렬!$F109*100)</f>
        <v>124.2304100142459</v>
      </c>
      <c r="AA109">
        <f>IF(OR(Calc_오픈정렬!$F109="",Calc_오픈정렬!AA109=""),"",Calc_오픈정렬!AA109/Calc_오픈정렬!$F109*100)</f>
        <v>124.52667410590192</v>
      </c>
      <c r="AB109">
        <f>IF(OR(Calc_오픈정렬!$F109="",Calc_오픈정렬!AB109=""),"",Calc_오픈정렬!AB109/Calc_오픈정렬!$F109*100)</f>
        <v>117.85734142377385</v>
      </c>
      <c r="AC109">
        <f>IF(OR(Calc_오픈정렬!$F109="",Calc_오픈정렬!AC109=""),"",Calc_오픈정렬!AC109/Calc_오픈정렬!$F109*100)</f>
        <v>111.03818650224397</v>
      </c>
      <c r="AD109">
        <f>IF(OR(Calc_오픈정렬!$F109="",Calc_오픈정렬!AD109=""),"",Calc_오픈정렬!AD109/Calc_오픈정렬!$F109*100)</f>
        <v>133.93508154648561</v>
      </c>
      <c r="AE109">
        <f>IF(OR(Calc_오픈정렬!$F109="",Calc_오픈정렬!AE109=""),"",Calc_오픈정렬!AE109/Calc_오픈정렬!$F109*100)</f>
        <v>136.41852849393587</v>
      </c>
      <c r="AF109">
        <f>IF(OR(Calc_오픈정렬!$F109="",Calc_오픈정렬!AF109=""),"",Calc_오픈정렬!AF109/Calc_오픈정렬!$F109*100)</f>
        <v>127.76006432176277</v>
      </c>
      <c r="AG109">
        <f>IF(OR(Calc_오픈정렬!$F109="",Calc_오픈정렬!AG109=""),"",Calc_오픈정렬!AG109/Calc_오픈정렬!$F109*100)</f>
        <v>132.64425318549618</v>
      </c>
      <c r="AH109">
        <f>IF(OR(Calc_오픈정렬!$F109="",Calc_오픈정렬!AH109=""),"",Calc_오픈정렬!AH109/Calc_오픈정렬!$F109*100)</f>
        <v>133.8236658348566</v>
      </c>
      <c r="AI109" t="str">
        <f>IF(OR(Calc_오픈정렬!$F109="",Calc_오픈정렬!AI109=""),"",Calc_오픈정렬!AI109/Calc_오픈정렬!$F109*100)</f>
        <v/>
      </c>
      <c r="AJ109" t="str">
        <f>IF(OR(Calc_오픈정렬!$F109="",Calc_오픈정렬!AJ109=""),"",Calc_오픈정렬!AJ109/Calc_오픈정렬!$F109*100)</f>
        <v/>
      </c>
      <c r="AK109" t="str">
        <f>IF(OR(Calc_오픈정렬!$F109="",Calc_오픈정렬!AK109=""),"",Calc_오픈정렬!AK109/Calc_오픈정렬!$F109*100)</f>
        <v/>
      </c>
      <c r="AL109" t="str">
        <f>IF(OR(Calc_오픈정렬!$F109="",Calc_오픈정렬!AL109=""),"",Calc_오픈정렬!AL109/Calc_오픈정렬!$F109*100)</f>
        <v/>
      </c>
      <c r="AM109" t="str">
        <f>IF(OR(Calc_오픈정렬!$F109="",Calc_오픈정렬!AM109=""),"",Calc_오픈정렬!AM109/Calc_오픈정렬!$F109*100)</f>
        <v/>
      </c>
      <c r="AN109" t="str">
        <f>IF(OR(Calc_오픈정렬!$F109="",Calc_오픈정렬!AN109=""),"",Calc_오픈정렬!AN109/Calc_오픈정렬!$F109*100)</f>
        <v/>
      </c>
      <c r="AO109" t="str">
        <f>IF(OR(Calc_오픈정렬!$F109="",Calc_오픈정렬!AO109=""),"",Calc_오픈정렬!AO109/Calc_오픈정렬!$F109*100)</f>
        <v/>
      </c>
      <c r="AP109" t="str">
        <f>IF(OR(Calc_오픈정렬!$F109="",Calc_오픈정렬!AP109=""),"",Calc_오픈정렬!AP109/Calc_오픈정렬!$F109*100)</f>
        <v/>
      </c>
      <c r="AQ109" t="str">
        <f>IF(OR(Calc_오픈정렬!$F109="",Calc_오픈정렬!AQ109=""),"",Calc_오픈정렬!AQ109/Calc_오픈정렬!$F109*100)</f>
        <v/>
      </c>
      <c r="AR109" t="str">
        <f>IF(OR(Calc_오픈정렬!$F109="",Calc_오픈정렬!AR109=""),"",Calc_오픈정렬!AR109/Calc_오픈정렬!$F109*100)</f>
        <v/>
      </c>
      <c r="AS109" t="str">
        <f>IF(OR(Calc_오픈정렬!$F109="",Calc_오픈정렬!AS109=""),"",Calc_오픈정렬!AS109/Calc_오픈정렬!$F109*100)</f>
        <v/>
      </c>
      <c r="AT109" t="str">
        <f>IF(OR(Calc_오픈정렬!$F109="",Calc_오픈정렬!AT109=""),"",Calc_오픈정렬!AT109/Calc_오픈정렬!$F109*100)</f>
        <v/>
      </c>
      <c r="AU109" t="str">
        <f>IF(OR(Calc_오픈정렬!$F109="",Calc_오픈정렬!AU109=""),"",Calc_오픈정렬!AU109/Calc_오픈정렬!$F109*100)</f>
        <v/>
      </c>
      <c r="AV109" t="str">
        <f>IF(OR(Calc_오픈정렬!$F109="",Calc_오픈정렬!AV109=""),"",Calc_오픈정렬!AV109/Calc_오픈정렬!$F109*100)</f>
        <v/>
      </c>
      <c r="AW109" t="str">
        <f>IF(OR(Calc_오픈정렬!$F109="",Calc_오픈정렬!AW109=""),"",Calc_오픈정렬!AW109/Calc_오픈정렬!$F109*100)</f>
        <v/>
      </c>
      <c r="AX109" t="str">
        <f>IF(OR(Calc_오픈정렬!$F109="",Calc_오픈정렬!AX109=""),"",Calc_오픈정렬!AX109/Calc_오픈정렬!$F109*100)</f>
        <v/>
      </c>
      <c r="AY109" t="str">
        <f>IF(OR(Calc_오픈정렬!$F109="",Calc_오픈정렬!AY109=""),"",Calc_오픈정렬!AY109/Calc_오픈정렬!$F109*100)</f>
        <v/>
      </c>
      <c r="AZ109" t="str">
        <f>IF(OR(Calc_오픈정렬!$F109="",Calc_오픈정렬!AZ109=""),"",Calc_오픈정렬!AZ109/Calc_오픈정렬!$F109*100)</f>
        <v/>
      </c>
      <c r="BA109" t="str">
        <f>IF(OR(Calc_오픈정렬!$F109="",Calc_오픈정렬!BA109=""),"",Calc_오픈정렬!BA109/Calc_오픈정렬!$F109*100)</f>
        <v/>
      </c>
      <c r="BB109" t="str">
        <f>IF(OR(Calc_오픈정렬!$F109="",Calc_오픈정렬!BB109=""),"",Calc_오픈정렬!BB109/Calc_오픈정렬!$F109*100)</f>
        <v/>
      </c>
      <c r="BC109" t="str">
        <f>IF(OR(Calc_오픈정렬!$F109="",Calc_오픈정렬!BC109=""),"",Calc_오픈정렬!BC109/Calc_오픈정렬!$F109*100)</f>
        <v/>
      </c>
      <c r="BD109" t="str">
        <f>IF(OR(Calc_오픈정렬!$F109="",Calc_오픈정렬!BD109=""),"",Calc_오픈정렬!BD109/Calc_오픈정렬!$F109*100)</f>
        <v/>
      </c>
      <c r="BE109" t="str">
        <f>IF(OR(Calc_오픈정렬!$F109="",Calc_오픈정렬!BE109=""),"",Calc_오픈정렬!BE109/Calc_오픈정렬!$F109*100)</f>
        <v/>
      </c>
      <c r="BF109" t="str">
        <f>IF(OR(Calc_오픈정렬!$F109="",Calc_오픈정렬!BF109=""),"",Calc_오픈정렬!BF109/Calc_오픈정렬!$F109*100)</f>
        <v/>
      </c>
      <c r="BG109" t="str">
        <f>IF(OR(Calc_오픈정렬!$F109="",Calc_오픈정렬!BG109=""),"",Calc_오픈정렬!BG109/Calc_오픈정렬!$F109*100)</f>
        <v/>
      </c>
      <c r="BH109" t="str">
        <f>IF(OR(Calc_오픈정렬!$F109="",Calc_오픈정렬!BH109=""),"",Calc_오픈정렬!BH109/Calc_오픈정렬!$F109*100)</f>
        <v/>
      </c>
      <c r="BI109" t="str">
        <f>IF(OR(Calc_오픈정렬!$F109="",Calc_오픈정렬!BI109=""),"",Calc_오픈정렬!BI109/Calc_오픈정렬!$F109*100)</f>
        <v/>
      </c>
      <c r="BJ109" t="str">
        <f>IF(OR(Calc_오픈정렬!$F109="",Calc_오픈정렬!BJ109=""),"",Calc_오픈정렬!BJ109/Calc_오픈정렬!$F109*100)</f>
        <v/>
      </c>
      <c r="BK109" t="str">
        <f>IF(OR(Calc_오픈정렬!$F109="",Calc_오픈정렬!BK109=""),"",Calc_오픈정렬!BK109/Calc_오픈정렬!$F109*100)</f>
        <v/>
      </c>
      <c r="BL109" t="str">
        <f>IF(OR(Calc_오픈정렬!$F109="",Calc_오픈정렬!BL109=""),"",Calc_오픈정렬!BL109/Calc_오픈정렬!$F109*100)</f>
        <v/>
      </c>
      <c r="BM109" t="str">
        <f>IF(OR(Calc_오픈정렬!$F109="",Calc_오픈정렬!BM109=""),"",Calc_오픈정렬!BM109/Calc_오픈정렬!$F109*100)</f>
        <v/>
      </c>
      <c r="BN109" t="str">
        <f>IF(OR(Calc_오픈정렬!$F109="",Calc_오픈정렬!BN109=""),"",Calc_오픈정렬!BN109/Calc_오픈정렬!$F109*100)</f>
        <v/>
      </c>
    </row>
    <row r="110" spans="1:66" x14ac:dyDescent="0.4">
      <c r="A110" t="str">
        <f>Calc_오픈정렬!A110</f>
        <v>(1100) #신림남부초교점</v>
      </c>
      <c r="B110" t="str">
        <f>Calc_오픈정렬!B110</f>
        <v>150-2</v>
      </c>
      <c r="C110">
        <f>Calc_오픈정렬!C110</f>
        <v>2</v>
      </c>
      <c r="D110" t="str">
        <f>Calc_오픈정렬!D110</f>
        <v>2</v>
      </c>
      <c r="E110" s="1">
        <f>Calc_오픈정렬!E110</f>
        <v>45323</v>
      </c>
      <c r="F110">
        <f>Calc_오픈정렬!F110</f>
        <v>3482495.1801265837</v>
      </c>
      <c r="G110">
        <f>IF(OR(Calc_오픈정렬!$F110="",Calc_오픈정렬!G110=""),"",Calc_오픈정렬!G110/Calc_오픈정렬!$F110*100)</f>
        <v>67.920755683401552</v>
      </c>
      <c r="H110">
        <f>IF(OR(Calc_오픈정렬!$F110="",Calc_오픈정렬!H110=""),"",Calc_오픈정렬!H110/Calc_오픈정렬!$F110*100)</f>
        <v>74.571594387845408</v>
      </c>
      <c r="I110">
        <f>IF(OR(Calc_오픈정렬!$F110="",Calc_오픈정렬!I110=""),"",Calc_오픈정렬!I110/Calc_오픈정렬!$F110*100)</f>
        <v>87.441103614052025</v>
      </c>
      <c r="J110">
        <f>IF(OR(Calc_오픈정렬!$F110="",Calc_오픈정렬!J110=""),"",Calc_오픈정렬!J110/Calc_오픈정렬!$F110*100)</f>
        <v>83.896836372898065</v>
      </c>
      <c r="K110">
        <f>IF(OR(Calc_오픈정렬!$F110="",Calc_오픈정렬!K110=""),"",Calc_오픈정렬!K110/Calc_오픈정렬!$F110*100)</f>
        <v>94.450807169823918</v>
      </c>
      <c r="L110">
        <f>IF(OR(Calc_오픈정렬!$F110="",Calc_오픈정렬!L110=""),"",Calc_오픈정렬!L110/Calc_오픈정렬!$F110*100)</f>
        <v>98.666578920930931</v>
      </c>
      <c r="M110">
        <f>IF(OR(Calc_오픈정렬!$F110="",Calc_오픈정렬!M110=""),"",Calc_오픈정렬!M110/Calc_오픈정렬!$F110*100)</f>
        <v>108.2356018999227</v>
      </c>
      <c r="N110">
        <f>IF(OR(Calc_오픈정렬!$F110="",Calc_오픈정렬!N110=""),"",Calc_오픈정렬!N110/Calc_오픈정렬!$F110*100)</f>
        <v>113.71318344037604</v>
      </c>
      <c r="O110">
        <f>IF(OR(Calc_오픈정렬!$F110="",Calc_오픈정렬!O110=""),"",Calc_오픈정렬!O110/Calc_오픈정렬!$F110*100)</f>
        <v>101.03699219604844</v>
      </c>
      <c r="P110">
        <f>IF(OR(Calc_오픈정렬!$F110="",Calc_오픈정렬!P110=""),"",Calc_오픈정렬!P110/Calc_오픈정렬!$F110*100)</f>
        <v>115.84672092538159</v>
      </c>
      <c r="Q110">
        <f>IF(OR(Calc_오픈정렬!$F110="",Calc_오픈정렬!Q110=""),"",Calc_오픈정렬!Q110/Calc_오픈정렬!$F110*100)</f>
        <v>114.92871074397695</v>
      </c>
      <c r="R110">
        <f>IF(OR(Calc_오픈정렬!$F110="",Calc_오픈정렬!R110=""),"",Calc_오픈정렬!R110/Calc_오픈정렬!$F110*100)</f>
        <v>114.94967551917674</v>
      </c>
      <c r="S110">
        <f>IF(OR(Calc_오픈정렬!$F110="",Calc_오픈정렬!S110=""),"",Calc_오픈정렬!S110/Calc_오픈정렬!$F110*100)</f>
        <v>129.31955987583393</v>
      </c>
      <c r="T110">
        <f>IF(OR(Calc_오픈정렬!$F110="",Calc_오픈정렬!T110=""),"",Calc_오픈정렬!T110/Calc_오픈정렬!$F110*100)</f>
        <v>128.45079030602525</v>
      </c>
      <c r="U110">
        <f>IF(OR(Calc_오픈정렬!$F110="",Calc_오픈정렬!U110=""),"",Calc_오픈정렬!U110/Calc_오픈정렬!$F110*100)</f>
        <v>115.49825499369624</v>
      </c>
      <c r="V110">
        <f>IF(OR(Calc_오픈정렬!$F110="",Calc_오픈정렬!V110=""),"",Calc_오픈정렬!V110/Calc_오픈정렬!$F110*100)</f>
        <v>111.01626096836739</v>
      </c>
      <c r="W110">
        <f>IF(OR(Calc_오픈정렬!$F110="",Calc_오픈정렬!W110=""),"",Calc_오픈정렬!W110/Calc_오픈정렬!$F110*100)</f>
        <v>125.11091748106804</v>
      </c>
      <c r="X110">
        <f>IF(OR(Calc_오픈정렬!$F110="",Calc_오픈정렬!X110=""),"",Calc_오픈정렬!X110/Calc_오픈정렬!$F110*100)</f>
        <v>117.41855613540349</v>
      </c>
      <c r="Y110">
        <f>IF(OR(Calc_오픈정렬!$F110="",Calc_오픈정렬!Y110=""),"",Calc_오픈정렬!Y110/Calc_오픈정렬!$F110*100)</f>
        <v>129.9328669200986</v>
      </c>
      <c r="Z110">
        <f>IF(OR(Calc_오픈정렬!$F110="",Calc_오픈정렬!Z110=""),"",Calc_오픈정렬!Z110/Calc_오픈정렬!$F110*100)</f>
        <v>115.96309812805117</v>
      </c>
      <c r="AA110">
        <f>IF(OR(Calc_오픈정렬!$F110="",Calc_오픈정렬!AA110=""),"",Calc_오픈정렬!AA110/Calc_오픈정렬!$F110*100)</f>
        <v>121.93636629849907</v>
      </c>
      <c r="AB110">
        <f>IF(OR(Calc_오픈정렬!$F110="",Calc_오픈정렬!AB110=""),"",Calc_오픈정렬!AB110/Calc_오픈정렬!$F110*100)</f>
        <v>119.36327031815546</v>
      </c>
      <c r="AC110">
        <f>IF(OR(Calc_오픈정렬!$F110="",Calc_오픈정렬!AC110=""),"",Calc_오픈정렬!AC110/Calc_오픈정렬!$F110*100)</f>
        <v>98.13739306444667</v>
      </c>
      <c r="AD110">
        <f>IF(OR(Calc_오픈정렬!$F110="",Calc_오픈정렬!AD110=""),"",Calc_오픈정렬!AD110/Calc_오픈정렬!$F110*100)</f>
        <v>120.26429011872143</v>
      </c>
      <c r="AE110">
        <f>IF(OR(Calc_오픈정렬!$F110="",Calc_오픈정렬!AE110=""),"",Calc_오픈정렬!AE110/Calc_오픈정렬!$F110*100)</f>
        <v>123.13215478917583</v>
      </c>
      <c r="AF110">
        <f>IF(OR(Calc_오픈정렬!$F110="",Calc_오픈정렬!AF110=""),"",Calc_오픈정렬!AF110/Calc_오픈정렬!$F110*100)</f>
        <v>137.32845956934864</v>
      </c>
      <c r="AG110">
        <f>IF(OR(Calc_오픈정렬!$F110="",Calc_오픈정렬!AG110=""),"",Calc_오픈정렬!AG110/Calc_오픈정렬!$F110*100)</f>
        <v>158.91543879563633</v>
      </c>
      <c r="AH110">
        <f>IF(OR(Calc_오픈정렬!$F110="",Calc_오픈정렬!AH110=""),"",Calc_오픈정렬!AH110/Calc_오픈정렬!$F110*100)</f>
        <v>143.74287023555252</v>
      </c>
      <c r="AI110" t="str">
        <f>IF(OR(Calc_오픈정렬!$F110="",Calc_오픈정렬!AI110=""),"",Calc_오픈정렬!AI110/Calc_오픈정렬!$F110*100)</f>
        <v/>
      </c>
      <c r="AJ110" t="str">
        <f>IF(OR(Calc_오픈정렬!$F110="",Calc_오픈정렬!AJ110=""),"",Calc_오픈정렬!AJ110/Calc_오픈정렬!$F110*100)</f>
        <v/>
      </c>
      <c r="AK110" t="str">
        <f>IF(OR(Calc_오픈정렬!$F110="",Calc_오픈정렬!AK110=""),"",Calc_오픈정렬!AK110/Calc_오픈정렬!$F110*100)</f>
        <v/>
      </c>
      <c r="AL110" t="str">
        <f>IF(OR(Calc_오픈정렬!$F110="",Calc_오픈정렬!AL110=""),"",Calc_오픈정렬!AL110/Calc_오픈정렬!$F110*100)</f>
        <v/>
      </c>
      <c r="AM110" t="str">
        <f>IF(OR(Calc_오픈정렬!$F110="",Calc_오픈정렬!AM110=""),"",Calc_오픈정렬!AM110/Calc_오픈정렬!$F110*100)</f>
        <v/>
      </c>
      <c r="AN110" t="str">
        <f>IF(OR(Calc_오픈정렬!$F110="",Calc_오픈정렬!AN110=""),"",Calc_오픈정렬!AN110/Calc_오픈정렬!$F110*100)</f>
        <v/>
      </c>
      <c r="AO110" t="str">
        <f>IF(OR(Calc_오픈정렬!$F110="",Calc_오픈정렬!AO110=""),"",Calc_오픈정렬!AO110/Calc_오픈정렬!$F110*100)</f>
        <v/>
      </c>
      <c r="AP110" t="str">
        <f>IF(OR(Calc_오픈정렬!$F110="",Calc_오픈정렬!AP110=""),"",Calc_오픈정렬!AP110/Calc_오픈정렬!$F110*100)</f>
        <v/>
      </c>
      <c r="AQ110" t="str">
        <f>IF(OR(Calc_오픈정렬!$F110="",Calc_오픈정렬!AQ110=""),"",Calc_오픈정렬!AQ110/Calc_오픈정렬!$F110*100)</f>
        <v/>
      </c>
      <c r="AR110" t="str">
        <f>IF(OR(Calc_오픈정렬!$F110="",Calc_오픈정렬!AR110=""),"",Calc_오픈정렬!AR110/Calc_오픈정렬!$F110*100)</f>
        <v/>
      </c>
      <c r="AS110" t="str">
        <f>IF(OR(Calc_오픈정렬!$F110="",Calc_오픈정렬!AS110=""),"",Calc_오픈정렬!AS110/Calc_오픈정렬!$F110*100)</f>
        <v/>
      </c>
      <c r="AT110" t="str">
        <f>IF(OR(Calc_오픈정렬!$F110="",Calc_오픈정렬!AT110=""),"",Calc_오픈정렬!AT110/Calc_오픈정렬!$F110*100)</f>
        <v/>
      </c>
      <c r="AU110" t="str">
        <f>IF(OR(Calc_오픈정렬!$F110="",Calc_오픈정렬!AU110=""),"",Calc_오픈정렬!AU110/Calc_오픈정렬!$F110*100)</f>
        <v/>
      </c>
      <c r="AV110" t="str">
        <f>IF(OR(Calc_오픈정렬!$F110="",Calc_오픈정렬!AV110=""),"",Calc_오픈정렬!AV110/Calc_오픈정렬!$F110*100)</f>
        <v/>
      </c>
      <c r="AW110" t="str">
        <f>IF(OR(Calc_오픈정렬!$F110="",Calc_오픈정렬!AW110=""),"",Calc_오픈정렬!AW110/Calc_오픈정렬!$F110*100)</f>
        <v/>
      </c>
      <c r="AX110" t="str">
        <f>IF(OR(Calc_오픈정렬!$F110="",Calc_오픈정렬!AX110=""),"",Calc_오픈정렬!AX110/Calc_오픈정렬!$F110*100)</f>
        <v/>
      </c>
      <c r="AY110" t="str">
        <f>IF(OR(Calc_오픈정렬!$F110="",Calc_오픈정렬!AY110=""),"",Calc_오픈정렬!AY110/Calc_오픈정렬!$F110*100)</f>
        <v/>
      </c>
      <c r="AZ110" t="str">
        <f>IF(OR(Calc_오픈정렬!$F110="",Calc_오픈정렬!AZ110=""),"",Calc_오픈정렬!AZ110/Calc_오픈정렬!$F110*100)</f>
        <v/>
      </c>
      <c r="BA110" t="str">
        <f>IF(OR(Calc_오픈정렬!$F110="",Calc_오픈정렬!BA110=""),"",Calc_오픈정렬!BA110/Calc_오픈정렬!$F110*100)</f>
        <v/>
      </c>
      <c r="BB110" t="str">
        <f>IF(OR(Calc_오픈정렬!$F110="",Calc_오픈정렬!BB110=""),"",Calc_오픈정렬!BB110/Calc_오픈정렬!$F110*100)</f>
        <v/>
      </c>
      <c r="BC110" t="str">
        <f>IF(OR(Calc_오픈정렬!$F110="",Calc_오픈정렬!BC110=""),"",Calc_오픈정렬!BC110/Calc_오픈정렬!$F110*100)</f>
        <v/>
      </c>
      <c r="BD110" t="str">
        <f>IF(OR(Calc_오픈정렬!$F110="",Calc_오픈정렬!BD110=""),"",Calc_오픈정렬!BD110/Calc_오픈정렬!$F110*100)</f>
        <v/>
      </c>
      <c r="BE110" t="str">
        <f>IF(OR(Calc_오픈정렬!$F110="",Calc_오픈정렬!BE110=""),"",Calc_오픈정렬!BE110/Calc_오픈정렬!$F110*100)</f>
        <v/>
      </c>
      <c r="BF110" t="str">
        <f>IF(OR(Calc_오픈정렬!$F110="",Calc_오픈정렬!BF110=""),"",Calc_오픈정렬!BF110/Calc_오픈정렬!$F110*100)</f>
        <v/>
      </c>
      <c r="BG110" t="str">
        <f>IF(OR(Calc_오픈정렬!$F110="",Calc_오픈정렬!BG110=""),"",Calc_오픈정렬!BG110/Calc_오픈정렬!$F110*100)</f>
        <v/>
      </c>
      <c r="BH110" t="str">
        <f>IF(OR(Calc_오픈정렬!$F110="",Calc_오픈정렬!BH110=""),"",Calc_오픈정렬!BH110/Calc_오픈정렬!$F110*100)</f>
        <v/>
      </c>
      <c r="BI110" t="str">
        <f>IF(OR(Calc_오픈정렬!$F110="",Calc_오픈정렬!BI110=""),"",Calc_오픈정렬!BI110/Calc_오픈정렬!$F110*100)</f>
        <v/>
      </c>
      <c r="BJ110" t="str">
        <f>IF(OR(Calc_오픈정렬!$F110="",Calc_오픈정렬!BJ110=""),"",Calc_오픈정렬!BJ110/Calc_오픈정렬!$F110*100)</f>
        <v/>
      </c>
      <c r="BK110" t="str">
        <f>IF(OR(Calc_오픈정렬!$F110="",Calc_오픈정렬!BK110=""),"",Calc_오픈정렬!BK110/Calc_오픈정렬!$F110*100)</f>
        <v/>
      </c>
      <c r="BL110" t="str">
        <f>IF(OR(Calc_오픈정렬!$F110="",Calc_오픈정렬!BL110=""),"",Calc_오픈정렬!BL110/Calc_오픈정렬!$F110*100)</f>
        <v/>
      </c>
      <c r="BM110" t="str">
        <f>IF(OR(Calc_오픈정렬!$F110="",Calc_오픈정렬!BM110=""),"",Calc_오픈정렬!BM110/Calc_오픈정렬!$F110*100)</f>
        <v/>
      </c>
      <c r="BN110" t="str">
        <f>IF(OR(Calc_오픈정렬!$F110="",Calc_오픈정렬!BN110=""),"",Calc_오픈정렬!BN110/Calc_오픈정렬!$F110*100)</f>
        <v/>
      </c>
    </row>
    <row r="111" spans="1:66" x14ac:dyDescent="0.4">
      <c r="A111" t="str">
        <f>Calc_오픈정렬!A111</f>
        <v>(1101) #강서교차로점</v>
      </c>
      <c r="B111" t="str">
        <f>Calc_오픈정렬!B111</f>
        <v>150-0</v>
      </c>
      <c r="C111">
        <f>Calc_오픈정렬!C111</f>
        <v>0</v>
      </c>
      <c r="D111" t="str">
        <f>Calc_오픈정렬!D111</f>
        <v>0</v>
      </c>
      <c r="E111" s="1">
        <f>Calc_오픈정렬!E111</f>
        <v>45323</v>
      </c>
      <c r="F111">
        <f>Calc_오픈정렬!F111</f>
        <v>4384743.7525874712</v>
      </c>
      <c r="G111">
        <f>IF(OR(Calc_오픈정렬!$F111="",Calc_오픈정렬!G111=""),"",Calc_오픈정렬!G111/Calc_오픈정렬!$F111*100)</f>
        <v>76.260557975540095</v>
      </c>
      <c r="H111">
        <f>IF(OR(Calc_오픈정렬!$F111="",Calc_오픈정렬!H111=""),"",Calc_오픈정렬!H111/Calc_오픈정렬!$F111*100)</f>
        <v>100.7699231661508</v>
      </c>
      <c r="I111">
        <f>IF(OR(Calc_오픈정렬!$F111="",Calc_오픈정렬!I111=""),"",Calc_오픈정렬!I111/Calc_오픈정렬!$F111*100)</f>
        <v>104.59686633979493</v>
      </c>
      <c r="J111">
        <f>IF(OR(Calc_오픈정렬!$F111="",Calc_오픈정렬!J111=""),"",Calc_오픈정렬!J111/Calc_오픈정렬!$F111*100)</f>
        <v>94.729490394814675</v>
      </c>
      <c r="K111">
        <f>IF(OR(Calc_오픈정렬!$F111="",Calc_오픈정렬!K111=""),"",Calc_오픈정렬!K111/Calc_오픈정렬!$F111*100)</f>
        <v>105.44560156981693</v>
      </c>
      <c r="L111">
        <f>IF(OR(Calc_오픈정렬!$F111="",Calc_오픈정렬!L111=""),"",Calc_오픈정렬!L111/Calc_오픈정렬!$F111*100)</f>
        <v>104.98921404073678</v>
      </c>
      <c r="M111">
        <f>IF(OR(Calc_오픈정렬!$F111="",Calc_오픈정렬!M111=""),"",Calc_오픈정렬!M111/Calc_오픈정렬!$F111*100)</f>
        <v>106.18959807090988</v>
      </c>
      <c r="N111">
        <f>IF(OR(Calc_오픈정렬!$F111="",Calc_오픈정렬!N111=""),"",Calc_오픈정렬!N111/Calc_오픈정렬!$F111*100)</f>
        <v>89.647479854326946</v>
      </c>
      <c r="O111">
        <f>IF(OR(Calc_오픈정렬!$F111="",Calc_오픈정렬!O111=""),"",Calc_오픈정렬!O111/Calc_오픈정렬!$F111*100)</f>
        <v>98.998616069394799</v>
      </c>
      <c r="P111">
        <f>IF(OR(Calc_오픈정렬!$F111="",Calc_오픈정렬!P111=""),"",Calc_오픈정렬!P111/Calc_오픈정렬!$F111*100)</f>
        <v>111.74731911300752</v>
      </c>
      <c r="Q111">
        <f>IF(OR(Calc_오픈정렬!$F111="",Calc_오픈정렬!Q111=""),"",Calc_오픈정렬!Q111/Calc_오픈정렬!$F111*100)</f>
        <v>116.55927194632494</v>
      </c>
      <c r="R111">
        <f>IF(OR(Calc_오픈정렬!$F111="",Calc_오픈정렬!R111=""),"",Calc_오픈정렬!R111/Calc_오픈정렬!$F111*100)</f>
        <v>148.5657031583863</v>
      </c>
      <c r="S111">
        <f>IF(OR(Calc_오픈정렬!$F111="",Calc_오픈정렬!S111=""),"",Calc_오픈정렬!S111/Calc_오픈정렬!$F111*100)</f>
        <v>123.62725997409993</v>
      </c>
      <c r="T111">
        <f>IF(OR(Calc_오픈정렬!$F111="",Calc_오픈정렬!T111=""),"",Calc_오픈정렬!T111/Calc_오픈정렬!$F111*100)</f>
        <v>147.3307709242205</v>
      </c>
      <c r="U111">
        <f>IF(OR(Calc_오픈정렬!$F111="",Calc_오픈정렬!U111=""),"",Calc_오픈정렬!U111/Calc_오픈정렬!$F111*100)</f>
        <v>143.39723719269733</v>
      </c>
      <c r="V111">
        <f>IF(OR(Calc_오픈정렬!$F111="",Calc_오픈정렬!V111=""),"",Calc_오픈정렬!V111/Calc_오픈정렬!$F111*100)</f>
        <v>148.3782295187157</v>
      </c>
      <c r="W111">
        <f>IF(OR(Calc_오픈정렬!$F111="",Calc_오픈정렬!W111=""),"",Calc_오픈정렬!W111/Calc_오픈정렬!$F111*100)</f>
        <v>149.38720430636891</v>
      </c>
      <c r="X111">
        <f>IF(OR(Calc_오픈정렬!$F111="",Calc_오픈정렬!X111=""),"",Calc_오픈정렬!X111/Calc_오픈정렬!$F111*100)</f>
        <v>124.79447938848105</v>
      </c>
      <c r="Y111">
        <f>IF(OR(Calc_오픈정렬!$F111="",Calc_오픈정렬!Y111=""),"",Calc_오픈정렬!Y111/Calc_오픈정렬!$F111*100)</f>
        <v>136.11749061069426</v>
      </c>
      <c r="Z111">
        <f>IF(OR(Calc_오픈정렬!$F111="",Calc_오픈정렬!Z111=""),"",Calc_오픈정렬!Z111/Calc_오픈정렬!$F111*100)</f>
        <v>122.90160235802527</v>
      </c>
      <c r="AA111">
        <f>IF(OR(Calc_오픈정렬!$F111="",Calc_오픈정렬!AA111=""),"",Calc_오픈정렬!AA111/Calc_오픈정렬!$F111*100)</f>
        <v>143.53661918380084</v>
      </c>
      <c r="AB111">
        <f>IF(OR(Calc_오픈정렬!$F111="",Calc_오픈정렬!AB111=""),"",Calc_오픈정렬!AB111/Calc_오픈정렬!$F111*100)</f>
        <v>137.76533806553442</v>
      </c>
      <c r="AC111">
        <f>IF(OR(Calc_오픈정렬!$F111="",Calc_오픈정렬!AC111=""),"",Calc_오픈정렬!AC111/Calc_오픈정렬!$F111*100)</f>
        <v>126.36099405992663</v>
      </c>
      <c r="AD111">
        <f>IF(OR(Calc_오픈정렬!$F111="",Calc_오픈정렬!AD111=""),"",Calc_오픈정렬!AD111/Calc_오픈정렬!$F111*100)</f>
        <v>143.32950571219769</v>
      </c>
      <c r="AE111">
        <f>IF(OR(Calc_오픈정렬!$F111="",Calc_오픈정렬!AE111=""),"",Calc_오픈정렬!AE111/Calc_오픈정렬!$F111*100)</f>
        <v>159.31097999586456</v>
      </c>
      <c r="AF111">
        <f>IF(OR(Calc_오픈정렬!$F111="",Calc_오픈정렬!AF111=""),"",Calc_오픈정렬!AF111/Calc_오픈정렬!$F111*100)</f>
        <v>156.59139995992496</v>
      </c>
      <c r="AG111">
        <f>IF(OR(Calc_오픈정렬!$F111="",Calc_오픈정렬!AG111=""),"",Calc_오픈정렬!AG111/Calc_오픈정렬!$F111*100)</f>
        <v>153.92952607382779</v>
      </c>
      <c r="AH111">
        <f>IF(OR(Calc_오픈정렬!$F111="",Calc_오픈정렬!AH111=""),"",Calc_오픈정렬!AH111/Calc_오픈정렬!$F111*100)</f>
        <v>166.08639778215252</v>
      </c>
      <c r="AI111" t="str">
        <f>IF(OR(Calc_오픈정렬!$F111="",Calc_오픈정렬!AI111=""),"",Calc_오픈정렬!AI111/Calc_오픈정렬!$F111*100)</f>
        <v/>
      </c>
      <c r="AJ111" t="str">
        <f>IF(OR(Calc_오픈정렬!$F111="",Calc_오픈정렬!AJ111=""),"",Calc_오픈정렬!AJ111/Calc_오픈정렬!$F111*100)</f>
        <v/>
      </c>
      <c r="AK111" t="str">
        <f>IF(OR(Calc_오픈정렬!$F111="",Calc_오픈정렬!AK111=""),"",Calc_오픈정렬!AK111/Calc_오픈정렬!$F111*100)</f>
        <v/>
      </c>
      <c r="AL111" t="str">
        <f>IF(OR(Calc_오픈정렬!$F111="",Calc_오픈정렬!AL111=""),"",Calc_오픈정렬!AL111/Calc_오픈정렬!$F111*100)</f>
        <v/>
      </c>
      <c r="AM111" t="str">
        <f>IF(OR(Calc_오픈정렬!$F111="",Calc_오픈정렬!AM111=""),"",Calc_오픈정렬!AM111/Calc_오픈정렬!$F111*100)</f>
        <v/>
      </c>
      <c r="AN111" t="str">
        <f>IF(OR(Calc_오픈정렬!$F111="",Calc_오픈정렬!AN111=""),"",Calc_오픈정렬!AN111/Calc_오픈정렬!$F111*100)</f>
        <v/>
      </c>
      <c r="AO111" t="str">
        <f>IF(OR(Calc_오픈정렬!$F111="",Calc_오픈정렬!AO111=""),"",Calc_오픈정렬!AO111/Calc_오픈정렬!$F111*100)</f>
        <v/>
      </c>
      <c r="AP111" t="str">
        <f>IF(OR(Calc_오픈정렬!$F111="",Calc_오픈정렬!AP111=""),"",Calc_오픈정렬!AP111/Calc_오픈정렬!$F111*100)</f>
        <v/>
      </c>
      <c r="AQ111" t="str">
        <f>IF(OR(Calc_오픈정렬!$F111="",Calc_오픈정렬!AQ111=""),"",Calc_오픈정렬!AQ111/Calc_오픈정렬!$F111*100)</f>
        <v/>
      </c>
      <c r="AR111" t="str">
        <f>IF(OR(Calc_오픈정렬!$F111="",Calc_오픈정렬!AR111=""),"",Calc_오픈정렬!AR111/Calc_오픈정렬!$F111*100)</f>
        <v/>
      </c>
      <c r="AS111" t="str">
        <f>IF(OR(Calc_오픈정렬!$F111="",Calc_오픈정렬!AS111=""),"",Calc_오픈정렬!AS111/Calc_오픈정렬!$F111*100)</f>
        <v/>
      </c>
      <c r="AT111" t="str">
        <f>IF(OR(Calc_오픈정렬!$F111="",Calc_오픈정렬!AT111=""),"",Calc_오픈정렬!AT111/Calc_오픈정렬!$F111*100)</f>
        <v/>
      </c>
      <c r="AU111" t="str">
        <f>IF(OR(Calc_오픈정렬!$F111="",Calc_오픈정렬!AU111=""),"",Calc_오픈정렬!AU111/Calc_오픈정렬!$F111*100)</f>
        <v/>
      </c>
      <c r="AV111" t="str">
        <f>IF(OR(Calc_오픈정렬!$F111="",Calc_오픈정렬!AV111=""),"",Calc_오픈정렬!AV111/Calc_오픈정렬!$F111*100)</f>
        <v/>
      </c>
      <c r="AW111" t="str">
        <f>IF(OR(Calc_오픈정렬!$F111="",Calc_오픈정렬!AW111=""),"",Calc_오픈정렬!AW111/Calc_오픈정렬!$F111*100)</f>
        <v/>
      </c>
      <c r="AX111" t="str">
        <f>IF(OR(Calc_오픈정렬!$F111="",Calc_오픈정렬!AX111=""),"",Calc_오픈정렬!AX111/Calc_오픈정렬!$F111*100)</f>
        <v/>
      </c>
      <c r="AY111" t="str">
        <f>IF(OR(Calc_오픈정렬!$F111="",Calc_오픈정렬!AY111=""),"",Calc_오픈정렬!AY111/Calc_오픈정렬!$F111*100)</f>
        <v/>
      </c>
      <c r="AZ111" t="str">
        <f>IF(OR(Calc_오픈정렬!$F111="",Calc_오픈정렬!AZ111=""),"",Calc_오픈정렬!AZ111/Calc_오픈정렬!$F111*100)</f>
        <v/>
      </c>
      <c r="BA111" t="str">
        <f>IF(OR(Calc_오픈정렬!$F111="",Calc_오픈정렬!BA111=""),"",Calc_오픈정렬!BA111/Calc_오픈정렬!$F111*100)</f>
        <v/>
      </c>
      <c r="BB111" t="str">
        <f>IF(OR(Calc_오픈정렬!$F111="",Calc_오픈정렬!BB111=""),"",Calc_오픈정렬!BB111/Calc_오픈정렬!$F111*100)</f>
        <v/>
      </c>
      <c r="BC111" t="str">
        <f>IF(OR(Calc_오픈정렬!$F111="",Calc_오픈정렬!BC111=""),"",Calc_오픈정렬!BC111/Calc_오픈정렬!$F111*100)</f>
        <v/>
      </c>
      <c r="BD111" t="str">
        <f>IF(OR(Calc_오픈정렬!$F111="",Calc_오픈정렬!BD111=""),"",Calc_오픈정렬!BD111/Calc_오픈정렬!$F111*100)</f>
        <v/>
      </c>
      <c r="BE111" t="str">
        <f>IF(OR(Calc_오픈정렬!$F111="",Calc_오픈정렬!BE111=""),"",Calc_오픈정렬!BE111/Calc_오픈정렬!$F111*100)</f>
        <v/>
      </c>
      <c r="BF111" t="str">
        <f>IF(OR(Calc_오픈정렬!$F111="",Calc_오픈정렬!BF111=""),"",Calc_오픈정렬!BF111/Calc_오픈정렬!$F111*100)</f>
        <v/>
      </c>
      <c r="BG111" t="str">
        <f>IF(OR(Calc_오픈정렬!$F111="",Calc_오픈정렬!BG111=""),"",Calc_오픈정렬!BG111/Calc_오픈정렬!$F111*100)</f>
        <v/>
      </c>
      <c r="BH111" t="str">
        <f>IF(OR(Calc_오픈정렬!$F111="",Calc_오픈정렬!BH111=""),"",Calc_오픈정렬!BH111/Calc_오픈정렬!$F111*100)</f>
        <v/>
      </c>
      <c r="BI111" t="str">
        <f>IF(OR(Calc_오픈정렬!$F111="",Calc_오픈정렬!BI111=""),"",Calc_오픈정렬!BI111/Calc_오픈정렬!$F111*100)</f>
        <v/>
      </c>
      <c r="BJ111" t="str">
        <f>IF(OR(Calc_오픈정렬!$F111="",Calc_오픈정렬!BJ111=""),"",Calc_오픈정렬!BJ111/Calc_오픈정렬!$F111*100)</f>
        <v/>
      </c>
      <c r="BK111" t="str">
        <f>IF(OR(Calc_오픈정렬!$F111="",Calc_오픈정렬!BK111=""),"",Calc_오픈정렬!BK111/Calc_오픈정렬!$F111*100)</f>
        <v/>
      </c>
      <c r="BL111" t="str">
        <f>IF(OR(Calc_오픈정렬!$F111="",Calc_오픈정렬!BL111=""),"",Calc_오픈정렬!BL111/Calc_오픈정렬!$F111*100)</f>
        <v/>
      </c>
      <c r="BM111" t="str">
        <f>IF(OR(Calc_오픈정렬!$F111="",Calc_오픈정렬!BM111=""),"",Calc_오픈정렬!BM111/Calc_오픈정렬!$F111*100)</f>
        <v/>
      </c>
      <c r="BN111" t="str">
        <f>IF(OR(Calc_오픈정렬!$F111="",Calc_오픈정렬!BN111=""),"",Calc_오픈정렬!BN111/Calc_오픈정렬!$F111*100)</f>
        <v/>
      </c>
    </row>
    <row r="112" spans="1:66" x14ac:dyDescent="0.4">
      <c r="A112" t="str">
        <f>Calc_오픈정렬!A112</f>
        <v>(1102) #당산영동초등점</v>
      </c>
      <c r="B112" t="str">
        <f>Calc_오픈정렬!B112</f>
        <v>150-3</v>
      </c>
      <c r="C112">
        <f>Calc_오픈정렬!C112</f>
        <v>3</v>
      </c>
      <c r="D112" t="str">
        <f>Calc_오픈정렬!D112</f>
        <v>3+</v>
      </c>
      <c r="E112" s="1">
        <f>Calc_오픈정렬!E112</f>
        <v>45323</v>
      </c>
      <c r="F112">
        <f>Calc_오픈정렬!F112</f>
        <v>5536122.4610815076</v>
      </c>
      <c r="G112">
        <f>IF(OR(Calc_오픈정렬!$F112="",Calc_오픈정렬!G112=""),"",Calc_오픈정렬!G112/Calc_오픈정렬!$F112*100)</f>
        <v>80.786288480640849</v>
      </c>
      <c r="H112">
        <f>IF(OR(Calc_오픈정렬!$F112="",Calc_오픈정렬!H112=""),"",Calc_오픈정렬!H112/Calc_오픈정렬!$F112*100)</f>
        <v>81.724849634334703</v>
      </c>
      <c r="I112">
        <f>IF(OR(Calc_오픈정렬!$F112="",Calc_오픈정렬!I112=""),"",Calc_오픈정렬!I112/Calc_오픈정렬!$F112*100)</f>
        <v>86.52553656364293</v>
      </c>
      <c r="J112">
        <f>IF(OR(Calc_오픈정렬!$F112="",Calc_오픈정렬!J112=""),"",Calc_오픈정렬!J112/Calc_오픈정렬!$F112*100)</f>
        <v>84.113572804678881</v>
      </c>
      <c r="K112">
        <f>IF(OR(Calc_오픈정렬!$F112="",Calc_오픈정렬!K112=""),"",Calc_오픈정렬!K112/Calc_오픈정렬!$F112*100)</f>
        <v>95.638423626311479</v>
      </c>
      <c r="L112">
        <f>IF(OR(Calc_오픈정렬!$F112="",Calc_오픈정렬!L112=""),"",Calc_오픈정렬!L112/Calc_오픈정렬!$F112*100)</f>
        <v>95.309202172246529</v>
      </c>
      <c r="M112">
        <f>IF(OR(Calc_오픈정렬!$F112="",Calc_오픈정렬!M112=""),"",Calc_오픈정렬!M112/Calc_오픈정렬!$F112*100)</f>
        <v>111.94919768229977</v>
      </c>
      <c r="N112">
        <f>IF(OR(Calc_오픈정렬!$F112="",Calc_오픈정렬!N112=""),"",Calc_오픈정렬!N112/Calc_오픈정렬!$F112*100)</f>
        <v>105.83597429277741</v>
      </c>
      <c r="O112">
        <f>IF(OR(Calc_오픈정렬!$F112="",Calc_오픈정렬!O112=""),"",Calc_오픈정렬!O112/Calc_오픈정렬!$F112*100)</f>
        <v>107.15362942168596</v>
      </c>
      <c r="P112">
        <f>IF(OR(Calc_오픈정렬!$F112="",Calc_오픈정렬!P112=""),"",Calc_오픈정렬!P112/Calc_오픈정렬!$F112*100)</f>
        <v>103.78142533680912</v>
      </c>
      <c r="Q112">
        <f>IF(OR(Calc_오픈정렬!$F112="",Calc_오픈정렬!Q112=""),"",Calc_오픈정렬!Q112/Calc_오픈정렬!$F112*100)</f>
        <v>109.11049152352241</v>
      </c>
      <c r="R112">
        <f>IF(OR(Calc_오픈정렬!$F112="",Calc_오픈정렬!R112=""),"",Calc_오픈정렬!R112/Calc_오픈정렬!$F112*100)</f>
        <v>117.24261540548235</v>
      </c>
      <c r="S112">
        <f>IF(OR(Calc_오픈정렬!$F112="",Calc_오픈정렬!S112=""),"",Calc_오픈정렬!S112/Calc_오픈정렬!$F112*100)</f>
        <v>115.80544542993681</v>
      </c>
      <c r="T112">
        <f>IF(OR(Calc_오픈정렬!$F112="",Calc_오픈정렬!T112=""),"",Calc_오픈정렬!T112/Calc_오픈정렬!$F112*100)</f>
        <v>116.81205818817982</v>
      </c>
      <c r="U112">
        <f>IF(OR(Calc_오픈정렬!$F112="",Calc_오픈정렬!U112=""),"",Calc_오픈정렬!U112/Calc_오픈정렬!$F112*100)</f>
        <v>119.6429634030643</v>
      </c>
      <c r="V112">
        <f>IF(OR(Calc_오픈정렬!$F112="",Calc_오픈정렬!V112=""),"",Calc_오픈정렬!V112/Calc_오픈정렬!$F112*100)</f>
        <v>127.19937495282767</v>
      </c>
      <c r="W112">
        <f>IF(OR(Calc_오픈정렬!$F112="",Calc_오픈정렬!W112=""),"",Calc_오픈정렬!W112/Calc_오픈정렬!$F112*100)</f>
        <v>125.37594380037349</v>
      </c>
      <c r="X112">
        <f>IF(OR(Calc_오픈정렬!$F112="",Calc_오픈정렬!X112=""),"",Calc_오픈정렬!X112/Calc_오픈정렬!$F112*100)</f>
        <v>120.20593363606658</v>
      </c>
      <c r="Y112">
        <f>IF(OR(Calc_오픈정렬!$F112="",Calc_오픈정렬!Y112=""),"",Calc_오픈정렬!Y112/Calc_오픈정렬!$F112*100)</f>
        <v>124.12670867868489</v>
      </c>
      <c r="Z112">
        <f>IF(OR(Calc_오픈정렬!$F112="",Calc_오픈정렬!Z112=""),"",Calc_오픈정렬!Z112/Calc_오픈정렬!$F112*100)</f>
        <v>124.57414383299223</v>
      </c>
      <c r="AA112">
        <f>IF(OR(Calc_오픈정렬!$F112="",Calc_오픈정렬!AA112=""),"",Calc_오픈정렬!AA112/Calc_오픈정렬!$F112*100)</f>
        <v>120.4453829943406</v>
      </c>
      <c r="AB112">
        <f>IF(OR(Calc_오픈정렬!$F112="",Calc_오픈정렬!AB112=""),"",Calc_오픈정렬!AB112/Calc_오픈정렬!$F112*100)</f>
        <v>130.24401889136556</v>
      </c>
      <c r="AC112">
        <f>IF(OR(Calc_오픈정렬!$F112="",Calc_오픈정렬!AC112=""),"",Calc_오픈정렬!AC112/Calc_오픈정렬!$F112*100)</f>
        <v>117.96012285027906</v>
      </c>
      <c r="AD112">
        <f>IF(OR(Calc_오픈정렬!$F112="",Calc_오픈정렬!AD112=""),"",Calc_오픈정렬!AD112/Calc_오픈정렬!$F112*100)</f>
        <v>131.64469550386588</v>
      </c>
      <c r="AE112">
        <f>IF(OR(Calc_오픈정렬!$F112="",Calc_오픈정렬!AE112=""),"",Calc_오픈정렬!AE112/Calc_오픈정렬!$F112*100)</f>
        <v>134.13912886850059</v>
      </c>
      <c r="AF112">
        <f>IF(OR(Calc_오픈정렬!$F112="",Calc_오픈정렬!AF112=""),"",Calc_오픈정렬!AF112/Calc_오픈정렬!$F112*100)</f>
        <v>130.9963596228651</v>
      </c>
      <c r="AG112">
        <f>IF(OR(Calc_오픈정렬!$F112="",Calc_오픈정렬!AG112=""),"",Calc_오픈정렬!AG112/Calc_오픈정렬!$F112*100)</f>
        <v>128.23000286192234</v>
      </c>
      <c r="AH112">
        <f>IF(OR(Calc_오픈정렬!$F112="",Calc_오픈정렬!AH112=""),"",Calc_오픈정렬!AH112/Calc_오픈정렬!$F112*100)</f>
        <v>130.35370893415077</v>
      </c>
      <c r="AI112" t="str">
        <f>IF(OR(Calc_오픈정렬!$F112="",Calc_오픈정렬!AI112=""),"",Calc_오픈정렬!AI112/Calc_오픈정렬!$F112*100)</f>
        <v/>
      </c>
      <c r="AJ112" t="str">
        <f>IF(OR(Calc_오픈정렬!$F112="",Calc_오픈정렬!AJ112=""),"",Calc_오픈정렬!AJ112/Calc_오픈정렬!$F112*100)</f>
        <v/>
      </c>
      <c r="AK112" t="str">
        <f>IF(OR(Calc_오픈정렬!$F112="",Calc_오픈정렬!AK112=""),"",Calc_오픈정렬!AK112/Calc_오픈정렬!$F112*100)</f>
        <v/>
      </c>
      <c r="AL112" t="str">
        <f>IF(OR(Calc_오픈정렬!$F112="",Calc_오픈정렬!AL112=""),"",Calc_오픈정렬!AL112/Calc_오픈정렬!$F112*100)</f>
        <v/>
      </c>
      <c r="AM112" t="str">
        <f>IF(OR(Calc_오픈정렬!$F112="",Calc_오픈정렬!AM112=""),"",Calc_오픈정렬!AM112/Calc_오픈정렬!$F112*100)</f>
        <v/>
      </c>
      <c r="AN112" t="str">
        <f>IF(OR(Calc_오픈정렬!$F112="",Calc_오픈정렬!AN112=""),"",Calc_오픈정렬!AN112/Calc_오픈정렬!$F112*100)</f>
        <v/>
      </c>
      <c r="AO112" t="str">
        <f>IF(OR(Calc_오픈정렬!$F112="",Calc_오픈정렬!AO112=""),"",Calc_오픈정렬!AO112/Calc_오픈정렬!$F112*100)</f>
        <v/>
      </c>
      <c r="AP112" t="str">
        <f>IF(OR(Calc_오픈정렬!$F112="",Calc_오픈정렬!AP112=""),"",Calc_오픈정렬!AP112/Calc_오픈정렬!$F112*100)</f>
        <v/>
      </c>
      <c r="AQ112" t="str">
        <f>IF(OR(Calc_오픈정렬!$F112="",Calc_오픈정렬!AQ112=""),"",Calc_오픈정렬!AQ112/Calc_오픈정렬!$F112*100)</f>
        <v/>
      </c>
      <c r="AR112" t="str">
        <f>IF(OR(Calc_오픈정렬!$F112="",Calc_오픈정렬!AR112=""),"",Calc_오픈정렬!AR112/Calc_오픈정렬!$F112*100)</f>
        <v/>
      </c>
      <c r="AS112" t="str">
        <f>IF(OR(Calc_오픈정렬!$F112="",Calc_오픈정렬!AS112=""),"",Calc_오픈정렬!AS112/Calc_오픈정렬!$F112*100)</f>
        <v/>
      </c>
      <c r="AT112" t="str">
        <f>IF(OR(Calc_오픈정렬!$F112="",Calc_오픈정렬!AT112=""),"",Calc_오픈정렬!AT112/Calc_오픈정렬!$F112*100)</f>
        <v/>
      </c>
      <c r="AU112" t="str">
        <f>IF(OR(Calc_오픈정렬!$F112="",Calc_오픈정렬!AU112=""),"",Calc_오픈정렬!AU112/Calc_오픈정렬!$F112*100)</f>
        <v/>
      </c>
      <c r="AV112" t="str">
        <f>IF(OR(Calc_오픈정렬!$F112="",Calc_오픈정렬!AV112=""),"",Calc_오픈정렬!AV112/Calc_오픈정렬!$F112*100)</f>
        <v/>
      </c>
      <c r="AW112" t="str">
        <f>IF(OR(Calc_오픈정렬!$F112="",Calc_오픈정렬!AW112=""),"",Calc_오픈정렬!AW112/Calc_오픈정렬!$F112*100)</f>
        <v/>
      </c>
      <c r="AX112" t="str">
        <f>IF(OR(Calc_오픈정렬!$F112="",Calc_오픈정렬!AX112=""),"",Calc_오픈정렬!AX112/Calc_오픈정렬!$F112*100)</f>
        <v/>
      </c>
      <c r="AY112" t="str">
        <f>IF(OR(Calc_오픈정렬!$F112="",Calc_오픈정렬!AY112=""),"",Calc_오픈정렬!AY112/Calc_오픈정렬!$F112*100)</f>
        <v/>
      </c>
      <c r="AZ112" t="str">
        <f>IF(OR(Calc_오픈정렬!$F112="",Calc_오픈정렬!AZ112=""),"",Calc_오픈정렬!AZ112/Calc_오픈정렬!$F112*100)</f>
        <v/>
      </c>
      <c r="BA112" t="str">
        <f>IF(OR(Calc_오픈정렬!$F112="",Calc_오픈정렬!BA112=""),"",Calc_오픈정렬!BA112/Calc_오픈정렬!$F112*100)</f>
        <v/>
      </c>
      <c r="BB112" t="str">
        <f>IF(OR(Calc_오픈정렬!$F112="",Calc_오픈정렬!BB112=""),"",Calc_오픈정렬!BB112/Calc_오픈정렬!$F112*100)</f>
        <v/>
      </c>
      <c r="BC112" t="str">
        <f>IF(OR(Calc_오픈정렬!$F112="",Calc_오픈정렬!BC112=""),"",Calc_오픈정렬!BC112/Calc_오픈정렬!$F112*100)</f>
        <v/>
      </c>
      <c r="BD112" t="str">
        <f>IF(OR(Calc_오픈정렬!$F112="",Calc_오픈정렬!BD112=""),"",Calc_오픈정렬!BD112/Calc_오픈정렬!$F112*100)</f>
        <v/>
      </c>
      <c r="BE112" t="str">
        <f>IF(OR(Calc_오픈정렬!$F112="",Calc_오픈정렬!BE112=""),"",Calc_오픈정렬!BE112/Calc_오픈정렬!$F112*100)</f>
        <v/>
      </c>
      <c r="BF112" t="str">
        <f>IF(OR(Calc_오픈정렬!$F112="",Calc_오픈정렬!BF112=""),"",Calc_오픈정렬!BF112/Calc_오픈정렬!$F112*100)</f>
        <v/>
      </c>
      <c r="BG112" t="str">
        <f>IF(OR(Calc_오픈정렬!$F112="",Calc_오픈정렬!BG112=""),"",Calc_오픈정렬!BG112/Calc_오픈정렬!$F112*100)</f>
        <v/>
      </c>
      <c r="BH112" t="str">
        <f>IF(OR(Calc_오픈정렬!$F112="",Calc_오픈정렬!BH112=""),"",Calc_오픈정렬!BH112/Calc_오픈정렬!$F112*100)</f>
        <v/>
      </c>
      <c r="BI112" t="str">
        <f>IF(OR(Calc_오픈정렬!$F112="",Calc_오픈정렬!BI112=""),"",Calc_오픈정렬!BI112/Calc_오픈정렬!$F112*100)</f>
        <v/>
      </c>
      <c r="BJ112" t="str">
        <f>IF(OR(Calc_오픈정렬!$F112="",Calc_오픈정렬!BJ112=""),"",Calc_오픈정렬!BJ112/Calc_오픈정렬!$F112*100)</f>
        <v/>
      </c>
      <c r="BK112" t="str">
        <f>IF(OR(Calc_오픈정렬!$F112="",Calc_오픈정렬!BK112=""),"",Calc_오픈정렬!BK112/Calc_오픈정렬!$F112*100)</f>
        <v/>
      </c>
      <c r="BL112" t="str">
        <f>IF(OR(Calc_오픈정렬!$F112="",Calc_오픈정렬!BL112=""),"",Calc_오픈정렬!BL112/Calc_오픈정렬!$F112*100)</f>
        <v/>
      </c>
      <c r="BM112" t="str">
        <f>IF(OR(Calc_오픈정렬!$F112="",Calc_오픈정렬!BM112=""),"",Calc_오픈정렬!BM112/Calc_오픈정렬!$F112*100)</f>
        <v/>
      </c>
      <c r="BN112" t="str">
        <f>IF(OR(Calc_오픈정렬!$F112="",Calc_오픈정렬!BN112=""),"",Calc_오픈정렬!BN112/Calc_오픈정렬!$F112*100)</f>
        <v/>
      </c>
    </row>
    <row r="113" spans="1:66" x14ac:dyDescent="0.4">
      <c r="A113" t="str">
        <f>Calc_오픈정렬!A113</f>
        <v>(1103) #한양대학로점</v>
      </c>
      <c r="B113" t="str">
        <f>Calc_오픈정렬!B113</f>
        <v>150-1</v>
      </c>
      <c r="C113">
        <f>Calc_오픈정렬!C113</f>
        <v>1</v>
      </c>
      <c r="D113" t="str">
        <f>Calc_오픈정렬!D113</f>
        <v>1</v>
      </c>
      <c r="E113" s="1">
        <f>Calc_오픈정렬!E113</f>
        <v>45352</v>
      </c>
      <c r="F113">
        <f>Calc_오픈정렬!F113</f>
        <v>3556700.0089761787</v>
      </c>
      <c r="G113">
        <f>IF(OR(Calc_오픈정렬!$F113="",Calc_오픈정렬!G113=""),"",Calc_오픈정렬!G113/Calc_오픈정렬!$F113*100)</f>
        <v>85.684094973885223</v>
      </c>
      <c r="H113">
        <f>IF(OR(Calc_오픈정렬!$F113="",Calc_오픈정렬!H113=""),"",Calc_오픈정렬!H113/Calc_오픈정렬!$F113*100)</f>
        <v>91.620784444405047</v>
      </c>
      <c r="I113">
        <f>IF(OR(Calc_오픈정렬!$F113="",Calc_오픈정렬!I113=""),"",Calc_오픈정렬!I113/Calc_오픈정렬!$F113*100)</f>
        <v>87.31619060853329</v>
      </c>
      <c r="J113">
        <f>IF(OR(Calc_오픈정렬!$F113="",Calc_오픈정렬!J113=""),"",Calc_오픈정렬!J113/Calc_오픈정렬!$F113*100)</f>
        <v>105.57826430330269</v>
      </c>
      <c r="K113">
        <f>IF(OR(Calc_오픈정렬!$F113="",Calc_오픈정렬!K113=""),"",Calc_오픈정렬!K113/Calc_오픈정렬!$F113*100)</f>
        <v>88.492791119808189</v>
      </c>
      <c r="L113">
        <f>IF(OR(Calc_오픈정렬!$F113="",Calc_오픈정렬!L113=""),"",Calc_오픈정렬!L113/Calc_오픈정렬!$F113*100)</f>
        <v>105.14700941536925</v>
      </c>
      <c r="M113">
        <f>IF(OR(Calc_오픈정렬!$F113="",Calc_오픈정렬!M113=""),"",Calc_오픈정렬!M113/Calc_오픈정렬!$F113*100)</f>
        <v>107.40122248994659</v>
      </c>
      <c r="N113">
        <f>IF(OR(Calc_오픈정렬!$F113="",Calc_오픈정렬!N113=""),"",Calc_오픈정렬!N113/Calc_오픈정렬!$F113*100)</f>
        <v>94.671294104537637</v>
      </c>
      <c r="O113">
        <f>IF(OR(Calc_오픈정렬!$F113="",Calc_오픈정렬!O113=""),"",Calc_오픈정렬!O113/Calc_오픈정렬!$F113*100)</f>
        <v>98.709418567035613</v>
      </c>
      <c r="P113">
        <f>IF(OR(Calc_오픈정렬!$F113="",Calc_오픈정렬!P113=""),"",Calc_오픈정렬!P113/Calc_오픈정렬!$F113*100)</f>
        <v>109.20075230008308</v>
      </c>
      <c r="Q113">
        <f>IF(OR(Calc_오픈정렬!$F113="",Calc_오픈정렬!Q113=""),"",Calc_오픈정렬!Q113/Calc_오픈정렬!$F113*100)</f>
        <v>102.02690858703161</v>
      </c>
      <c r="R113">
        <f>IF(OR(Calc_오픈정렬!$F113="",Calc_오픈정렬!R113=""),"",Calc_오픈정렬!R113/Calc_오픈정렬!$F113*100)</f>
        <v>114.24470016235684</v>
      </c>
      <c r="S113">
        <f>IF(OR(Calc_오픈정렬!$F113="",Calc_오픈정렬!S113=""),"",Calc_오픈정렬!S113/Calc_오픈정렬!$F113*100)</f>
        <v>123.55999899122372</v>
      </c>
      <c r="T113">
        <f>IF(OR(Calc_오픈정렬!$F113="",Calc_오픈정렬!T113=""),"",Calc_오픈정렬!T113/Calc_오픈정렬!$F113*100)</f>
        <v>120.7218382158993</v>
      </c>
      <c r="U113">
        <f>IF(OR(Calc_오픈정렬!$F113="",Calc_오픈정렬!U113=""),"",Calc_오픈정렬!U113/Calc_오픈정렬!$F113*100)</f>
        <v>121.42080462542273</v>
      </c>
      <c r="V113">
        <f>IF(OR(Calc_오픈정렬!$F113="",Calc_오픈정렬!V113=""),"",Calc_오픈정렬!V113/Calc_오픈정렬!$F113*100)</f>
        <v>139.74395927138755</v>
      </c>
      <c r="W113">
        <f>IF(OR(Calc_오픈정렬!$F113="",Calc_오픈정렬!W113=""),"",Calc_오픈정렬!W113/Calc_오픈정렬!$F113*100)</f>
        <v>112.3247774227859</v>
      </c>
      <c r="X113">
        <f>IF(OR(Calc_오픈정렬!$F113="",Calc_오픈정렬!X113=""),"",Calc_오픈정렬!X113/Calc_오픈정렬!$F113*100)</f>
        <v>104.98472552792568</v>
      </c>
      <c r="Y113">
        <f>IF(OR(Calc_오픈정렬!$F113="",Calc_오픈정렬!Y113=""),"",Calc_오픈정렬!Y113/Calc_오픈정렬!$F113*100)</f>
        <v>91.955132528853284</v>
      </c>
      <c r="Z113">
        <f>IF(OR(Calc_오픈정렬!$F113="",Calc_오픈정렬!Z113=""),"",Calc_오픈정렬!Z113/Calc_오픈정렬!$F113*100)</f>
        <v>78.037349231183214</v>
      </c>
      <c r="AA113">
        <f>IF(OR(Calc_오픈정렬!$F113="",Calc_오픈정렬!AA113=""),"",Calc_오픈정렬!AA113/Calc_오픈정렬!$F113*100)</f>
        <v>80.413833427372097</v>
      </c>
      <c r="AB113">
        <f>IF(OR(Calc_오픈정렬!$F113="",Calc_오픈정렬!AB113=""),"",Calc_오픈정렬!AB113/Calc_오픈정렬!$F113*100)</f>
        <v>69.420915541465362</v>
      </c>
      <c r="AC113">
        <f>IF(OR(Calc_오픈정렬!$F113="",Calc_오픈정렬!AC113=""),"",Calc_오픈정렬!AC113/Calc_오픈정렬!$F113*100)</f>
        <v>70.045628504555935</v>
      </c>
      <c r="AD113">
        <f>IF(OR(Calc_오픈정렬!$F113="",Calc_오픈정렬!AD113=""),"",Calc_오픈정렬!AD113/Calc_오픈정렬!$F113*100)</f>
        <v>61.526486774931797</v>
      </c>
      <c r="AE113">
        <f>IF(OR(Calc_오픈정렬!$F113="",Calc_오픈정렬!AE113=""),"",Calc_오픈정렬!AE113/Calc_오픈정렬!$F113*100)</f>
        <v>68.405092688930566</v>
      </c>
      <c r="AF113">
        <f>IF(OR(Calc_오픈정렬!$F113="",Calc_오픈정렬!AF113=""),"",Calc_오픈정렬!AF113/Calc_오픈정렬!$F113*100)</f>
        <v>74.502089053448373</v>
      </c>
      <c r="AG113">
        <f>IF(OR(Calc_오픈정렬!$F113="",Calc_오픈정렬!AG113=""),"",Calc_오픈정렬!AG113/Calc_오픈정렬!$F113*100)</f>
        <v>82.141393803670326</v>
      </c>
      <c r="AH113" t="str">
        <f>IF(OR(Calc_오픈정렬!$F113="",Calc_오픈정렬!AH113=""),"",Calc_오픈정렬!AH113/Calc_오픈정렬!$F113*100)</f>
        <v/>
      </c>
      <c r="AI113" t="str">
        <f>IF(OR(Calc_오픈정렬!$F113="",Calc_오픈정렬!AI113=""),"",Calc_오픈정렬!AI113/Calc_오픈정렬!$F113*100)</f>
        <v/>
      </c>
      <c r="AJ113" t="str">
        <f>IF(OR(Calc_오픈정렬!$F113="",Calc_오픈정렬!AJ113=""),"",Calc_오픈정렬!AJ113/Calc_오픈정렬!$F113*100)</f>
        <v/>
      </c>
      <c r="AK113" t="str">
        <f>IF(OR(Calc_오픈정렬!$F113="",Calc_오픈정렬!AK113=""),"",Calc_오픈정렬!AK113/Calc_오픈정렬!$F113*100)</f>
        <v/>
      </c>
      <c r="AL113" t="str">
        <f>IF(OR(Calc_오픈정렬!$F113="",Calc_오픈정렬!AL113=""),"",Calc_오픈정렬!AL113/Calc_오픈정렬!$F113*100)</f>
        <v/>
      </c>
      <c r="AM113" t="str">
        <f>IF(OR(Calc_오픈정렬!$F113="",Calc_오픈정렬!AM113=""),"",Calc_오픈정렬!AM113/Calc_오픈정렬!$F113*100)</f>
        <v/>
      </c>
      <c r="AN113" t="str">
        <f>IF(OR(Calc_오픈정렬!$F113="",Calc_오픈정렬!AN113=""),"",Calc_오픈정렬!AN113/Calc_오픈정렬!$F113*100)</f>
        <v/>
      </c>
      <c r="AO113" t="str">
        <f>IF(OR(Calc_오픈정렬!$F113="",Calc_오픈정렬!AO113=""),"",Calc_오픈정렬!AO113/Calc_오픈정렬!$F113*100)</f>
        <v/>
      </c>
      <c r="AP113" t="str">
        <f>IF(OR(Calc_오픈정렬!$F113="",Calc_오픈정렬!AP113=""),"",Calc_오픈정렬!AP113/Calc_오픈정렬!$F113*100)</f>
        <v/>
      </c>
      <c r="AQ113" t="str">
        <f>IF(OR(Calc_오픈정렬!$F113="",Calc_오픈정렬!AQ113=""),"",Calc_오픈정렬!AQ113/Calc_오픈정렬!$F113*100)</f>
        <v/>
      </c>
      <c r="AR113" t="str">
        <f>IF(OR(Calc_오픈정렬!$F113="",Calc_오픈정렬!AR113=""),"",Calc_오픈정렬!AR113/Calc_오픈정렬!$F113*100)</f>
        <v/>
      </c>
      <c r="AS113" t="str">
        <f>IF(OR(Calc_오픈정렬!$F113="",Calc_오픈정렬!AS113=""),"",Calc_오픈정렬!AS113/Calc_오픈정렬!$F113*100)</f>
        <v/>
      </c>
      <c r="AT113" t="str">
        <f>IF(OR(Calc_오픈정렬!$F113="",Calc_오픈정렬!AT113=""),"",Calc_오픈정렬!AT113/Calc_오픈정렬!$F113*100)</f>
        <v/>
      </c>
      <c r="AU113" t="str">
        <f>IF(OR(Calc_오픈정렬!$F113="",Calc_오픈정렬!AU113=""),"",Calc_오픈정렬!AU113/Calc_오픈정렬!$F113*100)</f>
        <v/>
      </c>
      <c r="AV113" t="str">
        <f>IF(OR(Calc_오픈정렬!$F113="",Calc_오픈정렬!AV113=""),"",Calc_오픈정렬!AV113/Calc_오픈정렬!$F113*100)</f>
        <v/>
      </c>
      <c r="AW113" t="str">
        <f>IF(OR(Calc_오픈정렬!$F113="",Calc_오픈정렬!AW113=""),"",Calc_오픈정렬!AW113/Calc_오픈정렬!$F113*100)</f>
        <v/>
      </c>
      <c r="AX113" t="str">
        <f>IF(OR(Calc_오픈정렬!$F113="",Calc_오픈정렬!AX113=""),"",Calc_오픈정렬!AX113/Calc_오픈정렬!$F113*100)</f>
        <v/>
      </c>
      <c r="AY113" t="str">
        <f>IF(OR(Calc_오픈정렬!$F113="",Calc_오픈정렬!AY113=""),"",Calc_오픈정렬!AY113/Calc_오픈정렬!$F113*100)</f>
        <v/>
      </c>
      <c r="AZ113" t="str">
        <f>IF(OR(Calc_오픈정렬!$F113="",Calc_오픈정렬!AZ113=""),"",Calc_오픈정렬!AZ113/Calc_오픈정렬!$F113*100)</f>
        <v/>
      </c>
      <c r="BA113" t="str">
        <f>IF(OR(Calc_오픈정렬!$F113="",Calc_오픈정렬!BA113=""),"",Calc_오픈정렬!BA113/Calc_오픈정렬!$F113*100)</f>
        <v/>
      </c>
      <c r="BB113" t="str">
        <f>IF(OR(Calc_오픈정렬!$F113="",Calc_오픈정렬!BB113=""),"",Calc_오픈정렬!BB113/Calc_오픈정렬!$F113*100)</f>
        <v/>
      </c>
      <c r="BC113" t="str">
        <f>IF(OR(Calc_오픈정렬!$F113="",Calc_오픈정렬!BC113=""),"",Calc_오픈정렬!BC113/Calc_오픈정렬!$F113*100)</f>
        <v/>
      </c>
      <c r="BD113" t="str">
        <f>IF(OR(Calc_오픈정렬!$F113="",Calc_오픈정렬!BD113=""),"",Calc_오픈정렬!BD113/Calc_오픈정렬!$F113*100)</f>
        <v/>
      </c>
      <c r="BE113" t="str">
        <f>IF(OR(Calc_오픈정렬!$F113="",Calc_오픈정렬!BE113=""),"",Calc_오픈정렬!BE113/Calc_오픈정렬!$F113*100)</f>
        <v/>
      </c>
      <c r="BF113" t="str">
        <f>IF(OR(Calc_오픈정렬!$F113="",Calc_오픈정렬!BF113=""),"",Calc_오픈정렬!BF113/Calc_오픈정렬!$F113*100)</f>
        <v/>
      </c>
      <c r="BG113" t="str">
        <f>IF(OR(Calc_오픈정렬!$F113="",Calc_오픈정렬!BG113=""),"",Calc_오픈정렬!BG113/Calc_오픈정렬!$F113*100)</f>
        <v/>
      </c>
      <c r="BH113" t="str">
        <f>IF(OR(Calc_오픈정렬!$F113="",Calc_오픈정렬!BH113=""),"",Calc_오픈정렬!BH113/Calc_오픈정렬!$F113*100)</f>
        <v/>
      </c>
      <c r="BI113" t="str">
        <f>IF(OR(Calc_오픈정렬!$F113="",Calc_오픈정렬!BI113=""),"",Calc_오픈정렬!BI113/Calc_오픈정렬!$F113*100)</f>
        <v/>
      </c>
      <c r="BJ113" t="str">
        <f>IF(OR(Calc_오픈정렬!$F113="",Calc_오픈정렬!BJ113=""),"",Calc_오픈정렬!BJ113/Calc_오픈정렬!$F113*100)</f>
        <v/>
      </c>
      <c r="BK113" t="str">
        <f>IF(OR(Calc_오픈정렬!$F113="",Calc_오픈정렬!BK113=""),"",Calc_오픈정렬!BK113/Calc_오픈정렬!$F113*100)</f>
        <v/>
      </c>
      <c r="BL113" t="str">
        <f>IF(OR(Calc_오픈정렬!$F113="",Calc_오픈정렬!BL113=""),"",Calc_오픈정렬!BL113/Calc_오픈정렬!$F113*100)</f>
        <v/>
      </c>
      <c r="BM113" t="str">
        <f>IF(OR(Calc_오픈정렬!$F113="",Calc_오픈정렬!BM113=""),"",Calc_오픈정렬!BM113/Calc_오픈정렬!$F113*100)</f>
        <v/>
      </c>
      <c r="BN113" t="str">
        <f>IF(OR(Calc_오픈정렬!$F113="",Calc_오픈정렬!BN113=""),"",Calc_오픈정렬!BN113/Calc_오픈정렬!$F113*100)</f>
        <v/>
      </c>
    </row>
    <row r="114" spans="1:66" x14ac:dyDescent="0.4">
      <c r="A114" t="str">
        <f>Calc_오픈정렬!A114</f>
        <v>(1104) #신림신원시장점</v>
      </c>
      <c r="B114" t="str">
        <f>Calc_오픈정렬!B114</f>
        <v>150-1</v>
      </c>
      <c r="C114">
        <f>Calc_오픈정렬!C114</f>
        <v>1</v>
      </c>
      <c r="D114" t="str">
        <f>Calc_오픈정렬!D114</f>
        <v>1</v>
      </c>
      <c r="E114" s="1">
        <f>Calc_오픈정렬!E114</f>
        <v>45352</v>
      </c>
      <c r="F114">
        <f>Calc_오픈정렬!F114</f>
        <v>4347668.2309036208</v>
      </c>
      <c r="G114">
        <f>IF(OR(Calc_오픈정렬!$F114="",Calc_오픈정렬!G114=""),"",Calc_오픈정렬!G114/Calc_오픈정렬!$F114*100)</f>
        <v>77.091886261613524</v>
      </c>
      <c r="H114">
        <f>IF(OR(Calc_오픈정렬!$F114="",Calc_오픈정렬!H114=""),"",Calc_오픈정렬!H114/Calc_오픈정렬!$F114*100)</f>
        <v>101.06814200623432</v>
      </c>
      <c r="I114">
        <f>IF(OR(Calc_오픈정렬!$F114="",Calc_오픈정렬!I114=""),"",Calc_오픈정렬!I114/Calc_오픈정렬!$F114*100)</f>
        <v>84.878737155610509</v>
      </c>
      <c r="J114">
        <f>IF(OR(Calc_오픈정렬!$F114="",Calc_오픈정렬!J114=""),"",Calc_오픈정렬!J114/Calc_오픈정렬!$F114*100)</f>
        <v>96.893144459248418</v>
      </c>
      <c r="K114">
        <f>IF(OR(Calc_오픈정렬!$F114="",Calc_오픈정렬!K114=""),"",Calc_오픈정렬!K114/Calc_오픈정렬!$F114*100)</f>
        <v>111.63393247455238</v>
      </c>
      <c r="L114">
        <f>IF(OR(Calc_오픈정렬!$F114="",Calc_오픈정렬!L114=""),"",Calc_오픈정렬!L114/Calc_오픈정렬!$F114*100)</f>
        <v>99.756851219655516</v>
      </c>
      <c r="M114">
        <f>IF(OR(Calc_오픈정렬!$F114="",Calc_오픈정렬!M114=""),"",Calc_오픈정렬!M114/Calc_오픈정렬!$F114*100)</f>
        <v>97.758093482545007</v>
      </c>
      <c r="N114">
        <f>IF(OR(Calc_오픈정렬!$F114="",Calc_오픈정렬!N114=""),"",Calc_오픈정렬!N114/Calc_오픈정렬!$F114*100)</f>
        <v>90.876474505234285</v>
      </c>
      <c r="O114">
        <f>IF(OR(Calc_오픈정렬!$F114="",Calc_오픈정렬!O114=""),"",Calc_오픈정렬!O114/Calc_오픈정렬!$F114*100)</f>
        <v>103.08150385876442</v>
      </c>
      <c r="P114">
        <f>IF(OR(Calc_오픈정렬!$F114="",Calc_오픈정렬!P114=""),"",Calc_오픈정렬!P114/Calc_오픈정렬!$F114*100)</f>
        <v>100.83080998091309</v>
      </c>
      <c r="Q114">
        <f>IF(OR(Calc_오픈정렬!$F114="",Calc_오픈정렬!Q114=""),"",Calc_오픈정렬!Q114/Calc_오픈정렬!$F114*100)</f>
        <v>119.88919334347887</v>
      </c>
      <c r="R114">
        <f>IF(OR(Calc_오픈정렬!$F114="",Calc_오픈정렬!R114=""),"",Calc_오픈정렬!R114/Calc_오픈정렬!$F114*100)</f>
        <v>117.55322245160788</v>
      </c>
      <c r="S114">
        <f>IF(OR(Calc_오픈정렬!$F114="",Calc_오픈정렬!S114=""),"",Calc_오픈정렬!S114/Calc_오픈정렬!$F114*100)</f>
        <v>119.37300690848853</v>
      </c>
      <c r="T114">
        <f>IF(OR(Calc_오픈정렬!$F114="",Calc_오픈정렬!T114=""),"",Calc_오픈정렬!T114/Calc_오픈정렬!$F114*100)</f>
        <v>128.2613501758004</v>
      </c>
      <c r="U114">
        <f>IF(OR(Calc_오픈정렬!$F114="",Calc_오픈정렬!U114=""),"",Calc_오픈정렬!U114/Calc_오픈정렬!$F114*100)</f>
        <v>115.78788713773295</v>
      </c>
      <c r="V114">
        <f>IF(OR(Calc_오픈정렬!$F114="",Calc_오픈정렬!V114=""),"",Calc_오픈정렬!V114/Calc_오픈정렬!$F114*100)</f>
        <v>132.6851350145372</v>
      </c>
      <c r="W114">
        <f>IF(OR(Calc_오픈정렬!$F114="",Calc_오픈정렬!W114=""),"",Calc_오픈정렬!W114/Calc_오픈정렬!$F114*100)</f>
        <v>117.73687895570244</v>
      </c>
      <c r="X114">
        <f>IF(OR(Calc_오픈정렬!$F114="",Calc_오픈정렬!X114=""),"",Calc_오픈정렬!X114/Calc_오픈정렬!$F114*100)</f>
        <v>133.22964978799331</v>
      </c>
      <c r="Y114">
        <f>IF(OR(Calc_오픈정렬!$F114="",Calc_오픈정렬!Y114=""),"",Calc_오픈정렬!Y114/Calc_오픈정렬!$F114*100)</f>
        <v>126.61722822445178</v>
      </c>
      <c r="Z114">
        <f>IF(OR(Calc_오픈정렬!$F114="",Calc_오픈정렬!Z114=""),"",Calc_오픈정렬!Z114/Calc_오픈정렬!$F114*100)</f>
        <v>134.05978768631758</v>
      </c>
      <c r="AA114">
        <f>IF(OR(Calc_오픈정렬!$F114="",Calc_오픈정렬!AA114=""),"",Calc_오픈정렬!AA114/Calc_오픈정렬!$F114*100)</f>
        <v>130.12798551825333</v>
      </c>
      <c r="AB114">
        <f>IF(OR(Calc_오픈정렬!$F114="",Calc_오픈정렬!AB114=""),"",Calc_오픈정렬!AB114/Calc_오픈정렬!$F114*100)</f>
        <v>117.05108465514986</v>
      </c>
      <c r="AC114">
        <f>IF(OR(Calc_오픈정렬!$F114="",Calc_오픈정렬!AC114=""),"",Calc_오픈정렬!AC114/Calc_오픈정렬!$F114*100)</f>
        <v>142.15846224624187</v>
      </c>
      <c r="AD114">
        <f>IF(OR(Calc_오픈정렬!$F114="",Calc_오픈정렬!AD114=""),"",Calc_오픈정렬!AD114/Calc_오픈정렬!$F114*100)</f>
        <v>129.12898663842532</v>
      </c>
      <c r="AE114">
        <f>IF(OR(Calc_오픈정렬!$F114="",Calc_오픈정렬!AE114=""),"",Calc_오픈정렬!AE114/Calc_오픈정렬!$F114*100)</f>
        <v>142.28469940961807</v>
      </c>
      <c r="AF114">
        <f>IF(OR(Calc_오픈정렬!$F114="",Calc_오픈정렬!AF114=""),"",Calc_오픈정렬!AF114/Calc_오픈정렬!$F114*100)</f>
        <v>132.14170173467582</v>
      </c>
      <c r="AG114">
        <f>IF(OR(Calc_오픈정렬!$F114="",Calc_오픈정렬!AG114=""),"",Calc_오픈정렬!AG114/Calc_오픈정렬!$F114*100)</f>
        <v>141.03234244817858</v>
      </c>
      <c r="AH114" t="str">
        <f>IF(OR(Calc_오픈정렬!$F114="",Calc_오픈정렬!AH114=""),"",Calc_오픈정렬!AH114/Calc_오픈정렬!$F114*100)</f>
        <v/>
      </c>
      <c r="AI114" t="str">
        <f>IF(OR(Calc_오픈정렬!$F114="",Calc_오픈정렬!AI114=""),"",Calc_오픈정렬!AI114/Calc_오픈정렬!$F114*100)</f>
        <v/>
      </c>
      <c r="AJ114" t="str">
        <f>IF(OR(Calc_오픈정렬!$F114="",Calc_오픈정렬!AJ114=""),"",Calc_오픈정렬!AJ114/Calc_오픈정렬!$F114*100)</f>
        <v/>
      </c>
      <c r="AK114" t="str">
        <f>IF(OR(Calc_오픈정렬!$F114="",Calc_오픈정렬!AK114=""),"",Calc_오픈정렬!AK114/Calc_오픈정렬!$F114*100)</f>
        <v/>
      </c>
      <c r="AL114" t="str">
        <f>IF(OR(Calc_오픈정렬!$F114="",Calc_오픈정렬!AL114=""),"",Calc_오픈정렬!AL114/Calc_오픈정렬!$F114*100)</f>
        <v/>
      </c>
      <c r="AM114" t="str">
        <f>IF(OR(Calc_오픈정렬!$F114="",Calc_오픈정렬!AM114=""),"",Calc_오픈정렬!AM114/Calc_오픈정렬!$F114*100)</f>
        <v/>
      </c>
      <c r="AN114" t="str">
        <f>IF(OR(Calc_오픈정렬!$F114="",Calc_오픈정렬!AN114=""),"",Calc_오픈정렬!AN114/Calc_오픈정렬!$F114*100)</f>
        <v/>
      </c>
      <c r="AO114" t="str">
        <f>IF(OR(Calc_오픈정렬!$F114="",Calc_오픈정렬!AO114=""),"",Calc_오픈정렬!AO114/Calc_오픈정렬!$F114*100)</f>
        <v/>
      </c>
      <c r="AP114" t="str">
        <f>IF(OR(Calc_오픈정렬!$F114="",Calc_오픈정렬!AP114=""),"",Calc_오픈정렬!AP114/Calc_오픈정렬!$F114*100)</f>
        <v/>
      </c>
      <c r="AQ114" t="str">
        <f>IF(OR(Calc_오픈정렬!$F114="",Calc_오픈정렬!AQ114=""),"",Calc_오픈정렬!AQ114/Calc_오픈정렬!$F114*100)</f>
        <v/>
      </c>
      <c r="AR114" t="str">
        <f>IF(OR(Calc_오픈정렬!$F114="",Calc_오픈정렬!AR114=""),"",Calc_오픈정렬!AR114/Calc_오픈정렬!$F114*100)</f>
        <v/>
      </c>
      <c r="AS114" t="str">
        <f>IF(OR(Calc_오픈정렬!$F114="",Calc_오픈정렬!AS114=""),"",Calc_오픈정렬!AS114/Calc_오픈정렬!$F114*100)</f>
        <v/>
      </c>
      <c r="AT114" t="str">
        <f>IF(OR(Calc_오픈정렬!$F114="",Calc_오픈정렬!AT114=""),"",Calc_오픈정렬!AT114/Calc_오픈정렬!$F114*100)</f>
        <v/>
      </c>
      <c r="AU114" t="str">
        <f>IF(OR(Calc_오픈정렬!$F114="",Calc_오픈정렬!AU114=""),"",Calc_오픈정렬!AU114/Calc_오픈정렬!$F114*100)</f>
        <v/>
      </c>
      <c r="AV114" t="str">
        <f>IF(OR(Calc_오픈정렬!$F114="",Calc_오픈정렬!AV114=""),"",Calc_오픈정렬!AV114/Calc_오픈정렬!$F114*100)</f>
        <v/>
      </c>
      <c r="AW114" t="str">
        <f>IF(OR(Calc_오픈정렬!$F114="",Calc_오픈정렬!AW114=""),"",Calc_오픈정렬!AW114/Calc_오픈정렬!$F114*100)</f>
        <v/>
      </c>
      <c r="AX114" t="str">
        <f>IF(OR(Calc_오픈정렬!$F114="",Calc_오픈정렬!AX114=""),"",Calc_오픈정렬!AX114/Calc_오픈정렬!$F114*100)</f>
        <v/>
      </c>
      <c r="AY114" t="str">
        <f>IF(OR(Calc_오픈정렬!$F114="",Calc_오픈정렬!AY114=""),"",Calc_오픈정렬!AY114/Calc_오픈정렬!$F114*100)</f>
        <v/>
      </c>
      <c r="AZ114" t="str">
        <f>IF(OR(Calc_오픈정렬!$F114="",Calc_오픈정렬!AZ114=""),"",Calc_오픈정렬!AZ114/Calc_오픈정렬!$F114*100)</f>
        <v/>
      </c>
      <c r="BA114" t="str">
        <f>IF(OR(Calc_오픈정렬!$F114="",Calc_오픈정렬!BA114=""),"",Calc_오픈정렬!BA114/Calc_오픈정렬!$F114*100)</f>
        <v/>
      </c>
      <c r="BB114" t="str">
        <f>IF(OR(Calc_오픈정렬!$F114="",Calc_오픈정렬!BB114=""),"",Calc_오픈정렬!BB114/Calc_오픈정렬!$F114*100)</f>
        <v/>
      </c>
      <c r="BC114" t="str">
        <f>IF(OR(Calc_오픈정렬!$F114="",Calc_오픈정렬!BC114=""),"",Calc_오픈정렬!BC114/Calc_오픈정렬!$F114*100)</f>
        <v/>
      </c>
      <c r="BD114" t="str">
        <f>IF(OR(Calc_오픈정렬!$F114="",Calc_오픈정렬!BD114=""),"",Calc_오픈정렬!BD114/Calc_오픈정렬!$F114*100)</f>
        <v/>
      </c>
      <c r="BE114" t="str">
        <f>IF(OR(Calc_오픈정렬!$F114="",Calc_오픈정렬!BE114=""),"",Calc_오픈정렬!BE114/Calc_오픈정렬!$F114*100)</f>
        <v/>
      </c>
      <c r="BF114" t="str">
        <f>IF(OR(Calc_오픈정렬!$F114="",Calc_오픈정렬!BF114=""),"",Calc_오픈정렬!BF114/Calc_오픈정렬!$F114*100)</f>
        <v/>
      </c>
      <c r="BG114" t="str">
        <f>IF(OR(Calc_오픈정렬!$F114="",Calc_오픈정렬!BG114=""),"",Calc_오픈정렬!BG114/Calc_오픈정렬!$F114*100)</f>
        <v/>
      </c>
      <c r="BH114" t="str">
        <f>IF(OR(Calc_오픈정렬!$F114="",Calc_오픈정렬!BH114=""),"",Calc_오픈정렬!BH114/Calc_오픈정렬!$F114*100)</f>
        <v/>
      </c>
      <c r="BI114" t="str">
        <f>IF(OR(Calc_오픈정렬!$F114="",Calc_오픈정렬!BI114=""),"",Calc_오픈정렬!BI114/Calc_오픈정렬!$F114*100)</f>
        <v/>
      </c>
      <c r="BJ114" t="str">
        <f>IF(OR(Calc_오픈정렬!$F114="",Calc_오픈정렬!BJ114=""),"",Calc_오픈정렬!BJ114/Calc_오픈정렬!$F114*100)</f>
        <v/>
      </c>
      <c r="BK114" t="str">
        <f>IF(OR(Calc_오픈정렬!$F114="",Calc_오픈정렬!BK114=""),"",Calc_오픈정렬!BK114/Calc_오픈정렬!$F114*100)</f>
        <v/>
      </c>
      <c r="BL114" t="str">
        <f>IF(OR(Calc_오픈정렬!$F114="",Calc_오픈정렬!BL114=""),"",Calc_오픈정렬!BL114/Calc_오픈정렬!$F114*100)</f>
        <v/>
      </c>
      <c r="BM114" t="str">
        <f>IF(OR(Calc_오픈정렬!$F114="",Calc_오픈정렬!BM114=""),"",Calc_오픈정렬!BM114/Calc_오픈정렬!$F114*100)</f>
        <v/>
      </c>
      <c r="BN114" t="str">
        <f>IF(OR(Calc_오픈정렬!$F114="",Calc_오픈정렬!BN114=""),"",Calc_오픈정렬!BN114/Calc_오픈정렬!$F114*100)</f>
        <v/>
      </c>
    </row>
    <row r="115" spans="1:66" x14ac:dyDescent="0.4">
      <c r="A115" t="str">
        <f>Calc_오픈정렬!A115</f>
        <v>(1105) #공항시장역점</v>
      </c>
      <c r="B115" t="str">
        <f>Calc_오픈정렬!B115</f>
        <v>150-1</v>
      </c>
      <c r="C115">
        <f>Calc_오픈정렬!C115</f>
        <v>1</v>
      </c>
      <c r="D115" t="str">
        <f>Calc_오픈정렬!D115</f>
        <v>1</v>
      </c>
      <c r="E115" s="1">
        <f>Calc_오픈정렬!E115</f>
        <v>45352</v>
      </c>
      <c r="F115">
        <f>Calc_오픈정렬!F115</f>
        <v>2585167.7406687173</v>
      </c>
      <c r="G115">
        <f>IF(OR(Calc_오픈정렬!$F115="",Calc_오픈정렬!G115=""),"",Calc_오픈정렬!G115/Calc_오픈정렬!$F115*100)</f>
        <v>101.32923881338955</v>
      </c>
      <c r="H115">
        <f>IF(OR(Calc_오픈정렬!$F115="",Calc_오픈정렬!H115=""),"",Calc_오픈정렬!H115/Calc_오픈정렬!$F115*100)</f>
        <v>109.14445552012721</v>
      </c>
      <c r="I115">
        <f>IF(OR(Calc_오픈정렬!$F115="",Calc_오픈정렬!I115=""),"",Calc_오픈정렬!I115/Calc_오픈정렬!$F115*100)</f>
        <v>94.637760583155156</v>
      </c>
      <c r="J115">
        <f>IF(OR(Calc_오픈정렬!$F115="",Calc_오픈정렬!J115=""),"",Calc_오픈정렬!J115/Calc_오픈정렬!$F115*100)</f>
        <v>108.14944119481784</v>
      </c>
      <c r="K115">
        <f>IF(OR(Calc_오픈정렬!$F115="",Calc_오픈정렬!K115=""),"",Calc_오픈정렬!K115/Calc_오픈정렬!$F115*100)</f>
        <v>103.74822165334731</v>
      </c>
      <c r="L115">
        <f>IF(OR(Calc_오픈정렬!$F115="",Calc_오픈정렬!L115=""),"",Calc_오픈정렬!L115/Calc_오픈정렬!$F115*100)</f>
        <v>104.72926682249737</v>
      </c>
      <c r="M115">
        <f>IF(OR(Calc_오픈정렬!$F115="",Calc_오픈정렬!M115=""),"",Calc_오픈정렬!M115/Calc_오픈정렬!$F115*100)</f>
        <v>89.790359365846754</v>
      </c>
      <c r="N115">
        <f>IF(OR(Calc_오픈정렬!$F115="",Calc_오픈정렬!N115=""),"",Calc_오픈정렬!N115/Calc_오픈정렬!$F115*100)</f>
        <v>94.499794899333907</v>
      </c>
      <c r="O115">
        <f>IF(OR(Calc_오픈정렬!$F115="",Calc_오픈정렬!O115=""),"",Calc_오픈정렬!O115/Calc_오픈정렬!$F115*100)</f>
        <v>99.082916064156791</v>
      </c>
      <c r="P115">
        <f>IF(OR(Calc_오픈정렬!$F115="",Calc_오픈정렬!P115=""),"",Calc_오픈정렬!P115/Calc_오픈정렬!$F115*100)</f>
        <v>87.544594183674434</v>
      </c>
      <c r="Q115">
        <f>IF(OR(Calc_오픈정렬!$F115="",Calc_오픈정렬!Q115=""),"",Calc_오픈정렬!Q115/Calc_오픈정렬!$F115*100)</f>
        <v>104.65917024450468</v>
      </c>
      <c r="R115">
        <f>IF(OR(Calc_오픈정렬!$F115="",Calc_오픈정렬!R115=""),"",Calc_오픈정렬!R115/Calc_오픈정렬!$F115*100)</f>
        <v>99.434120330687691</v>
      </c>
      <c r="S115">
        <f>IF(OR(Calc_오픈정렬!$F115="",Calc_오픈정렬!S115=""),"",Calc_오픈정렬!S115/Calc_오픈정렬!$F115*100)</f>
        <v>98.087263670010643</v>
      </c>
      <c r="T115">
        <f>IF(OR(Calc_오픈정렬!$F115="",Calc_오픈정렬!T115=""),"",Calc_오픈정렬!T115/Calc_오픈정렬!$F115*100)</f>
        <v>93.428641625209423</v>
      </c>
      <c r="U115">
        <f>IF(OR(Calc_오픈정렬!$F115="",Calc_오픈정렬!U115=""),"",Calc_오픈정렬!U115/Calc_오픈정렬!$F115*100)</f>
        <v>100.62914197740653</v>
      </c>
      <c r="V115">
        <f>IF(OR(Calc_오픈정렬!$F115="",Calc_오픈정렬!V115=""),"",Calc_오픈정렬!V115/Calc_오픈정렬!$F115*100)</f>
        <v>103.86102249274404</v>
      </c>
      <c r="W115">
        <f>IF(OR(Calc_오픈정렬!$F115="",Calc_오픈정렬!W115=""),"",Calc_오픈정렬!W115/Calc_오픈정렬!$F115*100)</f>
        <v>89.347522831132395</v>
      </c>
      <c r="X115">
        <f>IF(OR(Calc_오픈정렬!$F115="",Calc_오픈정렬!X115=""),"",Calc_오픈정렬!X115/Calc_오픈정렬!$F115*100)</f>
        <v>89.056646521439902</v>
      </c>
      <c r="Y115">
        <f>IF(OR(Calc_오픈정렬!$F115="",Calc_오픈정렬!Y115=""),"",Calc_오픈정렬!Y115/Calc_오픈정렬!$F115*100)</f>
        <v>89.946828947806097</v>
      </c>
      <c r="Z115">
        <f>IF(OR(Calc_오픈정렬!$F115="",Calc_오픈정렬!Z115=""),"",Calc_오픈정렬!Z115/Calc_오픈정렬!$F115*100)</f>
        <v>85.986631485537416</v>
      </c>
      <c r="AA115">
        <f>IF(OR(Calc_오픈정렬!$F115="",Calc_오픈정렬!AA115=""),"",Calc_오픈정렬!AA115/Calc_오픈정렬!$F115*100)</f>
        <v>102.82806303403342</v>
      </c>
      <c r="AB115">
        <f>IF(OR(Calc_오픈정렬!$F115="",Calc_오픈정렬!AB115=""),"",Calc_오픈정렬!AB115/Calc_오픈정렬!$F115*100)</f>
        <v>86.673108858136757</v>
      </c>
      <c r="AC115">
        <f>IF(OR(Calc_오픈정렬!$F115="",Calc_오픈정렬!AC115=""),"",Calc_오픈정렬!AC115/Calc_오픈정렬!$F115*100)</f>
        <v>94.291541300014075</v>
      </c>
      <c r="AD115">
        <f>IF(OR(Calc_오픈정렬!$F115="",Calc_오픈정렬!AD115=""),"",Calc_오픈정렬!AD115/Calc_오픈정렬!$F115*100)</f>
        <v>107.74305231595112</v>
      </c>
      <c r="AE115">
        <f>IF(OR(Calc_오픈정렬!$F115="",Calc_오픈정렬!AE115=""),"",Calc_오픈정렬!AE115/Calc_오픈정렬!$F115*100)</f>
        <v>117.9276420032628</v>
      </c>
      <c r="AF115">
        <f>IF(OR(Calc_오픈정렬!$F115="",Calc_오픈정렬!AF115=""),"",Calc_오픈정렬!AF115/Calc_오픈정렬!$F115*100)</f>
        <v>137.8350555230565</v>
      </c>
      <c r="AG115">
        <f>IF(OR(Calc_오픈정렬!$F115="",Calc_오픈정렬!AG115=""),"",Calc_오픈정렬!AG115/Calc_오픈정렬!$F115*100)</f>
        <v>188.54862562950777</v>
      </c>
      <c r="AH115" t="str">
        <f>IF(OR(Calc_오픈정렬!$F115="",Calc_오픈정렬!AH115=""),"",Calc_오픈정렬!AH115/Calc_오픈정렬!$F115*100)</f>
        <v/>
      </c>
      <c r="AI115" t="str">
        <f>IF(OR(Calc_오픈정렬!$F115="",Calc_오픈정렬!AI115=""),"",Calc_오픈정렬!AI115/Calc_오픈정렬!$F115*100)</f>
        <v/>
      </c>
      <c r="AJ115" t="str">
        <f>IF(OR(Calc_오픈정렬!$F115="",Calc_오픈정렬!AJ115=""),"",Calc_오픈정렬!AJ115/Calc_오픈정렬!$F115*100)</f>
        <v/>
      </c>
      <c r="AK115" t="str">
        <f>IF(OR(Calc_오픈정렬!$F115="",Calc_오픈정렬!AK115=""),"",Calc_오픈정렬!AK115/Calc_오픈정렬!$F115*100)</f>
        <v/>
      </c>
      <c r="AL115" t="str">
        <f>IF(OR(Calc_오픈정렬!$F115="",Calc_오픈정렬!AL115=""),"",Calc_오픈정렬!AL115/Calc_오픈정렬!$F115*100)</f>
        <v/>
      </c>
      <c r="AM115" t="str">
        <f>IF(OR(Calc_오픈정렬!$F115="",Calc_오픈정렬!AM115=""),"",Calc_오픈정렬!AM115/Calc_오픈정렬!$F115*100)</f>
        <v/>
      </c>
      <c r="AN115" t="str">
        <f>IF(OR(Calc_오픈정렬!$F115="",Calc_오픈정렬!AN115=""),"",Calc_오픈정렬!AN115/Calc_오픈정렬!$F115*100)</f>
        <v/>
      </c>
      <c r="AO115" t="str">
        <f>IF(OR(Calc_오픈정렬!$F115="",Calc_오픈정렬!AO115=""),"",Calc_오픈정렬!AO115/Calc_오픈정렬!$F115*100)</f>
        <v/>
      </c>
      <c r="AP115" t="str">
        <f>IF(OR(Calc_오픈정렬!$F115="",Calc_오픈정렬!AP115=""),"",Calc_오픈정렬!AP115/Calc_오픈정렬!$F115*100)</f>
        <v/>
      </c>
      <c r="AQ115" t="str">
        <f>IF(OR(Calc_오픈정렬!$F115="",Calc_오픈정렬!AQ115=""),"",Calc_오픈정렬!AQ115/Calc_오픈정렬!$F115*100)</f>
        <v/>
      </c>
      <c r="AR115" t="str">
        <f>IF(OR(Calc_오픈정렬!$F115="",Calc_오픈정렬!AR115=""),"",Calc_오픈정렬!AR115/Calc_오픈정렬!$F115*100)</f>
        <v/>
      </c>
      <c r="AS115" t="str">
        <f>IF(OR(Calc_오픈정렬!$F115="",Calc_오픈정렬!AS115=""),"",Calc_오픈정렬!AS115/Calc_오픈정렬!$F115*100)</f>
        <v/>
      </c>
      <c r="AT115" t="str">
        <f>IF(OR(Calc_오픈정렬!$F115="",Calc_오픈정렬!AT115=""),"",Calc_오픈정렬!AT115/Calc_오픈정렬!$F115*100)</f>
        <v/>
      </c>
      <c r="AU115" t="str">
        <f>IF(OR(Calc_오픈정렬!$F115="",Calc_오픈정렬!AU115=""),"",Calc_오픈정렬!AU115/Calc_오픈정렬!$F115*100)</f>
        <v/>
      </c>
      <c r="AV115" t="str">
        <f>IF(OR(Calc_오픈정렬!$F115="",Calc_오픈정렬!AV115=""),"",Calc_오픈정렬!AV115/Calc_오픈정렬!$F115*100)</f>
        <v/>
      </c>
      <c r="AW115" t="str">
        <f>IF(OR(Calc_오픈정렬!$F115="",Calc_오픈정렬!AW115=""),"",Calc_오픈정렬!AW115/Calc_오픈정렬!$F115*100)</f>
        <v/>
      </c>
      <c r="AX115" t="str">
        <f>IF(OR(Calc_오픈정렬!$F115="",Calc_오픈정렬!AX115=""),"",Calc_오픈정렬!AX115/Calc_오픈정렬!$F115*100)</f>
        <v/>
      </c>
      <c r="AY115" t="str">
        <f>IF(OR(Calc_오픈정렬!$F115="",Calc_오픈정렬!AY115=""),"",Calc_오픈정렬!AY115/Calc_오픈정렬!$F115*100)</f>
        <v/>
      </c>
      <c r="AZ115" t="str">
        <f>IF(OR(Calc_오픈정렬!$F115="",Calc_오픈정렬!AZ115=""),"",Calc_오픈정렬!AZ115/Calc_오픈정렬!$F115*100)</f>
        <v/>
      </c>
      <c r="BA115" t="str">
        <f>IF(OR(Calc_오픈정렬!$F115="",Calc_오픈정렬!BA115=""),"",Calc_오픈정렬!BA115/Calc_오픈정렬!$F115*100)</f>
        <v/>
      </c>
      <c r="BB115" t="str">
        <f>IF(OR(Calc_오픈정렬!$F115="",Calc_오픈정렬!BB115=""),"",Calc_오픈정렬!BB115/Calc_오픈정렬!$F115*100)</f>
        <v/>
      </c>
      <c r="BC115" t="str">
        <f>IF(OR(Calc_오픈정렬!$F115="",Calc_오픈정렬!BC115=""),"",Calc_오픈정렬!BC115/Calc_오픈정렬!$F115*100)</f>
        <v/>
      </c>
      <c r="BD115" t="str">
        <f>IF(OR(Calc_오픈정렬!$F115="",Calc_오픈정렬!BD115=""),"",Calc_오픈정렬!BD115/Calc_오픈정렬!$F115*100)</f>
        <v/>
      </c>
      <c r="BE115" t="str">
        <f>IF(OR(Calc_오픈정렬!$F115="",Calc_오픈정렬!BE115=""),"",Calc_오픈정렬!BE115/Calc_오픈정렬!$F115*100)</f>
        <v/>
      </c>
      <c r="BF115" t="str">
        <f>IF(OR(Calc_오픈정렬!$F115="",Calc_오픈정렬!BF115=""),"",Calc_오픈정렬!BF115/Calc_오픈정렬!$F115*100)</f>
        <v/>
      </c>
      <c r="BG115" t="str">
        <f>IF(OR(Calc_오픈정렬!$F115="",Calc_오픈정렬!BG115=""),"",Calc_오픈정렬!BG115/Calc_오픈정렬!$F115*100)</f>
        <v/>
      </c>
      <c r="BH115" t="str">
        <f>IF(OR(Calc_오픈정렬!$F115="",Calc_오픈정렬!BH115=""),"",Calc_오픈정렬!BH115/Calc_오픈정렬!$F115*100)</f>
        <v/>
      </c>
      <c r="BI115" t="str">
        <f>IF(OR(Calc_오픈정렬!$F115="",Calc_오픈정렬!BI115=""),"",Calc_오픈정렬!BI115/Calc_오픈정렬!$F115*100)</f>
        <v/>
      </c>
      <c r="BJ115" t="str">
        <f>IF(OR(Calc_오픈정렬!$F115="",Calc_오픈정렬!BJ115=""),"",Calc_오픈정렬!BJ115/Calc_오픈정렬!$F115*100)</f>
        <v/>
      </c>
      <c r="BK115" t="str">
        <f>IF(OR(Calc_오픈정렬!$F115="",Calc_오픈정렬!BK115=""),"",Calc_오픈정렬!BK115/Calc_오픈정렬!$F115*100)</f>
        <v/>
      </c>
      <c r="BL115" t="str">
        <f>IF(OR(Calc_오픈정렬!$F115="",Calc_오픈정렬!BL115=""),"",Calc_오픈정렬!BL115/Calc_오픈정렬!$F115*100)</f>
        <v/>
      </c>
      <c r="BM115" t="str">
        <f>IF(OR(Calc_오픈정렬!$F115="",Calc_오픈정렬!BM115=""),"",Calc_오픈정렬!BM115/Calc_오픈정렬!$F115*100)</f>
        <v/>
      </c>
      <c r="BN115" t="str">
        <f>IF(OR(Calc_오픈정렬!$F115="",Calc_오픈정렬!BN115=""),"",Calc_오픈정렬!BN115/Calc_오픈정렬!$F115*100)</f>
        <v/>
      </c>
    </row>
    <row r="116" spans="1:66" x14ac:dyDescent="0.4">
      <c r="A116" t="str">
        <f>Calc_오픈정렬!A116</f>
        <v>(1106) #아주대씨씨점</v>
      </c>
      <c r="B116" t="str">
        <f>Calc_오픈정렬!B116</f>
        <v>150-0</v>
      </c>
      <c r="C116">
        <f>Calc_오픈정렬!C116</f>
        <v>0</v>
      </c>
      <c r="D116" t="str">
        <f>Calc_오픈정렬!D116</f>
        <v>0</v>
      </c>
      <c r="E116" s="1">
        <f>Calc_오픈정렬!E116</f>
        <v>45383</v>
      </c>
      <c r="F116">
        <f>Calc_오픈정렬!F116</f>
        <v>4628819.9064672366</v>
      </c>
      <c r="G116">
        <f>IF(OR(Calc_오픈정렬!$F116="",Calc_오픈정렬!G116=""),"",Calc_오픈정렬!G116/Calc_오픈정렬!$F116*100)</f>
        <v>98.379664341563029</v>
      </c>
      <c r="H116">
        <f>IF(OR(Calc_오픈정렬!$F116="",Calc_오픈정렬!H116=""),"",Calc_오픈정렬!H116/Calc_오픈정렬!$F116*100)</f>
        <v>85.66820706587707</v>
      </c>
      <c r="I116">
        <f>IF(OR(Calc_오픈정렬!$F116="",Calc_오픈정렬!I116=""),"",Calc_오픈정렬!I116/Calc_오픈정렬!$F116*100)</f>
        <v>92.0756531887058</v>
      </c>
      <c r="J116">
        <f>IF(OR(Calc_오픈정렬!$F116="",Calc_오픈정렬!J116=""),"",Calc_오픈정렬!J116/Calc_오픈정렬!$F116*100)</f>
        <v>90.59133486522741</v>
      </c>
      <c r="K116">
        <f>IF(OR(Calc_오픈정렬!$F116="",Calc_오픈정렬!K116=""),"",Calc_오픈정렬!K116/Calc_오픈정렬!$F116*100)</f>
        <v>97.19403733376808</v>
      </c>
      <c r="L116">
        <f>IF(OR(Calc_오픈정렬!$F116="",Calc_오픈정렬!L116=""),"",Calc_오픈정렬!L116/Calc_오픈정렬!$F116*100)</f>
        <v>101.29052202776158</v>
      </c>
      <c r="M116">
        <f>IF(OR(Calc_오픈정렬!$F116="",Calc_오픈정렬!M116=""),"",Calc_오픈정렬!M116/Calc_오픈정렬!$F116*100)</f>
        <v>98.102774528422955</v>
      </c>
      <c r="N116">
        <f>IF(OR(Calc_오픈정렬!$F116="",Calc_오픈정렬!N116=""),"",Calc_오픈정렬!N116/Calc_오픈정렬!$F116*100)</f>
        <v>104.49493749796687</v>
      </c>
      <c r="O116">
        <f>IF(OR(Calc_오픈정렬!$F116="",Calc_오픈정렬!O116=""),"",Calc_오픈정렬!O116/Calc_오픈정렬!$F116*100)</f>
        <v>108.326393746853</v>
      </c>
      <c r="P116">
        <f>IF(OR(Calc_오픈정렬!$F116="",Calc_오픈정렬!P116=""),"",Calc_오픈정렬!P116/Calc_오픈정렬!$F116*100)</f>
        <v>110.84149873864328</v>
      </c>
      <c r="Q116">
        <f>IF(OR(Calc_오픈정렬!$F116="",Calc_오픈정렬!Q116=""),"",Calc_오픈정렬!Q116/Calc_오픈정렬!$F116*100)</f>
        <v>115.07794934589104</v>
      </c>
      <c r="R116">
        <f>IF(OR(Calc_오픈정렬!$F116="",Calc_오픈정렬!R116=""),"",Calc_오픈정렬!R116/Calc_오픈정렬!$F116*100)</f>
        <v>113.32848269531593</v>
      </c>
      <c r="S116">
        <f>IF(OR(Calc_오픈정렬!$F116="",Calc_오픈정렬!S116=""),"",Calc_오픈정렬!S116/Calc_오픈정렬!$F116*100)</f>
        <v>102.07178692474459</v>
      </c>
      <c r="T116">
        <f>IF(OR(Calc_오픈정렬!$F116="",Calc_오픈정렬!T116=""),"",Calc_오픈정렬!T116/Calc_오픈정렬!$F116*100)</f>
        <v>122.96383768942289</v>
      </c>
      <c r="U116">
        <f>IF(OR(Calc_오픈정렬!$F116="",Calc_오픈정렬!U116=""),"",Calc_오픈정렬!U116/Calc_오픈정렬!$F116*100)</f>
        <v>125.34685532878885</v>
      </c>
      <c r="V116">
        <f>IF(OR(Calc_오픈정렬!$F116="",Calc_오픈정렬!V116=""),"",Calc_오픈정렬!V116/Calc_오픈정렬!$F116*100)</f>
        <v>114.81128270235868</v>
      </c>
      <c r="W116">
        <f>IF(OR(Calc_오픈정렬!$F116="",Calc_오픈정렬!W116=""),"",Calc_오픈정렬!W116/Calc_오픈정렬!$F116*100)</f>
        <v>112.42112788197983</v>
      </c>
      <c r="X116">
        <f>IF(OR(Calc_오픈정렬!$F116="",Calc_오픈정렬!X116=""),"",Calc_오픈정렬!X116/Calc_오픈정렬!$F116*100)</f>
        <v>108.50698758575894</v>
      </c>
      <c r="Y116">
        <f>IF(OR(Calc_오픈정렬!$F116="",Calc_오픈정렬!Y116=""),"",Calc_오픈정렬!Y116/Calc_오픈정렬!$F116*100)</f>
        <v>123.83976638483614</v>
      </c>
      <c r="Z116">
        <f>IF(OR(Calc_오픈정렬!$F116="",Calc_오픈정렬!Z116=""),"",Calc_오픈정렬!Z116/Calc_오픈정렬!$F116*100)</f>
        <v>113.9631441445667</v>
      </c>
      <c r="AA116">
        <f>IF(OR(Calc_오픈정렬!$F116="",Calc_오픈정렬!AA116=""),"",Calc_오픈정렬!AA116/Calc_오픈정렬!$F116*100)</f>
        <v>118.12036420807188</v>
      </c>
      <c r="AB116">
        <f>IF(OR(Calc_오픈정렬!$F116="",Calc_오픈정렬!AB116=""),"",Calc_오픈정렬!AB116/Calc_오픈정렬!$F116*100)</f>
        <v>129.0253474756062</v>
      </c>
      <c r="AC116">
        <f>IF(OR(Calc_오픈정렬!$F116="",Calc_오픈정렬!AC116=""),"",Calc_오픈정렬!AC116/Calc_오픈정렬!$F116*100)</f>
        <v>121.36522739269648</v>
      </c>
      <c r="AD116">
        <f>IF(OR(Calc_오픈정렬!$F116="",Calc_오픈정렬!AD116=""),"",Calc_오픈정렬!AD116/Calc_오픈정렬!$F116*100)</f>
        <v>143.08682500466585</v>
      </c>
      <c r="AE116">
        <f>IF(OR(Calc_오픈정렬!$F116="",Calc_오픈정렬!AE116=""),"",Calc_오픈정렬!AE116/Calc_오픈정렬!$F116*100)</f>
        <v>124.38190552933825</v>
      </c>
      <c r="AF116">
        <f>IF(OR(Calc_오픈정렬!$F116="",Calc_오픈정렬!AF116=""),"",Calc_오픈정렬!AF116/Calc_오픈정렬!$F116*100)</f>
        <v>153.65738306789905</v>
      </c>
      <c r="AG116" t="str">
        <f>IF(OR(Calc_오픈정렬!$F116="",Calc_오픈정렬!AG116=""),"",Calc_오픈정렬!AG116/Calc_오픈정렬!$F116*100)</f>
        <v/>
      </c>
      <c r="AH116" t="str">
        <f>IF(OR(Calc_오픈정렬!$F116="",Calc_오픈정렬!AH116=""),"",Calc_오픈정렬!AH116/Calc_오픈정렬!$F116*100)</f>
        <v/>
      </c>
      <c r="AI116" t="str">
        <f>IF(OR(Calc_오픈정렬!$F116="",Calc_오픈정렬!AI116=""),"",Calc_오픈정렬!AI116/Calc_오픈정렬!$F116*100)</f>
        <v/>
      </c>
      <c r="AJ116" t="str">
        <f>IF(OR(Calc_오픈정렬!$F116="",Calc_오픈정렬!AJ116=""),"",Calc_오픈정렬!AJ116/Calc_오픈정렬!$F116*100)</f>
        <v/>
      </c>
      <c r="AK116" t="str">
        <f>IF(OR(Calc_오픈정렬!$F116="",Calc_오픈정렬!AK116=""),"",Calc_오픈정렬!AK116/Calc_오픈정렬!$F116*100)</f>
        <v/>
      </c>
      <c r="AL116" t="str">
        <f>IF(OR(Calc_오픈정렬!$F116="",Calc_오픈정렬!AL116=""),"",Calc_오픈정렬!AL116/Calc_오픈정렬!$F116*100)</f>
        <v/>
      </c>
      <c r="AM116" t="str">
        <f>IF(OR(Calc_오픈정렬!$F116="",Calc_오픈정렬!AM116=""),"",Calc_오픈정렬!AM116/Calc_오픈정렬!$F116*100)</f>
        <v/>
      </c>
      <c r="AN116" t="str">
        <f>IF(OR(Calc_오픈정렬!$F116="",Calc_오픈정렬!AN116=""),"",Calc_오픈정렬!AN116/Calc_오픈정렬!$F116*100)</f>
        <v/>
      </c>
      <c r="AO116" t="str">
        <f>IF(OR(Calc_오픈정렬!$F116="",Calc_오픈정렬!AO116=""),"",Calc_오픈정렬!AO116/Calc_오픈정렬!$F116*100)</f>
        <v/>
      </c>
      <c r="AP116" t="str">
        <f>IF(OR(Calc_오픈정렬!$F116="",Calc_오픈정렬!AP116=""),"",Calc_오픈정렬!AP116/Calc_오픈정렬!$F116*100)</f>
        <v/>
      </c>
      <c r="AQ116" t="str">
        <f>IF(OR(Calc_오픈정렬!$F116="",Calc_오픈정렬!AQ116=""),"",Calc_오픈정렬!AQ116/Calc_오픈정렬!$F116*100)</f>
        <v/>
      </c>
      <c r="AR116" t="str">
        <f>IF(OR(Calc_오픈정렬!$F116="",Calc_오픈정렬!AR116=""),"",Calc_오픈정렬!AR116/Calc_오픈정렬!$F116*100)</f>
        <v/>
      </c>
      <c r="AS116" t="str">
        <f>IF(OR(Calc_오픈정렬!$F116="",Calc_오픈정렬!AS116=""),"",Calc_오픈정렬!AS116/Calc_오픈정렬!$F116*100)</f>
        <v/>
      </c>
      <c r="AT116" t="str">
        <f>IF(OR(Calc_오픈정렬!$F116="",Calc_오픈정렬!AT116=""),"",Calc_오픈정렬!AT116/Calc_오픈정렬!$F116*100)</f>
        <v/>
      </c>
      <c r="AU116" t="str">
        <f>IF(OR(Calc_오픈정렬!$F116="",Calc_오픈정렬!AU116=""),"",Calc_오픈정렬!AU116/Calc_오픈정렬!$F116*100)</f>
        <v/>
      </c>
      <c r="AV116" t="str">
        <f>IF(OR(Calc_오픈정렬!$F116="",Calc_오픈정렬!AV116=""),"",Calc_오픈정렬!AV116/Calc_오픈정렬!$F116*100)</f>
        <v/>
      </c>
      <c r="AW116" t="str">
        <f>IF(OR(Calc_오픈정렬!$F116="",Calc_오픈정렬!AW116=""),"",Calc_오픈정렬!AW116/Calc_오픈정렬!$F116*100)</f>
        <v/>
      </c>
      <c r="AX116" t="str">
        <f>IF(OR(Calc_오픈정렬!$F116="",Calc_오픈정렬!AX116=""),"",Calc_오픈정렬!AX116/Calc_오픈정렬!$F116*100)</f>
        <v/>
      </c>
      <c r="AY116" t="str">
        <f>IF(OR(Calc_오픈정렬!$F116="",Calc_오픈정렬!AY116=""),"",Calc_오픈정렬!AY116/Calc_오픈정렬!$F116*100)</f>
        <v/>
      </c>
      <c r="AZ116" t="str">
        <f>IF(OR(Calc_오픈정렬!$F116="",Calc_오픈정렬!AZ116=""),"",Calc_오픈정렬!AZ116/Calc_오픈정렬!$F116*100)</f>
        <v/>
      </c>
      <c r="BA116" t="str">
        <f>IF(OR(Calc_오픈정렬!$F116="",Calc_오픈정렬!BA116=""),"",Calc_오픈정렬!BA116/Calc_오픈정렬!$F116*100)</f>
        <v/>
      </c>
      <c r="BB116" t="str">
        <f>IF(OR(Calc_오픈정렬!$F116="",Calc_오픈정렬!BB116=""),"",Calc_오픈정렬!BB116/Calc_오픈정렬!$F116*100)</f>
        <v/>
      </c>
      <c r="BC116" t="str">
        <f>IF(OR(Calc_오픈정렬!$F116="",Calc_오픈정렬!BC116=""),"",Calc_오픈정렬!BC116/Calc_오픈정렬!$F116*100)</f>
        <v/>
      </c>
      <c r="BD116" t="str">
        <f>IF(OR(Calc_오픈정렬!$F116="",Calc_오픈정렬!BD116=""),"",Calc_오픈정렬!BD116/Calc_오픈정렬!$F116*100)</f>
        <v/>
      </c>
      <c r="BE116" t="str">
        <f>IF(OR(Calc_오픈정렬!$F116="",Calc_오픈정렬!BE116=""),"",Calc_오픈정렬!BE116/Calc_오픈정렬!$F116*100)</f>
        <v/>
      </c>
      <c r="BF116" t="str">
        <f>IF(OR(Calc_오픈정렬!$F116="",Calc_오픈정렬!BF116=""),"",Calc_오픈정렬!BF116/Calc_오픈정렬!$F116*100)</f>
        <v/>
      </c>
      <c r="BG116" t="str">
        <f>IF(OR(Calc_오픈정렬!$F116="",Calc_오픈정렬!BG116=""),"",Calc_오픈정렬!BG116/Calc_오픈정렬!$F116*100)</f>
        <v/>
      </c>
      <c r="BH116" t="str">
        <f>IF(OR(Calc_오픈정렬!$F116="",Calc_오픈정렬!BH116=""),"",Calc_오픈정렬!BH116/Calc_오픈정렬!$F116*100)</f>
        <v/>
      </c>
      <c r="BI116" t="str">
        <f>IF(OR(Calc_오픈정렬!$F116="",Calc_오픈정렬!BI116=""),"",Calc_오픈정렬!BI116/Calc_오픈정렬!$F116*100)</f>
        <v/>
      </c>
      <c r="BJ116" t="str">
        <f>IF(OR(Calc_오픈정렬!$F116="",Calc_오픈정렬!BJ116=""),"",Calc_오픈정렬!BJ116/Calc_오픈정렬!$F116*100)</f>
        <v/>
      </c>
      <c r="BK116" t="str">
        <f>IF(OR(Calc_오픈정렬!$F116="",Calc_오픈정렬!BK116=""),"",Calc_오픈정렬!BK116/Calc_오픈정렬!$F116*100)</f>
        <v/>
      </c>
      <c r="BL116" t="str">
        <f>IF(OR(Calc_오픈정렬!$F116="",Calc_오픈정렬!BL116=""),"",Calc_오픈정렬!BL116/Calc_오픈정렬!$F116*100)</f>
        <v/>
      </c>
      <c r="BM116" t="str">
        <f>IF(OR(Calc_오픈정렬!$F116="",Calc_오픈정렬!BM116=""),"",Calc_오픈정렬!BM116/Calc_오픈정렬!$F116*100)</f>
        <v/>
      </c>
      <c r="BN116" t="str">
        <f>IF(OR(Calc_오픈정렬!$F116="",Calc_오픈정렬!BN116=""),"",Calc_오픈정렬!BN116/Calc_오픈정렬!$F116*100)</f>
        <v/>
      </c>
    </row>
    <row r="117" spans="1:66" x14ac:dyDescent="0.4">
      <c r="A117" t="str">
        <f>Calc_오픈정렬!A117</f>
        <v>(1107) #송파거여공원점</v>
      </c>
      <c r="B117" t="str">
        <f>Calc_오픈정렬!B117</f>
        <v>150-1</v>
      </c>
      <c r="C117">
        <f>Calc_오픈정렬!C117</f>
        <v>1</v>
      </c>
      <c r="D117" t="str">
        <f>Calc_오픈정렬!D117</f>
        <v>1</v>
      </c>
      <c r="E117" s="1">
        <f>Calc_오픈정렬!E117</f>
        <v>45383</v>
      </c>
      <c r="F117">
        <f>Calc_오픈정렬!F117</f>
        <v>1348033.4214764556</v>
      </c>
      <c r="G117">
        <f>IF(OR(Calc_오픈정렬!$F117="",Calc_오픈정렬!G117=""),"",Calc_오픈정렬!G117/Calc_오픈정렬!$F117*100)</f>
        <v>71.212608167068424</v>
      </c>
      <c r="H117">
        <f>IF(OR(Calc_오픈정렬!$F117="",Calc_오픈정렬!H117=""),"",Calc_오픈정렬!H117/Calc_오픈정렬!$F117*100)</f>
        <v>73.152862833636561</v>
      </c>
      <c r="I117">
        <f>IF(OR(Calc_오픈정렬!$F117="",Calc_오픈정렬!I117=""),"",Calc_오픈정렬!I117/Calc_오픈정렬!$F117*100)</f>
        <v>82.69870123219448</v>
      </c>
      <c r="J117">
        <f>IF(OR(Calc_오픈정렬!$F117="",Calc_오픈정렬!J117=""),"",Calc_오픈정렬!J117/Calc_오픈정렬!$F117*100)</f>
        <v>89.256407292256426</v>
      </c>
      <c r="K117">
        <f>IF(OR(Calc_오픈정렬!$F117="",Calc_오픈정렬!K117=""),"",Calc_오픈정렬!K117/Calc_오픈정렬!$F117*100)</f>
        <v>82.22935503436932</v>
      </c>
      <c r="L117">
        <f>IF(OR(Calc_오픈정렬!$F117="",Calc_오픈정렬!L117=""),"",Calc_오픈정렬!L117/Calc_오픈정렬!$F117*100)</f>
        <v>87.226834345514789</v>
      </c>
      <c r="M117">
        <f>IF(OR(Calc_오픈정렬!$F117="",Calc_오픈정렬!M117=""),"",Calc_오픈정렬!M117/Calc_오픈정렬!$F117*100)</f>
        <v>101.67152866460964</v>
      </c>
      <c r="N117">
        <f>IF(OR(Calc_오픈정렬!$F117="",Calc_오픈정렬!N117=""),"",Calc_오픈정렬!N117/Calc_오픈정렬!$F117*100)</f>
        <v>107.14859529183262</v>
      </c>
      <c r="O117">
        <f>IF(OR(Calc_오픈정렬!$F117="",Calc_오픈정렬!O117=""),"",Calc_오픈정렬!O117/Calc_오픈정렬!$F117*100)</f>
        <v>132.46727937141713</v>
      </c>
      <c r="P117">
        <f>IF(OR(Calc_오픈정렬!$F117="",Calc_오픈정렬!P117=""),"",Calc_오픈정렬!P117/Calc_오픈정렬!$F117*100)</f>
        <v>126.74808903209991</v>
      </c>
      <c r="Q117">
        <f>IF(OR(Calc_오픈정렬!$F117="",Calc_오픈정렬!Q117=""),"",Calc_오픈정렬!Q117/Calc_오픈정렬!$F117*100)</f>
        <v>122.64710420830866</v>
      </c>
      <c r="R117">
        <f>IF(OR(Calc_오픈정렬!$F117="",Calc_오픈정렬!R117=""),"",Calc_오픈정렬!R117/Calc_오픈정렬!$F117*100)</f>
        <v>127.13129356954144</v>
      </c>
      <c r="S117">
        <f>IF(OR(Calc_오픈정렬!$F117="",Calc_오픈정렬!S117=""),"",Calc_오픈정렬!S117/Calc_오픈정렬!$F117*100)</f>
        <v>125.29489302493045</v>
      </c>
      <c r="T117">
        <f>IF(OR(Calc_오픈정렬!$F117="",Calc_오픈정렬!T117=""),"",Calc_오픈정렬!T117/Calc_오픈정렬!$F117*100)</f>
        <v>126.87433146864582</v>
      </c>
      <c r="U117">
        <f>IF(OR(Calc_오픈정렬!$F117="",Calc_오픈정렬!U117=""),"",Calc_오픈정렬!U117/Calc_오픈정렬!$F117*100)</f>
        <v>121.20987370459397</v>
      </c>
      <c r="V117">
        <f>IF(OR(Calc_오픈정렬!$F117="",Calc_오픈정렬!V117=""),"",Calc_오픈정렬!V117/Calc_오픈정렬!$F117*100)</f>
        <v>111.08684497894129</v>
      </c>
      <c r="W117">
        <f>IF(OR(Calc_오픈정렬!$F117="",Calc_오픈정렬!W117=""),"",Calc_오픈정렬!W117/Calc_오픈정렬!$F117*100)</f>
        <v>102.99114948940699</v>
      </c>
      <c r="X117">
        <f>IF(OR(Calc_오픈정렬!$F117="",Calc_오픈정렬!X117=""),"",Calc_오픈정렬!X117/Calc_오픈정렬!$F117*100)</f>
        <v>83.937212800504284</v>
      </c>
      <c r="Y117">
        <f>IF(OR(Calc_오픈정렬!$F117="",Calc_오픈정렬!Y117=""),"",Calc_오픈정렬!Y117/Calc_오픈정렬!$F117*100)</f>
        <v>126.17973847147353</v>
      </c>
      <c r="Z117">
        <f>IF(OR(Calc_오픈정렬!$F117="",Calc_오픈정렬!Z117=""),"",Calc_오픈정렬!Z117/Calc_오픈정렬!$F117*100)</f>
        <v>124.28111273957911</v>
      </c>
      <c r="AA117">
        <f>IF(OR(Calc_오픈정렬!$F117="",Calc_오픈정렬!AA117=""),"",Calc_오픈정렬!AA117/Calc_오픈정렬!$F117*100)</f>
        <v>119.81066688866142</v>
      </c>
      <c r="AB117">
        <f>IF(OR(Calc_오픈정렬!$F117="",Calc_오픈정렬!AB117=""),"",Calc_오픈정렬!AB117/Calc_오픈정렬!$F117*100)</f>
        <v>154.04780281083362</v>
      </c>
      <c r="AC117">
        <f>IF(OR(Calc_오픈정렬!$F117="",Calc_오픈정렬!AC117=""),"",Calc_오픈정렬!AC117/Calc_오픈정렬!$F117*100)</f>
        <v>144.78615846800517</v>
      </c>
      <c r="AD117">
        <f>IF(OR(Calc_오픈정렬!$F117="",Calc_오픈정렬!AD117=""),"",Calc_오픈정렬!AD117/Calc_오픈정렬!$F117*100)</f>
        <v>116.34044006203246</v>
      </c>
      <c r="AE117">
        <f>IF(OR(Calc_오픈정렬!$F117="",Calc_오픈정렬!AE117=""),"",Calc_오픈정렬!AE117/Calc_오픈정렬!$F117*100)</f>
        <v>134.646462898225</v>
      </c>
      <c r="AF117">
        <f>IF(OR(Calc_오픈정렬!$F117="",Calc_오픈정렬!AF117=""),"",Calc_오픈정렬!AF117/Calc_오픈정렬!$F117*100)</f>
        <v>156.10942726929792</v>
      </c>
      <c r="AG117" t="str">
        <f>IF(OR(Calc_오픈정렬!$F117="",Calc_오픈정렬!AG117=""),"",Calc_오픈정렬!AG117/Calc_오픈정렬!$F117*100)</f>
        <v/>
      </c>
      <c r="AH117" t="str">
        <f>IF(OR(Calc_오픈정렬!$F117="",Calc_오픈정렬!AH117=""),"",Calc_오픈정렬!AH117/Calc_오픈정렬!$F117*100)</f>
        <v/>
      </c>
      <c r="AI117" t="str">
        <f>IF(OR(Calc_오픈정렬!$F117="",Calc_오픈정렬!AI117=""),"",Calc_오픈정렬!AI117/Calc_오픈정렬!$F117*100)</f>
        <v/>
      </c>
      <c r="AJ117" t="str">
        <f>IF(OR(Calc_오픈정렬!$F117="",Calc_오픈정렬!AJ117=""),"",Calc_오픈정렬!AJ117/Calc_오픈정렬!$F117*100)</f>
        <v/>
      </c>
      <c r="AK117" t="str">
        <f>IF(OR(Calc_오픈정렬!$F117="",Calc_오픈정렬!AK117=""),"",Calc_오픈정렬!AK117/Calc_오픈정렬!$F117*100)</f>
        <v/>
      </c>
      <c r="AL117" t="str">
        <f>IF(OR(Calc_오픈정렬!$F117="",Calc_오픈정렬!AL117=""),"",Calc_오픈정렬!AL117/Calc_오픈정렬!$F117*100)</f>
        <v/>
      </c>
      <c r="AM117" t="str">
        <f>IF(OR(Calc_오픈정렬!$F117="",Calc_오픈정렬!AM117=""),"",Calc_오픈정렬!AM117/Calc_오픈정렬!$F117*100)</f>
        <v/>
      </c>
      <c r="AN117" t="str">
        <f>IF(OR(Calc_오픈정렬!$F117="",Calc_오픈정렬!AN117=""),"",Calc_오픈정렬!AN117/Calc_오픈정렬!$F117*100)</f>
        <v/>
      </c>
      <c r="AO117" t="str">
        <f>IF(OR(Calc_오픈정렬!$F117="",Calc_오픈정렬!AO117=""),"",Calc_오픈정렬!AO117/Calc_오픈정렬!$F117*100)</f>
        <v/>
      </c>
      <c r="AP117" t="str">
        <f>IF(OR(Calc_오픈정렬!$F117="",Calc_오픈정렬!AP117=""),"",Calc_오픈정렬!AP117/Calc_오픈정렬!$F117*100)</f>
        <v/>
      </c>
      <c r="AQ117" t="str">
        <f>IF(OR(Calc_오픈정렬!$F117="",Calc_오픈정렬!AQ117=""),"",Calc_오픈정렬!AQ117/Calc_오픈정렬!$F117*100)</f>
        <v/>
      </c>
      <c r="AR117" t="str">
        <f>IF(OR(Calc_오픈정렬!$F117="",Calc_오픈정렬!AR117=""),"",Calc_오픈정렬!AR117/Calc_오픈정렬!$F117*100)</f>
        <v/>
      </c>
      <c r="AS117" t="str">
        <f>IF(OR(Calc_오픈정렬!$F117="",Calc_오픈정렬!AS117=""),"",Calc_오픈정렬!AS117/Calc_오픈정렬!$F117*100)</f>
        <v/>
      </c>
      <c r="AT117" t="str">
        <f>IF(OR(Calc_오픈정렬!$F117="",Calc_오픈정렬!AT117=""),"",Calc_오픈정렬!AT117/Calc_오픈정렬!$F117*100)</f>
        <v/>
      </c>
      <c r="AU117" t="str">
        <f>IF(OR(Calc_오픈정렬!$F117="",Calc_오픈정렬!AU117=""),"",Calc_오픈정렬!AU117/Calc_오픈정렬!$F117*100)</f>
        <v/>
      </c>
      <c r="AV117" t="str">
        <f>IF(OR(Calc_오픈정렬!$F117="",Calc_오픈정렬!AV117=""),"",Calc_오픈정렬!AV117/Calc_오픈정렬!$F117*100)</f>
        <v/>
      </c>
      <c r="AW117" t="str">
        <f>IF(OR(Calc_오픈정렬!$F117="",Calc_오픈정렬!AW117=""),"",Calc_오픈정렬!AW117/Calc_오픈정렬!$F117*100)</f>
        <v/>
      </c>
      <c r="AX117" t="str">
        <f>IF(OR(Calc_오픈정렬!$F117="",Calc_오픈정렬!AX117=""),"",Calc_오픈정렬!AX117/Calc_오픈정렬!$F117*100)</f>
        <v/>
      </c>
      <c r="AY117" t="str">
        <f>IF(OR(Calc_오픈정렬!$F117="",Calc_오픈정렬!AY117=""),"",Calc_오픈정렬!AY117/Calc_오픈정렬!$F117*100)</f>
        <v/>
      </c>
      <c r="AZ117" t="str">
        <f>IF(OR(Calc_오픈정렬!$F117="",Calc_오픈정렬!AZ117=""),"",Calc_오픈정렬!AZ117/Calc_오픈정렬!$F117*100)</f>
        <v/>
      </c>
      <c r="BA117" t="str">
        <f>IF(OR(Calc_오픈정렬!$F117="",Calc_오픈정렬!BA117=""),"",Calc_오픈정렬!BA117/Calc_오픈정렬!$F117*100)</f>
        <v/>
      </c>
      <c r="BB117" t="str">
        <f>IF(OR(Calc_오픈정렬!$F117="",Calc_오픈정렬!BB117=""),"",Calc_오픈정렬!BB117/Calc_오픈정렬!$F117*100)</f>
        <v/>
      </c>
      <c r="BC117" t="str">
        <f>IF(OR(Calc_오픈정렬!$F117="",Calc_오픈정렬!BC117=""),"",Calc_오픈정렬!BC117/Calc_오픈정렬!$F117*100)</f>
        <v/>
      </c>
      <c r="BD117" t="str">
        <f>IF(OR(Calc_오픈정렬!$F117="",Calc_오픈정렬!BD117=""),"",Calc_오픈정렬!BD117/Calc_오픈정렬!$F117*100)</f>
        <v/>
      </c>
      <c r="BE117" t="str">
        <f>IF(OR(Calc_오픈정렬!$F117="",Calc_오픈정렬!BE117=""),"",Calc_오픈정렬!BE117/Calc_오픈정렬!$F117*100)</f>
        <v/>
      </c>
      <c r="BF117" t="str">
        <f>IF(OR(Calc_오픈정렬!$F117="",Calc_오픈정렬!BF117=""),"",Calc_오픈정렬!BF117/Calc_오픈정렬!$F117*100)</f>
        <v/>
      </c>
      <c r="BG117" t="str">
        <f>IF(OR(Calc_오픈정렬!$F117="",Calc_오픈정렬!BG117=""),"",Calc_오픈정렬!BG117/Calc_오픈정렬!$F117*100)</f>
        <v/>
      </c>
      <c r="BH117" t="str">
        <f>IF(OR(Calc_오픈정렬!$F117="",Calc_오픈정렬!BH117=""),"",Calc_오픈정렬!BH117/Calc_오픈정렬!$F117*100)</f>
        <v/>
      </c>
      <c r="BI117" t="str">
        <f>IF(OR(Calc_오픈정렬!$F117="",Calc_오픈정렬!BI117=""),"",Calc_오픈정렬!BI117/Calc_오픈정렬!$F117*100)</f>
        <v/>
      </c>
      <c r="BJ117" t="str">
        <f>IF(OR(Calc_오픈정렬!$F117="",Calc_오픈정렬!BJ117=""),"",Calc_오픈정렬!BJ117/Calc_오픈정렬!$F117*100)</f>
        <v/>
      </c>
      <c r="BK117" t="str">
        <f>IF(OR(Calc_오픈정렬!$F117="",Calc_오픈정렬!BK117=""),"",Calc_오픈정렬!BK117/Calc_오픈정렬!$F117*100)</f>
        <v/>
      </c>
      <c r="BL117" t="str">
        <f>IF(OR(Calc_오픈정렬!$F117="",Calc_오픈정렬!BL117=""),"",Calc_오픈정렬!BL117/Calc_오픈정렬!$F117*100)</f>
        <v/>
      </c>
      <c r="BM117" t="str">
        <f>IF(OR(Calc_오픈정렬!$F117="",Calc_오픈정렬!BM117=""),"",Calc_오픈정렬!BM117/Calc_오픈정렬!$F117*100)</f>
        <v/>
      </c>
      <c r="BN117" t="str">
        <f>IF(OR(Calc_오픈정렬!$F117="",Calc_오픈정렬!BN117=""),"",Calc_오픈정렬!BN117/Calc_오픈정렬!$F117*100)</f>
        <v/>
      </c>
    </row>
    <row r="118" spans="1:66" x14ac:dyDescent="0.4">
      <c r="A118" t="str">
        <f>Calc_오픈정렬!A118</f>
        <v>(1108) #봉천해피점</v>
      </c>
      <c r="B118" t="str">
        <f>Calc_오픈정렬!B118</f>
        <v>150-2</v>
      </c>
      <c r="C118">
        <f>Calc_오픈정렬!C118</f>
        <v>2</v>
      </c>
      <c r="D118" t="str">
        <f>Calc_오픈정렬!D118</f>
        <v>2</v>
      </c>
      <c r="E118" s="1">
        <f>Calc_오픈정렬!E118</f>
        <v>45383</v>
      </c>
      <c r="F118">
        <f>Calc_오픈정렬!F118</f>
        <v>4388646.6545306677</v>
      </c>
      <c r="G118">
        <f>IF(OR(Calc_오픈정렬!$F118="",Calc_오픈정렬!G118=""),"",Calc_오픈정렬!G118/Calc_오픈정렬!$F118*100)</f>
        <v>73.943806613239829</v>
      </c>
      <c r="H118">
        <f>IF(OR(Calc_오픈정렬!$F118="",Calc_오픈정렬!H118=""),"",Calc_오픈정렬!H118/Calc_오픈정렬!$F118*100)</f>
        <v>70.330467633301538</v>
      </c>
      <c r="I118">
        <f>IF(OR(Calc_오픈정렬!$F118="",Calc_오픈정렬!I118=""),"",Calc_오픈정렬!I118/Calc_오픈정렬!$F118*100)</f>
        <v>84.859045819642148</v>
      </c>
      <c r="J118">
        <f>IF(OR(Calc_오픈정렬!$F118="",Calc_오픈정렬!J118=""),"",Calc_오픈정렬!J118/Calc_오픈정렬!$F118*100)</f>
        <v>96.464804334272785</v>
      </c>
      <c r="K118">
        <f>IF(OR(Calc_오픈정렬!$F118="",Calc_오픈정렬!K118=""),"",Calc_오픈정렬!K118/Calc_오픈정렬!$F118*100)</f>
        <v>94.50018291469118</v>
      </c>
      <c r="L118">
        <f>IF(OR(Calc_오픈정렬!$F118="",Calc_오픈정렬!L118=""),"",Calc_오픈정렬!L118/Calc_오픈정렬!$F118*100)</f>
        <v>97.891472513199233</v>
      </c>
      <c r="M118">
        <f>IF(OR(Calc_오픈정렬!$F118="",Calc_오픈정렬!M118=""),"",Calc_오픈정렬!M118/Calc_오픈정렬!$F118*100)</f>
        <v>96.659457770843915</v>
      </c>
      <c r="N118">
        <f>IF(OR(Calc_오픈정렬!$F118="",Calc_오픈정렬!N118=""),"",Calc_오픈정렬!N118/Calc_오픈정렬!$F118*100)</f>
        <v>110.37898979639711</v>
      </c>
      <c r="O118">
        <f>IF(OR(Calc_오픈정렬!$F118="",Calc_오픈정렬!O118=""),"",Calc_오픈정렬!O118/Calc_오픈정렬!$F118*100)</f>
        <v>104.10509267059587</v>
      </c>
      <c r="P118">
        <f>IF(OR(Calc_오픈정렬!$F118="",Calc_오픈정렬!P118=""),"",Calc_오픈정렬!P118/Calc_오픈정렬!$F118*100)</f>
        <v>98.301903237584781</v>
      </c>
      <c r="Q118">
        <f>IF(OR(Calc_오픈정렬!$F118="",Calc_오픈정렬!Q118=""),"",Calc_오픈정렬!Q118/Calc_오픈정렬!$F118*100)</f>
        <v>104.82381308668866</v>
      </c>
      <c r="R118">
        <f>IF(OR(Calc_오픈정렬!$F118="",Calc_오픈정렬!R118=""),"",Calc_오픈정렬!R118/Calc_오픈정렬!$F118*100)</f>
        <v>99.182833873228901</v>
      </c>
      <c r="S118">
        <f>IF(OR(Calc_오픈정렬!$F118="",Calc_오픈정렬!S118=""),"",Calc_오픈정렬!S118/Calc_오픈정렬!$F118*100)</f>
        <v>98.669663487648378</v>
      </c>
      <c r="T118">
        <f>IF(OR(Calc_오픈정렬!$F118="",Calc_오픈정렬!T118=""),"",Calc_오픈정렬!T118/Calc_오픈정렬!$F118*100)</f>
        <v>106.2118278488247</v>
      </c>
      <c r="U118">
        <f>IF(OR(Calc_오픈정렬!$F118="",Calc_오픈정렬!U118=""),"",Calc_오픈정렬!U118/Calc_오픈정렬!$F118*100)</f>
        <v>114.08032398902745</v>
      </c>
      <c r="V118">
        <f>IF(OR(Calc_오픈정렬!$F118="",Calc_오픈정렬!V118=""),"",Calc_오픈정렬!V118/Calc_오픈정렬!$F118*100)</f>
        <v>93.860088965534587</v>
      </c>
      <c r="W118">
        <f>IF(OR(Calc_오픈정렬!$F118="",Calc_오픈정렬!W118=""),"",Calc_오픈정렬!W118/Calc_오픈정렬!$F118*100)</f>
        <v>90.369247010714929</v>
      </c>
      <c r="X118">
        <f>IF(OR(Calc_오픈정렬!$F118="",Calc_오픈정렬!X118=""),"",Calc_오픈정렬!X118/Calc_오픈정렬!$F118*100)</f>
        <v>92.912034516935677</v>
      </c>
      <c r="Y118">
        <f>IF(OR(Calc_오픈정렬!$F118="",Calc_오픈정렬!Y118=""),"",Calc_오픈정렬!Y118/Calc_오픈정렬!$F118*100)</f>
        <v>84.948918169593625</v>
      </c>
      <c r="Z118">
        <f>IF(OR(Calc_오픈정렬!$F118="",Calc_오픈정렬!Z118=""),"",Calc_오픈정렬!Z118/Calc_오픈정렬!$F118*100)</f>
        <v>101.37880896973148</v>
      </c>
      <c r="AA118">
        <f>IF(OR(Calc_오픈정렬!$F118="",Calc_오픈정렬!AA118=""),"",Calc_오픈정렬!AA118/Calc_오픈정렬!$F118*100)</f>
        <v>90.323659431166718</v>
      </c>
      <c r="AB118">
        <f>IF(OR(Calc_오픈정렬!$F118="",Calc_오픈정렬!AB118=""),"",Calc_오픈정렬!AB118/Calc_오픈정렬!$F118*100)</f>
        <v>95.222052614143806</v>
      </c>
      <c r="AC118">
        <f>IF(OR(Calc_오픈정렬!$F118="",Calc_오픈정렬!AC118=""),"",Calc_오픈정렬!AC118/Calc_오픈정렬!$F118*100)</f>
        <v>103.08014225910217</v>
      </c>
      <c r="AD118">
        <f>IF(OR(Calc_오픈정렬!$F118="",Calc_오픈정렬!AD118=""),"",Calc_오픈정렬!AD118/Calc_오픈정렬!$F118*100)</f>
        <v>108.70278386834755</v>
      </c>
      <c r="AE118">
        <f>IF(OR(Calc_오픈정렬!$F118="",Calc_오픈정렬!AE118=""),"",Calc_오픈정렬!AE118/Calc_오픈정렬!$F118*100)</f>
        <v>114.75333575046018</v>
      </c>
      <c r="AF118">
        <f>IF(OR(Calc_오픈정렬!$F118="",Calc_오픈정렬!AF118=""),"",Calc_오픈정렬!AF118/Calc_오픈정렬!$F118*100)</f>
        <v>111.1281550576319</v>
      </c>
      <c r="AG118" t="str">
        <f>IF(OR(Calc_오픈정렬!$F118="",Calc_오픈정렬!AG118=""),"",Calc_오픈정렬!AG118/Calc_오픈정렬!$F118*100)</f>
        <v/>
      </c>
      <c r="AH118" t="str">
        <f>IF(OR(Calc_오픈정렬!$F118="",Calc_오픈정렬!AH118=""),"",Calc_오픈정렬!AH118/Calc_오픈정렬!$F118*100)</f>
        <v/>
      </c>
      <c r="AI118" t="str">
        <f>IF(OR(Calc_오픈정렬!$F118="",Calc_오픈정렬!AI118=""),"",Calc_오픈정렬!AI118/Calc_오픈정렬!$F118*100)</f>
        <v/>
      </c>
      <c r="AJ118" t="str">
        <f>IF(OR(Calc_오픈정렬!$F118="",Calc_오픈정렬!AJ118=""),"",Calc_오픈정렬!AJ118/Calc_오픈정렬!$F118*100)</f>
        <v/>
      </c>
      <c r="AK118" t="str">
        <f>IF(OR(Calc_오픈정렬!$F118="",Calc_오픈정렬!AK118=""),"",Calc_오픈정렬!AK118/Calc_오픈정렬!$F118*100)</f>
        <v/>
      </c>
      <c r="AL118" t="str">
        <f>IF(OR(Calc_오픈정렬!$F118="",Calc_오픈정렬!AL118=""),"",Calc_오픈정렬!AL118/Calc_오픈정렬!$F118*100)</f>
        <v/>
      </c>
      <c r="AM118" t="str">
        <f>IF(OR(Calc_오픈정렬!$F118="",Calc_오픈정렬!AM118=""),"",Calc_오픈정렬!AM118/Calc_오픈정렬!$F118*100)</f>
        <v/>
      </c>
      <c r="AN118" t="str">
        <f>IF(OR(Calc_오픈정렬!$F118="",Calc_오픈정렬!AN118=""),"",Calc_오픈정렬!AN118/Calc_오픈정렬!$F118*100)</f>
        <v/>
      </c>
      <c r="AO118" t="str">
        <f>IF(OR(Calc_오픈정렬!$F118="",Calc_오픈정렬!AO118=""),"",Calc_오픈정렬!AO118/Calc_오픈정렬!$F118*100)</f>
        <v/>
      </c>
      <c r="AP118" t="str">
        <f>IF(OR(Calc_오픈정렬!$F118="",Calc_오픈정렬!AP118=""),"",Calc_오픈정렬!AP118/Calc_오픈정렬!$F118*100)</f>
        <v/>
      </c>
      <c r="AQ118" t="str">
        <f>IF(OR(Calc_오픈정렬!$F118="",Calc_오픈정렬!AQ118=""),"",Calc_오픈정렬!AQ118/Calc_오픈정렬!$F118*100)</f>
        <v/>
      </c>
      <c r="AR118" t="str">
        <f>IF(OR(Calc_오픈정렬!$F118="",Calc_오픈정렬!AR118=""),"",Calc_오픈정렬!AR118/Calc_오픈정렬!$F118*100)</f>
        <v/>
      </c>
      <c r="AS118" t="str">
        <f>IF(OR(Calc_오픈정렬!$F118="",Calc_오픈정렬!AS118=""),"",Calc_오픈정렬!AS118/Calc_오픈정렬!$F118*100)</f>
        <v/>
      </c>
      <c r="AT118" t="str">
        <f>IF(OR(Calc_오픈정렬!$F118="",Calc_오픈정렬!AT118=""),"",Calc_오픈정렬!AT118/Calc_오픈정렬!$F118*100)</f>
        <v/>
      </c>
      <c r="AU118" t="str">
        <f>IF(OR(Calc_오픈정렬!$F118="",Calc_오픈정렬!AU118=""),"",Calc_오픈정렬!AU118/Calc_오픈정렬!$F118*100)</f>
        <v/>
      </c>
      <c r="AV118" t="str">
        <f>IF(OR(Calc_오픈정렬!$F118="",Calc_오픈정렬!AV118=""),"",Calc_오픈정렬!AV118/Calc_오픈정렬!$F118*100)</f>
        <v/>
      </c>
      <c r="AW118" t="str">
        <f>IF(OR(Calc_오픈정렬!$F118="",Calc_오픈정렬!AW118=""),"",Calc_오픈정렬!AW118/Calc_오픈정렬!$F118*100)</f>
        <v/>
      </c>
      <c r="AX118" t="str">
        <f>IF(OR(Calc_오픈정렬!$F118="",Calc_오픈정렬!AX118=""),"",Calc_오픈정렬!AX118/Calc_오픈정렬!$F118*100)</f>
        <v/>
      </c>
      <c r="AY118" t="str">
        <f>IF(OR(Calc_오픈정렬!$F118="",Calc_오픈정렬!AY118=""),"",Calc_오픈정렬!AY118/Calc_오픈정렬!$F118*100)</f>
        <v/>
      </c>
      <c r="AZ118" t="str">
        <f>IF(OR(Calc_오픈정렬!$F118="",Calc_오픈정렬!AZ118=""),"",Calc_오픈정렬!AZ118/Calc_오픈정렬!$F118*100)</f>
        <v/>
      </c>
      <c r="BA118" t="str">
        <f>IF(OR(Calc_오픈정렬!$F118="",Calc_오픈정렬!BA118=""),"",Calc_오픈정렬!BA118/Calc_오픈정렬!$F118*100)</f>
        <v/>
      </c>
      <c r="BB118" t="str">
        <f>IF(OR(Calc_오픈정렬!$F118="",Calc_오픈정렬!BB118=""),"",Calc_오픈정렬!BB118/Calc_오픈정렬!$F118*100)</f>
        <v/>
      </c>
      <c r="BC118" t="str">
        <f>IF(OR(Calc_오픈정렬!$F118="",Calc_오픈정렬!BC118=""),"",Calc_오픈정렬!BC118/Calc_오픈정렬!$F118*100)</f>
        <v/>
      </c>
      <c r="BD118" t="str">
        <f>IF(OR(Calc_오픈정렬!$F118="",Calc_오픈정렬!BD118=""),"",Calc_오픈정렬!BD118/Calc_오픈정렬!$F118*100)</f>
        <v/>
      </c>
      <c r="BE118" t="str">
        <f>IF(OR(Calc_오픈정렬!$F118="",Calc_오픈정렬!BE118=""),"",Calc_오픈정렬!BE118/Calc_오픈정렬!$F118*100)</f>
        <v/>
      </c>
      <c r="BF118" t="str">
        <f>IF(OR(Calc_오픈정렬!$F118="",Calc_오픈정렬!BF118=""),"",Calc_오픈정렬!BF118/Calc_오픈정렬!$F118*100)</f>
        <v/>
      </c>
      <c r="BG118" t="str">
        <f>IF(OR(Calc_오픈정렬!$F118="",Calc_오픈정렬!BG118=""),"",Calc_오픈정렬!BG118/Calc_오픈정렬!$F118*100)</f>
        <v/>
      </c>
      <c r="BH118" t="str">
        <f>IF(OR(Calc_오픈정렬!$F118="",Calc_오픈정렬!BH118=""),"",Calc_오픈정렬!BH118/Calc_오픈정렬!$F118*100)</f>
        <v/>
      </c>
      <c r="BI118" t="str">
        <f>IF(OR(Calc_오픈정렬!$F118="",Calc_오픈정렬!BI118=""),"",Calc_오픈정렬!BI118/Calc_오픈정렬!$F118*100)</f>
        <v/>
      </c>
      <c r="BJ118" t="str">
        <f>IF(OR(Calc_오픈정렬!$F118="",Calc_오픈정렬!BJ118=""),"",Calc_오픈정렬!BJ118/Calc_오픈정렬!$F118*100)</f>
        <v/>
      </c>
      <c r="BK118" t="str">
        <f>IF(OR(Calc_오픈정렬!$F118="",Calc_오픈정렬!BK118=""),"",Calc_오픈정렬!BK118/Calc_오픈정렬!$F118*100)</f>
        <v/>
      </c>
      <c r="BL118" t="str">
        <f>IF(OR(Calc_오픈정렬!$F118="",Calc_오픈정렬!BL118=""),"",Calc_오픈정렬!BL118/Calc_오픈정렬!$F118*100)</f>
        <v/>
      </c>
      <c r="BM118" t="str">
        <f>IF(OR(Calc_오픈정렬!$F118="",Calc_오픈정렬!BM118=""),"",Calc_오픈정렬!BM118/Calc_오픈정렬!$F118*100)</f>
        <v/>
      </c>
      <c r="BN118" t="str">
        <f>IF(OR(Calc_오픈정렬!$F118="",Calc_오픈정렬!BN118=""),"",Calc_오픈정렬!BN118/Calc_오픈정렬!$F118*100)</f>
        <v/>
      </c>
    </row>
    <row r="119" spans="1:66" x14ac:dyDescent="0.4">
      <c r="A119" t="str">
        <f>Calc_오픈정렬!A119</f>
        <v>(1109) #서강대남문점</v>
      </c>
      <c r="B119" t="str">
        <f>Calc_오픈정렬!B119</f>
        <v>150-1</v>
      </c>
      <c r="C119">
        <f>Calc_오픈정렬!C119</f>
        <v>1</v>
      </c>
      <c r="D119" t="str">
        <f>Calc_오픈정렬!D119</f>
        <v>1</v>
      </c>
      <c r="E119" s="1">
        <f>Calc_오픈정렬!E119</f>
        <v>45413</v>
      </c>
      <c r="F119">
        <f>Calc_오픈정렬!F119</f>
        <v>5363422.2977434723</v>
      </c>
      <c r="G119">
        <f>IF(OR(Calc_오픈정렬!$F119="",Calc_오픈정렬!G119=""),"",Calc_오픈정렬!G119/Calc_오픈정렬!$F119*100)</f>
        <v>93.983921378261385</v>
      </c>
      <c r="H119">
        <f>IF(OR(Calc_오픈정렬!$F119="",Calc_오픈정렬!H119=""),"",Calc_오픈정렬!H119/Calc_오픈정렬!$F119*100)</f>
        <v>118.46860797785197</v>
      </c>
      <c r="I119">
        <f>IF(OR(Calc_오픈정렬!$F119="",Calc_오픈정렬!I119=""),"",Calc_오픈정렬!I119/Calc_오픈정렬!$F119*100)</f>
        <v>150.04226611688981</v>
      </c>
      <c r="J119">
        <f>IF(OR(Calc_오픈정렬!$F119="",Calc_오픈정렬!J119=""),"",Calc_오픈정렬!J119/Calc_오픈정렬!$F119*100)</f>
        <v>142.9099997521418</v>
      </c>
      <c r="K119">
        <f>IF(OR(Calc_오픈정렬!$F119="",Calc_오픈정렬!K119=""),"",Calc_오픈정렬!K119/Calc_오픈정렬!$F119*100)</f>
        <v>138.75232758519914</v>
      </c>
      <c r="L119">
        <f>IF(OR(Calc_오픈정렬!$F119="",Calc_오픈정렬!L119=""),"",Calc_오픈정렬!L119/Calc_오픈정렬!$F119*100)</f>
        <v>118.54819265528793</v>
      </c>
      <c r="M119">
        <f>IF(OR(Calc_오픈정렬!$F119="",Calc_오픈정렬!M119=""),"",Calc_오픈정렬!M119/Calc_오픈정렬!$F119*100)</f>
        <v>61.158734862740424</v>
      </c>
      <c r="N119">
        <f>IF(OR(Calc_오픈정렬!$F119="",Calc_오픈정렬!N119=""),"",Calc_오픈정렬!N119/Calc_오픈정렬!$F119*100)</f>
        <v>61.98635397273987</v>
      </c>
      <c r="O119">
        <f>IF(OR(Calc_오픈정렬!$F119="",Calc_오픈정렬!O119=""),"",Calc_오픈정렬!O119/Calc_오픈정렬!$F119*100)</f>
        <v>76.644391171890774</v>
      </c>
      <c r="P119">
        <f>IF(OR(Calc_오픈정렬!$F119="",Calc_오픈정렬!P119=""),"",Calc_오픈정렬!P119/Calc_오픈정렬!$F119*100)</f>
        <v>82.899821016025214</v>
      </c>
      <c r="Q119">
        <f>IF(OR(Calc_오픈정렬!$F119="",Calc_오픈정렬!Q119=""),"",Calc_오픈정렬!Q119/Calc_오픈정렬!$F119*100)</f>
        <v>95.852556234182273</v>
      </c>
      <c r="R119">
        <f>IF(OR(Calc_오픈정렬!$F119="",Calc_오픈정렬!R119=""),"",Calc_오픈정렬!R119/Calc_오픈정렬!$F119*100)</f>
        <v>88.379964230801505</v>
      </c>
      <c r="S119">
        <f>IF(OR(Calc_오픈정렬!$F119="",Calc_오픈정렬!S119=""),"",Calc_오픈정렬!S119/Calc_오픈정렬!$F119*100)</f>
        <v>94.624661724412121</v>
      </c>
      <c r="T119">
        <f>IF(OR(Calc_오픈정렬!$F119="",Calc_오픈정렬!T119=""),"",Calc_오픈정렬!T119/Calc_오픈정렬!$F119*100)</f>
        <v>90.253244991813276</v>
      </c>
      <c r="U119">
        <f>IF(OR(Calc_오픈정렬!$F119="",Calc_오픈정렬!U119=""),"",Calc_오픈정렬!U119/Calc_오픈정렬!$F119*100)</f>
        <v>90.813588704482157</v>
      </c>
      <c r="V119">
        <f>IF(OR(Calc_오픈정렬!$F119="",Calc_오픈정렬!V119=""),"",Calc_오픈정렬!V119/Calc_오픈정렬!$F119*100)</f>
        <v>88.18778988569936</v>
      </c>
      <c r="W119">
        <f>IF(OR(Calc_오픈정렬!$F119="",Calc_오픈정렬!W119=""),"",Calc_오픈정렬!W119/Calc_오픈정렬!$F119*100)</f>
        <v>86.316693634510784</v>
      </c>
      <c r="X119">
        <f>IF(OR(Calc_오픈정렬!$F119="",Calc_오픈정렬!X119=""),"",Calc_오픈정렬!X119/Calc_오픈정렬!$F119*100)</f>
        <v>85.614196376052405</v>
      </c>
      <c r="Y119">
        <f>IF(OR(Calc_오픈정렬!$F119="",Calc_오픈정렬!Y119=""),"",Calc_오픈정렬!Y119/Calc_오픈정렬!$F119*100)</f>
        <v>96.180263338502542</v>
      </c>
      <c r="Z119">
        <f>IF(OR(Calc_오픈정렬!$F119="",Calc_오픈정렬!Z119=""),"",Calc_오픈정렬!Z119/Calc_오픈정렬!$F119*100)</f>
        <v>89.911573083956995</v>
      </c>
      <c r="AA119">
        <f>IF(OR(Calc_오픈정렬!$F119="",Calc_오픈정렬!AA119=""),"",Calc_오픈정렬!AA119/Calc_오픈정렬!$F119*100)</f>
        <v>106.48397443839579</v>
      </c>
      <c r="AB119">
        <f>IF(OR(Calc_오픈정렬!$F119="",Calc_오픈정렬!AB119=""),"",Calc_오픈정렬!AB119/Calc_오픈정렬!$F119*100)</f>
        <v>96.829050800421626</v>
      </c>
      <c r="AC119">
        <f>IF(OR(Calc_오픈정렬!$F119="",Calc_오픈정렬!AC119=""),"",Calc_오픈정렬!AC119/Calc_오픈정렬!$F119*100)</f>
        <v>92.124230897561233</v>
      </c>
      <c r="AD119">
        <f>IF(OR(Calc_오픈정렬!$F119="",Calc_오픈정렬!AD119=""),"",Calc_오픈정렬!AD119/Calc_오픈정렬!$F119*100)</f>
        <v>105.31198012262773</v>
      </c>
      <c r="AE119">
        <f>IF(OR(Calc_오픈정렬!$F119="",Calc_오픈정렬!AE119=""),"",Calc_오픈정렬!AE119/Calc_오픈정렬!$F119*100)</f>
        <v>106.23850075752731</v>
      </c>
      <c r="AF119" t="str">
        <f>IF(OR(Calc_오픈정렬!$F119="",Calc_오픈정렬!AF119=""),"",Calc_오픈정렬!AF119/Calc_오픈정렬!$F119*100)</f>
        <v/>
      </c>
      <c r="AG119" t="str">
        <f>IF(OR(Calc_오픈정렬!$F119="",Calc_오픈정렬!AG119=""),"",Calc_오픈정렬!AG119/Calc_오픈정렬!$F119*100)</f>
        <v/>
      </c>
      <c r="AH119" t="str">
        <f>IF(OR(Calc_오픈정렬!$F119="",Calc_오픈정렬!AH119=""),"",Calc_오픈정렬!AH119/Calc_오픈정렬!$F119*100)</f>
        <v/>
      </c>
      <c r="AI119" t="str">
        <f>IF(OR(Calc_오픈정렬!$F119="",Calc_오픈정렬!AI119=""),"",Calc_오픈정렬!AI119/Calc_오픈정렬!$F119*100)</f>
        <v/>
      </c>
      <c r="AJ119" t="str">
        <f>IF(OR(Calc_오픈정렬!$F119="",Calc_오픈정렬!AJ119=""),"",Calc_오픈정렬!AJ119/Calc_오픈정렬!$F119*100)</f>
        <v/>
      </c>
      <c r="AK119" t="str">
        <f>IF(OR(Calc_오픈정렬!$F119="",Calc_오픈정렬!AK119=""),"",Calc_오픈정렬!AK119/Calc_오픈정렬!$F119*100)</f>
        <v/>
      </c>
      <c r="AL119" t="str">
        <f>IF(OR(Calc_오픈정렬!$F119="",Calc_오픈정렬!AL119=""),"",Calc_오픈정렬!AL119/Calc_오픈정렬!$F119*100)</f>
        <v/>
      </c>
      <c r="AM119" t="str">
        <f>IF(OR(Calc_오픈정렬!$F119="",Calc_오픈정렬!AM119=""),"",Calc_오픈정렬!AM119/Calc_오픈정렬!$F119*100)</f>
        <v/>
      </c>
      <c r="AN119" t="str">
        <f>IF(OR(Calc_오픈정렬!$F119="",Calc_오픈정렬!AN119=""),"",Calc_오픈정렬!AN119/Calc_오픈정렬!$F119*100)</f>
        <v/>
      </c>
      <c r="AO119" t="str">
        <f>IF(OR(Calc_오픈정렬!$F119="",Calc_오픈정렬!AO119=""),"",Calc_오픈정렬!AO119/Calc_오픈정렬!$F119*100)</f>
        <v/>
      </c>
      <c r="AP119" t="str">
        <f>IF(OR(Calc_오픈정렬!$F119="",Calc_오픈정렬!AP119=""),"",Calc_오픈정렬!AP119/Calc_오픈정렬!$F119*100)</f>
        <v/>
      </c>
      <c r="AQ119" t="str">
        <f>IF(OR(Calc_오픈정렬!$F119="",Calc_오픈정렬!AQ119=""),"",Calc_오픈정렬!AQ119/Calc_오픈정렬!$F119*100)</f>
        <v/>
      </c>
      <c r="AR119" t="str">
        <f>IF(OR(Calc_오픈정렬!$F119="",Calc_오픈정렬!AR119=""),"",Calc_오픈정렬!AR119/Calc_오픈정렬!$F119*100)</f>
        <v/>
      </c>
      <c r="AS119" t="str">
        <f>IF(OR(Calc_오픈정렬!$F119="",Calc_오픈정렬!AS119=""),"",Calc_오픈정렬!AS119/Calc_오픈정렬!$F119*100)</f>
        <v/>
      </c>
      <c r="AT119" t="str">
        <f>IF(OR(Calc_오픈정렬!$F119="",Calc_오픈정렬!AT119=""),"",Calc_오픈정렬!AT119/Calc_오픈정렬!$F119*100)</f>
        <v/>
      </c>
      <c r="AU119" t="str">
        <f>IF(OR(Calc_오픈정렬!$F119="",Calc_오픈정렬!AU119=""),"",Calc_오픈정렬!AU119/Calc_오픈정렬!$F119*100)</f>
        <v/>
      </c>
      <c r="AV119" t="str">
        <f>IF(OR(Calc_오픈정렬!$F119="",Calc_오픈정렬!AV119=""),"",Calc_오픈정렬!AV119/Calc_오픈정렬!$F119*100)</f>
        <v/>
      </c>
      <c r="AW119" t="str">
        <f>IF(OR(Calc_오픈정렬!$F119="",Calc_오픈정렬!AW119=""),"",Calc_오픈정렬!AW119/Calc_오픈정렬!$F119*100)</f>
        <v/>
      </c>
      <c r="AX119" t="str">
        <f>IF(OR(Calc_오픈정렬!$F119="",Calc_오픈정렬!AX119=""),"",Calc_오픈정렬!AX119/Calc_오픈정렬!$F119*100)</f>
        <v/>
      </c>
      <c r="AY119" t="str">
        <f>IF(OR(Calc_오픈정렬!$F119="",Calc_오픈정렬!AY119=""),"",Calc_오픈정렬!AY119/Calc_오픈정렬!$F119*100)</f>
        <v/>
      </c>
      <c r="AZ119" t="str">
        <f>IF(OR(Calc_오픈정렬!$F119="",Calc_오픈정렬!AZ119=""),"",Calc_오픈정렬!AZ119/Calc_오픈정렬!$F119*100)</f>
        <v/>
      </c>
      <c r="BA119" t="str">
        <f>IF(OR(Calc_오픈정렬!$F119="",Calc_오픈정렬!BA119=""),"",Calc_오픈정렬!BA119/Calc_오픈정렬!$F119*100)</f>
        <v/>
      </c>
      <c r="BB119" t="str">
        <f>IF(OR(Calc_오픈정렬!$F119="",Calc_오픈정렬!BB119=""),"",Calc_오픈정렬!BB119/Calc_오픈정렬!$F119*100)</f>
        <v/>
      </c>
      <c r="BC119" t="str">
        <f>IF(OR(Calc_오픈정렬!$F119="",Calc_오픈정렬!BC119=""),"",Calc_오픈정렬!BC119/Calc_오픈정렬!$F119*100)</f>
        <v/>
      </c>
      <c r="BD119" t="str">
        <f>IF(OR(Calc_오픈정렬!$F119="",Calc_오픈정렬!BD119=""),"",Calc_오픈정렬!BD119/Calc_오픈정렬!$F119*100)</f>
        <v/>
      </c>
      <c r="BE119" t="str">
        <f>IF(OR(Calc_오픈정렬!$F119="",Calc_오픈정렬!BE119=""),"",Calc_오픈정렬!BE119/Calc_오픈정렬!$F119*100)</f>
        <v/>
      </c>
      <c r="BF119" t="str">
        <f>IF(OR(Calc_오픈정렬!$F119="",Calc_오픈정렬!BF119=""),"",Calc_오픈정렬!BF119/Calc_오픈정렬!$F119*100)</f>
        <v/>
      </c>
      <c r="BG119" t="str">
        <f>IF(OR(Calc_오픈정렬!$F119="",Calc_오픈정렬!BG119=""),"",Calc_오픈정렬!BG119/Calc_오픈정렬!$F119*100)</f>
        <v/>
      </c>
      <c r="BH119" t="str">
        <f>IF(OR(Calc_오픈정렬!$F119="",Calc_오픈정렬!BH119=""),"",Calc_오픈정렬!BH119/Calc_오픈정렬!$F119*100)</f>
        <v/>
      </c>
      <c r="BI119" t="str">
        <f>IF(OR(Calc_오픈정렬!$F119="",Calc_오픈정렬!BI119=""),"",Calc_오픈정렬!BI119/Calc_오픈정렬!$F119*100)</f>
        <v/>
      </c>
      <c r="BJ119" t="str">
        <f>IF(OR(Calc_오픈정렬!$F119="",Calc_오픈정렬!BJ119=""),"",Calc_오픈정렬!BJ119/Calc_오픈정렬!$F119*100)</f>
        <v/>
      </c>
      <c r="BK119" t="str">
        <f>IF(OR(Calc_오픈정렬!$F119="",Calc_오픈정렬!BK119=""),"",Calc_오픈정렬!BK119/Calc_오픈정렬!$F119*100)</f>
        <v/>
      </c>
      <c r="BL119" t="str">
        <f>IF(OR(Calc_오픈정렬!$F119="",Calc_오픈정렬!BL119=""),"",Calc_오픈정렬!BL119/Calc_오픈정렬!$F119*100)</f>
        <v/>
      </c>
      <c r="BM119" t="str">
        <f>IF(OR(Calc_오픈정렬!$F119="",Calc_오픈정렬!BM119=""),"",Calc_오픈정렬!BM119/Calc_오픈정렬!$F119*100)</f>
        <v/>
      </c>
      <c r="BN119" t="str">
        <f>IF(OR(Calc_오픈정렬!$F119="",Calc_오픈정렬!BN119=""),"",Calc_오픈정렬!BN119/Calc_오픈정렬!$F119*100)</f>
        <v/>
      </c>
    </row>
    <row r="120" spans="1:66" x14ac:dyDescent="0.4">
      <c r="A120" t="str">
        <f>Calc_오픈정렬!A120</f>
        <v>(1110) #서림스마일점</v>
      </c>
      <c r="B120" t="str">
        <f>Calc_오픈정렬!B120</f>
        <v>150-2</v>
      </c>
      <c r="C120">
        <f>Calc_오픈정렬!C120</f>
        <v>2</v>
      </c>
      <c r="D120" t="str">
        <f>Calc_오픈정렬!D120</f>
        <v>2</v>
      </c>
      <c r="E120" s="1">
        <f>Calc_오픈정렬!E120</f>
        <v>45413</v>
      </c>
      <c r="F120">
        <f>Calc_오픈정렬!F120</f>
        <v>3436041.5201906473</v>
      </c>
      <c r="G120">
        <f>IF(OR(Calc_오픈정렬!$F120="",Calc_오픈정렬!G120=""),"",Calc_오픈정렬!G120/Calc_오픈정렬!$F120*100)</f>
        <v>84.695764816755229</v>
      </c>
      <c r="H120">
        <f>IF(OR(Calc_오픈정렬!$F120="",Calc_오픈정렬!H120=""),"",Calc_오픈정렬!H120/Calc_오픈정렬!$F120*100)</f>
        <v>98.689463398652236</v>
      </c>
      <c r="I120">
        <f>IF(OR(Calc_오픈정렬!$F120="",Calc_오픈정렬!I120=""),"",Calc_오픈정렬!I120/Calc_오픈정렬!$F120*100)</f>
        <v>99.243721090870338</v>
      </c>
      <c r="J120">
        <f>IF(OR(Calc_오픈정렬!$F120="",Calc_오픈정렬!J120=""),"",Calc_오픈정렬!J120/Calc_오픈정렬!$F120*100)</f>
        <v>92.922313788497263</v>
      </c>
      <c r="K120">
        <f>IF(OR(Calc_오픈정렬!$F120="",Calc_오픈정렬!K120=""),"",Calc_오픈정렬!K120/Calc_오픈정렬!$F120*100)</f>
        <v>102.88819421880899</v>
      </c>
      <c r="L120">
        <f>IF(OR(Calc_오픈정렬!$F120="",Calc_오픈정렬!L120=""),"",Calc_오픈정렬!L120/Calc_오픈정렬!$F120*100)</f>
        <v>82.335123657698176</v>
      </c>
      <c r="M120">
        <f>IF(OR(Calc_오픈정렬!$F120="",Calc_오픈정렬!M120=""),"",Calc_오픈정렬!M120/Calc_오픈정렬!$F120*100)</f>
        <v>100.25859220640274</v>
      </c>
      <c r="N120">
        <f>IF(OR(Calc_오픈정렬!$F120="",Calc_오픈정렬!N120=""),"",Calc_오픈정렬!N120/Calc_오픈정렬!$F120*100)</f>
        <v>104.10573142735859</v>
      </c>
      <c r="O120">
        <f>IF(OR(Calc_오픈정렬!$F120="",Calc_오픈정렬!O120=""),"",Calc_오픈정렬!O120/Calc_오픈정렬!$F120*100)</f>
        <v>117.49004470123421</v>
      </c>
      <c r="P120">
        <f>IF(OR(Calc_오픈정렬!$F120="",Calc_오픈정렬!P120=""),"",Calc_오픈정렬!P120/Calc_오픈정렬!$F120*100)</f>
        <v>106.39421895822491</v>
      </c>
      <c r="Q120">
        <f>IF(OR(Calc_오픈정렬!$F120="",Calc_오픈정렬!Q120=""),"",Calc_오픈정렬!Q120/Calc_오픈정렬!$F120*100)</f>
        <v>115.01242871048744</v>
      </c>
      <c r="R120">
        <f>IF(OR(Calc_오픈정렬!$F120="",Calc_오픈정렬!R120=""),"",Calc_오픈정렬!R120/Calc_오픈정렬!$F120*100)</f>
        <v>113.20905591303894</v>
      </c>
      <c r="S120">
        <f>IF(OR(Calc_오픈정렬!$F120="",Calc_오픈정렬!S120=""),"",Calc_오픈정렬!S120/Calc_오픈정렬!$F120*100)</f>
        <v>115.92362862450682</v>
      </c>
      <c r="T120">
        <f>IF(OR(Calc_오픈정렬!$F120="",Calc_오픈정렬!T120=""),"",Calc_오픈정렬!T120/Calc_오픈정렬!$F120*100)</f>
        <v>121.57516669195083</v>
      </c>
      <c r="U120">
        <f>IF(OR(Calc_오픈정렬!$F120="",Calc_오픈정렬!U120=""),"",Calc_오픈정렬!U120/Calc_오픈정렬!$F120*100)</f>
        <v>116.29219984841228</v>
      </c>
      <c r="V120">
        <f>IF(OR(Calc_오픈정렬!$F120="",Calc_오픈정렬!V120=""),"",Calc_오픈정렬!V120/Calc_오픈정렬!$F120*100)</f>
        <v>125.88140773127978</v>
      </c>
      <c r="W120">
        <f>IF(OR(Calc_오픈정렬!$F120="",Calc_오픈정렬!W120=""),"",Calc_오픈정렬!W120/Calc_오픈정렬!$F120*100)</f>
        <v>118.09186406925976</v>
      </c>
      <c r="X120">
        <f>IF(OR(Calc_오픈정렬!$F120="",Calc_오픈정렬!X120=""),"",Calc_오픈정렬!X120/Calc_오픈정렬!$F120*100)</f>
        <v>126.36594118197473</v>
      </c>
      <c r="Y120">
        <f>IF(OR(Calc_오픈정렬!$F120="",Calc_오픈정렬!Y120=""),"",Calc_오픈정렬!Y120/Calc_오픈정렬!$F120*100)</f>
        <v>135.48159982076672</v>
      </c>
      <c r="Z120">
        <f>IF(OR(Calc_오픈정렬!$F120="",Calc_오픈정렬!Z120=""),"",Calc_오픈정렬!Z120/Calc_오픈정렬!$F120*100)</f>
        <v>130.24693604394895</v>
      </c>
      <c r="AA120">
        <f>IF(OR(Calc_오픈정렬!$F120="",Calc_오픈정렬!AA120=""),"",Calc_오픈정렬!AA120/Calc_오픈정렬!$F120*100)</f>
        <v>142.55846671278223</v>
      </c>
      <c r="AB120">
        <f>IF(OR(Calc_오픈정렬!$F120="",Calc_오픈정렬!AB120=""),"",Calc_오픈정렬!AB120/Calc_오픈정렬!$F120*100)</f>
        <v>153.31837348926734</v>
      </c>
      <c r="AC120">
        <f>IF(OR(Calc_오픈정렬!$F120="",Calc_오픈정렬!AC120=""),"",Calc_오픈정렬!AC120/Calc_오픈정렬!$F120*100)</f>
        <v>138.65675095352654</v>
      </c>
      <c r="AD120">
        <f>IF(OR(Calc_오픈정렬!$F120="",Calc_오픈정렬!AD120=""),"",Calc_오픈정렬!AD120/Calc_오픈정렬!$F120*100)</f>
        <v>140.6412372906286</v>
      </c>
      <c r="AE120">
        <f>IF(OR(Calc_오픈정렬!$F120="",Calc_오픈정렬!AE120=""),"",Calc_오픈정렬!AE120/Calc_오픈정렬!$F120*100)</f>
        <v>157.96781971899856</v>
      </c>
      <c r="AF120" t="str">
        <f>IF(OR(Calc_오픈정렬!$F120="",Calc_오픈정렬!AF120=""),"",Calc_오픈정렬!AF120/Calc_오픈정렬!$F120*100)</f>
        <v/>
      </c>
      <c r="AG120" t="str">
        <f>IF(OR(Calc_오픈정렬!$F120="",Calc_오픈정렬!AG120=""),"",Calc_오픈정렬!AG120/Calc_오픈정렬!$F120*100)</f>
        <v/>
      </c>
      <c r="AH120" t="str">
        <f>IF(OR(Calc_오픈정렬!$F120="",Calc_오픈정렬!AH120=""),"",Calc_오픈정렬!AH120/Calc_오픈정렬!$F120*100)</f>
        <v/>
      </c>
      <c r="AI120" t="str">
        <f>IF(OR(Calc_오픈정렬!$F120="",Calc_오픈정렬!AI120=""),"",Calc_오픈정렬!AI120/Calc_오픈정렬!$F120*100)</f>
        <v/>
      </c>
      <c r="AJ120" t="str">
        <f>IF(OR(Calc_오픈정렬!$F120="",Calc_오픈정렬!AJ120=""),"",Calc_오픈정렬!AJ120/Calc_오픈정렬!$F120*100)</f>
        <v/>
      </c>
      <c r="AK120" t="str">
        <f>IF(OR(Calc_오픈정렬!$F120="",Calc_오픈정렬!AK120=""),"",Calc_오픈정렬!AK120/Calc_오픈정렬!$F120*100)</f>
        <v/>
      </c>
      <c r="AL120" t="str">
        <f>IF(OR(Calc_오픈정렬!$F120="",Calc_오픈정렬!AL120=""),"",Calc_오픈정렬!AL120/Calc_오픈정렬!$F120*100)</f>
        <v/>
      </c>
      <c r="AM120" t="str">
        <f>IF(OR(Calc_오픈정렬!$F120="",Calc_오픈정렬!AM120=""),"",Calc_오픈정렬!AM120/Calc_오픈정렬!$F120*100)</f>
        <v/>
      </c>
      <c r="AN120" t="str">
        <f>IF(OR(Calc_오픈정렬!$F120="",Calc_오픈정렬!AN120=""),"",Calc_오픈정렬!AN120/Calc_오픈정렬!$F120*100)</f>
        <v/>
      </c>
      <c r="AO120" t="str">
        <f>IF(OR(Calc_오픈정렬!$F120="",Calc_오픈정렬!AO120=""),"",Calc_오픈정렬!AO120/Calc_오픈정렬!$F120*100)</f>
        <v/>
      </c>
      <c r="AP120" t="str">
        <f>IF(OR(Calc_오픈정렬!$F120="",Calc_오픈정렬!AP120=""),"",Calc_오픈정렬!AP120/Calc_오픈정렬!$F120*100)</f>
        <v/>
      </c>
      <c r="AQ120" t="str">
        <f>IF(OR(Calc_오픈정렬!$F120="",Calc_오픈정렬!AQ120=""),"",Calc_오픈정렬!AQ120/Calc_오픈정렬!$F120*100)</f>
        <v/>
      </c>
      <c r="AR120" t="str">
        <f>IF(OR(Calc_오픈정렬!$F120="",Calc_오픈정렬!AR120=""),"",Calc_오픈정렬!AR120/Calc_오픈정렬!$F120*100)</f>
        <v/>
      </c>
      <c r="AS120" t="str">
        <f>IF(OR(Calc_오픈정렬!$F120="",Calc_오픈정렬!AS120=""),"",Calc_오픈정렬!AS120/Calc_오픈정렬!$F120*100)</f>
        <v/>
      </c>
      <c r="AT120" t="str">
        <f>IF(OR(Calc_오픈정렬!$F120="",Calc_오픈정렬!AT120=""),"",Calc_오픈정렬!AT120/Calc_오픈정렬!$F120*100)</f>
        <v/>
      </c>
      <c r="AU120" t="str">
        <f>IF(OR(Calc_오픈정렬!$F120="",Calc_오픈정렬!AU120=""),"",Calc_오픈정렬!AU120/Calc_오픈정렬!$F120*100)</f>
        <v/>
      </c>
      <c r="AV120" t="str">
        <f>IF(OR(Calc_오픈정렬!$F120="",Calc_오픈정렬!AV120=""),"",Calc_오픈정렬!AV120/Calc_오픈정렬!$F120*100)</f>
        <v/>
      </c>
      <c r="AW120" t="str">
        <f>IF(OR(Calc_오픈정렬!$F120="",Calc_오픈정렬!AW120=""),"",Calc_오픈정렬!AW120/Calc_오픈정렬!$F120*100)</f>
        <v/>
      </c>
      <c r="AX120" t="str">
        <f>IF(OR(Calc_오픈정렬!$F120="",Calc_오픈정렬!AX120=""),"",Calc_오픈정렬!AX120/Calc_오픈정렬!$F120*100)</f>
        <v/>
      </c>
      <c r="AY120" t="str">
        <f>IF(OR(Calc_오픈정렬!$F120="",Calc_오픈정렬!AY120=""),"",Calc_오픈정렬!AY120/Calc_오픈정렬!$F120*100)</f>
        <v/>
      </c>
      <c r="AZ120" t="str">
        <f>IF(OR(Calc_오픈정렬!$F120="",Calc_오픈정렬!AZ120=""),"",Calc_오픈정렬!AZ120/Calc_오픈정렬!$F120*100)</f>
        <v/>
      </c>
      <c r="BA120" t="str">
        <f>IF(OR(Calc_오픈정렬!$F120="",Calc_오픈정렬!BA120=""),"",Calc_오픈정렬!BA120/Calc_오픈정렬!$F120*100)</f>
        <v/>
      </c>
      <c r="BB120" t="str">
        <f>IF(OR(Calc_오픈정렬!$F120="",Calc_오픈정렬!BB120=""),"",Calc_오픈정렬!BB120/Calc_오픈정렬!$F120*100)</f>
        <v/>
      </c>
      <c r="BC120" t="str">
        <f>IF(OR(Calc_오픈정렬!$F120="",Calc_오픈정렬!BC120=""),"",Calc_오픈정렬!BC120/Calc_오픈정렬!$F120*100)</f>
        <v/>
      </c>
      <c r="BD120" t="str">
        <f>IF(OR(Calc_오픈정렬!$F120="",Calc_오픈정렬!BD120=""),"",Calc_오픈정렬!BD120/Calc_오픈정렬!$F120*100)</f>
        <v/>
      </c>
      <c r="BE120" t="str">
        <f>IF(OR(Calc_오픈정렬!$F120="",Calc_오픈정렬!BE120=""),"",Calc_오픈정렬!BE120/Calc_오픈정렬!$F120*100)</f>
        <v/>
      </c>
      <c r="BF120" t="str">
        <f>IF(OR(Calc_오픈정렬!$F120="",Calc_오픈정렬!BF120=""),"",Calc_오픈정렬!BF120/Calc_오픈정렬!$F120*100)</f>
        <v/>
      </c>
      <c r="BG120" t="str">
        <f>IF(OR(Calc_오픈정렬!$F120="",Calc_오픈정렬!BG120=""),"",Calc_오픈정렬!BG120/Calc_오픈정렬!$F120*100)</f>
        <v/>
      </c>
      <c r="BH120" t="str">
        <f>IF(OR(Calc_오픈정렬!$F120="",Calc_오픈정렬!BH120=""),"",Calc_오픈정렬!BH120/Calc_오픈정렬!$F120*100)</f>
        <v/>
      </c>
      <c r="BI120" t="str">
        <f>IF(OR(Calc_오픈정렬!$F120="",Calc_오픈정렬!BI120=""),"",Calc_오픈정렬!BI120/Calc_오픈정렬!$F120*100)</f>
        <v/>
      </c>
      <c r="BJ120" t="str">
        <f>IF(OR(Calc_오픈정렬!$F120="",Calc_오픈정렬!BJ120=""),"",Calc_오픈정렬!BJ120/Calc_오픈정렬!$F120*100)</f>
        <v/>
      </c>
      <c r="BK120" t="str">
        <f>IF(OR(Calc_오픈정렬!$F120="",Calc_오픈정렬!BK120=""),"",Calc_오픈정렬!BK120/Calc_오픈정렬!$F120*100)</f>
        <v/>
      </c>
      <c r="BL120" t="str">
        <f>IF(OR(Calc_오픈정렬!$F120="",Calc_오픈정렬!BL120=""),"",Calc_오픈정렬!BL120/Calc_오픈정렬!$F120*100)</f>
        <v/>
      </c>
      <c r="BM120" t="str">
        <f>IF(OR(Calc_오픈정렬!$F120="",Calc_오픈정렬!BM120=""),"",Calc_오픈정렬!BM120/Calc_오픈정렬!$F120*100)</f>
        <v/>
      </c>
      <c r="BN120" t="str">
        <f>IF(OR(Calc_오픈정렬!$F120="",Calc_오픈정렬!BN120=""),"",Calc_오픈정렬!BN120/Calc_오픈정렬!$F120*100)</f>
        <v/>
      </c>
    </row>
    <row r="121" spans="1:66" x14ac:dyDescent="0.4">
      <c r="A121" t="str">
        <f>Calc_오픈정렬!A121</f>
        <v>(1111) #성신후문점</v>
      </c>
      <c r="B121" t="str">
        <f>Calc_오픈정렬!B121</f>
        <v>150-3</v>
      </c>
      <c r="C121">
        <f>Calc_오픈정렬!C121</f>
        <v>3</v>
      </c>
      <c r="D121" t="str">
        <f>Calc_오픈정렬!D121</f>
        <v>3+</v>
      </c>
      <c r="E121" s="1">
        <f>Calc_오픈정렬!E121</f>
        <v>45444</v>
      </c>
      <c r="F121">
        <f>Calc_오픈정렬!F121</f>
        <v>3466871.9304752559</v>
      </c>
      <c r="G121">
        <f>IF(OR(Calc_오픈정렬!$F121="",Calc_오픈정렬!G121=""),"",Calc_오픈정렬!G121/Calc_오픈정렬!$F121*100)</f>
        <v>79.601764234789187</v>
      </c>
      <c r="H121">
        <f>IF(OR(Calc_오픈정렬!$F121="",Calc_오픈정렬!H121=""),"",Calc_오픈정렬!H121/Calc_오픈정렬!$F121*100)</f>
        <v>88.033183511225346</v>
      </c>
      <c r="I121">
        <f>IF(OR(Calc_오픈정렬!$F121="",Calc_오픈정렬!I121=""),"",Calc_오픈정렬!I121/Calc_오픈정렬!$F121*100)</f>
        <v>90.746250934577347</v>
      </c>
      <c r="J121">
        <f>IF(OR(Calc_오픈정렬!$F121="",Calc_오픈정렬!J121=""),"",Calc_오픈정렬!J121/Calc_오픈정렬!$F121*100)</f>
        <v>91.997585478158868</v>
      </c>
      <c r="K121">
        <f>IF(OR(Calc_오픈정렬!$F121="",Calc_오픈정렬!K121=""),"",Calc_오픈정렬!K121/Calc_오픈정렬!$F121*100)</f>
        <v>84.522692992915964</v>
      </c>
      <c r="L121">
        <f>IF(OR(Calc_오픈정렬!$F121="",Calc_오픈정렬!L121=""),"",Calc_오픈정렬!L121/Calc_오픈정렬!$F121*100)</f>
        <v>86.069403707565655</v>
      </c>
      <c r="M121">
        <f>IF(OR(Calc_오픈정렬!$F121="",Calc_오픈정렬!M121=""),"",Calc_오픈정렬!M121/Calc_오픈정렬!$F121*100)</f>
        <v>105.62104641266413</v>
      </c>
      <c r="N121">
        <f>IF(OR(Calc_오픈정렬!$F121="",Calc_오픈정렬!N121=""),"",Calc_오픈정렬!N121/Calc_오픈정렬!$F121*100)</f>
        <v>119.51027045179376</v>
      </c>
      <c r="O121">
        <f>IF(OR(Calc_오픈정렬!$F121="",Calc_오픈정렬!O121=""),"",Calc_오픈정렬!O121/Calc_오픈정렬!$F121*100)</f>
        <v>112.27900095690167</v>
      </c>
      <c r="P121">
        <f>IF(OR(Calc_오픈정렬!$F121="",Calc_오픈정렬!P121=""),"",Calc_오픈정렬!P121/Calc_오픈정렬!$F121*100)</f>
        <v>109.19804322924595</v>
      </c>
      <c r="Q121">
        <f>IF(OR(Calc_오픈정렬!$F121="",Calc_오픈정렬!Q121=""),"",Calc_오픈정렬!Q121/Calc_오픈정렬!$F121*100)</f>
        <v>113.11845174759884</v>
      </c>
      <c r="R121">
        <f>IF(OR(Calc_오픈정렬!$F121="",Calc_오픈정렬!R121=""),"",Calc_오픈정렬!R121/Calc_오픈정렬!$F121*100)</f>
        <v>120.23254783224151</v>
      </c>
      <c r="S121">
        <f>IF(OR(Calc_오픈정렬!$F121="",Calc_오픈정렬!S121=""),"",Calc_오픈정렬!S121/Calc_오픈정렬!$F121*100)</f>
        <v>121.07940938497323</v>
      </c>
      <c r="T121">
        <f>IF(OR(Calc_오픈정렬!$F121="",Calc_오픈정렬!T121=""),"",Calc_오픈정렬!T121/Calc_오픈정렬!$F121*100)</f>
        <v>116.66665299811481</v>
      </c>
      <c r="U121">
        <f>IF(OR(Calc_오픈정렬!$F121="",Calc_오픈정렬!U121=""),"",Calc_오픈정렬!U121/Calc_오픈정렬!$F121*100)</f>
        <v>126.83218844800834</v>
      </c>
      <c r="V121">
        <f>IF(OR(Calc_오픈정렬!$F121="",Calc_오픈정렬!V121=""),"",Calc_오픈정렬!V121/Calc_오픈정렬!$F121*100)</f>
        <v>118.9442255751253</v>
      </c>
      <c r="W121">
        <f>IF(OR(Calc_오픈정렬!$F121="",Calc_오픈정렬!W121=""),"",Calc_오픈정렬!W121/Calc_오픈정렬!$F121*100)</f>
        <v>148.1940628754889</v>
      </c>
      <c r="X121">
        <f>IF(OR(Calc_오픈정렬!$F121="",Calc_오픈정렬!X121=""),"",Calc_오픈정렬!X121/Calc_오픈정렬!$F121*100)</f>
        <v>138.24359280059815</v>
      </c>
      <c r="Y121">
        <f>IF(OR(Calc_오픈정렬!$F121="",Calc_오픈정렬!Y121=""),"",Calc_오픈정렬!Y121/Calc_오픈정렬!$F121*100)</f>
        <v>128.4223518216516</v>
      </c>
      <c r="Z121">
        <f>IF(OR(Calc_오픈정렬!$F121="",Calc_오픈정렬!Z121=""),"",Calc_오픈정렬!Z121/Calc_오픈정렬!$F121*100)</f>
        <v>140.40158704742277</v>
      </c>
      <c r="AA121">
        <f>IF(OR(Calc_오픈정렬!$F121="",Calc_오픈정렬!AA121=""),"",Calc_오픈정렬!AA121/Calc_오픈정렬!$F121*100)</f>
        <v>141.90650871940019</v>
      </c>
      <c r="AB121">
        <f>IF(OR(Calc_오픈정렬!$F121="",Calc_오픈정렬!AB121=""),"",Calc_오픈정렬!AB121/Calc_오픈정렬!$F121*100)</f>
        <v>132.6537691414986</v>
      </c>
      <c r="AC121">
        <f>IF(OR(Calc_오픈정렬!$F121="",Calc_오픈정렬!AC121=""),"",Calc_오픈정렬!AC121/Calc_오픈정렬!$F121*100)</f>
        <v>145.65381983885388</v>
      </c>
      <c r="AD121">
        <f>IF(OR(Calc_오픈정렬!$F121="",Calc_오픈정렬!AD121=""),"",Calc_오픈정렬!AD121/Calc_오픈정렬!$F121*100)</f>
        <v>148.06494189716832</v>
      </c>
      <c r="AE121" t="str">
        <f>IF(OR(Calc_오픈정렬!$F121="",Calc_오픈정렬!AE121=""),"",Calc_오픈정렬!AE121/Calc_오픈정렬!$F121*100)</f>
        <v/>
      </c>
      <c r="AF121" t="str">
        <f>IF(OR(Calc_오픈정렬!$F121="",Calc_오픈정렬!AF121=""),"",Calc_오픈정렬!AF121/Calc_오픈정렬!$F121*100)</f>
        <v/>
      </c>
      <c r="AG121" t="str">
        <f>IF(OR(Calc_오픈정렬!$F121="",Calc_오픈정렬!AG121=""),"",Calc_오픈정렬!AG121/Calc_오픈정렬!$F121*100)</f>
        <v/>
      </c>
      <c r="AH121" t="str">
        <f>IF(OR(Calc_오픈정렬!$F121="",Calc_오픈정렬!AH121=""),"",Calc_오픈정렬!AH121/Calc_오픈정렬!$F121*100)</f>
        <v/>
      </c>
      <c r="AI121" t="str">
        <f>IF(OR(Calc_오픈정렬!$F121="",Calc_오픈정렬!AI121=""),"",Calc_오픈정렬!AI121/Calc_오픈정렬!$F121*100)</f>
        <v/>
      </c>
      <c r="AJ121" t="str">
        <f>IF(OR(Calc_오픈정렬!$F121="",Calc_오픈정렬!AJ121=""),"",Calc_오픈정렬!AJ121/Calc_오픈정렬!$F121*100)</f>
        <v/>
      </c>
      <c r="AK121" t="str">
        <f>IF(OR(Calc_오픈정렬!$F121="",Calc_오픈정렬!AK121=""),"",Calc_오픈정렬!AK121/Calc_오픈정렬!$F121*100)</f>
        <v/>
      </c>
      <c r="AL121" t="str">
        <f>IF(OR(Calc_오픈정렬!$F121="",Calc_오픈정렬!AL121=""),"",Calc_오픈정렬!AL121/Calc_오픈정렬!$F121*100)</f>
        <v/>
      </c>
      <c r="AM121" t="str">
        <f>IF(OR(Calc_오픈정렬!$F121="",Calc_오픈정렬!AM121=""),"",Calc_오픈정렬!AM121/Calc_오픈정렬!$F121*100)</f>
        <v/>
      </c>
      <c r="AN121" t="str">
        <f>IF(OR(Calc_오픈정렬!$F121="",Calc_오픈정렬!AN121=""),"",Calc_오픈정렬!AN121/Calc_오픈정렬!$F121*100)</f>
        <v/>
      </c>
      <c r="AO121" t="str">
        <f>IF(OR(Calc_오픈정렬!$F121="",Calc_오픈정렬!AO121=""),"",Calc_오픈정렬!AO121/Calc_오픈정렬!$F121*100)</f>
        <v/>
      </c>
      <c r="AP121" t="str">
        <f>IF(OR(Calc_오픈정렬!$F121="",Calc_오픈정렬!AP121=""),"",Calc_오픈정렬!AP121/Calc_오픈정렬!$F121*100)</f>
        <v/>
      </c>
      <c r="AQ121" t="str">
        <f>IF(OR(Calc_오픈정렬!$F121="",Calc_오픈정렬!AQ121=""),"",Calc_오픈정렬!AQ121/Calc_오픈정렬!$F121*100)</f>
        <v/>
      </c>
      <c r="AR121" t="str">
        <f>IF(OR(Calc_오픈정렬!$F121="",Calc_오픈정렬!AR121=""),"",Calc_오픈정렬!AR121/Calc_오픈정렬!$F121*100)</f>
        <v/>
      </c>
      <c r="AS121" t="str">
        <f>IF(OR(Calc_오픈정렬!$F121="",Calc_오픈정렬!AS121=""),"",Calc_오픈정렬!AS121/Calc_오픈정렬!$F121*100)</f>
        <v/>
      </c>
      <c r="AT121" t="str">
        <f>IF(OR(Calc_오픈정렬!$F121="",Calc_오픈정렬!AT121=""),"",Calc_오픈정렬!AT121/Calc_오픈정렬!$F121*100)</f>
        <v/>
      </c>
      <c r="AU121" t="str">
        <f>IF(OR(Calc_오픈정렬!$F121="",Calc_오픈정렬!AU121=""),"",Calc_오픈정렬!AU121/Calc_오픈정렬!$F121*100)</f>
        <v/>
      </c>
      <c r="AV121" t="str">
        <f>IF(OR(Calc_오픈정렬!$F121="",Calc_오픈정렬!AV121=""),"",Calc_오픈정렬!AV121/Calc_오픈정렬!$F121*100)</f>
        <v/>
      </c>
      <c r="AW121" t="str">
        <f>IF(OR(Calc_오픈정렬!$F121="",Calc_오픈정렬!AW121=""),"",Calc_오픈정렬!AW121/Calc_오픈정렬!$F121*100)</f>
        <v/>
      </c>
      <c r="AX121" t="str">
        <f>IF(OR(Calc_오픈정렬!$F121="",Calc_오픈정렬!AX121=""),"",Calc_오픈정렬!AX121/Calc_오픈정렬!$F121*100)</f>
        <v/>
      </c>
      <c r="AY121" t="str">
        <f>IF(OR(Calc_오픈정렬!$F121="",Calc_오픈정렬!AY121=""),"",Calc_오픈정렬!AY121/Calc_오픈정렬!$F121*100)</f>
        <v/>
      </c>
      <c r="AZ121" t="str">
        <f>IF(OR(Calc_오픈정렬!$F121="",Calc_오픈정렬!AZ121=""),"",Calc_오픈정렬!AZ121/Calc_오픈정렬!$F121*100)</f>
        <v/>
      </c>
      <c r="BA121" t="str">
        <f>IF(OR(Calc_오픈정렬!$F121="",Calc_오픈정렬!BA121=""),"",Calc_오픈정렬!BA121/Calc_오픈정렬!$F121*100)</f>
        <v/>
      </c>
      <c r="BB121" t="str">
        <f>IF(OR(Calc_오픈정렬!$F121="",Calc_오픈정렬!BB121=""),"",Calc_오픈정렬!BB121/Calc_오픈정렬!$F121*100)</f>
        <v/>
      </c>
      <c r="BC121" t="str">
        <f>IF(OR(Calc_오픈정렬!$F121="",Calc_오픈정렬!BC121=""),"",Calc_오픈정렬!BC121/Calc_오픈정렬!$F121*100)</f>
        <v/>
      </c>
      <c r="BD121" t="str">
        <f>IF(OR(Calc_오픈정렬!$F121="",Calc_오픈정렬!BD121=""),"",Calc_오픈정렬!BD121/Calc_오픈정렬!$F121*100)</f>
        <v/>
      </c>
      <c r="BE121" t="str">
        <f>IF(OR(Calc_오픈정렬!$F121="",Calc_오픈정렬!BE121=""),"",Calc_오픈정렬!BE121/Calc_오픈정렬!$F121*100)</f>
        <v/>
      </c>
      <c r="BF121" t="str">
        <f>IF(OR(Calc_오픈정렬!$F121="",Calc_오픈정렬!BF121=""),"",Calc_오픈정렬!BF121/Calc_오픈정렬!$F121*100)</f>
        <v/>
      </c>
      <c r="BG121" t="str">
        <f>IF(OR(Calc_오픈정렬!$F121="",Calc_오픈정렬!BG121=""),"",Calc_오픈정렬!BG121/Calc_오픈정렬!$F121*100)</f>
        <v/>
      </c>
      <c r="BH121" t="str">
        <f>IF(OR(Calc_오픈정렬!$F121="",Calc_오픈정렬!BH121=""),"",Calc_오픈정렬!BH121/Calc_오픈정렬!$F121*100)</f>
        <v/>
      </c>
      <c r="BI121" t="str">
        <f>IF(OR(Calc_오픈정렬!$F121="",Calc_오픈정렬!BI121=""),"",Calc_오픈정렬!BI121/Calc_오픈정렬!$F121*100)</f>
        <v/>
      </c>
      <c r="BJ121" t="str">
        <f>IF(OR(Calc_오픈정렬!$F121="",Calc_오픈정렬!BJ121=""),"",Calc_오픈정렬!BJ121/Calc_오픈정렬!$F121*100)</f>
        <v/>
      </c>
      <c r="BK121" t="str">
        <f>IF(OR(Calc_오픈정렬!$F121="",Calc_오픈정렬!BK121=""),"",Calc_오픈정렬!BK121/Calc_오픈정렬!$F121*100)</f>
        <v/>
      </c>
      <c r="BL121" t="str">
        <f>IF(OR(Calc_오픈정렬!$F121="",Calc_오픈정렬!BL121=""),"",Calc_오픈정렬!BL121/Calc_오픈정렬!$F121*100)</f>
        <v/>
      </c>
      <c r="BM121" t="str">
        <f>IF(OR(Calc_오픈정렬!$F121="",Calc_오픈정렬!BM121=""),"",Calc_오픈정렬!BM121/Calc_오픈정렬!$F121*100)</f>
        <v/>
      </c>
      <c r="BN121" t="str">
        <f>IF(OR(Calc_오픈정렬!$F121="",Calc_오픈정렬!BN121=""),"",Calc_오픈정렬!BN121/Calc_오픈정렬!$F121*100)</f>
        <v/>
      </c>
    </row>
    <row r="122" spans="1:66" x14ac:dyDescent="0.4">
      <c r="A122" t="str">
        <f>Calc_오픈정렬!A122</f>
        <v>(1112) #봉천은천입구점</v>
      </c>
      <c r="B122" t="str">
        <f>Calc_오픈정렬!B122</f>
        <v>150-1</v>
      </c>
      <c r="C122">
        <f>Calc_오픈정렬!C122</f>
        <v>1</v>
      </c>
      <c r="D122" t="str">
        <f>Calc_오픈정렬!D122</f>
        <v>1</v>
      </c>
      <c r="E122" s="1">
        <f>Calc_오픈정렬!E122</f>
        <v>45444</v>
      </c>
      <c r="F122">
        <f>Calc_오픈정렬!F122</f>
        <v>3689768.5663007176</v>
      </c>
      <c r="G122">
        <f>IF(OR(Calc_오픈정렬!$F122="",Calc_오픈정렬!G122=""),"",Calc_오픈정렬!G122/Calc_오픈정렬!$F122*100)</f>
        <v>62.206707081286027</v>
      </c>
      <c r="H122">
        <f>IF(OR(Calc_오픈정렬!$F122="",Calc_오픈정렬!H122=""),"",Calc_오픈정렬!H122/Calc_오픈정렬!$F122*100)</f>
        <v>79.902912203713427</v>
      </c>
      <c r="I122">
        <f>IF(OR(Calc_오픈정렬!$F122="",Calc_오픈정렬!I122=""),"",Calc_오픈정렬!I122/Calc_오픈정렬!$F122*100)</f>
        <v>81.244653832950249</v>
      </c>
      <c r="J122">
        <f>IF(OR(Calc_오픈정렬!$F122="",Calc_오픈정렬!J122=""),"",Calc_오픈정렬!J122/Calc_오픈정렬!$F122*100)</f>
        <v>92.15883434796271</v>
      </c>
      <c r="K122">
        <f>IF(OR(Calc_오픈정렬!$F122="",Calc_오픈정렬!K122=""),"",Calc_오픈정렬!K122/Calc_오픈정렬!$F122*100)</f>
        <v>92.036150549257229</v>
      </c>
      <c r="L122">
        <f>IF(OR(Calc_오픈정렬!$F122="",Calc_오픈정렬!L122=""),"",Calc_오픈정렬!L122/Calc_오픈정렬!$F122*100)</f>
        <v>95.444217924225583</v>
      </c>
      <c r="M122">
        <f>IF(OR(Calc_오픈정렬!$F122="",Calc_오픈정렬!M122=""),"",Calc_오픈정렬!M122/Calc_오픈정렬!$F122*100)</f>
        <v>99.20775924279441</v>
      </c>
      <c r="N122">
        <f>IF(OR(Calc_오픈정렬!$F122="",Calc_오픈정렬!N122=""),"",Calc_오픈정렬!N122/Calc_오픈정렬!$F122*100)</f>
        <v>108.42239235621727</v>
      </c>
      <c r="O122">
        <f>IF(OR(Calc_오픈정렬!$F122="",Calc_오픈정렬!O122=""),"",Calc_오픈정렬!O122/Calc_오픈정렬!$F122*100)</f>
        <v>112.73064557954268</v>
      </c>
      <c r="P122">
        <f>IF(OR(Calc_오픈정렬!$F122="",Calc_오픈정렬!P122=""),"",Calc_오픈정렬!P122/Calc_오픈정렬!$F122*100)</f>
        <v>119.37137938946478</v>
      </c>
      <c r="Q122">
        <f>IF(OR(Calc_오픈정렬!$F122="",Calc_오픈정렬!Q122=""),"",Calc_오픈정렬!Q122/Calc_오픈정렬!$F122*100)</f>
        <v>114.00390885047642</v>
      </c>
      <c r="R122">
        <f>IF(OR(Calc_오픈정렬!$F122="",Calc_오픈정렬!R122=""),"",Calc_오픈정렬!R122/Calc_오픈정렬!$F122*100)</f>
        <v>121.76947327447365</v>
      </c>
      <c r="S122">
        <f>IF(OR(Calc_오픈정렬!$F122="",Calc_오픈정렬!S122=""),"",Calc_오픈정렬!S122/Calc_오픈정렬!$F122*100)</f>
        <v>108.24209615097797</v>
      </c>
      <c r="T122">
        <f>IF(OR(Calc_오픈정렬!$F122="",Calc_오픈정렬!T122=""),"",Calc_오픈정렬!T122/Calc_오픈정렬!$F122*100)</f>
        <v>91.910472584975054</v>
      </c>
      <c r="U122">
        <f>IF(OR(Calc_오픈정렬!$F122="",Calc_오픈정렬!U122=""),"",Calc_오픈정렬!U122/Calc_오픈정렬!$F122*100)</f>
        <v>98.238292954577304</v>
      </c>
      <c r="V122">
        <f>IF(OR(Calc_오픈정렬!$F122="",Calc_오픈정렬!V122=""),"",Calc_오픈정렬!V122/Calc_오픈정렬!$F122*100)</f>
        <v>82.5021400758244</v>
      </c>
      <c r="W122">
        <f>IF(OR(Calc_오픈정렬!$F122="",Calc_오픈정렬!W122=""),"",Calc_오픈정렬!W122/Calc_오픈정렬!$F122*100)</f>
        <v>87.089104882235631</v>
      </c>
      <c r="X122">
        <f>IF(OR(Calc_오픈정렬!$F122="",Calc_오픈정렬!X122=""),"",Calc_오픈정렬!X122/Calc_오픈정렬!$F122*100)</f>
        <v>92.188988290671944</v>
      </c>
      <c r="Y122">
        <f>IF(OR(Calc_오픈정렬!$F122="",Calc_오픈정렬!Y122=""),"",Calc_오픈정렬!Y122/Calc_오픈정렬!$F122*100)</f>
        <v>88.982737447472957</v>
      </c>
      <c r="Z122">
        <f>IF(OR(Calc_오픈정렬!$F122="",Calc_오픈정렬!Z122=""),"",Calc_오픈정렬!Z122/Calc_오픈정렬!$F122*100)</f>
        <v>96.486610414924058</v>
      </c>
      <c r="AA122">
        <f>IF(OR(Calc_오픈정렬!$F122="",Calc_오픈정렬!AA122=""),"",Calc_오픈정렬!AA122/Calc_오픈정렬!$F122*100)</f>
        <v>97.754876336207204</v>
      </c>
      <c r="AB122">
        <f>IF(OR(Calc_오픈정렬!$F122="",Calc_오픈정렬!AB122=""),"",Calc_오픈정렬!AB122/Calc_오픈정렬!$F122*100)</f>
        <v>92.936445947407123</v>
      </c>
      <c r="AC122">
        <f>IF(OR(Calc_오픈정렬!$F122="",Calc_오픈정렬!AC122=""),"",Calc_오픈정렬!AC122/Calc_오픈정렬!$F122*100)</f>
        <v>91.013553542229829</v>
      </c>
      <c r="AD122">
        <f>IF(OR(Calc_오픈정렬!$F122="",Calc_오픈정렬!AD122=""),"",Calc_오픈정렬!AD122/Calc_오픈정렬!$F122*100)</f>
        <v>99.719711233866022</v>
      </c>
      <c r="AE122" t="str">
        <f>IF(OR(Calc_오픈정렬!$F122="",Calc_오픈정렬!AE122=""),"",Calc_오픈정렬!AE122/Calc_오픈정렬!$F122*100)</f>
        <v/>
      </c>
      <c r="AF122" t="str">
        <f>IF(OR(Calc_오픈정렬!$F122="",Calc_오픈정렬!AF122=""),"",Calc_오픈정렬!AF122/Calc_오픈정렬!$F122*100)</f>
        <v/>
      </c>
      <c r="AG122" t="str">
        <f>IF(OR(Calc_오픈정렬!$F122="",Calc_오픈정렬!AG122=""),"",Calc_오픈정렬!AG122/Calc_오픈정렬!$F122*100)</f>
        <v/>
      </c>
      <c r="AH122" t="str">
        <f>IF(OR(Calc_오픈정렬!$F122="",Calc_오픈정렬!AH122=""),"",Calc_오픈정렬!AH122/Calc_오픈정렬!$F122*100)</f>
        <v/>
      </c>
      <c r="AI122" t="str">
        <f>IF(OR(Calc_오픈정렬!$F122="",Calc_오픈정렬!AI122=""),"",Calc_오픈정렬!AI122/Calc_오픈정렬!$F122*100)</f>
        <v/>
      </c>
      <c r="AJ122" t="str">
        <f>IF(OR(Calc_오픈정렬!$F122="",Calc_오픈정렬!AJ122=""),"",Calc_오픈정렬!AJ122/Calc_오픈정렬!$F122*100)</f>
        <v/>
      </c>
      <c r="AK122" t="str">
        <f>IF(OR(Calc_오픈정렬!$F122="",Calc_오픈정렬!AK122=""),"",Calc_오픈정렬!AK122/Calc_오픈정렬!$F122*100)</f>
        <v/>
      </c>
      <c r="AL122" t="str">
        <f>IF(OR(Calc_오픈정렬!$F122="",Calc_오픈정렬!AL122=""),"",Calc_오픈정렬!AL122/Calc_오픈정렬!$F122*100)</f>
        <v/>
      </c>
      <c r="AM122" t="str">
        <f>IF(OR(Calc_오픈정렬!$F122="",Calc_오픈정렬!AM122=""),"",Calc_오픈정렬!AM122/Calc_오픈정렬!$F122*100)</f>
        <v/>
      </c>
      <c r="AN122" t="str">
        <f>IF(OR(Calc_오픈정렬!$F122="",Calc_오픈정렬!AN122=""),"",Calc_오픈정렬!AN122/Calc_오픈정렬!$F122*100)</f>
        <v/>
      </c>
      <c r="AO122" t="str">
        <f>IF(OR(Calc_오픈정렬!$F122="",Calc_오픈정렬!AO122=""),"",Calc_오픈정렬!AO122/Calc_오픈정렬!$F122*100)</f>
        <v/>
      </c>
      <c r="AP122" t="str">
        <f>IF(OR(Calc_오픈정렬!$F122="",Calc_오픈정렬!AP122=""),"",Calc_오픈정렬!AP122/Calc_오픈정렬!$F122*100)</f>
        <v/>
      </c>
      <c r="AQ122" t="str">
        <f>IF(OR(Calc_오픈정렬!$F122="",Calc_오픈정렬!AQ122=""),"",Calc_오픈정렬!AQ122/Calc_오픈정렬!$F122*100)</f>
        <v/>
      </c>
      <c r="AR122" t="str">
        <f>IF(OR(Calc_오픈정렬!$F122="",Calc_오픈정렬!AR122=""),"",Calc_오픈정렬!AR122/Calc_오픈정렬!$F122*100)</f>
        <v/>
      </c>
      <c r="AS122" t="str">
        <f>IF(OR(Calc_오픈정렬!$F122="",Calc_오픈정렬!AS122=""),"",Calc_오픈정렬!AS122/Calc_오픈정렬!$F122*100)</f>
        <v/>
      </c>
      <c r="AT122" t="str">
        <f>IF(OR(Calc_오픈정렬!$F122="",Calc_오픈정렬!AT122=""),"",Calc_오픈정렬!AT122/Calc_오픈정렬!$F122*100)</f>
        <v/>
      </c>
      <c r="AU122" t="str">
        <f>IF(OR(Calc_오픈정렬!$F122="",Calc_오픈정렬!AU122=""),"",Calc_오픈정렬!AU122/Calc_오픈정렬!$F122*100)</f>
        <v/>
      </c>
      <c r="AV122" t="str">
        <f>IF(OR(Calc_오픈정렬!$F122="",Calc_오픈정렬!AV122=""),"",Calc_오픈정렬!AV122/Calc_오픈정렬!$F122*100)</f>
        <v/>
      </c>
      <c r="AW122" t="str">
        <f>IF(OR(Calc_오픈정렬!$F122="",Calc_오픈정렬!AW122=""),"",Calc_오픈정렬!AW122/Calc_오픈정렬!$F122*100)</f>
        <v/>
      </c>
      <c r="AX122" t="str">
        <f>IF(OR(Calc_오픈정렬!$F122="",Calc_오픈정렬!AX122=""),"",Calc_오픈정렬!AX122/Calc_오픈정렬!$F122*100)</f>
        <v/>
      </c>
      <c r="AY122" t="str">
        <f>IF(OR(Calc_오픈정렬!$F122="",Calc_오픈정렬!AY122=""),"",Calc_오픈정렬!AY122/Calc_오픈정렬!$F122*100)</f>
        <v/>
      </c>
      <c r="AZ122" t="str">
        <f>IF(OR(Calc_오픈정렬!$F122="",Calc_오픈정렬!AZ122=""),"",Calc_오픈정렬!AZ122/Calc_오픈정렬!$F122*100)</f>
        <v/>
      </c>
      <c r="BA122" t="str">
        <f>IF(OR(Calc_오픈정렬!$F122="",Calc_오픈정렬!BA122=""),"",Calc_오픈정렬!BA122/Calc_오픈정렬!$F122*100)</f>
        <v/>
      </c>
      <c r="BB122" t="str">
        <f>IF(OR(Calc_오픈정렬!$F122="",Calc_오픈정렬!BB122=""),"",Calc_오픈정렬!BB122/Calc_오픈정렬!$F122*100)</f>
        <v/>
      </c>
      <c r="BC122" t="str">
        <f>IF(OR(Calc_오픈정렬!$F122="",Calc_오픈정렬!BC122=""),"",Calc_오픈정렬!BC122/Calc_오픈정렬!$F122*100)</f>
        <v/>
      </c>
      <c r="BD122" t="str">
        <f>IF(OR(Calc_오픈정렬!$F122="",Calc_오픈정렬!BD122=""),"",Calc_오픈정렬!BD122/Calc_오픈정렬!$F122*100)</f>
        <v/>
      </c>
      <c r="BE122" t="str">
        <f>IF(OR(Calc_오픈정렬!$F122="",Calc_오픈정렬!BE122=""),"",Calc_오픈정렬!BE122/Calc_오픈정렬!$F122*100)</f>
        <v/>
      </c>
      <c r="BF122" t="str">
        <f>IF(OR(Calc_오픈정렬!$F122="",Calc_오픈정렬!BF122=""),"",Calc_오픈정렬!BF122/Calc_오픈정렬!$F122*100)</f>
        <v/>
      </c>
      <c r="BG122" t="str">
        <f>IF(OR(Calc_오픈정렬!$F122="",Calc_오픈정렬!BG122=""),"",Calc_오픈정렬!BG122/Calc_오픈정렬!$F122*100)</f>
        <v/>
      </c>
      <c r="BH122" t="str">
        <f>IF(OR(Calc_오픈정렬!$F122="",Calc_오픈정렬!BH122=""),"",Calc_오픈정렬!BH122/Calc_오픈정렬!$F122*100)</f>
        <v/>
      </c>
      <c r="BI122" t="str">
        <f>IF(OR(Calc_오픈정렬!$F122="",Calc_오픈정렬!BI122=""),"",Calc_오픈정렬!BI122/Calc_오픈정렬!$F122*100)</f>
        <v/>
      </c>
      <c r="BJ122" t="str">
        <f>IF(OR(Calc_오픈정렬!$F122="",Calc_오픈정렬!BJ122=""),"",Calc_오픈정렬!BJ122/Calc_오픈정렬!$F122*100)</f>
        <v/>
      </c>
      <c r="BK122" t="str">
        <f>IF(OR(Calc_오픈정렬!$F122="",Calc_오픈정렬!BK122=""),"",Calc_오픈정렬!BK122/Calc_오픈정렬!$F122*100)</f>
        <v/>
      </c>
      <c r="BL122" t="str">
        <f>IF(OR(Calc_오픈정렬!$F122="",Calc_오픈정렬!BL122=""),"",Calc_오픈정렬!BL122/Calc_오픈정렬!$F122*100)</f>
        <v/>
      </c>
      <c r="BM122" t="str">
        <f>IF(OR(Calc_오픈정렬!$F122="",Calc_오픈정렬!BM122=""),"",Calc_오픈정렬!BM122/Calc_오픈정렬!$F122*100)</f>
        <v/>
      </c>
      <c r="BN122" t="str">
        <f>IF(OR(Calc_오픈정렬!$F122="",Calc_오픈정렬!BN122=""),"",Calc_오픈정렬!BN122/Calc_오픈정렬!$F122*100)</f>
        <v/>
      </c>
    </row>
    <row r="123" spans="1:66" x14ac:dyDescent="0.4">
      <c r="A123" t="str">
        <f>Calc_오픈정렬!A123</f>
        <v>(1113) #우송대삼거리점</v>
      </c>
      <c r="B123" t="str">
        <f>Calc_오픈정렬!B123</f>
        <v>150-0</v>
      </c>
      <c r="C123">
        <f>Calc_오픈정렬!C123</f>
        <v>0</v>
      </c>
      <c r="D123" t="str">
        <f>Calc_오픈정렬!D123</f>
        <v>0</v>
      </c>
      <c r="E123" s="1">
        <f>Calc_오픈정렬!E123</f>
        <v>45474</v>
      </c>
      <c r="F123">
        <f>Calc_오픈정렬!F123</f>
        <v>7692386.9781549247</v>
      </c>
      <c r="G123">
        <f>IF(OR(Calc_오픈정렬!$F123="",Calc_오픈정렬!G123=""),"",Calc_오픈정렬!G123/Calc_오픈정렬!$F123*100)</f>
        <v>70.167520696457885</v>
      </c>
      <c r="H123">
        <f>IF(OR(Calc_오픈정렬!$F123="",Calc_오픈정렬!H123=""),"",Calc_오픈정렬!H123/Calc_오픈정렬!$F123*100)</f>
        <v>82.639199323191733</v>
      </c>
      <c r="I123">
        <f>IF(OR(Calc_오픈정렬!$F123="",Calc_오픈정렬!I123=""),"",Calc_오픈정렬!I123/Calc_오픈정렬!$F123*100)</f>
        <v>99.614467671260357</v>
      </c>
      <c r="J123">
        <f>IF(OR(Calc_오픈정렬!$F123="",Calc_오픈정렬!J123=""),"",Calc_오픈정렬!J123/Calc_오픈정렬!$F123*100)</f>
        <v>94.099502269660775</v>
      </c>
      <c r="K123">
        <f>IF(OR(Calc_오픈정렬!$F123="",Calc_오픈정렬!K123=""),"",Calc_오픈정렬!K123/Calc_오픈정렬!$F123*100)</f>
        <v>98.635645517354646</v>
      </c>
      <c r="L123">
        <f>IF(OR(Calc_오픈정렬!$F123="",Calc_오픈정렬!L123=""),"",Calc_오픈정렬!L123/Calc_오픈정렬!$F123*100)</f>
        <v>91.22125087985097</v>
      </c>
      <c r="M123">
        <f>IF(OR(Calc_오픈정렬!$F123="",Calc_오픈정렬!M123=""),"",Calc_오픈정렬!M123/Calc_오픈정렬!$F123*100)</f>
        <v>87.357281897063842</v>
      </c>
      <c r="N123">
        <f>IF(OR(Calc_오픈정렬!$F123="",Calc_오픈정렬!N123=""),"",Calc_오픈정렬!N123/Calc_오픈정렬!$F123*100)</f>
        <v>114.22971588498454</v>
      </c>
      <c r="O123">
        <f>IF(OR(Calc_오픈정렬!$F123="",Calc_오픈정렬!O123=""),"",Calc_오픈정렬!O123/Calc_오픈정렬!$F123*100)</f>
        <v>114.45660355108525</v>
      </c>
      <c r="P123">
        <f>IF(OR(Calc_오픈정렬!$F123="",Calc_오픈정렬!P123=""),"",Calc_오픈정렬!P123/Calc_오픈정렬!$F123*100)</f>
        <v>101.62751880664406</v>
      </c>
      <c r="Q123">
        <f>IF(OR(Calc_오픈정렬!$F123="",Calc_오픈정렬!Q123=""),"",Calc_오픈정렬!Q123/Calc_오픈정렬!$F123*100)</f>
        <v>107.62390655472076</v>
      </c>
      <c r="R123">
        <f>IF(OR(Calc_오픈정렬!$F123="",Calc_오픈정렬!R123=""),"",Calc_오픈정렬!R123/Calc_오픈정렬!$F123*100)</f>
        <v>103.29312484093865</v>
      </c>
      <c r="S123">
        <f>IF(OR(Calc_오픈정렬!$F123="",Calc_오픈정렬!S123=""),"",Calc_오픈정렬!S123/Calc_오픈정렬!$F123*100)</f>
        <v>87.662054072086804</v>
      </c>
      <c r="T123">
        <f>IF(OR(Calc_오픈정렬!$F123="",Calc_오픈정렬!T123=""),"",Calc_오픈정렬!T123/Calc_오픈정렬!$F123*100)</f>
        <v>93.239459440417207</v>
      </c>
      <c r="U123">
        <f>IF(OR(Calc_오픈정렬!$F123="",Calc_오픈정렬!U123=""),"",Calc_오픈정렬!U123/Calc_오픈정렬!$F123*100)</f>
        <v>104.09505428900691</v>
      </c>
      <c r="V123">
        <f>IF(OR(Calc_오픈정렬!$F123="",Calc_오픈정렬!V123=""),"",Calc_오픈정렬!V123/Calc_오픈정렬!$F123*100)</f>
        <v>104.26607803257575</v>
      </c>
      <c r="W123">
        <f>IF(OR(Calc_오픈정렬!$F123="",Calc_오픈정렬!W123=""),"",Calc_오픈정렬!W123/Calc_오픈정렬!$F123*100)</f>
        <v>102.37031652366784</v>
      </c>
      <c r="X123">
        <f>IF(OR(Calc_오픈정렬!$F123="",Calc_오픈정렬!X123=""),"",Calc_오픈정렬!X123/Calc_오픈정렬!$F123*100)</f>
        <v>97.546070545759051</v>
      </c>
      <c r="Y123">
        <f>IF(OR(Calc_오픈정렬!$F123="",Calc_오픈정렬!Y123=""),"",Calc_오픈정렬!Y123/Calc_오픈정렬!$F123*100)</f>
        <v>81.910866813813385</v>
      </c>
      <c r="Z123">
        <f>IF(OR(Calc_오픈정렬!$F123="",Calc_오픈정렬!Z123=""),"",Calc_오픈정렬!Z123/Calc_오픈정렬!$F123*100)</f>
        <v>111.76061700023855</v>
      </c>
      <c r="AA123">
        <f>IF(OR(Calc_오픈정렬!$F123="",Calc_오픈정렬!AA123=""),"",Calc_오픈정렬!AA123/Calc_오픈정렬!$F123*100)</f>
        <v>108.22889135004007</v>
      </c>
      <c r="AB123">
        <f>IF(OR(Calc_오픈정렬!$F123="",Calc_오픈정렬!AB123=""),"",Calc_오픈정렬!AB123/Calc_오픈정렬!$F123*100)</f>
        <v>111.44855577338406</v>
      </c>
      <c r="AC123">
        <f>IF(OR(Calc_오픈정렬!$F123="",Calc_오픈정렬!AC123=""),"",Calc_오픈정렬!AC123/Calc_오픈정렬!$F123*100)</f>
        <v>121.17453239465227</v>
      </c>
      <c r="AD123" t="str">
        <f>IF(OR(Calc_오픈정렬!$F123="",Calc_오픈정렬!AD123=""),"",Calc_오픈정렬!AD123/Calc_오픈정렬!$F123*100)</f>
        <v/>
      </c>
      <c r="AE123" t="str">
        <f>IF(OR(Calc_오픈정렬!$F123="",Calc_오픈정렬!AE123=""),"",Calc_오픈정렬!AE123/Calc_오픈정렬!$F123*100)</f>
        <v/>
      </c>
      <c r="AF123" t="str">
        <f>IF(OR(Calc_오픈정렬!$F123="",Calc_오픈정렬!AF123=""),"",Calc_오픈정렬!AF123/Calc_오픈정렬!$F123*100)</f>
        <v/>
      </c>
      <c r="AG123" t="str">
        <f>IF(OR(Calc_오픈정렬!$F123="",Calc_오픈정렬!AG123=""),"",Calc_오픈정렬!AG123/Calc_오픈정렬!$F123*100)</f>
        <v/>
      </c>
      <c r="AH123" t="str">
        <f>IF(OR(Calc_오픈정렬!$F123="",Calc_오픈정렬!AH123=""),"",Calc_오픈정렬!AH123/Calc_오픈정렬!$F123*100)</f>
        <v/>
      </c>
      <c r="AI123" t="str">
        <f>IF(OR(Calc_오픈정렬!$F123="",Calc_오픈정렬!AI123=""),"",Calc_오픈정렬!AI123/Calc_오픈정렬!$F123*100)</f>
        <v/>
      </c>
      <c r="AJ123" t="str">
        <f>IF(OR(Calc_오픈정렬!$F123="",Calc_오픈정렬!AJ123=""),"",Calc_오픈정렬!AJ123/Calc_오픈정렬!$F123*100)</f>
        <v/>
      </c>
      <c r="AK123" t="str">
        <f>IF(OR(Calc_오픈정렬!$F123="",Calc_오픈정렬!AK123=""),"",Calc_오픈정렬!AK123/Calc_오픈정렬!$F123*100)</f>
        <v/>
      </c>
      <c r="AL123" t="str">
        <f>IF(OR(Calc_오픈정렬!$F123="",Calc_오픈정렬!AL123=""),"",Calc_오픈정렬!AL123/Calc_오픈정렬!$F123*100)</f>
        <v/>
      </c>
      <c r="AM123" t="str">
        <f>IF(OR(Calc_오픈정렬!$F123="",Calc_오픈정렬!AM123=""),"",Calc_오픈정렬!AM123/Calc_오픈정렬!$F123*100)</f>
        <v/>
      </c>
      <c r="AN123" t="str">
        <f>IF(OR(Calc_오픈정렬!$F123="",Calc_오픈정렬!AN123=""),"",Calc_오픈정렬!AN123/Calc_오픈정렬!$F123*100)</f>
        <v/>
      </c>
      <c r="AO123" t="str">
        <f>IF(OR(Calc_오픈정렬!$F123="",Calc_오픈정렬!AO123=""),"",Calc_오픈정렬!AO123/Calc_오픈정렬!$F123*100)</f>
        <v/>
      </c>
      <c r="AP123" t="str">
        <f>IF(OR(Calc_오픈정렬!$F123="",Calc_오픈정렬!AP123=""),"",Calc_오픈정렬!AP123/Calc_오픈정렬!$F123*100)</f>
        <v/>
      </c>
      <c r="AQ123" t="str">
        <f>IF(OR(Calc_오픈정렬!$F123="",Calc_오픈정렬!AQ123=""),"",Calc_오픈정렬!AQ123/Calc_오픈정렬!$F123*100)</f>
        <v/>
      </c>
      <c r="AR123" t="str">
        <f>IF(OR(Calc_오픈정렬!$F123="",Calc_오픈정렬!AR123=""),"",Calc_오픈정렬!AR123/Calc_오픈정렬!$F123*100)</f>
        <v/>
      </c>
      <c r="AS123" t="str">
        <f>IF(OR(Calc_오픈정렬!$F123="",Calc_오픈정렬!AS123=""),"",Calc_오픈정렬!AS123/Calc_오픈정렬!$F123*100)</f>
        <v/>
      </c>
      <c r="AT123" t="str">
        <f>IF(OR(Calc_오픈정렬!$F123="",Calc_오픈정렬!AT123=""),"",Calc_오픈정렬!AT123/Calc_오픈정렬!$F123*100)</f>
        <v/>
      </c>
      <c r="AU123" t="str">
        <f>IF(OR(Calc_오픈정렬!$F123="",Calc_오픈정렬!AU123=""),"",Calc_오픈정렬!AU123/Calc_오픈정렬!$F123*100)</f>
        <v/>
      </c>
      <c r="AV123" t="str">
        <f>IF(OR(Calc_오픈정렬!$F123="",Calc_오픈정렬!AV123=""),"",Calc_오픈정렬!AV123/Calc_오픈정렬!$F123*100)</f>
        <v/>
      </c>
      <c r="AW123" t="str">
        <f>IF(OR(Calc_오픈정렬!$F123="",Calc_오픈정렬!AW123=""),"",Calc_오픈정렬!AW123/Calc_오픈정렬!$F123*100)</f>
        <v/>
      </c>
      <c r="AX123" t="str">
        <f>IF(OR(Calc_오픈정렬!$F123="",Calc_오픈정렬!AX123=""),"",Calc_오픈정렬!AX123/Calc_오픈정렬!$F123*100)</f>
        <v/>
      </c>
      <c r="AY123" t="str">
        <f>IF(OR(Calc_오픈정렬!$F123="",Calc_오픈정렬!AY123=""),"",Calc_오픈정렬!AY123/Calc_오픈정렬!$F123*100)</f>
        <v/>
      </c>
      <c r="AZ123" t="str">
        <f>IF(OR(Calc_오픈정렬!$F123="",Calc_오픈정렬!AZ123=""),"",Calc_오픈정렬!AZ123/Calc_오픈정렬!$F123*100)</f>
        <v/>
      </c>
      <c r="BA123" t="str">
        <f>IF(OR(Calc_오픈정렬!$F123="",Calc_오픈정렬!BA123=""),"",Calc_오픈정렬!BA123/Calc_오픈정렬!$F123*100)</f>
        <v/>
      </c>
      <c r="BB123" t="str">
        <f>IF(OR(Calc_오픈정렬!$F123="",Calc_오픈정렬!BB123=""),"",Calc_오픈정렬!BB123/Calc_오픈정렬!$F123*100)</f>
        <v/>
      </c>
      <c r="BC123" t="str">
        <f>IF(OR(Calc_오픈정렬!$F123="",Calc_오픈정렬!BC123=""),"",Calc_오픈정렬!BC123/Calc_오픈정렬!$F123*100)</f>
        <v/>
      </c>
      <c r="BD123" t="str">
        <f>IF(OR(Calc_오픈정렬!$F123="",Calc_오픈정렬!BD123=""),"",Calc_오픈정렬!BD123/Calc_오픈정렬!$F123*100)</f>
        <v/>
      </c>
      <c r="BE123" t="str">
        <f>IF(OR(Calc_오픈정렬!$F123="",Calc_오픈정렬!BE123=""),"",Calc_오픈정렬!BE123/Calc_오픈정렬!$F123*100)</f>
        <v/>
      </c>
      <c r="BF123" t="str">
        <f>IF(OR(Calc_오픈정렬!$F123="",Calc_오픈정렬!BF123=""),"",Calc_오픈정렬!BF123/Calc_오픈정렬!$F123*100)</f>
        <v/>
      </c>
      <c r="BG123" t="str">
        <f>IF(OR(Calc_오픈정렬!$F123="",Calc_오픈정렬!BG123=""),"",Calc_오픈정렬!BG123/Calc_오픈정렬!$F123*100)</f>
        <v/>
      </c>
      <c r="BH123" t="str">
        <f>IF(OR(Calc_오픈정렬!$F123="",Calc_오픈정렬!BH123=""),"",Calc_오픈정렬!BH123/Calc_오픈정렬!$F123*100)</f>
        <v/>
      </c>
      <c r="BI123" t="str">
        <f>IF(OR(Calc_오픈정렬!$F123="",Calc_오픈정렬!BI123=""),"",Calc_오픈정렬!BI123/Calc_오픈정렬!$F123*100)</f>
        <v/>
      </c>
      <c r="BJ123" t="str">
        <f>IF(OR(Calc_오픈정렬!$F123="",Calc_오픈정렬!BJ123=""),"",Calc_오픈정렬!BJ123/Calc_오픈정렬!$F123*100)</f>
        <v/>
      </c>
      <c r="BK123" t="str">
        <f>IF(OR(Calc_오픈정렬!$F123="",Calc_오픈정렬!BK123=""),"",Calc_오픈정렬!BK123/Calc_오픈정렬!$F123*100)</f>
        <v/>
      </c>
      <c r="BL123" t="str">
        <f>IF(OR(Calc_오픈정렬!$F123="",Calc_오픈정렬!BL123=""),"",Calc_오픈정렬!BL123/Calc_오픈정렬!$F123*100)</f>
        <v/>
      </c>
      <c r="BM123" t="str">
        <f>IF(OR(Calc_오픈정렬!$F123="",Calc_오픈정렬!BM123=""),"",Calc_오픈정렬!BM123/Calc_오픈정렬!$F123*100)</f>
        <v/>
      </c>
      <c r="BN123" t="str">
        <f>IF(OR(Calc_오픈정렬!$F123="",Calc_오픈정렬!BN123=""),"",Calc_오픈정렬!BN123/Calc_오픈정렬!$F123*100)</f>
        <v/>
      </c>
    </row>
    <row r="124" spans="1:66" x14ac:dyDescent="0.4">
      <c r="A124" t="str">
        <f>Calc_오픈정렬!A124</f>
        <v>(1114) #관악초등점</v>
      </c>
      <c r="B124" t="str">
        <f>Calc_오픈정렬!B124</f>
        <v>150-1</v>
      </c>
      <c r="C124">
        <f>Calc_오픈정렬!C124</f>
        <v>1</v>
      </c>
      <c r="D124" t="str">
        <f>Calc_오픈정렬!D124</f>
        <v>1</v>
      </c>
      <c r="E124" s="1">
        <f>Calc_오픈정렬!E124</f>
        <v>45505</v>
      </c>
      <c r="F124">
        <f>Calc_오픈정렬!F124</f>
        <v>4008701.3757638107</v>
      </c>
      <c r="G124">
        <f>IF(OR(Calc_오픈정렬!$F124="",Calc_오픈정렬!G124=""),"",Calc_오픈정렬!G124/Calc_오픈정렬!$F124*100)</f>
        <v>67.246389136436875</v>
      </c>
      <c r="H124">
        <f>IF(OR(Calc_오픈정렬!$F124="",Calc_오픈정렬!H124=""),"",Calc_오픈정렬!H124/Calc_오픈정렬!$F124*100)</f>
        <v>76.533227816147189</v>
      </c>
      <c r="I124">
        <f>IF(OR(Calc_오픈정렬!$F124="",Calc_오픈정렬!I124=""),"",Calc_오픈정렬!I124/Calc_오픈정렬!$F124*100)</f>
        <v>78.929124120458965</v>
      </c>
      <c r="J124">
        <f>IF(OR(Calc_오픈정렬!$F124="",Calc_오픈정렬!J124=""),"",Calc_오픈정렬!J124/Calc_오픈정렬!$F124*100)</f>
        <v>84.828063842534917</v>
      </c>
      <c r="K124">
        <f>IF(OR(Calc_오픈정렬!$F124="",Calc_오픈정렬!K124=""),"",Calc_오픈정렬!K124/Calc_오픈정렬!$F124*100)</f>
        <v>91.888134669211468</v>
      </c>
      <c r="L124">
        <f>IF(OR(Calc_오픈정렬!$F124="",Calc_오픈정렬!L124=""),"",Calc_오픈정렬!L124/Calc_오픈정렬!$F124*100)</f>
        <v>98.782353218832085</v>
      </c>
      <c r="M124">
        <f>IF(OR(Calc_오픈정렬!$F124="",Calc_오픈정렬!M124=""),"",Calc_오픈정렬!M124/Calc_오픈정렬!$F124*100)</f>
        <v>100.63941206676019</v>
      </c>
      <c r="N124">
        <f>IF(OR(Calc_오픈정렬!$F124="",Calc_오픈정렬!N124=""),"",Calc_오픈정렬!N124/Calc_오픈정렬!$F124*100)</f>
        <v>111.17830601751734</v>
      </c>
      <c r="O124">
        <f>IF(OR(Calc_오픈정렬!$F124="",Calc_오픈정렬!O124=""),"",Calc_오픈정렬!O124/Calc_오픈정렬!$F124*100)</f>
        <v>112.68373018514401</v>
      </c>
      <c r="P124">
        <f>IF(OR(Calc_오픈정렬!$F124="",Calc_오픈정렬!P124=""),"",Calc_오픈정렬!P124/Calc_오픈정렬!$F124*100)</f>
        <v>112.25667368697529</v>
      </c>
      <c r="Q124">
        <f>IF(OR(Calc_오픈정렬!$F124="",Calc_오픈정렬!Q124=""),"",Calc_오픈정렬!Q124/Calc_오픈정렬!$F124*100)</f>
        <v>136.87127914798748</v>
      </c>
      <c r="R124">
        <f>IF(OR(Calc_오픈정렬!$F124="",Calc_오픈정렬!R124=""),"",Calc_오픈정렬!R124/Calc_오픈정렬!$F124*100)</f>
        <v>115.18843889933217</v>
      </c>
      <c r="S124">
        <f>IF(OR(Calc_오픈정렬!$F124="",Calc_오픈정렬!S124=""),"",Calc_오픈정렬!S124/Calc_오픈정렬!$F124*100)</f>
        <v>124.86530250779728</v>
      </c>
      <c r="T124">
        <f>IF(OR(Calc_오픈정렬!$F124="",Calc_오픈정렬!T124=""),"",Calc_오픈정렬!T124/Calc_오픈정렬!$F124*100)</f>
        <v>125.97743321682707</v>
      </c>
      <c r="U124">
        <f>IF(OR(Calc_오픈정렬!$F124="",Calc_오픈정렬!U124=""),"",Calc_오픈정렬!U124/Calc_오픈정렬!$F124*100)</f>
        <v>141.26402275801948</v>
      </c>
      <c r="V124">
        <f>IF(OR(Calc_오픈정렬!$F124="",Calc_오픈정렬!V124=""),"",Calc_오픈정렬!V124/Calc_오픈정렬!$F124*100)</f>
        <v>134.84531729806665</v>
      </c>
      <c r="W124">
        <f>IF(OR(Calc_오픈정렬!$F124="",Calc_오픈정렬!W124=""),"",Calc_오픈정렬!W124/Calc_오픈정렬!$F124*100)</f>
        <v>117.9366856861124</v>
      </c>
      <c r="X124">
        <f>IF(OR(Calc_오픈정렬!$F124="",Calc_오픈정렬!X124=""),"",Calc_오픈정렬!X124/Calc_오픈정렬!$F124*100)</f>
        <v>132.92881512365796</v>
      </c>
      <c r="Y124">
        <f>IF(OR(Calc_오픈정렬!$F124="",Calc_오픈정렬!Y124=""),"",Calc_오픈정렬!Y124/Calc_오픈정렬!$F124*100)</f>
        <v>159.90226219614911</v>
      </c>
      <c r="Z124">
        <f>IF(OR(Calc_오픈정렬!$F124="",Calc_오픈정렬!Z124=""),"",Calc_오픈정렬!Z124/Calc_오픈정렬!$F124*100)</f>
        <v>144.81611341225337</v>
      </c>
      <c r="AA124">
        <f>IF(OR(Calc_오픈정렬!$F124="",Calc_오픈정렬!AA124=""),"",Calc_오픈정렬!AA124/Calc_오픈정렬!$F124*100)</f>
        <v>147.26526975343904</v>
      </c>
      <c r="AB124">
        <f>IF(OR(Calc_오픈정렬!$F124="",Calc_오픈정렬!AB124=""),"",Calc_오픈정렬!AB124/Calc_오픈정렬!$F124*100)</f>
        <v>157.51162866006493</v>
      </c>
      <c r="AC124" t="str">
        <f>IF(OR(Calc_오픈정렬!$F124="",Calc_오픈정렬!AC124=""),"",Calc_오픈정렬!AC124/Calc_오픈정렬!$F124*100)</f>
        <v/>
      </c>
      <c r="AD124" t="str">
        <f>IF(OR(Calc_오픈정렬!$F124="",Calc_오픈정렬!AD124=""),"",Calc_오픈정렬!AD124/Calc_오픈정렬!$F124*100)</f>
        <v/>
      </c>
      <c r="AE124" t="str">
        <f>IF(OR(Calc_오픈정렬!$F124="",Calc_오픈정렬!AE124=""),"",Calc_오픈정렬!AE124/Calc_오픈정렬!$F124*100)</f>
        <v/>
      </c>
      <c r="AF124" t="str">
        <f>IF(OR(Calc_오픈정렬!$F124="",Calc_오픈정렬!AF124=""),"",Calc_오픈정렬!AF124/Calc_오픈정렬!$F124*100)</f>
        <v/>
      </c>
      <c r="AG124" t="str">
        <f>IF(OR(Calc_오픈정렬!$F124="",Calc_오픈정렬!AG124=""),"",Calc_오픈정렬!AG124/Calc_오픈정렬!$F124*100)</f>
        <v/>
      </c>
      <c r="AH124" t="str">
        <f>IF(OR(Calc_오픈정렬!$F124="",Calc_오픈정렬!AH124=""),"",Calc_오픈정렬!AH124/Calc_오픈정렬!$F124*100)</f>
        <v/>
      </c>
      <c r="AI124" t="str">
        <f>IF(OR(Calc_오픈정렬!$F124="",Calc_오픈정렬!AI124=""),"",Calc_오픈정렬!AI124/Calc_오픈정렬!$F124*100)</f>
        <v/>
      </c>
      <c r="AJ124" t="str">
        <f>IF(OR(Calc_오픈정렬!$F124="",Calc_오픈정렬!AJ124=""),"",Calc_오픈정렬!AJ124/Calc_오픈정렬!$F124*100)</f>
        <v/>
      </c>
      <c r="AK124" t="str">
        <f>IF(OR(Calc_오픈정렬!$F124="",Calc_오픈정렬!AK124=""),"",Calc_오픈정렬!AK124/Calc_오픈정렬!$F124*100)</f>
        <v/>
      </c>
      <c r="AL124" t="str">
        <f>IF(OR(Calc_오픈정렬!$F124="",Calc_오픈정렬!AL124=""),"",Calc_오픈정렬!AL124/Calc_오픈정렬!$F124*100)</f>
        <v/>
      </c>
      <c r="AM124" t="str">
        <f>IF(OR(Calc_오픈정렬!$F124="",Calc_오픈정렬!AM124=""),"",Calc_오픈정렬!AM124/Calc_오픈정렬!$F124*100)</f>
        <v/>
      </c>
      <c r="AN124" t="str">
        <f>IF(OR(Calc_오픈정렬!$F124="",Calc_오픈정렬!AN124=""),"",Calc_오픈정렬!AN124/Calc_오픈정렬!$F124*100)</f>
        <v/>
      </c>
      <c r="AO124" t="str">
        <f>IF(OR(Calc_오픈정렬!$F124="",Calc_오픈정렬!AO124=""),"",Calc_오픈정렬!AO124/Calc_오픈정렬!$F124*100)</f>
        <v/>
      </c>
      <c r="AP124" t="str">
        <f>IF(OR(Calc_오픈정렬!$F124="",Calc_오픈정렬!AP124=""),"",Calc_오픈정렬!AP124/Calc_오픈정렬!$F124*100)</f>
        <v/>
      </c>
      <c r="AQ124" t="str">
        <f>IF(OR(Calc_오픈정렬!$F124="",Calc_오픈정렬!AQ124=""),"",Calc_오픈정렬!AQ124/Calc_오픈정렬!$F124*100)</f>
        <v/>
      </c>
      <c r="AR124" t="str">
        <f>IF(OR(Calc_오픈정렬!$F124="",Calc_오픈정렬!AR124=""),"",Calc_오픈정렬!AR124/Calc_오픈정렬!$F124*100)</f>
        <v/>
      </c>
      <c r="AS124" t="str">
        <f>IF(OR(Calc_오픈정렬!$F124="",Calc_오픈정렬!AS124=""),"",Calc_오픈정렬!AS124/Calc_오픈정렬!$F124*100)</f>
        <v/>
      </c>
      <c r="AT124" t="str">
        <f>IF(OR(Calc_오픈정렬!$F124="",Calc_오픈정렬!AT124=""),"",Calc_오픈정렬!AT124/Calc_오픈정렬!$F124*100)</f>
        <v/>
      </c>
      <c r="AU124" t="str">
        <f>IF(OR(Calc_오픈정렬!$F124="",Calc_오픈정렬!AU124=""),"",Calc_오픈정렬!AU124/Calc_오픈정렬!$F124*100)</f>
        <v/>
      </c>
      <c r="AV124" t="str">
        <f>IF(OR(Calc_오픈정렬!$F124="",Calc_오픈정렬!AV124=""),"",Calc_오픈정렬!AV124/Calc_오픈정렬!$F124*100)</f>
        <v/>
      </c>
      <c r="AW124" t="str">
        <f>IF(OR(Calc_오픈정렬!$F124="",Calc_오픈정렬!AW124=""),"",Calc_오픈정렬!AW124/Calc_오픈정렬!$F124*100)</f>
        <v/>
      </c>
      <c r="AX124" t="str">
        <f>IF(OR(Calc_오픈정렬!$F124="",Calc_오픈정렬!AX124=""),"",Calc_오픈정렬!AX124/Calc_오픈정렬!$F124*100)</f>
        <v/>
      </c>
      <c r="AY124" t="str">
        <f>IF(OR(Calc_오픈정렬!$F124="",Calc_오픈정렬!AY124=""),"",Calc_오픈정렬!AY124/Calc_오픈정렬!$F124*100)</f>
        <v/>
      </c>
      <c r="AZ124" t="str">
        <f>IF(OR(Calc_오픈정렬!$F124="",Calc_오픈정렬!AZ124=""),"",Calc_오픈정렬!AZ124/Calc_오픈정렬!$F124*100)</f>
        <v/>
      </c>
      <c r="BA124" t="str">
        <f>IF(OR(Calc_오픈정렬!$F124="",Calc_오픈정렬!BA124=""),"",Calc_오픈정렬!BA124/Calc_오픈정렬!$F124*100)</f>
        <v/>
      </c>
      <c r="BB124" t="str">
        <f>IF(OR(Calc_오픈정렬!$F124="",Calc_오픈정렬!BB124=""),"",Calc_오픈정렬!BB124/Calc_오픈정렬!$F124*100)</f>
        <v/>
      </c>
      <c r="BC124" t="str">
        <f>IF(OR(Calc_오픈정렬!$F124="",Calc_오픈정렬!BC124=""),"",Calc_오픈정렬!BC124/Calc_오픈정렬!$F124*100)</f>
        <v/>
      </c>
      <c r="BD124" t="str">
        <f>IF(OR(Calc_오픈정렬!$F124="",Calc_오픈정렬!BD124=""),"",Calc_오픈정렬!BD124/Calc_오픈정렬!$F124*100)</f>
        <v/>
      </c>
      <c r="BE124" t="str">
        <f>IF(OR(Calc_오픈정렬!$F124="",Calc_오픈정렬!BE124=""),"",Calc_오픈정렬!BE124/Calc_오픈정렬!$F124*100)</f>
        <v/>
      </c>
      <c r="BF124" t="str">
        <f>IF(OR(Calc_오픈정렬!$F124="",Calc_오픈정렬!BF124=""),"",Calc_오픈정렬!BF124/Calc_오픈정렬!$F124*100)</f>
        <v/>
      </c>
      <c r="BG124" t="str">
        <f>IF(OR(Calc_오픈정렬!$F124="",Calc_오픈정렬!BG124=""),"",Calc_오픈정렬!BG124/Calc_오픈정렬!$F124*100)</f>
        <v/>
      </c>
      <c r="BH124" t="str">
        <f>IF(OR(Calc_오픈정렬!$F124="",Calc_오픈정렬!BH124=""),"",Calc_오픈정렬!BH124/Calc_오픈정렬!$F124*100)</f>
        <v/>
      </c>
      <c r="BI124" t="str">
        <f>IF(OR(Calc_오픈정렬!$F124="",Calc_오픈정렬!BI124=""),"",Calc_오픈정렬!BI124/Calc_오픈정렬!$F124*100)</f>
        <v/>
      </c>
      <c r="BJ124" t="str">
        <f>IF(OR(Calc_오픈정렬!$F124="",Calc_오픈정렬!BJ124=""),"",Calc_오픈정렬!BJ124/Calc_오픈정렬!$F124*100)</f>
        <v/>
      </c>
      <c r="BK124" t="str">
        <f>IF(OR(Calc_오픈정렬!$F124="",Calc_오픈정렬!BK124=""),"",Calc_오픈정렬!BK124/Calc_오픈정렬!$F124*100)</f>
        <v/>
      </c>
      <c r="BL124" t="str">
        <f>IF(OR(Calc_오픈정렬!$F124="",Calc_오픈정렬!BL124=""),"",Calc_오픈정렬!BL124/Calc_오픈정렬!$F124*100)</f>
        <v/>
      </c>
      <c r="BM124" t="str">
        <f>IF(OR(Calc_오픈정렬!$F124="",Calc_오픈정렬!BM124=""),"",Calc_오픈정렬!BM124/Calc_오픈정렬!$F124*100)</f>
        <v/>
      </c>
      <c r="BN124" t="str">
        <f>IF(OR(Calc_오픈정렬!$F124="",Calc_오픈정렬!BN124=""),"",Calc_오픈정렬!BN124/Calc_오픈정렬!$F124*100)</f>
        <v/>
      </c>
    </row>
    <row r="125" spans="1:66" x14ac:dyDescent="0.4">
      <c r="A125" t="str">
        <f>Calc_오픈정렬!A125</f>
        <v>(1116) #용현용일초등점</v>
      </c>
      <c r="B125" t="str">
        <f>Calc_오픈정렬!B125</f>
        <v>150-3</v>
      </c>
      <c r="C125">
        <f>Calc_오픈정렬!C125</f>
        <v>3</v>
      </c>
      <c r="D125" t="str">
        <f>Calc_오픈정렬!D125</f>
        <v>3+</v>
      </c>
      <c r="E125" s="1">
        <f>Calc_오픈정렬!E125</f>
        <v>45536</v>
      </c>
      <c r="F125">
        <f>Calc_오픈정렬!F125</f>
        <v>4437502.0532352263</v>
      </c>
      <c r="G125">
        <f>IF(OR(Calc_오픈정렬!$F125="",Calc_오픈정렬!G125=""),"",Calc_오픈정렬!G125/Calc_오픈정렬!$F125*100)</f>
        <v>77.177826736326054</v>
      </c>
      <c r="H125">
        <f>IF(OR(Calc_오픈정렬!$F125="",Calc_오픈정렬!H125=""),"",Calc_오픈정렬!H125/Calc_오픈정렬!$F125*100)</f>
        <v>82.235907014097336</v>
      </c>
      <c r="I125">
        <f>IF(OR(Calc_오픈정렬!$F125="",Calc_오픈정렬!I125=""),"",Calc_오픈정렬!I125/Calc_오픈정렬!$F125*100)</f>
        <v>84.201389748417739</v>
      </c>
      <c r="J125">
        <f>IF(OR(Calc_오픈정렬!$F125="",Calc_오픈정렬!J125=""),"",Calc_오픈정렬!J125/Calc_오픈정렬!$F125*100)</f>
        <v>91.731222759350587</v>
      </c>
      <c r="K125">
        <f>IF(OR(Calc_오픈정렬!$F125="",Calc_오픈정렬!K125=""),"",Calc_오픈정렬!K125/Calc_오픈정렬!$F125*100)</f>
        <v>92.341272354897939</v>
      </c>
      <c r="L125">
        <f>IF(OR(Calc_오픈정렬!$F125="",Calc_오픈정렬!L125=""),"",Calc_오픈정렬!L125/Calc_오픈정렬!$F125*100)</f>
        <v>87.905375998680185</v>
      </c>
      <c r="M125">
        <f>IF(OR(Calc_오픈정렬!$F125="",Calc_오픈정렬!M125=""),"",Calc_오픈정렬!M125/Calc_오픈정렬!$F125*100)</f>
        <v>110.11848473014072</v>
      </c>
      <c r="N125">
        <f>IF(OR(Calc_오픈정렬!$F125="",Calc_오픈정렬!N125=""),"",Calc_오픈정렬!N125/Calc_오픈정렬!$F125*100)</f>
        <v>96.20320750625153</v>
      </c>
      <c r="O125">
        <f>IF(OR(Calc_오픈정렬!$F125="",Calc_오픈정렬!O125=""),"",Calc_오픈정렬!O125/Calc_오픈정렬!$F125*100)</f>
        <v>121.70043665067898</v>
      </c>
      <c r="P125">
        <f>IF(OR(Calc_오픈정렬!$F125="",Calc_오픈정렬!P125=""),"",Calc_오픈정렬!P125/Calc_오픈정렬!$F125*100)</f>
        <v>116.98344755131107</v>
      </c>
      <c r="Q125">
        <f>IF(OR(Calc_오픈정렬!$F125="",Calc_오픈정렬!Q125=""),"",Calc_오픈정렬!Q125/Calc_오픈정렬!$F125*100)</f>
        <v>106.23843862874713</v>
      </c>
      <c r="R125">
        <f>IF(OR(Calc_오픈정렬!$F125="",Calc_오픈정렬!R125=""),"",Calc_오픈정렬!R125/Calc_오픈정렬!$F125*100)</f>
        <v>101.66822123646885</v>
      </c>
      <c r="S125">
        <f>IF(OR(Calc_오픈정렬!$F125="",Calc_오픈정렬!S125=""),"",Calc_오픈정렬!S125/Calc_오픈정렬!$F125*100)</f>
        <v>102.56615819114548</v>
      </c>
      <c r="T125">
        <f>IF(OR(Calc_오픈정렬!$F125="",Calc_오픈정렬!T125=""),"",Calc_오픈정렬!T125/Calc_오픈정렬!$F125*100)</f>
        <v>98.340755598680175</v>
      </c>
      <c r="U125">
        <f>IF(OR(Calc_오픈정렬!$F125="",Calc_오픈정렬!U125=""),"",Calc_오픈정렬!U125/Calc_오픈정렬!$F125*100)</f>
        <v>102.50876885158004</v>
      </c>
      <c r="V125">
        <f>IF(OR(Calc_오픈정렬!$F125="",Calc_오픈정렬!V125=""),"",Calc_오픈정렬!V125/Calc_오픈정렬!$F125*100)</f>
        <v>104.99083557797194</v>
      </c>
      <c r="W125">
        <f>IF(OR(Calc_오픈정렬!$F125="",Calc_오픈정렬!W125=""),"",Calc_오픈정렬!W125/Calc_오픈정렬!$F125*100)</f>
        <v>93.527070844428948</v>
      </c>
      <c r="X125">
        <f>IF(OR(Calc_오픈정렬!$F125="",Calc_오픈정렬!X125=""),"",Calc_오픈정렬!X125/Calc_오픈정렬!$F125*100)</f>
        <v>96.888680337485042</v>
      </c>
      <c r="Y125">
        <f>IF(OR(Calc_오픈정렬!$F125="",Calc_오픈정렬!Y125=""),"",Calc_오픈정렬!Y125/Calc_오픈정렬!$F125*100)</f>
        <v>97.574397711516568</v>
      </c>
      <c r="Z125">
        <f>IF(OR(Calc_오픈정렬!$F125="",Calc_오픈정렬!Z125=""),"",Calc_오픈정렬!Z125/Calc_오픈정렬!$F125*100)</f>
        <v>90.981575018049327</v>
      </c>
      <c r="AA125">
        <f>IF(OR(Calc_오픈정렬!$F125="",Calc_오픈정렬!AA125=""),"",Calc_오픈정렬!AA125/Calc_오픈정렬!$F125*100)</f>
        <v>96.677237367461132</v>
      </c>
      <c r="AB125" t="str">
        <f>IF(OR(Calc_오픈정렬!$F125="",Calc_오픈정렬!AB125=""),"",Calc_오픈정렬!AB125/Calc_오픈정렬!$F125*100)</f>
        <v/>
      </c>
      <c r="AC125" t="str">
        <f>IF(OR(Calc_오픈정렬!$F125="",Calc_오픈정렬!AC125=""),"",Calc_오픈정렬!AC125/Calc_오픈정렬!$F125*100)</f>
        <v/>
      </c>
      <c r="AD125" t="str">
        <f>IF(OR(Calc_오픈정렬!$F125="",Calc_오픈정렬!AD125=""),"",Calc_오픈정렬!AD125/Calc_오픈정렬!$F125*100)</f>
        <v/>
      </c>
      <c r="AE125" t="str">
        <f>IF(OR(Calc_오픈정렬!$F125="",Calc_오픈정렬!AE125=""),"",Calc_오픈정렬!AE125/Calc_오픈정렬!$F125*100)</f>
        <v/>
      </c>
      <c r="AF125" t="str">
        <f>IF(OR(Calc_오픈정렬!$F125="",Calc_오픈정렬!AF125=""),"",Calc_오픈정렬!AF125/Calc_오픈정렬!$F125*100)</f>
        <v/>
      </c>
      <c r="AG125" t="str">
        <f>IF(OR(Calc_오픈정렬!$F125="",Calc_오픈정렬!AG125=""),"",Calc_오픈정렬!AG125/Calc_오픈정렬!$F125*100)</f>
        <v/>
      </c>
      <c r="AH125" t="str">
        <f>IF(OR(Calc_오픈정렬!$F125="",Calc_오픈정렬!AH125=""),"",Calc_오픈정렬!AH125/Calc_오픈정렬!$F125*100)</f>
        <v/>
      </c>
      <c r="AI125" t="str">
        <f>IF(OR(Calc_오픈정렬!$F125="",Calc_오픈정렬!AI125=""),"",Calc_오픈정렬!AI125/Calc_오픈정렬!$F125*100)</f>
        <v/>
      </c>
      <c r="AJ125" t="str">
        <f>IF(OR(Calc_오픈정렬!$F125="",Calc_오픈정렬!AJ125=""),"",Calc_오픈정렬!AJ125/Calc_오픈정렬!$F125*100)</f>
        <v/>
      </c>
      <c r="AK125" t="str">
        <f>IF(OR(Calc_오픈정렬!$F125="",Calc_오픈정렬!AK125=""),"",Calc_오픈정렬!AK125/Calc_오픈정렬!$F125*100)</f>
        <v/>
      </c>
      <c r="AL125" t="str">
        <f>IF(OR(Calc_오픈정렬!$F125="",Calc_오픈정렬!AL125=""),"",Calc_오픈정렬!AL125/Calc_오픈정렬!$F125*100)</f>
        <v/>
      </c>
      <c r="AM125" t="str">
        <f>IF(OR(Calc_오픈정렬!$F125="",Calc_오픈정렬!AM125=""),"",Calc_오픈정렬!AM125/Calc_오픈정렬!$F125*100)</f>
        <v/>
      </c>
      <c r="AN125" t="str">
        <f>IF(OR(Calc_오픈정렬!$F125="",Calc_오픈정렬!AN125=""),"",Calc_오픈정렬!AN125/Calc_오픈정렬!$F125*100)</f>
        <v/>
      </c>
      <c r="AO125" t="str">
        <f>IF(OR(Calc_오픈정렬!$F125="",Calc_오픈정렬!AO125=""),"",Calc_오픈정렬!AO125/Calc_오픈정렬!$F125*100)</f>
        <v/>
      </c>
      <c r="AP125" t="str">
        <f>IF(OR(Calc_오픈정렬!$F125="",Calc_오픈정렬!AP125=""),"",Calc_오픈정렬!AP125/Calc_오픈정렬!$F125*100)</f>
        <v/>
      </c>
      <c r="AQ125" t="str">
        <f>IF(OR(Calc_오픈정렬!$F125="",Calc_오픈정렬!AQ125=""),"",Calc_오픈정렬!AQ125/Calc_오픈정렬!$F125*100)</f>
        <v/>
      </c>
      <c r="AR125" t="str">
        <f>IF(OR(Calc_오픈정렬!$F125="",Calc_오픈정렬!AR125=""),"",Calc_오픈정렬!AR125/Calc_오픈정렬!$F125*100)</f>
        <v/>
      </c>
      <c r="AS125" t="str">
        <f>IF(OR(Calc_오픈정렬!$F125="",Calc_오픈정렬!AS125=""),"",Calc_오픈정렬!AS125/Calc_오픈정렬!$F125*100)</f>
        <v/>
      </c>
      <c r="AT125" t="str">
        <f>IF(OR(Calc_오픈정렬!$F125="",Calc_오픈정렬!AT125=""),"",Calc_오픈정렬!AT125/Calc_오픈정렬!$F125*100)</f>
        <v/>
      </c>
      <c r="AU125" t="str">
        <f>IF(OR(Calc_오픈정렬!$F125="",Calc_오픈정렬!AU125=""),"",Calc_오픈정렬!AU125/Calc_오픈정렬!$F125*100)</f>
        <v/>
      </c>
      <c r="AV125" t="str">
        <f>IF(OR(Calc_오픈정렬!$F125="",Calc_오픈정렬!AV125=""),"",Calc_오픈정렬!AV125/Calc_오픈정렬!$F125*100)</f>
        <v/>
      </c>
      <c r="AW125" t="str">
        <f>IF(OR(Calc_오픈정렬!$F125="",Calc_오픈정렬!AW125=""),"",Calc_오픈정렬!AW125/Calc_오픈정렬!$F125*100)</f>
        <v/>
      </c>
      <c r="AX125" t="str">
        <f>IF(OR(Calc_오픈정렬!$F125="",Calc_오픈정렬!AX125=""),"",Calc_오픈정렬!AX125/Calc_오픈정렬!$F125*100)</f>
        <v/>
      </c>
      <c r="AY125" t="str">
        <f>IF(OR(Calc_오픈정렬!$F125="",Calc_오픈정렬!AY125=""),"",Calc_오픈정렬!AY125/Calc_오픈정렬!$F125*100)</f>
        <v/>
      </c>
      <c r="AZ125" t="str">
        <f>IF(OR(Calc_오픈정렬!$F125="",Calc_오픈정렬!AZ125=""),"",Calc_오픈정렬!AZ125/Calc_오픈정렬!$F125*100)</f>
        <v/>
      </c>
      <c r="BA125" t="str">
        <f>IF(OR(Calc_오픈정렬!$F125="",Calc_오픈정렬!BA125=""),"",Calc_오픈정렬!BA125/Calc_오픈정렬!$F125*100)</f>
        <v/>
      </c>
      <c r="BB125" t="str">
        <f>IF(OR(Calc_오픈정렬!$F125="",Calc_오픈정렬!BB125=""),"",Calc_오픈정렬!BB125/Calc_오픈정렬!$F125*100)</f>
        <v/>
      </c>
      <c r="BC125" t="str">
        <f>IF(OR(Calc_오픈정렬!$F125="",Calc_오픈정렬!BC125=""),"",Calc_오픈정렬!BC125/Calc_오픈정렬!$F125*100)</f>
        <v/>
      </c>
      <c r="BD125" t="str">
        <f>IF(OR(Calc_오픈정렬!$F125="",Calc_오픈정렬!BD125=""),"",Calc_오픈정렬!BD125/Calc_오픈정렬!$F125*100)</f>
        <v/>
      </c>
      <c r="BE125" t="str">
        <f>IF(OR(Calc_오픈정렬!$F125="",Calc_오픈정렬!BE125=""),"",Calc_오픈정렬!BE125/Calc_오픈정렬!$F125*100)</f>
        <v/>
      </c>
      <c r="BF125" t="str">
        <f>IF(OR(Calc_오픈정렬!$F125="",Calc_오픈정렬!BF125=""),"",Calc_오픈정렬!BF125/Calc_오픈정렬!$F125*100)</f>
        <v/>
      </c>
      <c r="BG125" t="str">
        <f>IF(OR(Calc_오픈정렬!$F125="",Calc_오픈정렬!BG125=""),"",Calc_오픈정렬!BG125/Calc_오픈정렬!$F125*100)</f>
        <v/>
      </c>
      <c r="BH125" t="str">
        <f>IF(OR(Calc_오픈정렬!$F125="",Calc_오픈정렬!BH125=""),"",Calc_오픈정렬!BH125/Calc_오픈정렬!$F125*100)</f>
        <v/>
      </c>
      <c r="BI125" t="str">
        <f>IF(OR(Calc_오픈정렬!$F125="",Calc_오픈정렬!BI125=""),"",Calc_오픈정렬!BI125/Calc_오픈정렬!$F125*100)</f>
        <v/>
      </c>
      <c r="BJ125" t="str">
        <f>IF(OR(Calc_오픈정렬!$F125="",Calc_오픈정렬!BJ125=""),"",Calc_오픈정렬!BJ125/Calc_오픈정렬!$F125*100)</f>
        <v/>
      </c>
      <c r="BK125" t="str">
        <f>IF(OR(Calc_오픈정렬!$F125="",Calc_오픈정렬!BK125=""),"",Calc_오픈정렬!BK125/Calc_오픈정렬!$F125*100)</f>
        <v/>
      </c>
      <c r="BL125" t="str">
        <f>IF(OR(Calc_오픈정렬!$F125="",Calc_오픈정렬!BL125=""),"",Calc_오픈정렬!BL125/Calc_오픈정렬!$F125*100)</f>
        <v/>
      </c>
      <c r="BM125" t="str">
        <f>IF(OR(Calc_오픈정렬!$F125="",Calc_오픈정렬!BM125=""),"",Calc_오픈정렬!BM125/Calc_오픈정렬!$F125*100)</f>
        <v/>
      </c>
      <c r="BN125" t="str">
        <f>IF(OR(Calc_오픈정렬!$F125="",Calc_오픈정렬!BN125=""),"",Calc_오픈정렬!BN125/Calc_오픈정렬!$F125*100)</f>
        <v/>
      </c>
    </row>
    <row r="126" spans="1:66" x14ac:dyDescent="0.4">
      <c r="A126" t="str">
        <f>Calc_오픈정렬!A126</f>
        <v>(1117) #성신여대역점</v>
      </c>
      <c r="B126" t="str">
        <f>Calc_오픈정렬!B126</f>
        <v>150-0</v>
      </c>
      <c r="C126">
        <f>Calc_오픈정렬!C126</f>
        <v>0</v>
      </c>
      <c r="D126" t="str">
        <f>Calc_오픈정렬!D126</f>
        <v>0</v>
      </c>
      <c r="E126" s="1">
        <f>Calc_오픈정렬!E126</f>
        <v>45536</v>
      </c>
      <c r="F126">
        <f>Calc_오픈정렬!F126</f>
        <v>7567368.1199628366</v>
      </c>
      <c r="G126">
        <f>IF(OR(Calc_오픈정렬!$F126="",Calc_오픈정렬!G126=""),"",Calc_오픈정렬!G126/Calc_오픈정렬!$F126*100)</f>
        <v>65.285242756486596</v>
      </c>
      <c r="H126">
        <f>IF(OR(Calc_오픈정렬!$F126="",Calc_오픈정렬!H126=""),"",Calc_오픈정렬!H126/Calc_오픈정렬!$F126*100)</f>
        <v>74.647330938470986</v>
      </c>
      <c r="I126">
        <f>IF(OR(Calc_오픈정렬!$F126="",Calc_오픈정렬!I126=""),"",Calc_오픈정렬!I126/Calc_오픈정렬!$F126*100)</f>
        <v>90.331156706091292</v>
      </c>
      <c r="J126">
        <f>IF(OR(Calc_오픈정렬!$F126="",Calc_오픈정렬!J126=""),"",Calc_오픈정렬!J126/Calc_오픈정렬!$F126*100)</f>
        <v>89.677207613913936</v>
      </c>
      <c r="K126">
        <f>IF(OR(Calc_오픈정렬!$F126="",Calc_오픈정렬!K126=""),"",Calc_오픈정렬!K126/Calc_오픈정렬!$F126*100)</f>
        <v>102.28320492963694</v>
      </c>
      <c r="L126">
        <f>IF(OR(Calc_오픈정렬!$F126="",Calc_오픈정렬!L126=""),"",Calc_오픈정렬!L126/Calc_오픈정렬!$F126*100)</f>
        <v>104.98848226373111</v>
      </c>
      <c r="M126">
        <f>IF(OR(Calc_오픈정렬!$F126="",Calc_오픈정렬!M126=""),"",Calc_오픈정렬!M126/Calc_오픈정렬!$F126*100)</f>
        <v>97.713108728238126</v>
      </c>
      <c r="N126">
        <f>IF(OR(Calc_오픈정렬!$F126="",Calc_오픈정렬!N126=""),"",Calc_오픈정렬!N126/Calc_오픈정렬!$F126*100)</f>
        <v>100.2302799682956</v>
      </c>
      <c r="O126">
        <f>IF(OR(Calc_오픈정렬!$F126="",Calc_오픈정렬!O126=""),"",Calc_오픈정렬!O126/Calc_오픈정렬!$F126*100)</f>
        <v>105.10771649618427</v>
      </c>
      <c r="P126">
        <f>IF(OR(Calc_오픈정렬!$F126="",Calc_오픈정렬!P126=""),"",Calc_오픈정렬!P126/Calc_오픈정렬!$F126*100)</f>
        <v>100.78186640827185</v>
      </c>
      <c r="Q126">
        <f>IF(OR(Calc_오픈정렬!$F126="",Calc_오픈정렬!Q126=""),"",Calc_오픈정렬!Q126/Calc_오픈정렬!$F126*100)</f>
        <v>93.838114684918992</v>
      </c>
      <c r="R126">
        <f>IF(OR(Calc_오픈정렬!$F126="",Calc_오픈정렬!R126=""),"",Calc_오픈정렬!R126/Calc_오픈정렬!$F126*100)</f>
        <v>104.22049908211446</v>
      </c>
      <c r="S126">
        <f>IF(OR(Calc_오픈정렬!$F126="",Calc_오픈정렬!S126=""),"",Calc_오픈정렬!S126/Calc_오픈정렬!$F126*100)</f>
        <v>97.025098813826219</v>
      </c>
      <c r="T126">
        <f>IF(OR(Calc_오픈정렬!$F126="",Calc_오픈정렬!T126=""),"",Calc_오픈정렬!T126/Calc_오픈정렬!$F126*100)</f>
        <v>101.08698743289968</v>
      </c>
      <c r="U126">
        <f>IF(OR(Calc_오픈정렬!$F126="",Calc_오픈정렬!U126=""),"",Calc_오픈정렬!U126/Calc_오픈정렬!$F126*100)</f>
        <v>102.37470168651677</v>
      </c>
      <c r="V126">
        <f>IF(OR(Calc_오픈정렬!$F126="",Calc_오픈정렬!V126=""),"",Calc_오픈정렬!V126/Calc_오픈정렬!$F126*100)</f>
        <v>94.664994022897375</v>
      </c>
      <c r="W126">
        <f>IF(OR(Calc_오픈정렬!$F126="",Calc_오픈정렬!W126=""),"",Calc_오픈정렬!W126/Calc_오픈정렬!$F126*100)</f>
        <v>97.802032594920831</v>
      </c>
      <c r="X126">
        <f>IF(OR(Calc_오픈정렬!$F126="",Calc_오픈정렬!X126=""),"",Calc_오픈정렬!X126/Calc_오픈정렬!$F126*100)</f>
        <v>105.93386540587193</v>
      </c>
      <c r="Y126">
        <f>IF(OR(Calc_오픈정렬!$F126="",Calc_오픈정렬!Y126=""),"",Calc_오픈정렬!Y126/Calc_오픈정렬!$F126*100)</f>
        <v>108.02652753354423</v>
      </c>
      <c r="Z126">
        <f>IF(OR(Calc_오픈정렬!$F126="",Calc_오픈정렬!Z126=""),"",Calc_오픈정렬!Z126/Calc_오픈정렬!$F126*100)</f>
        <v>115.31852956998915</v>
      </c>
      <c r="AA126">
        <f>IF(OR(Calc_오픈정렬!$F126="",Calc_오픈정렬!AA126=""),"",Calc_오픈정렬!AA126/Calc_오픈정렬!$F126*100)</f>
        <v>115.95514055768217</v>
      </c>
      <c r="AB126" t="str">
        <f>IF(OR(Calc_오픈정렬!$F126="",Calc_오픈정렬!AB126=""),"",Calc_오픈정렬!AB126/Calc_오픈정렬!$F126*100)</f>
        <v/>
      </c>
      <c r="AC126" t="str">
        <f>IF(OR(Calc_오픈정렬!$F126="",Calc_오픈정렬!AC126=""),"",Calc_오픈정렬!AC126/Calc_오픈정렬!$F126*100)</f>
        <v/>
      </c>
      <c r="AD126" t="str">
        <f>IF(OR(Calc_오픈정렬!$F126="",Calc_오픈정렬!AD126=""),"",Calc_오픈정렬!AD126/Calc_오픈정렬!$F126*100)</f>
        <v/>
      </c>
      <c r="AE126" t="str">
        <f>IF(OR(Calc_오픈정렬!$F126="",Calc_오픈정렬!AE126=""),"",Calc_오픈정렬!AE126/Calc_오픈정렬!$F126*100)</f>
        <v/>
      </c>
      <c r="AF126" t="str">
        <f>IF(OR(Calc_오픈정렬!$F126="",Calc_오픈정렬!AF126=""),"",Calc_오픈정렬!AF126/Calc_오픈정렬!$F126*100)</f>
        <v/>
      </c>
      <c r="AG126" t="str">
        <f>IF(OR(Calc_오픈정렬!$F126="",Calc_오픈정렬!AG126=""),"",Calc_오픈정렬!AG126/Calc_오픈정렬!$F126*100)</f>
        <v/>
      </c>
      <c r="AH126" t="str">
        <f>IF(OR(Calc_오픈정렬!$F126="",Calc_오픈정렬!AH126=""),"",Calc_오픈정렬!AH126/Calc_오픈정렬!$F126*100)</f>
        <v/>
      </c>
      <c r="AI126" t="str">
        <f>IF(OR(Calc_오픈정렬!$F126="",Calc_오픈정렬!AI126=""),"",Calc_오픈정렬!AI126/Calc_오픈정렬!$F126*100)</f>
        <v/>
      </c>
      <c r="AJ126" t="str">
        <f>IF(OR(Calc_오픈정렬!$F126="",Calc_오픈정렬!AJ126=""),"",Calc_오픈정렬!AJ126/Calc_오픈정렬!$F126*100)</f>
        <v/>
      </c>
      <c r="AK126" t="str">
        <f>IF(OR(Calc_오픈정렬!$F126="",Calc_오픈정렬!AK126=""),"",Calc_오픈정렬!AK126/Calc_오픈정렬!$F126*100)</f>
        <v/>
      </c>
      <c r="AL126" t="str">
        <f>IF(OR(Calc_오픈정렬!$F126="",Calc_오픈정렬!AL126=""),"",Calc_오픈정렬!AL126/Calc_오픈정렬!$F126*100)</f>
        <v/>
      </c>
      <c r="AM126" t="str">
        <f>IF(OR(Calc_오픈정렬!$F126="",Calc_오픈정렬!AM126=""),"",Calc_오픈정렬!AM126/Calc_오픈정렬!$F126*100)</f>
        <v/>
      </c>
      <c r="AN126" t="str">
        <f>IF(OR(Calc_오픈정렬!$F126="",Calc_오픈정렬!AN126=""),"",Calc_오픈정렬!AN126/Calc_오픈정렬!$F126*100)</f>
        <v/>
      </c>
      <c r="AO126" t="str">
        <f>IF(OR(Calc_오픈정렬!$F126="",Calc_오픈정렬!AO126=""),"",Calc_오픈정렬!AO126/Calc_오픈정렬!$F126*100)</f>
        <v/>
      </c>
      <c r="AP126" t="str">
        <f>IF(OR(Calc_오픈정렬!$F126="",Calc_오픈정렬!AP126=""),"",Calc_오픈정렬!AP126/Calc_오픈정렬!$F126*100)</f>
        <v/>
      </c>
      <c r="AQ126" t="str">
        <f>IF(OR(Calc_오픈정렬!$F126="",Calc_오픈정렬!AQ126=""),"",Calc_오픈정렬!AQ126/Calc_오픈정렬!$F126*100)</f>
        <v/>
      </c>
      <c r="AR126" t="str">
        <f>IF(OR(Calc_오픈정렬!$F126="",Calc_오픈정렬!AR126=""),"",Calc_오픈정렬!AR126/Calc_오픈정렬!$F126*100)</f>
        <v/>
      </c>
      <c r="AS126" t="str">
        <f>IF(OR(Calc_오픈정렬!$F126="",Calc_오픈정렬!AS126=""),"",Calc_오픈정렬!AS126/Calc_오픈정렬!$F126*100)</f>
        <v/>
      </c>
      <c r="AT126" t="str">
        <f>IF(OR(Calc_오픈정렬!$F126="",Calc_오픈정렬!AT126=""),"",Calc_오픈정렬!AT126/Calc_오픈정렬!$F126*100)</f>
        <v/>
      </c>
      <c r="AU126" t="str">
        <f>IF(OR(Calc_오픈정렬!$F126="",Calc_오픈정렬!AU126=""),"",Calc_오픈정렬!AU126/Calc_오픈정렬!$F126*100)</f>
        <v/>
      </c>
      <c r="AV126" t="str">
        <f>IF(OR(Calc_오픈정렬!$F126="",Calc_오픈정렬!AV126=""),"",Calc_오픈정렬!AV126/Calc_오픈정렬!$F126*100)</f>
        <v/>
      </c>
      <c r="AW126" t="str">
        <f>IF(OR(Calc_오픈정렬!$F126="",Calc_오픈정렬!AW126=""),"",Calc_오픈정렬!AW126/Calc_오픈정렬!$F126*100)</f>
        <v/>
      </c>
      <c r="AX126" t="str">
        <f>IF(OR(Calc_오픈정렬!$F126="",Calc_오픈정렬!AX126=""),"",Calc_오픈정렬!AX126/Calc_오픈정렬!$F126*100)</f>
        <v/>
      </c>
      <c r="AY126" t="str">
        <f>IF(OR(Calc_오픈정렬!$F126="",Calc_오픈정렬!AY126=""),"",Calc_오픈정렬!AY126/Calc_오픈정렬!$F126*100)</f>
        <v/>
      </c>
      <c r="AZ126" t="str">
        <f>IF(OR(Calc_오픈정렬!$F126="",Calc_오픈정렬!AZ126=""),"",Calc_오픈정렬!AZ126/Calc_오픈정렬!$F126*100)</f>
        <v/>
      </c>
      <c r="BA126" t="str">
        <f>IF(OR(Calc_오픈정렬!$F126="",Calc_오픈정렬!BA126=""),"",Calc_오픈정렬!BA126/Calc_오픈정렬!$F126*100)</f>
        <v/>
      </c>
      <c r="BB126" t="str">
        <f>IF(OR(Calc_오픈정렬!$F126="",Calc_오픈정렬!BB126=""),"",Calc_오픈정렬!BB126/Calc_오픈정렬!$F126*100)</f>
        <v/>
      </c>
      <c r="BC126" t="str">
        <f>IF(OR(Calc_오픈정렬!$F126="",Calc_오픈정렬!BC126=""),"",Calc_오픈정렬!BC126/Calc_오픈정렬!$F126*100)</f>
        <v/>
      </c>
      <c r="BD126" t="str">
        <f>IF(OR(Calc_오픈정렬!$F126="",Calc_오픈정렬!BD126=""),"",Calc_오픈정렬!BD126/Calc_오픈정렬!$F126*100)</f>
        <v/>
      </c>
      <c r="BE126" t="str">
        <f>IF(OR(Calc_오픈정렬!$F126="",Calc_오픈정렬!BE126=""),"",Calc_오픈정렬!BE126/Calc_오픈정렬!$F126*100)</f>
        <v/>
      </c>
      <c r="BF126" t="str">
        <f>IF(OR(Calc_오픈정렬!$F126="",Calc_오픈정렬!BF126=""),"",Calc_오픈정렬!BF126/Calc_오픈정렬!$F126*100)</f>
        <v/>
      </c>
      <c r="BG126" t="str">
        <f>IF(OR(Calc_오픈정렬!$F126="",Calc_오픈정렬!BG126=""),"",Calc_오픈정렬!BG126/Calc_오픈정렬!$F126*100)</f>
        <v/>
      </c>
      <c r="BH126" t="str">
        <f>IF(OR(Calc_오픈정렬!$F126="",Calc_오픈정렬!BH126=""),"",Calc_오픈정렬!BH126/Calc_오픈정렬!$F126*100)</f>
        <v/>
      </c>
      <c r="BI126" t="str">
        <f>IF(OR(Calc_오픈정렬!$F126="",Calc_오픈정렬!BI126=""),"",Calc_오픈정렬!BI126/Calc_오픈정렬!$F126*100)</f>
        <v/>
      </c>
      <c r="BJ126" t="str">
        <f>IF(OR(Calc_오픈정렬!$F126="",Calc_오픈정렬!BJ126=""),"",Calc_오픈정렬!BJ126/Calc_오픈정렬!$F126*100)</f>
        <v/>
      </c>
      <c r="BK126" t="str">
        <f>IF(OR(Calc_오픈정렬!$F126="",Calc_오픈정렬!BK126=""),"",Calc_오픈정렬!BK126/Calc_오픈정렬!$F126*100)</f>
        <v/>
      </c>
      <c r="BL126" t="str">
        <f>IF(OR(Calc_오픈정렬!$F126="",Calc_오픈정렬!BL126=""),"",Calc_오픈정렬!BL126/Calc_오픈정렬!$F126*100)</f>
        <v/>
      </c>
      <c r="BM126" t="str">
        <f>IF(OR(Calc_오픈정렬!$F126="",Calc_오픈정렬!BM126=""),"",Calc_오픈정렬!BM126/Calc_오픈정렬!$F126*100)</f>
        <v/>
      </c>
      <c r="BN126" t="str">
        <f>IF(OR(Calc_오픈정렬!$F126="",Calc_오픈정렬!BN126=""),"",Calc_오픈정렬!BN126/Calc_오픈정렬!$F126*100)</f>
        <v/>
      </c>
    </row>
    <row r="127" spans="1:66" x14ac:dyDescent="0.4">
      <c r="A127" t="str">
        <f>Calc_오픈정렬!A127</f>
        <v>(1118) #관악원당초교점</v>
      </c>
      <c r="B127" t="str">
        <f>Calc_오픈정렬!B127</f>
        <v>150-1</v>
      </c>
      <c r="C127">
        <f>Calc_오픈정렬!C127</f>
        <v>1</v>
      </c>
      <c r="D127" t="str">
        <f>Calc_오픈정렬!D127</f>
        <v>1</v>
      </c>
      <c r="E127" s="1">
        <f>Calc_오픈정렬!E127</f>
        <v>45536</v>
      </c>
      <c r="F127">
        <f>Calc_오픈정렬!F127</f>
        <v>1956571.2281880919</v>
      </c>
      <c r="G127">
        <f>IF(OR(Calc_오픈정렬!$F127="",Calc_오픈정렬!G127=""),"",Calc_오픈정렬!G127/Calc_오픈정렬!$F127*100)</f>
        <v>60.232083759075707</v>
      </c>
      <c r="H127">
        <f>IF(OR(Calc_오픈정렬!$F127="",Calc_오픈정렬!H127=""),"",Calc_오픈정렬!H127/Calc_오픈정렬!$F127*100)</f>
        <v>71.33161581128013</v>
      </c>
      <c r="I127">
        <f>IF(OR(Calc_오픈정렬!$F127="",Calc_오픈정렬!I127=""),"",Calc_오픈정렬!I127/Calc_오픈정렬!$F127*100)</f>
        <v>75.941238395198923</v>
      </c>
      <c r="J127">
        <f>IF(OR(Calc_오픈정렬!$F127="",Calc_오픈정렬!J127=""),"",Calc_오픈정렬!J127/Calc_오픈정렬!$F127*100)</f>
        <v>84.924970386606475</v>
      </c>
      <c r="K127">
        <f>IF(OR(Calc_오픈정렬!$F127="",Calc_오픈정렬!K127=""),"",Calc_오픈정렬!K127/Calc_오픈정렬!$F127*100)</f>
        <v>99.801075800348045</v>
      </c>
      <c r="L127">
        <f>IF(OR(Calc_오픈정렬!$F127="",Calc_오픈정렬!L127=""),"",Calc_오픈정렬!L127/Calc_오픈정렬!$F127*100)</f>
        <v>88.306076536454654</v>
      </c>
      <c r="M127">
        <f>IF(OR(Calc_오픈정렬!$F127="",Calc_오픈정렬!M127=""),"",Calc_오픈정렬!M127/Calc_오픈정렬!$F127*100)</f>
        <v>112.97413864400644</v>
      </c>
      <c r="N127">
        <f>IF(OR(Calc_오픈정렬!$F127="",Calc_오픈정렬!N127=""),"",Calc_오픈정렬!N127/Calc_오픈정렬!$F127*100)</f>
        <v>118.04789534518363</v>
      </c>
      <c r="O127">
        <f>IF(OR(Calc_오픈정렬!$F127="",Calc_오픈정렬!O127=""),"",Calc_오픈정렬!O127/Calc_오픈정렬!$F127*100)</f>
        <v>95.945843287400805</v>
      </c>
      <c r="P127">
        <f>IF(OR(Calc_오픈정렬!$F127="",Calc_오픈정렬!P127=""),"",Calc_오픈정렬!P127/Calc_오픈정렬!$F127*100)</f>
        <v>99.686451993297879</v>
      </c>
      <c r="Q127">
        <f>IF(OR(Calc_오픈정렬!$F127="",Calc_오픈정렬!Q127=""),"",Calc_오픈정렬!Q127/Calc_오픈정렬!$F127*100)</f>
        <v>107.61616745607085</v>
      </c>
      <c r="R127">
        <f>IF(OR(Calc_오픈정렬!$F127="",Calc_오픈정렬!R127=""),"",Calc_오픈정렬!R127/Calc_오픈정렬!$F127*100)</f>
        <v>122.55912459202889</v>
      </c>
      <c r="S127">
        <f>IF(OR(Calc_오픈정렬!$F127="",Calc_오픈정렬!S127=""),"",Calc_오픈정렬!S127/Calc_오픈정렬!$F127*100)</f>
        <v>118.75001817782076</v>
      </c>
      <c r="T127">
        <f>IF(OR(Calc_오픈정렬!$F127="",Calc_오픈정렬!T127=""),"",Calc_오픈정렬!T127/Calc_오픈정렬!$F127*100)</f>
        <v>133.93082343888219</v>
      </c>
      <c r="U127">
        <f>IF(OR(Calc_오픈정렬!$F127="",Calc_오픈정렬!U127=""),"",Calc_오픈정렬!U127/Calc_오픈정렬!$F127*100)</f>
        <v>132.88182627107807</v>
      </c>
      <c r="V127">
        <f>IF(OR(Calc_오픈정렬!$F127="",Calc_오픈정렬!V127=""),"",Calc_오픈정렬!V127/Calc_오픈정렬!$F127*100)</f>
        <v>142.55640916012874</v>
      </c>
      <c r="W127">
        <f>IF(OR(Calc_오픈정렬!$F127="",Calc_오픈정렬!W127=""),"",Calc_오픈정렬!W127/Calc_오픈정렬!$F127*100)</f>
        <v>140.52484209374867</v>
      </c>
      <c r="X127">
        <f>IF(OR(Calc_오픈정렬!$F127="",Calc_오픈정렬!X127=""),"",Calc_오픈정렬!X127/Calc_오픈정렬!$F127*100)</f>
        <v>137.29493819531734</v>
      </c>
      <c r="Y127">
        <f>IF(OR(Calc_오픈정렬!$F127="",Calc_오픈정렬!Y127=""),"",Calc_오픈정렬!Y127/Calc_오픈정렬!$F127*100)</f>
        <v>133.35566419200799</v>
      </c>
      <c r="Z127">
        <f>IF(OR(Calc_오픈정렬!$F127="",Calc_오픈정렬!Z127=""),"",Calc_오픈정렬!Z127/Calc_오픈정렬!$F127*100)</f>
        <v>164.3910357211783</v>
      </c>
      <c r="AA127">
        <f>IF(OR(Calc_오픈정렬!$F127="",Calc_오픈정렬!AA127=""),"",Calc_오픈정렬!AA127/Calc_오픈정렬!$F127*100)</f>
        <v>212.56272859549213</v>
      </c>
      <c r="AB127" t="str">
        <f>IF(OR(Calc_오픈정렬!$F127="",Calc_오픈정렬!AB127=""),"",Calc_오픈정렬!AB127/Calc_오픈정렬!$F127*100)</f>
        <v/>
      </c>
      <c r="AC127" t="str">
        <f>IF(OR(Calc_오픈정렬!$F127="",Calc_오픈정렬!AC127=""),"",Calc_오픈정렬!AC127/Calc_오픈정렬!$F127*100)</f>
        <v/>
      </c>
      <c r="AD127" t="str">
        <f>IF(OR(Calc_오픈정렬!$F127="",Calc_오픈정렬!AD127=""),"",Calc_오픈정렬!AD127/Calc_오픈정렬!$F127*100)</f>
        <v/>
      </c>
      <c r="AE127" t="str">
        <f>IF(OR(Calc_오픈정렬!$F127="",Calc_오픈정렬!AE127=""),"",Calc_오픈정렬!AE127/Calc_오픈정렬!$F127*100)</f>
        <v/>
      </c>
      <c r="AF127" t="str">
        <f>IF(OR(Calc_오픈정렬!$F127="",Calc_오픈정렬!AF127=""),"",Calc_오픈정렬!AF127/Calc_오픈정렬!$F127*100)</f>
        <v/>
      </c>
      <c r="AG127" t="str">
        <f>IF(OR(Calc_오픈정렬!$F127="",Calc_오픈정렬!AG127=""),"",Calc_오픈정렬!AG127/Calc_오픈정렬!$F127*100)</f>
        <v/>
      </c>
      <c r="AH127" t="str">
        <f>IF(OR(Calc_오픈정렬!$F127="",Calc_오픈정렬!AH127=""),"",Calc_오픈정렬!AH127/Calc_오픈정렬!$F127*100)</f>
        <v/>
      </c>
      <c r="AI127" t="str">
        <f>IF(OR(Calc_오픈정렬!$F127="",Calc_오픈정렬!AI127=""),"",Calc_오픈정렬!AI127/Calc_오픈정렬!$F127*100)</f>
        <v/>
      </c>
      <c r="AJ127" t="str">
        <f>IF(OR(Calc_오픈정렬!$F127="",Calc_오픈정렬!AJ127=""),"",Calc_오픈정렬!AJ127/Calc_오픈정렬!$F127*100)</f>
        <v/>
      </c>
      <c r="AK127" t="str">
        <f>IF(OR(Calc_오픈정렬!$F127="",Calc_오픈정렬!AK127=""),"",Calc_오픈정렬!AK127/Calc_오픈정렬!$F127*100)</f>
        <v/>
      </c>
      <c r="AL127" t="str">
        <f>IF(OR(Calc_오픈정렬!$F127="",Calc_오픈정렬!AL127=""),"",Calc_오픈정렬!AL127/Calc_오픈정렬!$F127*100)</f>
        <v/>
      </c>
      <c r="AM127" t="str">
        <f>IF(OR(Calc_오픈정렬!$F127="",Calc_오픈정렬!AM127=""),"",Calc_오픈정렬!AM127/Calc_오픈정렬!$F127*100)</f>
        <v/>
      </c>
      <c r="AN127" t="str">
        <f>IF(OR(Calc_오픈정렬!$F127="",Calc_오픈정렬!AN127=""),"",Calc_오픈정렬!AN127/Calc_오픈정렬!$F127*100)</f>
        <v/>
      </c>
      <c r="AO127" t="str">
        <f>IF(OR(Calc_오픈정렬!$F127="",Calc_오픈정렬!AO127=""),"",Calc_오픈정렬!AO127/Calc_오픈정렬!$F127*100)</f>
        <v/>
      </c>
      <c r="AP127" t="str">
        <f>IF(OR(Calc_오픈정렬!$F127="",Calc_오픈정렬!AP127=""),"",Calc_오픈정렬!AP127/Calc_오픈정렬!$F127*100)</f>
        <v/>
      </c>
      <c r="AQ127" t="str">
        <f>IF(OR(Calc_오픈정렬!$F127="",Calc_오픈정렬!AQ127=""),"",Calc_오픈정렬!AQ127/Calc_오픈정렬!$F127*100)</f>
        <v/>
      </c>
      <c r="AR127" t="str">
        <f>IF(OR(Calc_오픈정렬!$F127="",Calc_오픈정렬!AR127=""),"",Calc_오픈정렬!AR127/Calc_오픈정렬!$F127*100)</f>
        <v/>
      </c>
      <c r="AS127" t="str">
        <f>IF(OR(Calc_오픈정렬!$F127="",Calc_오픈정렬!AS127=""),"",Calc_오픈정렬!AS127/Calc_오픈정렬!$F127*100)</f>
        <v/>
      </c>
      <c r="AT127" t="str">
        <f>IF(OR(Calc_오픈정렬!$F127="",Calc_오픈정렬!AT127=""),"",Calc_오픈정렬!AT127/Calc_오픈정렬!$F127*100)</f>
        <v/>
      </c>
      <c r="AU127" t="str">
        <f>IF(OR(Calc_오픈정렬!$F127="",Calc_오픈정렬!AU127=""),"",Calc_오픈정렬!AU127/Calc_오픈정렬!$F127*100)</f>
        <v/>
      </c>
      <c r="AV127" t="str">
        <f>IF(OR(Calc_오픈정렬!$F127="",Calc_오픈정렬!AV127=""),"",Calc_오픈정렬!AV127/Calc_오픈정렬!$F127*100)</f>
        <v/>
      </c>
      <c r="AW127" t="str">
        <f>IF(OR(Calc_오픈정렬!$F127="",Calc_오픈정렬!AW127=""),"",Calc_오픈정렬!AW127/Calc_오픈정렬!$F127*100)</f>
        <v/>
      </c>
      <c r="AX127" t="str">
        <f>IF(OR(Calc_오픈정렬!$F127="",Calc_오픈정렬!AX127=""),"",Calc_오픈정렬!AX127/Calc_오픈정렬!$F127*100)</f>
        <v/>
      </c>
      <c r="AY127" t="str">
        <f>IF(OR(Calc_오픈정렬!$F127="",Calc_오픈정렬!AY127=""),"",Calc_오픈정렬!AY127/Calc_오픈정렬!$F127*100)</f>
        <v/>
      </c>
      <c r="AZ127" t="str">
        <f>IF(OR(Calc_오픈정렬!$F127="",Calc_오픈정렬!AZ127=""),"",Calc_오픈정렬!AZ127/Calc_오픈정렬!$F127*100)</f>
        <v/>
      </c>
      <c r="BA127" t="str">
        <f>IF(OR(Calc_오픈정렬!$F127="",Calc_오픈정렬!BA127=""),"",Calc_오픈정렬!BA127/Calc_오픈정렬!$F127*100)</f>
        <v/>
      </c>
      <c r="BB127" t="str">
        <f>IF(OR(Calc_오픈정렬!$F127="",Calc_오픈정렬!BB127=""),"",Calc_오픈정렬!BB127/Calc_오픈정렬!$F127*100)</f>
        <v/>
      </c>
      <c r="BC127" t="str">
        <f>IF(OR(Calc_오픈정렬!$F127="",Calc_오픈정렬!BC127=""),"",Calc_오픈정렬!BC127/Calc_오픈정렬!$F127*100)</f>
        <v/>
      </c>
      <c r="BD127" t="str">
        <f>IF(OR(Calc_오픈정렬!$F127="",Calc_오픈정렬!BD127=""),"",Calc_오픈정렬!BD127/Calc_오픈정렬!$F127*100)</f>
        <v/>
      </c>
      <c r="BE127" t="str">
        <f>IF(OR(Calc_오픈정렬!$F127="",Calc_오픈정렬!BE127=""),"",Calc_오픈정렬!BE127/Calc_오픈정렬!$F127*100)</f>
        <v/>
      </c>
      <c r="BF127" t="str">
        <f>IF(OR(Calc_오픈정렬!$F127="",Calc_오픈정렬!BF127=""),"",Calc_오픈정렬!BF127/Calc_오픈정렬!$F127*100)</f>
        <v/>
      </c>
      <c r="BG127" t="str">
        <f>IF(OR(Calc_오픈정렬!$F127="",Calc_오픈정렬!BG127=""),"",Calc_오픈정렬!BG127/Calc_오픈정렬!$F127*100)</f>
        <v/>
      </c>
      <c r="BH127" t="str">
        <f>IF(OR(Calc_오픈정렬!$F127="",Calc_오픈정렬!BH127=""),"",Calc_오픈정렬!BH127/Calc_오픈정렬!$F127*100)</f>
        <v/>
      </c>
      <c r="BI127" t="str">
        <f>IF(OR(Calc_오픈정렬!$F127="",Calc_오픈정렬!BI127=""),"",Calc_오픈정렬!BI127/Calc_오픈정렬!$F127*100)</f>
        <v/>
      </c>
      <c r="BJ127" t="str">
        <f>IF(OR(Calc_오픈정렬!$F127="",Calc_오픈정렬!BJ127=""),"",Calc_오픈정렬!BJ127/Calc_오픈정렬!$F127*100)</f>
        <v/>
      </c>
      <c r="BK127" t="str">
        <f>IF(OR(Calc_오픈정렬!$F127="",Calc_오픈정렬!BK127=""),"",Calc_오픈정렬!BK127/Calc_오픈정렬!$F127*100)</f>
        <v/>
      </c>
      <c r="BL127" t="str">
        <f>IF(OR(Calc_오픈정렬!$F127="",Calc_오픈정렬!BL127=""),"",Calc_오픈정렬!BL127/Calc_오픈정렬!$F127*100)</f>
        <v/>
      </c>
      <c r="BM127" t="str">
        <f>IF(OR(Calc_오픈정렬!$F127="",Calc_오픈정렬!BM127=""),"",Calc_오픈정렬!BM127/Calc_오픈정렬!$F127*100)</f>
        <v/>
      </c>
      <c r="BN127" t="str">
        <f>IF(OR(Calc_오픈정렬!$F127="",Calc_오픈정렬!BN127=""),"",Calc_오픈정렬!BN127/Calc_오픈정렬!$F127*100)</f>
        <v/>
      </c>
    </row>
    <row r="128" spans="1:66" x14ac:dyDescent="0.4">
      <c r="A128" t="str">
        <f>Calc_오픈정렬!A128</f>
        <v>(1119) #카이스트문지점</v>
      </c>
      <c r="B128" t="str">
        <f>Calc_오픈정렬!B128</f>
        <v>150-0</v>
      </c>
      <c r="C128">
        <f>Calc_오픈정렬!C128</f>
        <v>0</v>
      </c>
      <c r="D128" t="str">
        <f>Calc_오픈정렬!D128</f>
        <v>0</v>
      </c>
      <c r="E128" s="1">
        <f>Calc_오픈정렬!E128</f>
        <v>45566</v>
      </c>
      <c r="F128">
        <f>Calc_오픈정렬!F128</f>
        <v>4330234.3476717751</v>
      </c>
      <c r="G128">
        <f>IF(OR(Calc_오픈정렬!$F128="",Calc_오픈정렬!G128=""),"",Calc_오픈정렬!G128/Calc_오픈정렬!$F128*100)</f>
        <v>69.575651235273384</v>
      </c>
      <c r="H128">
        <f>IF(OR(Calc_오픈정렬!$F128="",Calc_오픈정렬!H128=""),"",Calc_오픈정렬!H128/Calc_오픈정렬!$F128*100)</f>
        <v>76.765916104637157</v>
      </c>
      <c r="I128">
        <f>IF(OR(Calc_오픈정렬!$F128="",Calc_오픈정렬!I128=""),"",Calc_오픈정렬!I128/Calc_오픈정렬!$F128*100)</f>
        <v>83.745465977530515</v>
      </c>
      <c r="J128">
        <f>IF(OR(Calc_오픈정렬!$F128="",Calc_오픈정렬!J128=""),"",Calc_오픈정렬!J128/Calc_오픈정렬!$F128*100)</f>
        <v>91.685933459282793</v>
      </c>
      <c r="K128">
        <f>IF(OR(Calc_오픈정렬!$F128="",Calc_오픈정렬!K128=""),"",Calc_오픈정렬!K128/Calc_오픈정렬!$F128*100)</f>
        <v>85.394275280437412</v>
      </c>
      <c r="L128">
        <f>IF(OR(Calc_오픈정렬!$F128="",Calc_오픈정렬!L128=""),"",Calc_오픈정렬!L128/Calc_오픈정렬!$F128*100)</f>
        <v>103.03325368471528</v>
      </c>
      <c r="M128">
        <f>IF(OR(Calc_오픈정렬!$F128="",Calc_오픈정렬!M128=""),"",Calc_오픈정렬!M128/Calc_오픈정렬!$F128*100)</f>
        <v>94.013829435461034</v>
      </c>
      <c r="N128">
        <f>IF(OR(Calc_오픈정렬!$F128="",Calc_오픈정렬!N128=""),"",Calc_오픈정렬!N128/Calc_오픈정렬!$F128*100)</f>
        <v>111.13289682123617</v>
      </c>
      <c r="O128">
        <f>IF(OR(Calc_오픈정렬!$F128="",Calc_오픈정렬!O128=""),"",Calc_오픈정렬!O128/Calc_오픈정렬!$F128*100)</f>
        <v>114.7398113188673</v>
      </c>
      <c r="P128">
        <f>IF(OR(Calc_오픈정렬!$F128="",Calc_오픈정렬!P128=""),"",Calc_오픈정렬!P128/Calc_오픈정렬!$F128*100)</f>
        <v>104.31891635428924</v>
      </c>
      <c r="Q128">
        <f>IF(OR(Calc_오픈정렬!$F128="",Calc_오픈정렬!Q128=""),"",Calc_오픈정렬!Q128/Calc_오픈정렬!$F128*100)</f>
        <v>108.94435589408853</v>
      </c>
      <c r="R128">
        <f>IF(OR(Calc_오픈정렬!$F128="",Calc_오픈정렬!R128=""),"",Calc_오픈정렬!R128/Calc_오픈정렬!$F128*100)</f>
        <v>100.72295459099838</v>
      </c>
      <c r="S128">
        <f>IF(OR(Calc_오픈정렬!$F128="",Calc_오픈정렬!S128=""),"",Calc_오픈정렬!S128/Calc_오픈정렬!$F128*100)</f>
        <v>110.54106237041449</v>
      </c>
      <c r="T128">
        <f>IF(OR(Calc_오픈정렬!$F128="",Calc_오픈정렬!T128=""),"",Calc_오픈정렬!T128/Calc_오픈정렬!$F128*100)</f>
        <v>95.672532661295079</v>
      </c>
      <c r="U128">
        <f>IF(OR(Calc_오픈정렬!$F128="",Calc_오픈정렬!U128=""),"",Calc_오픈정렬!U128/Calc_오픈정렬!$F128*100)</f>
        <v>111.03314117605339</v>
      </c>
      <c r="V128">
        <f>IF(OR(Calc_오픈정렬!$F128="",Calc_오픈정렬!V128=""),"",Calc_오픈정렬!V128/Calc_오픈정렬!$F128*100)</f>
        <v>129.90806667264945</v>
      </c>
      <c r="W128">
        <f>IF(OR(Calc_오픈정렬!$F128="",Calc_오픈정렬!W128=""),"",Calc_오픈정렬!W128/Calc_오픈정렬!$F128*100)</f>
        <v>107.67623651420459</v>
      </c>
      <c r="X128">
        <f>IF(OR(Calc_오픈정렬!$F128="",Calc_오픈정렬!X128=""),"",Calc_오픈정렬!X128/Calc_오픈정렬!$F128*100)</f>
        <v>100.10532866436949</v>
      </c>
      <c r="Y128">
        <f>IF(OR(Calc_오픈정렬!$F128="",Calc_오픈정렬!Y128=""),"",Calc_오픈정렬!Y128/Calc_오픈정렬!$F128*100)</f>
        <v>120.47247175216333</v>
      </c>
      <c r="Z128">
        <f>IF(OR(Calc_오픈정렬!$F128="",Calc_오픈정렬!Z128=""),"",Calc_오픈정렬!Z128/Calc_오픈정렬!$F128*100)</f>
        <v>136.97080931930583</v>
      </c>
      <c r="AA128" t="str">
        <f>IF(OR(Calc_오픈정렬!$F128="",Calc_오픈정렬!AA128=""),"",Calc_오픈정렬!AA128/Calc_오픈정렬!$F128*100)</f>
        <v/>
      </c>
      <c r="AB128" t="str">
        <f>IF(OR(Calc_오픈정렬!$F128="",Calc_오픈정렬!AB128=""),"",Calc_오픈정렬!AB128/Calc_오픈정렬!$F128*100)</f>
        <v/>
      </c>
      <c r="AC128" t="str">
        <f>IF(OR(Calc_오픈정렬!$F128="",Calc_오픈정렬!AC128=""),"",Calc_오픈정렬!AC128/Calc_오픈정렬!$F128*100)</f>
        <v/>
      </c>
      <c r="AD128" t="str">
        <f>IF(OR(Calc_오픈정렬!$F128="",Calc_오픈정렬!AD128=""),"",Calc_오픈정렬!AD128/Calc_오픈정렬!$F128*100)</f>
        <v/>
      </c>
      <c r="AE128" t="str">
        <f>IF(OR(Calc_오픈정렬!$F128="",Calc_오픈정렬!AE128=""),"",Calc_오픈정렬!AE128/Calc_오픈정렬!$F128*100)</f>
        <v/>
      </c>
      <c r="AF128" t="str">
        <f>IF(OR(Calc_오픈정렬!$F128="",Calc_오픈정렬!AF128=""),"",Calc_오픈정렬!AF128/Calc_오픈정렬!$F128*100)</f>
        <v/>
      </c>
      <c r="AG128" t="str">
        <f>IF(OR(Calc_오픈정렬!$F128="",Calc_오픈정렬!AG128=""),"",Calc_오픈정렬!AG128/Calc_오픈정렬!$F128*100)</f>
        <v/>
      </c>
      <c r="AH128" t="str">
        <f>IF(OR(Calc_오픈정렬!$F128="",Calc_오픈정렬!AH128=""),"",Calc_오픈정렬!AH128/Calc_오픈정렬!$F128*100)</f>
        <v/>
      </c>
      <c r="AI128" t="str">
        <f>IF(OR(Calc_오픈정렬!$F128="",Calc_오픈정렬!AI128=""),"",Calc_오픈정렬!AI128/Calc_오픈정렬!$F128*100)</f>
        <v/>
      </c>
      <c r="AJ128" t="str">
        <f>IF(OR(Calc_오픈정렬!$F128="",Calc_오픈정렬!AJ128=""),"",Calc_오픈정렬!AJ128/Calc_오픈정렬!$F128*100)</f>
        <v/>
      </c>
      <c r="AK128" t="str">
        <f>IF(OR(Calc_오픈정렬!$F128="",Calc_오픈정렬!AK128=""),"",Calc_오픈정렬!AK128/Calc_오픈정렬!$F128*100)</f>
        <v/>
      </c>
      <c r="AL128" t="str">
        <f>IF(OR(Calc_오픈정렬!$F128="",Calc_오픈정렬!AL128=""),"",Calc_오픈정렬!AL128/Calc_오픈정렬!$F128*100)</f>
        <v/>
      </c>
      <c r="AM128" t="str">
        <f>IF(OR(Calc_오픈정렬!$F128="",Calc_오픈정렬!AM128=""),"",Calc_오픈정렬!AM128/Calc_오픈정렬!$F128*100)</f>
        <v/>
      </c>
      <c r="AN128" t="str">
        <f>IF(OR(Calc_오픈정렬!$F128="",Calc_오픈정렬!AN128=""),"",Calc_오픈정렬!AN128/Calc_오픈정렬!$F128*100)</f>
        <v/>
      </c>
      <c r="AO128" t="str">
        <f>IF(OR(Calc_오픈정렬!$F128="",Calc_오픈정렬!AO128=""),"",Calc_오픈정렬!AO128/Calc_오픈정렬!$F128*100)</f>
        <v/>
      </c>
      <c r="AP128" t="str">
        <f>IF(OR(Calc_오픈정렬!$F128="",Calc_오픈정렬!AP128=""),"",Calc_오픈정렬!AP128/Calc_오픈정렬!$F128*100)</f>
        <v/>
      </c>
      <c r="AQ128" t="str">
        <f>IF(OR(Calc_오픈정렬!$F128="",Calc_오픈정렬!AQ128=""),"",Calc_오픈정렬!AQ128/Calc_오픈정렬!$F128*100)</f>
        <v/>
      </c>
      <c r="AR128" t="str">
        <f>IF(OR(Calc_오픈정렬!$F128="",Calc_오픈정렬!AR128=""),"",Calc_오픈정렬!AR128/Calc_오픈정렬!$F128*100)</f>
        <v/>
      </c>
      <c r="AS128" t="str">
        <f>IF(OR(Calc_오픈정렬!$F128="",Calc_오픈정렬!AS128=""),"",Calc_오픈정렬!AS128/Calc_오픈정렬!$F128*100)</f>
        <v/>
      </c>
      <c r="AT128" t="str">
        <f>IF(OR(Calc_오픈정렬!$F128="",Calc_오픈정렬!AT128=""),"",Calc_오픈정렬!AT128/Calc_오픈정렬!$F128*100)</f>
        <v/>
      </c>
      <c r="AU128" t="str">
        <f>IF(OR(Calc_오픈정렬!$F128="",Calc_오픈정렬!AU128=""),"",Calc_오픈정렬!AU128/Calc_오픈정렬!$F128*100)</f>
        <v/>
      </c>
      <c r="AV128" t="str">
        <f>IF(OR(Calc_오픈정렬!$F128="",Calc_오픈정렬!AV128=""),"",Calc_오픈정렬!AV128/Calc_오픈정렬!$F128*100)</f>
        <v/>
      </c>
      <c r="AW128" t="str">
        <f>IF(OR(Calc_오픈정렬!$F128="",Calc_오픈정렬!AW128=""),"",Calc_오픈정렬!AW128/Calc_오픈정렬!$F128*100)</f>
        <v/>
      </c>
      <c r="AX128" t="str">
        <f>IF(OR(Calc_오픈정렬!$F128="",Calc_오픈정렬!AX128=""),"",Calc_오픈정렬!AX128/Calc_오픈정렬!$F128*100)</f>
        <v/>
      </c>
      <c r="AY128" t="str">
        <f>IF(OR(Calc_오픈정렬!$F128="",Calc_오픈정렬!AY128=""),"",Calc_오픈정렬!AY128/Calc_오픈정렬!$F128*100)</f>
        <v/>
      </c>
      <c r="AZ128" t="str">
        <f>IF(OR(Calc_오픈정렬!$F128="",Calc_오픈정렬!AZ128=""),"",Calc_오픈정렬!AZ128/Calc_오픈정렬!$F128*100)</f>
        <v/>
      </c>
      <c r="BA128" t="str">
        <f>IF(OR(Calc_오픈정렬!$F128="",Calc_오픈정렬!BA128=""),"",Calc_오픈정렬!BA128/Calc_오픈정렬!$F128*100)</f>
        <v/>
      </c>
      <c r="BB128" t="str">
        <f>IF(OR(Calc_오픈정렬!$F128="",Calc_오픈정렬!BB128=""),"",Calc_오픈정렬!BB128/Calc_오픈정렬!$F128*100)</f>
        <v/>
      </c>
      <c r="BC128" t="str">
        <f>IF(OR(Calc_오픈정렬!$F128="",Calc_오픈정렬!BC128=""),"",Calc_오픈정렬!BC128/Calc_오픈정렬!$F128*100)</f>
        <v/>
      </c>
      <c r="BD128" t="str">
        <f>IF(OR(Calc_오픈정렬!$F128="",Calc_오픈정렬!BD128=""),"",Calc_오픈정렬!BD128/Calc_오픈정렬!$F128*100)</f>
        <v/>
      </c>
      <c r="BE128" t="str">
        <f>IF(OR(Calc_오픈정렬!$F128="",Calc_오픈정렬!BE128=""),"",Calc_오픈정렬!BE128/Calc_오픈정렬!$F128*100)</f>
        <v/>
      </c>
      <c r="BF128" t="str">
        <f>IF(OR(Calc_오픈정렬!$F128="",Calc_오픈정렬!BF128=""),"",Calc_오픈정렬!BF128/Calc_오픈정렬!$F128*100)</f>
        <v/>
      </c>
      <c r="BG128" t="str">
        <f>IF(OR(Calc_오픈정렬!$F128="",Calc_오픈정렬!BG128=""),"",Calc_오픈정렬!BG128/Calc_오픈정렬!$F128*100)</f>
        <v/>
      </c>
      <c r="BH128" t="str">
        <f>IF(OR(Calc_오픈정렬!$F128="",Calc_오픈정렬!BH128=""),"",Calc_오픈정렬!BH128/Calc_오픈정렬!$F128*100)</f>
        <v/>
      </c>
      <c r="BI128" t="str">
        <f>IF(OR(Calc_오픈정렬!$F128="",Calc_오픈정렬!BI128=""),"",Calc_오픈정렬!BI128/Calc_오픈정렬!$F128*100)</f>
        <v/>
      </c>
      <c r="BJ128" t="str">
        <f>IF(OR(Calc_오픈정렬!$F128="",Calc_오픈정렬!BJ128=""),"",Calc_오픈정렬!BJ128/Calc_오픈정렬!$F128*100)</f>
        <v/>
      </c>
      <c r="BK128" t="str">
        <f>IF(OR(Calc_오픈정렬!$F128="",Calc_오픈정렬!BK128=""),"",Calc_오픈정렬!BK128/Calc_오픈정렬!$F128*100)</f>
        <v/>
      </c>
      <c r="BL128" t="str">
        <f>IF(OR(Calc_오픈정렬!$F128="",Calc_오픈정렬!BL128=""),"",Calc_오픈정렬!BL128/Calc_오픈정렬!$F128*100)</f>
        <v/>
      </c>
      <c r="BM128" t="str">
        <f>IF(OR(Calc_오픈정렬!$F128="",Calc_오픈정렬!BM128=""),"",Calc_오픈정렬!BM128/Calc_오픈정렬!$F128*100)</f>
        <v/>
      </c>
      <c r="BN128" t="str">
        <f>IF(OR(Calc_오픈정렬!$F128="",Calc_오픈정렬!BN128=""),"",Calc_오픈정렬!BN128/Calc_오픈정렬!$F128*100)</f>
        <v/>
      </c>
    </row>
    <row r="129" spans="1:66" x14ac:dyDescent="0.4">
      <c r="A129" t="str">
        <f>Calc_오픈정렬!A129</f>
        <v>(1120) #대전용문롯데점</v>
      </c>
      <c r="B129" t="str">
        <f>Calc_오픈정렬!B129</f>
        <v>150-0</v>
      </c>
      <c r="C129">
        <f>Calc_오픈정렬!C129</f>
        <v>0</v>
      </c>
      <c r="D129" t="str">
        <f>Calc_오픈정렬!D129</f>
        <v>0</v>
      </c>
      <c r="E129" s="1">
        <f>Calc_오픈정렬!E129</f>
        <v>45566</v>
      </c>
      <c r="F129">
        <f>Calc_오픈정렬!F129</f>
        <v>5001770.9461452542</v>
      </c>
      <c r="G129">
        <f>IF(OR(Calc_오픈정렬!$F129="",Calc_오픈정렬!G129=""),"",Calc_오픈정렬!G129/Calc_오픈정렬!$F129*100)</f>
        <v>66.095270199967672</v>
      </c>
      <c r="H129">
        <f>IF(OR(Calc_오픈정렬!$F129="",Calc_오픈정렬!H129=""),"",Calc_오픈정렬!H129/Calc_오픈정렬!$F129*100)</f>
        <v>77.534971016634174</v>
      </c>
      <c r="I129">
        <f>IF(OR(Calc_오픈정렬!$F129="",Calc_오픈정렬!I129=""),"",Calc_오픈정렬!I129/Calc_오픈정렬!$F129*100)</f>
        <v>89.25199941604987</v>
      </c>
      <c r="J129">
        <f>IF(OR(Calc_오픈정렬!$F129="",Calc_오픈정렬!J129=""),"",Calc_오픈정렬!J129/Calc_오픈정렬!$F129*100)</f>
        <v>111.62633854733957</v>
      </c>
      <c r="K129">
        <f>IF(OR(Calc_오픈정렬!$F129="",Calc_오픈정렬!K129=""),"",Calc_오픈정렬!K129/Calc_오픈정렬!$F129*100)</f>
        <v>87.945071186099057</v>
      </c>
      <c r="L129">
        <f>IF(OR(Calc_오픈정렬!$F129="",Calc_오픈정렬!L129=""),"",Calc_오픈정렬!L129/Calc_오픈정렬!$F129*100)</f>
        <v>95.164067175386577</v>
      </c>
      <c r="M129">
        <f>IF(OR(Calc_오픈정렬!$F129="",Calc_오픈정렬!M129=""),"",Calc_오픈정렬!M129/Calc_오픈정렬!$F129*100)</f>
        <v>96.436394654562392</v>
      </c>
      <c r="N129">
        <f>IF(OR(Calc_오픈정렬!$F129="",Calc_오픈정렬!N129=""),"",Calc_오픈정렬!N129/Calc_오픈정렬!$F129*100)</f>
        <v>107.18672674484509</v>
      </c>
      <c r="O129">
        <f>IF(OR(Calc_오픈정렬!$F129="",Calc_오픈정렬!O129=""),"",Calc_오픈정렬!O129/Calc_오픈정렬!$F129*100)</f>
        <v>101.64140169176726</v>
      </c>
      <c r="P129">
        <f>IF(OR(Calc_오픈정렬!$F129="",Calc_오픈정렬!P129=""),"",Calc_오픈정렬!P129/Calc_오픈정렬!$F129*100)</f>
        <v>86.914739565485462</v>
      </c>
      <c r="Q129">
        <f>IF(OR(Calc_오픈정렬!$F129="",Calc_오픈정렬!Q129=""),"",Calc_오픈정렬!Q129/Calc_오픈정렬!$F129*100)</f>
        <v>93.219172539959189</v>
      </c>
      <c r="R129">
        <f>IF(OR(Calc_오픈정렬!$F129="",Calc_오픈정렬!R129=""),"",Calc_오픈정렬!R129/Calc_오픈정렬!$F129*100)</f>
        <v>76.104760359491593</v>
      </c>
      <c r="S129">
        <f>IF(OR(Calc_오픈정렬!$F129="",Calc_오픈정렬!S129=""),"",Calc_오픈정렬!S129/Calc_오픈정렬!$F129*100)</f>
        <v>99.080640687099972</v>
      </c>
      <c r="T129">
        <f>IF(OR(Calc_오픈정렬!$F129="",Calc_오픈정렬!T129=""),"",Calc_오픈정렬!T129/Calc_오픈정렬!$F129*100)</f>
        <v>90.254008443021931</v>
      </c>
      <c r="U129">
        <f>IF(OR(Calc_오픈정렬!$F129="",Calc_오픈정렬!U129=""),"",Calc_오픈정렬!U129/Calc_오픈정렬!$F129*100)</f>
        <v>90.109127563542344</v>
      </c>
      <c r="V129">
        <f>IF(OR(Calc_오픈정렬!$F129="",Calc_오픈정렬!V129=""),"",Calc_오픈정렬!V129/Calc_오픈정렬!$F129*100)</f>
        <v>102.79021520536236</v>
      </c>
      <c r="W129">
        <f>IF(OR(Calc_오픈정렬!$F129="",Calc_오픈정렬!W129=""),"",Calc_오픈정렬!W129/Calc_오픈정렬!$F129*100)</f>
        <v>106.03239164758904</v>
      </c>
      <c r="X129">
        <f>IF(OR(Calc_오픈정렬!$F129="",Calc_오픈정렬!X129=""),"",Calc_오픈정렬!X129/Calc_오픈정렬!$F129*100)</f>
        <v>99.640744753732591</v>
      </c>
      <c r="Y129">
        <f>IF(OR(Calc_오픈정렬!$F129="",Calc_오픈정렬!Y129=""),"",Calc_오픈정렬!Y129/Calc_오픈정렬!$F129*100)</f>
        <v>92.029454248742042</v>
      </c>
      <c r="Z129">
        <f>IF(OR(Calc_오픈정렬!$F129="",Calc_오픈정렬!Z129=""),"",Calc_오픈정렬!Z129/Calc_오픈정렬!$F129*100)</f>
        <v>91.170489416968266</v>
      </c>
      <c r="AA129" t="str">
        <f>IF(OR(Calc_오픈정렬!$F129="",Calc_오픈정렬!AA129=""),"",Calc_오픈정렬!AA129/Calc_오픈정렬!$F129*100)</f>
        <v/>
      </c>
      <c r="AB129" t="str">
        <f>IF(OR(Calc_오픈정렬!$F129="",Calc_오픈정렬!AB129=""),"",Calc_오픈정렬!AB129/Calc_오픈정렬!$F129*100)</f>
        <v/>
      </c>
      <c r="AC129" t="str">
        <f>IF(OR(Calc_오픈정렬!$F129="",Calc_오픈정렬!AC129=""),"",Calc_오픈정렬!AC129/Calc_오픈정렬!$F129*100)</f>
        <v/>
      </c>
      <c r="AD129" t="str">
        <f>IF(OR(Calc_오픈정렬!$F129="",Calc_오픈정렬!AD129=""),"",Calc_오픈정렬!AD129/Calc_오픈정렬!$F129*100)</f>
        <v/>
      </c>
      <c r="AE129" t="str">
        <f>IF(OR(Calc_오픈정렬!$F129="",Calc_오픈정렬!AE129=""),"",Calc_오픈정렬!AE129/Calc_오픈정렬!$F129*100)</f>
        <v/>
      </c>
      <c r="AF129" t="str">
        <f>IF(OR(Calc_오픈정렬!$F129="",Calc_오픈정렬!AF129=""),"",Calc_오픈정렬!AF129/Calc_오픈정렬!$F129*100)</f>
        <v/>
      </c>
      <c r="AG129" t="str">
        <f>IF(OR(Calc_오픈정렬!$F129="",Calc_오픈정렬!AG129=""),"",Calc_오픈정렬!AG129/Calc_오픈정렬!$F129*100)</f>
        <v/>
      </c>
      <c r="AH129" t="str">
        <f>IF(OR(Calc_오픈정렬!$F129="",Calc_오픈정렬!AH129=""),"",Calc_오픈정렬!AH129/Calc_오픈정렬!$F129*100)</f>
        <v/>
      </c>
      <c r="AI129" t="str">
        <f>IF(OR(Calc_오픈정렬!$F129="",Calc_오픈정렬!AI129=""),"",Calc_오픈정렬!AI129/Calc_오픈정렬!$F129*100)</f>
        <v/>
      </c>
      <c r="AJ129" t="str">
        <f>IF(OR(Calc_오픈정렬!$F129="",Calc_오픈정렬!AJ129=""),"",Calc_오픈정렬!AJ129/Calc_오픈정렬!$F129*100)</f>
        <v/>
      </c>
      <c r="AK129" t="str">
        <f>IF(OR(Calc_오픈정렬!$F129="",Calc_오픈정렬!AK129=""),"",Calc_오픈정렬!AK129/Calc_오픈정렬!$F129*100)</f>
        <v/>
      </c>
      <c r="AL129" t="str">
        <f>IF(OR(Calc_오픈정렬!$F129="",Calc_오픈정렬!AL129=""),"",Calc_오픈정렬!AL129/Calc_오픈정렬!$F129*100)</f>
        <v/>
      </c>
      <c r="AM129" t="str">
        <f>IF(OR(Calc_오픈정렬!$F129="",Calc_오픈정렬!AM129=""),"",Calc_오픈정렬!AM129/Calc_오픈정렬!$F129*100)</f>
        <v/>
      </c>
      <c r="AN129" t="str">
        <f>IF(OR(Calc_오픈정렬!$F129="",Calc_오픈정렬!AN129=""),"",Calc_오픈정렬!AN129/Calc_오픈정렬!$F129*100)</f>
        <v/>
      </c>
      <c r="AO129" t="str">
        <f>IF(OR(Calc_오픈정렬!$F129="",Calc_오픈정렬!AO129=""),"",Calc_오픈정렬!AO129/Calc_오픈정렬!$F129*100)</f>
        <v/>
      </c>
      <c r="AP129" t="str">
        <f>IF(OR(Calc_오픈정렬!$F129="",Calc_오픈정렬!AP129=""),"",Calc_오픈정렬!AP129/Calc_오픈정렬!$F129*100)</f>
        <v/>
      </c>
      <c r="AQ129" t="str">
        <f>IF(OR(Calc_오픈정렬!$F129="",Calc_오픈정렬!AQ129=""),"",Calc_오픈정렬!AQ129/Calc_오픈정렬!$F129*100)</f>
        <v/>
      </c>
      <c r="AR129" t="str">
        <f>IF(OR(Calc_오픈정렬!$F129="",Calc_오픈정렬!AR129=""),"",Calc_오픈정렬!AR129/Calc_오픈정렬!$F129*100)</f>
        <v/>
      </c>
      <c r="AS129" t="str">
        <f>IF(OR(Calc_오픈정렬!$F129="",Calc_오픈정렬!AS129=""),"",Calc_오픈정렬!AS129/Calc_오픈정렬!$F129*100)</f>
        <v/>
      </c>
      <c r="AT129" t="str">
        <f>IF(OR(Calc_오픈정렬!$F129="",Calc_오픈정렬!AT129=""),"",Calc_오픈정렬!AT129/Calc_오픈정렬!$F129*100)</f>
        <v/>
      </c>
      <c r="AU129" t="str">
        <f>IF(OR(Calc_오픈정렬!$F129="",Calc_오픈정렬!AU129=""),"",Calc_오픈정렬!AU129/Calc_오픈정렬!$F129*100)</f>
        <v/>
      </c>
      <c r="AV129" t="str">
        <f>IF(OR(Calc_오픈정렬!$F129="",Calc_오픈정렬!AV129=""),"",Calc_오픈정렬!AV129/Calc_오픈정렬!$F129*100)</f>
        <v/>
      </c>
      <c r="AW129" t="str">
        <f>IF(OR(Calc_오픈정렬!$F129="",Calc_오픈정렬!AW129=""),"",Calc_오픈정렬!AW129/Calc_오픈정렬!$F129*100)</f>
        <v/>
      </c>
      <c r="AX129" t="str">
        <f>IF(OR(Calc_오픈정렬!$F129="",Calc_오픈정렬!AX129=""),"",Calc_오픈정렬!AX129/Calc_오픈정렬!$F129*100)</f>
        <v/>
      </c>
      <c r="AY129" t="str">
        <f>IF(OR(Calc_오픈정렬!$F129="",Calc_오픈정렬!AY129=""),"",Calc_오픈정렬!AY129/Calc_오픈정렬!$F129*100)</f>
        <v/>
      </c>
      <c r="AZ129" t="str">
        <f>IF(OR(Calc_오픈정렬!$F129="",Calc_오픈정렬!AZ129=""),"",Calc_오픈정렬!AZ129/Calc_오픈정렬!$F129*100)</f>
        <v/>
      </c>
      <c r="BA129" t="str">
        <f>IF(OR(Calc_오픈정렬!$F129="",Calc_오픈정렬!BA129=""),"",Calc_오픈정렬!BA129/Calc_오픈정렬!$F129*100)</f>
        <v/>
      </c>
      <c r="BB129" t="str">
        <f>IF(OR(Calc_오픈정렬!$F129="",Calc_오픈정렬!BB129=""),"",Calc_오픈정렬!BB129/Calc_오픈정렬!$F129*100)</f>
        <v/>
      </c>
      <c r="BC129" t="str">
        <f>IF(OR(Calc_오픈정렬!$F129="",Calc_오픈정렬!BC129=""),"",Calc_오픈정렬!BC129/Calc_오픈정렬!$F129*100)</f>
        <v/>
      </c>
      <c r="BD129" t="str">
        <f>IF(OR(Calc_오픈정렬!$F129="",Calc_오픈정렬!BD129=""),"",Calc_오픈정렬!BD129/Calc_오픈정렬!$F129*100)</f>
        <v/>
      </c>
      <c r="BE129" t="str">
        <f>IF(OR(Calc_오픈정렬!$F129="",Calc_오픈정렬!BE129=""),"",Calc_오픈정렬!BE129/Calc_오픈정렬!$F129*100)</f>
        <v/>
      </c>
      <c r="BF129" t="str">
        <f>IF(OR(Calc_오픈정렬!$F129="",Calc_오픈정렬!BF129=""),"",Calc_오픈정렬!BF129/Calc_오픈정렬!$F129*100)</f>
        <v/>
      </c>
      <c r="BG129" t="str">
        <f>IF(OR(Calc_오픈정렬!$F129="",Calc_오픈정렬!BG129=""),"",Calc_오픈정렬!BG129/Calc_오픈정렬!$F129*100)</f>
        <v/>
      </c>
      <c r="BH129" t="str">
        <f>IF(OR(Calc_오픈정렬!$F129="",Calc_오픈정렬!BH129=""),"",Calc_오픈정렬!BH129/Calc_오픈정렬!$F129*100)</f>
        <v/>
      </c>
      <c r="BI129" t="str">
        <f>IF(OR(Calc_오픈정렬!$F129="",Calc_오픈정렬!BI129=""),"",Calc_오픈정렬!BI129/Calc_오픈정렬!$F129*100)</f>
        <v/>
      </c>
      <c r="BJ129" t="str">
        <f>IF(OR(Calc_오픈정렬!$F129="",Calc_오픈정렬!BJ129=""),"",Calc_오픈정렬!BJ129/Calc_오픈정렬!$F129*100)</f>
        <v/>
      </c>
      <c r="BK129" t="str">
        <f>IF(OR(Calc_오픈정렬!$F129="",Calc_오픈정렬!BK129=""),"",Calc_오픈정렬!BK129/Calc_오픈정렬!$F129*100)</f>
        <v/>
      </c>
      <c r="BL129" t="str">
        <f>IF(OR(Calc_오픈정렬!$F129="",Calc_오픈정렬!BL129=""),"",Calc_오픈정렬!BL129/Calc_오픈정렬!$F129*100)</f>
        <v/>
      </c>
      <c r="BM129" t="str">
        <f>IF(OR(Calc_오픈정렬!$F129="",Calc_오픈정렬!BM129=""),"",Calc_오픈정렬!BM129/Calc_오픈정렬!$F129*100)</f>
        <v/>
      </c>
      <c r="BN129" t="str">
        <f>IF(OR(Calc_오픈정렬!$F129="",Calc_오픈정렬!BN129=""),"",Calc_오픈정렬!BN129/Calc_오픈정렬!$F129*100)</f>
        <v/>
      </c>
    </row>
    <row r="130" spans="1:66" x14ac:dyDescent="0.4">
      <c r="A130" t="str">
        <f>Calc_오픈정렬!A130</f>
        <v>(1121) #한강성심병원점</v>
      </c>
      <c r="B130" t="str">
        <f>Calc_오픈정렬!B130</f>
        <v>150-1</v>
      </c>
      <c r="C130">
        <f>Calc_오픈정렬!C130</f>
        <v>1</v>
      </c>
      <c r="D130" t="str">
        <f>Calc_오픈정렬!D130</f>
        <v>1</v>
      </c>
      <c r="E130" s="1">
        <f>Calc_오픈정렬!E130</f>
        <v>45597</v>
      </c>
      <c r="F130">
        <f>Calc_오픈정렬!F130</f>
        <v>5194132.5790348882</v>
      </c>
      <c r="G130">
        <f>IF(OR(Calc_오픈정렬!$F130="",Calc_오픈정렬!G130=""),"",Calc_오픈정렬!G130/Calc_오픈정렬!$F130*100)</f>
        <v>70.604513789296789</v>
      </c>
      <c r="H130">
        <f>IF(OR(Calc_오픈정렬!$F130="",Calc_오픈정렬!H130=""),"",Calc_오픈정렬!H130/Calc_오픈정렬!$F130*100)</f>
        <v>87.796360848343596</v>
      </c>
      <c r="I130">
        <f>IF(OR(Calc_오픈정렬!$F130="",Calc_오픈정렬!I130=""),"",Calc_오픈정렬!I130/Calc_오픈정렬!$F130*100)</f>
        <v>90.762191289038469</v>
      </c>
      <c r="J130">
        <f>IF(OR(Calc_오픈정렬!$F130="",Calc_오픈정렬!J130=""),"",Calc_오픈정렬!J130/Calc_오픈정렬!$F130*100)</f>
        <v>93.69420581160874</v>
      </c>
      <c r="K130">
        <f>IF(OR(Calc_오픈정렬!$F130="",Calc_오픈정렬!K130=""),"",Calc_오픈정렬!K130/Calc_오픈정렬!$F130*100)</f>
        <v>99.848000268960419</v>
      </c>
      <c r="L130">
        <f>IF(OR(Calc_오픈정렬!$F130="",Calc_오픈정렬!L130=""),"",Calc_오픈정렬!L130/Calc_오픈정렬!$F130*100)</f>
        <v>94.20362755393576</v>
      </c>
      <c r="M130">
        <f>IF(OR(Calc_오픈정렬!$F130="",Calc_오픈정렬!M130=""),"",Calc_오픈정렬!M130/Calc_오픈정렬!$F130*100)</f>
        <v>114.5928176700137</v>
      </c>
      <c r="N130">
        <f>IF(OR(Calc_오픈정렬!$F130="",Calc_오픈정렬!N130=""),"",Calc_오픈정렬!N130/Calc_오픈정렬!$F130*100)</f>
        <v>104.99603667613869</v>
      </c>
      <c r="O130">
        <f>IF(OR(Calc_오픈정렬!$F130="",Calc_오픈정렬!O130=""),"",Calc_오픈정렬!O130/Calc_오픈정렬!$F130*100)</f>
        <v>92.665312019342721</v>
      </c>
      <c r="P130">
        <f>IF(OR(Calc_오픈정렬!$F130="",Calc_오픈정렬!P130=""),"",Calc_오픈정렬!P130/Calc_오픈정렬!$F130*100)</f>
        <v>92.053113652856524</v>
      </c>
      <c r="Q130">
        <f>IF(OR(Calc_오픈정렬!$F130="",Calc_오픈정렬!Q130=""),"",Calc_오픈정렬!Q130/Calc_오픈정렬!$F130*100)</f>
        <v>96.542645012377207</v>
      </c>
      <c r="R130">
        <f>IF(OR(Calc_오픈정렬!$F130="",Calc_오픈정렬!R130=""),"",Calc_오픈정렬!R130/Calc_오픈정렬!$F130*100)</f>
        <v>109.6252854452586</v>
      </c>
      <c r="S130">
        <f>IF(OR(Calc_오픈정렬!$F130="",Calc_오픈정렬!S130=""),"",Calc_오픈정렬!S130/Calc_오픈정렬!$F130*100)</f>
        <v>103.95188824859483</v>
      </c>
      <c r="T130">
        <f>IF(OR(Calc_오픈정렬!$F130="",Calc_오픈정렬!T130=""),"",Calc_오픈정렬!T130/Calc_오픈정렬!$F130*100)</f>
        <v>94.656557797615733</v>
      </c>
      <c r="U130">
        <f>IF(OR(Calc_오픈정렬!$F130="",Calc_오픈정렬!U130=""),"",Calc_오픈정렬!U130/Calc_오픈정렬!$F130*100)</f>
        <v>116.86389546347063</v>
      </c>
      <c r="V130">
        <f>IF(OR(Calc_오픈정렬!$F130="",Calc_오픈정렬!V130=""),"",Calc_오픈정렬!V130/Calc_오픈정렬!$F130*100)</f>
        <v>108.0888445815781</v>
      </c>
      <c r="W130">
        <f>IF(OR(Calc_오픈정렬!$F130="",Calc_오픈정렬!W130=""),"",Calc_오픈정렬!W130/Calc_오픈정렬!$F130*100)</f>
        <v>111.89522205732277</v>
      </c>
      <c r="X130">
        <f>IF(OR(Calc_오픈정렬!$F130="",Calc_오픈정렬!X130=""),"",Calc_오픈정렬!X130/Calc_오픈정렬!$F130*100)</f>
        <v>111.40320130001736</v>
      </c>
      <c r="Y130">
        <f>IF(OR(Calc_오픈정렬!$F130="",Calc_오픈정렬!Y130=""),"",Calc_오픈정렬!Y130/Calc_오픈정렬!$F130*100)</f>
        <v>125.46456811665898</v>
      </c>
      <c r="Z130" t="str">
        <f>IF(OR(Calc_오픈정렬!$F130="",Calc_오픈정렬!Z130=""),"",Calc_오픈정렬!Z130/Calc_오픈정렬!$F130*100)</f>
        <v/>
      </c>
      <c r="AA130" t="str">
        <f>IF(OR(Calc_오픈정렬!$F130="",Calc_오픈정렬!AA130=""),"",Calc_오픈정렬!AA130/Calc_오픈정렬!$F130*100)</f>
        <v/>
      </c>
      <c r="AB130" t="str">
        <f>IF(OR(Calc_오픈정렬!$F130="",Calc_오픈정렬!AB130=""),"",Calc_오픈정렬!AB130/Calc_오픈정렬!$F130*100)</f>
        <v/>
      </c>
      <c r="AC130" t="str">
        <f>IF(OR(Calc_오픈정렬!$F130="",Calc_오픈정렬!AC130=""),"",Calc_오픈정렬!AC130/Calc_오픈정렬!$F130*100)</f>
        <v/>
      </c>
      <c r="AD130" t="str">
        <f>IF(OR(Calc_오픈정렬!$F130="",Calc_오픈정렬!AD130=""),"",Calc_오픈정렬!AD130/Calc_오픈정렬!$F130*100)</f>
        <v/>
      </c>
      <c r="AE130" t="str">
        <f>IF(OR(Calc_오픈정렬!$F130="",Calc_오픈정렬!AE130=""),"",Calc_오픈정렬!AE130/Calc_오픈정렬!$F130*100)</f>
        <v/>
      </c>
      <c r="AF130" t="str">
        <f>IF(OR(Calc_오픈정렬!$F130="",Calc_오픈정렬!AF130=""),"",Calc_오픈정렬!AF130/Calc_오픈정렬!$F130*100)</f>
        <v/>
      </c>
      <c r="AG130" t="str">
        <f>IF(OR(Calc_오픈정렬!$F130="",Calc_오픈정렬!AG130=""),"",Calc_오픈정렬!AG130/Calc_오픈정렬!$F130*100)</f>
        <v/>
      </c>
      <c r="AH130" t="str">
        <f>IF(OR(Calc_오픈정렬!$F130="",Calc_오픈정렬!AH130=""),"",Calc_오픈정렬!AH130/Calc_오픈정렬!$F130*100)</f>
        <v/>
      </c>
      <c r="AI130" t="str">
        <f>IF(OR(Calc_오픈정렬!$F130="",Calc_오픈정렬!AI130=""),"",Calc_오픈정렬!AI130/Calc_오픈정렬!$F130*100)</f>
        <v/>
      </c>
      <c r="AJ130" t="str">
        <f>IF(OR(Calc_오픈정렬!$F130="",Calc_오픈정렬!AJ130=""),"",Calc_오픈정렬!AJ130/Calc_오픈정렬!$F130*100)</f>
        <v/>
      </c>
      <c r="AK130" t="str">
        <f>IF(OR(Calc_오픈정렬!$F130="",Calc_오픈정렬!AK130=""),"",Calc_오픈정렬!AK130/Calc_오픈정렬!$F130*100)</f>
        <v/>
      </c>
      <c r="AL130" t="str">
        <f>IF(OR(Calc_오픈정렬!$F130="",Calc_오픈정렬!AL130=""),"",Calc_오픈정렬!AL130/Calc_오픈정렬!$F130*100)</f>
        <v/>
      </c>
      <c r="AM130" t="str">
        <f>IF(OR(Calc_오픈정렬!$F130="",Calc_오픈정렬!AM130=""),"",Calc_오픈정렬!AM130/Calc_오픈정렬!$F130*100)</f>
        <v/>
      </c>
      <c r="AN130" t="str">
        <f>IF(OR(Calc_오픈정렬!$F130="",Calc_오픈정렬!AN130=""),"",Calc_오픈정렬!AN130/Calc_오픈정렬!$F130*100)</f>
        <v/>
      </c>
      <c r="AO130" t="str">
        <f>IF(OR(Calc_오픈정렬!$F130="",Calc_오픈정렬!AO130=""),"",Calc_오픈정렬!AO130/Calc_오픈정렬!$F130*100)</f>
        <v/>
      </c>
      <c r="AP130" t="str">
        <f>IF(OR(Calc_오픈정렬!$F130="",Calc_오픈정렬!AP130=""),"",Calc_오픈정렬!AP130/Calc_오픈정렬!$F130*100)</f>
        <v/>
      </c>
      <c r="AQ130" t="str">
        <f>IF(OR(Calc_오픈정렬!$F130="",Calc_오픈정렬!AQ130=""),"",Calc_오픈정렬!AQ130/Calc_오픈정렬!$F130*100)</f>
        <v/>
      </c>
      <c r="AR130" t="str">
        <f>IF(OR(Calc_오픈정렬!$F130="",Calc_오픈정렬!AR130=""),"",Calc_오픈정렬!AR130/Calc_오픈정렬!$F130*100)</f>
        <v/>
      </c>
      <c r="AS130" t="str">
        <f>IF(OR(Calc_오픈정렬!$F130="",Calc_오픈정렬!AS130=""),"",Calc_오픈정렬!AS130/Calc_오픈정렬!$F130*100)</f>
        <v/>
      </c>
      <c r="AT130" t="str">
        <f>IF(OR(Calc_오픈정렬!$F130="",Calc_오픈정렬!AT130=""),"",Calc_오픈정렬!AT130/Calc_오픈정렬!$F130*100)</f>
        <v/>
      </c>
      <c r="AU130" t="str">
        <f>IF(OR(Calc_오픈정렬!$F130="",Calc_오픈정렬!AU130=""),"",Calc_오픈정렬!AU130/Calc_오픈정렬!$F130*100)</f>
        <v/>
      </c>
      <c r="AV130" t="str">
        <f>IF(OR(Calc_오픈정렬!$F130="",Calc_오픈정렬!AV130=""),"",Calc_오픈정렬!AV130/Calc_오픈정렬!$F130*100)</f>
        <v/>
      </c>
      <c r="AW130" t="str">
        <f>IF(OR(Calc_오픈정렬!$F130="",Calc_오픈정렬!AW130=""),"",Calc_오픈정렬!AW130/Calc_오픈정렬!$F130*100)</f>
        <v/>
      </c>
      <c r="AX130" t="str">
        <f>IF(OR(Calc_오픈정렬!$F130="",Calc_오픈정렬!AX130=""),"",Calc_오픈정렬!AX130/Calc_오픈정렬!$F130*100)</f>
        <v/>
      </c>
      <c r="AY130" t="str">
        <f>IF(OR(Calc_오픈정렬!$F130="",Calc_오픈정렬!AY130=""),"",Calc_오픈정렬!AY130/Calc_오픈정렬!$F130*100)</f>
        <v/>
      </c>
      <c r="AZ130" t="str">
        <f>IF(OR(Calc_오픈정렬!$F130="",Calc_오픈정렬!AZ130=""),"",Calc_오픈정렬!AZ130/Calc_오픈정렬!$F130*100)</f>
        <v/>
      </c>
      <c r="BA130" t="str">
        <f>IF(OR(Calc_오픈정렬!$F130="",Calc_오픈정렬!BA130=""),"",Calc_오픈정렬!BA130/Calc_오픈정렬!$F130*100)</f>
        <v/>
      </c>
      <c r="BB130" t="str">
        <f>IF(OR(Calc_오픈정렬!$F130="",Calc_오픈정렬!BB130=""),"",Calc_오픈정렬!BB130/Calc_오픈정렬!$F130*100)</f>
        <v/>
      </c>
      <c r="BC130" t="str">
        <f>IF(OR(Calc_오픈정렬!$F130="",Calc_오픈정렬!BC130=""),"",Calc_오픈정렬!BC130/Calc_오픈정렬!$F130*100)</f>
        <v/>
      </c>
      <c r="BD130" t="str">
        <f>IF(OR(Calc_오픈정렬!$F130="",Calc_오픈정렬!BD130=""),"",Calc_오픈정렬!BD130/Calc_오픈정렬!$F130*100)</f>
        <v/>
      </c>
      <c r="BE130" t="str">
        <f>IF(OR(Calc_오픈정렬!$F130="",Calc_오픈정렬!BE130=""),"",Calc_오픈정렬!BE130/Calc_오픈정렬!$F130*100)</f>
        <v/>
      </c>
      <c r="BF130" t="str">
        <f>IF(OR(Calc_오픈정렬!$F130="",Calc_오픈정렬!BF130=""),"",Calc_오픈정렬!BF130/Calc_오픈정렬!$F130*100)</f>
        <v/>
      </c>
      <c r="BG130" t="str">
        <f>IF(OR(Calc_오픈정렬!$F130="",Calc_오픈정렬!BG130=""),"",Calc_오픈정렬!BG130/Calc_오픈정렬!$F130*100)</f>
        <v/>
      </c>
      <c r="BH130" t="str">
        <f>IF(OR(Calc_오픈정렬!$F130="",Calc_오픈정렬!BH130=""),"",Calc_오픈정렬!BH130/Calc_오픈정렬!$F130*100)</f>
        <v/>
      </c>
      <c r="BI130" t="str">
        <f>IF(OR(Calc_오픈정렬!$F130="",Calc_오픈정렬!BI130=""),"",Calc_오픈정렬!BI130/Calc_오픈정렬!$F130*100)</f>
        <v/>
      </c>
      <c r="BJ130" t="str">
        <f>IF(OR(Calc_오픈정렬!$F130="",Calc_오픈정렬!BJ130=""),"",Calc_오픈정렬!BJ130/Calc_오픈정렬!$F130*100)</f>
        <v/>
      </c>
      <c r="BK130" t="str">
        <f>IF(OR(Calc_오픈정렬!$F130="",Calc_오픈정렬!BK130=""),"",Calc_오픈정렬!BK130/Calc_오픈정렬!$F130*100)</f>
        <v/>
      </c>
      <c r="BL130" t="str">
        <f>IF(OR(Calc_오픈정렬!$F130="",Calc_오픈정렬!BL130=""),"",Calc_오픈정렬!BL130/Calc_오픈정렬!$F130*100)</f>
        <v/>
      </c>
      <c r="BM130" t="str">
        <f>IF(OR(Calc_오픈정렬!$F130="",Calc_오픈정렬!BM130=""),"",Calc_오픈정렬!BM130/Calc_오픈정렬!$F130*100)</f>
        <v/>
      </c>
      <c r="BN130" t="str">
        <f>IF(OR(Calc_오픈정렬!$F130="",Calc_오픈정렬!BN130=""),"",Calc_오픈정렬!BN130/Calc_오픈정렬!$F130*100)</f>
        <v/>
      </c>
    </row>
    <row r="131" spans="1:66" x14ac:dyDescent="0.4">
      <c r="A131" t="str">
        <f>Calc_오픈정렬!A131</f>
        <v>(1122) #군자용마초교점</v>
      </c>
      <c r="B131" t="str">
        <f>Calc_오픈정렬!B131</f>
        <v>150-1</v>
      </c>
      <c r="C131">
        <f>Calc_오픈정렬!C131</f>
        <v>1</v>
      </c>
      <c r="D131" t="str">
        <f>Calc_오픈정렬!D131</f>
        <v>1</v>
      </c>
      <c r="E131" s="1">
        <f>Calc_오픈정렬!E131</f>
        <v>45597</v>
      </c>
      <c r="F131">
        <f>Calc_오픈정렬!F131</f>
        <v>2990395.9270917582</v>
      </c>
      <c r="G131">
        <f>IF(OR(Calc_오픈정렬!$F131="",Calc_오픈정렬!G131=""),"",Calc_오픈정렬!G131/Calc_오픈정렬!$F131*100)</f>
        <v>61.175705880333034</v>
      </c>
      <c r="H131">
        <f>IF(OR(Calc_오픈정렬!$F131="",Calc_오픈정렬!H131=""),"",Calc_오픈정렬!H131/Calc_오픈정렬!$F131*100)</f>
        <v>75.140018445893759</v>
      </c>
      <c r="I131">
        <f>IF(OR(Calc_오픈정렬!$F131="",Calc_오픈정렬!I131=""),"",Calc_오픈정렬!I131/Calc_오픈정렬!$F131*100)</f>
        <v>102.22738428826896</v>
      </c>
      <c r="J131">
        <f>IF(OR(Calc_오픈정렬!$F131="",Calc_오픈정렬!J131=""),"",Calc_오픈정렬!J131/Calc_오픈정렬!$F131*100)</f>
        <v>98.168715137062208</v>
      </c>
      <c r="K131">
        <f>IF(OR(Calc_오픈정렬!$F131="",Calc_오픈정렬!K131=""),"",Calc_오픈정렬!K131/Calc_오픈정렬!$F131*100)</f>
        <v>96.239417715433177</v>
      </c>
      <c r="L131">
        <f>IF(OR(Calc_오픈정렬!$F131="",Calc_오픈정렬!L131=""),"",Calc_오픈정렬!L131/Calc_오픈정렬!$F131*100)</f>
        <v>101.26555432911404</v>
      </c>
      <c r="M131">
        <f>IF(OR(Calc_오픈정렬!$F131="",Calc_오픈정렬!M131=""),"",Calc_오픈정렬!M131/Calc_오픈정렬!$F131*100)</f>
        <v>106.01451292887883</v>
      </c>
      <c r="N131">
        <f>IF(OR(Calc_오픈정렬!$F131="",Calc_오픈정렬!N131=""),"",Calc_오픈정렬!N131/Calc_오픈정렬!$F131*100)</f>
        <v>98.992438322612784</v>
      </c>
      <c r="O131">
        <f>IF(OR(Calc_오픈정렬!$F131="",Calc_오픈정렬!O131=""),"",Calc_오픈정렬!O131/Calc_오픈정렬!$F131*100)</f>
        <v>99.319361566898962</v>
      </c>
      <c r="P131">
        <f>IF(OR(Calc_오픈정렬!$F131="",Calc_오픈정렬!P131=""),"",Calc_오픈정렬!P131/Calc_오픈정렬!$F131*100)</f>
        <v>100.2537711210889</v>
      </c>
      <c r="Q131">
        <f>IF(OR(Calc_오픈정렬!$F131="",Calc_오픈정렬!Q131=""),"",Calc_오픈정렬!Q131/Calc_오픈정렬!$F131*100)</f>
        <v>103.61072864785099</v>
      </c>
      <c r="R131">
        <f>IF(OR(Calc_오픈정렬!$F131="",Calc_오픈정렬!R131=""),"",Calc_오픈정렬!R131/Calc_오픈정렬!$F131*100)</f>
        <v>118.41231281313659</v>
      </c>
      <c r="S131">
        <f>IF(OR(Calc_오픈정렬!$F131="",Calc_오픈정렬!S131=""),"",Calc_오픈정렬!S131/Calc_오픈정렬!$F131*100)</f>
        <v>112.23506353341473</v>
      </c>
      <c r="T131">
        <f>IF(OR(Calc_오픈정렬!$F131="",Calc_오픈정렬!T131=""),"",Calc_오픈정렬!T131/Calc_오픈정렬!$F131*100)</f>
        <v>112.25776686052771</v>
      </c>
      <c r="U131">
        <f>IF(OR(Calc_오픈정렬!$F131="",Calc_오픈정렬!U131=""),"",Calc_오픈정렬!U131/Calc_오픈정렬!$F131*100)</f>
        <v>111.84104911083617</v>
      </c>
      <c r="V131">
        <f>IF(OR(Calc_오픈정렬!$F131="",Calc_오픈정렬!V131=""),"",Calc_오픈정렬!V131/Calc_오픈정렬!$F131*100)</f>
        <v>132.51138004582472</v>
      </c>
      <c r="W131">
        <f>IF(OR(Calc_오픈정렬!$F131="",Calc_오픈정렬!W131=""),"",Calc_오픈정렬!W131/Calc_오픈정렬!$F131*100)</f>
        <v>120.20033262405153</v>
      </c>
      <c r="X131">
        <f>IF(OR(Calc_오픈정렬!$F131="",Calc_오픈정렬!X131=""),"",Calc_오픈정렬!X131/Calc_오픈정렬!$F131*100)</f>
        <v>144.23735709951967</v>
      </c>
      <c r="Y131">
        <f>IF(OR(Calc_오픈정렬!$F131="",Calc_오픈정렬!Y131=""),"",Calc_오픈정렬!Y131/Calc_오픈정렬!$F131*100)</f>
        <v>142.3502858459766</v>
      </c>
      <c r="Z131" t="str">
        <f>IF(OR(Calc_오픈정렬!$F131="",Calc_오픈정렬!Z131=""),"",Calc_오픈정렬!Z131/Calc_오픈정렬!$F131*100)</f>
        <v/>
      </c>
      <c r="AA131" t="str">
        <f>IF(OR(Calc_오픈정렬!$F131="",Calc_오픈정렬!AA131=""),"",Calc_오픈정렬!AA131/Calc_오픈정렬!$F131*100)</f>
        <v/>
      </c>
      <c r="AB131" t="str">
        <f>IF(OR(Calc_오픈정렬!$F131="",Calc_오픈정렬!AB131=""),"",Calc_오픈정렬!AB131/Calc_오픈정렬!$F131*100)</f>
        <v/>
      </c>
      <c r="AC131" t="str">
        <f>IF(OR(Calc_오픈정렬!$F131="",Calc_오픈정렬!AC131=""),"",Calc_오픈정렬!AC131/Calc_오픈정렬!$F131*100)</f>
        <v/>
      </c>
      <c r="AD131" t="str">
        <f>IF(OR(Calc_오픈정렬!$F131="",Calc_오픈정렬!AD131=""),"",Calc_오픈정렬!AD131/Calc_오픈정렬!$F131*100)</f>
        <v/>
      </c>
      <c r="AE131" t="str">
        <f>IF(OR(Calc_오픈정렬!$F131="",Calc_오픈정렬!AE131=""),"",Calc_오픈정렬!AE131/Calc_오픈정렬!$F131*100)</f>
        <v/>
      </c>
      <c r="AF131" t="str">
        <f>IF(OR(Calc_오픈정렬!$F131="",Calc_오픈정렬!AF131=""),"",Calc_오픈정렬!AF131/Calc_오픈정렬!$F131*100)</f>
        <v/>
      </c>
      <c r="AG131" t="str">
        <f>IF(OR(Calc_오픈정렬!$F131="",Calc_오픈정렬!AG131=""),"",Calc_오픈정렬!AG131/Calc_오픈정렬!$F131*100)</f>
        <v/>
      </c>
      <c r="AH131" t="str">
        <f>IF(OR(Calc_오픈정렬!$F131="",Calc_오픈정렬!AH131=""),"",Calc_오픈정렬!AH131/Calc_오픈정렬!$F131*100)</f>
        <v/>
      </c>
      <c r="AI131" t="str">
        <f>IF(OR(Calc_오픈정렬!$F131="",Calc_오픈정렬!AI131=""),"",Calc_오픈정렬!AI131/Calc_오픈정렬!$F131*100)</f>
        <v/>
      </c>
      <c r="AJ131" t="str">
        <f>IF(OR(Calc_오픈정렬!$F131="",Calc_오픈정렬!AJ131=""),"",Calc_오픈정렬!AJ131/Calc_오픈정렬!$F131*100)</f>
        <v/>
      </c>
      <c r="AK131" t="str">
        <f>IF(OR(Calc_오픈정렬!$F131="",Calc_오픈정렬!AK131=""),"",Calc_오픈정렬!AK131/Calc_오픈정렬!$F131*100)</f>
        <v/>
      </c>
      <c r="AL131" t="str">
        <f>IF(OR(Calc_오픈정렬!$F131="",Calc_오픈정렬!AL131=""),"",Calc_오픈정렬!AL131/Calc_오픈정렬!$F131*100)</f>
        <v/>
      </c>
      <c r="AM131" t="str">
        <f>IF(OR(Calc_오픈정렬!$F131="",Calc_오픈정렬!AM131=""),"",Calc_오픈정렬!AM131/Calc_오픈정렬!$F131*100)</f>
        <v/>
      </c>
      <c r="AN131" t="str">
        <f>IF(OR(Calc_오픈정렬!$F131="",Calc_오픈정렬!AN131=""),"",Calc_오픈정렬!AN131/Calc_오픈정렬!$F131*100)</f>
        <v/>
      </c>
      <c r="AO131" t="str">
        <f>IF(OR(Calc_오픈정렬!$F131="",Calc_오픈정렬!AO131=""),"",Calc_오픈정렬!AO131/Calc_오픈정렬!$F131*100)</f>
        <v/>
      </c>
      <c r="AP131" t="str">
        <f>IF(OR(Calc_오픈정렬!$F131="",Calc_오픈정렬!AP131=""),"",Calc_오픈정렬!AP131/Calc_오픈정렬!$F131*100)</f>
        <v/>
      </c>
      <c r="AQ131" t="str">
        <f>IF(OR(Calc_오픈정렬!$F131="",Calc_오픈정렬!AQ131=""),"",Calc_오픈정렬!AQ131/Calc_오픈정렬!$F131*100)</f>
        <v/>
      </c>
      <c r="AR131" t="str">
        <f>IF(OR(Calc_오픈정렬!$F131="",Calc_오픈정렬!AR131=""),"",Calc_오픈정렬!AR131/Calc_오픈정렬!$F131*100)</f>
        <v/>
      </c>
      <c r="AS131" t="str">
        <f>IF(OR(Calc_오픈정렬!$F131="",Calc_오픈정렬!AS131=""),"",Calc_오픈정렬!AS131/Calc_오픈정렬!$F131*100)</f>
        <v/>
      </c>
      <c r="AT131" t="str">
        <f>IF(OR(Calc_오픈정렬!$F131="",Calc_오픈정렬!AT131=""),"",Calc_오픈정렬!AT131/Calc_오픈정렬!$F131*100)</f>
        <v/>
      </c>
      <c r="AU131" t="str">
        <f>IF(OR(Calc_오픈정렬!$F131="",Calc_오픈정렬!AU131=""),"",Calc_오픈정렬!AU131/Calc_오픈정렬!$F131*100)</f>
        <v/>
      </c>
      <c r="AV131" t="str">
        <f>IF(OR(Calc_오픈정렬!$F131="",Calc_오픈정렬!AV131=""),"",Calc_오픈정렬!AV131/Calc_오픈정렬!$F131*100)</f>
        <v/>
      </c>
      <c r="AW131" t="str">
        <f>IF(OR(Calc_오픈정렬!$F131="",Calc_오픈정렬!AW131=""),"",Calc_오픈정렬!AW131/Calc_오픈정렬!$F131*100)</f>
        <v/>
      </c>
      <c r="AX131" t="str">
        <f>IF(OR(Calc_오픈정렬!$F131="",Calc_오픈정렬!AX131=""),"",Calc_오픈정렬!AX131/Calc_오픈정렬!$F131*100)</f>
        <v/>
      </c>
      <c r="AY131" t="str">
        <f>IF(OR(Calc_오픈정렬!$F131="",Calc_오픈정렬!AY131=""),"",Calc_오픈정렬!AY131/Calc_오픈정렬!$F131*100)</f>
        <v/>
      </c>
      <c r="AZ131" t="str">
        <f>IF(OR(Calc_오픈정렬!$F131="",Calc_오픈정렬!AZ131=""),"",Calc_오픈정렬!AZ131/Calc_오픈정렬!$F131*100)</f>
        <v/>
      </c>
      <c r="BA131" t="str">
        <f>IF(OR(Calc_오픈정렬!$F131="",Calc_오픈정렬!BA131=""),"",Calc_오픈정렬!BA131/Calc_오픈정렬!$F131*100)</f>
        <v/>
      </c>
      <c r="BB131" t="str">
        <f>IF(OR(Calc_오픈정렬!$F131="",Calc_오픈정렬!BB131=""),"",Calc_오픈정렬!BB131/Calc_오픈정렬!$F131*100)</f>
        <v/>
      </c>
      <c r="BC131" t="str">
        <f>IF(OR(Calc_오픈정렬!$F131="",Calc_오픈정렬!BC131=""),"",Calc_오픈정렬!BC131/Calc_오픈정렬!$F131*100)</f>
        <v/>
      </c>
      <c r="BD131" t="str">
        <f>IF(OR(Calc_오픈정렬!$F131="",Calc_오픈정렬!BD131=""),"",Calc_오픈정렬!BD131/Calc_오픈정렬!$F131*100)</f>
        <v/>
      </c>
      <c r="BE131" t="str">
        <f>IF(OR(Calc_오픈정렬!$F131="",Calc_오픈정렬!BE131=""),"",Calc_오픈정렬!BE131/Calc_오픈정렬!$F131*100)</f>
        <v/>
      </c>
      <c r="BF131" t="str">
        <f>IF(OR(Calc_오픈정렬!$F131="",Calc_오픈정렬!BF131=""),"",Calc_오픈정렬!BF131/Calc_오픈정렬!$F131*100)</f>
        <v/>
      </c>
      <c r="BG131" t="str">
        <f>IF(OR(Calc_오픈정렬!$F131="",Calc_오픈정렬!BG131=""),"",Calc_오픈정렬!BG131/Calc_오픈정렬!$F131*100)</f>
        <v/>
      </c>
      <c r="BH131" t="str">
        <f>IF(OR(Calc_오픈정렬!$F131="",Calc_오픈정렬!BH131=""),"",Calc_오픈정렬!BH131/Calc_오픈정렬!$F131*100)</f>
        <v/>
      </c>
      <c r="BI131" t="str">
        <f>IF(OR(Calc_오픈정렬!$F131="",Calc_오픈정렬!BI131=""),"",Calc_오픈정렬!BI131/Calc_오픈정렬!$F131*100)</f>
        <v/>
      </c>
      <c r="BJ131" t="str">
        <f>IF(OR(Calc_오픈정렬!$F131="",Calc_오픈정렬!BJ131=""),"",Calc_오픈정렬!BJ131/Calc_오픈정렬!$F131*100)</f>
        <v/>
      </c>
      <c r="BK131" t="str">
        <f>IF(OR(Calc_오픈정렬!$F131="",Calc_오픈정렬!BK131=""),"",Calc_오픈정렬!BK131/Calc_오픈정렬!$F131*100)</f>
        <v/>
      </c>
      <c r="BL131" t="str">
        <f>IF(OR(Calc_오픈정렬!$F131="",Calc_오픈정렬!BL131=""),"",Calc_오픈정렬!BL131/Calc_오픈정렬!$F131*100)</f>
        <v/>
      </c>
      <c r="BM131" t="str">
        <f>IF(OR(Calc_오픈정렬!$F131="",Calc_오픈정렬!BM131=""),"",Calc_오픈정렬!BM131/Calc_오픈정렬!$F131*100)</f>
        <v/>
      </c>
      <c r="BN131" t="str">
        <f>IF(OR(Calc_오픈정렬!$F131="",Calc_오픈정렬!BN131=""),"",Calc_오픈정렬!BN131/Calc_오픈정렬!$F131*100)</f>
        <v/>
      </c>
    </row>
    <row r="132" spans="1:66" x14ac:dyDescent="0.4">
      <c r="A132" t="str">
        <f>Calc_오픈정렬!A132</f>
        <v>(1123) #왕십리도선점</v>
      </c>
      <c r="B132" t="str">
        <f>Calc_오픈정렬!B132</f>
        <v>150-1</v>
      </c>
      <c r="C132">
        <f>Calc_오픈정렬!C132</f>
        <v>1</v>
      </c>
      <c r="D132" t="str">
        <f>Calc_오픈정렬!D132</f>
        <v>1</v>
      </c>
      <c r="E132" s="1">
        <f>Calc_오픈정렬!E132</f>
        <v>45627</v>
      </c>
      <c r="F132">
        <f>Calc_오픈정렬!F132</f>
        <v>3903172.3844152098</v>
      </c>
      <c r="G132">
        <f>IF(OR(Calc_오픈정렬!$F132="",Calc_오픈정렬!G132=""),"",Calc_오픈정렬!G132/Calc_오픈정렬!$F132*100)</f>
        <v>59.376380575138811</v>
      </c>
      <c r="H132">
        <f>IF(OR(Calc_오픈정렬!$F132="",Calc_오픈정렬!H132=""),"",Calc_오픈정렬!H132/Calc_오픈정렬!$F132*100)</f>
        <v>79.640419547874984</v>
      </c>
      <c r="I132">
        <f>IF(OR(Calc_오픈정렬!$F132="",Calc_오픈정렬!I132=""),"",Calc_오픈정렬!I132/Calc_오픈정렬!$F132*100)</f>
        <v>81.575496871788332</v>
      </c>
      <c r="J132">
        <f>IF(OR(Calc_오픈정렬!$F132="",Calc_오픈정렬!J132=""),"",Calc_오픈정렬!J132/Calc_오픈정렬!$F132*100)</f>
        <v>96.746839005617119</v>
      </c>
      <c r="K132">
        <f>IF(OR(Calc_오픈정렬!$F132="",Calc_오픈정렬!K132=""),"",Calc_오픈정렬!K132/Calc_오픈정렬!$F132*100)</f>
        <v>82.980534890549379</v>
      </c>
      <c r="L132">
        <f>IF(OR(Calc_오픈정렬!$F132="",Calc_오픈정렬!L132=""),"",Calc_오픈정렬!L132/Calc_오픈정렬!$F132*100)</f>
        <v>101.55777310664267</v>
      </c>
      <c r="M132">
        <f>IF(OR(Calc_오픈정렬!$F132="",Calc_오픈정렬!M132=""),"",Calc_오픈정렬!M132/Calc_오픈정렬!$F132*100)</f>
        <v>106.86679531251566</v>
      </c>
      <c r="N132">
        <f>IF(OR(Calc_오픈정렬!$F132="",Calc_오픈정렬!N132=""),"",Calc_오픈정렬!N132/Calc_오픈정렬!$F132*100)</f>
        <v>103.24250456893481</v>
      </c>
      <c r="O132">
        <f>IF(OR(Calc_오픈정렬!$F132="",Calc_오픈정렬!O132=""),"",Calc_오픈정렬!O132/Calc_오픈정렬!$F132*100)</f>
        <v>108.60555311574038</v>
      </c>
      <c r="P132">
        <f>IF(OR(Calc_오픈정렬!$F132="",Calc_오픈정렬!P132=""),"",Calc_오픈정렬!P132/Calc_오픈정렬!$F132*100)</f>
        <v>105.45097916962862</v>
      </c>
      <c r="Q132">
        <f>IF(OR(Calc_오픈정렬!$F132="",Calc_오픈정렬!Q132=""),"",Calc_오픈정렬!Q132/Calc_오픈정렬!$F132*100)</f>
        <v>108.63247855020278</v>
      </c>
      <c r="R132">
        <f>IF(OR(Calc_오픈정렬!$F132="",Calc_오픈정렬!R132=""),"",Calc_오픈정렬!R132/Calc_오픈정렬!$F132*100)</f>
        <v>104.24513222427953</v>
      </c>
      <c r="S132">
        <f>IF(OR(Calc_오픈정렬!$F132="",Calc_오픈정렬!S132=""),"",Calc_오픈정렬!S132/Calc_오픈정렬!$F132*100)</f>
        <v>113.32285637992068</v>
      </c>
      <c r="T132">
        <f>IF(OR(Calc_오픈정렬!$F132="",Calc_오픈정렬!T132=""),"",Calc_오픈정렬!T132/Calc_오픈정렬!$F132*100)</f>
        <v>116.64165882977269</v>
      </c>
      <c r="U132">
        <f>IF(OR(Calc_오픈정렬!$F132="",Calc_오픈정렬!U132=""),"",Calc_오픈정렬!U132/Calc_오픈정렬!$F132*100)</f>
        <v>125.7276361306928</v>
      </c>
      <c r="V132">
        <f>IF(OR(Calc_오픈정렬!$F132="",Calc_오픈정렬!V132=""),"",Calc_오픈정렬!V132/Calc_오픈정렬!$F132*100)</f>
        <v>115.50012611315414</v>
      </c>
      <c r="W132">
        <f>IF(OR(Calc_오픈정렬!$F132="",Calc_오픈정렬!W132=""),"",Calc_오픈정렬!W132/Calc_오픈정렬!$F132*100)</f>
        <v>126.33603312335495</v>
      </c>
      <c r="X132">
        <f>IF(OR(Calc_오픈정렬!$F132="",Calc_오픈정렬!X132=""),"",Calc_오픈정렬!X132/Calc_오픈정렬!$F132*100)</f>
        <v>138.57814811629751</v>
      </c>
      <c r="Y132" t="str">
        <f>IF(OR(Calc_오픈정렬!$F132="",Calc_오픈정렬!Y132=""),"",Calc_오픈정렬!Y132/Calc_오픈정렬!$F132*100)</f>
        <v/>
      </c>
      <c r="Z132" t="str">
        <f>IF(OR(Calc_오픈정렬!$F132="",Calc_오픈정렬!Z132=""),"",Calc_오픈정렬!Z132/Calc_오픈정렬!$F132*100)</f>
        <v/>
      </c>
      <c r="AA132" t="str">
        <f>IF(OR(Calc_오픈정렬!$F132="",Calc_오픈정렬!AA132=""),"",Calc_오픈정렬!AA132/Calc_오픈정렬!$F132*100)</f>
        <v/>
      </c>
      <c r="AB132" t="str">
        <f>IF(OR(Calc_오픈정렬!$F132="",Calc_오픈정렬!AB132=""),"",Calc_오픈정렬!AB132/Calc_오픈정렬!$F132*100)</f>
        <v/>
      </c>
      <c r="AC132" t="str">
        <f>IF(OR(Calc_오픈정렬!$F132="",Calc_오픈정렬!AC132=""),"",Calc_오픈정렬!AC132/Calc_오픈정렬!$F132*100)</f>
        <v/>
      </c>
      <c r="AD132" t="str">
        <f>IF(OR(Calc_오픈정렬!$F132="",Calc_오픈정렬!AD132=""),"",Calc_오픈정렬!AD132/Calc_오픈정렬!$F132*100)</f>
        <v/>
      </c>
      <c r="AE132" t="str">
        <f>IF(OR(Calc_오픈정렬!$F132="",Calc_오픈정렬!AE132=""),"",Calc_오픈정렬!AE132/Calc_오픈정렬!$F132*100)</f>
        <v/>
      </c>
      <c r="AF132" t="str">
        <f>IF(OR(Calc_오픈정렬!$F132="",Calc_오픈정렬!AF132=""),"",Calc_오픈정렬!AF132/Calc_오픈정렬!$F132*100)</f>
        <v/>
      </c>
      <c r="AG132" t="str">
        <f>IF(OR(Calc_오픈정렬!$F132="",Calc_오픈정렬!AG132=""),"",Calc_오픈정렬!AG132/Calc_오픈정렬!$F132*100)</f>
        <v/>
      </c>
      <c r="AH132" t="str">
        <f>IF(OR(Calc_오픈정렬!$F132="",Calc_오픈정렬!AH132=""),"",Calc_오픈정렬!AH132/Calc_오픈정렬!$F132*100)</f>
        <v/>
      </c>
      <c r="AI132" t="str">
        <f>IF(OR(Calc_오픈정렬!$F132="",Calc_오픈정렬!AI132=""),"",Calc_오픈정렬!AI132/Calc_오픈정렬!$F132*100)</f>
        <v/>
      </c>
      <c r="AJ132" t="str">
        <f>IF(OR(Calc_오픈정렬!$F132="",Calc_오픈정렬!AJ132=""),"",Calc_오픈정렬!AJ132/Calc_오픈정렬!$F132*100)</f>
        <v/>
      </c>
      <c r="AK132" t="str">
        <f>IF(OR(Calc_오픈정렬!$F132="",Calc_오픈정렬!AK132=""),"",Calc_오픈정렬!AK132/Calc_오픈정렬!$F132*100)</f>
        <v/>
      </c>
      <c r="AL132" t="str">
        <f>IF(OR(Calc_오픈정렬!$F132="",Calc_오픈정렬!AL132=""),"",Calc_오픈정렬!AL132/Calc_오픈정렬!$F132*100)</f>
        <v/>
      </c>
      <c r="AM132" t="str">
        <f>IF(OR(Calc_오픈정렬!$F132="",Calc_오픈정렬!AM132=""),"",Calc_오픈정렬!AM132/Calc_오픈정렬!$F132*100)</f>
        <v/>
      </c>
      <c r="AN132" t="str">
        <f>IF(OR(Calc_오픈정렬!$F132="",Calc_오픈정렬!AN132=""),"",Calc_오픈정렬!AN132/Calc_오픈정렬!$F132*100)</f>
        <v/>
      </c>
      <c r="AO132" t="str">
        <f>IF(OR(Calc_오픈정렬!$F132="",Calc_오픈정렬!AO132=""),"",Calc_오픈정렬!AO132/Calc_오픈정렬!$F132*100)</f>
        <v/>
      </c>
      <c r="AP132" t="str">
        <f>IF(OR(Calc_오픈정렬!$F132="",Calc_오픈정렬!AP132=""),"",Calc_오픈정렬!AP132/Calc_오픈정렬!$F132*100)</f>
        <v/>
      </c>
      <c r="AQ132" t="str">
        <f>IF(OR(Calc_오픈정렬!$F132="",Calc_오픈정렬!AQ132=""),"",Calc_오픈정렬!AQ132/Calc_오픈정렬!$F132*100)</f>
        <v/>
      </c>
      <c r="AR132" t="str">
        <f>IF(OR(Calc_오픈정렬!$F132="",Calc_오픈정렬!AR132=""),"",Calc_오픈정렬!AR132/Calc_오픈정렬!$F132*100)</f>
        <v/>
      </c>
      <c r="AS132" t="str">
        <f>IF(OR(Calc_오픈정렬!$F132="",Calc_오픈정렬!AS132=""),"",Calc_오픈정렬!AS132/Calc_오픈정렬!$F132*100)</f>
        <v/>
      </c>
      <c r="AT132" t="str">
        <f>IF(OR(Calc_오픈정렬!$F132="",Calc_오픈정렬!AT132=""),"",Calc_오픈정렬!AT132/Calc_오픈정렬!$F132*100)</f>
        <v/>
      </c>
      <c r="AU132" t="str">
        <f>IF(OR(Calc_오픈정렬!$F132="",Calc_오픈정렬!AU132=""),"",Calc_오픈정렬!AU132/Calc_오픈정렬!$F132*100)</f>
        <v/>
      </c>
      <c r="AV132" t="str">
        <f>IF(OR(Calc_오픈정렬!$F132="",Calc_오픈정렬!AV132=""),"",Calc_오픈정렬!AV132/Calc_오픈정렬!$F132*100)</f>
        <v/>
      </c>
      <c r="AW132" t="str">
        <f>IF(OR(Calc_오픈정렬!$F132="",Calc_오픈정렬!AW132=""),"",Calc_오픈정렬!AW132/Calc_오픈정렬!$F132*100)</f>
        <v/>
      </c>
      <c r="AX132" t="str">
        <f>IF(OR(Calc_오픈정렬!$F132="",Calc_오픈정렬!AX132=""),"",Calc_오픈정렬!AX132/Calc_오픈정렬!$F132*100)</f>
        <v/>
      </c>
      <c r="AY132" t="str">
        <f>IF(OR(Calc_오픈정렬!$F132="",Calc_오픈정렬!AY132=""),"",Calc_오픈정렬!AY132/Calc_오픈정렬!$F132*100)</f>
        <v/>
      </c>
      <c r="AZ132" t="str">
        <f>IF(OR(Calc_오픈정렬!$F132="",Calc_오픈정렬!AZ132=""),"",Calc_오픈정렬!AZ132/Calc_오픈정렬!$F132*100)</f>
        <v/>
      </c>
      <c r="BA132" t="str">
        <f>IF(OR(Calc_오픈정렬!$F132="",Calc_오픈정렬!BA132=""),"",Calc_오픈정렬!BA132/Calc_오픈정렬!$F132*100)</f>
        <v/>
      </c>
      <c r="BB132" t="str">
        <f>IF(OR(Calc_오픈정렬!$F132="",Calc_오픈정렬!BB132=""),"",Calc_오픈정렬!BB132/Calc_오픈정렬!$F132*100)</f>
        <v/>
      </c>
      <c r="BC132" t="str">
        <f>IF(OR(Calc_오픈정렬!$F132="",Calc_오픈정렬!BC132=""),"",Calc_오픈정렬!BC132/Calc_오픈정렬!$F132*100)</f>
        <v/>
      </c>
      <c r="BD132" t="str">
        <f>IF(OR(Calc_오픈정렬!$F132="",Calc_오픈정렬!BD132=""),"",Calc_오픈정렬!BD132/Calc_오픈정렬!$F132*100)</f>
        <v/>
      </c>
      <c r="BE132" t="str">
        <f>IF(OR(Calc_오픈정렬!$F132="",Calc_오픈정렬!BE132=""),"",Calc_오픈정렬!BE132/Calc_오픈정렬!$F132*100)</f>
        <v/>
      </c>
      <c r="BF132" t="str">
        <f>IF(OR(Calc_오픈정렬!$F132="",Calc_오픈정렬!BF132=""),"",Calc_오픈정렬!BF132/Calc_오픈정렬!$F132*100)</f>
        <v/>
      </c>
      <c r="BG132" t="str">
        <f>IF(OR(Calc_오픈정렬!$F132="",Calc_오픈정렬!BG132=""),"",Calc_오픈정렬!BG132/Calc_오픈정렬!$F132*100)</f>
        <v/>
      </c>
      <c r="BH132" t="str">
        <f>IF(OR(Calc_오픈정렬!$F132="",Calc_오픈정렬!BH132=""),"",Calc_오픈정렬!BH132/Calc_오픈정렬!$F132*100)</f>
        <v/>
      </c>
      <c r="BI132" t="str">
        <f>IF(OR(Calc_오픈정렬!$F132="",Calc_오픈정렬!BI132=""),"",Calc_오픈정렬!BI132/Calc_오픈정렬!$F132*100)</f>
        <v/>
      </c>
      <c r="BJ132" t="str">
        <f>IF(OR(Calc_오픈정렬!$F132="",Calc_오픈정렬!BJ132=""),"",Calc_오픈정렬!BJ132/Calc_오픈정렬!$F132*100)</f>
        <v/>
      </c>
      <c r="BK132" t="str">
        <f>IF(OR(Calc_오픈정렬!$F132="",Calc_오픈정렬!BK132=""),"",Calc_오픈정렬!BK132/Calc_오픈정렬!$F132*100)</f>
        <v/>
      </c>
      <c r="BL132" t="str">
        <f>IF(OR(Calc_오픈정렬!$F132="",Calc_오픈정렬!BL132=""),"",Calc_오픈정렬!BL132/Calc_오픈정렬!$F132*100)</f>
        <v/>
      </c>
      <c r="BM132" t="str">
        <f>IF(OR(Calc_오픈정렬!$F132="",Calc_오픈정렬!BM132=""),"",Calc_오픈정렬!BM132/Calc_오픈정렬!$F132*100)</f>
        <v/>
      </c>
      <c r="BN132" t="str">
        <f>IF(OR(Calc_오픈정렬!$F132="",Calc_오픈정렬!BN132=""),"",Calc_오픈정렬!BN132/Calc_오픈정렬!$F132*100)</f>
        <v/>
      </c>
    </row>
    <row r="133" spans="1:66" x14ac:dyDescent="0.4">
      <c r="A133" t="str">
        <f>Calc_오픈정렬!A133</f>
        <v>(1124) #능동대공원점</v>
      </c>
      <c r="B133" t="str">
        <f>Calc_오픈정렬!B133</f>
        <v>150-1</v>
      </c>
      <c r="C133">
        <f>Calc_오픈정렬!C133</f>
        <v>1</v>
      </c>
      <c r="D133" t="str">
        <f>Calc_오픈정렬!D133</f>
        <v>1</v>
      </c>
      <c r="E133" s="1">
        <f>Calc_오픈정렬!E133</f>
        <v>45658</v>
      </c>
      <c r="F133">
        <f>Calc_오픈정렬!F133</f>
        <v>3631131.0227732919</v>
      </c>
      <c r="G133">
        <f>IF(OR(Calc_오픈정렬!$F133="",Calc_오픈정렬!G133=""),"",Calc_오픈정렬!G133/Calc_오픈정렬!$F133*100)</f>
        <v>87.365030857876775</v>
      </c>
      <c r="H133">
        <f>IF(OR(Calc_오픈정렬!$F133="",Calc_오픈정렬!H133=""),"",Calc_오픈정렬!H133/Calc_오픈정렬!$F133*100)</f>
        <v>81.873172811970989</v>
      </c>
      <c r="I133">
        <f>IF(OR(Calc_오픈정렬!$F133="",Calc_오픈정렬!I133=""),"",Calc_오픈정렬!I133/Calc_오픈정렬!$F133*100)</f>
        <v>90.859155355536984</v>
      </c>
      <c r="J133">
        <f>IF(OR(Calc_오픈정렬!$F133="",Calc_오픈정렬!J133=""),"",Calc_오픈정렬!J133/Calc_오픈정렬!$F133*100)</f>
        <v>95.994954013483095</v>
      </c>
      <c r="K133">
        <f>IF(OR(Calc_오픈정렬!$F133="",Calc_오픈정렬!K133=""),"",Calc_오픈정렬!K133/Calc_오픈정렬!$F133*100)</f>
        <v>113.74766929144002</v>
      </c>
      <c r="L133">
        <f>IF(OR(Calc_오픈정렬!$F133="",Calc_오픈정렬!L133=""),"",Calc_오픈정렬!L133/Calc_오픈정렬!$F133*100)</f>
        <v>87.554502191592604</v>
      </c>
      <c r="M133">
        <f>IF(OR(Calc_오픈정렬!$F133="",Calc_오픈정렬!M133=""),"",Calc_오픈정렬!M133/Calc_오픈정렬!$F133*100)</f>
        <v>98.147367540625694</v>
      </c>
      <c r="N133">
        <f>IF(OR(Calc_오픈정렬!$F133="",Calc_오픈정렬!N133=""),"",Calc_오픈정렬!N133/Calc_오픈정렬!$F133*100)</f>
        <v>105.53933964776422</v>
      </c>
      <c r="O133">
        <f>IF(OR(Calc_오픈정렬!$F133="",Calc_오픈정렬!O133=""),"",Calc_오픈정렬!O133/Calc_오픈정렬!$F133*100)</f>
        <v>99.016167315094378</v>
      </c>
      <c r="P133">
        <f>IF(OR(Calc_오픈정렬!$F133="",Calc_오픈정렬!P133=""),"",Calc_오픈정렬!P133/Calc_오픈정렬!$F133*100)</f>
        <v>121.81260103249618</v>
      </c>
      <c r="Q133">
        <f>IF(OR(Calc_오픈정렬!$F133="",Calc_오픈정렬!Q133=""),"",Calc_오픈정렬!Q133/Calc_오픈정렬!$F133*100)</f>
        <v>115.69750424553669</v>
      </c>
      <c r="R133">
        <f>IF(OR(Calc_오픈정렬!$F133="",Calc_오픈정렬!R133=""),"",Calc_오픈정렬!R133/Calc_오픈정렬!$F133*100)</f>
        <v>117.94282754951749</v>
      </c>
      <c r="S133">
        <f>IF(OR(Calc_오픈정렬!$F133="",Calc_오픈정렬!S133=""),"",Calc_오픈정렬!S133/Calc_오픈정렬!$F133*100)</f>
        <v>128.82589892289735</v>
      </c>
      <c r="T133">
        <f>IF(OR(Calc_오픈정렬!$F133="",Calc_오픈정렬!T133=""),"",Calc_오픈정렬!T133/Calc_오픈정렬!$F133*100)</f>
        <v>126.90813915564914</v>
      </c>
      <c r="U133">
        <f>IF(OR(Calc_오픈정렬!$F133="",Calc_오픈정렬!U133=""),"",Calc_오픈정렬!U133/Calc_오픈정렬!$F133*100)</f>
        <v>106.5261883511204</v>
      </c>
      <c r="V133">
        <f>IF(OR(Calc_오픈정렬!$F133="",Calc_오픈정렬!V133=""),"",Calc_오픈정렬!V133/Calc_오픈정렬!$F133*100)</f>
        <v>116.76099387670247</v>
      </c>
      <c r="W133">
        <f>IF(OR(Calc_오픈정렬!$F133="",Calc_오픈정렬!W133=""),"",Calc_오픈정렬!W133/Calc_오픈정렬!$F133*100)</f>
        <v>123.39740263298407</v>
      </c>
      <c r="X133" t="str">
        <f>IF(OR(Calc_오픈정렬!$F133="",Calc_오픈정렬!X133=""),"",Calc_오픈정렬!X133/Calc_오픈정렬!$F133*100)</f>
        <v/>
      </c>
      <c r="Y133" t="str">
        <f>IF(OR(Calc_오픈정렬!$F133="",Calc_오픈정렬!Y133=""),"",Calc_오픈정렬!Y133/Calc_오픈정렬!$F133*100)</f>
        <v/>
      </c>
      <c r="Z133" t="str">
        <f>IF(OR(Calc_오픈정렬!$F133="",Calc_오픈정렬!Z133=""),"",Calc_오픈정렬!Z133/Calc_오픈정렬!$F133*100)</f>
        <v/>
      </c>
      <c r="AA133" t="str">
        <f>IF(OR(Calc_오픈정렬!$F133="",Calc_오픈정렬!AA133=""),"",Calc_오픈정렬!AA133/Calc_오픈정렬!$F133*100)</f>
        <v/>
      </c>
      <c r="AB133" t="str">
        <f>IF(OR(Calc_오픈정렬!$F133="",Calc_오픈정렬!AB133=""),"",Calc_오픈정렬!AB133/Calc_오픈정렬!$F133*100)</f>
        <v/>
      </c>
      <c r="AC133" t="str">
        <f>IF(OR(Calc_오픈정렬!$F133="",Calc_오픈정렬!AC133=""),"",Calc_오픈정렬!AC133/Calc_오픈정렬!$F133*100)</f>
        <v/>
      </c>
      <c r="AD133" t="str">
        <f>IF(OR(Calc_오픈정렬!$F133="",Calc_오픈정렬!AD133=""),"",Calc_오픈정렬!AD133/Calc_오픈정렬!$F133*100)</f>
        <v/>
      </c>
      <c r="AE133" t="str">
        <f>IF(OR(Calc_오픈정렬!$F133="",Calc_오픈정렬!AE133=""),"",Calc_오픈정렬!AE133/Calc_오픈정렬!$F133*100)</f>
        <v/>
      </c>
      <c r="AF133" t="str">
        <f>IF(OR(Calc_오픈정렬!$F133="",Calc_오픈정렬!AF133=""),"",Calc_오픈정렬!AF133/Calc_오픈정렬!$F133*100)</f>
        <v/>
      </c>
      <c r="AG133" t="str">
        <f>IF(OR(Calc_오픈정렬!$F133="",Calc_오픈정렬!AG133=""),"",Calc_오픈정렬!AG133/Calc_오픈정렬!$F133*100)</f>
        <v/>
      </c>
      <c r="AH133" t="str">
        <f>IF(OR(Calc_오픈정렬!$F133="",Calc_오픈정렬!AH133=""),"",Calc_오픈정렬!AH133/Calc_오픈정렬!$F133*100)</f>
        <v/>
      </c>
      <c r="AI133" t="str">
        <f>IF(OR(Calc_오픈정렬!$F133="",Calc_오픈정렬!AI133=""),"",Calc_오픈정렬!AI133/Calc_오픈정렬!$F133*100)</f>
        <v/>
      </c>
      <c r="AJ133" t="str">
        <f>IF(OR(Calc_오픈정렬!$F133="",Calc_오픈정렬!AJ133=""),"",Calc_오픈정렬!AJ133/Calc_오픈정렬!$F133*100)</f>
        <v/>
      </c>
      <c r="AK133" t="str">
        <f>IF(OR(Calc_오픈정렬!$F133="",Calc_오픈정렬!AK133=""),"",Calc_오픈정렬!AK133/Calc_오픈정렬!$F133*100)</f>
        <v/>
      </c>
      <c r="AL133" t="str">
        <f>IF(OR(Calc_오픈정렬!$F133="",Calc_오픈정렬!AL133=""),"",Calc_오픈정렬!AL133/Calc_오픈정렬!$F133*100)</f>
        <v/>
      </c>
      <c r="AM133" t="str">
        <f>IF(OR(Calc_오픈정렬!$F133="",Calc_오픈정렬!AM133=""),"",Calc_오픈정렬!AM133/Calc_오픈정렬!$F133*100)</f>
        <v/>
      </c>
      <c r="AN133" t="str">
        <f>IF(OR(Calc_오픈정렬!$F133="",Calc_오픈정렬!AN133=""),"",Calc_오픈정렬!AN133/Calc_오픈정렬!$F133*100)</f>
        <v/>
      </c>
      <c r="AO133" t="str">
        <f>IF(OR(Calc_오픈정렬!$F133="",Calc_오픈정렬!AO133=""),"",Calc_오픈정렬!AO133/Calc_오픈정렬!$F133*100)</f>
        <v/>
      </c>
      <c r="AP133" t="str">
        <f>IF(OR(Calc_오픈정렬!$F133="",Calc_오픈정렬!AP133=""),"",Calc_오픈정렬!AP133/Calc_오픈정렬!$F133*100)</f>
        <v/>
      </c>
      <c r="AQ133" t="str">
        <f>IF(OR(Calc_오픈정렬!$F133="",Calc_오픈정렬!AQ133=""),"",Calc_오픈정렬!AQ133/Calc_오픈정렬!$F133*100)</f>
        <v/>
      </c>
      <c r="AR133" t="str">
        <f>IF(OR(Calc_오픈정렬!$F133="",Calc_오픈정렬!AR133=""),"",Calc_오픈정렬!AR133/Calc_오픈정렬!$F133*100)</f>
        <v/>
      </c>
      <c r="AS133" t="str">
        <f>IF(OR(Calc_오픈정렬!$F133="",Calc_오픈정렬!AS133=""),"",Calc_오픈정렬!AS133/Calc_오픈정렬!$F133*100)</f>
        <v/>
      </c>
      <c r="AT133" t="str">
        <f>IF(OR(Calc_오픈정렬!$F133="",Calc_오픈정렬!AT133=""),"",Calc_오픈정렬!AT133/Calc_오픈정렬!$F133*100)</f>
        <v/>
      </c>
      <c r="AU133" t="str">
        <f>IF(OR(Calc_오픈정렬!$F133="",Calc_오픈정렬!AU133=""),"",Calc_오픈정렬!AU133/Calc_오픈정렬!$F133*100)</f>
        <v/>
      </c>
      <c r="AV133" t="str">
        <f>IF(OR(Calc_오픈정렬!$F133="",Calc_오픈정렬!AV133=""),"",Calc_오픈정렬!AV133/Calc_오픈정렬!$F133*100)</f>
        <v/>
      </c>
      <c r="AW133" t="str">
        <f>IF(OR(Calc_오픈정렬!$F133="",Calc_오픈정렬!AW133=""),"",Calc_오픈정렬!AW133/Calc_오픈정렬!$F133*100)</f>
        <v/>
      </c>
      <c r="AX133" t="str">
        <f>IF(OR(Calc_오픈정렬!$F133="",Calc_오픈정렬!AX133=""),"",Calc_오픈정렬!AX133/Calc_오픈정렬!$F133*100)</f>
        <v/>
      </c>
      <c r="AY133" t="str">
        <f>IF(OR(Calc_오픈정렬!$F133="",Calc_오픈정렬!AY133=""),"",Calc_오픈정렬!AY133/Calc_오픈정렬!$F133*100)</f>
        <v/>
      </c>
      <c r="AZ133" t="str">
        <f>IF(OR(Calc_오픈정렬!$F133="",Calc_오픈정렬!AZ133=""),"",Calc_오픈정렬!AZ133/Calc_오픈정렬!$F133*100)</f>
        <v/>
      </c>
      <c r="BA133" t="str">
        <f>IF(OR(Calc_오픈정렬!$F133="",Calc_오픈정렬!BA133=""),"",Calc_오픈정렬!BA133/Calc_오픈정렬!$F133*100)</f>
        <v/>
      </c>
      <c r="BB133" t="str">
        <f>IF(OR(Calc_오픈정렬!$F133="",Calc_오픈정렬!BB133=""),"",Calc_오픈정렬!BB133/Calc_오픈정렬!$F133*100)</f>
        <v/>
      </c>
      <c r="BC133" t="str">
        <f>IF(OR(Calc_오픈정렬!$F133="",Calc_오픈정렬!BC133=""),"",Calc_오픈정렬!BC133/Calc_오픈정렬!$F133*100)</f>
        <v/>
      </c>
      <c r="BD133" t="str">
        <f>IF(OR(Calc_오픈정렬!$F133="",Calc_오픈정렬!BD133=""),"",Calc_오픈정렬!BD133/Calc_오픈정렬!$F133*100)</f>
        <v/>
      </c>
      <c r="BE133" t="str">
        <f>IF(OR(Calc_오픈정렬!$F133="",Calc_오픈정렬!BE133=""),"",Calc_오픈정렬!BE133/Calc_오픈정렬!$F133*100)</f>
        <v/>
      </c>
      <c r="BF133" t="str">
        <f>IF(OR(Calc_오픈정렬!$F133="",Calc_오픈정렬!BF133=""),"",Calc_오픈정렬!BF133/Calc_오픈정렬!$F133*100)</f>
        <v/>
      </c>
      <c r="BG133" t="str">
        <f>IF(OR(Calc_오픈정렬!$F133="",Calc_오픈정렬!BG133=""),"",Calc_오픈정렬!BG133/Calc_오픈정렬!$F133*100)</f>
        <v/>
      </c>
      <c r="BH133" t="str">
        <f>IF(OR(Calc_오픈정렬!$F133="",Calc_오픈정렬!BH133=""),"",Calc_오픈정렬!BH133/Calc_오픈정렬!$F133*100)</f>
        <v/>
      </c>
      <c r="BI133" t="str">
        <f>IF(OR(Calc_오픈정렬!$F133="",Calc_오픈정렬!BI133=""),"",Calc_오픈정렬!BI133/Calc_오픈정렬!$F133*100)</f>
        <v/>
      </c>
      <c r="BJ133" t="str">
        <f>IF(OR(Calc_오픈정렬!$F133="",Calc_오픈정렬!BJ133=""),"",Calc_오픈정렬!BJ133/Calc_오픈정렬!$F133*100)</f>
        <v/>
      </c>
      <c r="BK133" t="str">
        <f>IF(OR(Calc_오픈정렬!$F133="",Calc_오픈정렬!BK133=""),"",Calc_오픈정렬!BK133/Calc_오픈정렬!$F133*100)</f>
        <v/>
      </c>
      <c r="BL133" t="str">
        <f>IF(OR(Calc_오픈정렬!$F133="",Calc_오픈정렬!BL133=""),"",Calc_오픈정렬!BL133/Calc_오픈정렬!$F133*100)</f>
        <v/>
      </c>
      <c r="BM133" t="str">
        <f>IF(OR(Calc_오픈정렬!$F133="",Calc_오픈정렬!BM133=""),"",Calc_오픈정렬!BM133/Calc_오픈정렬!$F133*100)</f>
        <v/>
      </c>
      <c r="BN133" t="str">
        <f>IF(OR(Calc_오픈정렬!$F133="",Calc_오픈정렬!BN133=""),"",Calc_오픈정렬!BN133/Calc_오픈정렬!$F133*100)</f>
        <v/>
      </c>
    </row>
    <row r="134" spans="1:66" x14ac:dyDescent="0.4">
      <c r="A134" t="str">
        <f>Calc_오픈정렬!A134</f>
        <v>(1125) #불광역대조점</v>
      </c>
      <c r="B134" t="str">
        <f>Calc_오픈정렬!B134</f>
        <v>150-1</v>
      </c>
      <c r="C134">
        <f>Calc_오픈정렬!C134</f>
        <v>1</v>
      </c>
      <c r="D134" t="str">
        <f>Calc_오픈정렬!D134</f>
        <v>1</v>
      </c>
      <c r="E134" s="1">
        <f>Calc_오픈정렬!E134</f>
        <v>45689</v>
      </c>
      <c r="F134">
        <f>Calc_오픈정렬!F134</f>
        <v>5960454.5128217712</v>
      </c>
      <c r="G134">
        <f>IF(OR(Calc_오픈정렬!$F134="",Calc_오픈정렬!G134=""),"",Calc_오픈정렬!G134/Calc_오픈정렬!$F134*100)</f>
        <v>78.867667141718798</v>
      </c>
      <c r="H134">
        <f>IF(OR(Calc_오픈정렬!$F134="",Calc_오픈정렬!H134=""),"",Calc_오픈정렬!H134/Calc_오픈정렬!$F134*100)</f>
        <v>98.044689008465454</v>
      </c>
      <c r="I134">
        <f>IF(OR(Calc_오픈정렬!$F134="",Calc_오픈정렬!I134=""),"",Calc_오픈정렬!I134/Calc_오픈정렬!$F134*100)</f>
        <v>95.299872093362964</v>
      </c>
      <c r="J134">
        <f>IF(OR(Calc_오픈정렬!$F134="",Calc_오픈정렬!J134=""),"",Calc_오픈정렬!J134/Calc_오픈정렬!$F134*100)</f>
        <v>98.791629959725157</v>
      </c>
      <c r="K134">
        <f>IF(OR(Calc_오픈정렬!$F134="",Calc_오픈정렬!K134=""),"",Calc_오픈정렬!K134/Calc_오픈정렬!$F134*100)</f>
        <v>100.67584903282474</v>
      </c>
      <c r="L134">
        <f>IF(OR(Calc_오픈정렬!$F134="",Calc_오픈정렬!L134=""),"",Calc_오픈정렬!L134/Calc_오픈정렬!$F134*100)</f>
        <v>92.72223512334628</v>
      </c>
      <c r="M134">
        <f>IF(OR(Calc_오픈정렬!$F134="",Calc_오픈정렬!M134=""),"",Calc_오픈정렬!M134/Calc_오픈정렬!$F134*100)</f>
        <v>104.24327517502374</v>
      </c>
      <c r="N134">
        <f>IF(OR(Calc_오픈정렬!$F134="",Calc_오픈정렬!N134=""),"",Calc_오픈정렬!N134/Calc_오픈정렬!$F134*100)</f>
        <v>96.529545613648068</v>
      </c>
      <c r="O134">
        <f>IF(OR(Calc_오픈정렬!$F134="",Calc_오픈정렬!O134=""),"",Calc_오픈정렬!O134/Calc_오픈정렬!$F134*100)</f>
        <v>107.037465095432</v>
      </c>
      <c r="P134">
        <f>IF(OR(Calc_오픈정렬!$F134="",Calc_오픈정렬!P134=""),"",Calc_오픈정렬!P134/Calc_오픈정렬!$F134*100)</f>
        <v>106.51125181720124</v>
      </c>
      <c r="Q134">
        <f>IF(OR(Calc_오픈정렬!$F134="",Calc_오픈정렬!Q134=""),"",Calc_오픈정렬!Q134/Calc_오픈정렬!$F134*100)</f>
        <v>101.49524073336278</v>
      </c>
      <c r="R134">
        <f>IF(OR(Calc_오픈정렬!$F134="",Calc_오픈정렬!R134=""),"",Calc_오픈정렬!R134/Calc_오픈정렬!$F134*100)</f>
        <v>114.5334583747526</v>
      </c>
      <c r="S134">
        <f>IF(OR(Calc_오픈정렬!$F134="",Calc_오픈정렬!S134=""),"",Calc_오픈정렬!S134/Calc_오픈정렬!$F134*100)</f>
        <v>128.80163744530131</v>
      </c>
      <c r="T134">
        <f>IF(OR(Calc_오픈정렬!$F134="",Calc_오픈정렬!T134=""),"",Calc_오픈정렬!T134/Calc_오픈정렬!$F134*100)</f>
        <v>124.77992742711974</v>
      </c>
      <c r="U134">
        <f>IF(OR(Calc_오픈정렬!$F134="",Calc_오픈정렬!U134=""),"",Calc_오픈정렬!U134/Calc_오픈정렬!$F134*100)</f>
        <v>128.561613571344</v>
      </c>
      <c r="V134">
        <f>IF(OR(Calc_오픈정렬!$F134="",Calc_오픈정렬!V134=""),"",Calc_오픈정렬!V134/Calc_오픈정렬!$F134*100)</f>
        <v>123.50952041281514</v>
      </c>
      <c r="W134" t="str">
        <f>IF(OR(Calc_오픈정렬!$F134="",Calc_오픈정렬!W134=""),"",Calc_오픈정렬!W134/Calc_오픈정렬!$F134*100)</f>
        <v/>
      </c>
      <c r="X134" t="str">
        <f>IF(OR(Calc_오픈정렬!$F134="",Calc_오픈정렬!X134=""),"",Calc_오픈정렬!X134/Calc_오픈정렬!$F134*100)</f>
        <v/>
      </c>
      <c r="Y134" t="str">
        <f>IF(OR(Calc_오픈정렬!$F134="",Calc_오픈정렬!Y134=""),"",Calc_오픈정렬!Y134/Calc_오픈정렬!$F134*100)</f>
        <v/>
      </c>
      <c r="Z134" t="str">
        <f>IF(OR(Calc_오픈정렬!$F134="",Calc_오픈정렬!Z134=""),"",Calc_오픈정렬!Z134/Calc_오픈정렬!$F134*100)</f>
        <v/>
      </c>
      <c r="AA134" t="str">
        <f>IF(OR(Calc_오픈정렬!$F134="",Calc_오픈정렬!AA134=""),"",Calc_오픈정렬!AA134/Calc_오픈정렬!$F134*100)</f>
        <v/>
      </c>
      <c r="AB134" t="str">
        <f>IF(OR(Calc_오픈정렬!$F134="",Calc_오픈정렬!AB134=""),"",Calc_오픈정렬!AB134/Calc_오픈정렬!$F134*100)</f>
        <v/>
      </c>
      <c r="AC134" t="str">
        <f>IF(OR(Calc_오픈정렬!$F134="",Calc_오픈정렬!AC134=""),"",Calc_오픈정렬!AC134/Calc_오픈정렬!$F134*100)</f>
        <v/>
      </c>
      <c r="AD134" t="str">
        <f>IF(OR(Calc_오픈정렬!$F134="",Calc_오픈정렬!AD134=""),"",Calc_오픈정렬!AD134/Calc_오픈정렬!$F134*100)</f>
        <v/>
      </c>
      <c r="AE134" t="str">
        <f>IF(OR(Calc_오픈정렬!$F134="",Calc_오픈정렬!AE134=""),"",Calc_오픈정렬!AE134/Calc_오픈정렬!$F134*100)</f>
        <v/>
      </c>
      <c r="AF134" t="str">
        <f>IF(OR(Calc_오픈정렬!$F134="",Calc_오픈정렬!AF134=""),"",Calc_오픈정렬!AF134/Calc_오픈정렬!$F134*100)</f>
        <v/>
      </c>
      <c r="AG134" t="str">
        <f>IF(OR(Calc_오픈정렬!$F134="",Calc_오픈정렬!AG134=""),"",Calc_오픈정렬!AG134/Calc_오픈정렬!$F134*100)</f>
        <v/>
      </c>
      <c r="AH134" t="str">
        <f>IF(OR(Calc_오픈정렬!$F134="",Calc_오픈정렬!AH134=""),"",Calc_오픈정렬!AH134/Calc_오픈정렬!$F134*100)</f>
        <v/>
      </c>
      <c r="AI134" t="str">
        <f>IF(OR(Calc_오픈정렬!$F134="",Calc_오픈정렬!AI134=""),"",Calc_오픈정렬!AI134/Calc_오픈정렬!$F134*100)</f>
        <v/>
      </c>
      <c r="AJ134" t="str">
        <f>IF(OR(Calc_오픈정렬!$F134="",Calc_오픈정렬!AJ134=""),"",Calc_오픈정렬!AJ134/Calc_오픈정렬!$F134*100)</f>
        <v/>
      </c>
      <c r="AK134" t="str">
        <f>IF(OR(Calc_오픈정렬!$F134="",Calc_오픈정렬!AK134=""),"",Calc_오픈정렬!AK134/Calc_오픈정렬!$F134*100)</f>
        <v/>
      </c>
      <c r="AL134" t="str">
        <f>IF(OR(Calc_오픈정렬!$F134="",Calc_오픈정렬!AL134=""),"",Calc_오픈정렬!AL134/Calc_오픈정렬!$F134*100)</f>
        <v/>
      </c>
      <c r="AM134" t="str">
        <f>IF(OR(Calc_오픈정렬!$F134="",Calc_오픈정렬!AM134=""),"",Calc_오픈정렬!AM134/Calc_오픈정렬!$F134*100)</f>
        <v/>
      </c>
      <c r="AN134" t="str">
        <f>IF(OR(Calc_오픈정렬!$F134="",Calc_오픈정렬!AN134=""),"",Calc_오픈정렬!AN134/Calc_오픈정렬!$F134*100)</f>
        <v/>
      </c>
      <c r="AO134" t="str">
        <f>IF(OR(Calc_오픈정렬!$F134="",Calc_오픈정렬!AO134=""),"",Calc_오픈정렬!AO134/Calc_오픈정렬!$F134*100)</f>
        <v/>
      </c>
      <c r="AP134" t="str">
        <f>IF(OR(Calc_오픈정렬!$F134="",Calc_오픈정렬!AP134=""),"",Calc_오픈정렬!AP134/Calc_오픈정렬!$F134*100)</f>
        <v/>
      </c>
      <c r="AQ134" t="str">
        <f>IF(OR(Calc_오픈정렬!$F134="",Calc_오픈정렬!AQ134=""),"",Calc_오픈정렬!AQ134/Calc_오픈정렬!$F134*100)</f>
        <v/>
      </c>
      <c r="AR134" t="str">
        <f>IF(OR(Calc_오픈정렬!$F134="",Calc_오픈정렬!AR134=""),"",Calc_오픈정렬!AR134/Calc_오픈정렬!$F134*100)</f>
        <v/>
      </c>
      <c r="AS134" t="str">
        <f>IF(OR(Calc_오픈정렬!$F134="",Calc_오픈정렬!AS134=""),"",Calc_오픈정렬!AS134/Calc_오픈정렬!$F134*100)</f>
        <v/>
      </c>
      <c r="AT134" t="str">
        <f>IF(OR(Calc_오픈정렬!$F134="",Calc_오픈정렬!AT134=""),"",Calc_오픈정렬!AT134/Calc_오픈정렬!$F134*100)</f>
        <v/>
      </c>
      <c r="AU134" t="str">
        <f>IF(OR(Calc_오픈정렬!$F134="",Calc_오픈정렬!AU134=""),"",Calc_오픈정렬!AU134/Calc_오픈정렬!$F134*100)</f>
        <v/>
      </c>
      <c r="AV134" t="str">
        <f>IF(OR(Calc_오픈정렬!$F134="",Calc_오픈정렬!AV134=""),"",Calc_오픈정렬!AV134/Calc_오픈정렬!$F134*100)</f>
        <v/>
      </c>
      <c r="AW134" t="str">
        <f>IF(OR(Calc_오픈정렬!$F134="",Calc_오픈정렬!AW134=""),"",Calc_오픈정렬!AW134/Calc_오픈정렬!$F134*100)</f>
        <v/>
      </c>
      <c r="AX134" t="str">
        <f>IF(OR(Calc_오픈정렬!$F134="",Calc_오픈정렬!AX134=""),"",Calc_오픈정렬!AX134/Calc_오픈정렬!$F134*100)</f>
        <v/>
      </c>
      <c r="AY134" t="str">
        <f>IF(OR(Calc_오픈정렬!$F134="",Calc_오픈정렬!AY134=""),"",Calc_오픈정렬!AY134/Calc_오픈정렬!$F134*100)</f>
        <v/>
      </c>
      <c r="AZ134" t="str">
        <f>IF(OR(Calc_오픈정렬!$F134="",Calc_오픈정렬!AZ134=""),"",Calc_오픈정렬!AZ134/Calc_오픈정렬!$F134*100)</f>
        <v/>
      </c>
      <c r="BA134" t="str">
        <f>IF(OR(Calc_오픈정렬!$F134="",Calc_오픈정렬!BA134=""),"",Calc_오픈정렬!BA134/Calc_오픈정렬!$F134*100)</f>
        <v/>
      </c>
      <c r="BB134" t="str">
        <f>IF(OR(Calc_오픈정렬!$F134="",Calc_오픈정렬!BB134=""),"",Calc_오픈정렬!BB134/Calc_오픈정렬!$F134*100)</f>
        <v/>
      </c>
      <c r="BC134" t="str">
        <f>IF(OR(Calc_오픈정렬!$F134="",Calc_오픈정렬!BC134=""),"",Calc_오픈정렬!BC134/Calc_오픈정렬!$F134*100)</f>
        <v/>
      </c>
      <c r="BD134" t="str">
        <f>IF(OR(Calc_오픈정렬!$F134="",Calc_오픈정렬!BD134=""),"",Calc_오픈정렬!BD134/Calc_오픈정렬!$F134*100)</f>
        <v/>
      </c>
      <c r="BE134" t="str">
        <f>IF(OR(Calc_오픈정렬!$F134="",Calc_오픈정렬!BE134=""),"",Calc_오픈정렬!BE134/Calc_오픈정렬!$F134*100)</f>
        <v/>
      </c>
      <c r="BF134" t="str">
        <f>IF(OR(Calc_오픈정렬!$F134="",Calc_오픈정렬!BF134=""),"",Calc_오픈정렬!BF134/Calc_오픈정렬!$F134*100)</f>
        <v/>
      </c>
      <c r="BG134" t="str">
        <f>IF(OR(Calc_오픈정렬!$F134="",Calc_오픈정렬!BG134=""),"",Calc_오픈정렬!BG134/Calc_오픈정렬!$F134*100)</f>
        <v/>
      </c>
      <c r="BH134" t="str">
        <f>IF(OR(Calc_오픈정렬!$F134="",Calc_오픈정렬!BH134=""),"",Calc_오픈정렬!BH134/Calc_오픈정렬!$F134*100)</f>
        <v/>
      </c>
      <c r="BI134" t="str">
        <f>IF(OR(Calc_오픈정렬!$F134="",Calc_오픈정렬!BI134=""),"",Calc_오픈정렬!BI134/Calc_오픈정렬!$F134*100)</f>
        <v/>
      </c>
      <c r="BJ134" t="str">
        <f>IF(OR(Calc_오픈정렬!$F134="",Calc_오픈정렬!BJ134=""),"",Calc_오픈정렬!BJ134/Calc_오픈정렬!$F134*100)</f>
        <v/>
      </c>
      <c r="BK134" t="str">
        <f>IF(OR(Calc_오픈정렬!$F134="",Calc_오픈정렬!BK134=""),"",Calc_오픈정렬!BK134/Calc_오픈정렬!$F134*100)</f>
        <v/>
      </c>
      <c r="BL134" t="str">
        <f>IF(OR(Calc_오픈정렬!$F134="",Calc_오픈정렬!BL134=""),"",Calc_오픈정렬!BL134/Calc_오픈정렬!$F134*100)</f>
        <v/>
      </c>
      <c r="BM134" t="str">
        <f>IF(OR(Calc_오픈정렬!$F134="",Calc_오픈정렬!BM134=""),"",Calc_오픈정렬!BM134/Calc_오픈정렬!$F134*100)</f>
        <v/>
      </c>
      <c r="BN134" t="str">
        <f>IF(OR(Calc_오픈정렬!$F134="",Calc_오픈정렬!BN134=""),"",Calc_오픈정렬!BN134/Calc_오픈정렬!$F134*100)</f>
        <v/>
      </c>
    </row>
    <row r="135" spans="1:66" x14ac:dyDescent="0.4">
      <c r="A135" t="str">
        <f>Calc_오픈정렬!A135</f>
        <v>(1126) #창천신촌로점</v>
      </c>
      <c r="B135" t="str">
        <f>Calc_오픈정렬!B135</f>
        <v>150-2</v>
      </c>
      <c r="C135">
        <f>Calc_오픈정렬!C135</f>
        <v>2</v>
      </c>
      <c r="D135" t="str">
        <f>Calc_오픈정렬!D135</f>
        <v>2</v>
      </c>
      <c r="E135" s="1">
        <f>Calc_오픈정렬!E135</f>
        <v>45778</v>
      </c>
      <c r="F135">
        <f>Calc_오픈정렬!F135</f>
        <v>7029597.8498775074</v>
      </c>
      <c r="G135">
        <f>IF(OR(Calc_오픈정렬!$F135="",Calc_오픈정렬!G135=""),"",Calc_오픈정렬!G135/Calc_오픈정렬!$F135*100)</f>
        <v>57.229408219648789</v>
      </c>
      <c r="H135">
        <f>IF(OR(Calc_오픈정렬!$F135="",Calc_오픈정렬!H135=""),"",Calc_오픈정렬!H135/Calc_오픈정렬!$F135*100)</f>
        <v>84.781773042365273</v>
      </c>
      <c r="I135">
        <f>IF(OR(Calc_오픈정렬!$F135="",Calc_오픈정렬!I135=""),"",Calc_오픈정렬!I135/Calc_오픈정렬!$F135*100)</f>
        <v>86.165118822224755</v>
      </c>
      <c r="J135">
        <f>IF(OR(Calc_오픈정렬!$F135="",Calc_오픈정렬!J135=""),"",Calc_오픈정렬!J135/Calc_오픈정렬!$F135*100)</f>
        <v>92.19030179670996</v>
      </c>
      <c r="K135">
        <f>IF(OR(Calc_오픈정렬!$F135="",Calc_오픈정렬!K135=""),"",Calc_오픈정렬!K135/Calc_오픈정렬!$F135*100)</f>
        <v>89.413115952118943</v>
      </c>
      <c r="L135">
        <f>IF(OR(Calc_오픈정렬!$F135="",Calc_오픈정렬!L135=""),"",Calc_오픈정렬!L135/Calc_오픈정렬!$F135*100)</f>
        <v>102.03446286409996</v>
      </c>
      <c r="M135">
        <f>IF(OR(Calc_오픈정렬!$F135="",Calc_오픈정렬!M135=""),"",Calc_오픈정렬!M135/Calc_오픈정렬!$F135*100)</f>
        <v>102.29219759975368</v>
      </c>
      <c r="N135">
        <f>IF(OR(Calc_오픈정렬!$F135="",Calc_오픈정렬!N135=""),"",Calc_오픈정렬!N135/Calc_오픈정렬!$F135*100)</f>
        <v>102.60520320021718</v>
      </c>
      <c r="O135">
        <f>IF(OR(Calc_오픈정렬!$F135="",Calc_오픈정렬!O135=""),"",Calc_오픈정렬!O135/Calc_오픈정렬!$F135*100)</f>
        <v>111.46471858710028</v>
      </c>
      <c r="P135">
        <f>IF(OR(Calc_오픈정렬!$F135="",Calc_오픈정렬!P135=""),"",Calc_오픈정렬!P135/Calc_오픈정렬!$F135*100)</f>
        <v>103.87434130840172</v>
      </c>
      <c r="Q135">
        <f>IF(OR(Calc_오픈정렬!$F135="",Calc_오픈정렬!Q135=""),"",Calc_오픈정렬!Q135/Calc_오픈정렬!$F135*100)</f>
        <v>117.61407236790234</v>
      </c>
      <c r="R135">
        <f>IF(OR(Calc_오픈정렬!$F135="",Calc_오픈정렬!R135=""),"",Calc_오픈정렬!R135/Calc_오픈정렬!$F135*100)</f>
        <v>132.13571281209249</v>
      </c>
      <c r="S135">
        <f>IF(OR(Calc_오픈정렬!$F135="",Calc_오픈정렬!S135=""),"",Calc_오픈정렬!S135/Calc_오픈정렬!$F135*100)</f>
        <v>119.61524294548207</v>
      </c>
      <c r="T135" t="str">
        <f>IF(OR(Calc_오픈정렬!$F135="",Calc_오픈정렬!T135=""),"",Calc_오픈정렬!T135/Calc_오픈정렬!$F135*100)</f>
        <v/>
      </c>
      <c r="U135" t="str">
        <f>IF(OR(Calc_오픈정렬!$F135="",Calc_오픈정렬!U135=""),"",Calc_오픈정렬!U135/Calc_오픈정렬!$F135*100)</f>
        <v/>
      </c>
      <c r="V135" t="str">
        <f>IF(OR(Calc_오픈정렬!$F135="",Calc_오픈정렬!V135=""),"",Calc_오픈정렬!V135/Calc_오픈정렬!$F135*100)</f>
        <v/>
      </c>
      <c r="W135" t="str">
        <f>IF(OR(Calc_오픈정렬!$F135="",Calc_오픈정렬!W135=""),"",Calc_오픈정렬!W135/Calc_오픈정렬!$F135*100)</f>
        <v/>
      </c>
      <c r="X135" t="str">
        <f>IF(OR(Calc_오픈정렬!$F135="",Calc_오픈정렬!X135=""),"",Calc_오픈정렬!X135/Calc_오픈정렬!$F135*100)</f>
        <v/>
      </c>
      <c r="Y135" t="str">
        <f>IF(OR(Calc_오픈정렬!$F135="",Calc_오픈정렬!Y135=""),"",Calc_오픈정렬!Y135/Calc_오픈정렬!$F135*100)</f>
        <v/>
      </c>
      <c r="Z135" t="str">
        <f>IF(OR(Calc_오픈정렬!$F135="",Calc_오픈정렬!Z135=""),"",Calc_오픈정렬!Z135/Calc_오픈정렬!$F135*100)</f>
        <v/>
      </c>
      <c r="AA135" t="str">
        <f>IF(OR(Calc_오픈정렬!$F135="",Calc_오픈정렬!AA135=""),"",Calc_오픈정렬!AA135/Calc_오픈정렬!$F135*100)</f>
        <v/>
      </c>
      <c r="AB135" t="str">
        <f>IF(OR(Calc_오픈정렬!$F135="",Calc_오픈정렬!AB135=""),"",Calc_오픈정렬!AB135/Calc_오픈정렬!$F135*100)</f>
        <v/>
      </c>
      <c r="AC135" t="str">
        <f>IF(OR(Calc_오픈정렬!$F135="",Calc_오픈정렬!AC135=""),"",Calc_오픈정렬!AC135/Calc_오픈정렬!$F135*100)</f>
        <v/>
      </c>
      <c r="AD135" t="str">
        <f>IF(OR(Calc_오픈정렬!$F135="",Calc_오픈정렬!AD135=""),"",Calc_오픈정렬!AD135/Calc_오픈정렬!$F135*100)</f>
        <v/>
      </c>
      <c r="AE135" t="str">
        <f>IF(OR(Calc_오픈정렬!$F135="",Calc_오픈정렬!AE135=""),"",Calc_오픈정렬!AE135/Calc_오픈정렬!$F135*100)</f>
        <v/>
      </c>
      <c r="AF135" t="str">
        <f>IF(OR(Calc_오픈정렬!$F135="",Calc_오픈정렬!AF135=""),"",Calc_오픈정렬!AF135/Calc_오픈정렬!$F135*100)</f>
        <v/>
      </c>
      <c r="AG135" t="str">
        <f>IF(OR(Calc_오픈정렬!$F135="",Calc_오픈정렬!AG135=""),"",Calc_오픈정렬!AG135/Calc_오픈정렬!$F135*100)</f>
        <v/>
      </c>
      <c r="AH135" t="str">
        <f>IF(OR(Calc_오픈정렬!$F135="",Calc_오픈정렬!AH135=""),"",Calc_오픈정렬!AH135/Calc_오픈정렬!$F135*100)</f>
        <v/>
      </c>
      <c r="AI135" t="str">
        <f>IF(OR(Calc_오픈정렬!$F135="",Calc_오픈정렬!AI135=""),"",Calc_오픈정렬!AI135/Calc_오픈정렬!$F135*100)</f>
        <v/>
      </c>
      <c r="AJ135" t="str">
        <f>IF(OR(Calc_오픈정렬!$F135="",Calc_오픈정렬!AJ135=""),"",Calc_오픈정렬!AJ135/Calc_오픈정렬!$F135*100)</f>
        <v/>
      </c>
      <c r="AK135" t="str">
        <f>IF(OR(Calc_오픈정렬!$F135="",Calc_오픈정렬!AK135=""),"",Calc_오픈정렬!AK135/Calc_오픈정렬!$F135*100)</f>
        <v/>
      </c>
      <c r="AL135" t="str">
        <f>IF(OR(Calc_오픈정렬!$F135="",Calc_오픈정렬!AL135=""),"",Calc_오픈정렬!AL135/Calc_오픈정렬!$F135*100)</f>
        <v/>
      </c>
      <c r="AM135" t="str">
        <f>IF(OR(Calc_오픈정렬!$F135="",Calc_오픈정렬!AM135=""),"",Calc_오픈정렬!AM135/Calc_오픈정렬!$F135*100)</f>
        <v/>
      </c>
      <c r="AN135" t="str">
        <f>IF(OR(Calc_오픈정렬!$F135="",Calc_오픈정렬!AN135=""),"",Calc_오픈정렬!AN135/Calc_오픈정렬!$F135*100)</f>
        <v/>
      </c>
      <c r="AO135" t="str">
        <f>IF(OR(Calc_오픈정렬!$F135="",Calc_오픈정렬!AO135=""),"",Calc_오픈정렬!AO135/Calc_오픈정렬!$F135*100)</f>
        <v/>
      </c>
      <c r="AP135" t="str">
        <f>IF(OR(Calc_오픈정렬!$F135="",Calc_오픈정렬!AP135=""),"",Calc_오픈정렬!AP135/Calc_오픈정렬!$F135*100)</f>
        <v/>
      </c>
      <c r="AQ135" t="str">
        <f>IF(OR(Calc_오픈정렬!$F135="",Calc_오픈정렬!AQ135=""),"",Calc_오픈정렬!AQ135/Calc_오픈정렬!$F135*100)</f>
        <v/>
      </c>
      <c r="AR135" t="str">
        <f>IF(OR(Calc_오픈정렬!$F135="",Calc_오픈정렬!AR135=""),"",Calc_오픈정렬!AR135/Calc_오픈정렬!$F135*100)</f>
        <v/>
      </c>
      <c r="AS135" t="str">
        <f>IF(OR(Calc_오픈정렬!$F135="",Calc_오픈정렬!AS135=""),"",Calc_오픈정렬!AS135/Calc_오픈정렬!$F135*100)</f>
        <v/>
      </c>
      <c r="AT135" t="str">
        <f>IF(OR(Calc_오픈정렬!$F135="",Calc_오픈정렬!AT135=""),"",Calc_오픈정렬!AT135/Calc_오픈정렬!$F135*100)</f>
        <v/>
      </c>
      <c r="AU135" t="str">
        <f>IF(OR(Calc_오픈정렬!$F135="",Calc_오픈정렬!AU135=""),"",Calc_오픈정렬!AU135/Calc_오픈정렬!$F135*100)</f>
        <v/>
      </c>
      <c r="AV135" t="str">
        <f>IF(OR(Calc_오픈정렬!$F135="",Calc_오픈정렬!AV135=""),"",Calc_오픈정렬!AV135/Calc_오픈정렬!$F135*100)</f>
        <v/>
      </c>
      <c r="AW135" t="str">
        <f>IF(OR(Calc_오픈정렬!$F135="",Calc_오픈정렬!AW135=""),"",Calc_오픈정렬!AW135/Calc_오픈정렬!$F135*100)</f>
        <v/>
      </c>
      <c r="AX135" t="str">
        <f>IF(OR(Calc_오픈정렬!$F135="",Calc_오픈정렬!AX135=""),"",Calc_오픈정렬!AX135/Calc_오픈정렬!$F135*100)</f>
        <v/>
      </c>
      <c r="AY135" t="str">
        <f>IF(OR(Calc_오픈정렬!$F135="",Calc_오픈정렬!AY135=""),"",Calc_오픈정렬!AY135/Calc_오픈정렬!$F135*100)</f>
        <v/>
      </c>
      <c r="AZ135" t="str">
        <f>IF(OR(Calc_오픈정렬!$F135="",Calc_오픈정렬!AZ135=""),"",Calc_오픈정렬!AZ135/Calc_오픈정렬!$F135*100)</f>
        <v/>
      </c>
      <c r="BA135" t="str">
        <f>IF(OR(Calc_오픈정렬!$F135="",Calc_오픈정렬!BA135=""),"",Calc_오픈정렬!BA135/Calc_오픈정렬!$F135*100)</f>
        <v/>
      </c>
      <c r="BB135" t="str">
        <f>IF(OR(Calc_오픈정렬!$F135="",Calc_오픈정렬!BB135=""),"",Calc_오픈정렬!BB135/Calc_오픈정렬!$F135*100)</f>
        <v/>
      </c>
      <c r="BC135" t="str">
        <f>IF(OR(Calc_오픈정렬!$F135="",Calc_오픈정렬!BC135=""),"",Calc_오픈정렬!BC135/Calc_오픈정렬!$F135*100)</f>
        <v/>
      </c>
      <c r="BD135" t="str">
        <f>IF(OR(Calc_오픈정렬!$F135="",Calc_오픈정렬!BD135=""),"",Calc_오픈정렬!BD135/Calc_오픈정렬!$F135*100)</f>
        <v/>
      </c>
      <c r="BE135" t="str">
        <f>IF(OR(Calc_오픈정렬!$F135="",Calc_오픈정렬!BE135=""),"",Calc_오픈정렬!BE135/Calc_오픈정렬!$F135*100)</f>
        <v/>
      </c>
      <c r="BF135" t="str">
        <f>IF(OR(Calc_오픈정렬!$F135="",Calc_오픈정렬!BF135=""),"",Calc_오픈정렬!BF135/Calc_오픈정렬!$F135*100)</f>
        <v/>
      </c>
      <c r="BG135" t="str">
        <f>IF(OR(Calc_오픈정렬!$F135="",Calc_오픈정렬!BG135=""),"",Calc_오픈정렬!BG135/Calc_오픈정렬!$F135*100)</f>
        <v/>
      </c>
      <c r="BH135" t="str">
        <f>IF(OR(Calc_오픈정렬!$F135="",Calc_오픈정렬!BH135=""),"",Calc_오픈정렬!BH135/Calc_오픈정렬!$F135*100)</f>
        <v/>
      </c>
      <c r="BI135" t="str">
        <f>IF(OR(Calc_오픈정렬!$F135="",Calc_오픈정렬!BI135=""),"",Calc_오픈정렬!BI135/Calc_오픈정렬!$F135*100)</f>
        <v/>
      </c>
      <c r="BJ135" t="str">
        <f>IF(OR(Calc_오픈정렬!$F135="",Calc_오픈정렬!BJ135=""),"",Calc_오픈정렬!BJ135/Calc_오픈정렬!$F135*100)</f>
        <v/>
      </c>
      <c r="BK135" t="str">
        <f>IF(OR(Calc_오픈정렬!$F135="",Calc_오픈정렬!BK135=""),"",Calc_오픈정렬!BK135/Calc_오픈정렬!$F135*100)</f>
        <v/>
      </c>
      <c r="BL135" t="str">
        <f>IF(OR(Calc_오픈정렬!$F135="",Calc_오픈정렬!BL135=""),"",Calc_오픈정렬!BL135/Calc_오픈정렬!$F135*100)</f>
        <v/>
      </c>
      <c r="BM135" t="str">
        <f>IF(OR(Calc_오픈정렬!$F135="",Calc_오픈정렬!BM135=""),"",Calc_오픈정렬!BM135/Calc_오픈정렬!$F135*100)</f>
        <v/>
      </c>
      <c r="BN135" t="str">
        <f>IF(OR(Calc_오픈정렬!$F135="",Calc_오픈정렬!BN135=""),"",Calc_오픈정렬!BN135/Calc_오픈정렬!$F135*100)</f>
        <v/>
      </c>
    </row>
    <row r="136" spans="1:66" x14ac:dyDescent="0.4">
      <c r="A136" t="str">
        <f>Calc_오픈정렬!A136</f>
        <v>(1127) #수원시청뽀송점</v>
      </c>
      <c r="B136" t="str">
        <f>Calc_오픈정렬!B136</f>
        <v>150-0</v>
      </c>
      <c r="C136">
        <f>Calc_오픈정렬!C136</f>
        <v>0</v>
      </c>
      <c r="D136" t="str">
        <f>Calc_오픈정렬!D136</f>
        <v>0</v>
      </c>
      <c r="E136" s="1">
        <f>Calc_오픈정렬!E136</f>
        <v>45870</v>
      </c>
      <c r="F136">
        <f>Calc_오픈정렬!F136</f>
        <v>3470048.6201526392</v>
      </c>
      <c r="G136">
        <f>IF(OR(Calc_오픈정렬!$F136="",Calc_오픈정렬!G136=""),"",Calc_오픈정렬!G136/Calc_오픈정렬!$F136*100)</f>
        <v>72.866037797132833</v>
      </c>
      <c r="H136">
        <f>IF(OR(Calc_오픈정렬!$F136="",Calc_오픈정렬!H136=""),"",Calc_오픈정렬!H136/Calc_오픈정렬!$F136*100)</f>
        <v>73.001555380506332</v>
      </c>
      <c r="I136">
        <f>IF(OR(Calc_오픈정렬!$F136="",Calc_오픈정렬!I136=""),"",Calc_오픈정렬!I136/Calc_오픈정렬!$F136*100)</f>
        <v>98.958224886313559</v>
      </c>
      <c r="J136">
        <f>IF(OR(Calc_오픈정렬!$F136="",Calc_오픈정렬!J136=""),"",Calc_오픈정렬!J136/Calc_오픈정렬!$F136*100)</f>
        <v>86.582125992500892</v>
      </c>
      <c r="K136">
        <f>IF(OR(Calc_오픈정렬!$F136="",Calc_오픈정렬!K136=""),"",Calc_오픈정렬!K136/Calc_오픈정렬!$F136*100)</f>
        <v>89.947049477093231</v>
      </c>
      <c r="L136">
        <f>IF(OR(Calc_오픈정렬!$F136="",Calc_오픈정렬!L136=""),"",Calc_오픈정렬!L136/Calc_오픈정렬!$F136*100)</f>
        <v>98.309601384687127</v>
      </c>
      <c r="M136">
        <f>IF(OR(Calc_오픈정렬!$F136="",Calc_오픈정렬!M136=""),"",Calc_오픈정렬!M136/Calc_오픈정렬!$F136*100)</f>
        <v>119.68571848628244</v>
      </c>
      <c r="N136">
        <f>IF(OR(Calc_오픈정렬!$F136="",Calc_오픈정렬!N136=""),"",Calc_오픈정렬!N136/Calc_오픈정렬!$F136*100)</f>
        <v>100.22237346253513</v>
      </c>
      <c r="O136">
        <f>IF(OR(Calc_오픈정렬!$F136="",Calc_오픈정렬!O136=""),"",Calc_오픈정렬!O136/Calc_오픈정렬!$F136*100)</f>
        <v>105.25313119690114</v>
      </c>
      <c r="P136">
        <f>IF(OR(Calc_오픈정렬!$F136="",Calc_오픈정렬!P136=""),"",Calc_오픈정렬!P136/Calc_오픈정렬!$F136*100)</f>
        <v>115.19069769456389</v>
      </c>
      <c r="Q136" t="str">
        <f>IF(OR(Calc_오픈정렬!$F136="",Calc_오픈정렬!Q136=""),"",Calc_오픈정렬!Q136/Calc_오픈정렬!$F136*100)</f>
        <v/>
      </c>
      <c r="R136" t="str">
        <f>IF(OR(Calc_오픈정렬!$F136="",Calc_오픈정렬!R136=""),"",Calc_오픈정렬!R136/Calc_오픈정렬!$F136*100)</f>
        <v/>
      </c>
      <c r="S136" t="str">
        <f>IF(OR(Calc_오픈정렬!$F136="",Calc_오픈정렬!S136=""),"",Calc_오픈정렬!S136/Calc_오픈정렬!$F136*100)</f>
        <v/>
      </c>
      <c r="T136" t="str">
        <f>IF(OR(Calc_오픈정렬!$F136="",Calc_오픈정렬!T136=""),"",Calc_오픈정렬!T136/Calc_오픈정렬!$F136*100)</f>
        <v/>
      </c>
      <c r="U136" t="str">
        <f>IF(OR(Calc_오픈정렬!$F136="",Calc_오픈정렬!U136=""),"",Calc_오픈정렬!U136/Calc_오픈정렬!$F136*100)</f>
        <v/>
      </c>
      <c r="V136" t="str">
        <f>IF(OR(Calc_오픈정렬!$F136="",Calc_오픈정렬!V136=""),"",Calc_오픈정렬!V136/Calc_오픈정렬!$F136*100)</f>
        <v/>
      </c>
      <c r="W136" t="str">
        <f>IF(OR(Calc_오픈정렬!$F136="",Calc_오픈정렬!W136=""),"",Calc_오픈정렬!W136/Calc_오픈정렬!$F136*100)</f>
        <v/>
      </c>
      <c r="X136" t="str">
        <f>IF(OR(Calc_오픈정렬!$F136="",Calc_오픈정렬!X136=""),"",Calc_오픈정렬!X136/Calc_오픈정렬!$F136*100)</f>
        <v/>
      </c>
      <c r="Y136" t="str">
        <f>IF(OR(Calc_오픈정렬!$F136="",Calc_오픈정렬!Y136=""),"",Calc_오픈정렬!Y136/Calc_오픈정렬!$F136*100)</f>
        <v/>
      </c>
      <c r="Z136" t="str">
        <f>IF(OR(Calc_오픈정렬!$F136="",Calc_오픈정렬!Z136=""),"",Calc_오픈정렬!Z136/Calc_오픈정렬!$F136*100)</f>
        <v/>
      </c>
      <c r="AA136" t="str">
        <f>IF(OR(Calc_오픈정렬!$F136="",Calc_오픈정렬!AA136=""),"",Calc_오픈정렬!AA136/Calc_오픈정렬!$F136*100)</f>
        <v/>
      </c>
      <c r="AB136" t="str">
        <f>IF(OR(Calc_오픈정렬!$F136="",Calc_오픈정렬!AB136=""),"",Calc_오픈정렬!AB136/Calc_오픈정렬!$F136*100)</f>
        <v/>
      </c>
      <c r="AC136" t="str">
        <f>IF(OR(Calc_오픈정렬!$F136="",Calc_오픈정렬!AC136=""),"",Calc_오픈정렬!AC136/Calc_오픈정렬!$F136*100)</f>
        <v/>
      </c>
      <c r="AD136" t="str">
        <f>IF(OR(Calc_오픈정렬!$F136="",Calc_오픈정렬!AD136=""),"",Calc_오픈정렬!AD136/Calc_오픈정렬!$F136*100)</f>
        <v/>
      </c>
      <c r="AE136" t="str">
        <f>IF(OR(Calc_오픈정렬!$F136="",Calc_오픈정렬!AE136=""),"",Calc_오픈정렬!AE136/Calc_오픈정렬!$F136*100)</f>
        <v/>
      </c>
      <c r="AF136" t="str">
        <f>IF(OR(Calc_오픈정렬!$F136="",Calc_오픈정렬!AF136=""),"",Calc_오픈정렬!AF136/Calc_오픈정렬!$F136*100)</f>
        <v/>
      </c>
      <c r="AG136" t="str">
        <f>IF(OR(Calc_오픈정렬!$F136="",Calc_오픈정렬!AG136=""),"",Calc_오픈정렬!AG136/Calc_오픈정렬!$F136*100)</f>
        <v/>
      </c>
      <c r="AH136" t="str">
        <f>IF(OR(Calc_오픈정렬!$F136="",Calc_오픈정렬!AH136=""),"",Calc_오픈정렬!AH136/Calc_오픈정렬!$F136*100)</f>
        <v/>
      </c>
      <c r="AI136" t="str">
        <f>IF(OR(Calc_오픈정렬!$F136="",Calc_오픈정렬!AI136=""),"",Calc_오픈정렬!AI136/Calc_오픈정렬!$F136*100)</f>
        <v/>
      </c>
      <c r="AJ136" t="str">
        <f>IF(OR(Calc_오픈정렬!$F136="",Calc_오픈정렬!AJ136=""),"",Calc_오픈정렬!AJ136/Calc_오픈정렬!$F136*100)</f>
        <v/>
      </c>
      <c r="AK136" t="str">
        <f>IF(OR(Calc_오픈정렬!$F136="",Calc_오픈정렬!AK136=""),"",Calc_오픈정렬!AK136/Calc_오픈정렬!$F136*100)</f>
        <v/>
      </c>
      <c r="AL136" t="str">
        <f>IF(OR(Calc_오픈정렬!$F136="",Calc_오픈정렬!AL136=""),"",Calc_오픈정렬!AL136/Calc_오픈정렬!$F136*100)</f>
        <v/>
      </c>
      <c r="AM136" t="str">
        <f>IF(OR(Calc_오픈정렬!$F136="",Calc_오픈정렬!AM136=""),"",Calc_오픈정렬!AM136/Calc_오픈정렬!$F136*100)</f>
        <v/>
      </c>
      <c r="AN136" t="str">
        <f>IF(OR(Calc_오픈정렬!$F136="",Calc_오픈정렬!AN136=""),"",Calc_오픈정렬!AN136/Calc_오픈정렬!$F136*100)</f>
        <v/>
      </c>
      <c r="AO136" t="str">
        <f>IF(OR(Calc_오픈정렬!$F136="",Calc_오픈정렬!AO136=""),"",Calc_오픈정렬!AO136/Calc_오픈정렬!$F136*100)</f>
        <v/>
      </c>
      <c r="AP136" t="str">
        <f>IF(OR(Calc_오픈정렬!$F136="",Calc_오픈정렬!AP136=""),"",Calc_오픈정렬!AP136/Calc_오픈정렬!$F136*100)</f>
        <v/>
      </c>
      <c r="AQ136" t="str">
        <f>IF(OR(Calc_오픈정렬!$F136="",Calc_오픈정렬!AQ136=""),"",Calc_오픈정렬!AQ136/Calc_오픈정렬!$F136*100)</f>
        <v/>
      </c>
      <c r="AR136" t="str">
        <f>IF(OR(Calc_오픈정렬!$F136="",Calc_오픈정렬!AR136=""),"",Calc_오픈정렬!AR136/Calc_오픈정렬!$F136*100)</f>
        <v/>
      </c>
      <c r="AS136" t="str">
        <f>IF(OR(Calc_오픈정렬!$F136="",Calc_오픈정렬!AS136=""),"",Calc_오픈정렬!AS136/Calc_오픈정렬!$F136*100)</f>
        <v/>
      </c>
      <c r="AT136" t="str">
        <f>IF(OR(Calc_오픈정렬!$F136="",Calc_오픈정렬!AT136=""),"",Calc_오픈정렬!AT136/Calc_오픈정렬!$F136*100)</f>
        <v/>
      </c>
      <c r="AU136" t="str">
        <f>IF(OR(Calc_오픈정렬!$F136="",Calc_오픈정렬!AU136=""),"",Calc_오픈정렬!AU136/Calc_오픈정렬!$F136*100)</f>
        <v/>
      </c>
      <c r="AV136" t="str">
        <f>IF(OR(Calc_오픈정렬!$F136="",Calc_오픈정렬!AV136=""),"",Calc_오픈정렬!AV136/Calc_오픈정렬!$F136*100)</f>
        <v/>
      </c>
      <c r="AW136" t="str">
        <f>IF(OR(Calc_오픈정렬!$F136="",Calc_오픈정렬!AW136=""),"",Calc_오픈정렬!AW136/Calc_오픈정렬!$F136*100)</f>
        <v/>
      </c>
      <c r="AX136" t="str">
        <f>IF(OR(Calc_오픈정렬!$F136="",Calc_오픈정렬!AX136=""),"",Calc_오픈정렬!AX136/Calc_오픈정렬!$F136*100)</f>
        <v/>
      </c>
      <c r="AY136" t="str">
        <f>IF(OR(Calc_오픈정렬!$F136="",Calc_오픈정렬!AY136=""),"",Calc_오픈정렬!AY136/Calc_오픈정렬!$F136*100)</f>
        <v/>
      </c>
      <c r="AZ136" t="str">
        <f>IF(OR(Calc_오픈정렬!$F136="",Calc_오픈정렬!AZ136=""),"",Calc_오픈정렬!AZ136/Calc_오픈정렬!$F136*100)</f>
        <v/>
      </c>
      <c r="BA136" t="str">
        <f>IF(OR(Calc_오픈정렬!$F136="",Calc_오픈정렬!BA136=""),"",Calc_오픈정렬!BA136/Calc_오픈정렬!$F136*100)</f>
        <v/>
      </c>
      <c r="BB136" t="str">
        <f>IF(OR(Calc_오픈정렬!$F136="",Calc_오픈정렬!BB136=""),"",Calc_오픈정렬!BB136/Calc_오픈정렬!$F136*100)</f>
        <v/>
      </c>
      <c r="BC136" t="str">
        <f>IF(OR(Calc_오픈정렬!$F136="",Calc_오픈정렬!BC136=""),"",Calc_오픈정렬!BC136/Calc_오픈정렬!$F136*100)</f>
        <v/>
      </c>
      <c r="BD136" t="str">
        <f>IF(OR(Calc_오픈정렬!$F136="",Calc_오픈정렬!BD136=""),"",Calc_오픈정렬!BD136/Calc_오픈정렬!$F136*100)</f>
        <v/>
      </c>
      <c r="BE136" t="str">
        <f>IF(OR(Calc_오픈정렬!$F136="",Calc_오픈정렬!BE136=""),"",Calc_오픈정렬!BE136/Calc_오픈정렬!$F136*100)</f>
        <v/>
      </c>
      <c r="BF136" t="str">
        <f>IF(OR(Calc_오픈정렬!$F136="",Calc_오픈정렬!BF136=""),"",Calc_오픈정렬!BF136/Calc_오픈정렬!$F136*100)</f>
        <v/>
      </c>
      <c r="BG136" t="str">
        <f>IF(OR(Calc_오픈정렬!$F136="",Calc_오픈정렬!BG136=""),"",Calc_오픈정렬!BG136/Calc_오픈정렬!$F136*100)</f>
        <v/>
      </c>
      <c r="BH136" t="str">
        <f>IF(OR(Calc_오픈정렬!$F136="",Calc_오픈정렬!BH136=""),"",Calc_오픈정렬!BH136/Calc_오픈정렬!$F136*100)</f>
        <v/>
      </c>
      <c r="BI136" t="str">
        <f>IF(OR(Calc_오픈정렬!$F136="",Calc_오픈정렬!BI136=""),"",Calc_오픈정렬!BI136/Calc_오픈정렬!$F136*100)</f>
        <v/>
      </c>
      <c r="BJ136" t="str">
        <f>IF(OR(Calc_오픈정렬!$F136="",Calc_오픈정렬!BJ136=""),"",Calc_오픈정렬!BJ136/Calc_오픈정렬!$F136*100)</f>
        <v/>
      </c>
      <c r="BK136" t="str">
        <f>IF(OR(Calc_오픈정렬!$F136="",Calc_오픈정렬!BK136=""),"",Calc_오픈정렬!BK136/Calc_오픈정렬!$F136*100)</f>
        <v/>
      </c>
      <c r="BL136" t="str">
        <f>IF(OR(Calc_오픈정렬!$F136="",Calc_오픈정렬!BL136=""),"",Calc_오픈정렬!BL136/Calc_오픈정렬!$F136*100)</f>
        <v/>
      </c>
      <c r="BM136" t="str">
        <f>IF(OR(Calc_오픈정렬!$F136="",Calc_오픈정렬!BM136=""),"",Calc_오픈정렬!BM136/Calc_오픈정렬!$F136*100)</f>
        <v/>
      </c>
      <c r="BN136" t="str">
        <f>IF(OR(Calc_오픈정렬!$F136="",Calc_오픈정렬!BN136=""),"",Calc_오픈정렬!BN136/Calc_오픈정렬!$F136*100)</f>
        <v/>
      </c>
    </row>
    <row r="137" spans="1:66" x14ac:dyDescent="0.4">
      <c r="A137" t="str">
        <f>Calc_오픈정렬!A137</f>
        <v>(1128) #응암서부점</v>
      </c>
      <c r="B137" t="str">
        <f>Calc_오픈정렬!B137</f>
        <v>150-0</v>
      </c>
      <c r="C137">
        <f>Calc_오픈정렬!C137</f>
        <v>0</v>
      </c>
      <c r="D137" t="str">
        <f>Calc_오픈정렬!D137</f>
        <v>0</v>
      </c>
      <c r="E137" s="1">
        <f>Calc_오픈정렬!E137</f>
        <v>45870</v>
      </c>
      <c r="F137">
        <f>Calc_오픈정렬!F137</f>
        <v>4559893.6750896266</v>
      </c>
      <c r="G137">
        <f>IF(OR(Calc_오픈정렬!$F137="",Calc_오픈정렬!G137=""),"",Calc_오픈정렬!G137/Calc_오픈정렬!$F137*100)</f>
        <v>57.301570710699281</v>
      </c>
      <c r="H137">
        <f>IF(OR(Calc_오픈정렬!$F137="",Calc_오픈정렬!H137=""),"",Calc_오픈정렬!H137/Calc_오픈정렬!$F137*100)</f>
        <v>57.751469769426869</v>
      </c>
      <c r="I137">
        <f>IF(OR(Calc_오픈정렬!$F137="",Calc_오픈정렬!I137=""),"",Calc_오픈정렬!I137/Calc_오픈정렬!$F137*100)</f>
        <v>88.811792887254882</v>
      </c>
      <c r="J137">
        <f>IF(OR(Calc_오픈정렬!$F137="",Calc_오픈정렬!J137=""),"",Calc_오픈정렬!J137/Calc_오픈정렬!$F137*100)</f>
        <v>86.565966348767546</v>
      </c>
      <c r="K137">
        <f>IF(OR(Calc_오픈정렬!$F137="",Calc_오픈정렬!K137=""),"",Calc_오픈정렬!K137/Calc_오픈정렬!$F137*100)</f>
        <v>98.907596528476944</v>
      </c>
      <c r="L137">
        <f>IF(OR(Calc_오픈정렬!$F137="",Calc_오픈정렬!L137=""),"",Calc_오픈정렬!L137/Calc_오픈정렬!$F137*100)</f>
        <v>91.071166880777781</v>
      </c>
      <c r="M137">
        <f>IF(OR(Calc_오픈정렬!$F137="",Calc_오픈정렬!M137=""),"",Calc_오픈정렬!M137/Calc_오픈정렬!$F137*100)</f>
        <v>112.06882004523821</v>
      </c>
      <c r="N137">
        <f>IF(OR(Calc_오픈정렬!$F137="",Calc_오픈정렬!N137=""),"",Calc_오픈정렬!N137/Calc_오픈정렬!$F137*100)</f>
        <v>108.9707821685134</v>
      </c>
      <c r="O137">
        <f>IF(OR(Calc_오픈정렬!$F137="",Calc_오픈정렬!O137=""),"",Calc_오픈정렬!O137/Calc_오픈정렬!$F137*100)</f>
        <v>102.41566802822621</v>
      </c>
      <c r="P137">
        <f>IF(OR(Calc_오픈정렬!$F137="",Calc_오픈정렬!P137=""),"",Calc_오픈정렬!P137/Calc_오픈정렬!$F137*100)</f>
        <v>103.10801894952024</v>
      </c>
      <c r="Q137" t="str">
        <f>IF(OR(Calc_오픈정렬!$F137="",Calc_오픈정렬!Q137=""),"",Calc_오픈정렬!Q137/Calc_오픈정렬!$F137*100)</f>
        <v/>
      </c>
      <c r="R137" t="str">
        <f>IF(OR(Calc_오픈정렬!$F137="",Calc_오픈정렬!R137=""),"",Calc_오픈정렬!R137/Calc_오픈정렬!$F137*100)</f>
        <v/>
      </c>
      <c r="S137" t="str">
        <f>IF(OR(Calc_오픈정렬!$F137="",Calc_오픈정렬!S137=""),"",Calc_오픈정렬!S137/Calc_오픈정렬!$F137*100)</f>
        <v/>
      </c>
      <c r="T137" t="str">
        <f>IF(OR(Calc_오픈정렬!$F137="",Calc_오픈정렬!T137=""),"",Calc_오픈정렬!T137/Calc_오픈정렬!$F137*100)</f>
        <v/>
      </c>
      <c r="U137" t="str">
        <f>IF(OR(Calc_오픈정렬!$F137="",Calc_오픈정렬!U137=""),"",Calc_오픈정렬!U137/Calc_오픈정렬!$F137*100)</f>
        <v/>
      </c>
      <c r="V137" t="str">
        <f>IF(OR(Calc_오픈정렬!$F137="",Calc_오픈정렬!V137=""),"",Calc_오픈정렬!V137/Calc_오픈정렬!$F137*100)</f>
        <v/>
      </c>
      <c r="W137" t="str">
        <f>IF(OR(Calc_오픈정렬!$F137="",Calc_오픈정렬!W137=""),"",Calc_오픈정렬!W137/Calc_오픈정렬!$F137*100)</f>
        <v/>
      </c>
      <c r="X137" t="str">
        <f>IF(OR(Calc_오픈정렬!$F137="",Calc_오픈정렬!X137=""),"",Calc_오픈정렬!X137/Calc_오픈정렬!$F137*100)</f>
        <v/>
      </c>
      <c r="Y137" t="str">
        <f>IF(OR(Calc_오픈정렬!$F137="",Calc_오픈정렬!Y137=""),"",Calc_오픈정렬!Y137/Calc_오픈정렬!$F137*100)</f>
        <v/>
      </c>
      <c r="Z137" t="str">
        <f>IF(OR(Calc_오픈정렬!$F137="",Calc_오픈정렬!Z137=""),"",Calc_오픈정렬!Z137/Calc_오픈정렬!$F137*100)</f>
        <v/>
      </c>
      <c r="AA137" t="str">
        <f>IF(OR(Calc_오픈정렬!$F137="",Calc_오픈정렬!AA137=""),"",Calc_오픈정렬!AA137/Calc_오픈정렬!$F137*100)</f>
        <v/>
      </c>
      <c r="AB137" t="str">
        <f>IF(OR(Calc_오픈정렬!$F137="",Calc_오픈정렬!AB137=""),"",Calc_오픈정렬!AB137/Calc_오픈정렬!$F137*100)</f>
        <v/>
      </c>
      <c r="AC137" t="str">
        <f>IF(OR(Calc_오픈정렬!$F137="",Calc_오픈정렬!AC137=""),"",Calc_오픈정렬!AC137/Calc_오픈정렬!$F137*100)</f>
        <v/>
      </c>
      <c r="AD137" t="str">
        <f>IF(OR(Calc_오픈정렬!$F137="",Calc_오픈정렬!AD137=""),"",Calc_오픈정렬!AD137/Calc_오픈정렬!$F137*100)</f>
        <v/>
      </c>
      <c r="AE137" t="str">
        <f>IF(OR(Calc_오픈정렬!$F137="",Calc_오픈정렬!AE137=""),"",Calc_오픈정렬!AE137/Calc_오픈정렬!$F137*100)</f>
        <v/>
      </c>
      <c r="AF137" t="str">
        <f>IF(OR(Calc_오픈정렬!$F137="",Calc_오픈정렬!AF137=""),"",Calc_오픈정렬!AF137/Calc_오픈정렬!$F137*100)</f>
        <v/>
      </c>
      <c r="AG137" t="str">
        <f>IF(OR(Calc_오픈정렬!$F137="",Calc_오픈정렬!AG137=""),"",Calc_오픈정렬!AG137/Calc_오픈정렬!$F137*100)</f>
        <v/>
      </c>
      <c r="AH137" t="str">
        <f>IF(OR(Calc_오픈정렬!$F137="",Calc_오픈정렬!AH137=""),"",Calc_오픈정렬!AH137/Calc_오픈정렬!$F137*100)</f>
        <v/>
      </c>
      <c r="AI137" t="str">
        <f>IF(OR(Calc_오픈정렬!$F137="",Calc_오픈정렬!AI137=""),"",Calc_오픈정렬!AI137/Calc_오픈정렬!$F137*100)</f>
        <v/>
      </c>
      <c r="AJ137" t="str">
        <f>IF(OR(Calc_오픈정렬!$F137="",Calc_오픈정렬!AJ137=""),"",Calc_오픈정렬!AJ137/Calc_오픈정렬!$F137*100)</f>
        <v/>
      </c>
      <c r="AK137" t="str">
        <f>IF(OR(Calc_오픈정렬!$F137="",Calc_오픈정렬!AK137=""),"",Calc_오픈정렬!AK137/Calc_오픈정렬!$F137*100)</f>
        <v/>
      </c>
      <c r="AL137" t="str">
        <f>IF(OR(Calc_오픈정렬!$F137="",Calc_오픈정렬!AL137=""),"",Calc_오픈정렬!AL137/Calc_오픈정렬!$F137*100)</f>
        <v/>
      </c>
      <c r="AM137" t="str">
        <f>IF(OR(Calc_오픈정렬!$F137="",Calc_오픈정렬!AM137=""),"",Calc_오픈정렬!AM137/Calc_오픈정렬!$F137*100)</f>
        <v/>
      </c>
      <c r="AN137" t="str">
        <f>IF(OR(Calc_오픈정렬!$F137="",Calc_오픈정렬!AN137=""),"",Calc_오픈정렬!AN137/Calc_오픈정렬!$F137*100)</f>
        <v/>
      </c>
      <c r="AO137" t="str">
        <f>IF(OR(Calc_오픈정렬!$F137="",Calc_오픈정렬!AO137=""),"",Calc_오픈정렬!AO137/Calc_오픈정렬!$F137*100)</f>
        <v/>
      </c>
      <c r="AP137" t="str">
        <f>IF(OR(Calc_오픈정렬!$F137="",Calc_오픈정렬!AP137=""),"",Calc_오픈정렬!AP137/Calc_오픈정렬!$F137*100)</f>
        <v/>
      </c>
      <c r="AQ137" t="str">
        <f>IF(OR(Calc_오픈정렬!$F137="",Calc_오픈정렬!AQ137=""),"",Calc_오픈정렬!AQ137/Calc_오픈정렬!$F137*100)</f>
        <v/>
      </c>
      <c r="AR137" t="str">
        <f>IF(OR(Calc_오픈정렬!$F137="",Calc_오픈정렬!AR137=""),"",Calc_오픈정렬!AR137/Calc_오픈정렬!$F137*100)</f>
        <v/>
      </c>
      <c r="AS137" t="str">
        <f>IF(OR(Calc_오픈정렬!$F137="",Calc_오픈정렬!AS137=""),"",Calc_오픈정렬!AS137/Calc_오픈정렬!$F137*100)</f>
        <v/>
      </c>
      <c r="AT137" t="str">
        <f>IF(OR(Calc_오픈정렬!$F137="",Calc_오픈정렬!AT137=""),"",Calc_오픈정렬!AT137/Calc_오픈정렬!$F137*100)</f>
        <v/>
      </c>
      <c r="AU137" t="str">
        <f>IF(OR(Calc_오픈정렬!$F137="",Calc_오픈정렬!AU137=""),"",Calc_오픈정렬!AU137/Calc_오픈정렬!$F137*100)</f>
        <v/>
      </c>
      <c r="AV137" t="str">
        <f>IF(OR(Calc_오픈정렬!$F137="",Calc_오픈정렬!AV137=""),"",Calc_오픈정렬!AV137/Calc_오픈정렬!$F137*100)</f>
        <v/>
      </c>
      <c r="AW137" t="str">
        <f>IF(OR(Calc_오픈정렬!$F137="",Calc_오픈정렬!AW137=""),"",Calc_오픈정렬!AW137/Calc_오픈정렬!$F137*100)</f>
        <v/>
      </c>
      <c r="AX137" t="str">
        <f>IF(OR(Calc_오픈정렬!$F137="",Calc_오픈정렬!AX137=""),"",Calc_오픈정렬!AX137/Calc_오픈정렬!$F137*100)</f>
        <v/>
      </c>
      <c r="AY137" t="str">
        <f>IF(OR(Calc_오픈정렬!$F137="",Calc_오픈정렬!AY137=""),"",Calc_오픈정렬!AY137/Calc_오픈정렬!$F137*100)</f>
        <v/>
      </c>
      <c r="AZ137" t="str">
        <f>IF(OR(Calc_오픈정렬!$F137="",Calc_오픈정렬!AZ137=""),"",Calc_오픈정렬!AZ137/Calc_오픈정렬!$F137*100)</f>
        <v/>
      </c>
      <c r="BA137" t="str">
        <f>IF(OR(Calc_오픈정렬!$F137="",Calc_오픈정렬!BA137=""),"",Calc_오픈정렬!BA137/Calc_오픈정렬!$F137*100)</f>
        <v/>
      </c>
      <c r="BB137" t="str">
        <f>IF(OR(Calc_오픈정렬!$F137="",Calc_오픈정렬!BB137=""),"",Calc_오픈정렬!BB137/Calc_오픈정렬!$F137*100)</f>
        <v/>
      </c>
      <c r="BC137" t="str">
        <f>IF(OR(Calc_오픈정렬!$F137="",Calc_오픈정렬!BC137=""),"",Calc_오픈정렬!BC137/Calc_오픈정렬!$F137*100)</f>
        <v/>
      </c>
      <c r="BD137" t="str">
        <f>IF(OR(Calc_오픈정렬!$F137="",Calc_오픈정렬!BD137=""),"",Calc_오픈정렬!BD137/Calc_오픈정렬!$F137*100)</f>
        <v/>
      </c>
      <c r="BE137" t="str">
        <f>IF(OR(Calc_오픈정렬!$F137="",Calc_오픈정렬!BE137=""),"",Calc_오픈정렬!BE137/Calc_오픈정렬!$F137*100)</f>
        <v/>
      </c>
      <c r="BF137" t="str">
        <f>IF(OR(Calc_오픈정렬!$F137="",Calc_오픈정렬!BF137=""),"",Calc_오픈정렬!BF137/Calc_오픈정렬!$F137*100)</f>
        <v/>
      </c>
      <c r="BG137" t="str">
        <f>IF(OR(Calc_오픈정렬!$F137="",Calc_오픈정렬!BG137=""),"",Calc_오픈정렬!BG137/Calc_오픈정렬!$F137*100)</f>
        <v/>
      </c>
      <c r="BH137" t="str">
        <f>IF(OR(Calc_오픈정렬!$F137="",Calc_오픈정렬!BH137=""),"",Calc_오픈정렬!BH137/Calc_오픈정렬!$F137*100)</f>
        <v/>
      </c>
      <c r="BI137" t="str">
        <f>IF(OR(Calc_오픈정렬!$F137="",Calc_오픈정렬!BI137=""),"",Calc_오픈정렬!BI137/Calc_오픈정렬!$F137*100)</f>
        <v/>
      </c>
      <c r="BJ137" t="str">
        <f>IF(OR(Calc_오픈정렬!$F137="",Calc_오픈정렬!BJ137=""),"",Calc_오픈정렬!BJ137/Calc_오픈정렬!$F137*100)</f>
        <v/>
      </c>
      <c r="BK137" t="str">
        <f>IF(OR(Calc_오픈정렬!$F137="",Calc_오픈정렬!BK137=""),"",Calc_오픈정렬!BK137/Calc_오픈정렬!$F137*100)</f>
        <v/>
      </c>
      <c r="BL137" t="str">
        <f>IF(OR(Calc_오픈정렬!$F137="",Calc_오픈정렬!BL137=""),"",Calc_오픈정렬!BL137/Calc_오픈정렬!$F137*100)</f>
        <v/>
      </c>
      <c r="BM137" t="str">
        <f>IF(OR(Calc_오픈정렬!$F137="",Calc_오픈정렬!BM137=""),"",Calc_오픈정렬!BM137/Calc_오픈정렬!$F137*100)</f>
        <v/>
      </c>
      <c r="BN137" t="str">
        <f>IF(OR(Calc_오픈정렬!$F137="",Calc_오픈정렬!BN137=""),"",Calc_오픈정렬!BN137/Calc_오픈정렬!$F137*100)</f>
        <v/>
      </c>
    </row>
    <row r="138" spans="1:66" x14ac:dyDescent="0.4">
      <c r="A138" t="str">
        <f>Calc_오픈정렬!A138</f>
        <v>(1129) #간석오거리점</v>
      </c>
      <c r="B138" t="str">
        <f>Calc_오픈정렬!B138</f>
        <v>150-1</v>
      </c>
      <c r="C138">
        <f>Calc_오픈정렬!C138</f>
        <v>1</v>
      </c>
      <c r="D138" t="str">
        <f>Calc_오픈정렬!D138</f>
        <v>1</v>
      </c>
      <c r="E138" s="1">
        <f>Calc_오픈정렬!E138</f>
        <v>45901</v>
      </c>
      <c r="F138">
        <f>Calc_오픈정렬!F138</f>
        <v>7249498.1787031004</v>
      </c>
      <c r="G138">
        <f>IF(OR(Calc_오픈정렬!$F138="",Calc_오픈정렬!G138=""),"",Calc_오픈정렬!G138/Calc_오픈정렬!$F138*100)</f>
        <v>74.325023600645892</v>
      </c>
      <c r="H138">
        <f>IF(OR(Calc_오픈정렬!$F138="",Calc_오픈정렬!H138=""),"",Calc_오픈정렬!H138/Calc_오픈정렬!$F138*100)</f>
        <v>93.74458043780588</v>
      </c>
      <c r="I138">
        <f>IF(OR(Calc_오픈정렬!$F138="",Calc_오픈정렬!I138=""),"",Calc_오픈정렬!I138/Calc_오픈정렬!$F138*100)</f>
        <v>97.347846000113492</v>
      </c>
      <c r="J138">
        <f>IF(OR(Calc_오픈정렬!$F138="",Calc_오픈정렬!J138=""),"",Calc_오픈정렬!J138/Calc_오픈정렬!$F138*100)</f>
        <v>94.661088789173675</v>
      </c>
      <c r="K138">
        <f>IF(OR(Calc_오픈정렬!$F138="",Calc_오픈정렬!K138=""),"",Calc_오픈정렬!K138/Calc_오픈정렬!$F138*100)</f>
        <v>102.86819113850356</v>
      </c>
      <c r="L138">
        <f>IF(OR(Calc_오픈정렬!$F138="",Calc_오픈정렬!L138=""),"",Calc_오픈정렬!L138/Calc_오픈정렬!$F138*100)</f>
        <v>104.47511376914758</v>
      </c>
      <c r="M138">
        <f>IF(OR(Calc_오픈정렬!$F138="",Calc_오픈정렬!M138=""),"",Calc_오픈정렬!M138/Calc_오픈정렬!$F138*100)</f>
        <v>98.344748588783531</v>
      </c>
      <c r="N138">
        <f>IF(OR(Calc_오픈정렬!$F138="",Calc_오픈정렬!N138=""),"",Calc_오픈정렬!N138/Calc_오픈정렬!$F138*100)</f>
        <v>96.499171088487259</v>
      </c>
      <c r="O138">
        <f>IF(OR(Calc_오픈정렬!$F138="",Calc_오픈정렬!O138=""),"",Calc_오픈정렬!O138/Calc_오픈정렬!$F138*100)</f>
        <v>103.15168662590442</v>
      </c>
      <c r="P138" t="str">
        <f>IF(OR(Calc_오픈정렬!$F138="",Calc_오픈정렬!P138=""),"",Calc_오픈정렬!P138/Calc_오픈정렬!$F138*100)</f>
        <v/>
      </c>
      <c r="Q138" t="str">
        <f>IF(OR(Calc_오픈정렬!$F138="",Calc_오픈정렬!Q138=""),"",Calc_오픈정렬!Q138/Calc_오픈정렬!$F138*100)</f>
        <v/>
      </c>
      <c r="R138" t="str">
        <f>IF(OR(Calc_오픈정렬!$F138="",Calc_오픈정렬!R138=""),"",Calc_오픈정렬!R138/Calc_오픈정렬!$F138*100)</f>
        <v/>
      </c>
      <c r="S138" t="str">
        <f>IF(OR(Calc_오픈정렬!$F138="",Calc_오픈정렬!S138=""),"",Calc_오픈정렬!S138/Calc_오픈정렬!$F138*100)</f>
        <v/>
      </c>
      <c r="T138" t="str">
        <f>IF(OR(Calc_오픈정렬!$F138="",Calc_오픈정렬!T138=""),"",Calc_오픈정렬!T138/Calc_오픈정렬!$F138*100)</f>
        <v/>
      </c>
      <c r="U138" t="str">
        <f>IF(OR(Calc_오픈정렬!$F138="",Calc_오픈정렬!U138=""),"",Calc_오픈정렬!U138/Calc_오픈정렬!$F138*100)</f>
        <v/>
      </c>
      <c r="V138" t="str">
        <f>IF(OR(Calc_오픈정렬!$F138="",Calc_오픈정렬!V138=""),"",Calc_오픈정렬!V138/Calc_오픈정렬!$F138*100)</f>
        <v/>
      </c>
      <c r="W138" t="str">
        <f>IF(OR(Calc_오픈정렬!$F138="",Calc_오픈정렬!W138=""),"",Calc_오픈정렬!W138/Calc_오픈정렬!$F138*100)</f>
        <v/>
      </c>
      <c r="X138" t="str">
        <f>IF(OR(Calc_오픈정렬!$F138="",Calc_오픈정렬!X138=""),"",Calc_오픈정렬!X138/Calc_오픈정렬!$F138*100)</f>
        <v/>
      </c>
      <c r="Y138" t="str">
        <f>IF(OR(Calc_오픈정렬!$F138="",Calc_오픈정렬!Y138=""),"",Calc_오픈정렬!Y138/Calc_오픈정렬!$F138*100)</f>
        <v/>
      </c>
      <c r="Z138" t="str">
        <f>IF(OR(Calc_오픈정렬!$F138="",Calc_오픈정렬!Z138=""),"",Calc_오픈정렬!Z138/Calc_오픈정렬!$F138*100)</f>
        <v/>
      </c>
      <c r="AA138" t="str">
        <f>IF(OR(Calc_오픈정렬!$F138="",Calc_오픈정렬!AA138=""),"",Calc_오픈정렬!AA138/Calc_오픈정렬!$F138*100)</f>
        <v/>
      </c>
      <c r="AB138" t="str">
        <f>IF(OR(Calc_오픈정렬!$F138="",Calc_오픈정렬!AB138=""),"",Calc_오픈정렬!AB138/Calc_오픈정렬!$F138*100)</f>
        <v/>
      </c>
      <c r="AC138" t="str">
        <f>IF(OR(Calc_오픈정렬!$F138="",Calc_오픈정렬!AC138=""),"",Calc_오픈정렬!AC138/Calc_오픈정렬!$F138*100)</f>
        <v/>
      </c>
      <c r="AD138" t="str">
        <f>IF(OR(Calc_오픈정렬!$F138="",Calc_오픈정렬!AD138=""),"",Calc_오픈정렬!AD138/Calc_오픈정렬!$F138*100)</f>
        <v/>
      </c>
      <c r="AE138" t="str">
        <f>IF(OR(Calc_오픈정렬!$F138="",Calc_오픈정렬!AE138=""),"",Calc_오픈정렬!AE138/Calc_오픈정렬!$F138*100)</f>
        <v/>
      </c>
      <c r="AF138" t="str">
        <f>IF(OR(Calc_오픈정렬!$F138="",Calc_오픈정렬!AF138=""),"",Calc_오픈정렬!AF138/Calc_오픈정렬!$F138*100)</f>
        <v/>
      </c>
      <c r="AG138" t="str">
        <f>IF(OR(Calc_오픈정렬!$F138="",Calc_오픈정렬!AG138=""),"",Calc_오픈정렬!AG138/Calc_오픈정렬!$F138*100)</f>
        <v/>
      </c>
      <c r="AH138" t="str">
        <f>IF(OR(Calc_오픈정렬!$F138="",Calc_오픈정렬!AH138=""),"",Calc_오픈정렬!AH138/Calc_오픈정렬!$F138*100)</f>
        <v/>
      </c>
      <c r="AI138" t="str">
        <f>IF(OR(Calc_오픈정렬!$F138="",Calc_오픈정렬!AI138=""),"",Calc_오픈정렬!AI138/Calc_오픈정렬!$F138*100)</f>
        <v/>
      </c>
      <c r="AJ138" t="str">
        <f>IF(OR(Calc_오픈정렬!$F138="",Calc_오픈정렬!AJ138=""),"",Calc_오픈정렬!AJ138/Calc_오픈정렬!$F138*100)</f>
        <v/>
      </c>
      <c r="AK138" t="str">
        <f>IF(OR(Calc_오픈정렬!$F138="",Calc_오픈정렬!AK138=""),"",Calc_오픈정렬!AK138/Calc_오픈정렬!$F138*100)</f>
        <v/>
      </c>
      <c r="AL138" t="str">
        <f>IF(OR(Calc_오픈정렬!$F138="",Calc_오픈정렬!AL138=""),"",Calc_오픈정렬!AL138/Calc_오픈정렬!$F138*100)</f>
        <v/>
      </c>
      <c r="AM138" t="str">
        <f>IF(OR(Calc_오픈정렬!$F138="",Calc_오픈정렬!AM138=""),"",Calc_오픈정렬!AM138/Calc_오픈정렬!$F138*100)</f>
        <v/>
      </c>
      <c r="AN138" t="str">
        <f>IF(OR(Calc_오픈정렬!$F138="",Calc_오픈정렬!AN138=""),"",Calc_오픈정렬!AN138/Calc_오픈정렬!$F138*100)</f>
        <v/>
      </c>
      <c r="AO138" t="str">
        <f>IF(OR(Calc_오픈정렬!$F138="",Calc_오픈정렬!AO138=""),"",Calc_오픈정렬!AO138/Calc_오픈정렬!$F138*100)</f>
        <v/>
      </c>
      <c r="AP138" t="str">
        <f>IF(OR(Calc_오픈정렬!$F138="",Calc_오픈정렬!AP138=""),"",Calc_오픈정렬!AP138/Calc_오픈정렬!$F138*100)</f>
        <v/>
      </c>
      <c r="AQ138" t="str">
        <f>IF(OR(Calc_오픈정렬!$F138="",Calc_오픈정렬!AQ138=""),"",Calc_오픈정렬!AQ138/Calc_오픈정렬!$F138*100)</f>
        <v/>
      </c>
      <c r="AR138" t="str">
        <f>IF(OR(Calc_오픈정렬!$F138="",Calc_오픈정렬!AR138=""),"",Calc_오픈정렬!AR138/Calc_오픈정렬!$F138*100)</f>
        <v/>
      </c>
      <c r="AS138" t="str">
        <f>IF(OR(Calc_오픈정렬!$F138="",Calc_오픈정렬!AS138=""),"",Calc_오픈정렬!AS138/Calc_오픈정렬!$F138*100)</f>
        <v/>
      </c>
      <c r="AT138" t="str">
        <f>IF(OR(Calc_오픈정렬!$F138="",Calc_오픈정렬!AT138=""),"",Calc_오픈정렬!AT138/Calc_오픈정렬!$F138*100)</f>
        <v/>
      </c>
      <c r="AU138" t="str">
        <f>IF(OR(Calc_오픈정렬!$F138="",Calc_오픈정렬!AU138=""),"",Calc_오픈정렬!AU138/Calc_오픈정렬!$F138*100)</f>
        <v/>
      </c>
      <c r="AV138" t="str">
        <f>IF(OR(Calc_오픈정렬!$F138="",Calc_오픈정렬!AV138=""),"",Calc_오픈정렬!AV138/Calc_오픈정렬!$F138*100)</f>
        <v/>
      </c>
      <c r="AW138" t="str">
        <f>IF(OR(Calc_오픈정렬!$F138="",Calc_오픈정렬!AW138=""),"",Calc_오픈정렬!AW138/Calc_오픈정렬!$F138*100)</f>
        <v/>
      </c>
      <c r="AX138" t="str">
        <f>IF(OR(Calc_오픈정렬!$F138="",Calc_오픈정렬!AX138=""),"",Calc_오픈정렬!AX138/Calc_오픈정렬!$F138*100)</f>
        <v/>
      </c>
      <c r="AY138" t="str">
        <f>IF(OR(Calc_오픈정렬!$F138="",Calc_오픈정렬!AY138=""),"",Calc_오픈정렬!AY138/Calc_오픈정렬!$F138*100)</f>
        <v/>
      </c>
      <c r="AZ138" t="str">
        <f>IF(OR(Calc_오픈정렬!$F138="",Calc_오픈정렬!AZ138=""),"",Calc_오픈정렬!AZ138/Calc_오픈정렬!$F138*100)</f>
        <v/>
      </c>
      <c r="BA138" t="str">
        <f>IF(OR(Calc_오픈정렬!$F138="",Calc_오픈정렬!BA138=""),"",Calc_오픈정렬!BA138/Calc_오픈정렬!$F138*100)</f>
        <v/>
      </c>
      <c r="BB138" t="str">
        <f>IF(OR(Calc_오픈정렬!$F138="",Calc_오픈정렬!BB138=""),"",Calc_오픈정렬!BB138/Calc_오픈정렬!$F138*100)</f>
        <v/>
      </c>
      <c r="BC138" t="str">
        <f>IF(OR(Calc_오픈정렬!$F138="",Calc_오픈정렬!BC138=""),"",Calc_오픈정렬!BC138/Calc_오픈정렬!$F138*100)</f>
        <v/>
      </c>
      <c r="BD138" t="str">
        <f>IF(OR(Calc_오픈정렬!$F138="",Calc_오픈정렬!BD138=""),"",Calc_오픈정렬!BD138/Calc_오픈정렬!$F138*100)</f>
        <v/>
      </c>
      <c r="BE138" t="str">
        <f>IF(OR(Calc_오픈정렬!$F138="",Calc_오픈정렬!BE138=""),"",Calc_오픈정렬!BE138/Calc_오픈정렬!$F138*100)</f>
        <v/>
      </c>
      <c r="BF138" t="str">
        <f>IF(OR(Calc_오픈정렬!$F138="",Calc_오픈정렬!BF138=""),"",Calc_오픈정렬!BF138/Calc_오픈정렬!$F138*100)</f>
        <v/>
      </c>
      <c r="BG138" t="str">
        <f>IF(OR(Calc_오픈정렬!$F138="",Calc_오픈정렬!BG138=""),"",Calc_오픈정렬!BG138/Calc_오픈정렬!$F138*100)</f>
        <v/>
      </c>
      <c r="BH138" t="str">
        <f>IF(OR(Calc_오픈정렬!$F138="",Calc_오픈정렬!BH138=""),"",Calc_오픈정렬!BH138/Calc_오픈정렬!$F138*100)</f>
        <v/>
      </c>
      <c r="BI138" t="str">
        <f>IF(OR(Calc_오픈정렬!$F138="",Calc_오픈정렬!BI138=""),"",Calc_오픈정렬!BI138/Calc_오픈정렬!$F138*100)</f>
        <v/>
      </c>
      <c r="BJ138" t="str">
        <f>IF(OR(Calc_오픈정렬!$F138="",Calc_오픈정렬!BJ138=""),"",Calc_오픈정렬!BJ138/Calc_오픈정렬!$F138*100)</f>
        <v/>
      </c>
      <c r="BK138" t="str">
        <f>IF(OR(Calc_오픈정렬!$F138="",Calc_오픈정렬!BK138=""),"",Calc_오픈정렬!BK138/Calc_오픈정렬!$F138*100)</f>
        <v/>
      </c>
      <c r="BL138" t="str">
        <f>IF(OR(Calc_오픈정렬!$F138="",Calc_오픈정렬!BL138=""),"",Calc_오픈정렬!BL138/Calc_오픈정렬!$F138*100)</f>
        <v/>
      </c>
      <c r="BM138" t="str">
        <f>IF(OR(Calc_오픈정렬!$F138="",Calc_오픈정렬!BM138=""),"",Calc_오픈정렬!BM138/Calc_오픈정렬!$F138*100)</f>
        <v/>
      </c>
      <c r="BN138" t="str">
        <f>IF(OR(Calc_오픈정렬!$F138="",Calc_오픈정렬!BN138=""),"",Calc_오픈정렬!BN138/Calc_오픈정렬!$F138*100)</f>
        <v/>
      </c>
    </row>
    <row r="139" spans="1:66" x14ac:dyDescent="0.4">
      <c r="A139" t="str">
        <f>Calc_오픈정렬!A139</f>
        <v>(1130) #배재대정문점</v>
      </c>
      <c r="B139" t="str">
        <f>Calc_오픈정렬!B139</f>
        <v>150-1</v>
      </c>
      <c r="C139">
        <f>Calc_오픈정렬!C139</f>
        <v>1</v>
      </c>
      <c r="D139" t="str">
        <f>Calc_오픈정렬!D139</f>
        <v>1</v>
      </c>
      <c r="E139" s="1">
        <f>Calc_오픈정렬!E139</f>
        <v>45931</v>
      </c>
      <c r="F139">
        <f>Calc_오픈정렬!F139</f>
        <v>5542663.2679008301</v>
      </c>
      <c r="G139">
        <f>IF(OR(Calc_오픈정렬!$F139="",Calc_오픈정렬!G139=""),"",Calc_오픈정렬!G139/Calc_오픈정렬!$F139*100)</f>
        <v>68.955798290143107</v>
      </c>
      <c r="H139">
        <f>IF(OR(Calc_오픈정렬!$F139="",Calc_오픈정렬!H139=""),"",Calc_오픈정렬!H139/Calc_오픈정렬!$F139*100)</f>
        <v>76.448988036165204</v>
      </c>
      <c r="I139">
        <f>IF(OR(Calc_오픈정렬!$F139="",Calc_오픈정렬!I139=""),"",Calc_오픈정렬!I139/Calc_오픈정렬!$F139*100)</f>
        <v>79.917084984219215</v>
      </c>
      <c r="J139">
        <f>IF(OR(Calc_오픈정렬!$F139="",Calc_오픈정렬!J139=""),"",Calc_오픈정렬!J139/Calc_오픈정렬!$F139*100)</f>
        <v>85.578567844273152</v>
      </c>
      <c r="K139">
        <f>IF(OR(Calc_오픈정렬!$F139="",Calc_오픈정렬!K139=""),"",Calc_오픈정렬!K139/Calc_오픈정렬!$F139*100)</f>
        <v>111.50956370805459</v>
      </c>
      <c r="L139">
        <f>IF(OR(Calc_오픈정렬!$F139="",Calc_오픈정렬!L139=""),"",Calc_오픈정렬!L139/Calc_오픈정렬!$F139*100)</f>
        <v>109.28565119794878</v>
      </c>
      <c r="M139">
        <f>IF(OR(Calc_오픈정렬!$F139="",Calc_오픈정렬!M139=""),"",Calc_오픈정렬!M139/Calc_오픈정렬!$F139*100)</f>
        <v>100.14928327556578</v>
      </c>
      <c r="N139">
        <f>IF(OR(Calc_오픈정렬!$F139="",Calc_오픈정렬!N139=""),"",Calc_오픈정렬!N139/Calc_오픈정렬!$F139*100)</f>
        <v>93.476933974157703</v>
      </c>
      <c r="O139" t="str">
        <f>IF(OR(Calc_오픈정렬!$F139="",Calc_오픈정렬!O139=""),"",Calc_오픈정렬!O139/Calc_오픈정렬!$F139*100)</f>
        <v/>
      </c>
      <c r="P139" t="str">
        <f>IF(OR(Calc_오픈정렬!$F139="",Calc_오픈정렬!P139=""),"",Calc_오픈정렬!P139/Calc_오픈정렬!$F139*100)</f>
        <v/>
      </c>
      <c r="Q139" t="str">
        <f>IF(OR(Calc_오픈정렬!$F139="",Calc_오픈정렬!Q139=""),"",Calc_오픈정렬!Q139/Calc_오픈정렬!$F139*100)</f>
        <v/>
      </c>
      <c r="R139" t="str">
        <f>IF(OR(Calc_오픈정렬!$F139="",Calc_오픈정렬!R139=""),"",Calc_오픈정렬!R139/Calc_오픈정렬!$F139*100)</f>
        <v/>
      </c>
      <c r="S139" t="str">
        <f>IF(OR(Calc_오픈정렬!$F139="",Calc_오픈정렬!S139=""),"",Calc_오픈정렬!S139/Calc_오픈정렬!$F139*100)</f>
        <v/>
      </c>
      <c r="T139" t="str">
        <f>IF(OR(Calc_오픈정렬!$F139="",Calc_오픈정렬!T139=""),"",Calc_오픈정렬!T139/Calc_오픈정렬!$F139*100)</f>
        <v/>
      </c>
      <c r="U139" t="str">
        <f>IF(OR(Calc_오픈정렬!$F139="",Calc_오픈정렬!U139=""),"",Calc_오픈정렬!U139/Calc_오픈정렬!$F139*100)</f>
        <v/>
      </c>
      <c r="V139" t="str">
        <f>IF(OR(Calc_오픈정렬!$F139="",Calc_오픈정렬!V139=""),"",Calc_오픈정렬!V139/Calc_오픈정렬!$F139*100)</f>
        <v/>
      </c>
      <c r="W139" t="str">
        <f>IF(OR(Calc_오픈정렬!$F139="",Calc_오픈정렬!W139=""),"",Calc_오픈정렬!W139/Calc_오픈정렬!$F139*100)</f>
        <v/>
      </c>
      <c r="X139" t="str">
        <f>IF(OR(Calc_오픈정렬!$F139="",Calc_오픈정렬!X139=""),"",Calc_오픈정렬!X139/Calc_오픈정렬!$F139*100)</f>
        <v/>
      </c>
      <c r="Y139" t="str">
        <f>IF(OR(Calc_오픈정렬!$F139="",Calc_오픈정렬!Y139=""),"",Calc_오픈정렬!Y139/Calc_오픈정렬!$F139*100)</f>
        <v/>
      </c>
      <c r="Z139" t="str">
        <f>IF(OR(Calc_오픈정렬!$F139="",Calc_오픈정렬!Z139=""),"",Calc_오픈정렬!Z139/Calc_오픈정렬!$F139*100)</f>
        <v/>
      </c>
      <c r="AA139" t="str">
        <f>IF(OR(Calc_오픈정렬!$F139="",Calc_오픈정렬!AA139=""),"",Calc_오픈정렬!AA139/Calc_오픈정렬!$F139*100)</f>
        <v/>
      </c>
      <c r="AB139" t="str">
        <f>IF(OR(Calc_오픈정렬!$F139="",Calc_오픈정렬!AB139=""),"",Calc_오픈정렬!AB139/Calc_오픈정렬!$F139*100)</f>
        <v/>
      </c>
      <c r="AC139" t="str">
        <f>IF(OR(Calc_오픈정렬!$F139="",Calc_오픈정렬!AC139=""),"",Calc_오픈정렬!AC139/Calc_오픈정렬!$F139*100)</f>
        <v/>
      </c>
      <c r="AD139" t="str">
        <f>IF(OR(Calc_오픈정렬!$F139="",Calc_오픈정렬!AD139=""),"",Calc_오픈정렬!AD139/Calc_오픈정렬!$F139*100)</f>
        <v/>
      </c>
      <c r="AE139" t="str">
        <f>IF(OR(Calc_오픈정렬!$F139="",Calc_오픈정렬!AE139=""),"",Calc_오픈정렬!AE139/Calc_오픈정렬!$F139*100)</f>
        <v/>
      </c>
      <c r="AF139" t="str">
        <f>IF(OR(Calc_오픈정렬!$F139="",Calc_오픈정렬!AF139=""),"",Calc_오픈정렬!AF139/Calc_오픈정렬!$F139*100)</f>
        <v/>
      </c>
      <c r="AG139" t="str">
        <f>IF(OR(Calc_오픈정렬!$F139="",Calc_오픈정렬!AG139=""),"",Calc_오픈정렬!AG139/Calc_오픈정렬!$F139*100)</f>
        <v/>
      </c>
      <c r="AH139" t="str">
        <f>IF(OR(Calc_오픈정렬!$F139="",Calc_오픈정렬!AH139=""),"",Calc_오픈정렬!AH139/Calc_오픈정렬!$F139*100)</f>
        <v/>
      </c>
      <c r="AI139" t="str">
        <f>IF(OR(Calc_오픈정렬!$F139="",Calc_오픈정렬!AI139=""),"",Calc_오픈정렬!AI139/Calc_오픈정렬!$F139*100)</f>
        <v/>
      </c>
      <c r="AJ139" t="str">
        <f>IF(OR(Calc_오픈정렬!$F139="",Calc_오픈정렬!AJ139=""),"",Calc_오픈정렬!AJ139/Calc_오픈정렬!$F139*100)</f>
        <v/>
      </c>
      <c r="AK139" t="str">
        <f>IF(OR(Calc_오픈정렬!$F139="",Calc_오픈정렬!AK139=""),"",Calc_오픈정렬!AK139/Calc_오픈정렬!$F139*100)</f>
        <v/>
      </c>
      <c r="AL139" t="str">
        <f>IF(OR(Calc_오픈정렬!$F139="",Calc_오픈정렬!AL139=""),"",Calc_오픈정렬!AL139/Calc_오픈정렬!$F139*100)</f>
        <v/>
      </c>
      <c r="AM139" t="str">
        <f>IF(OR(Calc_오픈정렬!$F139="",Calc_오픈정렬!AM139=""),"",Calc_오픈정렬!AM139/Calc_오픈정렬!$F139*100)</f>
        <v/>
      </c>
      <c r="AN139" t="str">
        <f>IF(OR(Calc_오픈정렬!$F139="",Calc_오픈정렬!AN139=""),"",Calc_오픈정렬!AN139/Calc_오픈정렬!$F139*100)</f>
        <v/>
      </c>
      <c r="AO139" t="str">
        <f>IF(OR(Calc_오픈정렬!$F139="",Calc_오픈정렬!AO139=""),"",Calc_오픈정렬!AO139/Calc_오픈정렬!$F139*100)</f>
        <v/>
      </c>
      <c r="AP139" t="str">
        <f>IF(OR(Calc_오픈정렬!$F139="",Calc_오픈정렬!AP139=""),"",Calc_오픈정렬!AP139/Calc_오픈정렬!$F139*100)</f>
        <v/>
      </c>
      <c r="AQ139" t="str">
        <f>IF(OR(Calc_오픈정렬!$F139="",Calc_오픈정렬!AQ139=""),"",Calc_오픈정렬!AQ139/Calc_오픈정렬!$F139*100)</f>
        <v/>
      </c>
      <c r="AR139" t="str">
        <f>IF(OR(Calc_오픈정렬!$F139="",Calc_오픈정렬!AR139=""),"",Calc_오픈정렬!AR139/Calc_오픈정렬!$F139*100)</f>
        <v/>
      </c>
      <c r="AS139" t="str">
        <f>IF(OR(Calc_오픈정렬!$F139="",Calc_오픈정렬!AS139=""),"",Calc_오픈정렬!AS139/Calc_오픈정렬!$F139*100)</f>
        <v/>
      </c>
      <c r="AT139" t="str">
        <f>IF(OR(Calc_오픈정렬!$F139="",Calc_오픈정렬!AT139=""),"",Calc_오픈정렬!AT139/Calc_오픈정렬!$F139*100)</f>
        <v/>
      </c>
      <c r="AU139" t="str">
        <f>IF(OR(Calc_오픈정렬!$F139="",Calc_오픈정렬!AU139=""),"",Calc_오픈정렬!AU139/Calc_오픈정렬!$F139*100)</f>
        <v/>
      </c>
      <c r="AV139" t="str">
        <f>IF(OR(Calc_오픈정렬!$F139="",Calc_오픈정렬!AV139=""),"",Calc_오픈정렬!AV139/Calc_오픈정렬!$F139*100)</f>
        <v/>
      </c>
      <c r="AW139" t="str">
        <f>IF(OR(Calc_오픈정렬!$F139="",Calc_오픈정렬!AW139=""),"",Calc_오픈정렬!AW139/Calc_오픈정렬!$F139*100)</f>
        <v/>
      </c>
      <c r="AX139" t="str">
        <f>IF(OR(Calc_오픈정렬!$F139="",Calc_오픈정렬!AX139=""),"",Calc_오픈정렬!AX139/Calc_오픈정렬!$F139*100)</f>
        <v/>
      </c>
      <c r="AY139" t="str">
        <f>IF(OR(Calc_오픈정렬!$F139="",Calc_오픈정렬!AY139=""),"",Calc_오픈정렬!AY139/Calc_오픈정렬!$F139*100)</f>
        <v/>
      </c>
      <c r="AZ139" t="str">
        <f>IF(OR(Calc_오픈정렬!$F139="",Calc_오픈정렬!AZ139=""),"",Calc_오픈정렬!AZ139/Calc_오픈정렬!$F139*100)</f>
        <v/>
      </c>
      <c r="BA139" t="str">
        <f>IF(OR(Calc_오픈정렬!$F139="",Calc_오픈정렬!BA139=""),"",Calc_오픈정렬!BA139/Calc_오픈정렬!$F139*100)</f>
        <v/>
      </c>
      <c r="BB139" t="str">
        <f>IF(OR(Calc_오픈정렬!$F139="",Calc_오픈정렬!BB139=""),"",Calc_오픈정렬!BB139/Calc_오픈정렬!$F139*100)</f>
        <v/>
      </c>
      <c r="BC139" t="str">
        <f>IF(OR(Calc_오픈정렬!$F139="",Calc_오픈정렬!BC139=""),"",Calc_오픈정렬!BC139/Calc_오픈정렬!$F139*100)</f>
        <v/>
      </c>
      <c r="BD139" t="str">
        <f>IF(OR(Calc_오픈정렬!$F139="",Calc_오픈정렬!BD139=""),"",Calc_오픈정렬!BD139/Calc_오픈정렬!$F139*100)</f>
        <v/>
      </c>
      <c r="BE139" t="str">
        <f>IF(OR(Calc_오픈정렬!$F139="",Calc_오픈정렬!BE139=""),"",Calc_오픈정렬!BE139/Calc_오픈정렬!$F139*100)</f>
        <v/>
      </c>
      <c r="BF139" t="str">
        <f>IF(OR(Calc_오픈정렬!$F139="",Calc_오픈정렬!BF139=""),"",Calc_오픈정렬!BF139/Calc_오픈정렬!$F139*100)</f>
        <v/>
      </c>
      <c r="BG139" t="str">
        <f>IF(OR(Calc_오픈정렬!$F139="",Calc_오픈정렬!BG139=""),"",Calc_오픈정렬!BG139/Calc_오픈정렬!$F139*100)</f>
        <v/>
      </c>
      <c r="BH139" t="str">
        <f>IF(OR(Calc_오픈정렬!$F139="",Calc_오픈정렬!BH139=""),"",Calc_오픈정렬!BH139/Calc_오픈정렬!$F139*100)</f>
        <v/>
      </c>
      <c r="BI139" t="str">
        <f>IF(OR(Calc_오픈정렬!$F139="",Calc_오픈정렬!BI139=""),"",Calc_오픈정렬!BI139/Calc_오픈정렬!$F139*100)</f>
        <v/>
      </c>
      <c r="BJ139" t="str">
        <f>IF(OR(Calc_오픈정렬!$F139="",Calc_오픈정렬!BJ139=""),"",Calc_오픈정렬!BJ139/Calc_오픈정렬!$F139*100)</f>
        <v/>
      </c>
      <c r="BK139" t="str">
        <f>IF(OR(Calc_오픈정렬!$F139="",Calc_오픈정렬!BK139=""),"",Calc_오픈정렬!BK139/Calc_오픈정렬!$F139*100)</f>
        <v/>
      </c>
      <c r="BL139" t="str">
        <f>IF(OR(Calc_오픈정렬!$F139="",Calc_오픈정렬!BL139=""),"",Calc_오픈정렬!BL139/Calc_오픈정렬!$F139*100)</f>
        <v/>
      </c>
      <c r="BM139" t="str">
        <f>IF(OR(Calc_오픈정렬!$F139="",Calc_오픈정렬!BM139=""),"",Calc_오픈정렬!BM139/Calc_오픈정렬!$F139*100)</f>
        <v/>
      </c>
      <c r="BN139" t="str">
        <f>IF(OR(Calc_오픈정렬!$F139="",Calc_오픈정렬!BN139=""),"",Calc_오픈정렬!BN139/Calc_오픈정렬!$F139*100)</f>
        <v/>
      </c>
    </row>
    <row r="140" spans="1:66" x14ac:dyDescent="0.4">
      <c r="A140" t="str">
        <f>Calc_오픈정렬!A140</f>
        <v>(1131) #대전백운초교점</v>
      </c>
      <c r="B140" t="str">
        <f>Calc_오픈정렬!B140</f>
        <v>150-0</v>
      </c>
      <c r="C140">
        <f>Calc_오픈정렬!C140</f>
        <v>0</v>
      </c>
      <c r="D140" t="str">
        <f>Calc_오픈정렬!D140</f>
        <v>0</v>
      </c>
      <c r="E140" s="1">
        <f>Calc_오픈정렬!E140</f>
        <v>45931</v>
      </c>
      <c r="F140">
        <f>Calc_오픈정렬!F140</f>
        <v>4951139.6019174671</v>
      </c>
      <c r="G140">
        <f>IF(OR(Calc_오픈정렬!$F140="",Calc_오픈정렬!G140=""),"",Calc_오픈정렬!G140/Calc_오픈정렬!$F140*100)</f>
        <v>65.985256319231382</v>
      </c>
      <c r="H140">
        <f>IF(OR(Calc_오픈정렬!$F140="",Calc_오픈정렬!H140=""),"",Calc_오픈정렬!H140/Calc_오픈정렬!$F140*100)</f>
        <v>73.030033189121283</v>
      </c>
      <c r="I140">
        <f>IF(OR(Calc_오픈정렬!$F140="",Calc_오픈정렬!I140=""),"",Calc_오픈정렬!I140/Calc_오픈정렬!$F140*100)</f>
        <v>83.645880267766174</v>
      </c>
      <c r="J140">
        <f>IF(OR(Calc_오픈정렬!$F140="",Calc_오픈정렬!J140=""),"",Calc_오픈정렬!J140/Calc_오픈정렬!$F140*100)</f>
        <v>109.8242334558782</v>
      </c>
      <c r="K140">
        <f>IF(OR(Calc_오픈정렬!$F140="",Calc_오픈정렬!K140=""),"",Calc_오픈정렬!K140/Calc_오픈정렬!$F140*100)</f>
        <v>105.64612789206542</v>
      </c>
      <c r="L140">
        <f>IF(OR(Calc_오픈정렬!$F140="",Calc_오픈정렬!L140=""),"",Calc_오픈정렬!L140/Calc_오픈정렬!$F140*100)</f>
        <v>92.285101639461615</v>
      </c>
      <c r="M140">
        <f>IF(OR(Calc_오픈정렬!$F140="",Calc_오픈정렬!M140=""),"",Calc_오픈정렬!M140/Calc_오픈정렬!$F140*100)</f>
        <v>90.428415850287763</v>
      </c>
      <c r="N140">
        <f>IF(OR(Calc_오픈정렬!$F140="",Calc_오픈정렬!N140=""),"",Calc_오픈정렬!N140/Calc_오픈정렬!$F140*100)</f>
        <v>101.8161211623071</v>
      </c>
      <c r="O140" t="str">
        <f>IF(OR(Calc_오픈정렬!$F140="",Calc_오픈정렬!O140=""),"",Calc_오픈정렬!O140/Calc_오픈정렬!$F140*100)</f>
        <v/>
      </c>
      <c r="P140" t="str">
        <f>IF(OR(Calc_오픈정렬!$F140="",Calc_오픈정렬!P140=""),"",Calc_오픈정렬!P140/Calc_오픈정렬!$F140*100)</f>
        <v/>
      </c>
      <c r="Q140" t="str">
        <f>IF(OR(Calc_오픈정렬!$F140="",Calc_오픈정렬!Q140=""),"",Calc_오픈정렬!Q140/Calc_오픈정렬!$F140*100)</f>
        <v/>
      </c>
      <c r="R140" t="str">
        <f>IF(OR(Calc_오픈정렬!$F140="",Calc_오픈정렬!R140=""),"",Calc_오픈정렬!R140/Calc_오픈정렬!$F140*100)</f>
        <v/>
      </c>
      <c r="S140" t="str">
        <f>IF(OR(Calc_오픈정렬!$F140="",Calc_오픈정렬!S140=""),"",Calc_오픈정렬!S140/Calc_오픈정렬!$F140*100)</f>
        <v/>
      </c>
      <c r="T140" t="str">
        <f>IF(OR(Calc_오픈정렬!$F140="",Calc_오픈정렬!T140=""),"",Calc_오픈정렬!T140/Calc_오픈정렬!$F140*100)</f>
        <v/>
      </c>
      <c r="U140" t="str">
        <f>IF(OR(Calc_오픈정렬!$F140="",Calc_오픈정렬!U140=""),"",Calc_오픈정렬!U140/Calc_오픈정렬!$F140*100)</f>
        <v/>
      </c>
      <c r="V140" t="str">
        <f>IF(OR(Calc_오픈정렬!$F140="",Calc_오픈정렬!V140=""),"",Calc_오픈정렬!V140/Calc_오픈정렬!$F140*100)</f>
        <v/>
      </c>
      <c r="W140" t="str">
        <f>IF(OR(Calc_오픈정렬!$F140="",Calc_오픈정렬!W140=""),"",Calc_오픈정렬!W140/Calc_오픈정렬!$F140*100)</f>
        <v/>
      </c>
      <c r="X140" t="str">
        <f>IF(OR(Calc_오픈정렬!$F140="",Calc_오픈정렬!X140=""),"",Calc_오픈정렬!X140/Calc_오픈정렬!$F140*100)</f>
        <v/>
      </c>
      <c r="Y140" t="str">
        <f>IF(OR(Calc_오픈정렬!$F140="",Calc_오픈정렬!Y140=""),"",Calc_오픈정렬!Y140/Calc_오픈정렬!$F140*100)</f>
        <v/>
      </c>
      <c r="Z140" t="str">
        <f>IF(OR(Calc_오픈정렬!$F140="",Calc_오픈정렬!Z140=""),"",Calc_오픈정렬!Z140/Calc_오픈정렬!$F140*100)</f>
        <v/>
      </c>
      <c r="AA140" t="str">
        <f>IF(OR(Calc_오픈정렬!$F140="",Calc_오픈정렬!AA140=""),"",Calc_오픈정렬!AA140/Calc_오픈정렬!$F140*100)</f>
        <v/>
      </c>
      <c r="AB140" t="str">
        <f>IF(OR(Calc_오픈정렬!$F140="",Calc_오픈정렬!AB140=""),"",Calc_오픈정렬!AB140/Calc_오픈정렬!$F140*100)</f>
        <v/>
      </c>
      <c r="AC140" t="str">
        <f>IF(OR(Calc_오픈정렬!$F140="",Calc_오픈정렬!AC140=""),"",Calc_오픈정렬!AC140/Calc_오픈정렬!$F140*100)</f>
        <v/>
      </c>
      <c r="AD140" t="str">
        <f>IF(OR(Calc_오픈정렬!$F140="",Calc_오픈정렬!AD140=""),"",Calc_오픈정렬!AD140/Calc_오픈정렬!$F140*100)</f>
        <v/>
      </c>
      <c r="AE140" t="str">
        <f>IF(OR(Calc_오픈정렬!$F140="",Calc_오픈정렬!AE140=""),"",Calc_오픈정렬!AE140/Calc_오픈정렬!$F140*100)</f>
        <v/>
      </c>
      <c r="AF140" t="str">
        <f>IF(OR(Calc_오픈정렬!$F140="",Calc_오픈정렬!AF140=""),"",Calc_오픈정렬!AF140/Calc_오픈정렬!$F140*100)</f>
        <v/>
      </c>
      <c r="AG140" t="str">
        <f>IF(OR(Calc_오픈정렬!$F140="",Calc_오픈정렬!AG140=""),"",Calc_오픈정렬!AG140/Calc_오픈정렬!$F140*100)</f>
        <v/>
      </c>
      <c r="AH140" t="str">
        <f>IF(OR(Calc_오픈정렬!$F140="",Calc_오픈정렬!AH140=""),"",Calc_오픈정렬!AH140/Calc_오픈정렬!$F140*100)</f>
        <v/>
      </c>
      <c r="AI140" t="str">
        <f>IF(OR(Calc_오픈정렬!$F140="",Calc_오픈정렬!AI140=""),"",Calc_오픈정렬!AI140/Calc_오픈정렬!$F140*100)</f>
        <v/>
      </c>
      <c r="AJ140" t="str">
        <f>IF(OR(Calc_오픈정렬!$F140="",Calc_오픈정렬!AJ140=""),"",Calc_오픈정렬!AJ140/Calc_오픈정렬!$F140*100)</f>
        <v/>
      </c>
      <c r="AK140" t="str">
        <f>IF(OR(Calc_오픈정렬!$F140="",Calc_오픈정렬!AK140=""),"",Calc_오픈정렬!AK140/Calc_오픈정렬!$F140*100)</f>
        <v/>
      </c>
      <c r="AL140" t="str">
        <f>IF(OR(Calc_오픈정렬!$F140="",Calc_오픈정렬!AL140=""),"",Calc_오픈정렬!AL140/Calc_오픈정렬!$F140*100)</f>
        <v/>
      </c>
      <c r="AM140" t="str">
        <f>IF(OR(Calc_오픈정렬!$F140="",Calc_오픈정렬!AM140=""),"",Calc_오픈정렬!AM140/Calc_오픈정렬!$F140*100)</f>
        <v/>
      </c>
      <c r="AN140" t="str">
        <f>IF(OR(Calc_오픈정렬!$F140="",Calc_오픈정렬!AN140=""),"",Calc_오픈정렬!AN140/Calc_오픈정렬!$F140*100)</f>
        <v/>
      </c>
      <c r="AO140" t="str">
        <f>IF(OR(Calc_오픈정렬!$F140="",Calc_오픈정렬!AO140=""),"",Calc_오픈정렬!AO140/Calc_오픈정렬!$F140*100)</f>
        <v/>
      </c>
      <c r="AP140" t="str">
        <f>IF(OR(Calc_오픈정렬!$F140="",Calc_오픈정렬!AP140=""),"",Calc_오픈정렬!AP140/Calc_오픈정렬!$F140*100)</f>
        <v/>
      </c>
      <c r="AQ140" t="str">
        <f>IF(OR(Calc_오픈정렬!$F140="",Calc_오픈정렬!AQ140=""),"",Calc_오픈정렬!AQ140/Calc_오픈정렬!$F140*100)</f>
        <v/>
      </c>
      <c r="AR140" t="str">
        <f>IF(OR(Calc_오픈정렬!$F140="",Calc_오픈정렬!AR140=""),"",Calc_오픈정렬!AR140/Calc_오픈정렬!$F140*100)</f>
        <v/>
      </c>
      <c r="AS140" t="str">
        <f>IF(OR(Calc_오픈정렬!$F140="",Calc_오픈정렬!AS140=""),"",Calc_오픈정렬!AS140/Calc_오픈정렬!$F140*100)</f>
        <v/>
      </c>
      <c r="AT140" t="str">
        <f>IF(OR(Calc_오픈정렬!$F140="",Calc_오픈정렬!AT140=""),"",Calc_오픈정렬!AT140/Calc_오픈정렬!$F140*100)</f>
        <v/>
      </c>
      <c r="AU140" t="str">
        <f>IF(OR(Calc_오픈정렬!$F140="",Calc_오픈정렬!AU140=""),"",Calc_오픈정렬!AU140/Calc_오픈정렬!$F140*100)</f>
        <v/>
      </c>
      <c r="AV140" t="str">
        <f>IF(OR(Calc_오픈정렬!$F140="",Calc_오픈정렬!AV140=""),"",Calc_오픈정렬!AV140/Calc_오픈정렬!$F140*100)</f>
        <v/>
      </c>
      <c r="AW140" t="str">
        <f>IF(OR(Calc_오픈정렬!$F140="",Calc_오픈정렬!AW140=""),"",Calc_오픈정렬!AW140/Calc_오픈정렬!$F140*100)</f>
        <v/>
      </c>
      <c r="AX140" t="str">
        <f>IF(OR(Calc_오픈정렬!$F140="",Calc_오픈정렬!AX140=""),"",Calc_오픈정렬!AX140/Calc_오픈정렬!$F140*100)</f>
        <v/>
      </c>
      <c r="AY140" t="str">
        <f>IF(OR(Calc_오픈정렬!$F140="",Calc_오픈정렬!AY140=""),"",Calc_오픈정렬!AY140/Calc_오픈정렬!$F140*100)</f>
        <v/>
      </c>
      <c r="AZ140" t="str">
        <f>IF(OR(Calc_오픈정렬!$F140="",Calc_오픈정렬!AZ140=""),"",Calc_오픈정렬!AZ140/Calc_오픈정렬!$F140*100)</f>
        <v/>
      </c>
      <c r="BA140" t="str">
        <f>IF(OR(Calc_오픈정렬!$F140="",Calc_오픈정렬!BA140=""),"",Calc_오픈정렬!BA140/Calc_오픈정렬!$F140*100)</f>
        <v/>
      </c>
      <c r="BB140" t="str">
        <f>IF(OR(Calc_오픈정렬!$F140="",Calc_오픈정렬!BB140=""),"",Calc_오픈정렬!BB140/Calc_오픈정렬!$F140*100)</f>
        <v/>
      </c>
      <c r="BC140" t="str">
        <f>IF(OR(Calc_오픈정렬!$F140="",Calc_오픈정렬!BC140=""),"",Calc_오픈정렬!BC140/Calc_오픈정렬!$F140*100)</f>
        <v/>
      </c>
      <c r="BD140" t="str">
        <f>IF(OR(Calc_오픈정렬!$F140="",Calc_오픈정렬!BD140=""),"",Calc_오픈정렬!BD140/Calc_오픈정렬!$F140*100)</f>
        <v/>
      </c>
      <c r="BE140" t="str">
        <f>IF(OR(Calc_오픈정렬!$F140="",Calc_오픈정렬!BE140=""),"",Calc_오픈정렬!BE140/Calc_오픈정렬!$F140*100)</f>
        <v/>
      </c>
      <c r="BF140" t="str">
        <f>IF(OR(Calc_오픈정렬!$F140="",Calc_오픈정렬!BF140=""),"",Calc_오픈정렬!BF140/Calc_오픈정렬!$F140*100)</f>
        <v/>
      </c>
      <c r="BG140" t="str">
        <f>IF(OR(Calc_오픈정렬!$F140="",Calc_오픈정렬!BG140=""),"",Calc_오픈정렬!BG140/Calc_오픈정렬!$F140*100)</f>
        <v/>
      </c>
      <c r="BH140" t="str">
        <f>IF(OR(Calc_오픈정렬!$F140="",Calc_오픈정렬!BH140=""),"",Calc_오픈정렬!BH140/Calc_오픈정렬!$F140*100)</f>
        <v/>
      </c>
      <c r="BI140" t="str">
        <f>IF(OR(Calc_오픈정렬!$F140="",Calc_오픈정렬!BI140=""),"",Calc_오픈정렬!BI140/Calc_오픈정렬!$F140*100)</f>
        <v/>
      </c>
      <c r="BJ140" t="str">
        <f>IF(OR(Calc_오픈정렬!$F140="",Calc_오픈정렬!BJ140=""),"",Calc_오픈정렬!BJ140/Calc_오픈정렬!$F140*100)</f>
        <v/>
      </c>
      <c r="BK140" t="str">
        <f>IF(OR(Calc_오픈정렬!$F140="",Calc_오픈정렬!BK140=""),"",Calc_오픈정렬!BK140/Calc_오픈정렬!$F140*100)</f>
        <v/>
      </c>
      <c r="BL140" t="str">
        <f>IF(OR(Calc_오픈정렬!$F140="",Calc_오픈정렬!BL140=""),"",Calc_오픈정렬!BL140/Calc_오픈정렬!$F140*100)</f>
        <v/>
      </c>
      <c r="BM140" t="str">
        <f>IF(OR(Calc_오픈정렬!$F140="",Calc_오픈정렬!BM140=""),"",Calc_오픈정렬!BM140/Calc_오픈정렬!$F140*100)</f>
        <v/>
      </c>
      <c r="BN140" t="str">
        <f>IF(OR(Calc_오픈정렬!$F140="",Calc_오픈정렬!BN140=""),"",Calc_오픈정렬!BN140/Calc_오픈정렬!$F140*100)</f>
        <v/>
      </c>
    </row>
    <row r="141" spans="1:66" x14ac:dyDescent="0.4">
      <c r="A141" t="str">
        <f>Calc_오픈정렬!A141</f>
        <v>(1132) #한남대정문점</v>
      </c>
      <c r="B141" t="str">
        <f>Calc_오픈정렬!B141</f>
        <v>150-2</v>
      </c>
      <c r="C141">
        <f>Calc_오픈정렬!C141</f>
        <v>2</v>
      </c>
      <c r="D141" t="str">
        <f>Calc_오픈정렬!D141</f>
        <v>2</v>
      </c>
      <c r="E141" s="1">
        <f>Calc_오픈정렬!E141</f>
        <v>45931</v>
      </c>
      <c r="F141">
        <f>Calc_오픈정렬!F141</f>
        <v>4981639.5943424394</v>
      </c>
      <c r="G141">
        <f>IF(OR(Calc_오픈정렬!$F141="",Calc_오픈정렬!G141=""),"",Calc_오픈정렬!G141/Calc_오픈정렬!$F141*100)</f>
        <v>66.398141610347395</v>
      </c>
      <c r="H141">
        <f>IF(OR(Calc_오픈정렬!$F141="",Calc_오픈정렬!H141=""),"",Calc_오픈정렬!H141/Calc_오픈정렬!$F141*100)</f>
        <v>71.634100690641759</v>
      </c>
      <c r="I141">
        <f>IF(OR(Calc_오픈정렬!$F141="",Calc_오픈정렬!I141=""),"",Calc_오픈정렬!I141/Calc_오픈정렬!$F141*100)</f>
        <v>70.349016571651418</v>
      </c>
      <c r="J141">
        <f>IF(OR(Calc_오픈정렬!$F141="",Calc_오픈정렬!J141=""),"",Calc_오픈정렬!J141/Calc_오픈정렬!$F141*100)</f>
        <v>78.89759606348106</v>
      </c>
      <c r="K141">
        <f>IF(OR(Calc_오픈정렬!$F141="",Calc_오픈정렬!K141=""),"",Calc_오픈정렬!K141/Calc_오픈정렬!$F141*100)</f>
        <v>95.793358033632046</v>
      </c>
      <c r="L141">
        <f>IF(OR(Calc_오픈정렬!$F141="",Calc_오픈정렬!L141=""),"",Calc_오픈정렬!L141/Calc_오픈정렬!$F141*100)</f>
        <v>106.42796637875145</v>
      </c>
      <c r="M141">
        <f>IF(OR(Calc_오픈정렬!$F141="",Calc_오픈정렬!M141=""),"",Calc_오픈정렬!M141/Calc_오픈정렬!$F141*100)</f>
        <v>102.22957838287201</v>
      </c>
      <c r="N141">
        <f>IF(OR(Calc_오픈정렬!$F141="",Calc_오픈정렬!N141=""),"",Calc_오픈정렬!N141/Calc_오픈정렬!$F141*100)</f>
        <v>116.65150114126348</v>
      </c>
      <c r="O141" t="str">
        <f>IF(OR(Calc_오픈정렬!$F141="",Calc_오픈정렬!O141=""),"",Calc_오픈정렬!O141/Calc_오픈정렬!$F141*100)</f>
        <v/>
      </c>
      <c r="P141" t="str">
        <f>IF(OR(Calc_오픈정렬!$F141="",Calc_오픈정렬!P141=""),"",Calc_오픈정렬!P141/Calc_오픈정렬!$F141*100)</f>
        <v/>
      </c>
      <c r="Q141" t="str">
        <f>IF(OR(Calc_오픈정렬!$F141="",Calc_오픈정렬!Q141=""),"",Calc_오픈정렬!Q141/Calc_오픈정렬!$F141*100)</f>
        <v/>
      </c>
      <c r="R141" t="str">
        <f>IF(OR(Calc_오픈정렬!$F141="",Calc_오픈정렬!R141=""),"",Calc_오픈정렬!R141/Calc_오픈정렬!$F141*100)</f>
        <v/>
      </c>
      <c r="S141" t="str">
        <f>IF(OR(Calc_오픈정렬!$F141="",Calc_오픈정렬!S141=""),"",Calc_오픈정렬!S141/Calc_오픈정렬!$F141*100)</f>
        <v/>
      </c>
      <c r="T141" t="str">
        <f>IF(OR(Calc_오픈정렬!$F141="",Calc_오픈정렬!T141=""),"",Calc_오픈정렬!T141/Calc_오픈정렬!$F141*100)</f>
        <v/>
      </c>
      <c r="U141" t="str">
        <f>IF(OR(Calc_오픈정렬!$F141="",Calc_오픈정렬!U141=""),"",Calc_오픈정렬!U141/Calc_오픈정렬!$F141*100)</f>
        <v/>
      </c>
      <c r="V141" t="str">
        <f>IF(OR(Calc_오픈정렬!$F141="",Calc_오픈정렬!V141=""),"",Calc_오픈정렬!V141/Calc_오픈정렬!$F141*100)</f>
        <v/>
      </c>
      <c r="W141" t="str">
        <f>IF(OR(Calc_오픈정렬!$F141="",Calc_오픈정렬!W141=""),"",Calc_오픈정렬!W141/Calc_오픈정렬!$F141*100)</f>
        <v/>
      </c>
      <c r="X141" t="str">
        <f>IF(OR(Calc_오픈정렬!$F141="",Calc_오픈정렬!X141=""),"",Calc_오픈정렬!X141/Calc_오픈정렬!$F141*100)</f>
        <v/>
      </c>
      <c r="Y141" t="str">
        <f>IF(OR(Calc_오픈정렬!$F141="",Calc_오픈정렬!Y141=""),"",Calc_오픈정렬!Y141/Calc_오픈정렬!$F141*100)</f>
        <v/>
      </c>
      <c r="Z141" t="str">
        <f>IF(OR(Calc_오픈정렬!$F141="",Calc_오픈정렬!Z141=""),"",Calc_오픈정렬!Z141/Calc_오픈정렬!$F141*100)</f>
        <v/>
      </c>
      <c r="AA141" t="str">
        <f>IF(OR(Calc_오픈정렬!$F141="",Calc_오픈정렬!AA141=""),"",Calc_오픈정렬!AA141/Calc_오픈정렬!$F141*100)</f>
        <v/>
      </c>
      <c r="AB141" t="str">
        <f>IF(OR(Calc_오픈정렬!$F141="",Calc_오픈정렬!AB141=""),"",Calc_오픈정렬!AB141/Calc_오픈정렬!$F141*100)</f>
        <v/>
      </c>
      <c r="AC141" t="str">
        <f>IF(OR(Calc_오픈정렬!$F141="",Calc_오픈정렬!AC141=""),"",Calc_오픈정렬!AC141/Calc_오픈정렬!$F141*100)</f>
        <v/>
      </c>
      <c r="AD141" t="str">
        <f>IF(OR(Calc_오픈정렬!$F141="",Calc_오픈정렬!AD141=""),"",Calc_오픈정렬!AD141/Calc_오픈정렬!$F141*100)</f>
        <v/>
      </c>
      <c r="AE141" t="str">
        <f>IF(OR(Calc_오픈정렬!$F141="",Calc_오픈정렬!AE141=""),"",Calc_오픈정렬!AE141/Calc_오픈정렬!$F141*100)</f>
        <v/>
      </c>
      <c r="AF141" t="str">
        <f>IF(OR(Calc_오픈정렬!$F141="",Calc_오픈정렬!AF141=""),"",Calc_오픈정렬!AF141/Calc_오픈정렬!$F141*100)</f>
        <v/>
      </c>
      <c r="AG141" t="str">
        <f>IF(OR(Calc_오픈정렬!$F141="",Calc_오픈정렬!AG141=""),"",Calc_오픈정렬!AG141/Calc_오픈정렬!$F141*100)</f>
        <v/>
      </c>
      <c r="AH141" t="str">
        <f>IF(OR(Calc_오픈정렬!$F141="",Calc_오픈정렬!AH141=""),"",Calc_오픈정렬!AH141/Calc_오픈정렬!$F141*100)</f>
        <v/>
      </c>
      <c r="AI141" t="str">
        <f>IF(OR(Calc_오픈정렬!$F141="",Calc_오픈정렬!AI141=""),"",Calc_오픈정렬!AI141/Calc_오픈정렬!$F141*100)</f>
        <v/>
      </c>
      <c r="AJ141" t="str">
        <f>IF(OR(Calc_오픈정렬!$F141="",Calc_오픈정렬!AJ141=""),"",Calc_오픈정렬!AJ141/Calc_오픈정렬!$F141*100)</f>
        <v/>
      </c>
      <c r="AK141" t="str">
        <f>IF(OR(Calc_오픈정렬!$F141="",Calc_오픈정렬!AK141=""),"",Calc_오픈정렬!AK141/Calc_오픈정렬!$F141*100)</f>
        <v/>
      </c>
      <c r="AL141" t="str">
        <f>IF(OR(Calc_오픈정렬!$F141="",Calc_오픈정렬!AL141=""),"",Calc_오픈정렬!AL141/Calc_오픈정렬!$F141*100)</f>
        <v/>
      </c>
      <c r="AM141" t="str">
        <f>IF(OR(Calc_오픈정렬!$F141="",Calc_오픈정렬!AM141=""),"",Calc_오픈정렬!AM141/Calc_오픈정렬!$F141*100)</f>
        <v/>
      </c>
      <c r="AN141" t="str">
        <f>IF(OR(Calc_오픈정렬!$F141="",Calc_오픈정렬!AN141=""),"",Calc_오픈정렬!AN141/Calc_오픈정렬!$F141*100)</f>
        <v/>
      </c>
      <c r="AO141" t="str">
        <f>IF(OR(Calc_오픈정렬!$F141="",Calc_오픈정렬!AO141=""),"",Calc_오픈정렬!AO141/Calc_오픈정렬!$F141*100)</f>
        <v/>
      </c>
      <c r="AP141" t="str">
        <f>IF(OR(Calc_오픈정렬!$F141="",Calc_오픈정렬!AP141=""),"",Calc_오픈정렬!AP141/Calc_오픈정렬!$F141*100)</f>
        <v/>
      </c>
      <c r="AQ141" t="str">
        <f>IF(OR(Calc_오픈정렬!$F141="",Calc_오픈정렬!AQ141=""),"",Calc_오픈정렬!AQ141/Calc_오픈정렬!$F141*100)</f>
        <v/>
      </c>
      <c r="AR141" t="str">
        <f>IF(OR(Calc_오픈정렬!$F141="",Calc_오픈정렬!AR141=""),"",Calc_오픈정렬!AR141/Calc_오픈정렬!$F141*100)</f>
        <v/>
      </c>
      <c r="AS141" t="str">
        <f>IF(OR(Calc_오픈정렬!$F141="",Calc_오픈정렬!AS141=""),"",Calc_오픈정렬!AS141/Calc_오픈정렬!$F141*100)</f>
        <v/>
      </c>
      <c r="AT141" t="str">
        <f>IF(OR(Calc_오픈정렬!$F141="",Calc_오픈정렬!AT141=""),"",Calc_오픈정렬!AT141/Calc_오픈정렬!$F141*100)</f>
        <v/>
      </c>
      <c r="AU141" t="str">
        <f>IF(OR(Calc_오픈정렬!$F141="",Calc_오픈정렬!AU141=""),"",Calc_오픈정렬!AU141/Calc_오픈정렬!$F141*100)</f>
        <v/>
      </c>
      <c r="AV141" t="str">
        <f>IF(OR(Calc_오픈정렬!$F141="",Calc_오픈정렬!AV141=""),"",Calc_오픈정렬!AV141/Calc_오픈정렬!$F141*100)</f>
        <v/>
      </c>
      <c r="AW141" t="str">
        <f>IF(OR(Calc_오픈정렬!$F141="",Calc_오픈정렬!AW141=""),"",Calc_오픈정렬!AW141/Calc_오픈정렬!$F141*100)</f>
        <v/>
      </c>
      <c r="AX141" t="str">
        <f>IF(OR(Calc_오픈정렬!$F141="",Calc_오픈정렬!AX141=""),"",Calc_오픈정렬!AX141/Calc_오픈정렬!$F141*100)</f>
        <v/>
      </c>
      <c r="AY141" t="str">
        <f>IF(OR(Calc_오픈정렬!$F141="",Calc_오픈정렬!AY141=""),"",Calc_오픈정렬!AY141/Calc_오픈정렬!$F141*100)</f>
        <v/>
      </c>
      <c r="AZ141" t="str">
        <f>IF(OR(Calc_오픈정렬!$F141="",Calc_오픈정렬!AZ141=""),"",Calc_오픈정렬!AZ141/Calc_오픈정렬!$F141*100)</f>
        <v/>
      </c>
      <c r="BA141" t="str">
        <f>IF(OR(Calc_오픈정렬!$F141="",Calc_오픈정렬!BA141=""),"",Calc_오픈정렬!BA141/Calc_오픈정렬!$F141*100)</f>
        <v/>
      </c>
      <c r="BB141" t="str">
        <f>IF(OR(Calc_오픈정렬!$F141="",Calc_오픈정렬!BB141=""),"",Calc_오픈정렬!BB141/Calc_오픈정렬!$F141*100)</f>
        <v/>
      </c>
      <c r="BC141" t="str">
        <f>IF(OR(Calc_오픈정렬!$F141="",Calc_오픈정렬!BC141=""),"",Calc_오픈정렬!BC141/Calc_오픈정렬!$F141*100)</f>
        <v/>
      </c>
      <c r="BD141" t="str">
        <f>IF(OR(Calc_오픈정렬!$F141="",Calc_오픈정렬!BD141=""),"",Calc_오픈정렬!BD141/Calc_오픈정렬!$F141*100)</f>
        <v/>
      </c>
      <c r="BE141" t="str">
        <f>IF(OR(Calc_오픈정렬!$F141="",Calc_오픈정렬!BE141=""),"",Calc_오픈정렬!BE141/Calc_오픈정렬!$F141*100)</f>
        <v/>
      </c>
      <c r="BF141" t="str">
        <f>IF(OR(Calc_오픈정렬!$F141="",Calc_오픈정렬!BF141=""),"",Calc_오픈정렬!BF141/Calc_오픈정렬!$F141*100)</f>
        <v/>
      </c>
      <c r="BG141" t="str">
        <f>IF(OR(Calc_오픈정렬!$F141="",Calc_오픈정렬!BG141=""),"",Calc_오픈정렬!BG141/Calc_오픈정렬!$F141*100)</f>
        <v/>
      </c>
      <c r="BH141" t="str">
        <f>IF(OR(Calc_오픈정렬!$F141="",Calc_오픈정렬!BH141=""),"",Calc_오픈정렬!BH141/Calc_오픈정렬!$F141*100)</f>
        <v/>
      </c>
      <c r="BI141" t="str">
        <f>IF(OR(Calc_오픈정렬!$F141="",Calc_오픈정렬!BI141=""),"",Calc_오픈정렬!BI141/Calc_오픈정렬!$F141*100)</f>
        <v/>
      </c>
      <c r="BJ141" t="str">
        <f>IF(OR(Calc_오픈정렬!$F141="",Calc_오픈정렬!BJ141=""),"",Calc_오픈정렬!BJ141/Calc_오픈정렬!$F141*100)</f>
        <v/>
      </c>
      <c r="BK141" t="str">
        <f>IF(OR(Calc_오픈정렬!$F141="",Calc_오픈정렬!BK141=""),"",Calc_오픈정렬!BK141/Calc_오픈정렬!$F141*100)</f>
        <v/>
      </c>
      <c r="BL141" t="str">
        <f>IF(OR(Calc_오픈정렬!$F141="",Calc_오픈정렬!BL141=""),"",Calc_오픈정렬!BL141/Calc_오픈정렬!$F141*100)</f>
        <v/>
      </c>
      <c r="BM141" t="str">
        <f>IF(OR(Calc_오픈정렬!$F141="",Calc_오픈정렬!BM141=""),"",Calc_오픈정렬!BM141/Calc_오픈정렬!$F141*100)</f>
        <v/>
      </c>
      <c r="BN141" t="str">
        <f>IF(OR(Calc_오픈정렬!$F141="",Calc_오픈정렬!BN141=""),"",Calc_오픈정렬!BN141/Calc_오픈정렬!$F141*100)</f>
        <v/>
      </c>
    </row>
    <row r="142" spans="1:66" x14ac:dyDescent="0.4">
      <c r="A142" t="str">
        <f>Calc_오픈정렬!A142</f>
        <v>(1133) #원천제이씨점</v>
      </c>
      <c r="B142" t="str">
        <f>Calc_오픈정렬!B142</f>
        <v>150-1</v>
      </c>
      <c r="C142">
        <f>Calc_오픈정렬!C142</f>
        <v>1</v>
      </c>
      <c r="D142" t="str">
        <f>Calc_오픈정렬!D142</f>
        <v>1</v>
      </c>
      <c r="E142" s="1">
        <f>Calc_오픈정렬!E142</f>
        <v>45962</v>
      </c>
      <c r="F142">
        <f>Calc_오픈정렬!F142</f>
        <v>2736620.5338753406</v>
      </c>
      <c r="G142">
        <f>IF(OR(Calc_오픈정렬!$F142="",Calc_오픈정렬!G142=""),"",Calc_오픈정렬!G142/Calc_오픈정렬!$F142*100)</f>
        <v>81.444929650071188</v>
      </c>
      <c r="H142">
        <f>IF(OR(Calc_오픈정렬!$F142="",Calc_오픈정렬!H142=""),"",Calc_오픈정렬!H142/Calc_오픈정렬!$F142*100)</f>
        <v>79.303334292166156</v>
      </c>
      <c r="I142">
        <f>IF(OR(Calc_오픈정렬!$F142="",Calc_오픈정렬!I142=""),"",Calc_오픈정렬!I142/Calc_오픈정렬!$F142*100)</f>
        <v>99.450682832710555</v>
      </c>
      <c r="J142">
        <f>IF(OR(Calc_오픈정렬!$F142="",Calc_오픈정렬!J142=""),"",Calc_오픈정렬!J142/Calc_오픈정렬!$F142*100)</f>
        <v>91.823306756132538</v>
      </c>
      <c r="K142">
        <f>IF(OR(Calc_오픈정렬!$F142="",Calc_오픈정렬!K142=""),"",Calc_오픈정렬!K142/Calc_오픈정렬!$F142*100)</f>
        <v>92.184620566750297</v>
      </c>
      <c r="L142">
        <f>IF(OR(Calc_오픈정렬!$F142="",Calc_오픈정렬!L142=""),"",Calc_오픈정렬!L142/Calc_오픈정렬!$F142*100)</f>
        <v>99.633582518045785</v>
      </c>
      <c r="M142">
        <f>IF(OR(Calc_오픈정렬!$F142="",Calc_오픈정렬!M142=""),"",Calc_오픈정렬!M142/Calc_오픈정렬!$F142*100)</f>
        <v>116.35849015907134</v>
      </c>
      <c r="N142" t="str">
        <f>IF(OR(Calc_오픈정렬!$F142="",Calc_오픈정렬!N142=""),"",Calc_오픈정렬!N142/Calc_오픈정렬!$F142*100)</f>
        <v/>
      </c>
      <c r="O142" t="str">
        <f>IF(OR(Calc_오픈정렬!$F142="",Calc_오픈정렬!O142=""),"",Calc_오픈정렬!O142/Calc_오픈정렬!$F142*100)</f>
        <v/>
      </c>
      <c r="P142" t="str">
        <f>IF(OR(Calc_오픈정렬!$F142="",Calc_오픈정렬!P142=""),"",Calc_오픈정렬!P142/Calc_오픈정렬!$F142*100)</f>
        <v/>
      </c>
      <c r="Q142" t="str">
        <f>IF(OR(Calc_오픈정렬!$F142="",Calc_오픈정렬!Q142=""),"",Calc_오픈정렬!Q142/Calc_오픈정렬!$F142*100)</f>
        <v/>
      </c>
      <c r="R142" t="str">
        <f>IF(OR(Calc_오픈정렬!$F142="",Calc_오픈정렬!R142=""),"",Calc_오픈정렬!R142/Calc_오픈정렬!$F142*100)</f>
        <v/>
      </c>
      <c r="S142" t="str">
        <f>IF(OR(Calc_오픈정렬!$F142="",Calc_오픈정렬!S142=""),"",Calc_오픈정렬!S142/Calc_오픈정렬!$F142*100)</f>
        <v/>
      </c>
      <c r="T142" t="str">
        <f>IF(OR(Calc_오픈정렬!$F142="",Calc_오픈정렬!T142=""),"",Calc_오픈정렬!T142/Calc_오픈정렬!$F142*100)</f>
        <v/>
      </c>
      <c r="U142" t="str">
        <f>IF(OR(Calc_오픈정렬!$F142="",Calc_오픈정렬!U142=""),"",Calc_오픈정렬!U142/Calc_오픈정렬!$F142*100)</f>
        <v/>
      </c>
      <c r="V142" t="str">
        <f>IF(OR(Calc_오픈정렬!$F142="",Calc_오픈정렬!V142=""),"",Calc_오픈정렬!V142/Calc_오픈정렬!$F142*100)</f>
        <v/>
      </c>
      <c r="W142" t="str">
        <f>IF(OR(Calc_오픈정렬!$F142="",Calc_오픈정렬!W142=""),"",Calc_오픈정렬!W142/Calc_오픈정렬!$F142*100)</f>
        <v/>
      </c>
      <c r="X142" t="str">
        <f>IF(OR(Calc_오픈정렬!$F142="",Calc_오픈정렬!X142=""),"",Calc_오픈정렬!X142/Calc_오픈정렬!$F142*100)</f>
        <v/>
      </c>
      <c r="Y142" t="str">
        <f>IF(OR(Calc_오픈정렬!$F142="",Calc_오픈정렬!Y142=""),"",Calc_오픈정렬!Y142/Calc_오픈정렬!$F142*100)</f>
        <v/>
      </c>
      <c r="Z142" t="str">
        <f>IF(OR(Calc_오픈정렬!$F142="",Calc_오픈정렬!Z142=""),"",Calc_오픈정렬!Z142/Calc_오픈정렬!$F142*100)</f>
        <v/>
      </c>
      <c r="AA142" t="str">
        <f>IF(OR(Calc_오픈정렬!$F142="",Calc_오픈정렬!AA142=""),"",Calc_오픈정렬!AA142/Calc_오픈정렬!$F142*100)</f>
        <v/>
      </c>
      <c r="AB142" t="str">
        <f>IF(OR(Calc_오픈정렬!$F142="",Calc_오픈정렬!AB142=""),"",Calc_오픈정렬!AB142/Calc_오픈정렬!$F142*100)</f>
        <v/>
      </c>
      <c r="AC142" t="str">
        <f>IF(OR(Calc_오픈정렬!$F142="",Calc_오픈정렬!AC142=""),"",Calc_오픈정렬!AC142/Calc_오픈정렬!$F142*100)</f>
        <v/>
      </c>
      <c r="AD142" t="str">
        <f>IF(OR(Calc_오픈정렬!$F142="",Calc_오픈정렬!AD142=""),"",Calc_오픈정렬!AD142/Calc_오픈정렬!$F142*100)</f>
        <v/>
      </c>
      <c r="AE142" t="str">
        <f>IF(OR(Calc_오픈정렬!$F142="",Calc_오픈정렬!AE142=""),"",Calc_오픈정렬!AE142/Calc_오픈정렬!$F142*100)</f>
        <v/>
      </c>
      <c r="AF142" t="str">
        <f>IF(OR(Calc_오픈정렬!$F142="",Calc_오픈정렬!AF142=""),"",Calc_오픈정렬!AF142/Calc_오픈정렬!$F142*100)</f>
        <v/>
      </c>
      <c r="AG142" t="str">
        <f>IF(OR(Calc_오픈정렬!$F142="",Calc_오픈정렬!AG142=""),"",Calc_오픈정렬!AG142/Calc_오픈정렬!$F142*100)</f>
        <v/>
      </c>
      <c r="AH142" t="str">
        <f>IF(OR(Calc_오픈정렬!$F142="",Calc_오픈정렬!AH142=""),"",Calc_오픈정렬!AH142/Calc_오픈정렬!$F142*100)</f>
        <v/>
      </c>
      <c r="AI142" t="str">
        <f>IF(OR(Calc_오픈정렬!$F142="",Calc_오픈정렬!AI142=""),"",Calc_오픈정렬!AI142/Calc_오픈정렬!$F142*100)</f>
        <v/>
      </c>
      <c r="AJ142" t="str">
        <f>IF(OR(Calc_오픈정렬!$F142="",Calc_오픈정렬!AJ142=""),"",Calc_오픈정렬!AJ142/Calc_오픈정렬!$F142*100)</f>
        <v/>
      </c>
      <c r="AK142" t="str">
        <f>IF(OR(Calc_오픈정렬!$F142="",Calc_오픈정렬!AK142=""),"",Calc_오픈정렬!AK142/Calc_오픈정렬!$F142*100)</f>
        <v/>
      </c>
      <c r="AL142" t="str">
        <f>IF(OR(Calc_오픈정렬!$F142="",Calc_오픈정렬!AL142=""),"",Calc_오픈정렬!AL142/Calc_오픈정렬!$F142*100)</f>
        <v/>
      </c>
      <c r="AM142" t="str">
        <f>IF(OR(Calc_오픈정렬!$F142="",Calc_오픈정렬!AM142=""),"",Calc_오픈정렬!AM142/Calc_오픈정렬!$F142*100)</f>
        <v/>
      </c>
      <c r="AN142" t="str">
        <f>IF(OR(Calc_오픈정렬!$F142="",Calc_오픈정렬!AN142=""),"",Calc_오픈정렬!AN142/Calc_오픈정렬!$F142*100)</f>
        <v/>
      </c>
      <c r="AO142" t="str">
        <f>IF(OR(Calc_오픈정렬!$F142="",Calc_오픈정렬!AO142=""),"",Calc_오픈정렬!AO142/Calc_오픈정렬!$F142*100)</f>
        <v/>
      </c>
      <c r="AP142" t="str">
        <f>IF(OR(Calc_오픈정렬!$F142="",Calc_오픈정렬!AP142=""),"",Calc_오픈정렬!AP142/Calc_오픈정렬!$F142*100)</f>
        <v/>
      </c>
      <c r="AQ142" t="str">
        <f>IF(OR(Calc_오픈정렬!$F142="",Calc_오픈정렬!AQ142=""),"",Calc_오픈정렬!AQ142/Calc_오픈정렬!$F142*100)</f>
        <v/>
      </c>
      <c r="AR142" t="str">
        <f>IF(OR(Calc_오픈정렬!$F142="",Calc_오픈정렬!AR142=""),"",Calc_오픈정렬!AR142/Calc_오픈정렬!$F142*100)</f>
        <v/>
      </c>
      <c r="AS142" t="str">
        <f>IF(OR(Calc_오픈정렬!$F142="",Calc_오픈정렬!AS142=""),"",Calc_오픈정렬!AS142/Calc_오픈정렬!$F142*100)</f>
        <v/>
      </c>
      <c r="AT142" t="str">
        <f>IF(OR(Calc_오픈정렬!$F142="",Calc_오픈정렬!AT142=""),"",Calc_오픈정렬!AT142/Calc_오픈정렬!$F142*100)</f>
        <v/>
      </c>
      <c r="AU142" t="str">
        <f>IF(OR(Calc_오픈정렬!$F142="",Calc_오픈정렬!AU142=""),"",Calc_오픈정렬!AU142/Calc_오픈정렬!$F142*100)</f>
        <v/>
      </c>
      <c r="AV142" t="str">
        <f>IF(OR(Calc_오픈정렬!$F142="",Calc_오픈정렬!AV142=""),"",Calc_오픈정렬!AV142/Calc_오픈정렬!$F142*100)</f>
        <v/>
      </c>
      <c r="AW142" t="str">
        <f>IF(OR(Calc_오픈정렬!$F142="",Calc_오픈정렬!AW142=""),"",Calc_오픈정렬!AW142/Calc_오픈정렬!$F142*100)</f>
        <v/>
      </c>
      <c r="AX142" t="str">
        <f>IF(OR(Calc_오픈정렬!$F142="",Calc_오픈정렬!AX142=""),"",Calc_오픈정렬!AX142/Calc_오픈정렬!$F142*100)</f>
        <v/>
      </c>
      <c r="AY142" t="str">
        <f>IF(OR(Calc_오픈정렬!$F142="",Calc_오픈정렬!AY142=""),"",Calc_오픈정렬!AY142/Calc_오픈정렬!$F142*100)</f>
        <v/>
      </c>
      <c r="AZ142" t="str">
        <f>IF(OR(Calc_오픈정렬!$F142="",Calc_오픈정렬!AZ142=""),"",Calc_오픈정렬!AZ142/Calc_오픈정렬!$F142*100)</f>
        <v/>
      </c>
      <c r="BA142" t="str">
        <f>IF(OR(Calc_오픈정렬!$F142="",Calc_오픈정렬!BA142=""),"",Calc_오픈정렬!BA142/Calc_오픈정렬!$F142*100)</f>
        <v/>
      </c>
      <c r="BB142" t="str">
        <f>IF(OR(Calc_오픈정렬!$F142="",Calc_오픈정렬!BB142=""),"",Calc_오픈정렬!BB142/Calc_오픈정렬!$F142*100)</f>
        <v/>
      </c>
      <c r="BC142" t="str">
        <f>IF(OR(Calc_오픈정렬!$F142="",Calc_오픈정렬!BC142=""),"",Calc_오픈정렬!BC142/Calc_오픈정렬!$F142*100)</f>
        <v/>
      </c>
      <c r="BD142" t="str">
        <f>IF(OR(Calc_오픈정렬!$F142="",Calc_오픈정렬!BD142=""),"",Calc_오픈정렬!BD142/Calc_오픈정렬!$F142*100)</f>
        <v/>
      </c>
      <c r="BE142" t="str">
        <f>IF(OR(Calc_오픈정렬!$F142="",Calc_오픈정렬!BE142=""),"",Calc_오픈정렬!BE142/Calc_오픈정렬!$F142*100)</f>
        <v/>
      </c>
      <c r="BF142" t="str">
        <f>IF(OR(Calc_오픈정렬!$F142="",Calc_오픈정렬!BF142=""),"",Calc_오픈정렬!BF142/Calc_오픈정렬!$F142*100)</f>
        <v/>
      </c>
      <c r="BG142" t="str">
        <f>IF(OR(Calc_오픈정렬!$F142="",Calc_오픈정렬!BG142=""),"",Calc_오픈정렬!BG142/Calc_오픈정렬!$F142*100)</f>
        <v/>
      </c>
      <c r="BH142" t="str">
        <f>IF(OR(Calc_오픈정렬!$F142="",Calc_오픈정렬!BH142=""),"",Calc_오픈정렬!BH142/Calc_오픈정렬!$F142*100)</f>
        <v/>
      </c>
      <c r="BI142" t="str">
        <f>IF(OR(Calc_오픈정렬!$F142="",Calc_오픈정렬!BI142=""),"",Calc_오픈정렬!BI142/Calc_오픈정렬!$F142*100)</f>
        <v/>
      </c>
      <c r="BJ142" t="str">
        <f>IF(OR(Calc_오픈정렬!$F142="",Calc_오픈정렬!BJ142=""),"",Calc_오픈정렬!BJ142/Calc_오픈정렬!$F142*100)</f>
        <v/>
      </c>
      <c r="BK142" t="str">
        <f>IF(OR(Calc_오픈정렬!$F142="",Calc_오픈정렬!BK142=""),"",Calc_오픈정렬!BK142/Calc_오픈정렬!$F142*100)</f>
        <v/>
      </c>
      <c r="BL142" t="str">
        <f>IF(OR(Calc_오픈정렬!$F142="",Calc_오픈정렬!BL142=""),"",Calc_오픈정렬!BL142/Calc_오픈정렬!$F142*100)</f>
        <v/>
      </c>
      <c r="BM142" t="str">
        <f>IF(OR(Calc_오픈정렬!$F142="",Calc_오픈정렬!BM142=""),"",Calc_오픈정렬!BM142/Calc_오픈정렬!$F142*100)</f>
        <v/>
      </c>
      <c r="BN142" t="str">
        <f>IF(OR(Calc_오픈정렬!$F142="",Calc_오픈정렬!BN142=""),"",Calc_오픈정렬!BN142/Calc_오픈정렬!$F142*100)</f>
        <v/>
      </c>
    </row>
    <row r="143" spans="1:66" x14ac:dyDescent="0.4">
      <c r="A143" t="str">
        <f>Calc_오픈정렬!A143</f>
        <v>(1134) #인하문화점</v>
      </c>
      <c r="B143" t="str">
        <f>Calc_오픈정렬!B143</f>
        <v>150-1</v>
      </c>
      <c r="C143">
        <f>Calc_오픈정렬!C143</f>
        <v>1</v>
      </c>
      <c r="D143" t="str">
        <f>Calc_오픈정렬!D143</f>
        <v>1</v>
      </c>
      <c r="E143" s="1">
        <f>Calc_오픈정렬!E143</f>
        <v>45962</v>
      </c>
      <c r="F143">
        <f>Calc_오픈정렬!F143</f>
        <v>4502968.5991658196</v>
      </c>
      <c r="G143">
        <f>IF(OR(Calc_오픈정렬!$F143="",Calc_오픈정렬!G143=""),"",Calc_오픈정렬!G143/Calc_오픈정렬!$F143*100)</f>
        <v>66.320988706125718</v>
      </c>
      <c r="H143">
        <f>IF(OR(Calc_오픈정렬!$F143="",Calc_오픈정렬!H143=""),"",Calc_오픈정렬!H143/Calc_오픈정렬!$F143*100)</f>
        <v>69.661073199552163</v>
      </c>
      <c r="I143">
        <f>IF(OR(Calc_오픈정렬!$F143="",Calc_오픈정렬!I143=""),"",Calc_오픈정렬!I143/Calc_오픈정렬!$F143*100)</f>
        <v>84.862978814240236</v>
      </c>
      <c r="J143">
        <f>IF(OR(Calc_오픈정렬!$F143="",Calc_오픈정렬!J143=""),"",Calc_오픈정렬!J143/Calc_오픈정렬!$F143*100)</f>
        <v>101.19927456504168</v>
      </c>
      <c r="K143">
        <f>IF(OR(Calc_오픈정렬!$F143="",Calc_오픈정렬!K143=""),"",Calc_오픈정렬!K143/Calc_오픈정렬!$F143*100)</f>
        <v>101.63550666063261</v>
      </c>
      <c r="L143">
        <f>IF(OR(Calc_오픈정렬!$F143="",Calc_오픈정렬!L143=""),"",Calc_오픈정렬!L143/Calc_오픈정렬!$F143*100)</f>
        <v>96.108473571194025</v>
      </c>
      <c r="M143">
        <f>IF(OR(Calc_오픈정렬!$F143="",Calc_오픈정렬!M143=""),"",Calc_오픈정렬!M143/Calc_오픈정렬!$F143*100)</f>
        <v>101.05674520313168</v>
      </c>
      <c r="N143" t="str">
        <f>IF(OR(Calc_오픈정렬!$F143="",Calc_오픈정렬!N143=""),"",Calc_오픈정렬!N143/Calc_오픈정렬!$F143*100)</f>
        <v/>
      </c>
      <c r="O143" t="str">
        <f>IF(OR(Calc_오픈정렬!$F143="",Calc_오픈정렬!O143=""),"",Calc_오픈정렬!O143/Calc_오픈정렬!$F143*100)</f>
        <v/>
      </c>
      <c r="P143" t="str">
        <f>IF(OR(Calc_오픈정렬!$F143="",Calc_오픈정렬!P143=""),"",Calc_오픈정렬!P143/Calc_오픈정렬!$F143*100)</f>
        <v/>
      </c>
      <c r="Q143" t="str">
        <f>IF(OR(Calc_오픈정렬!$F143="",Calc_오픈정렬!Q143=""),"",Calc_오픈정렬!Q143/Calc_오픈정렬!$F143*100)</f>
        <v/>
      </c>
      <c r="R143" t="str">
        <f>IF(OR(Calc_오픈정렬!$F143="",Calc_오픈정렬!R143=""),"",Calc_오픈정렬!R143/Calc_오픈정렬!$F143*100)</f>
        <v/>
      </c>
      <c r="S143" t="str">
        <f>IF(OR(Calc_오픈정렬!$F143="",Calc_오픈정렬!S143=""),"",Calc_오픈정렬!S143/Calc_오픈정렬!$F143*100)</f>
        <v/>
      </c>
      <c r="T143" t="str">
        <f>IF(OR(Calc_오픈정렬!$F143="",Calc_오픈정렬!T143=""),"",Calc_오픈정렬!T143/Calc_오픈정렬!$F143*100)</f>
        <v/>
      </c>
      <c r="U143" t="str">
        <f>IF(OR(Calc_오픈정렬!$F143="",Calc_오픈정렬!U143=""),"",Calc_오픈정렬!U143/Calc_오픈정렬!$F143*100)</f>
        <v/>
      </c>
      <c r="V143" t="str">
        <f>IF(OR(Calc_오픈정렬!$F143="",Calc_오픈정렬!V143=""),"",Calc_오픈정렬!V143/Calc_오픈정렬!$F143*100)</f>
        <v/>
      </c>
      <c r="W143" t="str">
        <f>IF(OR(Calc_오픈정렬!$F143="",Calc_오픈정렬!W143=""),"",Calc_오픈정렬!W143/Calc_오픈정렬!$F143*100)</f>
        <v/>
      </c>
      <c r="X143" t="str">
        <f>IF(OR(Calc_오픈정렬!$F143="",Calc_오픈정렬!X143=""),"",Calc_오픈정렬!X143/Calc_오픈정렬!$F143*100)</f>
        <v/>
      </c>
      <c r="Y143" t="str">
        <f>IF(OR(Calc_오픈정렬!$F143="",Calc_오픈정렬!Y143=""),"",Calc_오픈정렬!Y143/Calc_오픈정렬!$F143*100)</f>
        <v/>
      </c>
      <c r="Z143" t="str">
        <f>IF(OR(Calc_오픈정렬!$F143="",Calc_오픈정렬!Z143=""),"",Calc_오픈정렬!Z143/Calc_오픈정렬!$F143*100)</f>
        <v/>
      </c>
      <c r="AA143" t="str">
        <f>IF(OR(Calc_오픈정렬!$F143="",Calc_오픈정렬!AA143=""),"",Calc_오픈정렬!AA143/Calc_오픈정렬!$F143*100)</f>
        <v/>
      </c>
      <c r="AB143" t="str">
        <f>IF(OR(Calc_오픈정렬!$F143="",Calc_오픈정렬!AB143=""),"",Calc_오픈정렬!AB143/Calc_오픈정렬!$F143*100)</f>
        <v/>
      </c>
      <c r="AC143" t="str">
        <f>IF(OR(Calc_오픈정렬!$F143="",Calc_오픈정렬!AC143=""),"",Calc_오픈정렬!AC143/Calc_오픈정렬!$F143*100)</f>
        <v/>
      </c>
      <c r="AD143" t="str">
        <f>IF(OR(Calc_오픈정렬!$F143="",Calc_오픈정렬!AD143=""),"",Calc_오픈정렬!AD143/Calc_오픈정렬!$F143*100)</f>
        <v/>
      </c>
      <c r="AE143" t="str">
        <f>IF(OR(Calc_오픈정렬!$F143="",Calc_오픈정렬!AE143=""),"",Calc_오픈정렬!AE143/Calc_오픈정렬!$F143*100)</f>
        <v/>
      </c>
      <c r="AF143" t="str">
        <f>IF(OR(Calc_오픈정렬!$F143="",Calc_오픈정렬!AF143=""),"",Calc_오픈정렬!AF143/Calc_오픈정렬!$F143*100)</f>
        <v/>
      </c>
      <c r="AG143" t="str">
        <f>IF(OR(Calc_오픈정렬!$F143="",Calc_오픈정렬!AG143=""),"",Calc_오픈정렬!AG143/Calc_오픈정렬!$F143*100)</f>
        <v/>
      </c>
      <c r="AH143" t="str">
        <f>IF(OR(Calc_오픈정렬!$F143="",Calc_오픈정렬!AH143=""),"",Calc_오픈정렬!AH143/Calc_오픈정렬!$F143*100)</f>
        <v/>
      </c>
      <c r="AI143" t="str">
        <f>IF(OR(Calc_오픈정렬!$F143="",Calc_오픈정렬!AI143=""),"",Calc_오픈정렬!AI143/Calc_오픈정렬!$F143*100)</f>
        <v/>
      </c>
      <c r="AJ143" t="str">
        <f>IF(OR(Calc_오픈정렬!$F143="",Calc_오픈정렬!AJ143=""),"",Calc_오픈정렬!AJ143/Calc_오픈정렬!$F143*100)</f>
        <v/>
      </c>
      <c r="AK143" t="str">
        <f>IF(OR(Calc_오픈정렬!$F143="",Calc_오픈정렬!AK143=""),"",Calc_오픈정렬!AK143/Calc_오픈정렬!$F143*100)</f>
        <v/>
      </c>
      <c r="AL143" t="str">
        <f>IF(OR(Calc_오픈정렬!$F143="",Calc_오픈정렬!AL143=""),"",Calc_오픈정렬!AL143/Calc_오픈정렬!$F143*100)</f>
        <v/>
      </c>
      <c r="AM143" t="str">
        <f>IF(OR(Calc_오픈정렬!$F143="",Calc_오픈정렬!AM143=""),"",Calc_오픈정렬!AM143/Calc_오픈정렬!$F143*100)</f>
        <v/>
      </c>
      <c r="AN143" t="str">
        <f>IF(OR(Calc_오픈정렬!$F143="",Calc_오픈정렬!AN143=""),"",Calc_오픈정렬!AN143/Calc_오픈정렬!$F143*100)</f>
        <v/>
      </c>
      <c r="AO143" t="str">
        <f>IF(OR(Calc_오픈정렬!$F143="",Calc_오픈정렬!AO143=""),"",Calc_오픈정렬!AO143/Calc_오픈정렬!$F143*100)</f>
        <v/>
      </c>
      <c r="AP143" t="str">
        <f>IF(OR(Calc_오픈정렬!$F143="",Calc_오픈정렬!AP143=""),"",Calc_오픈정렬!AP143/Calc_오픈정렬!$F143*100)</f>
        <v/>
      </c>
      <c r="AQ143" t="str">
        <f>IF(OR(Calc_오픈정렬!$F143="",Calc_오픈정렬!AQ143=""),"",Calc_오픈정렬!AQ143/Calc_오픈정렬!$F143*100)</f>
        <v/>
      </c>
      <c r="AR143" t="str">
        <f>IF(OR(Calc_오픈정렬!$F143="",Calc_오픈정렬!AR143=""),"",Calc_오픈정렬!AR143/Calc_오픈정렬!$F143*100)</f>
        <v/>
      </c>
      <c r="AS143" t="str">
        <f>IF(OR(Calc_오픈정렬!$F143="",Calc_오픈정렬!AS143=""),"",Calc_오픈정렬!AS143/Calc_오픈정렬!$F143*100)</f>
        <v/>
      </c>
      <c r="AT143" t="str">
        <f>IF(OR(Calc_오픈정렬!$F143="",Calc_오픈정렬!AT143=""),"",Calc_오픈정렬!AT143/Calc_오픈정렬!$F143*100)</f>
        <v/>
      </c>
      <c r="AU143" t="str">
        <f>IF(OR(Calc_오픈정렬!$F143="",Calc_오픈정렬!AU143=""),"",Calc_오픈정렬!AU143/Calc_오픈정렬!$F143*100)</f>
        <v/>
      </c>
      <c r="AV143" t="str">
        <f>IF(OR(Calc_오픈정렬!$F143="",Calc_오픈정렬!AV143=""),"",Calc_오픈정렬!AV143/Calc_오픈정렬!$F143*100)</f>
        <v/>
      </c>
      <c r="AW143" t="str">
        <f>IF(OR(Calc_오픈정렬!$F143="",Calc_오픈정렬!AW143=""),"",Calc_오픈정렬!AW143/Calc_오픈정렬!$F143*100)</f>
        <v/>
      </c>
      <c r="AX143" t="str">
        <f>IF(OR(Calc_오픈정렬!$F143="",Calc_오픈정렬!AX143=""),"",Calc_오픈정렬!AX143/Calc_오픈정렬!$F143*100)</f>
        <v/>
      </c>
      <c r="AY143" t="str">
        <f>IF(OR(Calc_오픈정렬!$F143="",Calc_오픈정렬!AY143=""),"",Calc_오픈정렬!AY143/Calc_오픈정렬!$F143*100)</f>
        <v/>
      </c>
      <c r="AZ143" t="str">
        <f>IF(OR(Calc_오픈정렬!$F143="",Calc_오픈정렬!AZ143=""),"",Calc_오픈정렬!AZ143/Calc_오픈정렬!$F143*100)</f>
        <v/>
      </c>
      <c r="BA143" t="str">
        <f>IF(OR(Calc_오픈정렬!$F143="",Calc_오픈정렬!BA143=""),"",Calc_오픈정렬!BA143/Calc_오픈정렬!$F143*100)</f>
        <v/>
      </c>
      <c r="BB143" t="str">
        <f>IF(OR(Calc_오픈정렬!$F143="",Calc_오픈정렬!BB143=""),"",Calc_오픈정렬!BB143/Calc_오픈정렬!$F143*100)</f>
        <v/>
      </c>
      <c r="BC143" t="str">
        <f>IF(OR(Calc_오픈정렬!$F143="",Calc_오픈정렬!BC143=""),"",Calc_오픈정렬!BC143/Calc_오픈정렬!$F143*100)</f>
        <v/>
      </c>
      <c r="BD143" t="str">
        <f>IF(OR(Calc_오픈정렬!$F143="",Calc_오픈정렬!BD143=""),"",Calc_오픈정렬!BD143/Calc_오픈정렬!$F143*100)</f>
        <v/>
      </c>
      <c r="BE143" t="str">
        <f>IF(OR(Calc_오픈정렬!$F143="",Calc_오픈정렬!BE143=""),"",Calc_오픈정렬!BE143/Calc_오픈정렬!$F143*100)</f>
        <v/>
      </c>
      <c r="BF143" t="str">
        <f>IF(OR(Calc_오픈정렬!$F143="",Calc_오픈정렬!BF143=""),"",Calc_오픈정렬!BF143/Calc_오픈정렬!$F143*100)</f>
        <v/>
      </c>
      <c r="BG143" t="str">
        <f>IF(OR(Calc_오픈정렬!$F143="",Calc_오픈정렬!BG143=""),"",Calc_오픈정렬!BG143/Calc_오픈정렬!$F143*100)</f>
        <v/>
      </c>
      <c r="BH143" t="str">
        <f>IF(OR(Calc_오픈정렬!$F143="",Calc_오픈정렬!BH143=""),"",Calc_오픈정렬!BH143/Calc_오픈정렬!$F143*100)</f>
        <v/>
      </c>
      <c r="BI143" t="str">
        <f>IF(OR(Calc_오픈정렬!$F143="",Calc_오픈정렬!BI143=""),"",Calc_오픈정렬!BI143/Calc_오픈정렬!$F143*100)</f>
        <v/>
      </c>
      <c r="BJ143" t="str">
        <f>IF(OR(Calc_오픈정렬!$F143="",Calc_오픈정렬!BJ143=""),"",Calc_오픈정렬!BJ143/Calc_오픈정렬!$F143*100)</f>
        <v/>
      </c>
      <c r="BK143" t="str">
        <f>IF(OR(Calc_오픈정렬!$F143="",Calc_오픈정렬!BK143=""),"",Calc_오픈정렬!BK143/Calc_오픈정렬!$F143*100)</f>
        <v/>
      </c>
      <c r="BL143" t="str">
        <f>IF(OR(Calc_오픈정렬!$F143="",Calc_오픈정렬!BL143=""),"",Calc_오픈정렬!BL143/Calc_오픈정렬!$F143*100)</f>
        <v/>
      </c>
      <c r="BM143" t="str">
        <f>IF(OR(Calc_오픈정렬!$F143="",Calc_오픈정렬!BM143=""),"",Calc_오픈정렬!BM143/Calc_오픈정렬!$F143*100)</f>
        <v/>
      </c>
      <c r="BN143" t="str">
        <f>IF(OR(Calc_오픈정렬!$F143="",Calc_오픈정렬!BN143=""),"",Calc_오픈정렬!BN143/Calc_오픈정렬!$F143*100)</f>
        <v/>
      </c>
    </row>
    <row r="144" spans="1:66" x14ac:dyDescent="0.4">
      <c r="A144" t="str">
        <f>Calc_오픈정렬!A144</f>
        <v>(1135) #관악미성점</v>
      </c>
      <c r="B144" t="str">
        <f>Calc_오픈정렬!B144</f>
        <v>150-2</v>
      </c>
      <c r="C144">
        <f>Calc_오픈정렬!C144</f>
        <v>2</v>
      </c>
      <c r="D144" t="str">
        <f>Calc_오픈정렬!D144</f>
        <v>2</v>
      </c>
      <c r="E144" s="1">
        <f>Calc_오픈정렬!E144</f>
        <v>45992</v>
      </c>
      <c r="F144" t="str">
        <f>Calc_오픈정렬!F144</f>
        <v/>
      </c>
      <c r="G144" t="str">
        <f>IF(OR(Calc_오픈정렬!$F144="",Calc_오픈정렬!G144=""),"",Calc_오픈정렬!G144/Calc_오픈정렬!$F144*100)</f>
        <v/>
      </c>
      <c r="H144" t="str">
        <f>IF(OR(Calc_오픈정렬!$F144="",Calc_오픈정렬!H144=""),"",Calc_오픈정렬!H144/Calc_오픈정렬!$F144*100)</f>
        <v/>
      </c>
      <c r="I144" t="str">
        <f>IF(OR(Calc_오픈정렬!$F144="",Calc_오픈정렬!I144=""),"",Calc_오픈정렬!I144/Calc_오픈정렬!$F144*100)</f>
        <v/>
      </c>
      <c r="J144" t="str">
        <f>IF(OR(Calc_오픈정렬!$F144="",Calc_오픈정렬!J144=""),"",Calc_오픈정렬!J144/Calc_오픈정렬!$F144*100)</f>
        <v/>
      </c>
      <c r="K144" t="str">
        <f>IF(OR(Calc_오픈정렬!$F144="",Calc_오픈정렬!K144=""),"",Calc_오픈정렬!K144/Calc_오픈정렬!$F144*100)</f>
        <v/>
      </c>
      <c r="L144" t="str">
        <f>IF(OR(Calc_오픈정렬!$F144="",Calc_오픈정렬!L144=""),"",Calc_오픈정렬!L144/Calc_오픈정렬!$F144*100)</f>
        <v/>
      </c>
      <c r="M144" t="str">
        <f>IF(OR(Calc_오픈정렬!$F144="",Calc_오픈정렬!M144=""),"",Calc_오픈정렬!M144/Calc_오픈정렬!$F144*100)</f>
        <v/>
      </c>
      <c r="N144" t="str">
        <f>IF(OR(Calc_오픈정렬!$F144="",Calc_오픈정렬!N144=""),"",Calc_오픈정렬!N144/Calc_오픈정렬!$F144*100)</f>
        <v/>
      </c>
      <c r="O144" t="str">
        <f>IF(OR(Calc_오픈정렬!$F144="",Calc_오픈정렬!O144=""),"",Calc_오픈정렬!O144/Calc_오픈정렬!$F144*100)</f>
        <v/>
      </c>
      <c r="P144" t="str">
        <f>IF(OR(Calc_오픈정렬!$F144="",Calc_오픈정렬!P144=""),"",Calc_오픈정렬!P144/Calc_오픈정렬!$F144*100)</f>
        <v/>
      </c>
      <c r="Q144" t="str">
        <f>IF(OR(Calc_오픈정렬!$F144="",Calc_오픈정렬!Q144=""),"",Calc_오픈정렬!Q144/Calc_오픈정렬!$F144*100)</f>
        <v/>
      </c>
      <c r="R144" t="str">
        <f>IF(OR(Calc_오픈정렬!$F144="",Calc_오픈정렬!R144=""),"",Calc_오픈정렬!R144/Calc_오픈정렬!$F144*100)</f>
        <v/>
      </c>
      <c r="S144" t="str">
        <f>IF(OR(Calc_오픈정렬!$F144="",Calc_오픈정렬!S144=""),"",Calc_오픈정렬!S144/Calc_오픈정렬!$F144*100)</f>
        <v/>
      </c>
      <c r="T144" t="str">
        <f>IF(OR(Calc_오픈정렬!$F144="",Calc_오픈정렬!T144=""),"",Calc_오픈정렬!T144/Calc_오픈정렬!$F144*100)</f>
        <v/>
      </c>
      <c r="U144" t="str">
        <f>IF(OR(Calc_오픈정렬!$F144="",Calc_오픈정렬!U144=""),"",Calc_오픈정렬!U144/Calc_오픈정렬!$F144*100)</f>
        <v/>
      </c>
      <c r="V144" t="str">
        <f>IF(OR(Calc_오픈정렬!$F144="",Calc_오픈정렬!V144=""),"",Calc_오픈정렬!V144/Calc_오픈정렬!$F144*100)</f>
        <v/>
      </c>
      <c r="W144" t="str">
        <f>IF(OR(Calc_오픈정렬!$F144="",Calc_오픈정렬!W144=""),"",Calc_오픈정렬!W144/Calc_오픈정렬!$F144*100)</f>
        <v/>
      </c>
      <c r="X144" t="str">
        <f>IF(OR(Calc_오픈정렬!$F144="",Calc_오픈정렬!X144=""),"",Calc_오픈정렬!X144/Calc_오픈정렬!$F144*100)</f>
        <v/>
      </c>
      <c r="Y144" t="str">
        <f>IF(OR(Calc_오픈정렬!$F144="",Calc_오픈정렬!Y144=""),"",Calc_오픈정렬!Y144/Calc_오픈정렬!$F144*100)</f>
        <v/>
      </c>
      <c r="Z144" t="str">
        <f>IF(OR(Calc_오픈정렬!$F144="",Calc_오픈정렬!Z144=""),"",Calc_오픈정렬!Z144/Calc_오픈정렬!$F144*100)</f>
        <v/>
      </c>
      <c r="AA144" t="str">
        <f>IF(OR(Calc_오픈정렬!$F144="",Calc_오픈정렬!AA144=""),"",Calc_오픈정렬!AA144/Calc_오픈정렬!$F144*100)</f>
        <v/>
      </c>
      <c r="AB144" t="str">
        <f>IF(OR(Calc_오픈정렬!$F144="",Calc_오픈정렬!AB144=""),"",Calc_오픈정렬!AB144/Calc_오픈정렬!$F144*100)</f>
        <v/>
      </c>
      <c r="AC144" t="str">
        <f>IF(OR(Calc_오픈정렬!$F144="",Calc_오픈정렬!AC144=""),"",Calc_오픈정렬!AC144/Calc_오픈정렬!$F144*100)</f>
        <v/>
      </c>
      <c r="AD144" t="str">
        <f>IF(OR(Calc_오픈정렬!$F144="",Calc_오픈정렬!AD144=""),"",Calc_오픈정렬!AD144/Calc_오픈정렬!$F144*100)</f>
        <v/>
      </c>
      <c r="AE144" t="str">
        <f>IF(OR(Calc_오픈정렬!$F144="",Calc_오픈정렬!AE144=""),"",Calc_오픈정렬!AE144/Calc_오픈정렬!$F144*100)</f>
        <v/>
      </c>
      <c r="AF144" t="str">
        <f>IF(OR(Calc_오픈정렬!$F144="",Calc_오픈정렬!AF144=""),"",Calc_오픈정렬!AF144/Calc_오픈정렬!$F144*100)</f>
        <v/>
      </c>
      <c r="AG144" t="str">
        <f>IF(OR(Calc_오픈정렬!$F144="",Calc_오픈정렬!AG144=""),"",Calc_오픈정렬!AG144/Calc_오픈정렬!$F144*100)</f>
        <v/>
      </c>
      <c r="AH144" t="str">
        <f>IF(OR(Calc_오픈정렬!$F144="",Calc_오픈정렬!AH144=""),"",Calc_오픈정렬!AH144/Calc_오픈정렬!$F144*100)</f>
        <v/>
      </c>
      <c r="AI144" t="str">
        <f>IF(OR(Calc_오픈정렬!$F144="",Calc_오픈정렬!AI144=""),"",Calc_오픈정렬!AI144/Calc_오픈정렬!$F144*100)</f>
        <v/>
      </c>
      <c r="AJ144" t="str">
        <f>IF(OR(Calc_오픈정렬!$F144="",Calc_오픈정렬!AJ144=""),"",Calc_오픈정렬!AJ144/Calc_오픈정렬!$F144*100)</f>
        <v/>
      </c>
      <c r="AK144" t="str">
        <f>IF(OR(Calc_오픈정렬!$F144="",Calc_오픈정렬!AK144=""),"",Calc_오픈정렬!AK144/Calc_오픈정렬!$F144*100)</f>
        <v/>
      </c>
      <c r="AL144" t="str">
        <f>IF(OR(Calc_오픈정렬!$F144="",Calc_오픈정렬!AL144=""),"",Calc_오픈정렬!AL144/Calc_오픈정렬!$F144*100)</f>
        <v/>
      </c>
      <c r="AM144" t="str">
        <f>IF(OR(Calc_오픈정렬!$F144="",Calc_오픈정렬!AM144=""),"",Calc_오픈정렬!AM144/Calc_오픈정렬!$F144*100)</f>
        <v/>
      </c>
      <c r="AN144" t="str">
        <f>IF(OR(Calc_오픈정렬!$F144="",Calc_오픈정렬!AN144=""),"",Calc_오픈정렬!AN144/Calc_오픈정렬!$F144*100)</f>
        <v/>
      </c>
      <c r="AO144" t="str">
        <f>IF(OR(Calc_오픈정렬!$F144="",Calc_오픈정렬!AO144=""),"",Calc_오픈정렬!AO144/Calc_오픈정렬!$F144*100)</f>
        <v/>
      </c>
      <c r="AP144" t="str">
        <f>IF(OR(Calc_오픈정렬!$F144="",Calc_오픈정렬!AP144=""),"",Calc_오픈정렬!AP144/Calc_오픈정렬!$F144*100)</f>
        <v/>
      </c>
      <c r="AQ144" t="str">
        <f>IF(OR(Calc_오픈정렬!$F144="",Calc_오픈정렬!AQ144=""),"",Calc_오픈정렬!AQ144/Calc_오픈정렬!$F144*100)</f>
        <v/>
      </c>
      <c r="AR144" t="str">
        <f>IF(OR(Calc_오픈정렬!$F144="",Calc_오픈정렬!AR144=""),"",Calc_오픈정렬!AR144/Calc_오픈정렬!$F144*100)</f>
        <v/>
      </c>
      <c r="AS144" t="str">
        <f>IF(OR(Calc_오픈정렬!$F144="",Calc_오픈정렬!AS144=""),"",Calc_오픈정렬!AS144/Calc_오픈정렬!$F144*100)</f>
        <v/>
      </c>
      <c r="AT144" t="str">
        <f>IF(OR(Calc_오픈정렬!$F144="",Calc_오픈정렬!AT144=""),"",Calc_오픈정렬!AT144/Calc_오픈정렬!$F144*100)</f>
        <v/>
      </c>
      <c r="AU144" t="str">
        <f>IF(OR(Calc_오픈정렬!$F144="",Calc_오픈정렬!AU144=""),"",Calc_오픈정렬!AU144/Calc_오픈정렬!$F144*100)</f>
        <v/>
      </c>
      <c r="AV144" t="str">
        <f>IF(OR(Calc_오픈정렬!$F144="",Calc_오픈정렬!AV144=""),"",Calc_오픈정렬!AV144/Calc_오픈정렬!$F144*100)</f>
        <v/>
      </c>
      <c r="AW144" t="str">
        <f>IF(OR(Calc_오픈정렬!$F144="",Calc_오픈정렬!AW144=""),"",Calc_오픈정렬!AW144/Calc_오픈정렬!$F144*100)</f>
        <v/>
      </c>
      <c r="AX144" t="str">
        <f>IF(OR(Calc_오픈정렬!$F144="",Calc_오픈정렬!AX144=""),"",Calc_오픈정렬!AX144/Calc_오픈정렬!$F144*100)</f>
        <v/>
      </c>
      <c r="AY144" t="str">
        <f>IF(OR(Calc_오픈정렬!$F144="",Calc_오픈정렬!AY144=""),"",Calc_오픈정렬!AY144/Calc_오픈정렬!$F144*100)</f>
        <v/>
      </c>
      <c r="AZ144" t="str">
        <f>IF(OR(Calc_오픈정렬!$F144="",Calc_오픈정렬!AZ144=""),"",Calc_오픈정렬!AZ144/Calc_오픈정렬!$F144*100)</f>
        <v/>
      </c>
      <c r="BA144" t="str">
        <f>IF(OR(Calc_오픈정렬!$F144="",Calc_오픈정렬!BA144=""),"",Calc_오픈정렬!BA144/Calc_오픈정렬!$F144*100)</f>
        <v/>
      </c>
      <c r="BB144" t="str">
        <f>IF(OR(Calc_오픈정렬!$F144="",Calc_오픈정렬!BB144=""),"",Calc_오픈정렬!BB144/Calc_오픈정렬!$F144*100)</f>
        <v/>
      </c>
      <c r="BC144" t="str">
        <f>IF(OR(Calc_오픈정렬!$F144="",Calc_오픈정렬!BC144=""),"",Calc_오픈정렬!BC144/Calc_오픈정렬!$F144*100)</f>
        <v/>
      </c>
      <c r="BD144" t="str">
        <f>IF(OR(Calc_오픈정렬!$F144="",Calc_오픈정렬!BD144=""),"",Calc_오픈정렬!BD144/Calc_오픈정렬!$F144*100)</f>
        <v/>
      </c>
      <c r="BE144" t="str">
        <f>IF(OR(Calc_오픈정렬!$F144="",Calc_오픈정렬!BE144=""),"",Calc_오픈정렬!BE144/Calc_오픈정렬!$F144*100)</f>
        <v/>
      </c>
      <c r="BF144" t="str">
        <f>IF(OR(Calc_오픈정렬!$F144="",Calc_오픈정렬!BF144=""),"",Calc_오픈정렬!BF144/Calc_오픈정렬!$F144*100)</f>
        <v/>
      </c>
      <c r="BG144" t="str">
        <f>IF(OR(Calc_오픈정렬!$F144="",Calc_오픈정렬!BG144=""),"",Calc_오픈정렬!BG144/Calc_오픈정렬!$F144*100)</f>
        <v/>
      </c>
      <c r="BH144" t="str">
        <f>IF(OR(Calc_오픈정렬!$F144="",Calc_오픈정렬!BH144=""),"",Calc_오픈정렬!BH144/Calc_오픈정렬!$F144*100)</f>
        <v/>
      </c>
      <c r="BI144" t="str">
        <f>IF(OR(Calc_오픈정렬!$F144="",Calc_오픈정렬!BI144=""),"",Calc_오픈정렬!BI144/Calc_오픈정렬!$F144*100)</f>
        <v/>
      </c>
      <c r="BJ144" t="str">
        <f>IF(OR(Calc_오픈정렬!$F144="",Calc_오픈정렬!BJ144=""),"",Calc_오픈정렬!BJ144/Calc_오픈정렬!$F144*100)</f>
        <v/>
      </c>
      <c r="BK144" t="str">
        <f>IF(OR(Calc_오픈정렬!$F144="",Calc_오픈정렬!BK144=""),"",Calc_오픈정렬!BK144/Calc_오픈정렬!$F144*100)</f>
        <v/>
      </c>
      <c r="BL144" t="str">
        <f>IF(OR(Calc_오픈정렬!$F144="",Calc_오픈정렬!BL144=""),"",Calc_오픈정렬!BL144/Calc_오픈정렬!$F144*100)</f>
        <v/>
      </c>
      <c r="BM144" t="str">
        <f>IF(OR(Calc_오픈정렬!$F144="",Calc_오픈정렬!BM144=""),"",Calc_오픈정렬!BM144/Calc_오픈정렬!$F144*100)</f>
        <v/>
      </c>
      <c r="BN144" t="str">
        <f>IF(OR(Calc_오픈정렬!$F144="",Calc_오픈정렬!BN144=""),"",Calc_오픈정렬!BN144/Calc_오픈정렬!$F144*100)</f>
        <v/>
      </c>
    </row>
    <row r="145" spans="1:66" x14ac:dyDescent="0.4">
      <c r="A145" t="str">
        <f>Calc_오픈정렬!A145</f>
        <v>(1136) #주안역삼거리점</v>
      </c>
      <c r="B145" t="str">
        <f>Calc_오픈정렬!B145</f>
        <v>150-0</v>
      </c>
      <c r="C145">
        <f>Calc_오픈정렬!C145</f>
        <v>0</v>
      </c>
      <c r="D145" t="str">
        <f>Calc_오픈정렬!D145</f>
        <v>0</v>
      </c>
      <c r="E145" s="1">
        <f>Calc_오픈정렬!E145</f>
        <v>45992</v>
      </c>
      <c r="F145" t="str">
        <f>Calc_오픈정렬!F145</f>
        <v/>
      </c>
      <c r="G145" t="str">
        <f>IF(OR(Calc_오픈정렬!$F145="",Calc_오픈정렬!G145=""),"",Calc_오픈정렬!G145/Calc_오픈정렬!$F145*100)</f>
        <v/>
      </c>
      <c r="H145" t="str">
        <f>IF(OR(Calc_오픈정렬!$F145="",Calc_오픈정렬!H145=""),"",Calc_오픈정렬!H145/Calc_오픈정렬!$F145*100)</f>
        <v/>
      </c>
      <c r="I145" t="str">
        <f>IF(OR(Calc_오픈정렬!$F145="",Calc_오픈정렬!I145=""),"",Calc_오픈정렬!I145/Calc_오픈정렬!$F145*100)</f>
        <v/>
      </c>
      <c r="J145" t="str">
        <f>IF(OR(Calc_오픈정렬!$F145="",Calc_오픈정렬!J145=""),"",Calc_오픈정렬!J145/Calc_오픈정렬!$F145*100)</f>
        <v/>
      </c>
      <c r="K145" t="str">
        <f>IF(OR(Calc_오픈정렬!$F145="",Calc_오픈정렬!K145=""),"",Calc_오픈정렬!K145/Calc_오픈정렬!$F145*100)</f>
        <v/>
      </c>
      <c r="L145" t="str">
        <f>IF(OR(Calc_오픈정렬!$F145="",Calc_오픈정렬!L145=""),"",Calc_오픈정렬!L145/Calc_오픈정렬!$F145*100)</f>
        <v/>
      </c>
      <c r="M145" t="str">
        <f>IF(OR(Calc_오픈정렬!$F145="",Calc_오픈정렬!M145=""),"",Calc_오픈정렬!M145/Calc_오픈정렬!$F145*100)</f>
        <v/>
      </c>
      <c r="N145" t="str">
        <f>IF(OR(Calc_오픈정렬!$F145="",Calc_오픈정렬!N145=""),"",Calc_오픈정렬!N145/Calc_오픈정렬!$F145*100)</f>
        <v/>
      </c>
      <c r="O145" t="str">
        <f>IF(OR(Calc_오픈정렬!$F145="",Calc_오픈정렬!O145=""),"",Calc_오픈정렬!O145/Calc_오픈정렬!$F145*100)</f>
        <v/>
      </c>
      <c r="P145" t="str">
        <f>IF(OR(Calc_오픈정렬!$F145="",Calc_오픈정렬!P145=""),"",Calc_오픈정렬!P145/Calc_오픈정렬!$F145*100)</f>
        <v/>
      </c>
      <c r="Q145" t="str">
        <f>IF(OR(Calc_오픈정렬!$F145="",Calc_오픈정렬!Q145=""),"",Calc_오픈정렬!Q145/Calc_오픈정렬!$F145*100)</f>
        <v/>
      </c>
      <c r="R145" t="str">
        <f>IF(OR(Calc_오픈정렬!$F145="",Calc_오픈정렬!R145=""),"",Calc_오픈정렬!R145/Calc_오픈정렬!$F145*100)</f>
        <v/>
      </c>
      <c r="S145" t="str">
        <f>IF(OR(Calc_오픈정렬!$F145="",Calc_오픈정렬!S145=""),"",Calc_오픈정렬!S145/Calc_오픈정렬!$F145*100)</f>
        <v/>
      </c>
      <c r="T145" t="str">
        <f>IF(OR(Calc_오픈정렬!$F145="",Calc_오픈정렬!T145=""),"",Calc_오픈정렬!T145/Calc_오픈정렬!$F145*100)</f>
        <v/>
      </c>
      <c r="U145" t="str">
        <f>IF(OR(Calc_오픈정렬!$F145="",Calc_오픈정렬!U145=""),"",Calc_오픈정렬!U145/Calc_오픈정렬!$F145*100)</f>
        <v/>
      </c>
      <c r="V145" t="str">
        <f>IF(OR(Calc_오픈정렬!$F145="",Calc_오픈정렬!V145=""),"",Calc_오픈정렬!V145/Calc_오픈정렬!$F145*100)</f>
        <v/>
      </c>
      <c r="W145" t="str">
        <f>IF(OR(Calc_오픈정렬!$F145="",Calc_오픈정렬!W145=""),"",Calc_오픈정렬!W145/Calc_오픈정렬!$F145*100)</f>
        <v/>
      </c>
      <c r="X145" t="str">
        <f>IF(OR(Calc_오픈정렬!$F145="",Calc_오픈정렬!X145=""),"",Calc_오픈정렬!X145/Calc_오픈정렬!$F145*100)</f>
        <v/>
      </c>
      <c r="Y145" t="str">
        <f>IF(OR(Calc_오픈정렬!$F145="",Calc_오픈정렬!Y145=""),"",Calc_오픈정렬!Y145/Calc_오픈정렬!$F145*100)</f>
        <v/>
      </c>
      <c r="Z145" t="str">
        <f>IF(OR(Calc_오픈정렬!$F145="",Calc_오픈정렬!Z145=""),"",Calc_오픈정렬!Z145/Calc_오픈정렬!$F145*100)</f>
        <v/>
      </c>
      <c r="AA145" t="str">
        <f>IF(OR(Calc_오픈정렬!$F145="",Calc_오픈정렬!AA145=""),"",Calc_오픈정렬!AA145/Calc_오픈정렬!$F145*100)</f>
        <v/>
      </c>
      <c r="AB145" t="str">
        <f>IF(OR(Calc_오픈정렬!$F145="",Calc_오픈정렬!AB145=""),"",Calc_오픈정렬!AB145/Calc_오픈정렬!$F145*100)</f>
        <v/>
      </c>
      <c r="AC145" t="str">
        <f>IF(OR(Calc_오픈정렬!$F145="",Calc_오픈정렬!AC145=""),"",Calc_오픈정렬!AC145/Calc_오픈정렬!$F145*100)</f>
        <v/>
      </c>
      <c r="AD145" t="str">
        <f>IF(OR(Calc_오픈정렬!$F145="",Calc_오픈정렬!AD145=""),"",Calc_오픈정렬!AD145/Calc_오픈정렬!$F145*100)</f>
        <v/>
      </c>
      <c r="AE145" t="str">
        <f>IF(OR(Calc_오픈정렬!$F145="",Calc_오픈정렬!AE145=""),"",Calc_오픈정렬!AE145/Calc_오픈정렬!$F145*100)</f>
        <v/>
      </c>
      <c r="AF145" t="str">
        <f>IF(OR(Calc_오픈정렬!$F145="",Calc_오픈정렬!AF145=""),"",Calc_오픈정렬!AF145/Calc_오픈정렬!$F145*100)</f>
        <v/>
      </c>
      <c r="AG145" t="str">
        <f>IF(OR(Calc_오픈정렬!$F145="",Calc_오픈정렬!AG145=""),"",Calc_오픈정렬!AG145/Calc_오픈정렬!$F145*100)</f>
        <v/>
      </c>
      <c r="AH145" t="str">
        <f>IF(OR(Calc_오픈정렬!$F145="",Calc_오픈정렬!AH145=""),"",Calc_오픈정렬!AH145/Calc_오픈정렬!$F145*100)</f>
        <v/>
      </c>
      <c r="AI145" t="str">
        <f>IF(OR(Calc_오픈정렬!$F145="",Calc_오픈정렬!AI145=""),"",Calc_오픈정렬!AI145/Calc_오픈정렬!$F145*100)</f>
        <v/>
      </c>
      <c r="AJ145" t="str">
        <f>IF(OR(Calc_오픈정렬!$F145="",Calc_오픈정렬!AJ145=""),"",Calc_오픈정렬!AJ145/Calc_오픈정렬!$F145*100)</f>
        <v/>
      </c>
      <c r="AK145" t="str">
        <f>IF(OR(Calc_오픈정렬!$F145="",Calc_오픈정렬!AK145=""),"",Calc_오픈정렬!AK145/Calc_오픈정렬!$F145*100)</f>
        <v/>
      </c>
      <c r="AL145" t="str">
        <f>IF(OR(Calc_오픈정렬!$F145="",Calc_오픈정렬!AL145=""),"",Calc_오픈정렬!AL145/Calc_오픈정렬!$F145*100)</f>
        <v/>
      </c>
      <c r="AM145" t="str">
        <f>IF(OR(Calc_오픈정렬!$F145="",Calc_오픈정렬!AM145=""),"",Calc_오픈정렬!AM145/Calc_오픈정렬!$F145*100)</f>
        <v/>
      </c>
      <c r="AN145" t="str">
        <f>IF(OR(Calc_오픈정렬!$F145="",Calc_오픈정렬!AN145=""),"",Calc_오픈정렬!AN145/Calc_오픈정렬!$F145*100)</f>
        <v/>
      </c>
      <c r="AO145" t="str">
        <f>IF(OR(Calc_오픈정렬!$F145="",Calc_오픈정렬!AO145=""),"",Calc_오픈정렬!AO145/Calc_오픈정렬!$F145*100)</f>
        <v/>
      </c>
      <c r="AP145" t="str">
        <f>IF(OR(Calc_오픈정렬!$F145="",Calc_오픈정렬!AP145=""),"",Calc_오픈정렬!AP145/Calc_오픈정렬!$F145*100)</f>
        <v/>
      </c>
      <c r="AQ145" t="str">
        <f>IF(OR(Calc_오픈정렬!$F145="",Calc_오픈정렬!AQ145=""),"",Calc_오픈정렬!AQ145/Calc_오픈정렬!$F145*100)</f>
        <v/>
      </c>
      <c r="AR145" t="str">
        <f>IF(OR(Calc_오픈정렬!$F145="",Calc_오픈정렬!AR145=""),"",Calc_오픈정렬!AR145/Calc_오픈정렬!$F145*100)</f>
        <v/>
      </c>
      <c r="AS145" t="str">
        <f>IF(OR(Calc_오픈정렬!$F145="",Calc_오픈정렬!AS145=""),"",Calc_오픈정렬!AS145/Calc_오픈정렬!$F145*100)</f>
        <v/>
      </c>
      <c r="AT145" t="str">
        <f>IF(OR(Calc_오픈정렬!$F145="",Calc_오픈정렬!AT145=""),"",Calc_오픈정렬!AT145/Calc_오픈정렬!$F145*100)</f>
        <v/>
      </c>
      <c r="AU145" t="str">
        <f>IF(OR(Calc_오픈정렬!$F145="",Calc_오픈정렬!AU145=""),"",Calc_오픈정렬!AU145/Calc_오픈정렬!$F145*100)</f>
        <v/>
      </c>
      <c r="AV145" t="str">
        <f>IF(OR(Calc_오픈정렬!$F145="",Calc_오픈정렬!AV145=""),"",Calc_오픈정렬!AV145/Calc_오픈정렬!$F145*100)</f>
        <v/>
      </c>
      <c r="AW145" t="str">
        <f>IF(OR(Calc_오픈정렬!$F145="",Calc_오픈정렬!AW145=""),"",Calc_오픈정렬!AW145/Calc_오픈정렬!$F145*100)</f>
        <v/>
      </c>
      <c r="AX145" t="str">
        <f>IF(OR(Calc_오픈정렬!$F145="",Calc_오픈정렬!AX145=""),"",Calc_오픈정렬!AX145/Calc_오픈정렬!$F145*100)</f>
        <v/>
      </c>
      <c r="AY145" t="str">
        <f>IF(OR(Calc_오픈정렬!$F145="",Calc_오픈정렬!AY145=""),"",Calc_오픈정렬!AY145/Calc_오픈정렬!$F145*100)</f>
        <v/>
      </c>
      <c r="AZ145" t="str">
        <f>IF(OR(Calc_오픈정렬!$F145="",Calc_오픈정렬!AZ145=""),"",Calc_오픈정렬!AZ145/Calc_오픈정렬!$F145*100)</f>
        <v/>
      </c>
      <c r="BA145" t="str">
        <f>IF(OR(Calc_오픈정렬!$F145="",Calc_오픈정렬!BA145=""),"",Calc_오픈정렬!BA145/Calc_오픈정렬!$F145*100)</f>
        <v/>
      </c>
      <c r="BB145" t="str">
        <f>IF(OR(Calc_오픈정렬!$F145="",Calc_오픈정렬!BB145=""),"",Calc_오픈정렬!BB145/Calc_오픈정렬!$F145*100)</f>
        <v/>
      </c>
      <c r="BC145" t="str">
        <f>IF(OR(Calc_오픈정렬!$F145="",Calc_오픈정렬!BC145=""),"",Calc_오픈정렬!BC145/Calc_오픈정렬!$F145*100)</f>
        <v/>
      </c>
      <c r="BD145" t="str">
        <f>IF(OR(Calc_오픈정렬!$F145="",Calc_오픈정렬!BD145=""),"",Calc_오픈정렬!BD145/Calc_오픈정렬!$F145*100)</f>
        <v/>
      </c>
      <c r="BE145" t="str">
        <f>IF(OR(Calc_오픈정렬!$F145="",Calc_오픈정렬!BE145=""),"",Calc_오픈정렬!BE145/Calc_오픈정렬!$F145*100)</f>
        <v/>
      </c>
      <c r="BF145" t="str">
        <f>IF(OR(Calc_오픈정렬!$F145="",Calc_오픈정렬!BF145=""),"",Calc_오픈정렬!BF145/Calc_오픈정렬!$F145*100)</f>
        <v/>
      </c>
      <c r="BG145" t="str">
        <f>IF(OR(Calc_오픈정렬!$F145="",Calc_오픈정렬!BG145=""),"",Calc_오픈정렬!BG145/Calc_오픈정렬!$F145*100)</f>
        <v/>
      </c>
      <c r="BH145" t="str">
        <f>IF(OR(Calc_오픈정렬!$F145="",Calc_오픈정렬!BH145=""),"",Calc_오픈정렬!BH145/Calc_오픈정렬!$F145*100)</f>
        <v/>
      </c>
      <c r="BI145" t="str">
        <f>IF(OR(Calc_오픈정렬!$F145="",Calc_오픈정렬!BI145=""),"",Calc_오픈정렬!BI145/Calc_오픈정렬!$F145*100)</f>
        <v/>
      </c>
      <c r="BJ145" t="str">
        <f>IF(OR(Calc_오픈정렬!$F145="",Calc_오픈정렬!BJ145=""),"",Calc_오픈정렬!BJ145/Calc_오픈정렬!$F145*100)</f>
        <v/>
      </c>
      <c r="BK145" t="str">
        <f>IF(OR(Calc_오픈정렬!$F145="",Calc_오픈정렬!BK145=""),"",Calc_오픈정렬!BK145/Calc_오픈정렬!$F145*100)</f>
        <v/>
      </c>
      <c r="BL145" t="str">
        <f>IF(OR(Calc_오픈정렬!$F145="",Calc_오픈정렬!BL145=""),"",Calc_오픈정렬!BL145/Calc_오픈정렬!$F145*100)</f>
        <v/>
      </c>
      <c r="BM145" t="str">
        <f>IF(OR(Calc_오픈정렬!$F145="",Calc_오픈정렬!BM145=""),"",Calc_오픈정렬!BM145/Calc_오픈정렬!$F145*100)</f>
        <v/>
      </c>
      <c r="BN145" t="str">
        <f>IF(OR(Calc_오픈정렬!$F145="",Calc_오픈정렬!BN145=""),"",Calc_오픈정렬!BN145/Calc_오픈정렬!$F145*100)</f>
        <v/>
      </c>
    </row>
    <row r="146" spans="1:66" x14ac:dyDescent="0.4">
      <c r="A146" t="str">
        <f>Calc_오픈정렬!A146</f>
        <v>(1137) #서울예대점</v>
      </c>
      <c r="B146" t="str">
        <f>Calc_오픈정렬!B146</f>
        <v>150-0</v>
      </c>
      <c r="C146">
        <f>Calc_오픈정렬!C146</f>
        <v>0</v>
      </c>
      <c r="D146" t="str">
        <f>Calc_오픈정렬!D146</f>
        <v>0</v>
      </c>
      <c r="E146" s="1">
        <f>Calc_오픈정렬!E146</f>
        <v>46054</v>
      </c>
      <c r="F146" t="str">
        <f>Calc_오픈정렬!F146</f>
        <v/>
      </c>
      <c r="G146" t="str">
        <f>IF(OR(Calc_오픈정렬!$F146="",Calc_오픈정렬!G146=""),"",Calc_오픈정렬!G146/Calc_오픈정렬!$F146*100)</f>
        <v/>
      </c>
      <c r="H146" t="str">
        <f>IF(OR(Calc_오픈정렬!$F146="",Calc_오픈정렬!H146=""),"",Calc_오픈정렬!H146/Calc_오픈정렬!$F146*100)</f>
        <v/>
      </c>
      <c r="I146" t="str">
        <f>IF(OR(Calc_오픈정렬!$F146="",Calc_오픈정렬!I146=""),"",Calc_오픈정렬!I146/Calc_오픈정렬!$F146*100)</f>
        <v/>
      </c>
      <c r="J146" t="str">
        <f>IF(OR(Calc_오픈정렬!$F146="",Calc_오픈정렬!J146=""),"",Calc_오픈정렬!J146/Calc_오픈정렬!$F146*100)</f>
        <v/>
      </c>
      <c r="K146" t="str">
        <f>IF(OR(Calc_오픈정렬!$F146="",Calc_오픈정렬!K146=""),"",Calc_오픈정렬!K146/Calc_오픈정렬!$F146*100)</f>
        <v/>
      </c>
      <c r="L146" t="str">
        <f>IF(OR(Calc_오픈정렬!$F146="",Calc_오픈정렬!L146=""),"",Calc_오픈정렬!L146/Calc_오픈정렬!$F146*100)</f>
        <v/>
      </c>
      <c r="M146" t="str">
        <f>IF(OR(Calc_오픈정렬!$F146="",Calc_오픈정렬!M146=""),"",Calc_오픈정렬!M146/Calc_오픈정렬!$F146*100)</f>
        <v/>
      </c>
      <c r="N146" t="str">
        <f>IF(OR(Calc_오픈정렬!$F146="",Calc_오픈정렬!N146=""),"",Calc_오픈정렬!N146/Calc_오픈정렬!$F146*100)</f>
        <v/>
      </c>
      <c r="O146" t="str">
        <f>IF(OR(Calc_오픈정렬!$F146="",Calc_오픈정렬!O146=""),"",Calc_오픈정렬!O146/Calc_오픈정렬!$F146*100)</f>
        <v/>
      </c>
      <c r="P146" t="str">
        <f>IF(OR(Calc_오픈정렬!$F146="",Calc_오픈정렬!P146=""),"",Calc_오픈정렬!P146/Calc_오픈정렬!$F146*100)</f>
        <v/>
      </c>
      <c r="Q146" t="str">
        <f>IF(OR(Calc_오픈정렬!$F146="",Calc_오픈정렬!Q146=""),"",Calc_오픈정렬!Q146/Calc_오픈정렬!$F146*100)</f>
        <v/>
      </c>
      <c r="R146" t="str">
        <f>IF(OR(Calc_오픈정렬!$F146="",Calc_오픈정렬!R146=""),"",Calc_오픈정렬!R146/Calc_오픈정렬!$F146*100)</f>
        <v/>
      </c>
      <c r="S146" t="str">
        <f>IF(OR(Calc_오픈정렬!$F146="",Calc_오픈정렬!S146=""),"",Calc_오픈정렬!S146/Calc_오픈정렬!$F146*100)</f>
        <v/>
      </c>
      <c r="T146" t="str">
        <f>IF(OR(Calc_오픈정렬!$F146="",Calc_오픈정렬!T146=""),"",Calc_오픈정렬!T146/Calc_오픈정렬!$F146*100)</f>
        <v/>
      </c>
      <c r="U146" t="str">
        <f>IF(OR(Calc_오픈정렬!$F146="",Calc_오픈정렬!U146=""),"",Calc_오픈정렬!U146/Calc_오픈정렬!$F146*100)</f>
        <v/>
      </c>
      <c r="V146" t="str">
        <f>IF(OR(Calc_오픈정렬!$F146="",Calc_오픈정렬!V146=""),"",Calc_오픈정렬!V146/Calc_오픈정렬!$F146*100)</f>
        <v/>
      </c>
      <c r="W146" t="str">
        <f>IF(OR(Calc_오픈정렬!$F146="",Calc_오픈정렬!W146=""),"",Calc_오픈정렬!W146/Calc_오픈정렬!$F146*100)</f>
        <v/>
      </c>
      <c r="X146" t="str">
        <f>IF(OR(Calc_오픈정렬!$F146="",Calc_오픈정렬!X146=""),"",Calc_오픈정렬!X146/Calc_오픈정렬!$F146*100)</f>
        <v/>
      </c>
      <c r="Y146" t="str">
        <f>IF(OR(Calc_오픈정렬!$F146="",Calc_오픈정렬!Y146=""),"",Calc_오픈정렬!Y146/Calc_오픈정렬!$F146*100)</f>
        <v/>
      </c>
      <c r="Z146" t="str">
        <f>IF(OR(Calc_오픈정렬!$F146="",Calc_오픈정렬!Z146=""),"",Calc_오픈정렬!Z146/Calc_오픈정렬!$F146*100)</f>
        <v/>
      </c>
      <c r="AA146" t="str">
        <f>IF(OR(Calc_오픈정렬!$F146="",Calc_오픈정렬!AA146=""),"",Calc_오픈정렬!AA146/Calc_오픈정렬!$F146*100)</f>
        <v/>
      </c>
      <c r="AB146" t="str">
        <f>IF(OR(Calc_오픈정렬!$F146="",Calc_오픈정렬!AB146=""),"",Calc_오픈정렬!AB146/Calc_오픈정렬!$F146*100)</f>
        <v/>
      </c>
      <c r="AC146" t="str">
        <f>IF(OR(Calc_오픈정렬!$F146="",Calc_오픈정렬!AC146=""),"",Calc_오픈정렬!AC146/Calc_오픈정렬!$F146*100)</f>
        <v/>
      </c>
      <c r="AD146" t="str">
        <f>IF(OR(Calc_오픈정렬!$F146="",Calc_오픈정렬!AD146=""),"",Calc_오픈정렬!AD146/Calc_오픈정렬!$F146*100)</f>
        <v/>
      </c>
      <c r="AE146" t="str">
        <f>IF(OR(Calc_오픈정렬!$F146="",Calc_오픈정렬!AE146=""),"",Calc_오픈정렬!AE146/Calc_오픈정렬!$F146*100)</f>
        <v/>
      </c>
      <c r="AF146" t="str">
        <f>IF(OR(Calc_오픈정렬!$F146="",Calc_오픈정렬!AF146=""),"",Calc_오픈정렬!AF146/Calc_오픈정렬!$F146*100)</f>
        <v/>
      </c>
      <c r="AG146" t="str">
        <f>IF(OR(Calc_오픈정렬!$F146="",Calc_오픈정렬!AG146=""),"",Calc_오픈정렬!AG146/Calc_오픈정렬!$F146*100)</f>
        <v/>
      </c>
      <c r="AH146" t="str">
        <f>IF(OR(Calc_오픈정렬!$F146="",Calc_오픈정렬!AH146=""),"",Calc_오픈정렬!AH146/Calc_오픈정렬!$F146*100)</f>
        <v/>
      </c>
      <c r="AI146" t="str">
        <f>IF(OR(Calc_오픈정렬!$F146="",Calc_오픈정렬!AI146=""),"",Calc_오픈정렬!AI146/Calc_오픈정렬!$F146*100)</f>
        <v/>
      </c>
      <c r="AJ146" t="str">
        <f>IF(OR(Calc_오픈정렬!$F146="",Calc_오픈정렬!AJ146=""),"",Calc_오픈정렬!AJ146/Calc_오픈정렬!$F146*100)</f>
        <v/>
      </c>
      <c r="AK146" t="str">
        <f>IF(OR(Calc_오픈정렬!$F146="",Calc_오픈정렬!AK146=""),"",Calc_오픈정렬!AK146/Calc_오픈정렬!$F146*100)</f>
        <v/>
      </c>
      <c r="AL146" t="str">
        <f>IF(OR(Calc_오픈정렬!$F146="",Calc_오픈정렬!AL146=""),"",Calc_오픈정렬!AL146/Calc_오픈정렬!$F146*100)</f>
        <v/>
      </c>
      <c r="AM146" t="str">
        <f>IF(OR(Calc_오픈정렬!$F146="",Calc_오픈정렬!AM146=""),"",Calc_오픈정렬!AM146/Calc_오픈정렬!$F146*100)</f>
        <v/>
      </c>
      <c r="AN146" t="str">
        <f>IF(OR(Calc_오픈정렬!$F146="",Calc_오픈정렬!AN146=""),"",Calc_오픈정렬!AN146/Calc_오픈정렬!$F146*100)</f>
        <v/>
      </c>
      <c r="AO146" t="str">
        <f>IF(OR(Calc_오픈정렬!$F146="",Calc_오픈정렬!AO146=""),"",Calc_오픈정렬!AO146/Calc_오픈정렬!$F146*100)</f>
        <v/>
      </c>
      <c r="AP146" t="str">
        <f>IF(OR(Calc_오픈정렬!$F146="",Calc_오픈정렬!AP146=""),"",Calc_오픈정렬!AP146/Calc_오픈정렬!$F146*100)</f>
        <v/>
      </c>
      <c r="AQ146" t="str">
        <f>IF(OR(Calc_오픈정렬!$F146="",Calc_오픈정렬!AQ146=""),"",Calc_오픈정렬!AQ146/Calc_오픈정렬!$F146*100)</f>
        <v/>
      </c>
      <c r="AR146" t="str">
        <f>IF(OR(Calc_오픈정렬!$F146="",Calc_오픈정렬!AR146=""),"",Calc_오픈정렬!AR146/Calc_오픈정렬!$F146*100)</f>
        <v/>
      </c>
      <c r="AS146" t="str">
        <f>IF(OR(Calc_오픈정렬!$F146="",Calc_오픈정렬!AS146=""),"",Calc_오픈정렬!AS146/Calc_오픈정렬!$F146*100)</f>
        <v/>
      </c>
      <c r="AT146" t="str">
        <f>IF(OR(Calc_오픈정렬!$F146="",Calc_오픈정렬!AT146=""),"",Calc_오픈정렬!AT146/Calc_오픈정렬!$F146*100)</f>
        <v/>
      </c>
      <c r="AU146" t="str">
        <f>IF(OR(Calc_오픈정렬!$F146="",Calc_오픈정렬!AU146=""),"",Calc_오픈정렬!AU146/Calc_오픈정렬!$F146*100)</f>
        <v/>
      </c>
      <c r="AV146" t="str">
        <f>IF(OR(Calc_오픈정렬!$F146="",Calc_오픈정렬!AV146=""),"",Calc_오픈정렬!AV146/Calc_오픈정렬!$F146*100)</f>
        <v/>
      </c>
      <c r="AW146" t="str">
        <f>IF(OR(Calc_오픈정렬!$F146="",Calc_오픈정렬!AW146=""),"",Calc_오픈정렬!AW146/Calc_오픈정렬!$F146*100)</f>
        <v/>
      </c>
      <c r="AX146" t="str">
        <f>IF(OR(Calc_오픈정렬!$F146="",Calc_오픈정렬!AX146=""),"",Calc_오픈정렬!AX146/Calc_오픈정렬!$F146*100)</f>
        <v/>
      </c>
      <c r="AY146" t="str">
        <f>IF(OR(Calc_오픈정렬!$F146="",Calc_오픈정렬!AY146=""),"",Calc_오픈정렬!AY146/Calc_오픈정렬!$F146*100)</f>
        <v/>
      </c>
      <c r="AZ146" t="str">
        <f>IF(OR(Calc_오픈정렬!$F146="",Calc_오픈정렬!AZ146=""),"",Calc_오픈정렬!AZ146/Calc_오픈정렬!$F146*100)</f>
        <v/>
      </c>
      <c r="BA146" t="str">
        <f>IF(OR(Calc_오픈정렬!$F146="",Calc_오픈정렬!BA146=""),"",Calc_오픈정렬!BA146/Calc_오픈정렬!$F146*100)</f>
        <v/>
      </c>
      <c r="BB146" t="str">
        <f>IF(OR(Calc_오픈정렬!$F146="",Calc_오픈정렬!BB146=""),"",Calc_오픈정렬!BB146/Calc_오픈정렬!$F146*100)</f>
        <v/>
      </c>
      <c r="BC146" t="str">
        <f>IF(OR(Calc_오픈정렬!$F146="",Calc_오픈정렬!BC146=""),"",Calc_오픈정렬!BC146/Calc_오픈정렬!$F146*100)</f>
        <v/>
      </c>
      <c r="BD146" t="str">
        <f>IF(OR(Calc_오픈정렬!$F146="",Calc_오픈정렬!BD146=""),"",Calc_오픈정렬!BD146/Calc_오픈정렬!$F146*100)</f>
        <v/>
      </c>
      <c r="BE146" t="str">
        <f>IF(OR(Calc_오픈정렬!$F146="",Calc_오픈정렬!BE146=""),"",Calc_오픈정렬!BE146/Calc_오픈정렬!$F146*100)</f>
        <v/>
      </c>
      <c r="BF146" t="str">
        <f>IF(OR(Calc_오픈정렬!$F146="",Calc_오픈정렬!BF146=""),"",Calc_오픈정렬!BF146/Calc_오픈정렬!$F146*100)</f>
        <v/>
      </c>
      <c r="BG146" t="str">
        <f>IF(OR(Calc_오픈정렬!$F146="",Calc_오픈정렬!BG146=""),"",Calc_오픈정렬!BG146/Calc_오픈정렬!$F146*100)</f>
        <v/>
      </c>
      <c r="BH146" t="str">
        <f>IF(OR(Calc_오픈정렬!$F146="",Calc_오픈정렬!BH146=""),"",Calc_오픈정렬!BH146/Calc_오픈정렬!$F146*100)</f>
        <v/>
      </c>
      <c r="BI146" t="str">
        <f>IF(OR(Calc_오픈정렬!$F146="",Calc_오픈정렬!BI146=""),"",Calc_오픈정렬!BI146/Calc_오픈정렬!$F146*100)</f>
        <v/>
      </c>
      <c r="BJ146" t="str">
        <f>IF(OR(Calc_오픈정렬!$F146="",Calc_오픈정렬!BJ146=""),"",Calc_오픈정렬!BJ146/Calc_오픈정렬!$F146*100)</f>
        <v/>
      </c>
      <c r="BK146" t="str">
        <f>IF(OR(Calc_오픈정렬!$F146="",Calc_오픈정렬!BK146=""),"",Calc_오픈정렬!BK146/Calc_오픈정렬!$F146*100)</f>
        <v/>
      </c>
      <c r="BL146" t="str">
        <f>IF(OR(Calc_오픈정렬!$F146="",Calc_오픈정렬!BL146=""),"",Calc_오픈정렬!BL146/Calc_오픈정렬!$F146*100)</f>
        <v/>
      </c>
      <c r="BM146" t="str">
        <f>IF(OR(Calc_오픈정렬!$F146="",Calc_오픈정렬!BM146=""),"",Calc_오픈정렬!BM146/Calc_오픈정렬!$F146*100)</f>
        <v/>
      </c>
      <c r="BN146" t="str">
        <f>IF(OR(Calc_오픈정렬!$F146="",Calc_오픈정렬!BN146=""),"",Calc_오픈정렬!BN146/Calc_오픈정렬!$F146*100)</f>
        <v/>
      </c>
    </row>
    <row r="147" spans="1:66" x14ac:dyDescent="0.4">
      <c r="A147" t="str">
        <f>Calc_오픈정렬!A147</f>
        <v>(0015) 부평더갤러리점</v>
      </c>
      <c r="B147" t="str">
        <f>Calc_오픈정렬!B147</f>
        <v>150-0</v>
      </c>
      <c r="C147">
        <f>Calc_오픈정렬!C147</f>
        <v>0</v>
      </c>
      <c r="D147" t="str">
        <f>Calc_오픈정렬!D147</f>
        <v>0</v>
      </c>
      <c r="E147" s="1">
        <f>Calc_오픈정렬!E147</f>
        <v>46113</v>
      </c>
      <c r="F147" t="str">
        <f>Calc_오픈정렬!F147</f>
        <v/>
      </c>
      <c r="G147" t="str">
        <f>IF(OR(Calc_오픈정렬!$F147="",Calc_오픈정렬!G147=""),"",Calc_오픈정렬!G147/Calc_오픈정렬!$F147*100)</f>
        <v/>
      </c>
      <c r="H147" t="str">
        <f>IF(OR(Calc_오픈정렬!$F147="",Calc_오픈정렬!H147=""),"",Calc_오픈정렬!H147/Calc_오픈정렬!$F147*100)</f>
        <v/>
      </c>
      <c r="I147" t="str">
        <f>IF(OR(Calc_오픈정렬!$F147="",Calc_오픈정렬!I147=""),"",Calc_오픈정렬!I147/Calc_오픈정렬!$F147*100)</f>
        <v/>
      </c>
      <c r="J147" t="str">
        <f>IF(OR(Calc_오픈정렬!$F147="",Calc_오픈정렬!J147=""),"",Calc_오픈정렬!J147/Calc_오픈정렬!$F147*100)</f>
        <v/>
      </c>
      <c r="K147" t="str">
        <f>IF(OR(Calc_오픈정렬!$F147="",Calc_오픈정렬!K147=""),"",Calc_오픈정렬!K147/Calc_오픈정렬!$F147*100)</f>
        <v/>
      </c>
      <c r="L147" t="str">
        <f>IF(OR(Calc_오픈정렬!$F147="",Calc_오픈정렬!L147=""),"",Calc_오픈정렬!L147/Calc_오픈정렬!$F147*100)</f>
        <v/>
      </c>
      <c r="M147" t="str">
        <f>IF(OR(Calc_오픈정렬!$F147="",Calc_오픈정렬!M147=""),"",Calc_오픈정렬!M147/Calc_오픈정렬!$F147*100)</f>
        <v/>
      </c>
      <c r="N147" t="str">
        <f>IF(OR(Calc_오픈정렬!$F147="",Calc_오픈정렬!N147=""),"",Calc_오픈정렬!N147/Calc_오픈정렬!$F147*100)</f>
        <v/>
      </c>
      <c r="O147" t="str">
        <f>IF(OR(Calc_오픈정렬!$F147="",Calc_오픈정렬!O147=""),"",Calc_오픈정렬!O147/Calc_오픈정렬!$F147*100)</f>
        <v/>
      </c>
      <c r="P147" t="str">
        <f>IF(OR(Calc_오픈정렬!$F147="",Calc_오픈정렬!P147=""),"",Calc_오픈정렬!P147/Calc_오픈정렬!$F147*100)</f>
        <v/>
      </c>
      <c r="Q147" t="str">
        <f>IF(OR(Calc_오픈정렬!$F147="",Calc_오픈정렬!Q147=""),"",Calc_오픈정렬!Q147/Calc_오픈정렬!$F147*100)</f>
        <v/>
      </c>
      <c r="R147" t="str">
        <f>IF(OR(Calc_오픈정렬!$F147="",Calc_오픈정렬!R147=""),"",Calc_오픈정렬!R147/Calc_오픈정렬!$F147*100)</f>
        <v/>
      </c>
      <c r="S147" t="str">
        <f>IF(OR(Calc_오픈정렬!$F147="",Calc_오픈정렬!S147=""),"",Calc_오픈정렬!S147/Calc_오픈정렬!$F147*100)</f>
        <v/>
      </c>
      <c r="T147" t="str">
        <f>IF(OR(Calc_오픈정렬!$F147="",Calc_오픈정렬!T147=""),"",Calc_오픈정렬!T147/Calc_오픈정렬!$F147*100)</f>
        <v/>
      </c>
      <c r="U147" t="str">
        <f>IF(OR(Calc_오픈정렬!$F147="",Calc_오픈정렬!U147=""),"",Calc_오픈정렬!U147/Calc_오픈정렬!$F147*100)</f>
        <v/>
      </c>
      <c r="V147" t="str">
        <f>IF(OR(Calc_오픈정렬!$F147="",Calc_오픈정렬!V147=""),"",Calc_오픈정렬!V147/Calc_오픈정렬!$F147*100)</f>
        <v/>
      </c>
      <c r="W147" t="str">
        <f>IF(OR(Calc_오픈정렬!$F147="",Calc_오픈정렬!W147=""),"",Calc_오픈정렬!W147/Calc_오픈정렬!$F147*100)</f>
        <v/>
      </c>
      <c r="X147" t="str">
        <f>IF(OR(Calc_오픈정렬!$F147="",Calc_오픈정렬!X147=""),"",Calc_오픈정렬!X147/Calc_오픈정렬!$F147*100)</f>
        <v/>
      </c>
      <c r="Y147" t="str">
        <f>IF(OR(Calc_오픈정렬!$F147="",Calc_오픈정렬!Y147=""),"",Calc_오픈정렬!Y147/Calc_오픈정렬!$F147*100)</f>
        <v/>
      </c>
      <c r="Z147" t="str">
        <f>IF(OR(Calc_오픈정렬!$F147="",Calc_오픈정렬!Z147=""),"",Calc_오픈정렬!Z147/Calc_오픈정렬!$F147*100)</f>
        <v/>
      </c>
      <c r="AA147" t="str">
        <f>IF(OR(Calc_오픈정렬!$F147="",Calc_오픈정렬!AA147=""),"",Calc_오픈정렬!AA147/Calc_오픈정렬!$F147*100)</f>
        <v/>
      </c>
      <c r="AB147" t="str">
        <f>IF(OR(Calc_오픈정렬!$F147="",Calc_오픈정렬!AB147=""),"",Calc_오픈정렬!AB147/Calc_오픈정렬!$F147*100)</f>
        <v/>
      </c>
      <c r="AC147" t="str">
        <f>IF(OR(Calc_오픈정렬!$F147="",Calc_오픈정렬!AC147=""),"",Calc_오픈정렬!AC147/Calc_오픈정렬!$F147*100)</f>
        <v/>
      </c>
      <c r="AD147" t="str">
        <f>IF(OR(Calc_오픈정렬!$F147="",Calc_오픈정렬!AD147=""),"",Calc_오픈정렬!AD147/Calc_오픈정렬!$F147*100)</f>
        <v/>
      </c>
      <c r="AE147" t="str">
        <f>IF(OR(Calc_오픈정렬!$F147="",Calc_오픈정렬!AE147=""),"",Calc_오픈정렬!AE147/Calc_오픈정렬!$F147*100)</f>
        <v/>
      </c>
      <c r="AF147" t="str">
        <f>IF(OR(Calc_오픈정렬!$F147="",Calc_오픈정렬!AF147=""),"",Calc_오픈정렬!AF147/Calc_오픈정렬!$F147*100)</f>
        <v/>
      </c>
      <c r="AG147" t="str">
        <f>IF(OR(Calc_오픈정렬!$F147="",Calc_오픈정렬!AG147=""),"",Calc_오픈정렬!AG147/Calc_오픈정렬!$F147*100)</f>
        <v/>
      </c>
      <c r="AH147" t="str">
        <f>IF(OR(Calc_오픈정렬!$F147="",Calc_오픈정렬!AH147=""),"",Calc_오픈정렬!AH147/Calc_오픈정렬!$F147*100)</f>
        <v/>
      </c>
      <c r="AI147" t="str">
        <f>IF(OR(Calc_오픈정렬!$F147="",Calc_오픈정렬!AI147=""),"",Calc_오픈정렬!AI147/Calc_오픈정렬!$F147*100)</f>
        <v/>
      </c>
      <c r="AJ147" t="str">
        <f>IF(OR(Calc_오픈정렬!$F147="",Calc_오픈정렬!AJ147=""),"",Calc_오픈정렬!AJ147/Calc_오픈정렬!$F147*100)</f>
        <v/>
      </c>
      <c r="AK147" t="str">
        <f>IF(OR(Calc_오픈정렬!$F147="",Calc_오픈정렬!AK147=""),"",Calc_오픈정렬!AK147/Calc_오픈정렬!$F147*100)</f>
        <v/>
      </c>
      <c r="AL147" t="str">
        <f>IF(OR(Calc_오픈정렬!$F147="",Calc_오픈정렬!AL147=""),"",Calc_오픈정렬!AL147/Calc_오픈정렬!$F147*100)</f>
        <v/>
      </c>
      <c r="AM147" t="str">
        <f>IF(OR(Calc_오픈정렬!$F147="",Calc_오픈정렬!AM147=""),"",Calc_오픈정렬!AM147/Calc_오픈정렬!$F147*100)</f>
        <v/>
      </c>
      <c r="AN147" t="str">
        <f>IF(OR(Calc_오픈정렬!$F147="",Calc_오픈정렬!AN147=""),"",Calc_오픈정렬!AN147/Calc_오픈정렬!$F147*100)</f>
        <v/>
      </c>
      <c r="AO147" t="str">
        <f>IF(OR(Calc_오픈정렬!$F147="",Calc_오픈정렬!AO147=""),"",Calc_오픈정렬!AO147/Calc_오픈정렬!$F147*100)</f>
        <v/>
      </c>
      <c r="AP147" t="str">
        <f>IF(OR(Calc_오픈정렬!$F147="",Calc_오픈정렬!AP147=""),"",Calc_오픈정렬!AP147/Calc_오픈정렬!$F147*100)</f>
        <v/>
      </c>
      <c r="AQ147" t="str">
        <f>IF(OR(Calc_오픈정렬!$F147="",Calc_오픈정렬!AQ147=""),"",Calc_오픈정렬!AQ147/Calc_오픈정렬!$F147*100)</f>
        <v/>
      </c>
      <c r="AR147" t="str">
        <f>IF(OR(Calc_오픈정렬!$F147="",Calc_오픈정렬!AR147=""),"",Calc_오픈정렬!AR147/Calc_오픈정렬!$F147*100)</f>
        <v/>
      </c>
      <c r="AS147" t="str">
        <f>IF(OR(Calc_오픈정렬!$F147="",Calc_오픈정렬!AS147=""),"",Calc_오픈정렬!AS147/Calc_오픈정렬!$F147*100)</f>
        <v/>
      </c>
      <c r="AT147" t="str">
        <f>IF(OR(Calc_오픈정렬!$F147="",Calc_오픈정렬!AT147=""),"",Calc_오픈정렬!AT147/Calc_오픈정렬!$F147*100)</f>
        <v/>
      </c>
      <c r="AU147" t="str">
        <f>IF(OR(Calc_오픈정렬!$F147="",Calc_오픈정렬!AU147=""),"",Calc_오픈정렬!AU147/Calc_오픈정렬!$F147*100)</f>
        <v/>
      </c>
      <c r="AV147" t="str">
        <f>IF(OR(Calc_오픈정렬!$F147="",Calc_오픈정렬!AV147=""),"",Calc_오픈정렬!AV147/Calc_오픈정렬!$F147*100)</f>
        <v/>
      </c>
      <c r="AW147" t="str">
        <f>IF(OR(Calc_오픈정렬!$F147="",Calc_오픈정렬!AW147=""),"",Calc_오픈정렬!AW147/Calc_오픈정렬!$F147*100)</f>
        <v/>
      </c>
      <c r="AX147" t="str">
        <f>IF(OR(Calc_오픈정렬!$F147="",Calc_오픈정렬!AX147=""),"",Calc_오픈정렬!AX147/Calc_오픈정렬!$F147*100)</f>
        <v/>
      </c>
      <c r="AY147" t="str">
        <f>IF(OR(Calc_오픈정렬!$F147="",Calc_오픈정렬!AY147=""),"",Calc_오픈정렬!AY147/Calc_오픈정렬!$F147*100)</f>
        <v/>
      </c>
      <c r="AZ147" t="str">
        <f>IF(OR(Calc_오픈정렬!$F147="",Calc_오픈정렬!AZ147=""),"",Calc_오픈정렬!AZ147/Calc_오픈정렬!$F147*100)</f>
        <v/>
      </c>
      <c r="BA147" t="str">
        <f>IF(OR(Calc_오픈정렬!$F147="",Calc_오픈정렬!BA147=""),"",Calc_오픈정렬!BA147/Calc_오픈정렬!$F147*100)</f>
        <v/>
      </c>
      <c r="BB147" t="str">
        <f>IF(OR(Calc_오픈정렬!$F147="",Calc_오픈정렬!BB147=""),"",Calc_오픈정렬!BB147/Calc_오픈정렬!$F147*100)</f>
        <v/>
      </c>
      <c r="BC147" t="str">
        <f>IF(OR(Calc_오픈정렬!$F147="",Calc_오픈정렬!BC147=""),"",Calc_오픈정렬!BC147/Calc_오픈정렬!$F147*100)</f>
        <v/>
      </c>
      <c r="BD147" t="str">
        <f>IF(OR(Calc_오픈정렬!$F147="",Calc_오픈정렬!BD147=""),"",Calc_오픈정렬!BD147/Calc_오픈정렬!$F147*100)</f>
        <v/>
      </c>
      <c r="BE147" t="str">
        <f>IF(OR(Calc_오픈정렬!$F147="",Calc_오픈정렬!BE147=""),"",Calc_오픈정렬!BE147/Calc_오픈정렬!$F147*100)</f>
        <v/>
      </c>
      <c r="BF147" t="str">
        <f>IF(OR(Calc_오픈정렬!$F147="",Calc_오픈정렬!BF147=""),"",Calc_오픈정렬!BF147/Calc_오픈정렬!$F147*100)</f>
        <v/>
      </c>
      <c r="BG147" t="str">
        <f>IF(OR(Calc_오픈정렬!$F147="",Calc_오픈정렬!BG147=""),"",Calc_오픈정렬!BG147/Calc_오픈정렬!$F147*100)</f>
        <v/>
      </c>
      <c r="BH147" t="str">
        <f>IF(OR(Calc_오픈정렬!$F147="",Calc_오픈정렬!BH147=""),"",Calc_오픈정렬!BH147/Calc_오픈정렬!$F147*100)</f>
        <v/>
      </c>
      <c r="BI147" t="str">
        <f>IF(OR(Calc_오픈정렬!$F147="",Calc_오픈정렬!BI147=""),"",Calc_오픈정렬!BI147/Calc_오픈정렬!$F147*100)</f>
        <v/>
      </c>
      <c r="BJ147" t="str">
        <f>IF(OR(Calc_오픈정렬!$F147="",Calc_오픈정렬!BJ147=""),"",Calc_오픈정렬!BJ147/Calc_오픈정렬!$F147*100)</f>
        <v/>
      </c>
      <c r="BK147" t="str">
        <f>IF(OR(Calc_오픈정렬!$F147="",Calc_오픈정렬!BK147=""),"",Calc_오픈정렬!BK147/Calc_오픈정렬!$F147*100)</f>
        <v/>
      </c>
      <c r="BL147" t="str">
        <f>IF(OR(Calc_오픈정렬!$F147="",Calc_오픈정렬!BL147=""),"",Calc_오픈정렬!BL147/Calc_오픈정렬!$F147*100)</f>
        <v/>
      </c>
      <c r="BM147" t="str">
        <f>IF(OR(Calc_오픈정렬!$F147="",Calc_오픈정렬!BM147=""),"",Calc_오픈정렬!BM147/Calc_오픈정렬!$F147*100)</f>
        <v/>
      </c>
      <c r="BN147" t="str">
        <f>IF(OR(Calc_오픈정렬!$F147="",Calc_오픈정렬!BN147=""),"",Calc_오픈정렬!BN147/Calc_오픈정렬!$F147*100)</f>
        <v/>
      </c>
    </row>
    <row r="148" spans="1:66" x14ac:dyDescent="0.4">
      <c r="A148" t="str">
        <f>Calc_오픈정렬!A148</f>
        <v>(1138) #강원대공대점</v>
      </c>
      <c r="B148" t="str">
        <f>Calc_오픈정렬!B148</f>
        <v>150-1</v>
      </c>
      <c r="C148">
        <f>Calc_오픈정렬!C148</f>
        <v>1</v>
      </c>
      <c r="D148" t="str">
        <f>Calc_오픈정렬!D148</f>
        <v>1</v>
      </c>
      <c r="E148" s="1">
        <f>Calc_오픈정렬!E148</f>
        <v>46143</v>
      </c>
      <c r="F148" t="str">
        <f>Calc_오픈정렬!F148</f>
        <v/>
      </c>
      <c r="G148" t="str">
        <f>IF(OR(Calc_오픈정렬!$F148="",Calc_오픈정렬!G148=""),"",Calc_오픈정렬!G148/Calc_오픈정렬!$F148*100)</f>
        <v/>
      </c>
      <c r="H148" t="str">
        <f>IF(OR(Calc_오픈정렬!$F148="",Calc_오픈정렬!H148=""),"",Calc_오픈정렬!H148/Calc_오픈정렬!$F148*100)</f>
        <v/>
      </c>
      <c r="I148" t="str">
        <f>IF(OR(Calc_오픈정렬!$F148="",Calc_오픈정렬!I148=""),"",Calc_오픈정렬!I148/Calc_오픈정렬!$F148*100)</f>
        <v/>
      </c>
      <c r="J148" t="str">
        <f>IF(OR(Calc_오픈정렬!$F148="",Calc_오픈정렬!J148=""),"",Calc_오픈정렬!J148/Calc_오픈정렬!$F148*100)</f>
        <v/>
      </c>
      <c r="K148" t="str">
        <f>IF(OR(Calc_오픈정렬!$F148="",Calc_오픈정렬!K148=""),"",Calc_오픈정렬!K148/Calc_오픈정렬!$F148*100)</f>
        <v/>
      </c>
      <c r="L148" t="str">
        <f>IF(OR(Calc_오픈정렬!$F148="",Calc_오픈정렬!L148=""),"",Calc_오픈정렬!L148/Calc_오픈정렬!$F148*100)</f>
        <v/>
      </c>
      <c r="M148" t="str">
        <f>IF(OR(Calc_오픈정렬!$F148="",Calc_오픈정렬!M148=""),"",Calc_오픈정렬!M148/Calc_오픈정렬!$F148*100)</f>
        <v/>
      </c>
      <c r="N148" t="str">
        <f>IF(OR(Calc_오픈정렬!$F148="",Calc_오픈정렬!N148=""),"",Calc_오픈정렬!N148/Calc_오픈정렬!$F148*100)</f>
        <v/>
      </c>
      <c r="O148" t="str">
        <f>IF(OR(Calc_오픈정렬!$F148="",Calc_오픈정렬!O148=""),"",Calc_오픈정렬!O148/Calc_오픈정렬!$F148*100)</f>
        <v/>
      </c>
      <c r="P148" t="str">
        <f>IF(OR(Calc_오픈정렬!$F148="",Calc_오픈정렬!P148=""),"",Calc_오픈정렬!P148/Calc_오픈정렬!$F148*100)</f>
        <v/>
      </c>
      <c r="Q148" t="str">
        <f>IF(OR(Calc_오픈정렬!$F148="",Calc_오픈정렬!Q148=""),"",Calc_오픈정렬!Q148/Calc_오픈정렬!$F148*100)</f>
        <v/>
      </c>
      <c r="R148" t="str">
        <f>IF(OR(Calc_오픈정렬!$F148="",Calc_오픈정렬!R148=""),"",Calc_오픈정렬!R148/Calc_오픈정렬!$F148*100)</f>
        <v/>
      </c>
      <c r="S148" t="str">
        <f>IF(OR(Calc_오픈정렬!$F148="",Calc_오픈정렬!S148=""),"",Calc_오픈정렬!S148/Calc_오픈정렬!$F148*100)</f>
        <v/>
      </c>
      <c r="T148" t="str">
        <f>IF(OR(Calc_오픈정렬!$F148="",Calc_오픈정렬!T148=""),"",Calc_오픈정렬!T148/Calc_오픈정렬!$F148*100)</f>
        <v/>
      </c>
      <c r="U148" t="str">
        <f>IF(OR(Calc_오픈정렬!$F148="",Calc_오픈정렬!U148=""),"",Calc_오픈정렬!U148/Calc_오픈정렬!$F148*100)</f>
        <v/>
      </c>
      <c r="V148" t="str">
        <f>IF(OR(Calc_오픈정렬!$F148="",Calc_오픈정렬!V148=""),"",Calc_오픈정렬!V148/Calc_오픈정렬!$F148*100)</f>
        <v/>
      </c>
      <c r="W148" t="str">
        <f>IF(OR(Calc_오픈정렬!$F148="",Calc_오픈정렬!W148=""),"",Calc_오픈정렬!W148/Calc_오픈정렬!$F148*100)</f>
        <v/>
      </c>
      <c r="X148" t="str">
        <f>IF(OR(Calc_오픈정렬!$F148="",Calc_오픈정렬!X148=""),"",Calc_오픈정렬!X148/Calc_오픈정렬!$F148*100)</f>
        <v/>
      </c>
      <c r="Y148" t="str">
        <f>IF(OR(Calc_오픈정렬!$F148="",Calc_오픈정렬!Y148=""),"",Calc_오픈정렬!Y148/Calc_오픈정렬!$F148*100)</f>
        <v/>
      </c>
      <c r="Z148" t="str">
        <f>IF(OR(Calc_오픈정렬!$F148="",Calc_오픈정렬!Z148=""),"",Calc_오픈정렬!Z148/Calc_오픈정렬!$F148*100)</f>
        <v/>
      </c>
      <c r="AA148" t="str">
        <f>IF(OR(Calc_오픈정렬!$F148="",Calc_오픈정렬!AA148=""),"",Calc_오픈정렬!AA148/Calc_오픈정렬!$F148*100)</f>
        <v/>
      </c>
      <c r="AB148" t="str">
        <f>IF(OR(Calc_오픈정렬!$F148="",Calc_오픈정렬!AB148=""),"",Calc_오픈정렬!AB148/Calc_오픈정렬!$F148*100)</f>
        <v/>
      </c>
      <c r="AC148" t="str">
        <f>IF(OR(Calc_오픈정렬!$F148="",Calc_오픈정렬!AC148=""),"",Calc_오픈정렬!AC148/Calc_오픈정렬!$F148*100)</f>
        <v/>
      </c>
      <c r="AD148" t="str">
        <f>IF(OR(Calc_오픈정렬!$F148="",Calc_오픈정렬!AD148=""),"",Calc_오픈정렬!AD148/Calc_오픈정렬!$F148*100)</f>
        <v/>
      </c>
      <c r="AE148" t="str">
        <f>IF(OR(Calc_오픈정렬!$F148="",Calc_오픈정렬!AE148=""),"",Calc_오픈정렬!AE148/Calc_오픈정렬!$F148*100)</f>
        <v/>
      </c>
      <c r="AF148" t="str">
        <f>IF(OR(Calc_오픈정렬!$F148="",Calc_오픈정렬!AF148=""),"",Calc_오픈정렬!AF148/Calc_오픈정렬!$F148*100)</f>
        <v/>
      </c>
      <c r="AG148" t="str">
        <f>IF(OR(Calc_오픈정렬!$F148="",Calc_오픈정렬!AG148=""),"",Calc_오픈정렬!AG148/Calc_오픈정렬!$F148*100)</f>
        <v/>
      </c>
      <c r="AH148" t="str">
        <f>IF(OR(Calc_오픈정렬!$F148="",Calc_오픈정렬!AH148=""),"",Calc_오픈정렬!AH148/Calc_오픈정렬!$F148*100)</f>
        <v/>
      </c>
      <c r="AI148" t="str">
        <f>IF(OR(Calc_오픈정렬!$F148="",Calc_오픈정렬!AI148=""),"",Calc_오픈정렬!AI148/Calc_오픈정렬!$F148*100)</f>
        <v/>
      </c>
      <c r="AJ148" t="str">
        <f>IF(OR(Calc_오픈정렬!$F148="",Calc_오픈정렬!AJ148=""),"",Calc_오픈정렬!AJ148/Calc_오픈정렬!$F148*100)</f>
        <v/>
      </c>
      <c r="AK148" t="str">
        <f>IF(OR(Calc_오픈정렬!$F148="",Calc_오픈정렬!AK148=""),"",Calc_오픈정렬!AK148/Calc_오픈정렬!$F148*100)</f>
        <v/>
      </c>
      <c r="AL148" t="str">
        <f>IF(OR(Calc_오픈정렬!$F148="",Calc_오픈정렬!AL148=""),"",Calc_오픈정렬!AL148/Calc_오픈정렬!$F148*100)</f>
        <v/>
      </c>
      <c r="AM148" t="str">
        <f>IF(OR(Calc_오픈정렬!$F148="",Calc_오픈정렬!AM148=""),"",Calc_오픈정렬!AM148/Calc_오픈정렬!$F148*100)</f>
        <v/>
      </c>
      <c r="AN148" t="str">
        <f>IF(OR(Calc_오픈정렬!$F148="",Calc_오픈정렬!AN148=""),"",Calc_오픈정렬!AN148/Calc_오픈정렬!$F148*100)</f>
        <v/>
      </c>
      <c r="AO148" t="str">
        <f>IF(OR(Calc_오픈정렬!$F148="",Calc_오픈정렬!AO148=""),"",Calc_오픈정렬!AO148/Calc_오픈정렬!$F148*100)</f>
        <v/>
      </c>
      <c r="AP148" t="str">
        <f>IF(OR(Calc_오픈정렬!$F148="",Calc_오픈정렬!AP148=""),"",Calc_오픈정렬!AP148/Calc_오픈정렬!$F148*100)</f>
        <v/>
      </c>
      <c r="AQ148" t="str">
        <f>IF(OR(Calc_오픈정렬!$F148="",Calc_오픈정렬!AQ148=""),"",Calc_오픈정렬!AQ148/Calc_오픈정렬!$F148*100)</f>
        <v/>
      </c>
      <c r="AR148" t="str">
        <f>IF(OR(Calc_오픈정렬!$F148="",Calc_오픈정렬!AR148=""),"",Calc_오픈정렬!AR148/Calc_오픈정렬!$F148*100)</f>
        <v/>
      </c>
      <c r="AS148" t="str">
        <f>IF(OR(Calc_오픈정렬!$F148="",Calc_오픈정렬!AS148=""),"",Calc_오픈정렬!AS148/Calc_오픈정렬!$F148*100)</f>
        <v/>
      </c>
      <c r="AT148" t="str">
        <f>IF(OR(Calc_오픈정렬!$F148="",Calc_오픈정렬!AT148=""),"",Calc_오픈정렬!AT148/Calc_오픈정렬!$F148*100)</f>
        <v/>
      </c>
      <c r="AU148" t="str">
        <f>IF(OR(Calc_오픈정렬!$F148="",Calc_오픈정렬!AU148=""),"",Calc_오픈정렬!AU148/Calc_오픈정렬!$F148*100)</f>
        <v/>
      </c>
      <c r="AV148" t="str">
        <f>IF(OR(Calc_오픈정렬!$F148="",Calc_오픈정렬!AV148=""),"",Calc_오픈정렬!AV148/Calc_오픈정렬!$F148*100)</f>
        <v/>
      </c>
      <c r="AW148" t="str">
        <f>IF(OR(Calc_오픈정렬!$F148="",Calc_오픈정렬!AW148=""),"",Calc_오픈정렬!AW148/Calc_오픈정렬!$F148*100)</f>
        <v/>
      </c>
      <c r="AX148" t="str">
        <f>IF(OR(Calc_오픈정렬!$F148="",Calc_오픈정렬!AX148=""),"",Calc_오픈정렬!AX148/Calc_오픈정렬!$F148*100)</f>
        <v/>
      </c>
      <c r="AY148" t="str">
        <f>IF(OR(Calc_오픈정렬!$F148="",Calc_오픈정렬!AY148=""),"",Calc_오픈정렬!AY148/Calc_오픈정렬!$F148*100)</f>
        <v/>
      </c>
      <c r="AZ148" t="str">
        <f>IF(OR(Calc_오픈정렬!$F148="",Calc_오픈정렬!AZ148=""),"",Calc_오픈정렬!AZ148/Calc_오픈정렬!$F148*100)</f>
        <v/>
      </c>
      <c r="BA148" t="str">
        <f>IF(OR(Calc_오픈정렬!$F148="",Calc_오픈정렬!BA148=""),"",Calc_오픈정렬!BA148/Calc_오픈정렬!$F148*100)</f>
        <v/>
      </c>
      <c r="BB148" t="str">
        <f>IF(OR(Calc_오픈정렬!$F148="",Calc_오픈정렬!BB148=""),"",Calc_오픈정렬!BB148/Calc_오픈정렬!$F148*100)</f>
        <v/>
      </c>
      <c r="BC148" t="str">
        <f>IF(OR(Calc_오픈정렬!$F148="",Calc_오픈정렬!BC148=""),"",Calc_오픈정렬!BC148/Calc_오픈정렬!$F148*100)</f>
        <v/>
      </c>
      <c r="BD148" t="str">
        <f>IF(OR(Calc_오픈정렬!$F148="",Calc_오픈정렬!BD148=""),"",Calc_오픈정렬!BD148/Calc_오픈정렬!$F148*100)</f>
        <v/>
      </c>
      <c r="BE148" t="str">
        <f>IF(OR(Calc_오픈정렬!$F148="",Calc_오픈정렬!BE148=""),"",Calc_오픈정렬!BE148/Calc_오픈정렬!$F148*100)</f>
        <v/>
      </c>
      <c r="BF148" t="str">
        <f>IF(OR(Calc_오픈정렬!$F148="",Calc_오픈정렬!BF148=""),"",Calc_오픈정렬!BF148/Calc_오픈정렬!$F148*100)</f>
        <v/>
      </c>
      <c r="BG148" t="str">
        <f>IF(OR(Calc_오픈정렬!$F148="",Calc_오픈정렬!BG148=""),"",Calc_오픈정렬!BG148/Calc_오픈정렬!$F148*100)</f>
        <v/>
      </c>
      <c r="BH148" t="str">
        <f>IF(OR(Calc_오픈정렬!$F148="",Calc_오픈정렬!BH148=""),"",Calc_오픈정렬!BH148/Calc_오픈정렬!$F148*100)</f>
        <v/>
      </c>
      <c r="BI148" t="str">
        <f>IF(OR(Calc_오픈정렬!$F148="",Calc_오픈정렬!BI148=""),"",Calc_오픈정렬!BI148/Calc_오픈정렬!$F148*100)</f>
        <v/>
      </c>
      <c r="BJ148" t="str">
        <f>IF(OR(Calc_오픈정렬!$F148="",Calc_오픈정렬!BJ148=""),"",Calc_오픈정렬!BJ148/Calc_오픈정렬!$F148*100)</f>
        <v/>
      </c>
      <c r="BK148" t="str">
        <f>IF(OR(Calc_오픈정렬!$F148="",Calc_오픈정렬!BK148=""),"",Calc_오픈정렬!BK148/Calc_오픈정렬!$F148*100)</f>
        <v/>
      </c>
      <c r="BL148" t="str">
        <f>IF(OR(Calc_오픈정렬!$F148="",Calc_오픈정렬!BL148=""),"",Calc_오픈정렬!BL148/Calc_오픈정렬!$F148*100)</f>
        <v/>
      </c>
      <c r="BM148" t="str">
        <f>IF(OR(Calc_오픈정렬!$F148="",Calc_오픈정렬!BM148=""),"",Calc_오픈정렬!BM148/Calc_오픈정렬!$F148*100)</f>
        <v/>
      </c>
      <c r="BN148" t="str">
        <f>IF(OR(Calc_오픈정렬!$F148="",Calc_오픈정렬!BN148=""),"",Calc_오픈정렬!BN148/Calc_오픈정렬!$F148*100)</f>
        <v/>
      </c>
    </row>
    <row r="149" spans="1:66" x14ac:dyDescent="0.4">
      <c r="A149" t="str">
        <f>Calc_오픈정렬!A149</f>
        <v>(1139) #두정메트로점</v>
      </c>
      <c r="B149" t="str">
        <f>Calc_오픈정렬!B149</f>
        <v>150-0</v>
      </c>
      <c r="C149">
        <f>Calc_오픈정렬!C149</f>
        <v>0</v>
      </c>
      <c r="D149" t="str">
        <f>Calc_오픈정렬!D149</f>
        <v>0</v>
      </c>
      <c r="E149" s="1">
        <f>Calc_오픈정렬!E149</f>
        <v>46143</v>
      </c>
      <c r="F149" t="str">
        <f>Calc_오픈정렬!F149</f>
        <v/>
      </c>
      <c r="G149" t="str">
        <f>IF(OR(Calc_오픈정렬!$F149="",Calc_오픈정렬!G149=""),"",Calc_오픈정렬!G149/Calc_오픈정렬!$F149*100)</f>
        <v/>
      </c>
      <c r="H149" t="str">
        <f>IF(OR(Calc_오픈정렬!$F149="",Calc_오픈정렬!H149=""),"",Calc_오픈정렬!H149/Calc_오픈정렬!$F149*100)</f>
        <v/>
      </c>
      <c r="I149" t="str">
        <f>IF(OR(Calc_오픈정렬!$F149="",Calc_오픈정렬!I149=""),"",Calc_오픈정렬!I149/Calc_오픈정렬!$F149*100)</f>
        <v/>
      </c>
      <c r="J149" t="str">
        <f>IF(OR(Calc_오픈정렬!$F149="",Calc_오픈정렬!J149=""),"",Calc_오픈정렬!J149/Calc_오픈정렬!$F149*100)</f>
        <v/>
      </c>
      <c r="K149" t="str">
        <f>IF(OR(Calc_오픈정렬!$F149="",Calc_오픈정렬!K149=""),"",Calc_오픈정렬!K149/Calc_오픈정렬!$F149*100)</f>
        <v/>
      </c>
      <c r="L149" t="str">
        <f>IF(OR(Calc_오픈정렬!$F149="",Calc_오픈정렬!L149=""),"",Calc_오픈정렬!L149/Calc_오픈정렬!$F149*100)</f>
        <v/>
      </c>
      <c r="M149" t="str">
        <f>IF(OR(Calc_오픈정렬!$F149="",Calc_오픈정렬!M149=""),"",Calc_오픈정렬!M149/Calc_오픈정렬!$F149*100)</f>
        <v/>
      </c>
      <c r="N149" t="str">
        <f>IF(OR(Calc_오픈정렬!$F149="",Calc_오픈정렬!N149=""),"",Calc_오픈정렬!N149/Calc_오픈정렬!$F149*100)</f>
        <v/>
      </c>
      <c r="O149" t="str">
        <f>IF(OR(Calc_오픈정렬!$F149="",Calc_오픈정렬!O149=""),"",Calc_오픈정렬!O149/Calc_오픈정렬!$F149*100)</f>
        <v/>
      </c>
      <c r="P149" t="str">
        <f>IF(OR(Calc_오픈정렬!$F149="",Calc_오픈정렬!P149=""),"",Calc_오픈정렬!P149/Calc_오픈정렬!$F149*100)</f>
        <v/>
      </c>
      <c r="Q149" t="str">
        <f>IF(OR(Calc_오픈정렬!$F149="",Calc_오픈정렬!Q149=""),"",Calc_오픈정렬!Q149/Calc_오픈정렬!$F149*100)</f>
        <v/>
      </c>
      <c r="R149" t="str">
        <f>IF(OR(Calc_오픈정렬!$F149="",Calc_오픈정렬!R149=""),"",Calc_오픈정렬!R149/Calc_오픈정렬!$F149*100)</f>
        <v/>
      </c>
      <c r="S149" t="str">
        <f>IF(OR(Calc_오픈정렬!$F149="",Calc_오픈정렬!S149=""),"",Calc_오픈정렬!S149/Calc_오픈정렬!$F149*100)</f>
        <v/>
      </c>
      <c r="T149" t="str">
        <f>IF(OR(Calc_오픈정렬!$F149="",Calc_오픈정렬!T149=""),"",Calc_오픈정렬!T149/Calc_오픈정렬!$F149*100)</f>
        <v/>
      </c>
      <c r="U149" t="str">
        <f>IF(OR(Calc_오픈정렬!$F149="",Calc_오픈정렬!U149=""),"",Calc_오픈정렬!U149/Calc_오픈정렬!$F149*100)</f>
        <v/>
      </c>
      <c r="V149" t="str">
        <f>IF(OR(Calc_오픈정렬!$F149="",Calc_오픈정렬!V149=""),"",Calc_오픈정렬!V149/Calc_오픈정렬!$F149*100)</f>
        <v/>
      </c>
      <c r="W149" t="str">
        <f>IF(OR(Calc_오픈정렬!$F149="",Calc_오픈정렬!W149=""),"",Calc_오픈정렬!W149/Calc_오픈정렬!$F149*100)</f>
        <v/>
      </c>
      <c r="X149" t="str">
        <f>IF(OR(Calc_오픈정렬!$F149="",Calc_오픈정렬!X149=""),"",Calc_오픈정렬!X149/Calc_오픈정렬!$F149*100)</f>
        <v/>
      </c>
      <c r="Y149" t="str">
        <f>IF(OR(Calc_오픈정렬!$F149="",Calc_오픈정렬!Y149=""),"",Calc_오픈정렬!Y149/Calc_오픈정렬!$F149*100)</f>
        <v/>
      </c>
      <c r="Z149" t="str">
        <f>IF(OR(Calc_오픈정렬!$F149="",Calc_오픈정렬!Z149=""),"",Calc_오픈정렬!Z149/Calc_오픈정렬!$F149*100)</f>
        <v/>
      </c>
      <c r="AA149" t="str">
        <f>IF(OR(Calc_오픈정렬!$F149="",Calc_오픈정렬!AA149=""),"",Calc_오픈정렬!AA149/Calc_오픈정렬!$F149*100)</f>
        <v/>
      </c>
      <c r="AB149" t="str">
        <f>IF(OR(Calc_오픈정렬!$F149="",Calc_오픈정렬!AB149=""),"",Calc_오픈정렬!AB149/Calc_오픈정렬!$F149*100)</f>
        <v/>
      </c>
      <c r="AC149" t="str">
        <f>IF(OR(Calc_오픈정렬!$F149="",Calc_오픈정렬!AC149=""),"",Calc_오픈정렬!AC149/Calc_오픈정렬!$F149*100)</f>
        <v/>
      </c>
      <c r="AD149" t="str">
        <f>IF(OR(Calc_오픈정렬!$F149="",Calc_오픈정렬!AD149=""),"",Calc_오픈정렬!AD149/Calc_오픈정렬!$F149*100)</f>
        <v/>
      </c>
      <c r="AE149" t="str">
        <f>IF(OR(Calc_오픈정렬!$F149="",Calc_오픈정렬!AE149=""),"",Calc_오픈정렬!AE149/Calc_오픈정렬!$F149*100)</f>
        <v/>
      </c>
      <c r="AF149" t="str">
        <f>IF(OR(Calc_오픈정렬!$F149="",Calc_오픈정렬!AF149=""),"",Calc_오픈정렬!AF149/Calc_오픈정렬!$F149*100)</f>
        <v/>
      </c>
      <c r="AG149" t="str">
        <f>IF(OR(Calc_오픈정렬!$F149="",Calc_오픈정렬!AG149=""),"",Calc_오픈정렬!AG149/Calc_오픈정렬!$F149*100)</f>
        <v/>
      </c>
      <c r="AH149" t="str">
        <f>IF(OR(Calc_오픈정렬!$F149="",Calc_오픈정렬!AH149=""),"",Calc_오픈정렬!AH149/Calc_오픈정렬!$F149*100)</f>
        <v/>
      </c>
      <c r="AI149" t="str">
        <f>IF(OR(Calc_오픈정렬!$F149="",Calc_오픈정렬!AI149=""),"",Calc_오픈정렬!AI149/Calc_오픈정렬!$F149*100)</f>
        <v/>
      </c>
      <c r="AJ149" t="str">
        <f>IF(OR(Calc_오픈정렬!$F149="",Calc_오픈정렬!AJ149=""),"",Calc_오픈정렬!AJ149/Calc_오픈정렬!$F149*100)</f>
        <v/>
      </c>
      <c r="AK149" t="str">
        <f>IF(OR(Calc_오픈정렬!$F149="",Calc_오픈정렬!AK149=""),"",Calc_오픈정렬!AK149/Calc_오픈정렬!$F149*100)</f>
        <v/>
      </c>
      <c r="AL149" t="str">
        <f>IF(OR(Calc_오픈정렬!$F149="",Calc_오픈정렬!AL149=""),"",Calc_오픈정렬!AL149/Calc_오픈정렬!$F149*100)</f>
        <v/>
      </c>
      <c r="AM149" t="str">
        <f>IF(OR(Calc_오픈정렬!$F149="",Calc_오픈정렬!AM149=""),"",Calc_오픈정렬!AM149/Calc_오픈정렬!$F149*100)</f>
        <v/>
      </c>
      <c r="AN149" t="str">
        <f>IF(OR(Calc_오픈정렬!$F149="",Calc_오픈정렬!AN149=""),"",Calc_오픈정렬!AN149/Calc_오픈정렬!$F149*100)</f>
        <v/>
      </c>
      <c r="AO149" t="str">
        <f>IF(OR(Calc_오픈정렬!$F149="",Calc_오픈정렬!AO149=""),"",Calc_오픈정렬!AO149/Calc_오픈정렬!$F149*100)</f>
        <v/>
      </c>
      <c r="AP149" t="str">
        <f>IF(OR(Calc_오픈정렬!$F149="",Calc_오픈정렬!AP149=""),"",Calc_오픈정렬!AP149/Calc_오픈정렬!$F149*100)</f>
        <v/>
      </c>
      <c r="AQ149" t="str">
        <f>IF(OR(Calc_오픈정렬!$F149="",Calc_오픈정렬!AQ149=""),"",Calc_오픈정렬!AQ149/Calc_오픈정렬!$F149*100)</f>
        <v/>
      </c>
      <c r="AR149" t="str">
        <f>IF(OR(Calc_오픈정렬!$F149="",Calc_오픈정렬!AR149=""),"",Calc_오픈정렬!AR149/Calc_오픈정렬!$F149*100)</f>
        <v/>
      </c>
      <c r="AS149" t="str">
        <f>IF(OR(Calc_오픈정렬!$F149="",Calc_오픈정렬!AS149=""),"",Calc_오픈정렬!AS149/Calc_오픈정렬!$F149*100)</f>
        <v/>
      </c>
      <c r="AT149" t="str">
        <f>IF(OR(Calc_오픈정렬!$F149="",Calc_오픈정렬!AT149=""),"",Calc_오픈정렬!AT149/Calc_오픈정렬!$F149*100)</f>
        <v/>
      </c>
      <c r="AU149" t="str">
        <f>IF(OR(Calc_오픈정렬!$F149="",Calc_오픈정렬!AU149=""),"",Calc_오픈정렬!AU149/Calc_오픈정렬!$F149*100)</f>
        <v/>
      </c>
      <c r="AV149" t="str">
        <f>IF(OR(Calc_오픈정렬!$F149="",Calc_오픈정렬!AV149=""),"",Calc_오픈정렬!AV149/Calc_오픈정렬!$F149*100)</f>
        <v/>
      </c>
      <c r="AW149" t="str">
        <f>IF(OR(Calc_오픈정렬!$F149="",Calc_오픈정렬!AW149=""),"",Calc_오픈정렬!AW149/Calc_오픈정렬!$F149*100)</f>
        <v/>
      </c>
      <c r="AX149" t="str">
        <f>IF(OR(Calc_오픈정렬!$F149="",Calc_오픈정렬!AX149=""),"",Calc_오픈정렬!AX149/Calc_오픈정렬!$F149*100)</f>
        <v/>
      </c>
      <c r="AY149" t="str">
        <f>IF(OR(Calc_오픈정렬!$F149="",Calc_오픈정렬!AY149=""),"",Calc_오픈정렬!AY149/Calc_오픈정렬!$F149*100)</f>
        <v/>
      </c>
      <c r="AZ149" t="str">
        <f>IF(OR(Calc_오픈정렬!$F149="",Calc_오픈정렬!AZ149=""),"",Calc_오픈정렬!AZ149/Calc_오픈정렬!$F149*100)</f>
        <v/>
      </c>
      <c r="BA149" t="str">
        <f>IF(OR(Calc_오픈정렬!$F149="",Calc_오픈정렬!BA149=""),"",Calc_오픈정렬!BA149/Calc_오픈정렬!$F149*100)</f>
        <v/>
      </c>
      <c r="BB149" t="str">
        <f>IF(OR(Calc_오픈정렬!$F149="",Calc_오픈정렬!BB149=""),"",Calc_오픈정렬!BB149/Calc_오픈정렬!$F149*100)</f>
        <v/>
      </c>
      <c r="BC149" t="str">
        <f>IF(OR(Calc_오픈정렬!$F149="",Calc_오픈정렬!BC149=""),"",Calc_오픈정렬!BC149/Calc_오픈정렬!$F149*100)</f>
        <v/>
      </c>
      <c r="BD149" t="str">
        <f>IF(OR(Calc_오픈정렬!$F149="",Calc_오픈정렬!BD149=""),"",Calc_오픈정렬!BD149/Calc_오픈정렬!$F149*100)</f>
        <v/>
      </c>
      <c r="BE149" t="str">
        <f>IF(OR(Calc_오픈정렬!$F149="",Calc_오픈정렬!BE149=""),"",Calc_오픈정렬!BE149/Calc_오픈정렬!$F149*100)</f>
        <v/>
      </c>
      <c r="BF149" t="str">
        <f>IF(OR(Calc_오픈정렬!$F149="",Calc_오픈정렬!BF149=""),"",Calc_오픈정렬!BF149/Calc_오픈정렬!$F149*100)</f>
        <v/>
      </c>
      <c r="BG149" t="str">
        <f>IF(OR(Calc_오픈정렬!$F149="",Calc_오픈정렬!BG149=""),"",Calc_오픈정렬!BG149/Calc_오픈정렬!$F149*100)</f>
        <v/>
      </c>
      <c r="BH149" t="str">
        <f>IF(OR(Calc_오픈정렬!$F149="",Calc_오픈정렬!BH149=""),"",Calc_오픈정렬!BH149/Calc_오픈정렬!$F149*100)</f>
        <v/>
      </c>
      <c r="BI149" t="str">
        <f>IF(OR(Calc_오픈정렬!$F149="",Calc_오픈정렬!BI149=""),"",Calc_오픈정렬!BI149/Calc_오픈정렬!$F149*100)</f>
        <v/>
      </c>
      <c r="BJ149" t="str">
        <f>IF(OR(Calc_오픈정렬!$F149="",Calc_오픈정렬!BJ149=""),"",Calc_오픈정렬!BJ149/Calc_오픈정렬!$F149*100)</f>
        <v/>
      </c>
      <c r="BK149" t="str">
        <f>IF(OR(Calc_오픈정렬!$F149="",Calc_오픈정렬!BK149=""),"",Calc_오픈정렬!BK149/Calc_오픈정렬!$F149*100)</f>
        <v/>
      </c>
      <c r="BL149" t="str">
        <f>IF(OR(Calc_오픈정렬!$F149="",Calc_오픈정렬!BL149=""),"",Calc_오픈정렬!BL149/Calc_오픈정렬!$F149*100)</f>
        <v/>
      </c>
      <c r="BM149" t="str">
        <f>IF(OR(Calc_오픈정렬!$F149="",Calc_오픈정렬!BM149=""),"",Calc_오픈정렬!BM149/Calc_오픈정렬!$F149*100)</f>
        <v/>
      </c>
      <c r="BN149" t="str">
        <f>IF(OR(Calc_오픈정렬!$F149="",Calc_오픈정렬!BN149=""),"",Calc_오픈정렬!BN149/Calc_오픈정렬!$F149*100)</f>
        <v/>
      </c>
    </row>
    <row r="150" spans="1:66" x14ac:dyDescent="0.4">
      <c r="A150" t="str">
        <f>Calc_오픈정렬!A150</f>
        <v>(1140) #대전보건대점</v>
      </c>
      <c r="B150" t="str">
        <f>Calc_오픈정렬!B150</f>
        <v>150-1</v>
      </c>
      <c r="C150">
        <f>Calc_오픈정렬!C150</f>
        <v>1</v>
      </c>
      <c r="D150" t="str">
        <f>Calc_오픈정렬!D150</f>
        <v>1</v>
      </c>
      <c r="E150" s="1">
        <f>Calc_오픈정렬!E150</f>
        <v>46143</v>
      </c>
      <c r="F150" t="str">
        <f>Calc_오픈정렬!F150</f>
        <v/>
      </c>
      <c r="G150" t="str">
        <f>IF(OR(Calc_오픈정렬!$F150="",Calc_오픈정렬!G150=""),"",Calc_오픈정렬!G150/Calc_오픈정렬!$F150*100)</f>
        <v/>
      </c>
      <c r="H150" t="str">
        <f>IF(OR(Calc_오픈정렬!$F150="",Calc_오픈정렬!H150=""),"",Calc_오픈정렬!H150/Calc_오픈정렬!$F150*100)</f>
        <v/>
      </c>
      <c r="I150" t="str">
        <f>IF(OR(Calc_오픈정렬!$F150="",Calc_오픈정렬!I150=""),"",Calc_오픈정렬!I150/Calc_오픈정렬!$F150*100)</f>
        <v/>
      </c>
      <c r="J150" t="str">
        <f>IF(OR(Calc_오픈정렬!$F150="",Calc_오픈정렬!J150=""),"",Calc_오픈정렬!J150/Calc_오픈정렬!$F150*100)</f>
        <v/>
      </c>
      <c r="K150" t="str">
        <f>IF(OR(Calc_오픈정렬!$F150="",Calc_오픈정렬!K150=""),"",Calc_오픈정렬!K150/Calc_오픈정렬!$F150*100)</f>
        <v/>
      </c>
      <c r="L150" t="str">
        <f>IF(OR(Calc_오픈정렬!$F150="",Calc_오픈정렬!L150=""),"",Calc_오픈정렬!L150/Calc_오픈정렬!$F150*100)</f>
        <v/>
      </c>
      <c r="M150" t="str">
        <f>IF(OR(Calc_오픈정렬!$F150="",Calc_오픈정렬!M150=""),"",Calc_오픈정렬!M150/Calc_오픈정렬!$F150*100)</f>
        <v/>
      </c>
      <c r="N150" t="str">
        <f>IF(OR(Calc_오픈정렬!$F150="",Calc_오픈정렬!N150=""),"",Calc_오픈정렬!N150/Calc_오픈정렬!$F150*100)</f>
        <v/>
      </c>
      <c r="O150" t="str">
        <f>IF(OR(Calc_오픈정렬!$F150="",Calc_오픈정렬!O150=""),"",Calc_오픈정렬!O150/Calc_오픈정렬!$F150*100)</f>
        <v/>
      </c>
      <c r="P150" t="str">
        <f>IF(OR(Calc_오픈정렬!$F150="",Calc_오픈정렬!P150=""),"",Calc_오픈정렬!P150/Calc_오픈정렬!$F150*100)</f>
        <v/>
      </c>
      <c r="Q150" t="str">
        <f>IF(OR(Calc_오픈정렬!$F150="",Calc_오픈정렬!Q150=""),"",Calc_오픈정렬!Q150/Calc_오픈정렬!$F150*100)</f>
        <v/>
      </c>
      <c r="R150" t="str">
        <f>IF(OR(Calc_오픈정렬!$F150="",Calc_오픈정렬!R150=""),"",Calc_오픈정렬!R150/Calc_오픈정렬!$F150*100)</f>
        <v/>
      </c>
      <c r="S150" t="str">
        <f>IF(OR(Calc_오픈정렬!$F150="",Calc_오픈정렬!S150=""),"",Calc_오픈정렬!S150/Calc_오픈정렬!$F150*100)</f>
        <v/>
      </c>
      <c r="T150" t="str">
        <f>IF(OR(Calc_오픈정렬!$F150="",Calc_오픈정렬!T150=""),"",Calc_오픈정렬!T150/Calc_오픈정렬!$F150*100)</f>
        <v/>
      </c>
      <c r="U150" t="str">
        <f>IF(OR(Calc_오픈정렬!$F150="",Calc_오픈정렬!U150=""),"",Calc_오픈정렬!U150/Calc_오픈정렬!$F150*100)</f>
        <v/>
      </c>
      <c r="V150" t="str">
        <f>IF(OR(Calc_오픈정렬!$F150="",Calc_오픈정렬!V150=""),"",Calc_오픈정렬!V150/Calc_오픈정렬!$F150*100)</f>
        <v/>
      </c>
      <c r="W150" t="str">
        <f>IF(OR(Calc_오픈정렬!$F150="",Calc_오픈정렬!W150=""),"",Calc_오픈정렬!W150/Calc_오픈정렬!$F150*100)</f>
        <v/>
      </c>
      <c r="X150" t="str">
        <f>IF(OR(Calc_오픈정렬!$F150="",Calc_오픈정렬!X150=""),"",Calc_오픈정렬!X150/Calc_오픈정렬!$F150*100)</f>
        <v/>
      </c>
      <c r="Y150" t="str">
        <f>IF(OR(Calc_오픈정렬!$F150="",Calc_오픈정렬!Y150=""),"",Calc_오픈정렬!Y150/Calc_오픈정렬!$F150*100)</f>
        <v/>
      </c>
      <c r="Z150" t="str">
        <f>IF(OR(Calc_오픈정렬!$F150="",Calc_오픈정렬!Z150=""),"",Calc_오픈정렬!Z150/Calc_오픈정렬!$F150*100)</f>
        <v/>
      </c>
      <c r="AA150" t="str">
        <f>IF(OR(Calc_오픈정렬!$F150="",Calc_오픈정렬!AA150=""),"",Calc_오픈정렬!AA150/Calc_오픈정렬!$F150*100)</f>
        <v/>
      </c>
      <c r="AB150" t="str">
        <f>IF(OR(Calc_오픈정렬!$F150="",Calc_오픈정렬!AB150=""),"",Calc_오픈정렬!AB150/Calc_오픈정렬!$F150*100)</f>
        <v/>
      </c>
      <c r="AC150" t="str">
        <f>IF(OR(Calc_오픈정렬!$F150="",Calc_오픈정렬!AC150=""),"",Calc_오픈정렬!AC150/Calc_오픈정렬!$F150*100)</f>
        <v/>
      </c>
      <c r="AD150" t="str">
        <f>IF(OR(Calc_오픈정렬!$F150="",Calc_오픈정렬!AD150=""),"",Calc_오픈정렬!AD150/Calc_오픈정렬!$F150*100)</f>
        <v/>
      </c>
      <c r="AE150" t="str">
        <f>IF(OR(Calc_오픈정렬!$F150="",Calc_오픈정렬!AE150=""),"",Calc_오픈정렬!AE150/Calc_오픈정렬!$F150*100)</f>
        <v/>
      </c>
      <c r="AF150" t="str">
        <f>IF(OR(Calc_오픈정렬!$F150="",Calc_오픈정렬!AF150=""),"",Calc_오픈정렬!AF150/Calc_오픈정렬!$F150*100)</f>
        <v/>
      </c>
      <c r="AG150" t="str">
        <f>IF(OR(Calc_오픈정렬!$F150="",Calc_오픈정렬!AG150=""),"",Calc_오픈정렬!AG150/Calc_오픈정렬!$F150*100)</f>
        <v/>
      </c>
      <c r="AH150" t="str">
        <f>IF(OR(Calc_오픈정렬!$F150="",Calc_오픈정렬!AH150=""),"",Calc_오픈정렬!AH150/Calc_오픈정렬!$F150*100)</f>
        <v/>
      </c>
      <c r="AI150" t="str">
        <f>IF(OR(Calc_오픈정렬!$F150="",Calc_오픈정렬!AI150=""),"",Calc_오픈정렬!AI150/Calc_오픈정렬!$F150*100)</f>
        <v/>
      </c>
      <c r="AJ150" t="str">
        <f>IF(OR(Calc_오픈정렬!$F150="",Calc_오픈정렬!AJ150=""),"",Calc_오픈정렬!AJ150/Calc_오픈정렬!$F150*100)</f>
        <v/>
      </c>
      <c r="AK150" t="str">
        <f>IF(OR(Calc_오픈정렬!$F150="",Calc_오픈정렬!AK150=""),"",Calc_오픈정렬!AK150/Calc_오픈정렬!$F150*100)</f>
        <v/>
      </c>
      <c r="AL150" t="str">
        <f>IF(OR(Calc_오픈정렬!$F150="",Calc_오픈정렬!AL150=""),"",Calc_오픈정렬!AL150/Calc_오픈정렬!$F150*100)</f>
        <v/>
      </c>
      <c r="AM150" t="str">
        <f>IF(OR(Calc_오픈정렬!$F150="",Calc_오픈정렬!AM150=""),"",Calc_오픈정렬!AM150/Calc_오픈정렬!$F150*100)</f>
        <v/>
      </c>
      <c r="AN150" t="str">
        <f>IF(OR(Calc_오픈정렬!$F150="",Calc_오픈정렬!AN150=""),"",Calc_오픈정렬!AN150/Calc_오픈정렬!$F150*100)</f>
        <v/>
      </c>
      <c r="AO150" t="str">
        <f>IF(OR(Calc_오픈정렬!$F150="",Calc_오픈정렬!AO150=""),"",Calc_오픈정렬!AO150/Calc_오픈정렬!$F150*100)</f>
        <v/>
      </c>
      <c r="AP150" t="str">
        <f>IF(OR(Calc_오픈정렬!$F150="",Calc_오픈정렬!AP150=""),"",Calc_오픈정렬!AP150/Calc_오픈정렬!$F150*100)</f>
        <v/>
      </c>
      <c r="AQ150" t="str">
        <f>IF(OR(Calc_오픈정렬!$F150="",Calc_오픈정렬!AQ150=""),"",Calc_오픈정렬!AQ150/Calc_오픈정렬!$F150*100)</f>
        <v/>
      </c>
      <c r="AR150" t="str">
        <f>IF(OR(Calc_오픈정렬!$F150="",Calc_오픈정렬!AR150=""),"",Calc_오픈정렬!AR150/Calc_오픈정렬!$F150*100)</f>
        <v/>
      </c>
      <c r="AS150" t="str">
        <f>IF(OR(Calc_오픈정렬!$F150="",Calc_오픈정렬!AS150=""),"",Calc_오픈정렬!AS150/Calc_오픈정렬!$F150*100)</f>
        <v/>
      </c>
      <c r="AT150" t="str">
        <f>IF(OR(Calc_오픈정렬!$F150="",Calc_오픈정렬!AT150=""),"",Calc_오픈정렬!AT150/Calc_오픈정렬!$F150*100)</f>
        <v/>
      </c>
      <c r="AU150" t="str">
        <f>IF(OR(Calc_오픈정렬!$F150="",Calc_오픈정렬!AU150=""),"",Calc_오픈정렬!AU150/Calc_오픈정렬!$F150*100)</f>
        <v/>
      </c>
      <c r="AV150" t="str">
        <f>IF(OR(Calc_오픈정렬!$F150="",Calc_오픈정렬!AV150=""),"",Calc_오픈정렬!AV150/Calc_오픈정렬!$F150*100)</f>
        <v/>
      </c>
      <c r="AW150" t="str">
        <f>IF(OR(Calc_오픈정렬!$F150="",Calc_오픈정렬!AW150=""),"",Calc_오픈정렬!AW150/Calc_오픈정렬!$F150*100)</f>
        <v/>
      </c>
      <c r="AX150" t="str">
        <f>IF(OR(Calc_오픈정렬!$F150="",Calc_오픈정렬!AX150=""),"",Calc_오픈정렬!AX150/Calc_오픈정렬!$F150*100)</f>
        <v/>
      </c>
      <c r="AY150" t="str">
        <f>IF(OR(Calc_오픈정렬!$F150="",Calc_오픈정렬!AY150=""),"",Calc_오픈정렬!AY150/Calc_오픈정렬!$F150*100)</f>
        <v/>
      </c>
      <c r="AZ150" t="str">
        <f>IF(OR(Calc_오픈정렬!$F150="",Calc_오픈정렬!AZ150=""),"",Calc_오픈정렬!AZ150/Calc_오픈정렬!$F150*100)</f>
        <v/>
      </c>
      <c r="BA150" t="str">
        <f>IF(OR(Calc_오픈정렬!$F150="",Calc_오픈정렬!BA150=""),"",Calc_오픈정렬!BA150/Calc_오픈정렬!$F150*100)</f>
        <v/>
      </c>
      <c r="BB150" t="str">
        <f>IF(OR(Calc_오픈정렬!$F150="",Calc_오픈정렬!BB150=""),"",Calc_오픈정렬!BB150/Calc_오픈정렬!$F150*100)</f>
        <v/>
      </c>
      <c r="BC150" t="str">
        <f>IF(OR(Calc_오픈정렬!$F150="",Calc_오픈정렬!BC150=""),"",Calc_오픈정렬!BC150/Calc_오픈정렬!$F150*100)</f>
        <v/>
      </c>
      <c r="BD150" t="str">
        <f>IF(OR(Calc_오픈정렬!$F150="",Calc_오픈정렬!BD150=""),"",Calc_오픈정렬!BD150/Calc_오픈정렬!$F150*100)</f>
        <v/>
      </c>
      <c r="BE150" t="str">
        <f>IF(OR(Calc_오픈정렬!$F150="",Calc_오픈정렬!BE150=""),"",Calc_오픈정렬!BE150/Calc_오픈정렬!$F150*100)</f>
        <v/>
      </c>
      <c r="BF150" t="str">
        <f>IF(OR(Calc_오픈정렬!$F150="",Calc_오픈정렬!BF150=""),"",Calc_오픈정렬!BF150/Calc_오픈정렬!$F150*100)</f>
        <v/>
      </c>
      <c r="BG150" t="str">
        <f>IF(OR(Calc_오픈정렬!$F150="",Calc_오픈정렬!BG150=""),"",Calc_오픈정렬!BG150/Calc_오픈정렬!$F150*100)</f>
        <v/>
      </c>
      <c r="BH150" t="str">
        <f>IF(OR(Calc_오픈정렬!$F150="",Calc_오픈정렬!BH150=""),"",Calc_오픈정렬!BH150/Calc_오픈정렬!$F150*100)</f>
        <v/>
      </c>
      <c r="BI150" t="str">
        <f>IF(OR(Calc_오픈정렬!$F150="",Calc_오픈정렬!BI150=""),"",Calc_오픈정렬!BI150/Calc_오픈정렬!$F150*100)</f>
        <v/>
      </c>
      <c r="BJ150" t="str">
        <f>IF(OR(Calc_오픈정렬!$F150="",Calc_오픈정렬!BJ150=""),"",Calc_오픈정렬!BJ150/Calc_오픈정렬!$F150*100)</f>
        <v/>
      </c>
      <c r="BK150" t="str">
        <f>IF(OR(Calc_오픈정렬!$F150="",Calc_오픈정렬!BK150=""),"",Calc_오픈정렬!BK150/Calc_오픈정렬!$F150*100)</f>
        <v/>
      </c>
      <c r="BL150" t="str">
        <f>IF(OR(Calc_오픈정렬!$F150="",Calc_오픈정렬!BL150=""),"",Calc_오픈정렬!BL150/Calc_오픈정렬!$F150*100)</f>
        <v/>
      </c>
      <c r="BM150" t="str">
        <f>IF(OR(Calc_오픈정렬!$F150="",Calc_오픈정렬!BM150=""),"",Calc_오픈정렬!BM150/Calc_오픈정렬!$F150*100)</f>
        <v/>
      </c>
      <c r="BN150" t="str">
        <f>IF(OR(Calc_오픈정렬!$F150="",Calc_오픈정렬!BN150=""),"",Calc_오픈정렬!BN150/Calc_오픈정렬!$F150*100)</f>
        <v/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BAE5-D2A8-4D79-BDBA-7B8702F5AEED}">
  <dimension ref="A1:I8"/>
  <sheetViews>
    <sheetView workbookViewId="0">
      <selection activeCell="B5" sqref="B5"/>
    </sheetView>
  </sheetViews>
  <sheetFormatPr defaultRowHeight="14.5" x14ac:dyDescent="0.4"/>
  <cols>
    <col min="1" max="1" width="22.8984375" customWidth="1"/>
    <col min="2" max="9" width="13" customWidth="1"/>
  </cols>
  <sheetData>
    <row r="1" spans="1:9" ht="20.5" x14ac:dyDescent="0.4">
      <c r="A1" s="24" t="s">
        <v>199</v>
      </c>
    </row>
    <row r="2" spans="1:9" x14ac:dyDescent="0.4">
      <c r="A2" t="s">
        <v>200</v>
      </c>
    </row>
    <row r="4" spans="1:9" x14ac:dyDescent="0.4">
      <c r="A4" s="22" t="s">
        <v>201</v>
      </c>
      <c r="B4" s="22" t="s">
        <v>202</v>
      </c>
      <c r="C4" s="22" t="s">
        <v>203</v>
      </c>
      <c r="D4" s="22" t="s">
        <v>204</v>
      </c>
      <c r="E4" s="22" t="s">
        <v>205</v>
      </c>
      <c r="F4" s="22" t="s">
        <v>206</v>
      </c>
      <c r="G4" s="22" t="s">
        <v>207</v>
      </c>
      <c r="H4" s="22" t="s">
        <v>208</v>
      </c>
      <c r="I4" s="22" t="s">
        <v>209</v>
      </c>
    </row>
    <row r="5" spans="1:9" x14ac:dyDescent="0.4">
      <c r="A5" s="23" t="s">
        <v>210</v>
      </c>
      <c r="B5" s="12">
        <f>AVERAGE(요약_성장곡선!B$3:B$14)</f>
        <v>97.085273177945723</v>
      </c>
      <c r="C5" s="12">
        <f>AVERAGE(요약_성장곡선!B$15:B$26)</f>
        <v>123.31966788062243</v>
      </c>
      <c r="D5" s="12">
        <f>AVERAGE(요약_성장곡선!B$27:B$38)</f>
        <v>135.16920412307829</v>
      </c>
      <c r="E5" s="12">
        <f>AVERAGE(요약_성장곡선!B$39:B$50)</f>
        <v>153.16307400290779</v>
      </c>
      <c r="F5" s="20">
        <f t="shared" ref="F5:H8" si="0">C5/B5-1</f>
        <v>0.27022012550340357</v>
      </c>
      <c r="G5" s="20">
        <f t="shared" si="0"/>
        <v>9.6087967524584927E-2</v>
      </c>
      <c r="H5" s="20">
        <f t="shared" si="0"/>
        <v>0.13312107588830058</v>
      </c>
      <c r="I5" s="21">
        <f>E5/B5</f>
        <v>1.5776138747859128</v>
      </c>
    </row>
    <row r="6" spans="1:9" x14ac:dyDescent="0.4">
      <c r="A6" s="23" t="s">
        <v>211</v>
      </c>
      <c r="B6" s="12">
        <f>AVERAGE(요약_성장곡선!C$3:C$14)</f>
        <v>97.428222577094161</v>
      </c>
      <c r="C6" s="12">
        <f>AVERAGE(요약_성장곡선!C$15:C$26)</f>
        <v>116.67787244608392</v>
      </c>
      <c r="D6" s="12">
        <f>AVERAGE(요약_성장곡선!C$27:C$38)</f>
        <v>128.94396567279509</v>
      </c>
      <c r="E6" s="12">
        <f>AVERAGE(요약_성장곡선!C$39:C$50)</f>
        <v>145.34880424305311</v>
      </c>
      <c r="F6" s="20">
        <f t="shared" si="0"/>
        <v>0.19757775888560092</v>
      </c>
      <c r="G6" s="20">
        <f t="shared" si="0"/>
        <v>0.10512784446236156</v>
      </c>
      <c r="H6" s="20">
        <f t="shared" si="0"/>
        <v>0.12722455436097357</v>
      </c>
      <c r="I6" s="21">
        <f>E6/B6</f>
        <v>1.491855238640321</v>
      </c>
    </row>
    <row r="7" spans="1:9" x14ac:dyDescent="0.4">
      <c r="A7" s="23" t="s">
        <v>212</v>
      </c>
      <c r="B7" s="12">
        <f>AVERAGE(요약_성장곡선!D$3:D$14)</f>
        <v>98.118092226052966</v>
      </c>
      <c r="C7" s="12">
        <f>AVERAGE(요약_성장곡선!D$15:D$26)</f>
        <v>117.97361032949293</v>
      </c>
      <c r="D7" s="12">
        <f>AVERAGE(요약_성장곡선!D$27:D$38)</f>
        <v>130.63501541974105</v>
      </c>
      <c r="E7" s="12">
        <f>AVERAGE(요약_성장곡선!D$39:D$50)</f>
        <v>147.51196045384447</v>
      </c>
      <c r="F7" s="20">
        <f t="shared" si="0"/>
        <v>0.20236347500209328</v>
      </c>
      <c r="G7" s="20">
        <f t="shared" si="0"/>
        <v>0.10732404522406003</v>
      </c>
      <c r="H7" s="20">
        <f t="shared" si="0"/>
        <v>0.12919158756843552</v>
      </c>
      <c r="I7" s="21">
        <f>E7/B7</f>
        <v>1.5034124401236177</v>
      </c>
    </row>
    <row r="8" spans="1:9" x14ac:dyDescent="0.4">
      <c r="A8" s="23" t="s">
        <v>213</v>
      </c>
      <c r="B8" s="12">
        <f>AVERAGE(요약_성장곡선!E$3:E$14)</f>
        <v>97.47167068225302</v>
      </c>
      <c r="C8" s="12">
        <f>AVERAGE(요약_성장곡선!E$15:E$26)</f>
        <v>109.77220350409864</v>
      </c>
      <c r="D8" s="12">
        <f>AVERAGE(요약_성장곡선!E$27:E$38)</f>
        <v>103.3235277670055</v>
      </c>
      <c r="E8" s="12">
        <f>AVERAGE(요약_성장곡선!E$39:E$50)</f>
        <v>95.517246881431348</v>
      </c>
      <c r="F8" s="20">
        <f t="shared" si="0"/>
        <v>0.12619597813136929</v>
      </c>
      <c r="G8" s="20">
        <f t="shared" si="0"/>
        <v>-5.8745980596557446E-2</v>
      </c>
      <c r="H8" s="20">
        <f t="shared" si="0"/>
        <v>-7.5551823038575661E-2</v>
      </c>
      <c r="I8" s="21">
        <f>E8/B8</f>
        <v>0.9799488016657385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8D6D-87E0-4E5E-98D5-40DF0D337BE7}">
  <dimension ref="A1:J23"/>
  <sheetViews>
    <sheetView workbookViewId="0">
      <selection activeCell="J36" sqref="J36"/>
    </sheetView>
  </sheetViews>
  <sheetFormatPr defaultRowHeight="14.5" x14ac:dyDescent="0.4"/>
  <cols>
    <col min="1" max="1" width="33.3984375" customWidth="1"/>
    <col min="2" max="9" width="12.59765625" customWidth="1"/>
  </cols>
  <sheetData>
    <row r="1" spans="1:10" ht="21" x14ac:dyDescent="0.4">
      <c r="A1" s="25" t="s">
        <v>214</v>
      </c>
    </row>
    <row r="3" spans="1:10" x14ac:dyDescent="0.4">
      <c r="A3" s="23" t="s">
        <v>215</v>
      </c>
    </row>
    <row r="4" spans="1:10" x14ac:dyDescent="0.4">
      <c r="A4" s="22" t="s">
        <v>201</v>
      </c>
      <c r="B4" s="22" t="s">
        <v>216</v>
      </c>
      <c r="C4" s="22" t="s">
        <v>217</v>
      </c>
      <c r="D4" s="22" t="s">
        <v>218</v>
      </c>
      <c r="E4" s="22" t="s">
        <v>219</v>
      </c>
      <c r="F4" s="22" t="s">
        <v>220</v>
      </c>
      <c r="G4" s="22" t="s">
        <v>209</v>
      </c>
      <c r="H4" s="22" t="s">
        <v>207</v>
      </c>
      <c r="I4" s="22" t="s">
        <v>208</v>
      </c>
      <c r="J4" s="22" t="s">
        <v>221</v>
      </c>
    </row>
    <row r="5" spans="1:10" x14ac:dyDescent="0.4">
      <c r="A5" s="23" t="s">
        <v>210</v>
      </c>
      <c r="B5" s="12">
        <f>AVERAGE(요약_성장곡선!B3:B4)</f>
        <v>71.50909151928721</v>
      </c>
      <c r="C5" s="12">
        <f>요약_성장곡선!B5</f>
        <v>89.973806546706356</v>
      </c>
      <c r="D5" s="12">
        <f>요약_성장곡선!B8</f>
        <v>101.0059771858066</v>
      </c>
      <c r="E5" s="12">
        <f>요약_연차별성장률!B5</f>
        <v>97.085273177945723</v>
      </c>
      <c r="F5" s="12">
        <f>요약_연차별성장률!E5</f>
        <v>153.16307400290779</v>
      </c>
      <c r="G5" s="21">
        <f>요약_연차별성장률!I5</f>
        <v>1.5776138747859128</v>
      </c>
      <c r="H5" s="20">
        <f>요약_연차별성장률!G5</f>
        <v>9.6087967524584927E-2</v>
      </c>
      <c r="I5" s="20">
        <f>요약_연차별성장률!H5</f>
        <v>0.13312107588830058</v>
      </c>
      <c r="J5" t="s">
        <v>222</v>
      </c>
    </row>
    <row r="6" spans="1:10" x14ac:dyDescent="0.4">
      <c r="A6" s="23" t="s">
        <v>211</v>
      </c>
      <c r="B6" s="12">
        <f>AVERAGE(요약_성장곡선!C3:C4)</f>
        <v>76.001907608815827</v>
      </c>
      <c r="C6" s="12">
        <f>요약_성장곡선!C5</f>
        <v>88.239997806816575</v>
      </c>
      <c r="D6" s="12">
        <f>요약_성장곡선!C8</f>
        <v>98.442295611254337</v>
      </c>
      <c r="E6" s="12">
        <f>요약_연차별성장률!B6</f>
        <v>97.428222577094161</v>
      </c>
      <c r="F6" s="12">
        <f>요약_연차별성장률!E6</f>
        <v>145.34880424305311</v>
      </c>
      <c r="G6" s="21">
        <f>요약_연차별성장률!I6</f>
        <v>1.491855238640321</v>
      </c>
      <c r="H6" s="20">
        <f>요약_연차별성장률!G6</f>
        <v>0.10512784446236156</v>
      </c>
      <c r="I6" s="20">
        <f>요약_연차별성장률!H6</f>
        <v>0.12722455436097357</v>
      </c>
      <c r="J6" t="s">
        <v>223</v>
      </c>
    </row>
    <row r="7" spans="1:10" x14ac:dyDescent="0.4">
      <c r="A7" s="23" t="s">
        <v>212</v>
      </c>
      <c r="B7" s="12">
        <f>AVERAGE(요약_성장곡선!D3:D4)</f>
        <v>73.267238801213381</v>
      </c>
      <c r="C7" s="12">
        <f>요약_성장곡선!D5</f>
        <v>88.301058855159383</v>
      </c>
      <c r="D7" s="12">
        <f>요약_성장곡선!D8</f>
        <v>98.197520104846063</v>
      </c>
      <c r="E7" s="12">
        <f>요약_연차별성장률!B7</f>
        <v>98.118092226052966</v>
      </c>
      <c r="F7" s="12">
        <f>요약_연차별성장률!E7</f>
        <v>147.51196045384447</v>
      </c>
      <c r="G7" s="21">
        <f>요약_연차별성장률!I7</f>
        <v>1.5034124401236177</v>
      </c>
      <c r="H7" s="20">
        <f>요약_연차별성장률!G7</f>
        <v>0.10732404522406003</v>
      </c>
      <c r="I7" s="20">
        <f>요약_연차별성장률!H7</f>
        <v>0.12919158756843552</v>
      </c>
      <c r="J7" t="s">
        <v>224</v>
      </c>
    </row>
    <row r="8" spans="1:10" x14ac:dyDescent="0.4">
      <c r="A8" s="23" t="s">
        <v>213</v>
      </c>
      <c r="B8" s="12">
        <f>AVERAGE(요약_성장곡선!E3:E4)</f>
        <v>80.670022356183438</v>
      </c>
      <c r="C8" s="12">
        <f>요약_성장곡선!E5</f>
        <v>89.339693558706387</v>
      </c>
      <c r="D8" s="12">
        <f>요약_성장곡선!E8</f>
        <v>97.592832204730186</v>
      </c>
      <c r="E8" s="12">
        <f>요약_연차별성장률!B8</f>
        <v>97.47167068225302</v>
      </c>
      <c r="F8" s="12">
        <f>요약_연차별성장률!E8</f>
        <v>95.517246881431348</v>
      </c>
      <c r="G8" s="21">
        <f>요약_연차별성장률!I8</f>
        <v>0.9799488016657385</v>
      </c>
      <c r="H8" s="20">
        <f>요약_연차별성장률!G8</f>
        <v>-5.8745980596557446E-2</v>
      </c>
      <c r="I8" s="20">
        <f>요약_연차별성장률!H8</f>
        <v>-7.5551823038575661E-2</v>
      </c>
      <c r="J8" t="s">
        <v>225</v>
      </c>
    </row>
    <row r="11" spans="1:10" x14ac:dyDescent="0.4">
      <c r="A11" s="23" t="s">
        <v>226</v>
      </c>
    </row>
    <row r="12" spans="1:10" x14ac:dyDescent="0.4">
      <c r="A12" s="22" t="s">
        <v>201</v>
      </c>
      <c r="B12" s="22" t="s">
        <v>227</v>
      </c>
      <c r="C12" s="22" t="s">
        <v>228</v>
      </c>
      <c r="D12" s="22" t="s">
        <v>229</v>
      </c>
      <c r="E12" s="22" t="s">
        <v>230</v>
      </c>
      <c r="F12" s="22" t="s">
        <v>231</v>
      </c>
    </row>
    <row r="13" spans="1:10" x14ac:dyDescent="0.4">
      <c r="A13" s="23" t="s">
        <v>210</v>
      </c>
      <c r="B13" s="26">
        <v>0.2</v>
      </c>
      <c r="C13" s="27">
        <f>4950*(1-B13)</f>
        <v>3960</v>
      </c>
      <c r="D13" s="28">
        <v>30</v>
      </c>
      <c r="E13" t="s">
        <v>232</v>
      </c>
      <c r="F13" t="s">
        <v>233</v>
      </c>
    </row>
    <row r="14" spans="1:10" x14ac:dyDescent="0.4">
      <c r="A14" s="23" t="s">
        <v>211</v>
      </c>
      <c r="B14" s="26">
        <v>0.35</v>
      </c>
      <c r="C14" s="27">
        <f>4950*(1-B14)</f>
        <v>3217.5</v>
      </c>
      <c r="D14" s="28">
        <v>45</v>
      </c>
      <c r="E14" t="s">
        <v>234</v>
      </c>
      <c r="F14" t="s">
        <v>235</v>
      </c>
    </row>
    <row r="15" spans="1:10" x14ac:dyDescent="0.4">
      <c r="A15" s="23" t="s">
        <v>212</v>
      </c>
      <c r="B15" s="26">
        <v>0.5</v>
      </c>
      <c r="C15" s="27">
        <f>4950*(1-B15)</f>
        <v>2475</v>
      </c>
      <c r="D15" s="28">
        <v>45</v>
      </c>
      <c r="E15" t="s">
        <v>236</v>
      </c>
      <c r="F15" t="s">
        <v>237</v>
      </c>
    </row>
    <row r="16" spans="1:10" x14ac:dyDescent="0.4">
      <c r="A16" s="23" t="s">
        <v>213</v>
      </c>
      <c r="B16" s="26">
        <v>0.6</v>
      </c>
      <c r="C16" s="27">
        <f>4950*(1-B16)</f>
        <v>1980</v>
      </c>
      <c r="D16" s="28">
        <v>60</v>
      </c>
      <c r="E16" t="s">
        <v>238</v>
      </c>
      <c r="F16" t="s">
        <v>239</v>
      </c>
    </row>
    <row r="18" spans="1:1" x14ac:dyDescent="0.4">
      <c r="A18" s="23" t="s">
        <v>240</v>
      </c>
    </row>
    <row r="19" spans="1:1" ht="16" x14ac:dyDescent="0.4">
      <c r="A19" s="29" t="s">
        <v>241</v>
      </c>
    </row>
    <row r="20" spans="1:1" ht="16" x14ac:dyDescent="0.4">
      <c r="A20" s="29" t="s">
        <v>242</v>
      </c>
    </row>
    <row r="21" spans="1:1" ht="16" x14ac:dyDescent="0.4">
      <c r="A21" s="29" t="s">
        <v>243</v>
      </c>
    </row>
    <row r="22" spans="1:1" ht="16" x14ac:dyDescent="0.4">
      <c r="A22" s="29" t="s">
        <v>244</v>
      </c>
    </row>
    <row r="23" spans="1:1" ht="16" x14ac:dyDescent="0.4">
      <c r="A23" s="29" t="s">
        <v>245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BD46-4285-45FE-B4E2-6385A0E032D9}">
  <sheetPr>
    <tabColor rgb="FFFF0000"/>
  </sheetPr>
  <dimension ref="A1:AD158"/>
  <sheetViews>
    <sheetView showGridLines="0" tabSelected="1" topLeftCell="A53" zoomScaleNormal="100" workbookViewId="0">
      <selection activeCell="P77" sqref="P77"/>
    </sheetView>
  </sheetViews>
  <sheetFormatPr defaultRowHeight="14.5" outlineLevelCol="1" x14ac:dyDescent="0.4"/>
  <cols>
    <col min="1" max="5" width="11.296875" customWidth="1"/>
    <col min="12" max="12" width="41.59765625" customWidth="1"/>
    <col min="13" max="13" width="19.69921875" customWidth="1"/>
    <col min="14" max="14" width="17.3984375" customWidth="1"/>
    <col min="15" max="15" width="17" customWidth="1"/>
    <col min="16" max="17" width="17" customWidth="1" outlineLevel="1"/>
    <col min="18" max="18" width="17.59765625" customWidth="1" outlineLevel="1"/>
    <col min="19" max="19" width="24.59765625" customWidth="1" outlineLevel="1"/>
    <col min="20" max="23" width="17.69921875" customWidth="1"/>
    <col min="25" max="25" width="16" customWidth="1"/>
    <col min="26" max="29" width="13.296875" customWidth="1"/>
    <col min="30" max="30" width="11.3984375" customWidth="1"/>
  </cols>
  <sheetData>
    <row r="1" spans="1:19" x14ac:dyDescent="0.4">
      <c r="A1" t="s">
        <v>198</v>
      </c>
    </row>
    <row r="2" spans="1:19" x14ac:dyDescent="0.4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G2" t="s">
        <v>194</v>
      </c>
      <c r="H2" t="s">
        <v>195</v>
      </c>
      <c r="I2" t="s">
        <v>196</v>
      </c>
      <c r="J2" t="s">
        <v>197</v>
      </c>
      <c r="K2">
        <v>0</v>
      </c>
      <c r="L2">
        <v>1</v>
      </c>
      <c r="M2">
        <v>2</v>
      </c>
      <c r="N2" t="s">
        <v>188</v>
      </c>
      <c r="P2" t="s">
        <v>258</v>
      </c>
      <c r="Q2" t="s">
        <v>259</v>
      </c>
      <c r="R2" t="s">
        <v>260</v>
      </c>
      <c r="S2" t="s">
        <v>261</v>
      </c>
    </row>
    <row r="3" spans="1:19" x14ac:dyDescent="0.4">
      <c r="A3">
        <v>1</v>
      </c>
      <c r="B3">
        <f>IFERROR(AVERAGEIFS(INDEX(Calc_지수곡선!$G$2:$BN$150,0,$A3),Calc_지수곡선!$D$2:$D$150,K$2,INDEX(Calc_지수곡선!$G$2:$BN$150,0,$A3),"&gt;0",INDEX(Calc_지수곡선!$G$2:$BN$150,0,$A3),"&lt;300"),"")</f>
        <v>66.247363628111145</v>
      </c>
      <c r="C3">
        <f>IFERROR(AVERAGEIFS(INDEX(Calc_지수곡선!$G$2:$BN$150,0,$A3),Calc_지수곡선!$D$2:$D$150,L$2,INDEX(Calc_지수곡선!$G$2:$BN$150,0,$A3),"&gt;0",INDEX(Calc_지수곡선!$G$2:$BN$150,0,$A3),"&lt;300"),"")</f>
        <v>70.759843335013883</v>
      </c>
      <c r="D3">
        <f>IFERROR(AVERAGEIFS(INDEX(Calc_지수곡선!$G$2:$BN$150,0,$A3),Calc_지수곡선!$D$2:$D$150,M$2,INDEX(Calc_지수곡선!$G$2:$BN$150,0,$A3),"&gt;0",INDEX(Calc_지수곡선!$G$2:$BN$150,0,$A3),"&lt;300"),"")</f>
        <v>66.555541070017696</v>
      </c>
      <c r="E3">
        <f>IFERROR(AVERAGEIFS(INDEX(Calc_지수곡선!$G$2:$BN$150,0,$A3),Calc_지수곡선!$D$2:$D$150,N$2,INDEX(Calc_지수곡선!$G$2:$BN$150,0,$A3),"&gt;0",INDEX(Calc_지수곡선!$G$2:$BN$150,0,$A3),"&lt;300"),"")</f>
        <v>75.54893717348412</v>
      </c>
      <c r="G3">
        <f>COUNTIFS(Calc_지수곡선!$D$2:$D$150,K$2,INDEX(Calc_지수곡선!$G$2:$BN$150,0,$A3),"&gt;0",INDEX(Calc_지수곡선!$G$2:$BN$150,0,$A3),"&lt;300")</f>
        <v>30</v>
      </c>
      <c r="H3">
        <f>COUNTIFS(Calc_지수곡선!$D$2:$D$150,L$2,INDEX(Calc_지수곡선!$G$2:$BN$150,0,$A3),"&gt;0",INDEX(Calc_지수곡선!$G$2:$BN$150,0,$A3),"&lt;300")</f>
        <v>43</v>
      </c>
      <c r="I3">
        <f>COUNTIFS(Calc_지수곡선!$D$2:$D$150,M$2,INDEX(Calc_지수곡선!$G$2:$BN$150,0,$A3),"&gt;0",INDEX(Calc_지수곡선!$G$2:$BN$150,0,$A3),"&lt;300")</f>
        <v>27</v>
      </c>
      <c r="J3">
        <f>COUNTIFS(Calc_지수곡선!$D$2:$D$150,N$2,INDEX(Calc_지수곡선!$G$2:$BN$150,0,$A3),"&gt;0",INDEX(Calc_지수곡선!$G$2:$BN$150,0,$A3),"&lt;300")</f>
        <v>9</v>
      </c>
      <c r="P3" t="e">
        <f>IF(AND($A3&gt;=6,$A3&lt;=36),B3,NA())</f>
        <v>#N/A</v>
      </c>
      <c r="Q3" t="e">
        <f>IF(AND($A3&gt;=6,$A3&lt;=36),C3,NA())</f>
        <v>#N/A</v>
      </c>
      <c r="R3" t="e">
        <f>IF(AND($A3&gt;=6,$A3&lt;=36),D3,NA())</f>
        <v>#N/A</v>
      </c>
      <c r="S3" t="e">
        <f>IF(AND($A3&gt;=6,$A3&lt;=36),E3,NA())</f>
        <v>#N/A</v>
      </c>
    </row>
    <row r="4" spans="1:19" x14ac:dyDescent="0.4">
      <c r="A4">
        <v>2</v>
      </c>
      <c r="B4">
        <f>IFERROR(AVERAGEIFS(INDEX(Calc_지수곡선!$G$2:$BN$150,0,$A4),Calc_지수곡선!$D$2:$D$150,K$2,INDEX(Calc_지수곡선!$G$2:$BN$150,0,$A4),"&gt;0",INDEX(Calc_지수곡선!$G$2:$BN$150,0,$A4),"&lt;300"),"")</f>
        <v>76.770819410463261</v>
      </c>
      <c r="C4">
        <f>IFERROR(AVERAGEIFS(INDEX(Calc_지수곡선!$G$2:$BN$150,0,$A4),Calc_지수곡선!$D$2:$D$150,L$2,INDEX(Calc_지수곡선!$G$2:$BN$150,0,$A4),"&gt;0",INDEX(Calc_지수곡선!$G$2:$BN$150,0,$A4),"&lt;300"),"")</f>
        <v>81.243971882617785</v>
      </c>
      <c r="D4">
        <f>IFERROR(AVERAGEIFS(INDEX(Calc_지수곡선!$G$2:$BN$150,0,$A4),Calc_지수곡선!$D$2:$D$150,M$2,INDEX(Calc_지수곡선!$G$2:$BN$150,0,$A4),"&gt;0",INDEX(Calc_지수곡선!$G$2:$BN$150,0,$A4),"&lt;300"),"")</f>
        <v>79.978936532409065</v>
      </c>
      <c r="E4">
        <f>IFERROR(AVERAGEIFS(INDEX(Calc_지수곡선!$G$2:$BN$150,0,$A4),Calc_지수곡선!$D$2:$D$150,N$2,INDEX(Calc_지수곡선!$G$2:$BN$150,0,$A4),"&gt;0",INDEX(Calc_지수곡선!$G$2:$BN$150,0,$A4),"&lt;300"),"")</f>
        <v>85.79110753888277</v>
      </c>
      <c r="G4">
        <f>COUNTIFS(Calc_지수곡선!$D$2:$D$150,K$2,INDEX(Calc_지수곡선!$G$2:$BN$150,0,$A4),"&gt;0",INDEX(Calc_지수곡선!$G$2:$BN$150,0,$A4),"&lt;300")</f>
        <v>30</v>
      </c>
      <c r="H4">
        <f>COUNTIFS(Calc_지수곡선!$D$2:$D$150,L$2,INDEX(Calc_지수곡선!$G$2:$BN$150,0,$A4),"&gt;0",INDEX(Calc_지수곡선!$G$2:$BN$150,0,$A4),"&lt;300")</f>
        <v>43</v>
      </c>
      <c r="I4">
        <f>COUNTIFS(Calc_지수곡선!$D$2:$D$150,M$2,INDEX(Calc_지수곡선!$G$2:$BN$150,0,$A4),"&gt;0",INDEX(Calc_지수곡선!$G$2:$BN$150,0,$A4),"&lt;300")</f>
        <v>27</v>
      </c>
      <c r="J4">
        <f>COUNTIFS(Calc_지수곡선!$D$2:$D$150,N$2,INDEX(Calc_지수곡선!$G$2:$BN$150,0,$A4),"&gt;0",INDEX(Calc_지수곡선!$G$2:$BN$150,0,$A4),"&lt;300")</f>
        <v>9</v>
      </c>
      <c r="P4" t="e">
        <f t="shared" ref="P4:P28" si="0">IF(AND($A4&gt;=6,$A4&lt;=36),B4,NA())</f>
        <v>#N/A</v>
      </c>
      <c r="Q4" t="e">
        <f t="shared" ref="Q4:Q28" si="1">IF(AND($A4&gt;=6,$A4&lt;=36),C4,NA())</f>
        <v>#N/A</v>
      </c>
      <c r="R4" t="e">
        <f t="shared" ref="R4:R28" si="2">IF(AND($A4&gt;=6,$A4&lt;=36),D4,NA())</f>
        <v>#N/A</v>
      </c>
      <c r="S4" t="e">
        <f t="shared" ref="S4:S28" si="3">IF(AND($A4&gt;=6,$A4&lt;=36),E4,NA())</f>
        <v>#N/A</v>
      </c>
    </row>
    <row r="5" spans="1:19" x14ac:dyDescent="0.4">
      <c r="A5">
        <v>3</v>
      </c>
      <c r="B5">
        <f>IFERROR(AVERAGEIFS(INDEX(Calc_지수곡선!$G$2:$BN$150,0,$A5),Calc_지수곡선!$D$2:$D$150,K$2,INDEX(Calc_지수곡선!$G$2:$BN$150,0,$A5),"&gt;0",INDEX(Calc_지수곡선!$G$2:$BN$150,0,$A5),"&lt;300"),"")</f>
        <v>89.973806546706356</v>
      </c>
      <c r="C5">
        <f>IFERROR(AVERAGEIFS(INDEX(Calc_지수곡선!$G$2:$BN$150,0,$A5),Calc_지수곡선!$D$2:$D$150,L$2,INDEX(Calc_지수곡선!$G$2:$BN$150,0,$A5),"&gt;0",INDEX(Calc_지수곡선!$G$2:$BN$150,0,$A5),"&lt;300"),"")</f>
        <v>88.239997806816575</v>
      </c>
      <c r="D5">
        <f>IFERROR(AVERAGEIFS(INDEX(Calc_지수곡선!$G$2:$BN$150,0,$A5),Calc_지수곡선!$D$2:$D$150,M$2,INDEX(Calc_지수곡선!$G$2:$BN$150,0,$A5),"&gt;0",INDEX(Calc_지수곡선!$G$2:$BN$150,0,$A5),"&lt;300"),"")</f>
        <v>88.301058855159383</v>
      </c>
      <c r="E5">
        <f>IFERROR(AVERAGEIFS(INDEX(Calc_지수곡선!$G$2:$BN$150,0,$A5),Calc_지수곡선!$D$2:$D$150,N$2,INDEX(Calc_지수곡선!$G$2:$BN$150,0,$A5),"&gt;0",INDEX(Calc_지수곡선!$G$2:$BN$150,0,$A5),"&lt;300"),"")</f>
        <v>89.339693558706387</v>
      </c>
      <c r="G5">
        <f>COUNTIFS(Calc_지수곡선!$D$2:$D$150,K$2,INDEX(Calc_지수곡선!$G$2:$BN$150,0,$A5),"&gt;0",INDEX(Calc_지수곡선!$G$2:$BN$150,0,$A5),"&lt;300")</f>
        <v>30</v>
      </c>
      <c r="H5">
        <f>COUNTIFS(Calc_지수곡선!$D$2:$D$150,L$2,INDEX(Calc_지수곡선!$G$2:$BN$150,0,$A5),"&gt;0",INDEX(Calc_지수곡선!$G$2:$BN$150,0,$A5),"&lt;300")</f>
        <v>43</v>
      </c>
      <c r="I5">
        <f>COUNTIFS(Calc_지수곡선!$D$2:$D$150,M$2,INDEX(Calc_지수곡선!$G$2:$BN$150,0,$A5),"&gt;0",INDEX(Calc_지수곡선!$G$2:$BN$150,0,$A5),"&lt;300")</f>
        <v>27</v>
      </c>
      <c r="J5">
        <f>COUNTIFS(Calc_지수곡선!$D$2:$D$150,N$2,INDEX(Calc_지수곡선!$G$2:$BN$150,0,$A5),"&gt;0",INDEX(Calc_지수곡선!$G$2:$BN$150,0,$A5),"&lt;300")</f>
        <v>9</v>
      </c>
      <c r="P5" t="e">
        <f t="shared" si="0"/>
        <v>#N/A</v>
      </c>
      <c r="Q5" t="e">
        <f t="shared" si="1"/>
        <v>#N/A</v>
      </c>
      <c r="R5" t="e">
        <f t="shared" si="2"/>
        <v>#N/A</v>
      </c>
      <c r="S5" t="e">
        <f t="shared" si="3"/>
        <v>#N/A</v>
      </c>
    </row>
    <row r="6" spans="1:19" x14ac:dyDescent="0.4">
      <c r="A6">
        <v>4</v>
      </c>
      <c r="B6">
        <f>IFERROR(AVERAGEIFS(INDEX(Calc_지수곡선!$G$2:$BN$150,0,$A6),Calc_지수곡선!$D$2:$D$150,K$2,INDEX(Calc_지수곡선!$G$2:$BN$150,0,$A6),"&gt;0",INDEX(Calc_지수곡선!$G$2:$BN$150,0,$A6),"&lt;300"),"")</f>
        <v>92.50554233557655</v>
      </c>
      <c r="C6">
        <f>IFERROR(AVERAGEIFS(INDEX(Calc_지수곡선!$G$2:$BN$150,0,$A6),Calc_지수곡선!$D$2:$D$150,L$2,INDEX(Calc_지수곡선!$G$2:$BN$150,0,$A6),"&gt;0",INDEX(Calc_지수곡선!$G$2:$BN$150,0,$A6),"&lt;300"),"")</f>
        <v>94.218113594867944</v>
      </c>
      <c r="D6">
        <f>IFERROR(AVERAGEIFS(INDEX(Calc_지수곡선!$G$2:$BN$150,0,$A6),Calc_지수곡선!$D$2:$D$150,M$2,INDEX(Calc_지수곡선!$G$2:$BN$150,0,$A6),"&gt;0",INDEX(Calc_지수곡선!$G$2:$BN$150,0,$A6),"&lt;300"),"")</f>
        <v>93.556964476715748</v>
      </c>
      <c r="E6">
        <f>IFERROR(AVERAGEIFS(INDEX(Calc_지수곡선!$G$2:$BN$150,0,$A6),Calc_지수곡선!$D$2:$D$150,N$2,INDEX(Calc_지수곡선!$G$2:$BN$150,0,$A6),"&gt;0",INDEX(Calc_지수곡선!$G$2:$BN$150,0,$A6),"&lt;300"),"")</f>
        <v>95.320334101645003</v>
      </c>
      <c r="G6">
        <f>COUNTIFS(Calc_지수곡선!$D$2:$D$150,K$2,INDEX(Calc_지수곡선!$G$2:$BN$150,0,$A6),"&gt;0",INDEX(Calc_지수곡선!$G$2:$BN$150,0,$A6),"&lt;300")</f>
        <v>30</v>
      </c>
      <c r="H6">
        <f>COUNTIFS(Calc_지수곡선!$D$2:$D$150,L$2,INDEX(Calc_지수곡선!$G$2:$BN$150,0,$A6),"&gt;0",INDEX(Calc_지수곡선!$G$2:$BN$150,0,$A6),"&lt;300")</f>
        <v>43</v>
      </c>
      <c r="I6">
        <f>COUNTIFS(Calc_지수곡선!$D$2:$D$150,M$2,INDEX(Calc_지수곡선!$G$2:$BN$150,0,$A6),"&gt;0",INDEX(Calc_지수곡선!$G$2:$BN$150,0,$A6),"&lt;300")</f>
        <v>27</v>
      </c>
      <c r="J6">
        <f>COUNTIFS(Calc_지수곡선!$D$2:$D$150,N$2,INDEX(Calc_지수곡선!$G$2:$BN$150,0,$A6),"&gt;0",INDEX(Calc_지수곡선!$G$2:$BN$150,0,$A6),"&lt;300")</f>
        <v>9</v>
      </c>
      <c r="P6" t="e">
        <f t="shared" si="0"/>
        <v>#N/A</v>
      </c>
      <c r="Q6" t="e">
        <f t="shared" si="1"/>
        <v>#N/A</v>
      </c>
      <c r="R6" t="e">
        <f t="shared" si="2"/>
        <v>#N/A</v>
      </c>
      <c r="S6" t="e">
        <f t="shared" si="3"/>
        <v>#N/A</v>
      </c>
    </row>
    <row r="7" spans="1:19" x14ac:dyDescent="0.4">
      <c r="A7">
        <v>5</v>
      </c>
      <c r="B7">
        <f>IFERROR(AVERAGEIFS(INDEX(Calc_지수곡선!$G$2:$BN$150,0,$A7),Calc_지수곡선!$D$2:$D$150,K$2,INDEX(Calc_지수곡선!$G$2:$BN$150,0,$A7),"&gt;0",INDEX(Calc_지수곡선!$G$2:$BN$150,0,$A7),"&lt;300"),"")</f>
        <v>96.990759570244933</v>
      </c>
      <c r="C7">
        <f>IFERROR(AVERAGEIFS(INDEX(Calc_지수곡선!$G$2:$BN$150,0,$A7),Calc_지수곡선!$D$2:$D$150,L$2,INDEX(Calc_지수곡선!$G$2:$BN$150,0,$A7),"&gt;0",INDEX(Calc_지수곡선!$G$2:$BN$150,0,$A7),"&lt;300"),"")</f>
        <v>98.707428032075498</v>
      </c>
      <c r="D7">
        <f>IFERROR(AVERAGEIFS(INDEX(Calc_지수곡선!$G$2:$BN$150,0,$A7),Calc_지수곡선!$D$2:$D$150,M$2,INDEX(Calc_지수곡선!$G$2:$BN$150,0,$A7),"&gt;0",INDEX(Calc_지수곡선!$G$2:$BN$150,0,$A7),"&lt;300"),"")</f>
        <v>95.526395453158699</v>
      </c>
      <c r="E7">
        <f>IFERROR(AVERAGEIFS(INDEX(Calc_지수곡선!$G$2:$BN$150,0,$A7),Calc_지수곡선!$D$2:$D$150,N$2,INDEX(Calc_지수곡선!$G$2:$BN$150,0,$A7),"&gt;0",INDEX(Calc_지수곡선!$G$2:$BN$150,0,$A7),"&lt;300"),"")</f>
        <v>102.56641734508844</v>
      </c>
      <c r="G7">
        <f>COUNTIFS(Calc_지수곡선!$D$2:$D$150,K$2,INDEX(Calc_지수곡선!$G$2:$BN$150,0,$A7),"&gt;0",INDEX(Calc_지수곡선!$G$2:$BN$150,0,$A7),"&lt;300")</f>
        <v>30</v>
      </c>
      <c r="H7">
        <f>COUNTIFS(Calc_지수곡선!$D$2:$D$150,L$2,INDEX(Calc_지수곡선!$G$2:$BN$150,0,$A7),"&gt;0",INDEX(Calc_지수곡선!$G$2:$BN$150,0,$A7),"&lt;300")</f>
        <v>43</v>
      </c>
      <c r="I7">
        <f>COUNTIFS(Calc_지수곡선!$D$2:$D$150,M$2,INDEX(Calc_지수곡선!$G$2:$BN$150,0,$A7),"&gt;0",INDEX(Calc_지수곡선!$G$2:$BN$150,0,$A7),"&lt;300")</f>
        <v>27</v>
      </c>
      <c r="J7">
        <f>COUNTIFS(Calc_지수곡선!$D$2:$D$150,N$2,INDEX(Calc_지수곡선!$G$2:$BN$150,0,$A7),"&gt;0",INDEX(Calc_지수곡선!$G$2:$BN$150,0,$A7),"&lt;300")</f>
        <v>9</v>
      </c>
      <c r="P7" t="e">
        <f t="shared" si="0"/>
        <v>#N/A</v>
      </c>
      <c r="Q7" t="e">
        <f t="shared" si="1"/>
        <v>#N/A</v>
      </c>
      <c r="R7" t="e">
        <f t="shared" si="2"/>
        <v>#N/A</v>
      </c>
      <c r="S7" t="e">
        <f t="shared" si="3"/>
        <v>#N/A</v>
      </c>
    </row>
    <row r="8" spans="1:19" x14ac:dyDescent="0.4">
      <c r="A8">
        <v>6</v>
      </c>
      <c r="B8">
        <f>IFERROR(AVERAGEIFS(INDEX(Calc_지수곡선!$G$2:$BN$150,0,$A8),Calc_지수곡선!$D$2:$D$150,K$2,INDEX(Calc_지수곡선!$G$2:$BN$150,0,$A8),"&gt;0",INDEX(Calc_지수곡선!$G$2:$BN$150,0,$A8),"&lt;300"),"")</f>
        <v>101.0059771858066</v>
      </c>
      <c r="C8" s="88">
        <f>IFERROR(AVERAGEIFS(INDEX(Calc_지수곡선!$G$2:$BN$150,0,$A8),Calc_지수곡선!$D$2:$D$150,L$2,INDEX(Calc_지수곡선!$G$2:$BN$150,0,$A8),"&gt;0",INDEX(Calc_지수곡선!$G$2:$BN$150,0,$A8),"&lt;300"),"")</f>
        <v>98.442295611254337</v>
      </c>
      <c r="D8">
        <f>IFERROR(AVERAGEIFS(INDEX(Calc_지수곡선!$G$2:$BN$150,0,$A8),Calc_지수곡선!$D$2:$D$150,M$2,INDEX(Calc_지수곡선!$G$2:$BN$150,0,$A8),"&gt;0",INDEX(Calc_지수곡선!$G$2:$BN$150,0,$A8),"&lt;300"),"")</f>
        <v>98.197520104846063</v>
      </c>
      <c r="E8">
        <f>IFERROR(AVERAGEIFS(INDEX(Calc_지수곡선!$G$2:$BN$150,0,$A8),Calc_지수곡선!$D$2:$D$150,N$2,INDEX(Calc_지수곡선!$G$2:$BN$150,0,$A8),"&gt;0",INDEX(Calc_지수곡선!$G$2:$BN$150,0,$A8),"&lt;300"),"")</f>
        <v>97.592832204730186</v>
      </c>
      <c r="G8">
        <f>COUNTIFS(Calc_지수곡선!$D$2:$D$150,K$2,INDEX(Calc_지수곡선!$G$2:$BN$150,0,$A8),"&gt;0",INDEX(Calc_지수곡선!$G$2:$BN$150,0,$A8),"&lt;300")</f>
        <v>30</v>
      </c>
      <c r="H8">
        <f>COUNTIFS(Calc_지수곡선!$D$2:$D$150,L$2,INDEX(Calc_지수곡선!$G$2:$BN$150,0,$A8),"&gt;0",INDEX(Calc_지수곡선!$G$2:$BN$150,0,$A8),"&lt;300")</f>
        <v>43</v>
      </c>
      <c r="I8">
        <f>COUNTIFS(Calc_지수곡선!$D$2:$D$150,M$2,INDEX(Calc_지수곡선!$G$2:$BN$150,0,$A8),"&gt;0",INDEX(Calc_지수곡선!$G$2:$BN$150,0,$A8),"&lt;300")</f>
        <v>27</v>
      </c>
      <c r="J8">
        <f>COUNTIFS(Calc_지수곡선!$D$2:$D$150,N$2,INDEX(Calc_지수곡선!$G$2:$BN$150,0,$A8),"&gt;0",INDEX(Calc_지수곡선!$G$2:$BN$150,0,$A8),"&lt;300")</f>
        <v>9</v>
      </c>
      <c r="P8">
        <f t="shared" si="0"/>
        <v>101.0059771858066</v>
      </c>
      <c r="Q8">
        <f t="shared" si="1"/>
        <v>98.442295611254337</v>
      </c>
      <c r="R8">
        <f t="shared" si="2"/>
        <v>98.197520104846063</v>
      </c>
      <c r="S8">
        <f t="shared" si="3"/>
        <v>97.592832204730186</v>
      </c>
    </row>
    <row r="9" spans="1:19" x14ac:dyDescent="0.4">
      <c r="A9">
        <v>7</v>
      </c>
      <c r="B9">
        <f>IFERROR(AVERAGEIFS(INDEX(Calc_지수곡선!$G$2:$BN$150,0,$A9),Calc_지수곡선!$D$2:$D$150,K$2,INDEX(Calc_지수곡선!$G$2:$BN$150,0,$A9),"&gt;0",INDEX(Calc_지수곡선!$G$2:$BN$150,0,$A9),"&lt;300"),"")</f>
        <v>100.65036676315161</v>
      </c>
      <c r="C9" s="88">
        <f>IFERROR(AVERAGEIFS(INDEX(Calc_지수곡선!$G$2:$BN$150,0,$A9),Calc_지수곡선!$D$2:$D$150,L$2,INDEX(Calc_지수곡선!$G$2:$BN$150,0,$A9),"&gt;0",INDEX(Calc_지수곡선!$G$2:$BN$150,0,$A9),"&lt;300"),"")</f>
        <v>102.33662928801135</v>
      </c>
      <c r="D9">
        <f>IFERROR(AVERAGEIFS(INDEX(Calc_지수곡선!$G$2:$BN$150,0,$A9),Calc_지수곡선!$D$2:$D$150,M$2,INDEX(Calc_지수곡선!$G$2:$BN$150,0,$A9),"&gt;0",INDEX(Calc_지수곡선!$G$2:$BN$150,0,$A9),"&lt;300"),"")</f>
        <v>104.20552316749659</v>
      </c>
      <c r="E9">
        <f>IFERROR(AVERAGEIFS(INDEX(Calc_지수곡선!$G$2:$BN$150,0,$A9),Calc_지수곡선!$D$2:$D$150,N$2,INDEX(Calc_지수곡선!$G$2:$BN$150,0,$A9),"&gt;0",INDEX(Calc_지수곡선!$G$2:$BN$150,0,$A9),"&lt;300"),"")</f>
        <v>103.70754744288098</v>
      </c>
      <c r="G9">
        <f>COUNTIFS(Calc_지수곡선!$D$2:$D$150,K$2,INDEX(Calc_지수곡선!$G$2:$BN$150,0,$A9),"&gt;0",INDEX(Calc_지수곡선!$G$2:$BN$150,0,$A9),"&lt;300")</f>
        <v>30</v>
      </c>
      <c r="H9">
        <f>COUNTIFS(Calc_지수곡선!$D$2:$D$150,L$2,INDEX(Calc_지수곡선!$G$2:$BN$150,0,$A9),"&gt;0",INDEX(Calc_지수곡선!$G$2:$BN$150,0,$A9),"&lt;300")</f>
        <v>43</v>
      </c>
      <c r="I9">
        <f>COUNTIFS(Calc_지수곡선!$D$2:$D$150,M$2,INDEX(Calc_지수곡선!$G$2:$BN$150,0,$A9),"&gt;0",INDEX(Calc_지수곡선!$G$2:$BN$150,0,$A9),"&lt;300")</f>
        <v>27</v>
      </c>
      <c r="J9">
        <f>COUNTIFS(Calc_지수곡선!$D$2:$D$150,N$2,INDEX(Calc_지수곡선!$G$2:$BN$150,0,$A9),"&gt;0",INDEX(Calc_지수곡선!$G$2:$BN$150,0,$A9),"&lt;300")</f>
        <v>9</v>
      </c>
      <c r="P9">
        <f t="shared" si="0"/>
        <v>100.65036676315161</v>
      </c>
      <c r="Q9">
        <f t="shared" si="1"/>
        <v>102.33662928801135</v>
      </c>
      <c r="R9">
        <f t="shared" si="2"/>
        <v>104.20552316749659</v>
      </c>
      <c r="S9">
        <f t="shared" si="3"/>
        <v>103.70754744288098</v>
      </c>
    </row>
    <row r="10" spans="1:19" x14ac:dyDescent="0.4">
      <c r="A10">
        <v>8</v>
      </c>
      <c r="B10">
        <f>IFERROR(AVERAGEIFS(INDEX(Calc_지수곡선!$G$2:$BN$150,0,$A10),Calc_지수곡선!$D$2:$D$150,K$2,INDEX(Calc_지수곡선!$G$2:$BN$150,0,$A10),"&gt;0",INDEX(Calc_지수곡선!$G$2:$BN$150,0,$A10),"&lt;300"),"")</f>
        <v>103.51068903182636</v>
      </c>
      <c r="C10" s="88">
        <f>IFERROR(AVERAGEIFS(INDEX(Calc_지수곡선!$G$2:$BN$150,0,$A10),Calc_지수곡선!$D$2:$D$150,L$2,INDEX(Calc_지수곡선!$G$2:$BN$150,0,$A10),"&gt;0",INDEX(Calc_지수곡선!$G$2:$BN$150,0,$A10),"&lt;300"),"")</f>
        <v>101.32801037066668</v>
      </c>
      <c r="D10">
        <f>IFERROR(AVERAGEIFS(INDEX(Calc_지수곡선!$G$2:$BN$150,0,$A10),Calc_지수곡선!$D$2:$D$150,M$2,INDEX(Calc_지수곡선!$G$2:$BN$150,0,$A10),"&gt;0",INDEX(Calc_지수곡선!$G$2:$BN$150,0,$A10),"&lt;300"),"")</f>
        <v>103.81707902841829</v>
      </c>
      <c r="E10">
        <f>IFERROR(AVERAGEIFS(INDEX(Calc_지수곡선!$G$2:$BN$150,0,$A10),Calc_지수곡선!$D$2:$D$150,N$2,INDEX(Calc_지수곡선!$G$2:$BN$150,0,$A10),"&gt;0",INDEX(Calc_지수곡선!$G$2:$BN$150,0,$A10),"&lt;300"),"")</f>
        <v>99.615326320821325</v>
      </c>
      <c r="G10">
        <f>COUNTIFS(Calc_지수곡선!$D$2:$D$150,K$2,INDEX(Calc_지수곡선!$G$2:$BN$150,0,$A10),"&gt;0",INDEX(Calc_지수곡선!$G$2:$BN$150,0,$A10),"&lt;300")</f>
        <v>30</v>
      </c>
      <c r="H10">
        <f>COUNTIFS(Calc_지수곡선!$D$2:$D$150,L$2,INDEX(Calc_지수곡선!$G$2:$BN$150,0,$A10),"&gt;0",INDEX(Calc_지수곡선!$G$2:$BN$150,0,$A10),"&lt;300")</f>
        <v>41</v>
      </c>
      <c r="I10">
        <f>COUNTIFS(Calc_지수곡선!$D$2:$D$150,M$2,INDEX(Calc_지수곡선!$G$2:$BN$150,0,$A10),"&gt;0",INDEX(Calc_지수곡선!$G$2:$BN$150,0,$A10),"&lt;300")</f>
        <v>27</v>
      </c>
      <c r="J10">
        <f>COUNTIFS(Calc_지수곡선!$D$2:$D$150,N$2,INDEX(Calc_지수곡선!$G$2:$BN$150,0,$A10),"&gt;0",INDEX(Calc_지수곡선!$G$2:$BN$150,0,$A10),"&lt;300")</f>
        <v>9</v>
      </c>
      <c r="P10">
        <f t="shared" si="0"/>
        <v>103.51068903182636</v>
      </c>
      <c r="Q10">
        <f t="shared" si="1"/>
        <v>101.32801037066668</v>
      </c>
      <c r="R10">
        <f t="shared" si="2"/>
        <v>103.81707902841829</v>
      </c>
      <c r="S10">
        <f t="shared" si="3"/>
        <v>99.615326320821325</v>
      </c>
    </row>
    <row r="11" spans="1:19" x14ac:dyDescent="0.4">
      <c r="A11">
        <v>9</v>
      </c>
      <c r="B11">
        <f>IFERROR(AVERAGEIFS(INDEX(Calc_지수곡선!$G$2:$BN$150,0,$A11),Calc_지수곡선!$D$2:$D$150,K$2,INDEX(Calc_지수곡선!$G$2:$BN$150,0,$A11),"&gt;0",INDEX(Calc_지수곡선!$G$2:$BN$150,0,$A11),"&lt;300"),"")</f>
        <v>105.52068804833858</v>
      </c>
      <c r="C11" s="88">
        <f>IFERROR(AVERAGEIFS(INDEX(Calc_지수곡선!$G$2:$BN$150,0,$A11),Calc_지수곡선!$D$2:$D$150,L$2,INDEX(Calc_지수곡선!$G$2:$BN$150,0,$A11),"&gt;0",INDEX(Calc_지수곡선!$G$2:$BN$150,0,$A11),"&lt;300"),"")</f>
        <v>105.40648785439184</v>
      </c>
      <c r="D11">
        <f>IFERROR(AVERAGEIFS(INDEX(Calc_지수곡선!$G$2:$BN$150,0,$A11),Calc_지수곡선!$D$2:$D$150,M$2,INDEX(Calc_지수곡선!$G$2:$BN$150,0,$A11),"&gt;0",INDEX(Calc_지수곡선!$G$2:$BN$150,0,$A11),"&lt;300"),"")</f>
        <v>104.87715306818626</v>
      </c>
      <c r="E11">
        <f>IFERROR(AVERAGEIFS(INDEX(Calc_지수곡선!$G$2:$BN$150,0,$A11),Calc_지수곡선!$D$2:$D$150,N$2,INDEX(Calc_지수곡선!$G$2:$BN$150,0,$A11),"&gt;0",INDEX(Calc_지수곡선!$G$2:$BN$150,0,$A11),"&lt;300"),"")</f>
        <v>101.19754258483407</v>
      </c>
      <c r="G11">
        <f>COUNTIFS(Calc_지수곡선!$D$2:$D$150,K$2,INDEX(Calc_지수곡선!$G$2:$BN$150,0,$A11),"&gt;0",INDEX(Calc_지수곡선!$G$2:$BN$150,0,$A11),"&lt;300")</f>
        <v>29</v>
      </c>
      <c r="H11">
        <f>COUNTIFS(Calc_지수곡선!$D$2:$D$150,L$2,INDEX(Calc_지수곡선!$G$2:$BN$150,0,$A11),"&gt;0",INDEX(Calc_지수곡선!$G$2:$BN$150,0,$A11),"&lt;300")</f>
        <v>40</v>
      </c>
      <c r="I11">
        <f>COUNTIFS(Calc_지수곡선!$D$2:$D$150,M$2,INDEX(Calc_지수곡선!$G$2:$BN$150,0,$A11),"&gt;0",INDEX(Calc_지수곡선!$G$2:$BN$150,0,$A11),"&lt;300")</f>
        <v>26</v>
      </c>
      <c r="J11">
        <f>COUNTIFS(Calc_지수곡선!$D$2:$D$150,N$2,INDEX(Calc_지수곡선!$G$2:$BN$150,0,$A11),"&gt;0",INDEX(Calc_지수곡선!$G$2:$BN$150,0,$A11),"&lt;300")</f>
        <v>9</v>
      </c>
      <c r="P11">
        <f t="shared" si="0"/>
        <v>105.52068804833858</v>
      </c>
      <c r="Q11">
        <f t="shared" si="1"/>
        <v>105.40648785439184</v>
      </c>
      <c r="R11">
        <f t="shared" si="2"/>
        <v>104.87715306818626</v>
      </c>
      <c r="S11">
        <f t="shared" si="3"/>
        <v>101.19754258483407</v>
      </c>
    </row>
    <row r="12" spans="1:19" x14ac:dyDescent="0.4">
      <c r="A12">
        <v>10</v>
      </c>
      <c r="B12">
        <f>IFERROR(AVERAGEIFS(INDEX(Calc_지수곡선!$G$2:$BN$150,0,$A12),Calc_지수곡선!$D$2:$D$150,K$2,INDEX(Calc_지수곡선!$G$2:$BN$150,0,$A12),"&gt;0",INDEX(Calc_지수곡선!$G$2:$BN$150,0,$A12),"&lt;300"),"")</f>
        <v>106.30981948394717</v>
      </c>
      <c r="C12" s="88">
        <f>IFERROR(AVERAGEIFS(INDEX(Calc_지수곡선!$G$2:$BN$150,0,$A12),Calc_지수곡선!$D$2:$D$150,L$2,INDEX(Calc_지수곡선!$G$2:$BN$150,0,$A12),"&gt;0",INDEX(Calc_지수곡선!$G$2:$BN$150,0,$A12),"&lt;300"),"")</f>
        <v>109.04441482345334</v>
      </c>
      <c r="D12">
        <f>IFERROR(AVERAGEIFS(INDEX(Calc_지수곡선!$G$2:$BN$150,0,$A12),Calc_지수곡선!$D$2:$D$150,M$2,INDEX(Calc_지수곡선!$G$2:$BN$150,0,$A12),"&gt;0",INDEX(Calc_지수곡선!$G$2:$BN$150,0,$A12),"&lt;300"),"")</f>
        <v>109.77260755558653</v>
      </c>
      <c r="E12">
        <f>IFERROR(AVERAGEIFS(INDEX(Calc_지수곡선!$G$2:$BN$150,0,$A12),Calc_지수곡선!$D$2:$D$150,N$2,INDEX(Calc_지수곡선!$G$2:$BN$150,0,$A12),"&gt;0",INDEX(Calc_지수곡선!$G$2:$BN$150,0,$A12),"&lt;300"),"")</f>
        <v>103.69318507605765</v>
      </c>
      <c r="G12">
        <f>COUNTIFS(Calc_지수곡선!$D$2:$D$150,K$2,INDEX(Calc_지수곡선!$G$2:$BN$150,0,$A12),"&gt;0",INDEX(Calc_지수곡선!$G$2:$BN$150,0,$A12),"&lt;300")</f>
        <v>29</v>
      </c>
      <c r="H12">
        <f>COUNTIFS(Calc_지수곡선!$D$2:$D$150,L$2,INDEX(Calc_지수곡선!$G$2:$BN$150,0,$A12),"&gt;0",INDEX(Calc_지수곡선!$G$2:$BN$150,0,$A12),"&lt;300")</f>
        <v>39</v>
      </c>
      <c r="I12">
        <f>COUNTIFS(Calc_지수곡선!$D$2:$D$150,M$2,INDEX(Calc_지수곡선!$G$2:$BN$150,0,$A12),"&gt;0",INDEX(Calc_지수곡선!$G$2:$BN$150,0,$A12),"&lt;300")</f>
        <v>26</v>
      </c>
      <c r="J12">
        <f>COUNTIFS(Calc_지수곡선!$D$2:$D$150,N$2,INDEX(Calc_지수곡선!$G$2:$BN$150,0,$A12),"&gt;0",INDEX(Calc_지수곡선!$G$2:$BN$150,0,$A12),"&lt;300")</f>
        <v>9</v>
      </c>
      <c r="P12">
        <f t="shared" si="0"/>
        <v>106.30981948394717</v>
      </c>
      <c r="Q12">
        <f t="shared" si="1"/>
        <v>109.04441482345334</v>
      </c>
      <c r="R12">
        <f t="shared" si="2"/>
        <v>109.77260755558653</v>
      </c>
      <c r="S12">
        <f t="shared" si="3"/>
        <v>103.69318507605765</v>
      </c>
    </row>
    <row r="13" spans="1:19" x14ac:dyDescent="0.4">
      <c r="A13">
        <v>11</v>
      </c>
      <c r="B13">
        <f>IFERROR(AVERAGEIFS(INDEX(Calc_지수곡선!$G$2:$BN$150,0,$A13),Calc_지수곡선!$D$2:$D$150,K$2,INDEX(Calc_지수곡선!$G$2:$BN$150,0,$A13),"&gt;0",INDEX(Calc_지수곡선!$G$2:$BN$150,0,$A13),"&lt;300"),"")</f>
        <v>110.82314609417666</v>
      </c>
      <c r="C13" s="88">
        <f>IFERROR(AVERAGEIFS(INDEX(Calc_지수곡선!$G$2:$BN$150,0,$A13),Calc_지수곡선!$D$2:$D$150,L$2,INDEX(Calc_지수곡선!$G$2:$BN$150,0,$A13),"&gt;0",INDEX(Calc_지수곡선!$G$2:$BN$150,0,$A13),"&lt;300"),"")</f>
        <v>109.68923387583554</v>
      </c>
      <c r="D13">
        <f>IFERROR(AVERAGEIFS(INDEX(Calc_지수곡선!$G$2:$BN$150,0,$A13),Calc_지수곡선!$D$2:$D$150,M$2,INDEX(Calc_지수곡선!$G$2:$BN$150,0,$A13),"&gt;0",INDEX(Calc_지수곡선!$G$2:$BN$150,0,$A13),"&lt;300"),"")</f>
        <v>115.71453829406927</v>
      </c>
      <c r="E13">
        <f>IFERROR(AVERAGEIFS(INDEX(Calc_지수곡선!$G$2:$BN$150,0,$A13),Calc_지수곡선!$D$2:$D$150,N$2,INDEX(Calc_지수곡선!$G$2:$BN$150,0,$A13),"&gt;0",INDEX(Calc_지수곡선!$G$2:$BN$150,0,$A13),"&lt;300"),"")</f>
        <v>106.3700816995933</v>
      </c>
      <c r="G13">
        <f>COUNTIFS(Calc_지수곡선!$D$2:$D$150,K$2,INDEX(Calc_지수곡선!$G$2:$BN$150,0,$A13),"&gt;0",INDEX(Calc_지수곡선!$G$2:$BN$150,0,$A13),"&lt;300")</f>
        <v>27</v>
      </c>
      <c r="H13">
        <f>COUNTIFS(Calc_지수곡선!$D$2:$D$150,L$2,INDEX(Calc_지수곡선!$G$2:$BN$150,0,$A13),"&gt;0",INDEX(Calc_지수곡선!$G$2:$BN$150,0,$A13),"&lt;300")</f>
        <v>38</v>
      </c>
      <c r="I13">
        <f>COUNTIFS(Calc_지수곡선!$D$2:$D$150,M$2,INDEX(Calc_지수곡선!$G$2:$BN$150,0,$A13),"&gt;0",INDEX(Calc_지수곡선!$G$2:$BN$150,0,$A13),"&lt;300")</f>
        <v>26</v>
      </c>
      <c r="J13">
        <f>COUNTIFS(Calc_지수곡선!$D$2:$D$150,N$2,INDEX(Calc_지수곡선!$G$2:$BN$150,0,$A13),"&gt;0",INDEX(Calc_지수곡선!$G$2:$BN$150,0,$A13),"&lt;300")</f>
        <v>9</v>
      </c>
      <c r="P13">
        <f t="shared" si="0"/>
        <v>110.82314609417666</v>
      </c>
      <c r="Q13">
        <f t="shared" si="1"/>
        <v>109.68923387583554</v>
      </c>
      <c r="R13">
        <f t="shared" si="2"/>
        <v>115.71453829406927</v>
      </c>
      <c r="S13">
        <f t="shared" si="3"/>
        <v>106.3700816995933</v>
      </c>
    </row>
    <row r="14" spans="1:19" x14ac:dyDescent="0.4">
      <c r="A14">
        <v>12</v>
      </c>
      <c r="B14">
        <f>IFERROR(AVERAGEIFS(INDEX(Calc_지수곡선!$G$2:$BN$150,0,$A14),Calc_지수곡선!$D$2:$D$150,K$2,INDEX(Calc_지수곡선!$G$2:$BN$150,0,$A14),"&gt;0",INDEX(Calc_지수곡선!$G$2:$BN$150,0,$A14),"&lt;300"),"")</f>
        <v>114.71430003699933</v>
      </c>
      <c r="C14" s="88">
        <f>IFERROR(AVERAGEIFS(INDEX(Calc_지수곡선!$G$2:$BN$150,0,$A14),Calc_지수곡선!$D$2:$D$150,L$2,INDEX(Calc_지수곡선!$G$2:$BN$150,0,$A14),"&gt;0",INDEX(Calc_지수곡선!$G$2:$BN$150,0,$A14),"&lt;300"),"")</f>
        <v>109.7222444501252</v>
      </c>
      <c r="D14">
        <f>IFERROR(AVERAGEIFS(INDEX(Calc_지수곡선!$G$2:$BN$150,0,$A14),Calc_지수곡선!$D$2:$D$150,M$2,INDEX(Calc_지수곡선!$G$2:$BN$150,0,$A14),"&gt;0",INDEX(Calc_지수곡선!$G$2:$BN$150,0,$A14),"&lt;300"),"")</f>
        <v>116.91378910657181</v>
      </c>
      <c r="E14">
        <f>IFERROR(AVERAGEIFS(INDEX(Calc_지수곡선!$G$2:$BN$150,0,$A14),Calc_지수곡선!$D$2:$D$150,N$2,INDEX(Calc_지수곡선!$G$2:$BN$150,0,$A14),"&gt;0",INDEX(Calc_지수곡선!$G$2:$BN$150,0,$A14),"&lt;300"),"")</f>
        <v>108.91704314031202</v>
      </c>
      <c r="G14">
        <f>COUNTIFS(Calc_지수곡선!$D$2:$D$150,K$2,INDEX(Calc_지수곡선!$G$2:$BN$150,0,$A14),"&gt;0",INDEX(Calc_지수곡선!$G$2:$BN$150,0,$A14),"&lt;300")</f>
        <v>27</v>
      </c>
      <c r="H14">
        <f>COUNTIFS(Calc_지수곡선!$D$2:$D$150,L$2,INDEX(Calc_지수곡선!$G$2:$BN$150,0,$A14),"&gt;0",INDEX(Calc_지수곡선!$G$2:$BN$150,0,$A14),"&lt;300")</f>
        <v>37</v>
      </c>
      <c r="I14">
        <f>COUNTIFS(Calc_지수곡선!$D$2:$D$150,M$2,INDEX(Calc_지수곡선!$G$2:$BN$150,0,$A14),"&gt;0",INDEX(Calc_지수곡선!$G$2:$BN$150,0,$A14),"&lt;300")</f>
        <v>26</v>
      </c>
      <c r="J14">
        <f>COUNTIFS(Calc_지수곡선!$D$2:$D$150,N$2,INDEX(Calc_지수곡선!$G$2:$BN$150,0,$A14),"&gt;0",INDEX(Calc_지수곡선!$G$2:$BN$150,0,$A14),"&lt;300")</f>
        <v>9</v>
      </c>
      <c r="P14">
        <f t="shared" si="0"/>
        <v>114.71430003699933</v>
      </c>
      <c r="Q14">
        <f t="shared" si="1"/>
        <v>109.7222444501252</v>
      </c>
      <c r="R14">
        <f t="shared" si="2"/>
        <v>116.91378910657181</v>
      </c>
      <c r="S14">
        <f t="shared" si="3"/>
        <v>108.91704314031202</v>
      </c>
    </row>
    <row r="15" spans="1:19" x14ac:dyDescent="0.4">
      <c r="A15">
        <v>13</v>
      </c>
      <c r="B15">
        <f>IFERROR(AVERAGEIFS(INDEX(Calc_지수곡선!$G$2:$BN$150,0,$A15),Calc_지수곡선!$D$2:$D$150,K$2,INDEX(Calc_지수곡선!$G$2:$BN$150,0,$A15),"&gt;0",INDEX(Calc_지수곡선!$G$2:$BN$150,0,$A15),"&lt;300"),"")</f>
        <v>117.31465673663187</v>
      </c>
      <c r="C15" s="88">
        <f>IFERROR(AVERAGEIFS(INDEX(Calc_지수곡선!$G$2:$BN$150,0,$A15),Calc_지수곡선!$D$2:$D$150,L$2,INDEX(Calc_지수곡선!$G$2:$BN$150,0,$A15),"&gt;0",INDEX(Calc_지수곡선!$G$2:$BN$150,0,$A15),"&lt;300"),"")</f>
        <v>112.22717406210054</v>
      </c>
      <c r="D15">
        <f>IFERROR(AVERAGEIFS(INDEX(Calc_지수곡선!$G$2:$BN$150,0,$A15),Calc_지수곡선!$D$2:$D$150,M$2,INDEX(Calc_지수곡선!$G$2:$BN$150,0,$A15),"&gt;0",INDEX(Calc_지수곡선!$G$2:$BN$150,0,$A15),"&lt;300"),"")</f>
        <v>114.62516423228818</v>
      </c>
      <c r="E15">
        <f>IFERROR(AVERAGEIFS(INDEX(Calc_지수곡선!$G$2:$BN$150,0,$A15),Calc_지수곡선!$D$2:$D$150,N$2,INDEX(Calc_지수곡선!$G$2:$BN$150,0,$A15),"&gt;0",INDEX(Calc_지수곡선!$G$2:$BN$150,0,$A15),"&lt;300"),"")</f>
        <v>107.21090722333552</v>
      </c>
      <c r="G15">
        <f>COUNTIFS(Calc_지수곡선!$D$2:$D$150,K$2,INDEX(Calc_지수곡선!$G$2:$BN$150,0,$A15),"&gt;0",INDEX(Calc_지수곡선!$G$2:$BN$150,0,$A15),"&lt;300")</f>
        <v>27</v>
      </c>
      <c r="H15">
        <f>COUNTIFS(Calc_지수곡선!$D$2:$D$150,L$2,INDEX(Calc_지수곡선!$G$2:$BN$150,0,$A15),"&gt;0",INDEX(Calc_지수곡선!$G$2:$BN$150,0,$A15),"&lt;300")</f>
        <v>37</v>
      </c>
      <c r="I15">
        <f>COUNTIFS(Calc_지수곡선!$D$2:$D$150,M$2,INDEX(Calc_지수곡선!$G$2:$BN$150,0,$A15),"&gt;0",INDEX(Calc_지수곡선!$G$2:$BN$150,0,$A15),"&lt;300")</f>
        <v>25</v>
      </c>
      <c r="J15">
        <f>COUNTIFS(Calc_지수곡선!$D$2:$D$150,N$2,INDEX(Calc_지수곡선!$G$2:$BN$150,0,$A15),"&gt;0",INDEX(Calc_지수곡선!$G$2:$BN$150,0,$A15),"&lt;300")</f>
        <v>9</v>
      </c>
      <c r="P15">
        <f t="shared" si="0"/>
        <v>117.31465673663187</v>
      </c>
      <c r="Q15">
        <f t="shared" si="1"/>
        <v>112.22717406210054</v>
      </c>
      <c r="R15">
        <f t="shared" si="2"/>
        <v>114.62516423228818</v>
      </c>
      <c r="S15">
        <f t="shared" si="3"/>
        <v>107.21090722333552</v>
      </c>
    </row>
    <row r="16" spans="1:19" x14ac:dyDescent="0.4">
      <c r="A16">
        <v>14</v>
      </c>
      <c r="B16">
        <f>IFERROR(AVERAGEIFS(INDEX(Calc_지수곡선!$G$2:$BN$150,0,$A16),Calc_지수곡선!$D$2:$D$150,K$2,INDEX(Calc_지수곡선!$G$2:$BN$150,0,$A16),"&gt;0",INDEX(Calc_지수곡선!$G$2:$BN$150,0,$A16),"&lt;300"),"")</f>
        <v>115.34861291605984</v>
      </c>
      <c r="C16" s="88">
        <f>IFERROR(AVERAGEIFS(INDEX(Calc_지수곡선!$G$2:$BN$150,0,$A16),Calc_지수곡선!$D$2:$D$150,L$2,INDEX(Calc_지수곡선!$G$2:$BN$150,0,$A16),"&gt;0",INDEX(Calc_지수곡선!$G$2:$BN$150,0,$A16),"&lt;300"),"")</f>
        <v>112.83479724662352</v>
      </c>
      <c r="D16">
        <f>IFERROR(AVERAGEIFS(INDEX(Calc_지수곡선!$G$2:$BN$150,0,$A16),Calc_지수곡선!$D$2:$D$150,M$2,INDEX(Calc_지수곡선!$G$2:$BN$150,0,$A16),"&gt;0",INDEX(Calc_지수곡선!$G$2:$BN$150,0,$A16),"&lt;300"),"")</f>
        <v>116.9594338181055</v>
      </c>
      <c r="E16">
        <f>IFERROR(AVERAGEIFS(INDEX(Calc_지수곡선!$G$2:$BN$150,0,$A16),Calc_지수곡선!$D$2:$D$150,N$2,INDEX(Calc_지수곡선!$G$2:$BN$150,0,$A16),"&gt;0",INDEX(Calc_지수곡선!$G$2:$BN$150,0,$A16),"&lt;300"),"")</f>
        <v>108.45014937212278</v>
      </c>
      <c r="G16">
        <f>COUNTIFS(Calc_지수곡선!$D$2:$D$150,K$2,INDEX(Calc_지수곡선!$G$2:$BN$150,0,$A16),"&gt;0",INDEX(Calc_지수곡선!$G$2:$BN$150,0,$A16),"&lt;300")</f>
        <v>27</v>
      </c>
      <c r="H16">
        <f>COUNTIFS(Calc_지수곡선!$D$2:$D$150,L$2,INDEX(Calc_지수곡선!$G$2:$BN$150,0,$A16),"&gt;0",INDEX(Calc_지수곡선!$G$2:$BN$150,0,$A16),"&lt;300")</f>
        <v>37</v>
      </c>
      <c r="I16">
        <f>COUNTIFS(Calc_지수곡선!$D$2:$D$150,M$2,INDEX(Calc_지수곡선!$G$2:$BN$150,0,$A16),"&gt;0",INDEX(Calc_지수곡선!$G$2:$BN$150,0,$A16),"&lt;300")</f>
        <v>24</v>
      </c>
      <c r="J16">
        <f>COUNTIFS(Calc_지수곡선!$D$2:$D$150,N$2,INDEX(Calc_지수곡선!$G$2:$BN$150,0,$A16),"&gt;0",INDEX(Calc_지수곡선!$G$2:$BN$150,0,$A16),"&lt;300")</f>
        <v>9</v>
      </c>
      <c r="P16">
        <f t="shared" si="0"/>
        <v>115.34861291605984</v>
      </c>
      <c r="Q16">
        <f t="shared" si="1"/>
        <v>112.83479724662352</v>
      </c>
      <c r="R16">
        <f t="shared" si="2"/>
        <v>116.9594338181055</v>
      </c>
      <c r="S16">
        <f t="shared" si="3"/>
        <v>108.45014937212278</v>
      </c>
    </row>
    <row r="17" spans="1:19" x14ac:dyDescent="0.4">
      <c r="A17">
        <v>15</v>
      </c>
      <c r="B17">
        <f>IFERROR(AVERAGEIFS(INDEX(Calc_지수곡선!$G$2:$BN$150,0,$A17),Calc_지수곡선!$D$2:$D$150,K$2,INDEX(Calc_지수곡선!$G$2:$BN$150,0,$A17),"&gt;0",INDEX(Calc_지수곡선!$G$2:$BN$150,0,$A17),"&lt;300"),"")</f>
        <v>115.7491536927032</v>
      </c>
      <c r="C17" s="88">
        <f>IFERROR(AVERAGEIFS(INDEX(Calc_지수곡선!$G$2:$BN$150,0,$A17),Calc_지수곡선!$D$2:$D$150,L$2,INDEX(Calc_지수곡선!$G$2:$BN$150,0,$A17),"&gt;0",INDEX(Calc_지수곡선!$G$2:$BN$150,0,$A17),"&lt;300"),"")</f>
        <v>116.25495275420953</v>
      </c>
      <c r="D17">
        <f>IFERROR(AVERAGEIFS(INDEX(Calc_지수곡선!$G$2:$BN$150,0,$A17),Calc_지수곡선!$D$2:$D$150,M$2,INDEX(Calc_지수곡선!$G$2:$BN$150,0,$A17),"&gt;0",INDEX(Calc_지수곡선!$G$2:$BN$150,0,$A17),"&lt;300"),"")</f>
        <v>115.49487020755878</v>
      </c>
      <c r="E17">
        <f>IFERROR(AVERAGEIFS(INDEX(Calc_지수곡선!$G$2:$BN$150,0,$A17),Calc_지수곡선!$D$2:$D$150,N$2,INDEX(Calc_지수곡선!$G$2:$BN$150,0,$A17),"&gt;0",INDEX(Calc_지수곡선!$G$2:$BN$150,0,$A17),"&lt;300"),"")</f>
        <v>106.72683541863499</v>
      </c>
      <c r="G17">
        <f>COUNTIFS(Calc_지수곡선!$D$2:$D$150,K$2,INDEX(Calc_지수곡선!$G$2:$BN$150,0,$A17),"&gt;0",INDEX(Calc_지수곡선!$G$2:$BN$150,0,$A17),"&lt;300")</f>
        <v>27</v>
      </c>
      <c r="H17">
        <f>COUNTIFS(Calc_지수곡선!$D$2:$D$150,L$2,INDEX(Calc_지수곡선!$G$2:$BN$150,0,$A17),"&gt;0",INDEX(Calc_지수곡선!$G$2:$BN$150,0,$A17),"&lt;300")</f>
        <v>37</v>
      </c>
      <c r="I17">
        <f>COUNTIFS(Calc_지수곡선!$D$2:$D$150,M$2,INDEX(Calc_지수곡선!$G$2:$BN$150,0,$A17),"&gt;0",INDEX(Calc_지수곡선!$G$2:$BN$150,0,$A17),"&lt;300")</f>
        <v>24</v>
      </c>
      <c r="J17">
        <f>COUNTIFS(Calc_지수곡선!$D$2:$D$150,N$2,INDEX(Calc_지수곡선!$G$2:$BN$150,0,$A17),"&gt;0",INDEX(Calc_지수곡선!$G$2:$BN$150,0,$A17),"&lt;300")</f>
        <v>9</v>
      </c>
      <c r="P17">
        <f t="shared" si="0"/>
        <v>115.7491536927032</v>
      </c>
      <c r="Q17">
        <f t="shared" si="1"/>
        <v>116.25495275420953</v>
      </c>
      <c r="R17">
        <f t="shared" si="2"/>
        <v>115.49487020755878</v>
      </c>
      <c r="S17">
        <f t="shared" si="3"/>
        <v>106.72683541863499</v>
      </c>
    </row>
    <row r="18" spans="1:19" x14ac:dyDescent="0.4">
      <c r="A18">
        <v>16</v>
      </c>
      <c r="B18">
        <f>IFERROR(AVERAGEIFS(INDEX(Calc_지수곡선!$G$2:$BN$150,0,$A18),Calc_지수곡선!$D$2:$D$150,K$2,INDEX(Calc_지수곡선!$G$2:$BN$150,0,$A18),"&gt;0",INDEX(Calc_지수곡선!$G$2:$BN$150,0,$A18),"&lt;300"),"")</f>
        <v>122.74010249130443</v>
      </c>
      <c r="C18" s="88">
        <f>IFERROR(AVERAGEIFS(INDEX(Calc_지수곡선!$G$2:$BN$150,0,$A18),Calc_지수곡선!$D$2:$D$150,L$2,INDEX(Calc_지수곡선!$G$2:$BN$150,0,$A18),"&gt;0",INDEX(Calc_지수곡선!$G$2:$BN$150,0,$A18),"&lt;300"),"")</f>
        <v>117.98173403031301</v>
      </c>
      <c r="D18">
        <f>IFERROR(AVERAGEIFS(INDEX(Calc_지수곡선!$G$2:$BN$150,0,$A18),Calc_지수곡선!$D$2:$D$150,M$2,INDEX(Calc_지수곡선!$G$2:$BN$150,0,$A18),"&gt;0",INDEX(Calc_지수곡선!$G$2:$BN$150,0,$A18),"&lt;300"),"")</f>
        <v>119.92975460618231</v>
      </c>
      <c r="E18">
        <f>IFERROR(AVERAGEIFS(INDEX(Calc_지수곡선!$G$2:$BN$150,0,$A18),Calc_지수곡선!$D$2:$D$150,N$2,INDEX(Calc_지수곡선!$G$2:$BN$150,0,$A18),"&gt;0",INDEX(Calc_지수곡선!$G$2:$BN$150,0,$A18),"&lt;300"),"")</f>
        <v>108.16247159623137</v>
      </c>
      <c r="G18">
        <f>COUNTIFS(Calc_지수곡선!$D$2:$D$150,K$2,INDEX(Calc_지수곡선!$G$2:$BN$150,0,$A18),"&gt;0",INDEX(Calc_지수곡선!$G$2:$BN$150,0,$A18),"&lt;300")</f>
        <v>27</v>
      </c>
      <c r="H18">
        <f>COUNTIFS(Calc_지수곡선!$D$2:$D$150,L$2,INDEX(Calc_지수곡선!$G$2:$BN$150,0,$A18),"&gt;0",INDEX(Calc_지수곡선!$G$2:$BN$150,0,$A18),"&lt;300")</f>
        <v>37</v>
      </c>
      <c r="I18">
        <f>COUNTIFS(Calc_지수곡선!$D$2:$D$150,M$2,INDEX(Calc_지수곡선!$G$2:$BN$150,0,$A18),"&gt;0",INDEX(Calc_지수곡선!$G$2:$BN$150,0,$A18),"&lt;300")</f>
        <v>24</v>
      </c>
      <c r="J18">
        <f>COUNTIFS(Calc_지수곡선!$D$2:$D$150,N$2,INDEX(Calc_지수곡선!$G$2:$BN$150,0,$A18),"&gt;0",INDEX(Calc_지수곡선!$G$2:$BN$150,0,$A18),"&lt;300")</f>
        <v>9</v>
      </c>
      <c r="P18">
        <f t="shared" si="0"/>
        <v>122.74010249130443</v>
      </c>
      <c r="Q18">
        <f t="shared" si="1"/>
        <v>117.98173403031301</v>
      </c>
      <c r="R18">
        <f t="shared" si="2"/>
        <v>119.92975460618231</v>
      </c>
      <c r="S18">
        <f t="shared" si="3"/>
        <v>108.16247159623137</v>
      </c>
    </row>
    <row r="19" spans="1:19" x14ac:dyDescent="0.4">
      <c r="A19">
        <v>17</v>
      </c>
      <c r="B19">
        <f>IFERROR(AVERAGEIFS(INDEX(Calc_지수곡선!$G$2:$BN$150,0,$A19),Calc_지수곡선!$D$2:$D$150,K$2,INDEX(Calc_지수곡선!$G$2:$BN$150,0,$A19),"&gt;0",INDEX(Calc_지수곡선!$G$2:$BN$150,0,$A19),"&lt;300"),"")</f>
        <v>124.13466194725004</v>
      </c>
      <c r="C19" s="88">
        <f>IFERROR(AVERAGEIFS(INDEX(Calc_지수곡선!$G$2:$BN$150,0,$A19),Calc_지수곡선!$D$2:$D$150,L$2,INDEX(Calc_지수곡선!$G$2:$BN$150,0,$A19),"&gt;0",INDEX(Calc_지수곡선!$G$2:$BN$150,0,$A19),"&lt;300"),"")</f>
        <v>115.50816280473548</v>
      </c>
      <c r="D19">
        <f>IFERROR(AVERAGEIFS(INDEX(Calc_지수곡선!$G$2:$BN$150,0,$A19),Calc_지수곡선!$D$2:$D$150,M$2,INDEX(Calc_지수곡선!$G$2:$BN$150,0,$A19),"&gt;0",INDEX(Calc_지수곡선!$G$2:$BN$150,0,$A19),"&lt;300"),"")</f>
        <v>120.21334789169636</v>
      </c>
      <c r="E19">
        <f>IFERROR(AVERAGEIFS(INDEX(Calc_지수곡선!$G$2:$BN$150,0,$A19),Calc_지수곡선!$D$2:$D$150,N$2,INDEX(Calc_지수곡선!$G$2:$BN$150,0,$A19),"&gt;0",INDEX(Calc_지수곡선!$G$2:$BN$150,0,$A19),"&lt;300"),"")</f>
        <v>108.36374644004954</v>
      </c>
      <c r="G19">
        <f>COUNTIFS(Calc_지수곡선!$D$2:$D$150,K$2,INDEX(Calc_지수곡선!$G$2:$BN$150,0,$A19),"&gt;0",INDEX(Calc_지수곡선!$G$2:$BN$150,0,$A19),"&lt;300")</f>
        <v>27</v>
      </c>
      <c r="H19">
        <f>COUNTIFS(Calc_지수곡선!$D$2:$D$150,L$2,INDEX(Calc_지수곡선!$G$2:$BN$150,0,$A19),"&gt;0",INDEX(Calc_지수곡선!$G$2:$BN$150,0,$A19),"&lt;300")</f>
        <v>36</v>
      </c>
      <c r="I19">
        <f>COUNTIFS(Calc_지수곡선!$D$2:$D$150,M$2,INDEX(Calc_지수곡선!$G$2:$BN$150,0,$A19),"&gt;0",INDEX(Calc_지수곡선!$G$2:$BN$150,0,$A19),"&lt;300")</f>
        <v>24</v>
      </c>
      <c r="J19">
        <f>COUNTIFS(Calc_지수곡선!$D$2:$D$150,N$2,INDEX(Calc_지수곡선!$G$2:$BN$150,0,$A19),"&gt;0",INDEX(Calc_지수곡선!$G$2:$BN$150,0,$A19),"&lt;300")</f>
        <v>9</v>
      </c>
      <c r="P19">
        <f t="shared" si="0"/>
        <v>124.13466194725004</v>
      </c>
      <c r="Q19">
        <f t="shared" si="1"/>
        <v>115.50816280473548</v>
      </c>
      <c r="R19">
        <f t="shared" si="2"/>
        <v>120.21334789169636</v>
      </c>
      <c r="S19">
        <f t="shared" si="3"/>
        <v>108.36374644004954</v>
      </c>
    </row>
    <row r="20" spans="1:19" x14ac:dyDescent="0.4">
      <c r="A20">
        <v>18</v>
      </c>
      <c r="B20">
        <f>IFERROR(AVERAGEIFS(INDEX(Calc_지수곡선!$G$2:$BN$150,0,$A20),Calc_지수곡선!$D$2:$D$150,K$2,INDEX(Calc_지수곡선!$G$2:$BN$150,0,$A20),"&gt;0",INDEX(Calc_지수곡선!$G$2:$BN$150,0,$A20),"&lt;300"),"")</f>
        <v>122.93332981137846</v>
      </c>
      <c r="C20" s="88">
        <f>IFERROR(AVERAGEIFS(INDEX(Calc_지수곡선!$G$2:$BN$150,0,$A20),Calc_지수곡선!$D$2:$D$150,L$2,INDEX(Calc_지수곡선!$G$2:$BN$150,0,$A20),"&gt;0",INDEX(Calc_지수곡선!$G$2:$BN$150,0,$A20),"&lt;300"),"")</f>
        <v>119.73564383951546</v>
      </c>
      <c r="D20">
        <f>IFERROR(AVERAGEIFS(INDEX(Calc_지수곡선!$G$2:$BN$150,0,$A20),Calc_지수곡선!$D$2:$D$150,M$2,INDEX(Calc_지수곡선!$G$2:$BN$150,0,$A20),"&gt;0",INDEX(Calc_지수곡선!$G$2:$BN$150,0,$A20),"&lt;300"),"")</f>
        <v>120.12435035910669</v>
      </c>
      <c r="E20">
        <f>IFERROR(AVERAGEIFS(INDEX(Calc_지수곡선!$G$2:$BN$150,0,$A20),Calc_지수곡선!$D$2:$D$150,N$2,INDEX(Calc_지수곡선!$G$2:$BN$150,0,$A20),"&gt;0",INDEX(Calc_지수곡선!$G$2:$BN$150,0,$A20),"&lt;300"),"")</f>
        <v>113.22488411294881</v>
      </c>
      <c r="G20">
        <f>COUNTIFS(Calc_지수곡선!$D$2:$D$150,K$2,INDEX(Calc_지수곡선!$G$2:$BN$150,0,$A20),"&gt;0",INDEX(Calc_지수곡선!$G$2:$BN$150,0,$A20),"&lt;300")</f>
        <v>27</v>
      </c>
      <c r="H20">
        <f>COUNTIFS(Calc_지수곡선!$D$2:$D$150,L$2,INDEX(Calc_지수곡선!$G$2:$BN$150,0,$A20),"&gt;0",INDEX(Calc_지수곡선!$G$2:$BN$150,0,$A20),"&lt;300")</f>
        <v>35</v>
      </c>
      <c r="I20">
        <f>COUNTIFS(Calc_지수곡선!$D$2:$D$150,M$2,INDEX(Calc_지수곡선!$G$2:$BN$150,0,$A20),"&gt;0",INDEX(Calc_지수곡선!$G$2:$BN$150,0,$A20),"&lt;300")</f>
        <v>24</v>
      </c>
      <c r="J20">
        <f>COUNTIFS(Calc_지수곡선!$D$2:$D$150,N$2,INDEX(Calc_지수곡선!$G$2:$BN$150,0,$A20),"&gt;0",INDEX(Calc_지수곡선!$G$2:$BN$150,0,$A20),"&lt;300")</f>
        <v>9</v>
      </c>
      <c r="P20">
        <f t="shared" si="0"/>
        <v>122.93332981137846</v>
      </c>
      <c r="Q20">
        <f t="shared" si="1"/>
        <v>119.73564383951546</v>
      </c>
      <c r="R20">
        <f t="shared" si="2"/>
        <v>120.12435035910669</v>
      </c>
      <c r="S20">
        <f t="shared" si="3"/>
        <v>113.22488411294881</v>
      </c>
    </row>
    <row r="21" spans="1:19" x14ac:dyDescent="0.4">
      <c r="A21">
        <v>19</v>
      </c>
      <c r="B21">
        <f>IFERROR(AVERAGEIFS(INDEX(Calc_지수곡선!$G$2:$BN$150,0,$A21),Calc_지수곡선!$D$2:$D$150,K$2,INDEX(Calc_지수곡선!$G$2:$BN$150,0,$A21),"&gt;0",INDEX(Calc_지수곡선!$G$2:$BN$150,0,$A21),"&lt;300"),"")</f>
        <v>122.38261435924343</v>
      </c>
      <c r="C21" s="88">
        <f>IFERROR(AVERAGEIFS(INDEX(Calc_지수곡선!$G$2:$BN$150,0,$A21),Calc_지수곡선!$D$2:$D$150,L$2,INDEX(Calc_지수곡선!$G$2:$BN$150,0,$A21),"&gt;0",INDEX(Calc_지수곡선!$G$2:$BN$150,0,$A21),"&lt;300"),"")</f>
        <v>117.38516698946572</v>
      </c>
      <c r="D21">
        <f>IFERROR(AVERAGEIFS(INDEX(Calc_지수곡선!$G$2:$BN$150,0,$A21),Calc_지수곡선!$D$2:$D$150,M$2,INDEX(Calc_지수곡선!$G$2:$BN$150,0,$A21),"&gt;0",INDEX(Calc_지수곡선!$G$2:$BN$150,0,$A21),"&lt;300"),"")</f>
        <v>120.77791363332052</v>
      </c>
      <c r="E21">
        <f>IFERROR(AVERAGEIFS(INDEX(Calc_지수곡선!$G$2:$BN$150,0,$A21),Calc_지수곡선!$D$2:$D$150,N$2,INDEX(Calc_지수곡선!$G$2:$BN$150,0,$A21),"&gt;0",INDEX(Calc_지수곡선!$G$2:$BN$150,0,$A21),"&lt;300"),"")</f>
        <v>111.6773979091767</v>
      </c>
      <c r="G21">
        <f>COUNTIFS(Calc_지수곡선!$D$2:$D$150,K$2,INDEX(Calc_지수곡선!$G$2:$BN$150,0,$A21),"&gt;0",INDEX(Calc_지수곡선!$G$2:$BN$150,0,$A21),"&lt;300")</f>
        <v>27</v>
      </c>
      <c r="H21">
        <f>COUNTIFS(Calc_지수곡선!$D$2:$D$150,L$2,INDEX(Calc_지수곡선!$G$2:$BN$150,0,$A21),"&gt;0",INDEX(Calc_지수곡선!$G$2:$BN$150,0,$A21),"&lt;300")</f>
        <v>34</v>
      </c>
      <c r="I21">
        <f>COUNTIFS(Calc_지수곡선!$D$2:$D$150,M$2,INDEX(Calc_지수곡선!$G$2:$BN$150,0,$A21),"&gt;0",INDEX(Calc_지수곡선!$G$2:$BN$150,0,$A21),"&lt;300")</f>
        <v>24</v>
      </c>
      <c r="J21">
        <f>COUNTIFS(Calc_지수곡선!$D$2:$D$150,N$2,INDEX(Calc_지수곡선!$G$2:$BN$150,0,$A21),"&gt;0",INDEX(Calc_지수곡선!$G$2:$BN$150,0,$A21),"&lt;300")</f>
        <v>9</v>
      </c>
      <c r="P21">
        <f t="shared" si="0"/>
        <v>122.38261435924343</v>
      </c>
      <c r="Q21">
        <f t="shared" si="1"/>
        <v>117.38516698946572</v>
      </c>
      <c r="R21">
        <f t="shared" si="2"/>
        <v>120.77791363332052</v>
      </c>
      <c r="S21">
        <f t="shared" si="3"/>
        <v>111.6773979091767</v>
      </c>
    </row>
    <row r="22" spans="1:19" x14ac:dyDescent="0.4">
      <c r="A22">
        <v>20</v>
      </c>
      <c r="B22">
        <f>IFERROR(AVERAGEIFS(INDEX(Calc_지수곡선!$G$2:$BN$150,0,$A22),Calc_지수곡선!$D$2:$D$150,K$2,INDEX(Calc_지수곡선!$G$2:$BN$150,0,$A22),"&gt;0",INDEX(Calc_지수곡선!$G$2:$BN$150,0,$A22),"&lt;300"),"")</f>
        <v>125.6421112156745</v>
      </c>
      <c r="C22" s="88">
        <f>IFERROR(AVERAGEIFS(INDEX(Calc_지수곡선!$G$2:$BN$150,0,$A22),Calc_지수곡선!$D$2:$D$150,L$2,INDEX(Calc_지수곡선!$G$2:$BN$150,0,$A22),"&gt;0",INDEX(Calc_지수곡선!$G$2:$BN$150,0,$A22),"&lt;300"),"")</f>
        <v>119.9944489223051</v>
      </c>
      <c r="D22">
        <f>IFERROR(AVERAGEIFS(INDEX(Calc_지수곡선!$G$2:$BN$150,0,$A22),Calc_지수곡선!$D$2:$D$150,M$2,INDEX(Calc_지수곡선!$G$2:$BN$150,0,$A22),"&gt;0",INDEX(Calc_지수곡선!$G$2:$BN$150,0,$A22),"&lt;300"),"")</f>
        <v>119.37917307747563</v>
      </c>
      <c r="E22">
        <f>IFERROR(AVERAGEIFS(INDEX(Calc_지수곡선!$G$2:$BN$150,0,$A22),Calc_지수곡선!$D$2:$D$150,N$2,INDEX(Calc_지수곡선!$G$2:$BN$150,0,$A22),"&gt;0",INDEX(Calc_지수곡선!$G$2:$BN$150,0,$A22),"&lt;300"),"")</f>
        <v>112.40787466987362</v>
      </c>
      <c r="G22">
        <f>COUNTIFS(Calc_지수곡선!$D$2:$D$150,K$2,INDEX(Calc_지수곡선!$G$2:$BN$150,0,$A22),"&gt;0",INDEX(Calc_지수곡선!$G$2:$BN$150,0,$A22),"&lt;300")</f>
        <v>27</v>
      </c>
      <c r="H22">
        <f>COUNTIFS(Calc_지수곡선!$D$2:$D$150,L$2,INDEX(Calc_지수곡선!$G$2:$BN$150,0,$A22),"&gt;0",INDEX(Calc_지수곡선!$G$2:$BN$150,0,$A22),"&lt;300")</f>
        <v>32</v>
      </c>
      <c r="I22">
        <f>COUNTIFS(Calc_지수곡선!$D$2:$D$150,M$2,INDEX(Calc_지수곡선!$G$2:$BN$150,0,$A22),"&gt;0",INDEX(Calc_지수곡선!$G$2:$BN$150,0,$A22),"&lt;300")</f>
        <v>24</v>
      </c>
      <c r="J22">
        <f>COUNTIFS(Calc_지수곡선!$D$2:$D$150,N$2,INDEX(Calc_지수곡선!$G$2:$BN$150,0,$A22),"&gt;0",INDEX(Calc_지수곡선!$G$2:$BN$150,0,$A22),"&lt;300")</f>
        <v>9</v>
      </c>
      <c r="P22">
        <f t="shared" si="0"/>
        <v>125.6421112156745</v>
      </c>
      <c r="Q22">
        <f t="shared" si="1"/>
        <v>119.9944489223051</v>
      </c>
      <c r="R22">
        <f t="shared" si="2"/>
        <v>119.37917307747563</v>
      </c>
      <c r="S22">
        <f t="shared" si="3"/>
        <v>112.40787466987362</v>
      </c>
    </row>
    <row r="23" spans="1:19" x14ac:dyDescent="0.4">
      <c r="A23">
        <v>21</v>
      </c>
      <c r="B23">
        <f>IFERROR(AVERAGEIFS(INDEX(Calc_지수곡선!$G$2:$BN$150,0,$A23),Calc_지수곡선!$D$2:$D$150,K$2,INDEX(Calc_지수곡선!$G$2:$BN$150,0,$A23),"&gt;0",INDEX(Calc_지수곡선!$G$2:$BN$150,0,$A23),"&lt;300"),"")</f>
        <v>127.40709186173295</v>
      </c>
      <c r="C23" s="88">
        <f>IFERROR(AVERAGEIFS(INDEX(Calc_지수곡선!$G$2:$BN$150,0,$A23),Calc_지수곡선!$D$2:$D$150,L$2,INDEX(Calc_지수곡선!$G$2:$BN$150,0,$A23),"&gt;0",INDEX(Calc_지수곡선!$G$2:$BN$150,0,$A23),"&lt;300"),"")</f>
        <v>119.03062072309369</v>
      </c>
      <c r="D23">
        <f>IFERROR(AVERAGEIFS(INDEX(Calc_지수곡선!$G$2:$BN$150,0,$A23),Calc_지수곡선!$D$2:$D$150,M$2,INDEX(Calc_지수곡선!$G$2:$BN$150,0,$A23),"&gt;0",INDEX(Calc_지수곡선!$G$2:$BN$150,0,$A23),"&lt;300"),"")</f>
        <v>115.75658424675787</v>
      </c>
      <c r="E23">
        <f>IFERROR(AVERAGEIFS(INDEX(Calc_지수곡선!$G$2:$BN$150,0,$A23),Calc_지수곡선!$D$2:$D$150,N$2,INDEX(Calc_지수곡선!$G$2:$BN$150,0,$A23),"&gt;0",INDEX(Calc_지수곡선!$G$2:$BN$150,0,$A23),"&lt;300"),"")</f>
        <v>109.54238890381797</v>
      </c>
      <c r="G23">
        <f>COUNTIFS(Calc_지수곡선!$D$2:$D$150,K$2,INDEX(Calc_지수곡선!$G$2:$BN$150,0,$A23),"&gt;0",INDEX(Calc_지수곡선!$G$2:$BN$150,0,$A23),"&lt;300")</f>
        <v>25</v>
      </c>
      <c r="H23">
        <f>COUNTIFS(Calc_지수곡선!$D$2:$D$150,L$2,INDEX(Calc_지수곡선!$G$2:$BN$150,0,$A23),"&gt;0",INDEX(Calc_지수곡선!$G$2:$BN$150,0,$A23),"&lt;300")</f>
        <v>32</v>
      </c>
      <c r="I23">
        <f>COUNTIFS(Calc_지수곡선!$D$2:$D$150,M$2,INDEX(Calc_지수곡선!$G$2:$BN$150,0,$A23),"&gt;0",INDEX(Calc_지수곡선!$G$2:$BN$150,0,$A23),"&lt;300")</f>
        <v>24</v>
      </c>
      <c r="J23">
        <f>COUNTIFS(Calc_지수곡선!$D$2:$D$150,N$2,INDEX(Calc_지수곡선!$G$2:$BN$150,0,$A23),"&gt;0",INDEX(Calc_지수곡선!$G$2:$BN$150,0,$A23),"&lt;300")</f>
        <v>9</v>
      </c>
      <c r="P23">
        <f t="shared" si="0"/>
        <v>127.40709186173295</v>
      </c>
      <c r="Q23">
        <f t="shared" si="1"/>
        <v>119.03062072309369</v>
      </c>
      <c r="R23">
        <f t="shared" si="2"/>
        <v>115.75658424675787</v>
      </c>
      <c r="S23">
        <f t="shared" si="3"/>
        <v>109.54238890381797</v>
      </c>
    </row>
    <row r="24" spans="1:19" x14ac:dyDescent="0.4">
      <c r="A24">
        <v>22</v>
      </c>
      <c r="B24">
        <f>IFERROR(AVERAGEIFS(INDEX(Calc_지수곡선!$G$2:$BN$150,0,$A24),Calc_지수곡선!$D$2:$D$150,K$2,INDEX(Calc_지수곡선!$G$2:$BN$150,0,$A24),"&gt;0",INDEX(Calc_지수곡선!$G$2:$BN$150,0,$A24),"&lt;300"),"")</f>
        <v>128.8779716091135</v>
      </c>
      <c r="C24" s="88">
        <f>IFERROR(AVERAGEIFS(INDEX(Calc_지수곡선!$G$2:$BN$150,0,$A24),Calc_지수곡선!$D$2:$D$150,L$2,INDEX(Calc_지수곡선!$G$2:$BN$150,0,$A24),"&gt;0",INDEX(Calc_지수곡선!$G$2:$BN$150,0,$A24),"&lt;300"),"")</f>
        <v>115.86846455173503</v>
      </c>
      <c r="D24">
        <f>IFERROR(AVERAGEIFS(INDEX(Calc_지수곡선!$G$2:$BN$150,0,$A24),Calc_지수곡선!$D$2:$D$150,M$2,INDEX(Calc_지수곡선!$G$2:$BN$150,0,$A24),"&gt;0",INDEX(Calc_지수곡선!$G$2:$BN$150,0,$A24),"&lt;300"),"")</f>
        <v>118.48393380664761</v>
      </c>
      <c r="E24">
        <f>IFERROR(AVERAGEIFS(INDEX(Calc_지수곡선!$G$2:$BN$150,0,$A24),Calc_지수곡선!$D$2:$D$150,N$2,INDEX(Calc_지수곡선!$G$2:$BN$150,0,$A24),"&gt;0",INDEX(Calc_지수곡선!$G$2:$BN$150,0,$A24),"&lt;300"),"")</f>
        <v>111.18620764629854</v>
      </c>
      <c r="G24">
        <f>COUNTIFS(Calc_지수곡선!$D$2:$D$150,K$2,INDEX(Calc_지수곡선!$G$2:$BN$150,0,$A24),"&gt;0",INDEX(Calc_지수곡선!$G$2:$BN$150,0,$A24),"&lt;300")</f>
        <v>24</v>
      </c>
      <c r="H24">
        <f>COUNTIFS(Calc_지수곡선!$D$2:$D$150,L$2,INDEX(Calc_지수곡선!$G$2:$BN$150,0,$A24),"&gt;0",INDEX(Calc_지수곡선!$G$2:$BN$150,0,$A24),"&lt;300")</f>
        <v>31</v>
      </c>
      <c r="I24">
        <f>COUNTIFS(Calc_지수곡선!$D$2:$D$150,M$2,INDEX(Calc_지수곡선!$G$2:$BN$150,0,$A24),"&gt;0",INDEX(Calc_지수곡선!$G$2:$BN$150,0,$A24),"&lt;300")</f>
        <v>24</v>
      </c>
      <c r="J24">
        <f>COUNTIFS(Calc_지수곡선!$D$2:$D$150,N$2,INDEX(Calc_지수곡선!$G$2:$BN$150,0,$A24),"&gt;0",INDEX(Calc_지수곡선!$G$2:$BN$150,0,$A24),"&lt;300")</f>
        <v>8</v>
      </c>
      <c r="P24">
        <f t="shared" si="0"/>
        <v>128.8779716091135</v>
      </c>
      <c r="Q24">
        <f t="shared" si="1"/>
        <v>115.86846455173503</v>
      </c>
      <c r="R24">
        <f t="shared" si="2"/>
        <v>118.48393380664761</v>
      </c>
      <c r="S24">
        <f t="shared" si="3"/>
        <v>111.18620764629854</v>
      </c>
    </row>
    <row r="25" spans="1:19" x14ac:dyDescent="0.4">
      <c r="A25">
        <v>23</v>
      </c>
      <c r="B25">
        <f>IFERROR(AVERAGEIFS(INDEX(Calc_지수곡선!$G$2:$BN$150,0,$A25),Calc_지수곡선!$D$2:$D$150,K$2,INDEX(Calc_지수곡선!$G$2:$BN$150,0,$A25),"&gt;0",INDEX(Calc_지수곡선!$G$2:$BN$150,0,$A25),"&lt;300"),"")</f>
        <v>128.31435658201215</v>
      </c>
      <c r="C25" s="88">
        <f>IFERROR(AVERAGEIFS(INDEX(Calc_지수곡선!$G$2:$BN$150,0,$A25),Calc_지수곡선!$D$2:$D$150,L$2,INDEX(Calc_지수곡선!$G$2:$BN$150,0,$A25),"&gt;0",INDEX(Calc_지수곡선!$G$2:$BN$150,0,$A25),"&lt;300"),"")</f>
        <v>115.9354791192262</v>
      </c>
      <c r="D25">
        <f>IFERROR(AVERAGEIFS(INDEX(Calc_지수곡선!$G$2:$BN$150,0,$A25),Calc_지수곡선!$D$2:$D$150,M$2,INDEX(Calc_지수곡선!$G$2:$BN$150,0,$A25),"&gt;0",INDEX(Calc_지수곡선!$G$2:$BN$150,0,$A25),"&lt;300"),"")</f>
        <v>116.50290279797883</v>
      </c>
      <c r="E25">
        <f>IFERROR(AVERAGEIFS(INDEX(Calc_지수곡선!$G$2:$BN$150,0,$A25),Calc_지수곡선!$D$2:$D$150,N$2,INDEX(Calc_지수곡선!$G$2:$BN$150,0,$A25),"&gt;0",INDEX(Calc_지수곡선!$G$2:$BN$150,0,$A25),"&lt;300"),"")</f>
        <v>105.42107708763513</v>
      </c>
      <c r="G25">
        <f>COUNTIFS(Calc_지수곡선!$D$2:$D$150,K$2,INDEX(Calc_지수곡선!$G$2:$BN$150,0,$A25),"&gt;0",INDEX(Calc_지수곡선!$G$2:$BN$150,0,$A25),"&lt;300")</f>
        <v>24</v>
      </c>
      <c r="H25">
        <f>COUNTIFS(Calc_지수곡선!$D$2:$D$150,L$2,INDEX(Calc_지수곡선!$G$2:$BN$150,0,$A25),"&gt;0",INDEX(Calc_지수곡선!$G$2:$BN$150,0,$A25),"&lt;300")</f>
        <v>30</v>
      </c>
      <c r="I25">
        <f>COUNTIFS(Calc_지수곡선!$D$2:$D$150,M$2,INDEX(Calc_지수곡선!$G$2:$BN$150,0,$A25),"&gt;0",INDEX(Calc_지수곡선!$G$2:$BN$150,0,$A25),"&lt;300")</f>
        <v>24</v>
      </c>
      <c r="J25">
        <f>COUNTIFS(Calc_지수곡선!$D$2:$D$150,N$2,INDEX(Calc_지수곡선!$G$2:$BN$150,0,$A25),"&gt;0",INDEX(Calc_지수곡선!$G$2:$BN$150,0,$A25),"&lt;300")</f>
        <v>8</v>
      </c>
      <c r="P25">
        <f t="shared" si="0"/>
        <v>128.31435658201215</v>
      </c>
      <c r="Q25">
        <f t="shared" si="1"/>
        <v>115.9354791192262</v>
      </c>
      <c r="R25">
        <f t="shared" si="2"/>
        <v>116.50290279797883</v>
      </c>
      <c r="S25">
        <f t="shared" si="3"/>
        <v>105.42107708763513</v>
      </c>
    </row>
    <row r="26" spans="1:19" x14ac:dyDescent="0.4">
      <c r="A26">
        <v>24</v>
      </c>
      <c r="B26">
        <f>IFERROR(AVERAGEIFS(INDEX(Calc_지수곡선!$G$2:$BN$150,0,$A26),Calc_지수곡선!$D$2:$D$150,K$2,INDEX(Calc_지수곡선!$G$2:$BN$150,0,$A26),"&gt;0",INDEX(Calc_지수곡선!$G$2:$BN$150,0,$A26),"&lt;300"),"")</f>
        <v>128.99135134436494</v>
      </c>
      <c r="C26" s="88">
        <f>IFERROR(AVERAGEIFS(INDEX(Calc_지수곡선!$G$2:$BN$150,0,$A26),Calc_지수곡선!$D$2:$D$150,L$2,INDEX(Calc_지수곡선!$G$2:$BN$150,0,$A26),"&gt;0",INDEX(Calc_지수곡선!$G$2:$BN$150,0,$A26),"&lt;300"),"")</f>
        <v>117.37782430968372</v>
      </c>
      <c r="D26">
        <f>IFERROR(AVERAGEIFS(INDEX(Calc_지수곡선!$G$2:$BN$150,0,$A26),Calc_지수곡선!$D$2:$D$150,M$2,INDEX(Calc_지수곡선!$G$2:$BN$150,0,$A26),"&gt;0",INDEX(Calc_지수곡선!$G$2:$BN$150,0,$A26),"&lt;300"),"")</f>
        <v>117.43589527679688</v>
      </c>
      <c r="E26">
        <f>IFERROR(AVERAGEIFS(INDEX(Calc_지수곡선!$G$2:$BN$150,0,$A26),Calc_지수곡선!$D$2:$D$150,N$2,INDEX(Calc_지수곡선!$G$2:$BN$150,0,$A26),"&gt;0",INDEX(Calc_지수곡선!$G$2:$BN$150,0,$A26),"&lt;300"),"")</f>
        <v>114.89250166905872</v>
      </c>
      <c r="G26">
        <f>COUNTIFS(Calc_지수곡선!$D$2:$D$150,K$2,INDEX(Calc_지수곡선!$G$2:$BN$150,0,$A26),"&gt;0",INDEX(Calc_지수곡선!$G$2:$BN$150,0,$A26),"&lt;300")</f>
        <v>23</v>
      </c>
      <c r="H26">
        <f>COUNTIFS(Calc_지수곡선!$D$2:$D$150,L$2,INDEX(Calc_지수곡선!$G$2:$BN$150,0,$A26),"&gt;0",INDEX(Calc_지수곡선!$G$2:$BN$150,0,$A26),"&lt;300")</f>
        <v>29</v>
      </c>
      <c r="I26">
        <f>COUNTIFS(Calc_지수곡선!$D$2:$D$150,M$2,INDEX(Calc_지수곡선!$G$2:$BN$150,0,$A26),"&gt;0",INDEX(Calc_지수곡선!$G$2:$BN$150,0,$A26),"&lt;300")</f>
        <v>24</v>
      </c>
      <c r="J26">
        <f>COUNTIFS(Calc_지수곡선!$D$2:$D$150,N$2,INDEX(Calc_지수곡선!$G$2:$BN$150,0,$A26),"&gt;0",INDEX(Calc_지수곡선!$G$2:$BN$150,0,$A26),"&lt;300")</f>
        <v>8</v>
      </c>
      <c r="P26">
        <f t="shared" si="0"/>
        <v>128.99135134436494</v>
      </c>
      <c r="Q26">
        <f t="shared" si="1"/>
        <v>117.37782430968372</v>
      </c>
      <c r="R26">
        <f t="shared" si="2"/>
        <v>117.43589527679688</v>
      </c>
      <c r="S26">
        <f t="shared" si="3"/>
        <v>114.89250166905872</v>
      </c>
    </row>
    <row r="27" spans="1:19" x14ac:dyDescent="0.4">
      <c r="A27">
        <v>25</v>
      </c>
      <c r="B27">
        <f>IFERROR(AVERAGEIFS(INDEX(Calc_지수곡선!$G$2:$BN$150,0,$A27),Calc_지수곡선!$D$2:$D$150,K$2,INDEX(Calc_지수곡선!$G$2:$BN$150,0,$A27),"&gt;0",INDEX(Calc_지수곡선!$G$2:$BN$150,0,$A27),"&lt;300"),"")</f>
        <v>131.5388307926153</v>
      </c>
      <c r="C27" s="88">
        <f>IFERROR(AVERAGEIFS(INDEX(Calc_지수곡선!$G$2:$BN$150,0,$A27),Calc_지수곡선!$D$2:$D$150,L$2,INDEX(Calc_지수곡선!$G$2:$BN$150,0,$A27),"&gt;0",INDEX(Calc_지수곡선!$G$2:$BN$150,0,$A27),"&lt;300"),"")</f>
        <v>122.05658296361824</v>
      </c>
      <c r="D27">
        <f>IFERROR(AVERAGEIFS(INDEX(Calc_지수곡선!$G$2:$BN$150,0,$A27),Calc_지수곡선!$D$2:$D$150,M$2,INDEX(Calc_지수곡선!$G$2:$BN$150,0,$A27),"&gt;0",INDEX(Calc_지수곡선!$G$2:$BN$150,0,$A27),"&lt;300"),"")</f>
        <v>121.94420096373129</v>
      </c>
      <c r="E27">
        <f>IFERROR(AVERAGEIFS(INDEX(Calc_지수곡선!$G$2:$BN$150,0,$A27),Calc_지수곡선!$D$2:$D$150,N$2,INDEX(Calc_지수곡선!$G$2:$BN$150,0,$A27),"&gt;0",INDEX(Calc_지수곡선!$G$2:$BN$150,0,$A27),"&lt;300"),"")</f>
        <v>110.527037480274</v>
      </c>
      <c r="G27">
        <f>COUNTIFS(Calc_지수곡선!$D$2:$D$150,K$2,INDEX(Calc_지수곡선!$G$2:$BN$150,0,$A27),"&gt;0",INDEX(Calc_지수곡선!$G$2:$BN$150,0,$A27),"&lt;300")</f>
        <v>23</v>
      </c>
      <c r="H27">
        <f>COUNTIFS(Calc_지수곡선!$D$2:$D$150,L$2,INDEX(Calc_지수곡선!$G$2:$BN$150,0,$A27),"&gt;0",INDEX(Calc_지수곡선!$G$2:$BN$150,0,$A27),"&lt;300")</f>
        <v>28</v>
      </c>
      <c r="I27">
        <f>COUNTIFS(Calc_지수곡선!$D$2:$D$150,M$2,INDEX(Calc_지수곡선!$G$2:$BN$150,0,$A27),"&gt;0",INDEX(Calc_지수곡선!$G$2:$BN$150,0,$A27),"&lt;300")</f>
        <v>24</v>
      </c>
      <c r="J27">
        <f>COUNTIFS(Calc_지수곡선!$D$2:$D$150,N$2,INDEX(Calc_지수곡선!$G$2:$BN$150,0,$A27),"&gt;0",INDEX(Calc_지수곡선!$G$2:$BN$150,0,$A27),"&lt;300")</f>
        <v>7</v>
      </c>
      <c r="P27">
        <f t="shared" si="0"/>
        <v>131.5388307926153</v>
      </c>
      <c r="Q27">
        <f t="shared" si="1"/>
        <v>122.05658296361824</v>
      </c>
      <c r="R27">
        <f t="shared" si="2"/>
        <v>121.94420096373129</v>
      </c>
      <c r="S27">
        <f t="shared" si="3"/>
        <v>110.527037480274</v>
      </c>
    </row>
    <row r="28" spans="1:19" x14ac:dyDescent="0.4">
      <c r="A28">
        <v>26</v>
      </c>
      <c r="B28">
        <f>IFERROR(AVERAGEIFS(INDEX(Calc_지수곡선!$G$2:$BN$150,0,$A28),Calc_지수곡선!$D$2:$D$150,K$2,INDEX(Calc_지수곡선!$G$2:$BN$150,0,$A28),"&gt;0",INDEX(Calc_지수곡선!$G$2:$BN$150,0,$A28),"&lt;300"),"")</f>
        <v>132.29578778107944</v>
      </c>
      <c r="C28" s="88">
        <f>IFERROR(AVERAGEIFS(INDEX(Calc_지수곡선!$G$2:$BN$150,0,$A28),Calc_지수곡선!$D$2:$D$150,L$2,INDEX(Calc_지수곡선!$G$2:$BN$150,0,$A28),"&gt;0",INDEX(Calc_지수곡선!$G$2:$BN$150,0,$A28),"&lt;300"),"")</f>
        <v>120.96818282095657</v>
      </c>
      <c r="D28">
        <f>IFERROR(AVERAGEIFS(INDEX(Calc_지수곡선!$G$2:$BN$150,0,$A28),Calc_지수곡선!$D$2:$D$150,M$2,INDEX(Calc_지수곡선!$G$2:$BN$150,0,$A28),"&gt;0",INDEX(Calc_지수곡선!$G$2:$BN$150,0,$A28),"&lt;300"),"")</f>
        <v>123.25004207037807</v>
      </c>
      <c r="E28">
        <f>IFERROR(AVERAGEIFS(INDEX(Calc_지수곡선!$G$2:$BN$150,0,$A28),Calc_지수곡선!$D$2:$D$150,N$2,INDEX(Calc_지수곡선!$G$2:$BN$150,0,$A28),"&gt;0",INDEX(Calc_지수곡선!$G$2:$BN$150,0,$A28),"&lt;300"),"")</f>
        <v>106.0005418798283</v>
      </c>
      <c r="G28">
        <f>COUNTIFS(Calc_지수곡선!$D$2:$D$150,K$2,INDEX(Calc_지수곡선!$G$2:$BN$150,0,$A28),"&gt;0",INDEX(Calc_지수곡선!$G$2:$BN$150,0,$A28),"&lt;300")</f>
        <v>23</v>
      </c>
      <c r="H28">
        <f>COUNTIFS(Calc_지수곡선!$D$2:$D$150,L$2,INDEX(Calc_지수곡선!$G$2:$BN$150,0,$A28),"&gt;0",INDEX(Calc_지수곡선!$G$2:$BN$150,0,$A28),"&lt;300")</f>
        <v>27</v>
      </c>
      <c r="I28">
        <f>COUNTIFS(Calc_지수곡선!$D$2:$D$150,M$2,INDEX(Calc_지수곡선!$G$2:$BN$150,0,$A28),"&gt;0",INDEX(Calc_지수곡선!$G$2:$BN$150,0,$A28),"&lt;300")</f>
        <v>23</v>
      </c>
      <c r="J28">
        <f>COUNTIFS(Calc_지수곡선!$D$2:$D$150,N$2,INDEX(Calc_지수곡선!$G$2:$BN$150,0,$A28),"&gt;0",INDEX(Calc_지수곡선!$G$2:$BN$150,0,$A28),"&lt;300")</f>
        <v>7</v>
      </c>
      <c r="P28">
        <f t="shared" si="0"/>
        <v>132.29578778107944</v>
      </c>
      <c r="Q28">
        <f t="shared" si="1"/>
        <v>120.96818282095657</v>
      </c>
      <c r="R28">
        <f t="shared" si="2"/>
        <v>123.25004207037807</v>
      </c>
      <c r="S28">
        <f t="shared" si="3"/>
        <v>106.0005418798283</v>
      </c>
    </row>
    <row r="29" spans="1:19" x14ac:dyDescent="0.4">
      <c r="A29">
        <v>27</v>
      </c>
      <c r="B29">
        <f>IFERROR(AVERAGEIFS(INDEX(Calc_지수곡선!$G$2:$BN$150,0,$A29),Calc_지수곡선!$D$2:$D$150,K$2,INDEX(Calc_지수곡선!$G$2:$BN$150,0,$A29),"&gt;0",INDEX(Calc_지수곡선!$G$2:$BN$150,0,$A29),"&lt;300"),"")</f>
        <v>129.36564646233953</v>
      </c>
      <c r="C29" s="88">
        <f>IFERROR(AVERAGEIFS(INDEX(Calc_지수곡선!$G$2:$BN$150,0,$A29),Calc_지수곡선!$D$2:$D$150,L$2,INDEX(Calc_지수곡선!$G$2:$BN$150,0,$A29),"&gt;0",INDEX(Calc_지수곡선!$G$2:$BN$150,0,$A29),"&lt;300"),"")</f>
        <v>125.19820188539779</v>
      </c>
      <c r="D29">
        <f>IFERROR(AVERAGEIFS(INDEX(Calc_지수곡선!$G$2:$BN$150,0,$A29),Calc_지수곡선!$D$2:$D$150,M$2,INDEX(Calc_지수곡선!$G$2:$BN$150,0,$A29),"&gt;0",INDEX(Calc_지수곡선!$G$2:$BN$150,0,$A29),"&lt;300"),"")</f>
        <v>125.80622843087427</v>
      </c>
      <c r="E29">
        <f>IFERROR(AVERAGEIFS(INDEX(Calc_지수곡선!$G$2:$BN$150,0,$A29),Calc_지수곡선!$D$2:$D$150,N$2,INDEX(Calc_지수곡선!$G$2:$BN$150,0,$A29),"&gt;0",INDEX(Calc_지수곡선!$G$2:$BN$150,0,$A29),"&lt;300"),"")</f>
        <v>106.13038345042028</v>
      </c>
      <c r="G29">
        <f>COUNTIFS(Calc_지수곡선!$D$2:$D$150,K$2,INDEX(Calc_지수곡선!$G$2:$BN$150,0,$A29),"&gt;0",INDEX(Calc_지수곡선!$G$2:$BN$150,0,$A29),"&lt;300")</f>
        <v>22</v>
      </c>
      <c r="H29">
        <f>COUNTIFS(Calc_지수곡선!$D$2:$D$150,L$2,INDEX(Calc_지수곡선!$G$2:$BN$150,0,$A29),"&gt;0",INDEX(Calc_지수곡선!$G$2:$BN$150,0,$A29),"&lt;300")</f>
        <v>26</v>
      </c>
      <c r="I29">
        <f>COUNTIFS(Calc_지수곡선!$D$2:$D$150,M$2,INDEX(Calc_지수곡선!$G$2:$BN$150,0,$A29),"&gt;0",INDEX(Calc_지수곡선!$G$2:$BN$150,0,$A29),"&lt;300")</f>
        <v>22</v>
      </c>
      <c r="J29">
        <f>COUNTIFS(Calc_지수곡선!$D$2:$D$150,N$2,INDEX(Calc_지수곡선!$G$2:$BN$150,0,$A29),"&gt;0",INDEX(Calc_지수곡선!$G$2:$BN$150,0,$A29),"&lt;300")</f>
        <v>7</v>
      </c>
    </row>
    <row r="30" spans="1:19" ht="17.5" x14ac:dyDescent="0.4">
      <c r="A30">
        <v>28</v>
      </c>
      <c r="B30">
        <f>IFERROR(AVERAGEIFS(INDEX(Calc_지수곡선!$G$2:$BN$150,0,$A30),Calc_지수곡선!$D$2:$D$150,K$2,INDEX(Calc_지수곡선!$G$2:$BN$150,0,$A30),"&gt;0",INDEX(Calc_지수곡선!$G$2:$BN$150,0,$A30),"&lt;300"),"")</f>
        <v>136.00233934531414</v>
      </c>
      <c r="C30" s="88">
        <f>IFERROR(AVERAGEIFS(INDEX(Calc_지수곡선!$G$2:$BN$150,0,$A30),Calc_지수곡선!$D$2:$D$150,L$2,INDEX(Calc_지수곡선!$G$2:$BN$150,0,$A30),"&gt;0",INDEX(Calc_지수곡선!$G$2:$BN$150,0,$A30),"&lt;300"),"")</f>
        <v>126.60386223043872</v>
      </c>
      <c r="D30">
        <f>IFERROR(AVERAGEIFS(INDEX(Calc_지수곡선!$G$2:$BN$150,0,$A30),Calc_지수곡선!$D$2:$D$150,M$2,INDEX(Calc_지수곡선!$G$2:$BN$150,0,$A30),"&gt;0",INDEX(Calc_지수곡선!$G$2:$BN$150,0,$A30),"&lt;300"),"")</f>
        <v>125.9902558747501</v>
      </c>
      <c r="E30">
        <f>IFERROR(AVERAGEIFS(INDEX(Calc_지수곡선!$G$2:$BN$150,0,$A30),Calc_지수곡선!$D$2:$D$150,N$2,INDEX(Calc_지수곡선!$G$2:$BN$150,0,$A30),"&gt;0",INDEX(Calc_지수곡선!$G$2:$BN$150,0,$A30),"&lt;300"),"")</f>
        <v>102.81865991887842</v>
      </c>
      <c r="G30">
        <f>COUNTIFS(Calc_지수곡선!$D$2:$D$150,K$2,INDEX(Calc_지수곡선!$G$2:$BN$150,0,$A30),"&gt;0",INDEX(Calc_지수곡선!$G$2:$BN$150,0,$A30),"&lt;300")</f>
        <v>22</v>
      </c>
      <c r="H30">
        <f>COUNTIFS(Calc_지수곡선!$D$2:$D$150,L$2,INDEX(Calc_지수곡선!$G$2:$BN$150,0,$A30),"&gt;0",INDEX(Calc_지수곡선!$G$2:$BN$150,0,$A30),"&lt;300")</f>
        <v>23</v>
      </c>
      <c r="I30">
        <f>COUNTIFS(Calc_지수곡선!$D$2:$D$150,M$2,INDEX(Calc_지수곡선!$G$2:$BN$150,0,$A30),"&gt;0",INDEX(Calc_지수곡선!$G$2:$BN$150,0,$A30),"&lt;300")</f>
        <v>22</v>
      </c>
      <c r="J30">
        <f>COUNTIFS(Calc_지수곡선!$D$2:$D$150,N$2,INDEX(Calc_지수곡선!$G$2:$BN$150,0,$A30),"&gt;0",INDEX(Calc_지수곡선!$G$2:$BN$150,0,$A30),"&lt;300")</f>
        <v>7</v>
      </c>
      <c r="L30" s="79" t="s">
        <v>392</v>
      </c>
    </row>
    <row r="31" spans="1:19" x14ac:dyDescent="0.4">
      <c r="A31">
        <v>29</v>
      </c>
      <c r="B31">
        <f>IFERROR(AVERAGEIFS(INDEX(Calc_지수곡선!$G$2:$BN$150,0,$A31),Calc_지수곡선!$D$2:$D$150,K$2,INDEX(Calc_지수곡선!$G$2:$BN$150,0,$A31),"&gt;0",INDEX(Calc_지수곡선!$G$2:$BN$150,0,$A31),"&lt;300"),"")</f>
        <v>133.59024479122155</v>
      </c>
      <c r="C31" s="88">
        <f>IFERROR(AVERAGEIFS(INDEX(Calc_지수곡선!$G$2:$BN$150,0,$A31),Calc_지수곡선!$D$2:$D$150,L$2,INDEX(Calc_지수곡선!$G$2:$BN$150,0,$A31),"&gt;0",INDEX(Calc_지수곡선!$G$2:$BN$150,0,$A31),"&lt;300"),"")</f>
        <v>128.00772431171271</v>
      </c>
      <c r="D31">
        <f>IFERROR(AVERAGEIFS(INDEX(Calc_지수곡선!$G$2:$BN$150,0,$A31),Calc_지수곡선!$D$2:$D$150,M$2,INDEX(Calc_지수곡선!$G$2:$BN$150,0,$A31),"&gt;0",INDEX(Calc_지수곡선!$G$2:$BN$150,0,$A31),"&lt;300"),"")</f>
        <v>129.05968001159351</v>
      </c>
      <c r="E31">
        <f>IFERROR(AVERAGEIFS(INDEX(Calc_지수곡선!$G$2:$BN$150,0,$A31),Calc_지수곡선!$D$2:$D$150,N$2,INDEX(Calc_지수곡선!$G$2:$BN$150,0,$A31),"&gt;0",INDEX(Calc_지수곡선!$G$2:$BN$150,0,$A31),"&lt;300"),"")</f>
        <v>104.13399424136225</v>
      </c>
      <c r="G31">
        <f>COUNTIFS(Calc_지수곡선!$D$2:$D$150,K$2,INDEX(Calc_지수곡선!$G$2:$BN$150,0,$A31),"&gt;0",INDEX(Calc_지수곡선!$G$2:$BN$150,0,$A31),"&lt;300")</f>
        <v>20</v>
      </c>
      <c r="H31">
        <f>COUNTIFS(Calc_지수곡선!$D$2:$D$150,L$2,INDEX(Calc_지수곡선!$G$2:$BN$150,0,$A31),"&gt;0",INDEX(Calc_지수곡선!$G$2:$BN$150,0,$A31),"&lt;300")</f>
        <v>23</v>
      </c>
      <c r="I31">
        <f>COUNTIFS(Calc_지수곡선!$D$2:$D$150,M$2,INDEX(Calc_지수곡선!$G$2:$BN$150,0,$A31),"&gt;0",INDEX(Calc_지수곡선!$G$2:$BN$150,0,$A31),"&lt;300")</f>
        <v>21</v>
      </c>
      <c r="J31">
        <f>COUNTIFS(Calc_지수곡선!$D$2:$D$150,N$2,INDEX(Calc_지수곡선!$G$2:$BN$150,0,$A31),"&gt;0",INDEX(Calc_지수곡선!$G$2:$BN$150,0,$A31),"&lt;300")</f>
        <v>6</v>
      </c>
      <c r="L31" s="80" t="s">
        <v>186</v>
      </c>
      <c r="M31" s="81" t="s">
        <v>393</v>
      </c>
      <c r="N31" s="81" t="s">
        <v>394</v>
      </c>
      <c r="O31" s="81" t="s">
        <v>395</v>
      </c>
      <c r="P31" s="82" t="s">
        <v>396</v>
      </c>
    </row>
    <row r="32" spans="1:19" x14ac:dyDescent="0.4">
      <c r="A32">
        <v>30</v>
      </c>
      <c r="B32">
        <f>IFERROR(AVERAGEIFS(INDEX(Calc_지수곡선!$G$2:$BN$150,0,$A32),Calc_지수곡선!$D$2:$D$150,K$2,INDEX(Calc_지수곡선!$G$2:$BN$150,0,$A32),"&gt;0",INDEX(Calc_지수곡선!$G$2:$BN$150,0,$A32),"&lt;300"),"")</f>
        <v>136.72023211647536</v>
      </c>
      <c r="C32" s="88">
        <f>IFERROR(AVERAGEIFS(INDEX(Calc_지수곡선!$G$2:$BN$150,0,$A32),Calc_지수곡선!$D$2:$D$150,L$2,INDEX(Calc_지수곡선!$G$2:$BN$150,0,$A32),"&gt;0",INDEX(Calc_지수곡선!$G$2:$BN$150,0,$A32),"&lt;300"),"")</f>
        <v>129.06716695234286</v>
      </c>
      <c r="D32">
        <f>IFERROR(AVERAGEIFS(INDEX(Calc_지수곡선!$G$2:$BN$150,0,$A32),Calc_지수곡선!$D$2:$D$150,M$2,INDEX(Calc_지수곡선!$G$2:$BN$150,0,$A32),"&gt;0",INDEX(Calc_지수곡선!$G$2:$BN$150,0,$A32),"&lt;300"),"")</f>
        <v>135.8286481600158</v>
      </c>
      <c r="E32">
        <f>IFERROR(AVERAGEIFS(INDEX(Calc_지수곡선!$G$2:$BN$150,0,$A32),Calc_지수곡선!$D$2:$D$150,N$2,INDEX(Calc_지수곡선!$G$2:$BN$150,0,$A32),"&gt;0",INDEX(Calc_지수곡선!$G$2:$BN$150,0,$A32),"&lt;300"),"")</f>
        <v>98.226672229326383</v>
      </c>
      <c r="G32">
        <f>COUNTIFS(Calc_지수곡선!$D$2:$D$150,K$2,INDEX(Calc_지수곡선!$G$2:$BN$150,0,$A32),"&gt;0",INDEX(Calc_지수곡선!$G$2:$BN$150,0,$A32),"&lt;300")</f>
        <v>20</v>
      </c>
      <c r="H32">
        <f>COUNTIFS(Calc_지수곡선!$D$2:$D$150,L$2,INDEX(Calc_지수곡선!$G$2:$BN$150,0,$A32),"&gt;0",INDEX(Calc_지수곡선!$G$2:$BN$150,0,$A32),"&lt;300")</f>
        <v>23</v>
      </c>
      <c r="I32">
        <f>COUNTIFS(Calc_지수곡선!$D$2:$D$150,M$2,INDEX(Calc_지수곡선!$G$2:$BN$150,0,$A32),"&gt;0",INDEX(Calc_지수곡선!$G$2:$BN$150,0,$A32),"&lt;300")</f>
        <v>20</v>
      </c>
      <c r="J32">
        <f>COUNTIFS(Calc_지수곡선!$D$2:$D$150,N$2,INDEX(Calc_지수곡선!$G$2:$BN$150,0,$A32),"&gt;0",INDEX(Calc_지수곡선!$G$2:$BN$150,0,$A32),"&lt;300")</f>
        <v>6</v>
      </c>
      <c r="L32" t="s">
        <v>397</v>
      </c>
      <c r="M32" s="83">
        <f>SLOPE(B8:B38,$A8:$A38)</f>
        <v>1.2755689845219276</v>
      </c>
      <c r="N32" s="84">
        <f>INTERCEPT(B8:B38,$A8:$A38)</f>
        <v>97.226001347254225</v>
      </c>
      <c r="O32" s="85">
        <f>RSQ(B8:B38,$A8:$A38)</f>
        <v>0.92680791688616171</v>
      </c>
      <c r="P32" s="84">
        <f>M32*12</f>
        <v>15.30682781426313</v>
      </c>
    </row>
    <row r="33" spans="1:18" x14ac:dyDescent="0.4">
      <c r="A33">
        <v>31</v>
      </c>
      <c r="B33">
        <f>IFERROR(AVERAGEIFS(INDEX(Calc_지수곡선!$G$2:$BN$150,0,$A33),Calc_지수곡선!$D$2:$D$150,K$2,INDEX(Calc_지수곡선!$G$2:$BN$150,0,$A33),"&gt;0",INDEX(Calc_지수곡선!$G$2:$BN$150,0,$A33),"&lt;300"),"")</f>
        <v>136.61178579302955</v>
      </c>
      <c r="C33" s="88">
        <f>IFERROR(AVERAGEIFS(INDEX(Calc_지수곡선!$G$2:$BN$150,0,$A33),Calc_지수곡선!$D$2:$D$150,L$2,INDEX(Calc_지수곡선!$G$2:$BN$150,0,$A33),"&gt;0",INDEX(Calc_지수곡선!$G$2:$BN$150,0,$A33),"&lt;300"),"")</f>
        <v>128.57561619314282</v>
      </c>
      <c r="D33">
        <f>IFERROR(AVERAGEIFS(INDEX(Calc_지수곡선!$G$2:$BN$150,0,$A33),Calc_지수곡선!$D$2:$D$150,M$2,INDEX(Calc_지수곡선!$G$2:$BN$150,0,$A33),"&gt;0",INDEX(Calc_지수곡선!$G$2:$BN$150,0,$A33),"&lt;300"),"")</f>
        <v>136.94502923800783</v>
      </c>
      <c r="E33">
        <f>IFERROR(AVERAGEIFS(INDEX(Calc_지수곡선!$G$2:$BN$150,0,$A33),Calc_지수곡선!$D$2:$D$150,N$2,INDEX(Calc_지수곡선!$G$2:$BN$150,0,$A33),"&gt;0",INDEX(Calc_지수곡선!$G$2:$BN$150,0,$A33),"&lt;300"),"")</f>
        <v>101.70884876673681</v>
      </c>
      <c r="G33">
        <f>COUNTIFS(Calc_지수곡선!$D$2:$D$150,K$2,INDEX(Calc_지수곡선!$G$2:$BN$150,0,$A33),"&gt;0",INDEX(Calc_지수곡선!$G$2:$BN$150,0,$A33),"&lt;300")</f>
        <v>20</v>
      </c>
      <c r="H33">
        <f>COUNTIFS(Calc_지수곡선!$D$2:$D$150,L$2,INDEX(Calc_지수곡선!$G$2:$BN$150,0,$A33),"&gt;0",INDEX(Calc_지수곡선!$G$2:$BN$150,0,$A33),"&lt;300")</f>
        <v>22</v>
      </c>
      <c r="I33">
        <f>COUNTIFS(Calc_지수곡선!$D$2:$D$150,M$2,INDEX(Calc_지수곡선!$G$2:$BN$150,0,$A33),"&gt;0",INDEX(Calc_지수곡선!$G$2:$BN$150,0,$A33),"&lt;300")</f>
        <v>19</v>
      </c>
      <c r="J33">
        <f>COUNTIFS(Calc_지수곡선!$D$2:$D$150,N$2,INDEX(Calc_지수곡선!$G$2:$BN$150,0,$A33),"&gt;0",INDEX(Calc_지수곡선!$G$2:$BN$150,0,$A33),"&lt;300")</f>
        <v>6</v>
      </c>
      <c r="L33" t="s">
        <v>398</v>
      </c>
      <c r="M33" s="83">
        <f>SLOPE(C8:C38,$A8:$A38)</f>
        <v>1.0757061672210868</v>
      </c>
      <c r="N33" s="84">
        <f>INTERCEPT(C8:C38,$A8:$A38)</f>
        <v>96.230537381914786</v>
      </c>
      <c r="O33" s="85">
        <f>RSQ(C8:C38,$A8:$A38)</f>
        <v>0.93133016953990966</v>
      </c>
      <c r="P33" s="84">
        <f>M33*12</f>
        <v>12.908474006653041</v>
      </c>
    </row>
    <row r="34" spans="1:18" x14ac:dyDescent="0.4">
      <c r="A34">
        <v>32</v>
      </c>
      <c r="B34">
        <f>IFERROR(AVERAGEIFS(INDEX(Calc_지수곡선!$G$2:$BN$150,0,$A34),Calc_지수곡선!$D$2:$D$150,K$2,INDEX(Calc_지수곡선!$G$2:$BN$150,0,$A34),"&gt;0",INDEX(Calc_지수곡선!$G$2:$BN$150,0,$A34),"&lt;300"),"")</f>
        <v>132.40005182439489</v>
      </c>
      <c r="C34" s="88">
        <f>IFERROR(AVERAGEIFS(INDEX(Calc_지수곡선!$G$2:$BN$150,0,$A34),Calc_지수곡선!$D$2:$D$150,L$2,INDEX(Calc_지수곡선!$G$2:$BN$150,0,$A34),"&gt;0",INDEX(Calc_지수곡선!$G$2:$BN$150,0,$A34),"&lt;300"),"")</f>
        <v>130.52299763636509</v>
      </c>
      <c r="D34">
        <f>IFERROR(AVERAGEIFS(INDEX(Calc_지수곡선!$G$2:$BN$150,0,$A34),Calc_지수곡선!$D$2:$D$150,M$2,INDEX(Calc_지수곡선!$G$2:$BN$150,0,$A34),"&gt;0",INDEX(Calc_지수곡선!$G$2:$BN$150,0,$A34),"&lt;300"),"")</f>
        <v>137.28445934465682</v>
      </c>
      <c r="E34">
        <f>IFERROR(AVERAGEIFS(INDEX(Calc_지수곡선!$G$2:$BN$150,0,$A34),Calc_지수곡선!$D$2:$D$150,N$2,INDEX(Calc_지수곡선!$G$2:$BN$150,0,$A34),"&gt;0",INDEX(Calc_지수곡선!$G$2:$BN$150,0,$A34),"&lt;300"),"")</f>
        <v>101.17802220441628</v>
      </c>
      <c r="G34">
        <f>COUNTIFS(Calc_지수곡선!$D$2:$D$150,K$2,INDEX(Calc_지수곡선!$G$2:$BN$150,0,$A34),"&gt;0",INDEX(Calc_지수곡선!$G$2:$BN$150,0,$A34),"&lt;300")</f>
        <v>20</v>
      </c>
      <c r="H34">
        <f>COUNTIFS(Calc_지수곡선!$D$2:$D$150,L$2,INDEX(Calc_지수곡선!$G$2:$BN$150,0,$A34),"&gt;0",INDEX(Calc_지수곡선!$G$2:$BN$150,0,$A34),"&lt;300")</f>
        <v>21</v>
      </c>
      <c r="I34">
        <f>COUNTIFS(Calc_지수곡선!$D$2:$D$150,M$2,INDEX(Calc_지수곡선!$G$2:$BN$150,0,$A34),"&gt;0",INDEX(Calc_지수곡선!$G$2:$BN$150,0,$A34),"&lt;300")</f>
        <v>18</v>
      </c>
      <c r="J34">
        <f>COUNTIFS(Calc_지수곡선!$D$2:$D$150,N$2,INDEX(Calc_지수곡선!$G$2:$BN$150,0,$A34),"&gt;0",INDEX(Calc_지수곡선!$G$2:$BN$150,0,$A34),"&lt;300")</f>
        <v>6</v>
      </c>
      <c r="L34" t="s">
        <v>399</v>
      </c>
      <c r="M34" s="83">
        <f>SLOPE(D8:D38,$A8:$A38)</f>
        <v>1.0334163580431235</v>
      </c>
      <c r="N34" s="84">
        <f>INTERCEPT(D8:D38,$A8:$A38)</f>
        <v>98.840247426771271</v>
      </c>
      <c r="O34" s="85">
        <f>RSQ(D8:D38,$A8:$A38)</f>
        <v>0.84787515838042138</v>
      </c>
      <c r="P34" s="84">
        <f>M34*12</f>
        <v>12.400996296517482</v>
      </c>
    </row>
    <row r="35" spans="1:18" x14ac:dyDescent="0.4">
      <c r="A35">
        <v>33</v>
      </c>
      <c r="B35">
        <f>IFERROR(AVERAGEIFS(INDEX(Calc_지수곡선!$G$2:$BN$150,0,$A35),Calc_지수곡선!$D$2:$D$150,K$2,INDEX(Calc_지수곡선!$G$2:$BN$150,0,$A35),"&gt;0",INDEX(Calc_지수곡선!$G$2:$BN$150,0,$A35),"&lt;300"),"")</f>
        <v>133.57477946377264</v>
      </c>
      <c r="C35" s="88">
        <f>IFERROR(AVERAGEIFS(INDEX(Calc_지수곡선!$G$2:$BN$150,0,$A35),Calc_지수곡선!$D$2:$D$150,L$2,INDEX(Calc_지수곡선!$G$2:$BN$150,0,$A35),"&gt;0",INDEX(Calc_지수곡선!$G$2:$BN$150,0,$A35),"&lt;300"),"")</f>
        <v>129.78093610440703</v>
      </c>
      <c r="D35">
        <f>IFERROR(AVERAGEIFS(INDEX(Calc_지수곡선!$G$2:$BN$150,0,$A35),Calc_지수곡선!$D$2:$D$150,M$2,INDEX(Calc_지수곡선!$G$2:$BN$150,0,$A35),"&gt;0",INDEX(Calc_지수곡선!$G$2:$BN$150,0,$A35),"&lt;300"),"")</f>
        <v>134.91463237215618</v>
      </c>
      <c r="E35">
        <f>IFERROR(AVERAGEIFS(INDEX(Calc_지수곡선!$G$2:$BN$150,0,$A35),Calc_지수곡선!$D$2:$D$150,N$2,INDEX(Calc_지수곡선!$G$2:$BN$150,0,$A35),"&gt;0",INDEX(Calc_지수곡선!$G$2:$BN$150,0,$A35),"&lt;300"),"")</f>
        <v>101.57612954367107</v>
      </c>
      <c r="G35">
        <f>COUNTIFS(Calc_지수곡선!$D$2:$D$150,K$2,INDEX(Calc_지수곡선!$G$2:$BN$150,0,$A35),"&gt;0",INDEX(Calc_지수곡선!$G$2:$BN$150,0,$A35),"&lt;300")</f>
        <v>19</v>
      </c>
      <c r="H35">
        <f>COUNTIFS(Calc_지수곡선!$D$2:$D$150,L$2,INDEX(Calc_지수곡선!$G$2:$BN$150,0,$A35),"&gt;0",INDEX(Calc_지수곡선!$G$2:$BN$150,0,$A35),"&lt;300")</f>
        <v>18</v>
      </c>
      <c r="I35">
        <f>COUNTIFS(Calc_지수곡선!$D$2:$D$150,M$2,INDEX(Calc_지수곡선!$G$2:$BN$150,0,$A35),"&gt;0",INDEX(Calc_지수곡선!$G$2:$BN$150,0,$A35),"&lt;300")</f>
        <v>17</v>
      </c>
      <c r="J35">
        <f>COUNTIFS(Calc_지수곡선!$D$2:$D$150,N$2,INDEX(Calc_지수곡선!$G$2:$BN$150,0,$A35),"&gt;0",INDEX(Calc_지수곡선!$G$2:$BN$150,0,$A35),"&lt;300")</f>
        <v>6</v>
      </c>
      <c r="L35" t="s">
        <v>400</v>
      </c>
      <c r="M35" s="83">
        <f>SLOPE(E8:E38,$A8:$A38)</f>
        <v>-6.2270519308691243E-2</v>
      </c>
      <c r="N35" s="84">
        <f>INTERCEPT(E8:E38,$A8:$A38)</f>
        <v>107.05743360620767</v>
      </c>
      <c r="O35" s="85">
        <f>RSQ(E8:E38,$A8:$A38)</f>
        <v>1.5462921902807495E-2</v>
      </c>
      <c r="P35" s="84">
        <f>M35*12</f>
        <v>-0.74724623170429494</v>
      </c>
    </row>
    <row r="36" spans="1:18" x14ac:dyDescent="0.4">
      <c r="A36">
        <v>34</v>
      </c>
      <c r="B36">
        <f>IFERROR(AVERAGEIFS(INDEX(Calc_지수곡선!$G$2:$BN$150,0,$A36),Calc_지수곡선!$D$2:$D$150,K$2,INDEX(Calc_지수곡선!$G$2:$BN$150,0,$A36),"&gt;0",INDEX(Calc_지수곡선!$G$2:$BN$150,0,$A36),"&lt;300"),"")</f>
        <v>137.03309885640442</v>
      </c>
      <c r="C36" s="88">
        <f>IFERROR(AVERAGEIFS(INDEX(Calc_지수곡선!$G$2:$BN$150,0,$A36),Calc_지수곡선!$D$2:$D$150,L$2,INDEX(Calc_지수곡선!$G$2:$BN$150,0,$A36),"&gt;0",INDEX(Calc_지수곡선!$G$2:$BN$150,0,$A36),"&lt;300"),"")</f>
        <v>132.26751850022868</v>
      </c>
      <c r="D36">
        <f>IFERROR(AVERAGEIFS(INDEX(Calc_지수곡선!$G$2:$BN$150,0,$A36),Calc_지수곡선!$D$2:$D$150,M$2,INDEX(Calc_지수곡선!$G$2:$BN$150,0,$A36),"&gt;0",INDEX(Calc_지수곡선!$G$2:$BN$150,0,$A36),"&lt;300"),"")</f>
        <v>133.88638058890953</v>
      </c>
      <c r="E36">
        <f>IFERROR(AVERAGEIFS(INDEX(Calc_지수곡선!$G$2:$BN$150,0,$A36),Calc_지수곡선!$D$2:$D$150,N$2,INDEX(Calc_지수곡선!$G$2:$BN$150,0,$A36),"&gt;0",INDEX(Calc_지수곡선!$G$2:$BN$150,0,$A36),"&lt;300"),"")</f>
        <v>104.71867098034765</v>
      </c>
      <c r="G36">
        <f>COUNTIFS(Calc_지수곡선!$D$2:$D$150,K$2,INDEX(Calc_지수곡선!$G$2:$BN$150,0,$A36),"&gt;0",INDEX(Calc_지수곡선!$G$2:$BN$150,0,$A36),"&lt;300")</f>
        <v>18</v>
      </c>
      <c r="H36">
        <f>COUNTIFS(Calc_지수곡선!$D$2:$D$150,L$2,INDEX(Calc_지수곡선!$G$2:$BN$150,0,$A36),"&gt;0",INDEX(Calc_지수곡선!$G$2:$BN$150,0,$A36),"&lt;300")</f>
        <v>18</v>
      </c>
      <c r="I36">
        <f>COUNTIFS(Calc_지수곡선!$D$2:$D$150,M$2,INDEX(Calc_지수곡선!$G$2:$BN$150,0,$A36),"&gt;0",INDEX(Calc_지수곡선!$G$2:$BN$150,0,$A36),"&lt;300")</f>
        <v>16</v>
      </c>
      <c r="J36">
        <f>COUNTIFS(Calc_지수곡선!$D$2:$D$150,N$2,INDEX(Calc_지수곡선!$G$2:$BN$150,0,$A36),"&gt;0",INDEX(Calc_지수곡선!$G$2:$BN$150,0,$A36),"&lt;300")</f>
        <v>5</v>
      </c>
    </row>
    <row r="37" spans="1:18" x14ac:dyDescent="0.4">
      <c r="A37">
        <v>35</v>
      </c>
      <c r="B37">
        <f>IFERROR(AVERAGEIFS(INDEX(Calc_지수곡선!$G$2:$BN$150,0,$A37),Calc_지수곡선!$D$2:$D$150,K$2,INDEX(Calc_지수곡선!$G$2:$BN$150,0,$A37),"&gt;0",INDEX(Calc_지수곡선!$G$2:$BN$150,0,$A37),"&lt;300"),"")</f>
        <v>138.37993314983672</v>
      </c>
      <c r="C37" s="88">
        <f>IFERROR(AVERAGEIFS(INDEX(Calc_지수곡선!$G$2:$BN$150,0,$A37),Calc_지수곡선!$D$2:$D$150,L$2,INDEX(Calc_지수곡선!$G$2:$BN$150,0,$A37),"&gt;0",INDEX(Calc_지수곡선!$G$2:$BN$150,0,$A37),"&lt;300"),"")</f>
        <v>134.33741709318127</v>
      </c>
      <c r="D37">
        <f>IFERROR(AVERAGEIFS(INDEX(Calc_지수곡선!$G$2:$BN$150,0,$A37),Calc_지수곡선!$D$2:$D$150,M$2,INDEX(Calc_지수곡선!$G$2:$BN$150,0,$A37),"&gt;0",INDEX(Calc_지수곡선!$G$2:$BN$150,0,$A37),"&lt;300"),"")</f>
        <v>129.04066178840245</v>
      </c>
      <c r="E37">
        <f>IFERROR(AVERAGEIFS(INDEX(Calc_지수곡선!$G$2:$BN$150,0,$A37),Calc_지수곡선!$D$2:$D$150,N$2,INDEX(Calc_지수곡선!$G$2:$BN$150,0,$A37),"&gt;0",INDEX(Calc_지수곡선!$G$2:$BN$150,0,$A37),"&lt;300"),"")</f>
        <v>103.47501095350341</v>
      </c>
      <c r="G37">
        <f>COUNTIFS(Calc_지수곡선!$D$2:$D$150,K$2,INDEX(Calc_지수곡선!$G$2:$BN$150,0,$A37),"&gt;0",INDEX(Calc_지수곡선!$G$2:$BN$150,0,$A37),"&lt;300")</f>
        <v>14</v>
      </c>
      <c r="H37">
        <f>COUNTIFS(Calc_지수곡선!$D$2:$D$150,L$2,INDEX(Calc_지수곡선!$G$2:$BN$150,0,$A37),"&gt;0",INDEX(Calc_지수곡선!$G$2:$BN$150,0,$A37),"&lt;300")</f>
        <v>17</v>
      </c>
      <c r="I37">
        <f>COUNTIFS(Calc_지수곡선!$D$2:$D$150,M$2,INDEX(Calc_지수곡선!$G$2:$BN$150,0,$A37),"&gt;0",INDEX(Calc_지수곡선!$G$2:$BN$150,0,$A37),"&lt;300")</f>
        <v>15</v>
      </c>
      <c r="J37">
        <f>COUNTIFS(Calc_지수곡선!$D$2:$D$150,N$2,INDEX(Calc_지수곡선!$G$2:$BN$150,0,$A37),"&gt;0",INDEX(Calc_지수곡선!$G$2:$BN$150,0,$A37),"&lt;300")</f>
        <v>5</v>
      </c>
      <c r="L37" s="86" t="s">
        <v>401</v>
      </c>
    </row>
    <row r="38" spans="1:18" x14ac:dyDescent="0.4">
      <c r="A38">
        <v>36</v>
      </c>
      <c r="B38">
        <f>IFERROR(AVERAGEIFS(INDEX(Calc_지수곡선!$G$2:$BN$150,0,$A38),Calc_지수곡선!$D$2:$D$150,K$2,INDEX(Calc_지수곡선!$G$2:$BN$150,0,$A38),"&gt;0",INDEX(Calc_지수곡선!$G$2:$BN$150,0,$A38),"&lt;300"),"")</f>
        <v>144.51771910045593</v>
      </c>
      <c r="C38" s="88">
        <f>IFERROR(AVERAGEIFS(INDEX(Calc_지수곡선!$G$2:$BN$150,0,$A38),Calc_지수곡선!$D$2:$D$150,L$2,INDEX(Calc_지수곡선!$G$2:$BN$150,0,$A38),"&gt;0",INDEX(Calc_지수곡선!$G$2:$BN$150,0,$A38),"&lt;300"),"")</f>
        <v>139.94138138174961</v>
      </c>
      <c r="D38">
        <f>IFERROR(AVERAGEIFS(INDEX(Calc_지수곡선!$G$2:$BN$150,0,$A38),Calc_지수곡선!$D$2:$D$150,M$2,INDEX(Calc_지수곡선!$G$2:$BN$150,0,$A38),"&gt;0",INDEX(Calc_지수곡선!$G$2:$BN$150,0,$A38),"&lt;300"),"")</f>
        <v>133.66996619341666</v>
      </c>
      <c r="E38">
        <f>IFERROR(AVERAGEIFS(INDEX(Calc_지수곡선!$G$2:$BN$150,0,$A38),Calc_지수곡선!$D$2:$D$150,N$2,INDEX(Calc_지수곡선!$G$2:$BN$150,0,$A38),"&gt;0",INDEX(Calc_지수곡선!$G$2:$BN$150,0,$A38),"&lt;300"),"")</f>
        <v>99.388361555301316</v>
      </c>
      <c r="G38">
        <f>COUNTIFS(Calc_지수곡선!$D$2:$D$150,K$2,INDEX(Calc_지수곡선!$G$2:$BN$150,0,$A38),"&gt;0",INDEX(Calc_지수곡선!$G$2:$BN$150,0,$A38),"&lt;300")</f>
        <v>13</v>
      </c>
      <c r="H38">
        <f>COUNTIFS(Calc_지수곡선!$D$2:$D$150,L$2,INDEX(Calc_지수곡선!$G$2:$BN$150,0,$A38),"&gt;0",INDEX(Calc_지수곡선!$G$2:$BN$150,0,$A38),"&lt;300")</f>
        <v>17</v>
      </c>
      <c r="I38">
        <f>COUNTIFS(Calc_지수곡선!$D$2:$D$150,M$2,INDEX(Calc_지수곡선!$G$2:$BN$150,0,$A38),"&gt;0",INDEX(Calc_지수곡선!$G$2:$BN$150,0,$A38),"&lt;300")</f>
        <v>15</v>
      </c>
      <c r="J38">
        <f>COUNTIFS(Calc_지수곡선!$D$2:$D$150,N$2,INDEX(Calc_지수곡선!$G$2:$BN$150,0,$A38),"&gt;0",INDEX(Calc_지수곡선!$G$2:$BN$150,0,$A38),"&lt;300")</f>
        <v>5</v>
      </c>
    </row>
    <row r="39" spans="1:18" x14ac:dyDescent="0.4">
      <c r="A39">
        <v>37</v>
      </c>
      <c r="B39">
        <f>IFERROR(AVERAGEIFS(INDEX(Calc_지수곡선!$G$2:$BN$150,0,$A39),Calc_지수곡선!$D$2:$D$150,K$2,INDEX(Calc_지수곡선!$G$2:$BN$150,0,$A39),"&gt;0",INDEX(Calc_지수곡선!$G$2:$BN$150,0,$A39),"&lt;300"),"")</f>
        <v>146.83488333851179</v>
      </c>
      <c r="C39">
        <f>IFERROR(AVERAGEIFS(INDEX(Calc_지수곡선!$G$2:$BN$150,0,$A39),Calc_지수곡선!$D$2:$D$150,L$2,INDEX(Calc_지수곡선!$G$2:$BN$150,0,$A39),"&gt;0",INDEX(Calc_지수곡선!$G$2:$BN$150,0,$A39),"&lt;300"),"")</f>
        <v>140.48217068706296</v>
      </c>
      <c r="D39">
        <f>IFERROR(AVERAGEIFS(INDEX(Calc_지수곡선!$G$2:$BN$150,0,$A39),Calc_지수곡선!$D$2:$D$150,M$2,INDEX(Calc_지수곡선!$G$2:$BN$150,0,$A39),"&gt;0",INDEX(Calc_지수곡선!$G$2:$BN$150,0,$A39),"&lt;300"),"")</f>
        <v>132.05459627085793</v>
      </c>
      <c r="E39">
        <f>IFERROR(AVERAGEIFS(INDEX(Calc_지수곡선!$G$2:$BN$150,0,$A39),Calc_지수곡선!$D$2:$D$150,N$2,INDEX(Calc_지수곡선!$G$2:$BN$150,0,$A39),"&gt;0",INDEX(Calc_지수곡선!$G$2:$BN$150,0,$A39),"&lt;300"),"")</f>
        <v>93.951247308095304</v>
      </c>
      <c r="G39">
        <f>COUNTIFS(Calc_지수곡선!$D$2:$D$150,K$2,INDEX(Calc_지수곡선!$G$2:$BN$150,0,$A39),"&gt;0",INDEX(Calc_지수곡선!$G$2:$BN$150,0,$A39),"&lt;300")</f>
        <v>13</v>
      </c>
      <c r="H39">
        <f>COUNTIFS(Calc_지수곡선!$D$2:$D$150,L$2,INDEX(Calc_지수곡선!$G$2:$BN$150,0,$A39),"&gt;0",INDEX(Calc_지수곡선!$G$2:$BN$150,0,$A39),"&lt;300")</f>
        <v>15</v>
      </c>
      <c r="I39">
        <f>COUNTIFS(Calc_지수곡선!$D$2:$D$150,M$2,INDEX(Calc_지수곡선!$G$2:$BN$150,0,$A39),"&gt;0",INDEX(Calc_지수곡선!$G$2:$BN$150,0,$A39),"&lt;300")</f>
        <v>15</v>
      </c>
      <c r="J39">
        <f>COUNTIFS(Calc_지수곡선!$D$2:$D$150,N$2,INDEX(Calc_지수곡선!$G$2:$BN$150,0,$A39),"&gt;0",INDEX(Calc_지수곡선!$G$2:$BN$150,0,$A39),"&lt;300")</f>
        <v>5</v>
      </c>
    </row>
    <row r="40" spans="1:18" x14ac:dyDescent="0.4">
      <c r="A40">
        <v>38</v>
      </c>
      <c r="B40">
        <f>IFERROR(AVERAGEIFS(INDEX(Calc_지수곡선!$G$2:$BN$150,0,$A40),Calc_지수곡선!$D$2:$D$150,K$2,INDEX(Calc_지수곡선!$G$2:$BN$150,0,$A40),"&gt;0",INDEX(Calc_지수곡선!$G$2:$BN$150,0,$A40),"&lt;300"),"")</f>
        <v>143.7891560394857</v>
      </c>
      <c r="C40">
        <f>IFERROR(AVERAGEIFS(INDEX(Calc_지수곡선!$G$2:$BN$150,0,$A40),Calc_지수곡선!$D$2:$D$150,L$2,INDEX(Calc_지수곡선!$G$2:$BN$150,0,$A40),"&gt;0",INDEX(Calc_지수곡선!$G$2:$BN$150,0,$A40),"&lt;300"),"")</f>
        <v>133.52203244135953</v>
      </c>
      <c r="D40">
        <f>IFERROR(AVERAGEIFS(INDEX(Calc_지수곡선!$G$2:$BN$150,0,$A40),Calc_지수곡선!$D$2:$D$150,M$2,INDEX(Calc_지수곡선!$G$2:$BN$150,0,$A40),"&gt;0",INDEX(Calc_지수곡선!$G$2:$BN$150,0,$A40),"&lt;300"),"")</f>
        <v>134.70942392452642</v>
      </c>
      <c r="E40">
        <f>IFERROR(AVERAGEIFS(INDEX(Calc_지수곡선!$G$2:$BN$150,0,$A40),Calc_지수곡선!$D$2:$D$150,N$2,INDEX(Calc_지수곡선!$G$2:$BN$150,0,$A40),"&gt;0",INDEX(Calc_지수곡선!$G$2:$BN$150,0,$A40),"&lt;300"),"")</f>
        <v>96.551137304375345</v>
      </c>
      <c r="G40">
        <f>COUNTIFS(Calc_지수곡선!$D$2:$D$150,K$2,INDEX(Calc_지수곡선!$G$2:$BN$150,0,$A40),"&gt;0",INDEX(Calc_지수곡선!$G$2:$BN$150,0,$A40),"&lt;300")</f>
        <v>11</v>
      </c>
      <c r="H40">
        <f>COUNTIFS(Calc_지수곡선!$D$2:$D$150,L$2,INDEX(Calc_지수곡선!$G$2:$BN$150,0,$A40),"&gt;0",INDEX(Calc_지수곡선!$G$2:$BN$150,0,$A40),"&lt;300")</f>
        <v>14</v>
      </c>
      <c r="I40">
        <f>COUNTIFS(Calc_지수곡선!$D$2:$D$150,M$2,INDEX(Calc_지수곡선!$G$2:$BN$150,0,$A40),"&gt;0",INDEX(Calc_지수곡선!$G$2:$BN$150,0,$A40),"&lt;300")</f>
        <v>15</v>
      </c>
      <c r="J40">
        <f>COUNTIFS(Calc_지수곡선!$D$2:$D$150,N$2,INDEX(Calc_지수곡선!$G$2:$BN$150,0,$A40),"&gt;0",INDEX(Calc_지수곡선!$G$2:$BN$150,0,$A40),"&lt;300")</f>
        <v>5</v>
      </c>
    </row>
    <row r="41" spans="1:18" x14ac:dyDescent="0.4">
      <c r="A41">
        <v>39</v>
      </c>
      <c r="B41">
        <f>IFERROR(AVERAGEIFS(INDEX(Calc_지수곡선!$G$2:$BN$150,0,$A41),Calc_지수곡선!$D$2:$D$150,K$2,INDEX(Calc_지수곡선!$G$2:$BN$150,0,$A41),"&gt;0",INDEX(Calc_지수곡선!$G$2:$BN$150,0,$A41),"&lt;300"),"")</f>
        <v>149.86371571014556</v>
      </c>
      <c r="C41">
        <f>IFERROR(AVERAGEIFS(INDEX(Calc_지수곡선!$G$2:$BN$150,0,$A41),Calc_지수곡선!$D$2:$D$150,L$2,INDEX(Calc_지수곡선!$G$2:$BN$150,0,$A41),"&gt;0",INDEX(Calc_지수곡선!$G$2:$BN$150,0,$A41),"&lt;300"),"")</f>
        <v>136.63502613369999</v>
      </c>
      <c r="D41">
        <f>IFERROR(AVERAGEIFS(INDEX(Calc_지수곡선!$G$2:$BN$150,0,$A41),Calc_지수곡선!$D$2:$D$150,M$2,INDEX(Calc_지수곡선!$G$2:$BN$150,0,$A41),"&gt;0",INDEX(Calc_지수곡선!$G$2:$BN$150,0,$A41),"&lt;300"),"")</f>
        <v>141.54174961940362</v>
      </c>
      <c r="E41">
        <f>IFERROR(AVERAGEIFS(INDEX(Calc_지수곡선!$G$2:$BN$150,0,$A41),Calc_지수곡선!$D$2:$D$150,N$2,INDEX(Calc_지수곡선!$G$2:$BN$150,0,$A41),"&gt;0",INDEX(Calc_지수곡선!$G$2:$BN$150,0,$A41),"&lt;300"),"")</f>
        <v>96.28777441288635</v>
      </c>
      <c r="G41">
        <f>COUNTIFS(Calc_지수곡선!$D$2:$D$150,K$2,INDEX(Calc_지수곡선!$G$2:$BN$150,0,$A41),"&gt;0",INDEX(Calc_지수곡선!$G$2:$BN$150,0,$A41),"&lt;300")</f>
        <v>9</v>
      </c>
      <c r="H41">
        <f>COUNTIFS(Calc_지수곡선!$D$2:$D$150,L$2,INDEX(Calc_지수곡선!$G$2:$BN$150,0,$A41),"&gt;0",INDEX(Calc_지수곡선!$G$2:$BN$150,0,$A41),"&lt;300")</f>
        <v>13</v>
      </c>
      <c r="I41">
        <f>COUNTIFS(Calc_지수곡선!$D$2:$D$150,M$2,INDEX(Calc_지수곡선!$G$2:$BN$150,0,$A41),"&gt;0",INDEX(Calc_지수곡선!$G$2:$BN$150,0,$A41),"&lt;300")</f>
        <v>16</v>
      </c>
      <c r="J41">
        <f>COUNTIFS(Calc_지수곡선!$D$2:$D$150,N$2,INDEX(Calc_지수곡선!$G$2:$BN$150,0,$A41),"&gt;0",INDEX(Calc_지수곡선!$G$2:$BN$150,0,$A41),"&lt;300")</f>
        <v>5</v>
      </c>
      <c r="L41" t="s">
        <v>487</v>
      </c>
    </row>
    <row r="42" spans="1:18" x14ac:dyDescent="0.4">
      <c r="A42">
        <v>40</v>
      </c>
      <c r="B42">
        <f>IFERROR(AVERAGEIFS(INDEX(Calc_지수곡선!$G$2:$BN$150,0,$A42),Calc_지수곡선!$D$2:$D$150,K$2,INDEX(Calc_지수곡선!$G$2:$BN$150,0,$A42),"&gt;0",INDEX(Calc_지수곡선!$G$2:$BN$150,0,$A42),"&lt;300"),"")</f>
        <v>157.79447302953002</v>
      </c>
      <c r="C42">
        <f>IFERROR(AVERAGEIFS(INDEX(Calc_지수곡선!$G$2:$BN$150,0,$A42),Calc_지수곡선!$D$2:$D$150,L$2,INDEX(Calc_지수곡선!$G$2:$BN$150,0,$A42),"&gt;0",INDEX(Calc_지수곡선!$G$2:$BN$150,0,$A42),"&lt;300"),"")</f>
        <v>134.6026222769018</v>
      </c>
      <c r="D42">
        <f>IFERROR(AVERAGEIFS(INDEX(Calc_지수곡선!$G$2:$BN$150,0,$A42),Calc_지수곡선!$D$2:$D$150,M$2,INDEX(Calc_지수곡선!$G$2:$BN$150,0,$A42),"&gt;0",INDEX(Calc_지수곡선!$G$2:$BN$150,0,$A42),"&lt;300"),"")</f>
        <v>134.98978631558199</v>
      </c>
      <c r="E42">
        <f>IFERROR(AVERAGEIFS(INDEX(Calc_지수곡선!$G$2:$BN$150,0,$A42),Calc_지수곡선!$D$2:$D$150,N$2,INDEX(Calc_지수곡선!$G$2:$BN$150,0,$A42),"&gt;0",INDEX(Calc_지수곡선!$G$2:$BN$150,0,$A42),"&lt;300"),"")</f>
        <v>98.646277445148641</v>
      </c>
      <c r="G42">
        <f>COUNTIFS(Calc_지수곡선!$D$2:$D$150,K$2,INDEX(Calc_지수곡선!$G$2:$BN$150,0,$A42),"&gt;0",INDEX(Calc_지수곡선!$G$2:$BN$150,0,$A42),"&lt;300")</f>
        <v>8</v>
      </c>
      <c r="H42">
        <f>COUNTIFS(Calc_지수곡선!$D$2:$D$150,L$2,INDEX(Calc_지수곡선!$G$2:$BN$150,0,$A42),"&gt;0",INDEX(Calc_지수곡선!$G$2:$BN$150,0,$A42),"&lt;300")</f>
        <v>12</v>
      </c>
      <c r="I42">
        <f>COUNTIFS(Calc_지수곡선!$D$2:$D$150,M$2,INDEX(Calc_지수곡선!$G$2:$BN$150,0,$A42),"&gt;0",INDEX(Calc_지수곡선!$G$2:$BN$150,0,$A42),"&lt;300")</f>
        <v>15</v>
      </c>
      <c r="J42">
        <f>COUNTIFS(Calc_지수곡선!$D$2:$D$150,N$2,INDEX(Calc_지수곡선!$G$2:$BN$150,0,$A42),"&gt;0",INDEX(Calc_지수곡선!$G$2:$BN$150,0,$A42),"&lt;300")</f>
        <v>5</v>
      </c>
      <c r="L42" s="23" t="s">
        <v>422</v>
      </c>
    </row>
    <row r="43" spans="1:18" x14ac:dyDescent="0.4">
      <c r="A43">
        <v>41</v>
      </c>
      <c r="B43">
        <f>IFERROR(AVERAGEIFS(INDEX(Calc_지수곡선!$G$2:$BN$150,0,$A43),Calc_지수곡선!$D$2:$D$150,K$2,INDEX(Calc_지수곡선!$G$2:$BN$150,0,$A43),"&gt;0",INDEX(Calc_지수곡선!$G$2:$BN$150,0,$A43),"&lt;300"),"")</f>
        <v>158.33749157781563</v>
      </c>
      <c r="C43">
        <f>IFERROR(AVERAGEIFS(INDEX(Calc_지수곡선!$G$2:$BN$150,0,$A43),Calc_지수곡선!$D$2:$D$150,L$2,INDEX(Calc_지수곡선!$G$2:$BN$150,0,$A43),"&gt;0",INDEX(Calc_지수곡선!$G$2:$BN$150,0,$A43),"&lt;300"),"")</f>
        <v>145.75101687025361</v>
      </c>
      <c r="D43">
        <f>IFERROR(AVERAGEIFS(INDEX(Calc_지수곡선!$G$2:$BN$150,0,$A43),Calc_지수곡선!$D$2:$D$150,M$2,INDEX(Calc_지수곡선!$G$2:$BN$150,0,$A43),"&gt;0",INDEX(Calc_지수곡선!$G$2:$BN$150,0,$A43),"&lt;300"),"")</f>
        <v>144.82076799307123</v>
      </c>
      <c r="E43">
        <f>IFERROR(AVERAGEIFS(INDEX(Calc_지수곡선!$G$2:$BN$150,0,$A43),Calc_지수곡선!$D$2:$D$150,N$2,INDEX(Calc_지수곡선!$G$2:$BN$150,0,$A43),"&gt;0",INDEX(Calc_지수곡선!$G$2:$BN$150,0,$A43),"&lt;300"),"")</f>
        <v>103.45457978412401</v>
      </c>
      <c r="G43">
        <f>COUNTIFS(Calc_지수곡선!$D$2:$D$150,K$2,INDEX(Calc_지수곡선!$G$2:$BN$150,0,$A43),"&gt;0",INDEX(Calc_지수곡선!$G$2:$BN$150,0,$A43),"&lt;300")</f>
        <v>8</v>
      </c>
      <c r="H43">
        <f>COUNTIFS(Calc_지수곡선!$D$2:$D$150,L$2,INDEX(Calc_지수곡선!$G$2:$BN$150,0,$A43),"&gt;0",INDEX(Calc_지수곡선!$G$2:$BN$150,0,$A43),"&lt;300")</f>
        <v>11</v>
      </c>
      <c r="I43">
        <f>COUNTIFS(Calc_지수곡선!$D$2:$D$150,M$2,INDEX(Calc_지수곡선!$G$2:$BN$150,0,$A43),"&gt;0",INDEX(Calc_지수곡선!$G$2:$BN$150,0,$A43),"&lt;300")</f>
        <v>16</v>
      </c>
      <c r="J43">
        <f>COUNTIFS(Calc_지수곡선!$D$2:$D$150,N$2,INDEX(Calc_지수곡선!$G$2:$BN$150,0,$A43),"&gt;0",INDEX(Calc_지수곡선!$G$2:$BN$150,0,$A43),"&lt;300")</f>
        <v>5</v>
      </c>
      <c r="L43" t="s">
        <v>186</v>
      </c>
      <c r="M43" s="4" t="s">
        <v>423</v>
      </c>
      <c r="N43" s="4" t="s">
        <v>424</v>
      </c>
      <c r="O43" s="4" t="s">
        <v>425</v>
      </c>
      <c r="P43" s="4" t="s">
        <v>435</v>
      </c>
      <c r="Q43" s="4" t="s">
        <v>426</v>
      </c>
      <c r="R43" s="4" t="s">
        <v>427</v>
      </c>
    </row>
    <row r="44" spans="1:18" x14ac:dyDescent="0.4">
      <c r="A44">
        <v>42</v>
      </c>
      <c r="B44">
        <f>IFERROR(AVERAGEIFS(INDEX(Calc_지수곡선!$G$2:$BN$150,0,$A44),Calc_지수곡선!$D$2:$D$150,K$2,INDEX(Calc_지수곡선!$G$2:$BN$150,0,$A44),"&gt;0",INDEX(Calc_지수곡선!$G$2:$BN$150,0,$A44),"&lt;300"),"")</f>
        <v>162.3810214305729</v>
      </c>
      <c r="C44">
        <f>IFERROR(AVERAGEIFS(INDEX(Calc_지수곡선!$G$2:$BN$150,0,$A44),Calc_지수곡선!$D$2:$D$150,L$2,INDEX(Calc_지수곡선!$G$2:$BN$150,0,$A44),"&gt;0",INDEX(Calc_지수곡선!$G$2:$BN$150,0,$A44),"&lt;300"),"")</f>
        <v>146.96837124454356</v>
      </c>
      <c r="D44">
        <f>IFERROR(AVERAGEIFS(INDEX(Calc_지수곡선!$G$2:$BN$150,0,$A44),Calc_지수곡선!$D$2:$D$150,M$2,INDEX(Calc_지수곡선!$G$2:$BN$150,0,$A44),"&gt;0",INDEX(Calc_지수곡선!$G$2:$BN$150,0,$A44),"&lt;300"),"")</f>
        <v>144.7602998146501</v>
      </c>
      <c r="E44">
        <f>IFERROR(AVERAGEIFS(INDEX(Calc_지수곡선!$G$2:$BN$150,0,$A44),Calc_지수곡선!$D$2:$D$150,N$2,INDEX(Calc_지수곡선!$G$2:$BN$150,0,$A44),"&gt;0",INDEX(Calc_지수곡선!$G$2:$BN$150,0,$A44),"&lt;300"),"")</f>
        <v>103.04839647656418</v>
      </c>
      <c r="G44">
        <f>COUNTIFS(Calc_지수곡선!$D$2:$D$150,K$2,INDEX(Calc_지수곡선!$G$2:$BN$150,0,$A44),"&gt;0",INDEX(Calc_지수곡선!$G$2:$BN$150,0,$A44),"&lt;300")</f>
        <v>8</v>
      </c>
      <c r="H44">
        <f>COUNTIFS(Calc_지수곡선!$D$2:$D$150,L$2,INDEX(Calc_지수곡선!$G$2:$BN$150,0,$A44),"&gt;0",INDEX(Calc_지수곡선!$G$2:$BN$150,0,$A44),"&lt;300")</f>
        <v>9</v>
      </c>
      <c r="I44">
        <f>COUNTIFS(Calc_지수곡선!$D$2:$D$150,M$2,INDEX(Calc_지수곡선!$G$2:$BN$150,0,$A44),"&gt;0",INDEX(Calc_지수곡선!$G$2:$BN$150,0,$A44),"&lt;300")</f>
        <v>15</v>
      </c>
      <c r="J44">
        <f>COUNTIFS(Calc_지수곡선!$D$2:$D$150,N$2,INDEX(Calc_지수곡선!$G$2:$BN$150,0,$A44),"&gt;0",INDEX(Calc_지수곡선!$G$2:$BN$150,0,$A44),"&lt;300")</f>
        <v>4</v>
      </c>
      <c r="L44" t="s">
        <v>397</v>
      </c>
      <c r="M44" s="89">
        <f>SLOPE(B$3:B$14,$A$3:$A$14)</f>
        <v>3.6302071249572569</v>
      </c>
      <c r="N44" s="89">
        <f>SLOPE(B$3:B$26,$A$3:$A$26)</f>
        <v>2.2523198753139182</v>
      </c>
      <c r="O44" s="89">
        <f>SLOPE(B$3:B$38,$A$3:$A$38)</f>
        <v>1.622411249686825</v>
      </c>
      <c r="P44" s="85">
        <f>RSQ(B$3:B$14,$A$3:$A$14)</f>
        <v>0.87232282904958747</v>
      </c>
      <c r="Q44" s="85">
        <f>RSQ(B$3:B$26,$A$3:$A$26)</f>
        <v>0.88946834325306201</v>
      </c>
      <c r="R44" s="85">
        <f>RSQ(B$3:B$38,$A$3:$A$38)</f>
        <v>0.87256014749669475</v>
      </c>
    </row>
    <row r="45" spans="1:18" x14ac:dyDescent="0.4">
      <c r="A45">
        <v>43</v>
      </c>
      <c r="B45">
        <f>IFERROR(AVERAGEIFS(INDEX(Calc_지수곡선!$G$2:$BN$150,0,$A45),Calc_지수곡선!$D$2:$D$150,K$2,INDEX(Calc_지수곡선!$G$2:$BN$150,0,$A45),"&gt;0",INDEX(Calc_지수곡선!$G$2:$BN$150,0,$A45),"&lt;300"),"")</f>
        <v>160.6211620888715</v>
      </c>
      <c r="C45">
        <f>IFERROR(AVERAGEIFS(INDEX(Calc_지수곡선!$G$2:$BN$150,0,$A45),Calc_지수곡선!$D$2:$D$150,L$2,INDEX(Calc_지수곡선!$G$2:$BN$150,0,$A45),"&gt;0",INDEX(Calc_지수곡선!$G$2:$BN$150,0,$A45),"&lt;300"),"")</f>
        <v>152.80316738991891</v>
      </c>
      <c r="D45">
        <f>IFERROR(AVERAGEIFS(INDEX(Calc_지수곡선!$G$2:$BN$150,0,$A45),Calc_지수곡선!$D$2:$D$150,M$2,INDEX(Calc_지수곡선!$G$2:$BN$150,0,$A45),"&gt;0",INDEX(Calc_지수곡선!$G$2:$BN$150,0,$A45),"&lt;300"),"")</f>
        <v>146.85169353276103</v>
      </c>
      <c r="E45">
        <f>IFERROR(AVERAGEIFS(INDEX(Calc_지수곡선!$G$2:$BN$150,0,$A45),Calc_지수곡선!$D$2:$D$150,N$2,INDEX(Calc_지수곡선!$G$2:$BN$150,0,$A45),"&gt;0",INDEX(Calc_지수곡선!$G$2:$BN$150,0,$A45),"&lt;300"),"")</f>
        <v>97.183642696185387</v>
      </c>
      <c r="G45">
        <f>COUNTIFS(Calc_지수곡선!$D$2:$D$150,K$2,INDEX(Calc_지수곡선!$G$2:$BN$150,0,$A45),"&gt;0",INDEX(Calc_지수곡선!$G$2:$BN$150,0,$A45),"&lt;300")</f>
        <v>7</v>
      </c>
      <c r="H45">
        <f>COUNTIFS(Calc_지수곡선!$D$2:$D$150,L$2,INDEX(Calc_지수곡선!$G$2:$BN$150,0,$A45),"&gt;0",INDEX(Calc_지수곡선!$G$2:$BN$150,0,$A45),"&lt;300")</f>
        <v>8</v>
      </c>
      <c r="I45">
        <f>COUNTIFS(Calc_지수곡선!$D$2:$D$150,M$2,INDEX(Calc_지수곡선!$G$2:$BN$150,0,$A45),"&gt;0",INDEX(Calc_지수곡선!$G$2:$BN$150,0,$A45),"&lt;300")</f>
        <v>13</v>
      </c>
      <c r="J45">
        <f>COUNTIFS(Calc_지수곡선!$D$2:$D$150,N$2,INDEX(Calc_지수곡선!$G$2:$BN$150,0,$A45),"&gt;0",INDEX(Calc_지수곡선!$G$2:$BN$150,0,$A45),"&lt;300")</f>
        <v>4</v>
      </c>
      <c r="L45" t="s">
        <v>398</v>
      </c>
      <c r="M45" s="89">
        <f>SLOPE(C$3:C$14,$A$3:$A$14)</f>
        <v>3.139589654936334</v>
      </c>
      <c r="N45" s="89">
        <f>SLOPE(C$3:C$26,$A$3:$A$26)</f>
        <v>1.6382969172053894</v>
      </c>
      <c r="O45" s="89">
        <f>SLOPE(C$3:C$38,$A$3:$A$38)</f>
        <v>1.3464798051399778</v>
      </c>
      <c r="P45" s="85">
        <f>RSQ(C$3:C$14,$A$3:$A$14)</f>
        <v>0.87555927796222521</v>
      </c>
      <c r="Q45" s="85">
        <f>RSQ(C$3:C$26,$A$3:$A$26)</f>
        <v>0.7916253624077525</v>
      </c>
      <c r="R45" s="85">
        <f>RSQ(C$3:C$38,$A$3:$A$38)</f>
        <v>0.87730065065944596</v>
      </c>
    </row>
    <row r="46" spans="1:18" x14ac:dyDescent="0.4">
      <c r="A46">
        <v>44</v>
      </c>
      <c r="B46">
        <f>IFERROR(AVERAGEIFS(INDEX(Calc_지수곡선!$G$2:$BN$150,0,$A46),Calc_지수곡선!$D$2:$D$150,K$2,INDEX(Calc_지수곡선!$G$2:$BN$150,0,$A46),"&gt;0",INDEX(Calc_지수곡선!$G$2:$BN$150,0,$A46),"&lt;300"),"")</f>
        <v>160.26336101343958</v>
      </c>
      <c r="C46">
        <f>IFERROR(AVERAGEIFS(INDEX(Calc_지수곡선!$G$2:$BN$150,0,$A46),Calc_지수곡선!$D$2:$D$150,L$2,INDEX(Calc_지수곡선!$G$2:$BN$150,0,$A46),"&gt;0",INDEX(Calc_지수곡선!$G$2:$BN$150,0,$A46),"&lt;300"),"")</f>
        <v>150.92888367446838</v>
      </c>
      <c r="D46">
        <f>IFERROR(AVERAGEIFS(INDEX(Calc_지수곡선!$G$2:$BN$150,0,$A46),Calc_지수곡선!$D$2:$D$150,M$2,INDEX(Calc_지수곡선!$G$2:$BN$150,0,$A46),"&gt;0",INDEX(Calc_지수곡선!$G$2:$BN$150,0,$A46),"&lt;300"),"")</f>
        <v>156.30403344257482</v>
      </c>
      <c r="E46">
        <f>IFERROR(AVERAGEIFS(INDEX(Calc_지수곡선!$G$2:$BN$150,0,$A46),Calc_지수곡선!$D$2:$D$150,N$2,INDEX(Calc_지수곡선!$G$2:$BN$150,0,$A46),"&gt;0",INDEX(Calc_지수곡선!$G$2:$BN$150,0,$A46),"&lt;300"),"")</f>
        <v>99.298027373885532</v>
      </c>
      <c r="G46">
        <f>COUNTIFS(Calc_지수곡선!$D$2:$D$150,K$2,INDEX(Calc_지수곡선!$G$2:$BN$150,0,$A46),"&gt;0",INDEX(Calc_지수곡선!$G$2:$BN$150,0,$A46),"&lt;300")</f>
        <v>5</v>
      </c>
      <c r="H46">
        <f>COUNTIFS(Calc_지수곡선!$D$2:$D$150,L$2,INDEX(Calc_지수곡선!$G$2:$BN$150,0,$A46),"&gt;0",INDEX(Calc_지수곡선!$G$2:$BN$150,0,$A46),"&lt;300")</f>
        <v>6</v>
      </c>
      <c r="I46">
        <f>COUNTIFS(Calc_지수곡선!$D$2:$D$150,M$2,INDEX(Calc_지수곡선!$G$2:$BN$150,0,$A46),"&gt;0",INDEX(Calc_지수곡선!$G$2:$BN$150,0,$A46),"&lt;300")</f>
        <v>11</v>
      </c>
      <c r="J46">
        <f>COUNTIFS(Calc_지수곡선!$D$2:$D$150,N$2,INDEX(Calc_지수곡선!$G$2:$BN$150,0,$A46),"&gt;0",INDEX(Calc_지수곡선!$G$2:$BN$150,0,$A46),"&lt;300")</f>
        <v>4</v>
      </c>
      <c r="L46" t="s">
        <v>399</v>
      </c>
      <c r="M46" s="89">
        <f>SLOPE(D$3:D$14,$A$3:$A$14)</f>
        <v>3.8928076290412901</v>
      </c>
      <c r="N46" s="89">
        <f>SLOPE(D$3:D$26,$A$3:$A$26)</f>
        <v>1.7380676014511618</v>
      </c>
      <c r="O46" s="89">
        <f>SLOPE(D$3:D$38,$A$3:$A$38)</f>
        <v>1.3914166560982888</v>
      </c>
      <c r="P46" s="85">
        <f>RSQ(D$3:D$14,$A$3:$A$14)</f>
        <v>0.91702762708727836</v>
      </c>
      <c r="Q46" s="85">
        <f>RSQ(D$3:D$26,$A$3:$A$26)</f>
        <v>0.72710659008473055</v>
      </c>
      <c r="R46" s="85">
        <f>RSQ(D$3:D$38,$A$3:$A$38)</f>
        <v>0.81852553913736181</v>
      </c>
    </row>
    <row r="47" spans="1:18" x14ac:dyDescent="0.4">
      <c r="A47">
        <v>45</v>
      </c>
      <c r="B47">
        <f>IFERROR(AVERAGEIFS(INDEX(Calc_지수곡선!$G$2:$BN$150,0,$A47),Calc_지수곡선!$D$2:$D$150,K$2,INDEX(Calc_지수곡선!$G$2:$BN$150,0,$A47),"&gt;0",INDEX(Calc_지수곡선!$G$2:$BN$150,0,$A47),"&lt;300"),"")</f>
        <v>153.50470553989777</v>
      </c>
      <c r="C47">
        <f>IFERROR(AVERAGEIFS(INDEX(Calc_지수곡선!$G$2:$BN$150,0,$A47),Calc_지수곡선!$D$2:$D$150,L$2,INDEX(Calc_지수곡선!$G$2:$BN$150,0,$A47),"&gt;0",INDEX(Calc_지수곡선!$G$2:$BN$150,0,$A47),"&lt;300"),"")</f>
        <v>153.15350580903575</v>
      </c>
      <c r="D47">
        <f>IFERROR(AVERAGEIFS(INDEX(Calc_지수곡선!$G$2:$BN$150,0,$A47),Calc_지수곡선!$D$2:$D$150,M$2,INDEX(Calc_지수곡선!$G$2:$BN$150,0,$A47),"&gt;0",INDEX(Calc_지수곡선!$G$2:$BN$150,0,$A47),"&lt;300"),"")</f>
        <v>162.85373599568297</v>
      </c>
      <c r="E47">
        <f>IFERROR(AVERAGEIFS(INDEX(Calc_지수곡선!$G$2:$BN$150,0,$A47),Calc_지수곡선!$D$2:$D$150,N$2,INDEX(Calc_지수곡선!$G$2:$BN$150,0,$A47),"&gt;0",INDEX(Calc_지수곡선!$G$2:$BN$150,0,$A47),"&lt;300"),"")</f>
        <v>100.64167798775642</v>
      </c>
      <c r="G47">
        <f>COUNTIFS(Calc_지수곡선!$D$2:$D$150,K$2,INDEX(Calc_지수곡선!$G$2:$BN$150,0,$A47),"&gt;0",INDEX(Calc_지수곡선!$G$2:$BN$150,0,$A47),"&lt;300")</f>
        <v>5</v>
      </c>
      <c r="H47">
        <f>COUNTIFS(Calc_지수곡선!$D$2:$D$150,L$2,INDEX(Calc_지수곡선!$G$2:$BN$150,0,$A47),"&gt;0",INDEX(Calc_지수곡선!$G$2:$BN$150,0,$A47),"&lt;300")</f>
        <v>6</v>
      </c>
      <c r="I47">
        <f>COUNTIFS(Calc_지수곡선!$D$2:$D$150,M$2,INDEX(Calc_지수곡선!$G$2:$BN$150,0,$A47),"&gt;0",INDEX(Calc_지수곡선!$G$2:$BN$150,0,$A47),"&lt;300")</f>
        <v>9</v>
      </c>
      <c r="J47">
        <f>COUNTIFS(Calc_지수곡선!$D$2:$D$150,N$2,INDEX(Calc_지수곡선!$G$2:$BN$150,0,$A47),"&gt;0",INDEX(Calc_지수곡선!$G$2:$BN$150,0,$A47),"&lt;300")</f>
        <v>4</v>
      </c>
      <c r="L47" t="s">
        <v>400</v>
      </c>
      <c r="M47" s="89">
        <f>SLOPE(E$3:E$14,$A$3:$A$14)</f>
        <v>2.3754610429519416</v>
      </c>
      <c r="N47" s="89">
        <f>SLOPE(E$3:E$26,$A$3:$A$26)</f>
        <v>1.1115628537347255</v>
      </c>
      <c r="O47" s="89">
        <f>SLOPE(E$3:E$38,$A$3:$A$38)</f>
        <v>0.29651442540556272</v>
      </c>
      <c r="P47" s="85">
        <f>RSQ(E$3:E$14,$A$3:$A$14)</f>
        <v>0.79108560837488839</v>
      </c>
      <c r="Q47" s="85">
        <f>RSQ(E$3:E$26,$A$3:$A$26)</f>
        <v>0.70352600270608545</v>
      </c>
      <c r="R47" s="85">
        <f>RSQ(E$3:E$38,$A$3:$A$38)</f>
        <v>0.15946785939666663</v>
      </c>
    </row>
    <row r="48" spans="1:18" x14ac:dyDescent="0.4">
      <c r="A48">
        <v>46</v>
      </c>
      <c r="B48">
        <f>IFERROR(AVERAGEIFS(INDEX(Calc_지수곡선!$G$2:$BN$150,0,$A48),Calc_지수곡선!$D$2:$D$150,K$2,INDEX(Calc_지수곡선!$G$2:$BN$150,0,$A48),"&gt;0",INDEX(Calc_지수곡선!$G$2:$BN$150,0,$A48),"&lt;300"),"")</f>
        <v>153.82167794639207</v>
      </c>
      <c r="C48">
        <f>IFERROR(AVERAGEIFS(INDEX(Calc_지수곡선!$G$2:$BN$150,0,$A48),Calc_지수곡선!$D$2:$D$150,L$2,INDEX(Calc_지수곡선!$G$2:$BN$150,0,$A48),"&gt;0",INDEX(Calc_지수곡선!$G$2:$BN$150,0,$A48),"&lt;300"),"")</f>
        <v>147.99769560557678</v>
      </c>
      <c r="D48">
        <f>IFERROR(AVERAGEIFS(INDEX(Calc_지수곡선!$G$2:$BN$150,0,$A48),Calc_지수곡선!$D$2:$D$150,M$2,INDEX(Calc_지수곡선!$G$2:$BN$150,0,$A48),"&gt;0",INDEX(Calc_지수곡선!$G$2:$BN$150,0,$A48),"&lt;300"),"")</f>
        <v>151.42400122731675</v>
      </c>
      <c r="E48">
        <f>IFERROR(AVERAGEIFS(INDEX(Calc_지수곡선!$G$2:$BN$150,0,$A48),Calc_지수곡선!$D$2:$D$150,N$2,INDEX(Calc_지수곡선!$G$2:$BN$150,0,$A48),"&gt;0",INDEX(Calc_지수곡선!$G$2:$BN$150,0,$A48),"&lt;300"),"")</f>
        <v>86.611940601175505</v>
      </c>
      <c r="G48">
        <f>COUNTIFS(Calc_지수곡선!$D$2:$D$150,K$2,INDEX(Calc_지수곡선!$G$2:$BN$150,0,$A48),"&gt;0",INDEX(Calc_지수곡선!$G$2:$BN$150,0,$A48),"&lt;300")</f>
        <v>5</v>
      </c>
      <c r="H48">
        <f>COUNTIFS(Calc_지수곡선!$D$2:$D$150,L$2,INDEX(Calc_지수곡선!$G$2:$BN$150,0,$A48),"&gt;0",INDEX(Calc_지수곡선!$G$2:$BN$150,0,$A48),"&lt;300")</f>
        <v>5</v>
      </c>
      <c r="I48">
        <f>COUNTIFS(Calc_지수곡선!$D$2:$D$150,M$2,INDEX(Calc_지수곡선!$G$2:$BN$150,0,$A48),"&gt;0",INDEX(Calc_지수곡선!$G$2:$BN$150,0,$A48),"&lt;300")</f>
        <v>7</v>
      </c>
      <c r="J48">
        <f>COUNTIFS(Calc_지수곡선!$D$2:$D$150,N$2,INDEX(Calc_지수곡선!$G$2:$BN$150,0,$A48),"&gt;0",INDEX(Calc_지수곡선!$G$2:$BN$150,0,$A48),"&lt;300")</f>
        <v>3</v>
      </c>
      <c r="L48" s="23" t="s">
        <v>428</v>
      </c>
      <c r="M48" s="90">
        <f t="shared" ref="M48:R48" si="4">AVERAGE(M44:M46)</f>
        <v>3.5542014696449602</v>
      </c>
      <c r="N48" s="90">
        <f t="shared" si="4"/>
        <v>1.8762281313234899</v>
      </c>
      <c r="O48" s="90">
        <f t="shared" si="4"/>
        <v>1.4534359036416973</v>
      </c>
      <c r="P48" s="85">
        <f t="shared" si="4"/>
        <v>0.88830324469969701</v>
      </c>
      <c r="Q48" s="91">
        <f t="shared" si="4"/>
        <v>0.80273343191518165</v>
      </c>
      <c r="R48" s="91">
        <f t="shared" si="4"/>
        <v>0.85612877909783425</v>
      </c>
    </row>
    <row r="49" spans="1:30" x14ac:dyDescent="0.4">
      <c r="A49">
        <v>47</v>
      </c>
      <c r="B49">
        <f>IFERROR(AVERAGEIFS(INDEX(Calc_지수곡선!$G$2:$BN$150,0,$A49),Calc_지수곡선!$D$2:$D$150,K$2,INDEX(Calc_지수곡선!$G$2:$BN$150,0,$A49),"&gt;0",INDEX(Calc_지수곡선!$G$2:$BN$150,0,$A49),"&lt;300"),"")</f>
        <v>147.23375395933326</v>
      </c>
      <c r="C49">
        <f>IFERROR(AVERAGEIFS(INDEX(Calc_지수곡선!$G$2:$BN$150,0,$A49),Calc_지수곡선!$D$2:$D$150,L$2,INDEX(Calc_지수곡선!$G$2:$BN$150,0,$A49),"&gt;0",INDEX(Calc_지수곡선!$G$2:$BN$150,0,$A49),"&lt;300"),"")</f>
        <v>150.55963192715697</v>
      </c>
      <c r="D49">
        <f>IFERROR(AVERAGEIFS(INDEX(Calc_지수곡선!$G$2:$BN$150,0,$A49),Calc_지수곡선!$D$2:$D$150,M$2,INDEX(Calc_지수곡선!$G$2:$BN$150,0,$A49),"&gt;0",INDEX(Calc_지수곡선!$G$2:$BN$150,0,$A49),"&lt;300"),"")</f>
        <v>159.33328598327122</v>
      </c>
      <c r="E49">
        <f>IFERROR(AVERAGEIFS(INDEX(Calc_지수곡선!$G$2:$BN$150,0,$A49),Calc_지수곡선!$D$2:$D$150,N$2,INDEX(Calc_지수곡선!$G$2:$BN$150,0,$A49),"&gt;0",INDEX(Calc_지수곡선!$G$2:$BN$150,0,$A49),"&lt;300"),"")</f>
        <v>86.340019942303229</v>
      </c>
      <c r="G49">
        <f>COUNTIFS(Calc_지수곡선!$D$2:$D$150,K$2,INDEX(Calc_지수곡선!$G$2:$BN$150,0,$A49),"&gt;0",INDEX(Calc_지수곡선!$G$2:$BN$150,0,$A49),"&lt;300")</f>
        <v>5</v>
      </c>
      <c r="H49">
        <f>COUNTIFS(Calc_지수곡선!$D$2:$D$150,L$2,INDEX(Calc_지수곡선!$G$2:$BN$150,0,$A49),"&gt;0",INDEX(Calc_지수곡선!$G$2:$BN$150,0,$A49),"&lt;300")</f>
        <v>5</v>
      </c>
      <c r="I49">
        <f>COUNTIFS(Calc_지수곡선!$D$2:$D$150,M$2,INDEX(Calc_지수곡선!$G$2:$BN$150,0,$A49),"&gt;0",INDEX(Calc_지수곡선!$G$2:$BN$150,0,$A49),"&lt;300")</f>
        <v>6</v>
      </c>
      <c r="J49">
        <f>COUNTIFS(Calc_지수곡선!$D$2:$D$150,N$2,INDEX(Calc_지수곡선!$G$2:$BN$150,0,$A49),"&gt;0",INDEX(Calc_지수곡선!$G$2:$BN$150,0,$A49),"&lt;300")</f>
        <v>3</v>
      </c>
      <c r="L49" t="s">
        <v>429</v>
      </c>
    </row>
    <row r="50" spans="1:30" x14ac:dyDescent="0.4">
      <c r="A50">
        <v>48</v>
      </c>
      <c r="B50">
        <f>IFERROR(AVERAGEIFS(INDEX(Calc_지수곡선!$G$2:$BN$150,0,$A50),Calc_지수곡선!$D$2:$D$150,K$2,INDEX(Calc_지수곡선!$G$2:$BN$150,0,$A50),"&gt;0",INDEX(Calc_지수곡선!$G$2:$BN$150,0,$A50),"&lt;300"),"")</f>
        <v>143.51148636089786</v>
      </c>
      <c r="C50">
        <f>IFERROR(AVERAGEIFS(INDEX(Calc_지수곡선!$G$2:$BN$150,0,$A50),Calc_지수곡선!$D$2:$D$150,L$2,INDEX(Calc_지수곡선!$G$2:$BN$150,0,$A50),"&gt;0",INDEX(Calc_지수곡선!$G$2:$BN$150,0,$A50),"&lt;300"),"")</f>
        <v>150.78152685665893</v>
      </c>
      <c r="D50">
        <f>IFERROR(AVERAGEIFS(INDEX(Calc_지수곡선!$G$2:$BN$150,0,$A50),Calc_지수곡선!$D$2:$D$150,M$2,INDEX(Calc_지수곡선!$G$2:$BN$150,0,$A50),"&gt;0",INDEX(Calc_지수곡선!$G$2:$BN$150,0,$A50),"&lt;300"),"")</f>
        <v>160.50015132643549</v>
      </c>
      <c r="E50">
        <f>IFERROR(AVERAGEIFS(INDEX(Calc_지수곡선!$G$2:$BN$150,0,$A50),Calc_지수곡선!$D$2:$D$150,N$2,INDEX(Calc_지수곡선!$G$2:$BN$150,0,$A50),"&gt;0",INDEX(Calc_지수곡선!$G$2:$BN$150,0,$A50),"&lt;300"),"")</f>
        <v>84.192241244676097</v>
      </c>
      <c r="G50">
        <f>COUNTIFS(Calc_지수곡선!$D$2:$D$150,K$2,INDEX(Calc_지수곡선!$G$2:$BN$150,0,$A50),"&gt;0",INDEX(Calc_지수곡선!$G$2:$BN$150,0,$A50),"&lt;300")</f>
        <v>5</v>
      </c>
      <c r="H50">
        <f>COUNTIFS(Calc_지수곡선!$D$2:$D$150,L$2,INDEX(Calc_지수곡선!$G$2:$BN$150,0,$A50),"&gt;0",INDEX(Calc_지수곡선!$G$2:$BN$150,0,$A50),"&lt;300")</f>
        <v>5</v>
      </c>
      <c r="I50">
        <f>COUNTIFS(Calc_지수곡선!$D$2:$D$150,M$2,INDEX(Calc_지수곡선!$G$2:$BN$150,0,$A50),"&gt;0",INDEX(Calc_지수곡선!$G$2:$BN$150,0,$A50),"&lt;300")</f>
        <v>6</v>
      </c>
      <c r="J50">
        <f>COUNTIFS(Calc_지수곡선!$D$2:$D$150,N$2,INDEX(Calc_지수곡선!$G$2:$BN$150,0,$A50),"&gt;0",INDEX(Calc_지수곡선!$G$2:$BN$150,0,$A50),"&lt;300")</f>
        <v>3</v>
      </c>
      <c r="L50" t="s">
        <v>430</v>
      </c>
    </row>
    <row r="52" spans="1:30" ht="17.5" x14ac:dyDescent="0.4">
      <c r="A52" s="119" t="s">
        <v>390</v>
      </c>
      <c r="B52" s="119"/>
      <c r="C52" s="119"/>
      <c r="D52" s="119"/>
      <c r="E52" s="119"/>
      <c r="F52" s="119"/>
      <c r="G52" s="119"/>
      <c r="H52" s="119"/>
      <c r="I52" s="119"/>
      <c r="J52" s="119"/>
    </row>
    <row r="53" spans="1:30" x14ac:dyDescent="0.4">
      <c r="A53" s="31" t="s">
        <v>246</v>
      </c>
    </row>
    <row r="55" spans="1:30" ht="17.5" x14ac:dyDescent="0.4">
      <c r="A55" t="s">
        <v>247</v>
      </c>
      <c r="L55" s="97" t="s">
        <v>436</v>
      </c>
    </row>
    <row r="56" spans="1:30" ht="15" thickBot="1" x14ac:dyDescent="0.45">
      <c r="A56" t="str">
        <f>"2. 초기 출발은 고경쟁 입지가 빠름 — m1차 경쟁3+ "&amp;TEXT(E3,"0")&amp;" vs 경쟁0 "&amp;TEXT(B3,"0")&amp;" (유동인구 많은 상권 효과)"</f>
        <v>2. 초기 출발은 고경쟁 입지가 빠름 — m1차 경쟁3+ 76 vs 경쟁0 66 (유동인구 많은 상권 효과)</v>
      </c>
      <c r="L56" s="23" t="s">
        <v>437</v>
      </c>
    </row>
    <row r="57" spans="1:30" ht="15" thickBot="1" x14ac:dyDescent="0.45">
      <c r="A57" t="str">
        <f>"3. 장기 우상향(2년·3년): 경쟁0 "&amp;TEXT(B26,"0")&amp;"·"&amp;TEXT(B38,"0")&amp;" / 경쟁1 "&amp;TEXT(C26,"0")&amp;"·"&amp;TEXT(C38,"0")&amp;" / 경쟁2 "&amp;TEXT(D26,"0")&amp;"·"&amp;TEXT(D38,"0")&amp;" — 지속 성장"</f>
        <v>3. 장기 우상향(2년·3년): 경쟁0 129·145 / 경쟁1 117·140 / 경쟁2 117·134 — 지속 성장</v>
      </c>
      <c r="L57" t="s">
        <v>469</v>
      </c>
      <c r="M57" s="109" t="s">
        <v>532</v>
      </c>
    </row>
    <row r="58" spans="1:30" ht="15" thickBot="1" x14ac:dyDescent="0.45">
      <c r="A58" t="str">
        <f>"4. 경쟁3+는 m18~24 정점("&amp;TEXT(E20,"0")&amp;"~"&amp;TEXT(E26,"0")&amp;") 후 역성장 (m30 "&amp;TEXT(E32,"0")&amp;", m36 "&amp;TEXT(E38,"0")&amp;") — 2년차 정체·잠식"</f>
        <v>4. 경쟁3+는 m18~24 정점(113~115) 후 역성장 (m30 98, m36 99) — 2년차 정체·잠식</v>
      </c>
      <c r="L58" t="s">
        <v>508</v>
      </c>
      <c r="M58" s="109" t="s">
        <v>533</v>
      </c>
    </row>
    <row r="59" spans="1:30" x14ac:dyDescent="0.4">
      <c r="A59" s="23" t="s">
        <v>249</v>
      </c>
      <c r="L59" t="s">
        <v>513</v>
      </c>
      <c r="M59" s="92" t="s">
        <v>471</v>
      </c>
    </row>
    <row r="60" spans="1:30" x14ac:dyDescent="0.4">
      <c r="A60" s="31" t="s">
        <v>248</v>
      </c>
      <c r="AB60" s="4" t="s">
        <v>521</v>
      </c>
      <c r="AC60" s="4" t="s">
        <v>522</v>
      </c>
    </row>
    <row r="61" spans="1:30" x14ac:dyDescent="0.4">
      <c r="L61" s="23" t="s">
        <v>438</v>
      </c>
      <c r="Y61" t="s">
        <v>531</v>
      </c>
      <c r="Z61" s="4" t="s">
        <v>516</v>
      </c>
      <c r="AA61" s="4" t="s">
        <v>517</v>
      </c>
      <c r="AB61" s="118" t="s">
        <v>520</v>
      </c>
      <c r="AC61" s="4" t="s">
        <v>518</v>
      </c>
      <c r="AD61" s="4" t="s">
        <v>527</v>
      </c>
    </row>
    <row r="62" spans="1:30" ht="17" x14ac:dyDescent="0.4">
      <c r="A62" s="120" t="s">
        <v>391</v>
      </c>
      <c r="B62" s="120"/>
      <c r="C62" s="120"/>
      <c r="D62" s="120"/>
      <c r="E62" s="120"/>
      <c r="F62" s="120"/>
      <c r="G62" s="120"/>
      <c r="H62" s="120"/>
      <c r="I62" s="120"/>
      <c r="J62" s="120"/>
      <c r="L62" s="98" t="s">
        <v>276</v>
      </c>
      <c r="M62" s="98" t="s">
        <v>439</v>
      </c>
      <c r="N62" s="98" t="s">
        <v>440</v>
      </c>
      <c r="O62" s="98" t="s">
        <v>441</v>
      </c>
      <c r="P62" s="98" t="s">
        <v>442</v>
      </c>
      <c r="Q62" s="98" t="s">
        <v>443</v>
      </c>
      <c r="R62" s="98" t="s">
        <v>444</v>
      </c>
      <c r="S62" s="98" t="s">
        <v>470</v>
      </c>
      <c r="T62" s="98" t="s">
        <v>509</v>
      </c>
      <c r="Y62" t="s">
        <v>515</v>
      </c>
      <c r="Z62" s="2">
        <v>46044</v>
      </c>
      <c r="AA62" s="4">
        <v>6</v>
      </c>
      <c r="AB62" s="118">
        <v>5040140</v>
      </c>
      <c r="AC62" s="118">
        <v>4408858</v>
      </c>
      <c r="AD62" s="118">
        <f>AB62-AC62</f>
        <v>631282</v>
      </c>
    </row>
    <row r="63" spans="1:30" ht="15" thickBot="1" x14ac:dyDescent="0.45">
      <c r="A63" s="33" t="s">
        <v>250</v>
      </c>
      <c r="B63" t="s">
        <v>251</v>
      </c>
      <c r="L63" t="s">
        <v>445</v>
      </c>
      <c r="M63" s="4" t="s">
        <v>446</v>
      </c>
      <c r="N63" s="93"/>
      <c r="O63" s="113" cm="1">
        <f t="array" ref="O63">IF(OR($M$59&lt;&gt;"Y",$M$58=""),"-",INDEX(요약_월별시즈널리티!$F$7:$F$18,MONTH($M$58)))</f>
        <v>103.33184157392137</v>
      </c>
      <c r="P63" s="4" t="s">
        <v>447</v>
      </c>
      <c r="Q63" s="4" t="s">
        <v>447</v>
      </c>
      <c r="R63" s="4" t="s">
        <v>447</v>
      </c>
      <c r="S63" s="4" t="s">
        <v>447</v>
      </c>
      <c r="T63" s="95" t="str">
        <f>IF($M$58="","-",$M$58)</f>
        <v>26-12-24</v>
      </c>
      <c r="Y63" t="s">
        <v>519</v>
      </c>
      <c r="Z63" s="2">
        <v>45975</v>
      </c>
      <c r="AA63" s="4">
        <v>8</v>
      </c>
      <c r="AB63" s="118">
        <v>3840050</v>
      </c>
      <c r="AC63" s="118">
        <v>4112215</v>
      </c>
      <c r="AD63" s="118">
        <f t="shared" ref="AD63:AD70" si="5">AB63-AC63</f>
        <v>-272165</v>
      </c>
    </row>
    <row r="64" spans="1:30" x14ac:dyDescent="0.4">
      <c r="A64" s="34" t="s">
        <v>252</v>
      </c>
      <c r="B64" t="s">
        <v>253</v>
      </c>
      <c r="L64" t="s">
        <v>448</v>
      </c>
      <c r="M64" s="4">
        <v>1</v>
      </c>
      <c r="N64" s="106">
        <v>2182260</v>
      </c>
      <c r="O64" s="114" cm="1">
        <f t="array" ref="O64">IF(OR($M$59&lt;&gt;"Y",$M$58=""),100,INDEX(요약_월별시즈널리티!$F$7:$F$18,MONTH(EDATE($M$58,$M64))))</f>
        <v>91.030316684681807</v>
      </c>
      <c r="P64" s="6">
        <f>IF($N64="","",N64/(O64/100))</f>
        <v>2397289.2542592036</v>
      </c>
      <c r="Q64" s="12" cm="1">
        <f t="array" ref="Q64">IF($M$57="평균",AVERAGE(INDEX($B$3:$D$48,$M64,0)),INDEX($B$3:$E$48,$M64,MATCH("그룹"&amp;$M$57&amp;"*",$B$2:$E$2,0)))</f>
        <v>67.854249344380904</v>
      </c>
      <c r="R64" s="6">
        <f>IF($N64="","",P64/Q64*100)</f>
        <v>3532997.973483183</v>
      </c>
      <c r="S64" s="102" t="s">
        <v>471</v>
      </c>
      <c r="T64" s="95">
        <f>IF($M$58="","-",EDATE($M$58,$M64))</f>
        <v>46411</v>
      </c>
      <c r="Y64" t="s">
        <v>523</v>
      </c>
      <c r="Z64" s="2">
        <v>45387</v>
      </c>
      <c r="AA64" s="4">
        <v>27</v>
      </c>
      <c r="AB64" s="118">
        <v>4508100</v>
      </c>
      <c r="AC64" s="118">
        <v>5085759.0931437556</v>
      </c>
      <c r="AD64" s="118">
        <f t="shared" si="5"/>
        <v>-577659.09314375557</v>
      </c>
    </row>
    <row r="65" spans="1:30" x14ac:dyDescent="0.4">
      <c r="A65" s="35" t="s">
        <v>254</v>
      </c>
      <c r="B65" t="s">
        <v>255</v>
      </c>
      <c r="L65" t="s">
        <v>449</v>
      </c>
      <c r="M65" s="4">
        <v>2</v>
      </c>
      <c r="N65" s="107">
        <v>3137120</v>
      </c>
      <c r="O65" s="115" cm="1">
        <f t="array" ref="O65">IF(OR($M$59&lt;&gt;"Y",$M$58=""),100,INDEX(요약_월별시즈널리티!$F$7:$F$18,MONTH(EDATE($M$58,$M65))))</f>
        <v>84.287776489062807</v>
      </c>
      <c r="P65" s="6">
        <f t="shared" ref="P65:P75" si="6">IF($N65="","",N65/(O65/100))</f>
        <v>3721915.7162214061</v>
      </c>
      <c r="Q65" s="12" cm="1">
        <f t="array" ref="Q65">IF($M$57="평균",AVERAGE(INDEX($B$3:$D$48,$M65,0)),INDEX($B$3:$E$48,$M65,MATCH("그룹"&amp;$M$57&amp;"*",$B$2:$E$2,0)))</f>
        <v>79.331242608496709</v>
      </c>
      <c r="R65" s="6">
        <f t="shared" ref="R65:R75" si="7">IF($N65="","",P65/Q65*100)</f>
        <v>4691614.039867281</v>
      </c>
      <c r="S65" s="102" t="s">
        <v>471</v>
      </c>
      <c r="T65" s="95">
        <f t="shared" ref="T65:T75" si="8">IF($M$58="","-",EDATE($M$58,$M65))</f>
        <v>46442</v>
      </c>
      <c r="Y65" t="s">
        <v>524</v>
      </c>
      <c r="Z65" s="2">
        <v>45475</v>
      </c>
      <c r="AA65" s="4">
        <v>24</v>
      </c>
      <c r="AB65" s="118">
        <v>5830550</v>
      </c>
      <c r="AC65" s="118">
        <v>4404880</v>
      </c>
      <c r="AD65" s="118">
        <f t="shared" si="5"/>
        <v>1425670</v>
      </c>
    </row>
    <row r="66" spans="1:30" x14ac:dyDescent="0.4">
      <c r="A66" s="36" t="s">
        <v>256</v>
      </c>
      <c r="B66" t="s">
        <v>257</v>
      </c>
      <c r="L66" t="s">
        <v>450</v>
      </c>
      <c r="M66" s="4">
        <v>3</v>
      </c>
      <c r="N66" s="107">
        <v>3639290</v>
      </c>
      <c r="O66" s="115" cm="1">
        <f t="array" ref="O66">IF(OR($M$59&lt;&gt;"Y",$M$58=""),100,INDEX(요약_월별시즈널리티!$F$7:$F$18,MONTH(EDATE($M$58,$M66))))</f>
        <v>97.17160058404427</v>
      </c>
      <c r="P66" s="6">
        <f t="shared" si="6"/>
        <v>3745219.7742203055</v>
      </c>
      <c r="Q66" s="12" cm="1">
        <f t="array" ref="Q66">IF($M$57="평균",AVERAGE(INDEX($B$3:$D$48,$M66,0)),INDEX($B$3:$E$48,$M66,MATCH("그룹"&amp;$M$57&amp;"*",$B$2:$E$2,0)))</f>
        <v>88.838287736227429</v>
      </c>
      <c r="R66" s="6">
        <f t="shared" si="7"/>
        <v>4215772.1289500268</v>
      </c>
      <c r="S66" s="102" t="s">
        <v>471</v>
      </c>
      <c r="T66" s="95">
        <f t="shared" si="8"/>
        <v>46470</v>
      </c>
      <c r="Y66" t="s">
        <v>525</v>
      </c>
      <c r="Z66" s="2">
        <v>45532</v>
      </c>
      <c r="AA66" s="4">
        <v>23</v>
      </c>
      <c r="AB66" s="118">
        <v>4165050</v>
      </c>
      <c r="AC66" s="118">
        <v>2105327</v>
      </c>
      <c r="AD66" s="118">
        <f t="shared" si="5"/>
        <v>2059723</v>
      </c>
    </row>
    <row r="67" spans="1:30" x14ac:dyDescent="0.4">
      <c r="A67" s="36"/>
      <c r="L67" t="s">
        <v>472</v>
      </c>
      <c r="M67" s="4">
        <v>4</v>
      </c>
      <c r="N67" s="107">
        <v>4402170</v>
      </c>
      <c r="O67" s="115" cm="1">
        <f t="array" ref="O67">IF(OR($M$59&lt;&gt;"Y",$M$58=""),100,INDEX(요약_월별시즈널리티!$F$7:$F$18,MONTH(EDATE($M$58,$M67))))</f>
        <v>96.499914908438853</v>
      </c>
      <c r="P67" s="6">
        <f t="shared" si="6"/>
        <v>4561838.219419024</v>
      </c>
      <c r="Q67" s="12" cm="1">
        <f t="array" ref="Q67">IF($M$57="평균",AVERAGE(INDEX($B$3:$D$48,$M67,0)),INDEX($B$3:$E$48,$M67,MATCH("그룹"&amp;$M$57&amp;"*",$B$2:$E$2,0)))</f>
        <v>93.426873469053419</v>
      </c>
      <c r="R67" s="6">
        <f t="shared" si="7"/>
        <v>4882790.1973301936</v>
      </c>
      <c r="S67" s="102" t="s">
        <v>471</v>
      </c>
      <c r="T67" s="95">
        <f t="shared" si="8"/>
        <v>46501</v>
      </c>
      <c r="Y67" t="s">
        <v>526</v>
      </c>
      <c r="Z67" s="2">
        <v>45589</v>
      </c>
      <c r="AA67" s="4">
        <v>22</v>
      </c>
      <c r="AB67" s="118">
        <v>3583900</v>
      </c>
      <c r="AC67" s="118">
        <v>3006644</v>
      </c>
      <c r="AD67" s="118">
        <f t="shared" si="5"/>
        <v>577256</v>
      </c>
    </row>
    <row r="68" spans="1:30" x14ac:dyDescent="0.4">
      <c r="A68" s="36"/>
      <c r="L68" t="s">
        <v>473</v>
      </c>
      <c r="M68" s="4">
        <v>5</v>
      </c>
      <c r="N68" s="107">
        <v>5040140</v>
      </c>
      <c r="O68" s="115" cm="1">
        <f t="array" ref="O68">IF(OR($M$59&lt;&gt;"Y",$M$58=""),100,INDEX(요약_월별시즈널리티!$F$7:$F$18,MONTH(EDATE($M$58,$M68))))</f>
        <v>105.36696241365125</v>
      </c>
      <c r="P68" s="6">
        <f t="shared" si="6"/>
        <v>4783415.868261762</v>
      </c>
      <c r="Q68" s="12" cm="1">
        <f t="array" ref="Q68">IF($M$57="평균",AVERAGE(INDEX($B$3:$D$48,$M68,0)),INDEX($B$3:$E$48,$M68,MATCH("그룹"&amp;$M$57&amp;"*",$B$2:$E$2,0)))</f>
        <v>97.074861018493039</v>
      </c>
      <c r="R68" s="6">
        <f t="shared" si="7"/>
        <v>4927553.6612414075</v>
      </c>
      <c r="S68" s="102" t="s">
        <v>471</v>
      </c>
      <c r="T68" s="95">
        <f t="shared" si="8"/>
        <v>46531</v>
      </c>
      <c r="Y68" t="s">
        <v>528</v>
      </c>
      <c r="Z68" s="2">
        <v>45611</v>
      </c>
      <c r="AA68" s="4">
        <v>20</v>
      </c>
      <c r="AB68" s="118">
        <v>4506840</v>
      </c>
      <c r="AC68" s="118">
        <v>4564841.688378511</v>
      </c>
      <c r="AD68" s="118">
        <f t="shared" si="5"/>
        <v>-58001.688378510997</v>
      </c>
    </row>
    <row r="69" spans="1:30" x14ac:dyDescent="0.4">
      <c r="A69" s="36"/>
      <c r="L69" t="s">
        <v>474</v>
      </c>
      <c r="M69" s="4">
        <v>6</v>
      </c>
      <c r="N69" s="107"/>
      <c r="O69" s="115" cm="1">
        <f t="array" ref="O69">IF(OR($M$59&lt;&gt;"Y",$M$58=""),100,INDEX(요약_월별시즈널리티!$F$7:$F$18,MONTH(EDATE($M$58,$M69))))</f>
        <v>102.78468761332418</v>
      </c>
      <c r="P69" s="6" t="str">
        <f t="shared" si="6"/>
        <v/>
      </c>
      <c r="Q69" s="12" cm="1">
        <f t="array" ref="Q69">IF($M$57="평균",AVERAGE(INDEX($B$3:$D$48,$M69,0)),INDEX($B$3:$E$48,$M69,MATCH("그룹"&amp;$M$57&amp;"*",$B$2:$E$2,0)))</f>
        <v>99.215264300635681</v>
      </c>
      <c r="R69" s="6" t="str">
        <f t="shared" si="7"/>
        <v/>
      </c>
      <c r="S69" s="102" t="s">
        <v>471</v>
      </c>
      <c r="T69" s="95">
        <f t="shared" si="8"/>
        <v>46562</v>
      </c>
      <c r="Y69" t="s">
        <v>529</v>
      </c>
      <c r="Z69" s="2">
        <v>45911</v>
      </c>
      <c r="AA69" s="4">
        <v>10</v>
      </c>
      <c r="AB69" s="118">
        <v>4406010</v>
      </c>
      <c r="AC69" s="118">
        <v>5288582</v>
      </c>
      <c r="AD69" s="118">
        <f t="shared" si="5"/>
        <v>-882572</v>
      </c>
    </row>
    <row r="70" spans="1:30" x14ac:dyDescent="0.4">
      <c r="A70" s="36"/>
      <c r="L70" t="s">
        <v>475</v>
      </c>
      <c r="M70" s="4">
        <v>7</v>
      </c>
      <c r="N70" s="107"/>
      <c r="O70" s="115" cm="1">
        <f t="array" ref="O70">IF(OR($M$59&lt;&gt;"Y",$M$58=""),100,INDEX(요약_월별시즈널리티!$F$7:$F$18,MONTH(EDATE($M$58,$M70))))</f>
        <v>104.67864933203967</v>
      </c>
      <c r="P70" s="6" t="str">
        <f t="shared" si="6"/>
        <v/>
      </c>
      <c r="Q70" s="12" cm="1">
        <f t="array" ref="Q70">IF($M$57="평균",AVERAGE(INDEX($B$3:$D$48,$M70,0)),INDEX($B$3:$E$48,$M70,MATCH("그룹"&amp;$M$57&amp;"*",$B$2:$E$2,0)))</f>
        <v>102.39750640621986</v>
      </c>
      <c r="R70" s="6" t="str">
        <f t="shared" si="7"/>
        <v/>
      </c>
      <c r="S70" s="102" t="s">
        <v>471</v>
      </c>
      <c r="T70" s="95">
        <f t="shared" si="8"/>
        <v>46592</v>
      </c>
      <c r="Y70" t="s">
        <v>530</v>
      </c>
      <c r="Z70" s="2">
        <v>45880</v>
      </c>
      <c r="AA70" s="4">
        <v>11</v>
      </c>
      <c r="AB70" s="118">
        <v>6999410</v>
      </c>
      <c r="AC70" s="118">
        <v>8938003</v>
      </c>
      <c r="AD70" s="118">
        <f t="shared" si="5"/>
        <v>-1938593</v>
      </c>
    </row>
    <row r="71" spans="1:30" x14ac:dyDescent="0.4">
      <c r="A71" s="36"/>
      <c r="L71" t="s">
        <v>476</v>
      </c>
      <c r="M71" s="4">
        <v>8</v>
      </c>
      <c r="N71" s="107"/>
      <c r="O71" s="115" cm="1">
        <f t="array" ref="O71">IF(OR($M$59&lt;&gt;"Y",$M$58=""),100,INDEX(요약_월별시즈널리티!$F$7:$F$18,MONTH(EDATE($M$58,$M71))))</f>
        <v>102.0452176382724</v>
      </c>
      <c r="P71" s="6" t="str">
        <f t="shared" si="6"/>
        <v/>
      </c>
      <c r="Q71" s="12" cm="1">
        <f t="array" ref="Q71">IF($M$57="평균",AVERAGE(INDEX($B$3:$D$48,$M71,0)),INDEX($B$3:$E$48,$M71,MATCH("그룹"&amp;$M$57&amp;"*",$B$2:$E$2,0)))</f>
        <v>102.88525947697043</v>
      </c>
      <c r="R71" s="6" t="str">
        <f t="shared" si="7"/>
        <v/>
      </c>
      <c r="S71" s="102" t="s">
        <v>471</v>
      </c>
      <c r="T71" s="95">
        <f t="shared" si="8"/>
        <v>46623</v>
      </c>
      <c r="Z71" s="4"/>
      <c r="AA71" s="4"/>
      <c r="AB71" s="4"/>
      <c r="AC71" s="4"/>
      <c r="AD71" s="4"/>
    </row>
    <row r="72" spans="1:30" x14ac:dyDescent="0.4">
      <c r="A72" s="36"/>
      <c r="L72" t="s">
        <v>477</v>
      </c>
      <c r="M72" s="4">
        <v>9</v>
      </c>
      <c r="N72" s="107"/>
      <c r="O72" s="115" cm="1">
        <f t="array" ref="O72">IF(OR($M$59&lt;&gt;"Y",$M$58=""),100,INDEX(요약_월별시즈널리티!$F$7:$F$18,MONTH(EDATE($M$58,$M72))))</f>
        <v>100.12358076140046</v>
      </c>
      <c r="P72" s="6" t="str">
        <f t="shared" si="6"/>
        <v/>
      </c>
      <c r="Q72" s="12" cm="1">
        <f t="array" ref="Q72">IF($M$57="평균",AVERAGE(INDEX($B$3:$D$48,$M72,0)),INDEX($B$3:$E$48,$M72,MATCH("그룹"&amp;$M$57&amp;"*",$B$2:$E$2,0)))</f>
        <v>105.26810965697223</v>
      </c>
      <c r="R72" s="6" t="str">
        <f t="shared" si="7"/>
        <v/>
      </c>
      <c r="S72" s="102" t="s">
        <v>471</v>
      </c>
      <c r="T72" s="95">
        <f t="shared" si="8"/>
        <v>46654</v>
      </c>
      <c r="Z72" s="4"/>
      <c r="AA72" s="4"/>
      <c r="AB72" s="4"/>
      <c r="AC72" s="4"/>
      <c r="AD72" s="4"/>
    </row>
    <row r="73" spans="1:30" x14ac:dyDescent="0.4">
      <c r="A73" s="36"/>
      <c r="L73" t="s">
        <v>478</v>
      </c>
      <c r="M73" s="4">
        <v>10</v>
      </c>
      <c r="N73" s="107"/>
      <c r="O73" s="115" cm="1">
        <f t="array" ref="O73">IF(OR($M$59&lt;&gt;"Y",$M$58=""),100,INDEX(요약_월별시즈널리티!$F$7:$F$18,MONTH(EDATE($M$58,$M73))))</f>
        <v>115.59456344220527</v>
      </c>
      <c r="P73" s="6" t="str">
        <f t="shared" si="6"/>
        <v/>
      </c>
      <c r="Q73" s="12" cm="1">
        <f t="array" ref="Q73">IF($M$57="평균",AVERAGE(INDEX($B$3:$D$48,$M73,0)),INDEX($B$3:$E$48,$M73,MATCH("그룹"&amp;$M$57&amp;"*",$B$2:$E$2,0)))</f>
        <v>108.37561395432901</v>
      </c>
      <c r="R73" s="6" t="str">
        <f t="shared" si="7"/>
        <v/>
      </c>
      <c r="S73" s="102" t="s">
        <v>471</v>
      </c>
      <c r="T73" s="95">
        <f t="shared" si="8"/>
        <v>46684</v>
      </c>
      <c r="Z73" s="4"/>
      <c r="AA73" s="4"/>
      <c r="AB73" s="4"/>
      <c r="AC73" s="4"/>
      <c r="AD73" s="4"/>
    </row>
    <row r="74" spans="1:30" x14ac:dyDescent="0.4">
      <c r="A74" s="36"/>
      <c r="L74" t="s">
        <v>479</v>
      </c>
      <c r="M74" s="4">
        <v>11</v>
      </c>
      <c r="N74" s="107"/>
      <c r="O74" s="115" cm="1">
        <f t="array" ref="O74">IF(OR($M$59&lt;&gt;"Y",$M$58=""),100,INDEX(요약_월별시즈널리티!$F$7:$F$18,MONTH(EDATE($M$58,$M74))))</f>
        <v>104.11251530615402</v>
      </c>
      <c r="P74" s="6" t="str">
        <f t="shared" si="6"/>
        <v/>
      </c>
      <c r="Q74" s="12" cm="1">
        <f t="array" ref="Q74">IF($M$57="평균",AVERAGE(INDEX($B$3:$D$48,$M74,0)),INDEX($B$3:$E$48,$M74,MATCH("그룹"&amp;$M$57&amp;"*",$B$2:$E$2,0)))</f>
        <v>112.07563942136049</v>
      </c>
      <c r="R74" s="6" t="str">
        <f t="shared" si="7"/>
        <v/>
      </c>
      <c r="S74" s="102" t="s">
        <v>471</v>
      </c>
      <c r="T74" s="95">
        <f t="shared" si="8"/>
        <v>46715</v>
      </c>
      <c r="Z74" s="4"/>
      <c r="AA74" s="4"/>
      <c r="AB74" s="4"/>
      <c r="AC74" s="4"/>
      <c r="AD74" s="4"/>
    </row>
    <row r="75" spans="1:30" ht="15" thickBot="1" x14ac:dyDescent="0.45">
      <c r="A75" s="36"/>
      <c r="L75" t="s">
        <v>480</v>
      </c>
      <c r="M75" s="4">
        <v>12</v>
      </c>
      <c r="N75" s="108"/>
      <c r="O75" s="116" cm="1">
        <f t="array" ref="O75">IF(OR($M$59&lt;&gt;"Y",$M$58=""),100,INDEX(요약_월별시즈널리티!$F$7:$F$18,MONTH(EDATE($M$58,$M75))))</f>
        <v>103.33184157392137</v>
      </c>
      <c r="P75" s="6" t="str">
        <f t="shared" si="6"/>
        <v/>
      </c>
      <c r="Q75" s="12" cm="1">
        <f t="array" ref="Q75">IF($M$57="평균",AVERAGE(INDEX($B$3:$D$48,$M75,0)),INDEX($B$3:$E$48,$M75,MATCH("그룹"&amp;$M$57&amp;"*",$B$2:$E$2,0)))</f>
        <v>113.78344453123212</v>
      </c>
      <c r="R75" s="6" t="str">
        <f t="shared" si="7"/>
        <v/>
      </c>
      <c r="S75" s="102" t="s">
        <v>471</v>
      </c>
      <c r="T75" s="95">
        <f t="shared" si="8"/>
        <v>46745</v>
      </c>
    </row>
    <row r="77" spans="1:30" x14ac:dyDescent="0.4">
      <c r="L77" s="23" t="s">
        <v>481</v>
      </c>
      <c r="M77" s="81" t="s">
        <v>482</v>
      </c>
      <c r="N77" s="81" t="s">
        <v>463</v>
      </c>
      <c r="O77" s="81" t="s">
        <v>483</v>
      </c>
    </row>
    <row r="78" spans="1:30" x14ac:dyDescent="0.4">
      <c r="L78" t="s">
        <v>484</v>
      </c>
      <c r="M78" s="4">
        <v>1</v>
      </c>
      <c r="N78" s="101">
        <f>IFERROR(AVERAGEIFS($R$64:$R$75,$S$64:$S$75,"Y",$M$64:$M$75,"&gt;="&amp;$M78),"-")</f>
        <v>4450145.6001744187</v>
      </c>
      <c r="O78" s="103">
        <f>COUNTIFS($S$64:$S$75,"Y",$R$64:$R$75,"&gt;0",$M$64:$M$75,"&gt;="&amp;$M78)</f>
        <v>5</v>
      </c>
    </row>
    <row r="79" spans="1:30" x14ac:dyDescent="0.4">
      <c r="L79" t="s">
        <v>485</v>
      </c>
      <c r="M79" s="4">
        <v>2</v>
      </c>
      <c r="N79" s="101">
        <f t="shared" ref="N79:N80" si="9">IFERROR(AVERAGEIFS($R$64:$R$75,$S$64:$S$75,"Y",$M$64:$M$75,"&gt;="&amp;$M79),"-")</f>
        <v>4679432.506847227</v>
      </c>
      <c r="O79" s="103">
        <f t="shared" ref="O79:O80" si="10">COUNTIFS($S$64:$S$75,"Y",$R$64:$R$75,"&gt;0",$M$64:$M$75,"&gt;="&amp;$M79)</f>
        <v>4</v>
      </c>
    </row>
    <row r="80" spans="1:30" x14ac:dyDescent="0.4">
      <c r="L80" t="s">
        <v>486</v>
      </c>
      <c r="M80" s="4">
        <v>3</v>
      </c>
      <c r="N80" s="101">
        <f t="shared" si="9"/>
        <v>4675371.9958405429</v>
      </c>
      <c r="O80" s="103">
        <f t="shared" si="10"/>
        <v>3</v>
      </c>
    </row>
    <row r="81" spans="12:23" x14ac:dyDescent="0.4">
      <c r="L81" t="s">
        <v>451</v>
      </c>
      <c r="N81" s="104">
        <f>IF($M$57="평균",AVERAGE($M$32:$M$34),INDEX($M$32:$M$35,MATCH("그룹"&amp;$M$57&amp;"*",$L$32:$L$35,0)))</f>
        <v>1.1282305032620459</v>
      </c>
    </row>
    <row r="82" spans="12:23" x14ac:dyDescent="0.4">
      <c r="L82" t="s">
        <v>488</v>
      </c>
      <c r="N82" s="89">
        <f>IF($M$57="평균",AVERAGE($N$32:$N$34),INDEX($N$32:$N$35,MATCH("그룹"&amp;$M$57&amp;"*",$L$32:$L$35,0)))</f>
        <v>97.432262051980089</v>
      </c>
    </row>
    <row r="83" spans="12:23" x14ac:dyDescent="0.4">
      <c r="N83" s="89"/>
    </row>
    <row r="85" spans="12:23" x14ac:dyDescent="0.4">
      <c r="L85" s="23" t="s">
        <v>452</v>
      </c>
    </row>
    <row r="86" spans="12:23" x14ac:dyDescent="0.4">
      <c r="L86" s="98" t="s">
        <v>439</v>
      </c>
      <c r="M86" s="98" t="s">
        <v>453</v>
      </c>
      <c r="N86" s="98" t="s">
        <v>454</v>
      </c>
      <c r="O86" s="98" t="s">
        <v>489</v>
      </c>
      <c r="P86" s="98" t="s">
        <v>490</v>
      </c>
      <c r="Q86" s="98" t="s">
        <v>491</v>
      </c>
      <c r="R86" s="117" t="s">
        <v>455</v>
      </c>
      <c r="S86" s="117" t="s">
        <v>509</v>
      </c>
      <c r="T86" s="117" t="s">
        <v>441</v>
      </c>
      <c r="U86" s="100" t="s">
        <v>514</v>
      </c>
      <c r="V86" s="100" t="s">
        <v>492</v>
      </c>
      <c r="W86" s="100" t="s">
        <v>493</v>
      </c>
    </row>
    <row r="87" spans="12:23" x14ac:dyDescent="0.4">
      <c r="L87" s="4">
        <v>1</v>
      </c>
      <c r="M87" s="12" cm="1">
        <f t="array" ref="M87">IF($L87&gt;36,$N$82+$N$81*$L87,IF($M$57="평균",AVERAGE(INDEX($B$3:$D$48,$L87,0)),INDEX($B$3:$E$48,$L87,MATCH("그룹"&amp;$M$57&amp;"*",$B$2:$E$2,0))))</f>
        <v>67.854249344380904</v>
      </c>
      <c r="N87" s="4" t="str">
        <f>IF($L87&lt;=36,"실제 곡선값","회귀 외삽 (절편+기울기×m)")</f>
        <v>실제 곡선값</v>
      </c>
      <c r="O87" s="6">
        <f t="shared" ref="O87:O134" si="11">$N$78*$M87/100</f>
        <v>3019612.8917303463</v>
      </c>
      <c r="P87" s="94">
        <f t="shared" ref="P87:P134" si="12">$N$79*$M87/100</f>
        <v>3175193.8010981316</v>
      </c>
      <c r="Q87" s="93">
        <f t="shared" ref="Q87:Q134" si="13">$N$80*$M87/100</f>
        <v>3172438.5718350001</v>
      </c>
      <c r="R87" s="93" cm="1">
        <f t="array" ref="R87">IF($L87&gt;12,"",IF(INDEX($N$64:$N$75,$L87)="","",INDEX($N$64:$N$75,$L87)))</f>
        <v>2182260</v>
      </c>
      <c r="S87" s="95">
        <f>IF($M$58="","-",EDATE($M$58,$L87))</f>
        <v>46411</v>
      </c>
      <c r="T87" s="12" cm="1">
        <f t="array" ref="T87">IF(OR($M$59&lt;&gt;"Y",$M$58=""),100,INDEX(요약_월별시즈널리티!$F$7:$F$18,MONTH(EDATE($M$58,$L87))))</f>
        <v>91.030316684681807</v>
      </c>
      <c r="U87" s="6">
        <f>O87*$T87/100</f>
        <v>2748763.1779936124</v>
      </c>
      <c r="V87" s="6">
        <f>P87*$T87/100</f>
        <v>2890388.972492015</v>
      </c>
      <c r="W87" s="94">
        <f>Q87*$T87/100</f>
        <v>2887880.8785683974</v>
      </c>
    </row>
    <row r="88" spans="12:23" x14ac:dyDescent="0.4">
      <c r="L88" s="4">
        <f>L87+1</f>
        <v>2</v>
      </c>
      <c r="M88" s="12" cm="1">
        <f t="array" ref="M88">IF($L88&gt;36,$N$82+$N$81*$L88,IF($M$57="평균",AVERAGE(INDEX($B$3:$D$48,$L88,0)),INDEX($B$3:$E$48,$L88,MATCH("그룹"&amp;$M$57&amp;"*",$B$2:$E$2,0))))</f>
        <v>79.331242608496709</v>
      </c>
      <c r="N88" s="4" t="str">
        <f t="shared" ref="N88:N134" si="14">IF($L88&lt;=36,"실제 곡선값","회귀 외삽 (절편+기울기×m)")</f>
        <v>실제 곡선값</v>
      </c>
      <c r="O88" s="6">
        <f t="shared" si="11"/>
        <v>3530355.8025057102</v>
      </c>
      <c r="P88" s="94">
        <f t="shared" si="12"/>
        <v>3712251.954707833</v>
      </c>
      <c r="Q88" s="93">
        <f t="shared" si="13"/>
        <v>3709030.7008699756</v>
      </c>
      <c r="R88" s="93" cm="1">
        <f t="array" ref="R88">IF($L88&gt;12,"",IF(INDEX($N$64:$N$75,$L88)="","",INDEX($N$64:$N$75,$L88)))</f>
        <v>3137120</v>
      </c>
      <c r="S88" s="95">
        <f t="shared" ref="S88:S134" si="15">IF($M$58="","-",EDATE($M$58,$L88))</f>
        <v>46442</v>
      </c>
      <c r="T88" s="12" cm="1">
        <f t="array" ref="T88">IF(OR($M$59&lt;&gt;"Y",$M$58=""),100,INDEX(요약_월별시즈널리티!$F$7:$F$18,MONTH(EDATE($M$58,$L88))))</f>
        <v>84.287776489062807</v>
      </c>
      <c r="U88" s="6">
        <f t="shared" ref="U88:U134" si="16">O88*$T88/100</f>
        <v>2975658.4080846729</v>
      </c>
      <c r="V88" s="6">
        <f t="shared" ref="V88:V134" si="17">P88*$T88/100</f>
        <v>3128974.6302950038</v>
      </c>
      <c r="W88" s="94">
        <f t="shared" ref="W88:W134" si="18">Q88*$T88/100</f>
        <v>3126259.5070600044</v>
      </c>
    </row>
    <row r="89" spans="12:23" x14ac:dyDescent="0.4">
      <c r="L89" s="4">
        <f t="shared" ref="L89:L134" si="19">L88+1</f>
        <v>3</v>
      </c>
      <c r="M89" s="12" cm="1">
        <f t="array" ref="M89">IF($L89&gt;36,$N$82+$N$81*$L89,IF($M$57="평균",AVERAGE(INDEX($B$3:$D$48,$L89,0)),INDEX($B$3:$E$48,$L89,MATCH("그룹"&amp;$M$57&amp;"*",$B$2:$E$2,0))))</f>
        <v>88.838287736227429</v>
      </c>
      <c r="N89" s="4" t="str">
        <f t="shared" si="14"/>
        <v>실제 곡선값</v>
      </c>
      <c r="O89" s="6">
        <f t="shared" si="11"/>
        <v>3953433.152964015</v>
      </c>
      <c r="P89" s="94">
        <f t="shared" si="12"/>
        <v>4157127.7148555</v>
      </c>
      <c r="Q89" s="93">
        <f t="shared" si="13"/>
        <v>4153520.4264038205</v>
      </c>
      <c r="R89" s="93" cm="1">
        <f t="array" ref="R89">IF($L89&gt;12,"",IF(INDEX($N$64:$N$75,$L89)="","",INDEX($N$64:$N$75,$L89)))</f>
        <v>3639290</v>
      </c>
      <c r="S89" s="95">
        <f t="shared" si="15"/>
        <v>46470</v>
      </c>
      <c r="T89" s="12" cm="1">
        <f t="array" ref="T89">IF(OR($M$59&lt;&gt;"Y",$M$58=""),100,INDEX(요약_월별시즈널리티!$F$7:$F$18,MONTH(EDATE($M$58,$L89))))</f>
        <v>97.17160058404427</v>
      </c>
      <c r="U89" s="6">
        <f t="shared" si="16"/>
        <v>3841614.2727553807</v>
      </c>
      <c r="V89" s="6">
        <f t="shared" si="17"/>
        <v>4039547.5388479931</v>
      </c>
      <c r="W89" s="94">
        <f t="shared" si="18"/>
        <v>4036042.2789218128</v>
      </c>
    </row>
    <row r="90" spans="12:23" x14ac:dyDescent="0.4">
      <c r="L90" s="4">
        <f t="shared" si="19"/>
        <v>4</v>
      </c>
      <c r="M90" s="12" cm="1">
        <f t="array" ref="M90">IF($L90&gt;36,$N$82+$N$81*$L90,IF($M$57="평균",AVERAGE(INDEX($B$3:$D$48,$L90,0)),INDEX($B$3:$E$48,$L90,MATCH("그룹"&amp;$M$57&amp;"*",$B$2:$E$2,0))))</f>
        <v>93.426873469053419</v>
      </c>
      <c r="N90" s="4" t="str">
        <f t="shared" si="14"/>
        <v>실제 곡선값</v>
      </c>
      <c r="O90" s="6">
        <f t="shared" si="11"/>
        <v>4157631.8990636021</v>
      </c>
      <c r="P90" s="94">
        <f t="shared" si="12"/>
        <v>4371847.4872419126</v>
      </c>
      <c r="Q90" s="93">
        <f t="shared" si="13"/>
        <v>4368053.8787615011</v>
      </c>
      <c r="R90" s="93" cm="1">
        <f t="array" ref="R90">IF($L90&gt;12,"",IF(INDEX($N$64:$N$75,$L90)="","",INDEX($N$64:$N$75,$L90)))</f>
        <v>4402170</v>
      </c>
      <c r="S90" s="95">
        <f t="shared" si="15"/>
        <v>46501</v>
      </c>
      <c r="T90" s="12" cm="1">
        <f t="array" ref="T90">IF(OR($M$59&lt;&gt;"Y",$M$58=""),100,INDEX(요약_월별시즈널리티!$F$7:$F$18,MONTH(EDATE($M$58,$L90))))</f>
        <v>96.499914908438853</v>
      </c>
      <c r="U90" s="6">
        <f t="shared" si="16"/>
        <v>4012111.2448024862</v>
      </c>
      <c r="V90" s="6">
        <f t="shared" si="17"/>
        <v>4218829.1051151678</v>
      </c>
      <c r="W90" s="94">
        <f t="shared" si="18"/>
        <v>4215168.2761596115</v>
      </c>
    </row>
    <row r="91" spans="12:23" x14ac:dyDescent="0.4">
      <c r="L91" s="4">
        <f t="shared" si="19"/>
        <v>5</v>
      </c>
      <c r="M91" s="12" cm="1">
        <f t="array" ref="M91">IF($L91&gt;36,$N$82+$N$81*$L91,IF($M$57="평균",AVERAGE(INDEX($B$3:$D$48,$L91,0)),INDEX($B$3:$E$48,$L91,MATCH("그룹"&amp;$M$57&amp;"*",$B$2:$E$2,0))))</f>
        <v>97.074861018493039</v>
      </c>
      <c r="N91" s="4" t="str">
        <f t="shared" si="14"/>
        <v>실제 곡선값</v>
      </c>
      <c r="O91" s="6">
        <f t="shared" si="11"/>
        <v>4319972.6564898994</v>
      </c>
      <c r="P91" s="94">
        <f t="shared" si="12"/>
        <v>4542552.6024761302</v>
      </c>
      <c r="Q91" s="93">
        <f t="shared" si="13"/>
        <v>4538610.8670597514</v>
      </c>
      <c r="R91" s="93" cm="1">
        <f t="array" ref="R91">IF($L91&gt;12,"",IF(INDEX($N$64:$N$75,$L91)="","",INDEX($N$64:$N$75,$L91)))</f>
        <v>5040140</v>
      </c>
      <c r="S91" s="95">
        <f t="shared" si="15"/>
        <v>46531</v>
      </c>
      <c r="T91" s="12" cm="1">
        <f t="array" ref="T91">IF(OR($M$59&lt;&gt;"Y",$M$58=""),100,INDEX(요약_월별시즈널리티!$F$7:$F$18,MONTH(EDATE($M$58,$L91))))</f>
        <v>105.36696241365125</v>
      </c>
      <c r="U91" s="6">
        <f t="shared" si="16"/>
        <v>4551823.9652437242</v>
      </c>
      <c r="V91" s="6">
        <f t="shared" si="17"/>
        <v>4786349.6932713613</v>
      </c>
      <c r="W91" s="94">
        <f t="shared" si="18"/>
        <v>4782196.4063967392</v>
      </c>
    </row>
    <row r="92" spans="12:23" x14ac:dyDescent="0.4">
      <c r="L92" s="4">
        <f t="shared" si="19"/>
        <v>6</v>
      </c>
      <c r="M92" s="12" cm="1">
        <f t="array" ref="M92">IF($L92&gt;36,$N$82+$N$81*$L92,IF($M$57="평균",AVERAGE(INDEX($B$3:$D$48,$L92,0)),INDEX($B$3:$E$48,$L92,MATCH("그룹"&amp;$M$57&amp;"*",$B$2:$E$2,0))))</f>
        <v>99.215264300635681</v>
      </c>
      <c r="N92" s="4" t="str">
        <f t="shared" si="14"/>
        <v>실제 곡선값</v>
      </c>
      <c r="O92" s="6">
        <f t="shared" si="11"/>
        <v>4415223.7189761596</v>
      </c>
      <c r="P92" s="94">
        <f t="shared" si="12"/>
        <v>4642711.3294383381</v>
      </c>
      <c r="Q92" s="93">
        <f t="shared" si="13"/>
        <v>4638682.6827111002</v>
      </c>
      <c r="R92" s="93" t="str" cm="1">
        <f t="array" ref="R92">IF($L92&gt;12,"",IF(INDEX($N$64:$N$75,$L92)="","",INDEX($N$64:$N$75,$L92)))</f>
        <v/>
      </c>
      <c r="S92" s="95">
        <f t="shared" si="15"/>
        <v>46562</v>
      </c>
      <c r="T92" s="12" cm="1">
        <f t="array" ref="T92">IF(OR($M$59&lt;&gt;"Y",$M$58=""),100,INDEX(요약_월별시즈널리티!$F$7:$F$18,MONTH(EDATE($M$58,$L92))))</f>
        <v>102.78468761332418</v>
      </c>
      <c r="U92" s="6">
        <f t="shared" si="16"/>
        <v>4538173.9069790402</v>
      </c>
      <c r="V92" s="6">
        <f t="shared" si="17"/>
        <v>4771996.3367516063</v>
      </c>
      <c r="W92" s="94">
        <f t="shared" si="18"/>
        <v>4767855.5047979699</v>
      </c>
    </row>
    <row r="93" spans="12:23" x14ac:dyDescent="0.4">
      <c r="L93" s="4">
        <f t="shared" si="19"/>
        <v>7</v>
      </c>
      <c r="M93" s="12" cm="1">
        <f t="array" ref="M93">IF($L93&gt;36,$N$82+$N$81*$L93,IF($M$57="평균",AVERAGE(INDEX($B$3:$D$48,$L93,0)),INDEX($B$3:$E$48,$L93,MATCH("그룹"&amp;$M$57&amp;"*",$B$2:$E$2,0))))</f>
        <v>102.39750640621986</v>
      </c>
      <c r="N93" s="4" t="str">
        <f t="shared" si="14"/>
        <v>실제 곡선값</v>
      </c>
      <c r="O93" s="6">
        <f t="shared" si="11"/>
        <v>4556838.1260247119</v>
      </c>
      <c r="P93" s="94">
        <f t="shared" si="12"/>
        <v>4791622.2009736244</v>
      </c>
      <c r="Q93" s="93">
        <f t="shared" si="13"/>
        <v>4787464.3389554294</v>
      </c>
      <c r="R93" s="93" t="str" cm="1">
        <f t="array" ref="R93">IF($L93&gt;12,"",IF(INDEX($N$64:$N$75,$L93)="","",INDEX($N$64:$N$75,$L93)))</f>
        <v/>
      </c>
      <c r="S93" s="95">
        <f t="shared" si="15"/>
        <v>46592</v>
      </c>
      <c r="T93" s="12" cm="1">
        <f t="array" ref="T93">IF(OR($M$59&lt;&gt;"Y",$M$58=""),100,INDEX(요약_월별시즈널리티!$F$7:$F$18,MONTH(EDATE($M$58,$L93))))</f>
        <v>104.67864933203967</v>
      </c>
      <c r="U93" s="6">
        <f t="shared" si="16"/>
        <v>4770036.602570096</v>
      </c>
      <c r="V93" s="6">
        <f t="shared" si="17"/>
        <v>5015805.4010733413</v>
      </c>
      <c r="W93" s="94">
        <f t="shared" si="18"/>
        <v>5011453.0072716055</v>
      </c>
    </row>
    <row r="94" spans="12:23" x14ac:dyDescent="0.4">
      <c r="L94" s="4">
        <f t="shared" si="19"/>
        <v>8</v>
      </c>
      <c r="M94" s="12" cm="1">
        <f t="array" ref="M94">IF($L94&gt;36,$N$82+$N$81*$L94,IF($M$57="평균",AVERAGE(INDEX($B$3:$D$48,$L94,0)),INDEX($B$3:$E$48,$L94,MATCH("그룹"&amp;$M$57&amp;"*",$B$2:$E$2,0))))</f>
        <v>102.88525947697043</v>
      </c>
      <c r="N94" s="4" t="str">
        <f t="shared" si="14"/>
        <v>실제 곡선값</v>
      </c>
      <c r="O94" s="6">
        <f t="shared" si="11"/>
        <v>4578543.8478424344</v>
      </c>
      <c r="P94" s="94">
        <f t="shared" si="12"/>
        <v>4814446.2767194714</v>
      </c>
      <c r="Q94" s="93">
        <f t="shared" si="13"/>
        <v>4810268.6094341539</v>
      </c>
      <c r="R94" s="93" t="str" cm="1">
        <f t="array" ref="R94">IF($L94&gt;12,"",IF(INDEX($N$64:$N$75,$L94)="","",INDEX($N$64:$N$75,$L94)))</f>
        <v/>
      </c>
      <c r="S94" s="95">
        <f t="shared" si="15"/>
        <v>46623</v>
      </c>
      <c r="T94" s="12" cm="1">
        <f t="array" ref="T94">IF(OR($M$59&lt;&gt;"Y",$M$58=""),100,INDEX(요약_월별시즈널리티!$F$7:$F$18,MONTH(EDATE($M$58,$L94))))</f>
        <v>102.0452176382724</v>
      </c>
      <c r="U94" s="6">
        <f t="shared" si="16"/>
        <v>4672185.034194544</v>
      </c>
      <c r="V94" s="6">
        <f t="shared" si="17"/>
        <v>4912912.1811560867</v>
      </c>
      <c r="W94" s="94">
        <f t="shared" si="18"/>
        <v>4908649.071482582</v>
      </c>
    </row>
    <row r="95" spans="12:23" x14ac:dyDescent="0.4">
      <c r="L95" s="4">
        <f t="shared" si="19"/>
        <v>9</v>
      </c>
      <c r="M95" s="12" cm="1">
        <f t="array" ref="M95">IF($L95&gt;36,$N$82+$N$81*$L95,IF($M$57="평균",AVERAGE(INDEX($B$3:$D$48,$L95,0)),INDEX($B$3:$E$48,$L95,MATCH("그룹"&amp;$M$57&amp;"*",$B$2:$E$2,0))))</f>
        <v>105.26810965697223</v>
      </c>
      <c r="N95" s="4" t="str">
        <f t="shared" si="14"/>
        <v>실제 곡선값</v>
      </c>
      <c r="O95" s="6">
        <f t="shared" si="11"/>
        <v>4684584.150286532</v>
      </c>
      <c r="P95" s="94">
        <f t="shared" si="12"/>
        <v>4925950.1426319433</v>
      </c>
      <c r="Q95" s="93">
        <f t="shared" si="13"/>
        <v>4921675.7194527937</v>
      </c>
      <c r="R95" s="93" t="str" cm="1">
        <f t="array" ref="R95">IF($L95&gt;12,"",IF(INDEX($N$64:$N$75,$L95)="","",INDEX($N$64:$N$75,$L95)))</f>
        <v/>
      </c>
      <c r="S95" s="95">
        <f t="shared" si="15"/>
        <v>46654</v>
      </c>
      <c r="T95" s="12" cm="1">
        <f t="array" ref="T95">IF(OR($M$59&lt;&gt;"Y",$M$58=""),100,INDEX(요약_월별시즈널리티!$F$7:$F$18,MONTH(EDATE($M$58,$L95))))</f>
        <v>100.12358076140046</v>
      </c>
      <c r="U95" s="6">
        <f t="shared" si="16"/>
        <v>4690373.3950479012</v>
      </c>
      <c r="V95" s="6">
        <f t="shared" si="17"/>
        <v>4932037.6693244148</v>
      </c>
      <c r="W95" s="94">
        <f t="shared" si="18"/>
        <v>4927757.9637805549</v>
      </c>
    </row>
    <row r="96" spans="12:23" x14ac:dyDescent="0.4">
      <c r="L96" s="4">
        <f t="shared" si="19"/>
        <v>10</v>
      </c>
      <c r="M96" s="12" cm="1">
        <f t="array" ref="M96">IF($L96&gt;36,$N$82+$N$81*$L96,IF($M$57="평균",AVERAGE(INDEX($B$3:$D$48,$L96,0)),INDEX($B$3:$E$48,$L96,MATCH("그룹"&amp;$M$57&amp;"*",$B$2:$E$2,0))))</f>
        <v>108.37561395432901</v>
      </c>
      <c r="N96" s="4" t="str">
        <f t="shared" si="14"/>
        <v>실제 곡선값</v>
      </c>
      <c r="O96" s="6">
        <f t="shared" si="11"/>
        <v>4822872.6160505861</v>
      </c>
      <c r="P96" s="94">
        <f t="shared" si="12"/>
        <v>5071363.7088741316</v>
      </c>
      <c r="Q96" s="93">
        <f t="shared" si="13"/>
        <v>5066963.1051409543</v>
      </c>
      <c r="R96" s="93" t="str" cm="1">
        <f t="array" ref="R96">IF($L96&gt;12,"",IF(INDEX($N$64:$N$75,$L96)="","",INDEX($N$64:$N$75,$L96)))</f>
        <v/>
      </c>
      <c r="S96" s="95">
        <f t="shared" si="15"/>
        <v>46684</v>
      </c>
      <c r="T96" s="12" cm="1">
        <f t="array" ref="T96">IF(OR($M$59&lt;&gt;"Y",$M$58=""),100,INDEX(요약_월별시즈널리티!$F$7:$F$18,MONTH(EDATE($M$58,$L96))))</f>
        <v>115.59456344220527</v>
      </c>
      <c r="U96" s="6">
        <f t="shared" si="16"/>
        <v>5574978.5458973395</v>
      </c>
      <c r="V96" s="6">
        <f t="shared" si="17"/>
        <v>5862220.7398394821</v>
      </c>
      <c r="W96" s="94">
        <f t="shared" si="18"/>
        <v>5857133.8811652949</v>
      </c>
    </row>
    <row r="97" spans="12:23" x14ac:dyDescent="0.4">
      <c r="L97" s="4">
        <f t="shared" si="19"/>
        <v>11</v>
      </c>
      <c r="M97" s="12" cm="1">
        <f t="array" ref="M97">IF($L97&gt;36,$N$82+$N$81*$L97,IF($M$57="평균",AVERAGE(INDEX($B$3:$D$48,$L97,0)),INDEX($B$3:$E$48,$L97,MATCH("그룹"&amp;$M$57&amp;"*",$B$2:$E$2,0))))</f>
        <v>112.07563942136049</v>
      </c>
      <c r="N97" s="4" t="str">
        <f t="shared" si="14"/>
        <v>실제 곡선값</v>
      </c>
      <c r="O97" s="6">
        <f t="shared" si="11"/>
        <v>4987529.1365770204</v>
      </c>
      <c r="P97" s="94">
        <f t="shared" si="12"/>
        <v>5244503.9033400286</v>
      </c>
      <c r="Q97" s="93">
        <f t="shared" si="13"/>
        <v>5239953.0596655123</v>
      </c>
      <c r="R97" s="93" t="str" cm="1">
        <f t="array" ref="R97">IF($L97&gt;12,"",IF(INDEX($N$64:$N$75,$L97)="","",INDEX($N$64:$N$75,$L97)))</f>
        <v/>
      </c>
      <c r="S97" s="95">
        <f t="shared" si="15"/>
        <v>46715</v>
      </c>
      <c r="T97" s="12" cm="1">
        <f t="array" ref="T97">IF(OR($M$59&lt;&gt;"Y",$M$58=""),100,INDEX(요약_월별시즈널리티!$F$7:$F$18,MONTH(EDATE($M$58,$L97))))</f>
        <v>104.11251530615402</v>
      </c>
      <c r="U97" s="6">
        <f t="shared" si="16"/>
        <v>5192642.0357176419</v>
      </c>
      <c r="V97" s="6">
        <f t="shared" si="17"/>
        <v>5460184.9290967323</v>
      </c>
      <c r="W97" s="94">
        <f t="shared" si="18"/>
        <v>5455446.9312795429</v>
      </c>
    </row>
    <row r="98" spans="12:23" x14ac:dyDescent="0.4">
      <c r="L98" s="4">
        <f t="shared" si="19"/>
        <v>12</v>
      </c>
      <c r="M98" s="12" cm="1">
        <f t="array" ref="M98">IF($L98&gt;36,$N$82+$N$81*$L98,IF($M$57="평균",AVERAGE(INDEX($B$3:$D$48,$L98,0)),INDEX($B$3:$E$48,$L98,MATCH("그룹"&amp;$M$57&amp;"*",$B$2:$E$2,0))))</f>
        <v>113.78344453123212</v>
      </c>
      <c r="N98" s="4" t="str">
        <f t="shared" si="14"/>
        <v>실제 곡선값</v>
      </c>
      <c r="O98" s="6">
        <f t="shared" si="11"/>
        <v>5063528.9505335269</v>
      </c>
      <c r="P98" s="94">
        <f t="shared" si="12"/>
        <v>5324419.4908049591</v>
      </c>
      <c r="Q98" s="93">
        <f t="shared" si="13"/>
        <v>5319799.3015159843</v>
      </c>
      <c r="R98" s="93" t="str" cm="1">
        <f t="array" ref="R98">IF($L98&gt;12,"",IF(INDEX($N$64:$N$75,$L98)="","",INDEX($N$64:$N$75,$L98)))</f>
        <v/>
      </c>
      <c r="S98" s="95">
        <f t="shared" si="15"/>
        <v>46745</v>
      </c>
      <c r="T98" s="12" cm="1">
        <f t="array" ref="T98">IF(OR($M$59&lt;&gt;"Y",$M$58=""),100,INDEX(요약_월별시즈널리티!$F$7:$F$18,MONTH(EDATE($M$58,$L98))))</f>
        <v>103.33184157392137</v>
      </c>
      <c r="U98" s="6">
        <f t="shared" si="16"/>
        <v>5232237.7132149469</v>
      </c>
      <c r="V98" s="6">
        <f t="shared" si="17"/>
        <v>5501820.7129695714</v>
      </c>
      <c r="W98" s="94">
        <f t="shared" si="18"/>
        <v>5497046.5862930724</v>
      </c>
    </row>
    <row r="99" spans="12:23" x14ac:dyDescent="0.4">
      <c r="L99" s="4">
        <f t="shared" si="19"/>
        <v>13</v>
      </c>
      <c r="M99" s="12" cm="1">
        <f t="array" ref="M99">IF($L99&gt;36,$N$82+$N$81*$L99,IF($M$57="평균",AVERAGE(INDEX($B$3:$D$48,$L99,0)),INDEX($B$3:$E$48,$L99,MATCH("그룹"&amp;$M$57&amp;"*",$B$2:$E$2,0))))</f>
        <v>114.72233167700686</v>
      </c>
      <c r="N99" s="4" t="str">
        <f t="shared" si="14"/>
        <v>실제 곡선값</v>
      </c>
      <c r="O99" s="6">
        <f t="shared" si="11"/>
        <v>5105310.7955418238</v>
      </c>
      <c r="P99" s="94">
        <f t="shared" si="12"/>
        <v>5368354.0811069524</v>
      </c>
      <c r="Q99" s="93">
        <f t="shared" si="13"/>
        <v>5363695.7682020832</v>
      </c>
      <c r="R99" s="93" t="str" cm="1">
        <f t="array" ref="R99">IF($L99&gt;12,"",IF(INDEX($N$64:$N$75,$L99)="","",INDEX($N$64:$N$75,$L99)))</f>
        <v/>
      </c>
      <c r="S99" s="95">
        <f t="shared" si="15"/>
        <v>46776</v>
      </c>
      <c r="T99" s="12" cm="1">
        <f t="array" ref="T99">IF(OR($M$59&lt;&gt;"Y",$M$58=""),100,INDEX(요약_월별시즈널리티!$F$7:$F$18,MONTH(EDATE($M$58,$L99))))</f>
        <v>91.030316684681807</v>
      </c>
      <c r="U99" s="6">
        <f t="shared" si="16"/>
        <v>4647380.5849189702</v>
      </c>
      <c r="V99" s="6">
        <f t="shared" si="17"/>
        <v>4886829.7207866991</v>
      </c>
      <c r="W99" s="94">
        <f t="shared" si="18"/>
        <v>4882589.2437972333</v>
      </c>
    </row>
    <row r="100" spans="12:23" x14ac:dyDescent="0.4">
      <c r="L100" s="4">
        <f t="shared" si="19"/>
        <v>14</v>
      </c>
      <c r="M100" s="12" cm="1">
        <f t="array" ref="M100">IF($L100&gt;36,$N$82+$N$81*$L100,IF($M$57="평균",AVERAGE(INDEX($B$3:$D$48,$L100,0)),INDEX($B$3:$E$48,$L100,MATCH("그룹"&amp;$M$57&amp;"*",$B$2:$E$2,0))))</f>
        <v>115.04761466026294</v>
      </c>
      <c r="N100" s="4" t="str">
        <f t="shared" si="14"/>
        <v>실제 곡선값</v>
      </c>
      <c r="O100" s="6">
        <f t="shared" si="11"/>
        <v>5119786.3619093113</v>
      </c>
      <c r="P100" s="94">
        <f t="shared" si="12"/>
        <v>5383575.4787646793</v>
      </c>
      <c r="Q100" s="93">
        <f t="shared" si="13"/>
        <v>5378903.9577084724</v>
      </c>
      <c r="R100" s="93" t="str" cm="1">
        <f t="array" ref="R100">IF($L100&gt;12,"",IF(INDEX($N$64:$N$75,$L100)="","",INDEX($N$64:$N$75,$L100)))</f>
        <v/>
      </c>
      <c r="S100" s="95">
        <f t="shared" si="15"/>
        <v>46807</v>
      </c>
      <c r="T100" s="12" cm="1">
        <f t="array" ref="T100">IF(OR($M$59&lt;&gt;"Y",$M$58=""),100,INDEX(요약_월별시즈널리티!$F$7:$F$18,MONTH(EDATE($M$58,$L100))))</f>
        <v>84.287776489062807</v>
      </c>
      <c r="U100" s="6">
        <f t="shared" si="16"/>
        <v>4315354.0854436401</v>
      </c>
      <c r="V100" s="6">
        <f t="shared" si="17"/>
        <v>4537696.066661166</v>
      </c>
      <c r="W100" s="94">
        <f t="shared" si="18"/>
        <v>4533758.5454346705</v>
      </c>
    </row>
    <row r="101" spans="12:23" x14ac:dyDescent="0.4">
      <c r="L101" s="4">
        <f t="shared" si="19"/>
        <v>15</v>
      </c>
      <c r="M101" s="12" cm="1">
        <f t="array" ref="M101">IF($L101&gt;36,$N$82+$N$81*$L101,IF($M$57="평균",AVERAGE(INDEX($B$3:$D$48,$L101,0)),INDEX($B$3:$E$48,$L101,MATCH("그룹"&amp;$M$57&amp;"*",$B$2:$E$2,0))))</f>
        <v>115.83299221815717</v>
      </c>
      <c r="N101" s="4" t="str">
        <f t="shared" si="14"/>
        <v>실제 곡선값</v>
      </c>
      <c r="O101" s="6">
        <f t="shared" si="11"/>
        <v>5154736.806746698</v>
      </c>
      <c r="P101" s="94">
        <f t="shared" si="12"/>
        <v>5420326.6915102657</v>
      </c>
      <c r="Q101" s="93">
        <f t="shared" si="13"/>
        <v>5415623.2801118754</v>
      </c>
      <c r="R101" s="93" t="str" cm="1">
        <f t="array" ref="R101">IF($L101&gt;12,"",IF(INDEX($N$64:$N$75,$L101)="","",INDEX($N$64:$N$75,$L101)))</f>
        <v/>
      </c>
      <c r="S101" s="95">
        <f t="shared" si="15"/>
        <v>46836</v>
      </c>
      <c r="T101" s="12" cm="1">
        <f t="array" ref="T101">IF(OR($M$59&lt;&gt;"Y",$M$58=""),100,INDEX(요약_월별시즈널리티!$F$7:$F$18,MONTH(EDATE($M$58,$L101))))</f>
        <v>97.17160058404427</v>
      </c>
      <c r="U101" s="6">
        <f t="shared" si="16"/>
        <v>5008940.2610106198</v>
      </c>
      <c r="V101" s="6">
        <f t="shared" si="17"/>
        <v>5267018.2030246966</v>
      </c>
      <c r="W101" s="94">
        <f t="shared" si="18"/>
        <v>5262447.8228868283</v>
      </c>
    </row>
    <row r="102" spans="12:23" x14ac:dyDescent="0.4">
      <c r="L102" s="4">
        <f t="shared" si="19"/>
        <v>16</v>
      </c>
      <c r="M102" s="12" cm="1">
        <f t="array" ref="M102">IF($L102&gt;36,$N$82+$N$81*$L102,IF($M$57="평균",AVERAGE(INDEX($B$3:$D$48,$L102,0)),INDEX($B$3:$E$48,$L102,MATCH("그룹"&amp;$M$57&amp;"*",$B$2:$E$2,0))))</f>
        <v>120.21719704259992</v>
      </c>
      <c r="N102" s="4" t="str">
        <f t="shared" si="14"/>
        <v>실제 곡선값</v>
      </c>
      <c r="O102" s="6">
        <f t="shared" si="11"/>
        <v>5349840.3048442714</v>
      </c>
      <c r="P102" s="94">
        <f t="shared" si="12"/>
        <v>5625482.5972320046</v>
      </c>
      <c r="Q102" s="93">
        <f t="shared" si="13"/>
        <v>5620601.1647141622</v>
      </c>
      <c r="R102" s="93" t="str" cm="1">
        <f t="array" ref="R102">IF($L102&gt;12,"",IF(INDEX($N$64:$N$75,$L102)="","",INDEX($N$64:$N$75,$L102)))</f>
        <v/>
      </c>
      <c r="S102" s="95">
        <f t="shared" si="15"/>
        <v>46867</v>
      </c>
      <c r="T102" s="12" cm="1">
        <f t="array" ref="T102">IF(OR($M$59&lt;&gt;"Y",$M$58=""),100,INDEX(요약_월별시즈널리티!$F$7:$F$18,MONTH(EDATE($M$58,$L102))))</f>
        <v>96.499914908438853</v>
      </c>
      <c r="U102" s="6">
        <f t="shared" si="16"/>
        <v>5162591.341912088</v>
      </c>
      <c r="V102" s="6">
        <f t="shared" si="17"/>
        <v>5428585.9195179204</v>
      </c>
      <c r="W102" s="94">
        <f t="shared" si="18"/>
        <v>5423875.3412918905</v>
      </c>
    </row>
    <row r="103" spans="12:23" x14ac:dyDescent="0.4">
      <c r="L103" s="4">
        <f t="shared" si="19"/>
        <v>17</v>
      </c>
      <c r="M103" s="12" cm="1">
        <f t="array" ref="M103">IF($L103&gt;36,$N$82+$N$81*$L103,IF($M$57="평균",AVERAGE(INDEX($B$3:$D$48,$L103,0)),INDEX($B$3:$E$48,$L103,MATCH("그룹"&amp;$M$57&amp;"*",$B$2:$E$2,0))))</f>
        <v>119.95205754789396</v>
      </c>
      <c r="N103" s="4" t="str">
        <f t="shared" si="14"/>
        <v>실제 곡선값</v>
      </c>
      <c r="O103" s="6">
        <f t="shared" si="11"/>
        <v>5338041.2112862896</v>
      </c>
      <c r="P103" s="94">
        <f t="shared" si="12"/>
        <v>5613075.5735282423</v>
      </c>
      <c r="Q103" s="93">
        <f t="shared" si="13"/>
        <v>5608204.9070287673</v>
      </c>
      <c r="R103" s="93" t="str" cm="1">
        <f t="array" ref="R103">IF($L103&gt;12,"",IF(INDEX($N$64:$N$75,$L103)="","",INDEX($N$64:$N$75,$L103)))</f>
        <v/>
      </c>
      <c r="S103" s="95">
        <f t="shared" si="15"/>
        <v>46897</v>
      </c>
      <c r="T103" s="12" cm="1">
        <f t="array" ref="T103">IF(OR($M$59&lt;&gt;"Y",$M$58=""),100,INDEX(요약_월별시즈널리티!$F$7:$F$18,MONTH(EDATE($M$58,$L103))))</f>
        <v>105.36696241365125</v>
      </c>
      <c r="U103" s="6">
        <f t="shared" si="16"/>
        <v>5624531.8767212387</v>
      </c>
      <c r="V103" s="6">
        <f t="shared" si="17"/>
        <v>5914327.2298093429</v>
      </c>
      <c r="W103" s="94">
        <f t="shared" si="18"/>
        <v>5909195.1564695463</v>
      </c>
    </row>
    <row r="104" spans="12:23" x14ac:dyDescent="0.4">
      <c r="L104" s="4">
        <f t="shared" si="19"/>
        <v>18</v>
      </c>
      <c r="M104" s="12" cm="1">
        <f t="array" ref="M104">IF($L104&gt;36,$N$82+$N$81*$L104,IF($M$57="평균",AVERAGE(INDEX($B$3:$D$48,$L104,0)),INDEX($B$3:$E$48,$L104,MATCH("그룹"&amp;$M$57&amp;"*",$B$2:$E$2,0))))</f>
        <v>120.93110800333353</v>
      </c>
      <c r="N104" s="4" t="str">
        <f t="shared" si="14"/>
        <v>실제 곡선값</v>
      </c>
      <c r="O104" s="6">
        <f t="shared" si="11"/>
        <v>5381610.3820525222</v>
      </c>
      <c r="P104" s="94">
        <f t="shared" si="12"/>
        <v>5658889.5787985185</v>
      </c>
      <c r="Q104" s="93">
        <f t="shared" si="13"/>
        <v>5653979.1578475377</v>
      </c>
      <c r="R104" s="93" t="str" cm="1">
        <f t="array" ref="R104">IF($L104&gt;12,"",IF(INDEX($N$64:$N$75,$L104)="","",INDEX($N$64:$N$75,$L104)))</f>
        <v/>
      </c>
      <c r="S104" s="95">
        <f t="shared" si="15"/>
        <v>46928</v>
      </c>
      <c r="T104" s="12" cm="1">
        <f t="array" ref="T104">IF(OR($M$59&lt;&gt;"Y",$M$58=""),100,INDEX(요약_월별시즈널리티!$F$7:$F$18,MONTH(EDATE($M$58,$L104))))</f>
        <v>102.78468761332418</v>
      </c>
      <c r="U104" s="6">
        <f t="shared" si="16"/>
        <v>5531471.4197589066</v>
      </c>
      <c r="V104" s="6">
        <f t="shared" si="17"/>
        <v>5816471.9759510132</v>
      </c>
      <c r="W104" s="94">
        <f t="shared" si="18"/>
        <v>5811424.8151160488</v>
      </c>
    </row>
    <row r="105" spans="12:23" x14ac:dyDescent="0.4">
      <c r="L105" s="4">
        <f t="shared" si="19"/>
        <v>19</v>
      </c>
      <c r="M105" s="12" cm="1">
        <f t="array" ref="M105">IF($L105&gt;36,$N$82+$N$81*$L105,IF($M$57="평균",AVERAGE(INDEX($B$3:$D$48,$L105,0)),INDEX($B$3:$E$48,$L105,MATCH("그룹"&amp;$M$57&amp;"*",$B$2:$E$2,0))))</f>
        <v>120.18189832734322</v>
      </c>
      <c r="N105" s="4" t="str">
        <f t="shared" si="14"/>
        <v>실제 곡선값</v>
      </c>
      <c r="O105" s="6">
        <f t="shared" si="11"/>
        <v>5348269.4606203577</v>
      </c>
      <c r="P105" s="94">
        <f t="shared" si="12"/>
        <v>5623830.8176757824</v>
      </c>
      <c r="Q105" s="93">
        <f t="shared" si="13"/>
        <v>5618950.8184661595</v>
      </c>
      <c r="R105" s="93" t="str" cm="1">
        <f t="array" ref="R105">IF($L105&gt;12,"",IF(INDEX($N$64:$N$75,$L105)="","",INDEX($N$64:$N$75,$L105)))</f>
        <v/>
      </c>
      <c r="S105" s="95">
        <f t="shared" si="15"/>
        <v>46958</v>
      </c>
      <c r="T105" s="12" cm="1">
        <f t="array" ref="T105">IF(OR($M$59&lt;&gt;"Y",$M$58=""),100,INDEX(요약_월별시즈널리티!$F$7:$F$18,MONTH(EDATE($M$58,$L105))))</f>
        <v>104.67864933203967</v>
      </c>
      <c r="U105" s="6">
        <f t="shared" si="16"/>
        <v>5598496.234015354</v>
      </c>
      <c r="V105" s="6">
        <f t="shared" si="17"/>
        <v>5886950.1406620108</v>
      </c>
      <c r="W105" s="94">
        <f t="shared" si="18"/>
        <v>5881841.8234019633</v>
      </c>
    </row>
    <row r="106" spans="12:23" x14ac:dyDescent="0.4">
      <c r="L106" s="4">
        <f t="shared" si="19"/>
        <v>20</v>
      </c>
      <c r="M106" s="12" cm="1">
        <f t="array" ref="M106">IF($L106&gt;36,$N$82+$N$81*$L106,IF($M$57="평균",AVERAGE(INDEX($B$3:$D$48,$L106,0)),INDEX($B$3:$E$48,$L106,MATCH("그룹"&amp;$M$57&amp;"*",$B$2:$E$2,0))))</f>
        <v>121.6719110718184</v>
      </c>
      <c r="N106" s="4" t="str">
        <f t="shared" si="14"/>
        <v>실제 곡선값</v>
      </c>
      <c r="O106" s="6">
        <f t="shared" si="11"/>
        <v>5414577.1972106574</v>
      </c>
      <c r="P106" s="94">
        <f t="shared" si="12"/>
        <v>5693554.95839692</v>
      </c>
      <c r="Q106" s="93">
        <f t="shared" si="13"/>
        <v>5688614.4570558062</v>
      </c>
      <c r="R106" s="93" t="str" cm="1">
        <f t="array" ref="R106">IF($L106&gt;12,"",IF(INDEX($N$64:$N$75,$L106)="","",INDEX($N$64:$N$75,$L106)))</f>
        <v/>
      </c>
      <c r="S106" s="95">
        <f t="shared" si="15"/>
        <v>46989</v>
      </c>
      <c r="T106" s="12" cm="1">
        <f t="array" ref="T106">IF(OR($M$59&lt;&gt;"Y",$M$58=""),100,INDEX(요약_월별시즈널리티!$F$7:$F$18,MONTH(EDATE($M$58,$L106))))</f>
        <v>102.0452176382724</v>
      </c>
      <c r="U106" s="6">
        <f t="shared" si="16"/>
        <v>5525317.0850858856</v>
      </c>
      <c r="V106" s="6">
        <f t="shared" si="17"/>
        <v>5810000.5486507872</v>
      </c>
      <c r="W106" s="94">
        <f t="shared" si="18"/>
        <v>5804959.0033048261</v>
      </c>
    </row>
    <row r="107" spans="12:23" x14ac:dyDescent="0.4">
      <c r="L107" s="4">
        <f t="shared" si="19"/>
        <v>21</v>
      </c>
      <c r="M107" s="12" cm="1">
        <f t="array" ref="M107">IF($L107&gt;36,$N$82+$N$81*$L107,IF($M$57="평균",AVERAGE(INDEX($B$3:$D$48,$L107,0)),INDEX($B$3:$E$48,$L107,MATCH("그룹"&amp;$M$57&amp;"*",$B$2:$E$2,0))))</f>
        <v>120.73143227719483</v>
      </c>
      <c r="N107" s="4" t="str">
        <f t="shared" si="14"/>
        <v>실제 곡선값</v>
      </c>
      <c r="O107" s="6">
        <f t="shared" si="11"/>
        <v>5372724.5215111431</v>
      </c>
      <c r="P107" s="94">
        <f t="shared" si="12"/>
        <v>5649545.887961301</v>
      </c>
      <c r="Q107" s="93">
        <f t="shared" si="13"/>
        <v>5644643.5748651577</v>
      </c>
      <c r="R107" s="93" t="str" cm="1">
        <f t="array" ref="R107">IF($L107&gt;12,"",IF(INDEX($N$64:$N$75,$L107)="","",INDEX($N$64:$N$75,$L107)))</f>
        <v/>
      </c>
      <c r="S107" s="95">
        <f t="shared" si="15"/>
        <v>47020</v>
      </c>
      <c r="T107" s="12" cm="1">
        <f t="array" ref="T107">IF(OR($M$59&lt;&gt;"Y",$M$58=""),100,INDEX(요약_월별시즈널리티!$F$7:$F$18,MONTH(EDATE($M$58,$L107))))</f>
        <v>100.12358076140046</v>
      </c>
      <c r="U107" s="6">
        <f t="shared" si="16"/>
        <v>5379364.1753827762</v>
      </c>
      <c r="V107" s="6">
        <f t="shared" si="17"/>
        <v>5656527.6397853121</v>
      </c>
      <c r="W107" s="94">
        <f t="shared" si="18"/>
        <v>5651619.268373318</v>
      </c>
    </row>
    <row r="108" spans="12:23" x14ac:dyDescent="0.4">
      <c r="L108" s="4">
        <f t="shared" si="19"/>
        <v>22</v>
      </c>
      <c r="M108" s="12" cm="1">
        <f t="array" ref="M108">IF($L108&gt;36,$N$82+$N$81*$L108,IF($M$57="평균",AVERAGE(INDEX($B$3:$D$48,$L108,0)),INDEX($B$3:$E$48,$L108,MATCH("그룹"&amp;$M$57&amp;"*",$B$2:$E$2,0))))</f>
        <v>121.07678998916538</v>
      </c>
      <c r="N108" s="4" t="str">
        <f t="shared" si="14"/>
        <v>실제 곡선값</v>
      </c>
      <c r="O108" s="6">
        <f t="shared" si="11"/>
        <v>5388093.4425352644</v>
      </c>
      <c r="P108" s="94">
        <f t="shared" si="12"/>
        <v>5665706.6690001534</v>
      </c>
      <c r="Q108" s="93">
        <f t="shared" si="13"/>
        <v>5660790.3326161038</v>
      </c>
      <c r="R108" s="93" t="str" cm="1">
        <f t="array" ref="R108">IF($L108&gt;12,"",IF(INDEX($N$64:$N$75,$L108)="","",INDEX($N$64:$N$75,$L108)))</f>
        <v/>
      </c>
      <c r="S108" s="95">
        <f t="shared" si="15"/>
        <v>47050</v>
      </c>
      <c r="T108" s="12" cm="1">
        <f t="array" ref="T108">IF(OR($M$59&lt;&gt;"Y",$M$58=""),100,INDEX(요약_월별시즈널리티!$F$7:$F$18,MONTH(EDATE($M$58,$L108))))</f>
        <v>115.59456344220527</v>
      </c>
      <c r="U108" s="6">
        <f t="shared" si="16"/>
        <v>6228343.0927567277</v>
      </c>
      <c r="V108" s="6">
        <f t="shared" si="17"/>
        <v>6549248.8899466367</v>
      </c>
      <c r="W108" s="94">
        <f t="shared" si="18"/>
        <v>6543565.8723661443</v>
      </c>
    </row>
    <row r="109" spans="12:23" x14ac:dyDescent="0.4">
      <c r="L109" s="4">
        <f t="shared" si="19"/>
        <v>23</v>
      </c>
      <c r="M109" s="12" cm="1">
        <f t="array" ref="M109">IF($L109&gt;36,$N$82+$N$81*$L109,IF($M$57="평균",AVERAGE(INDEX($B$3:$D$48,$L109,0)),INDEX($B$3:$E$48,$L109,MATCH("그룹"&amp;$M$57&amp;"*",$B$2:$E$2,0))))</f>
        <v>120.25091283307239</v>
      </c>
      <c r="N109" s="4" t="str">
        <f t="shared" si="14"/>
        <v>실제 곡선값</v>
      </c>
      <c r="O109" s="6">
        <f t="shared" si="11"/>
        <v>5351340.7066105464</v>
      </c>
      <c r="P109" s="94">
        <f t="shared" si="12"/>
        <v>5627060.3048913134</v>
      </c>
      <c r="Q109" s="93">
        <f t="shared" si="13"/>
        <v>5622177.5033400878</v>
      </c>
      <c r="R109" s="93" t="str" cm="1">
        <f t="array" ref="R109">IF($L109&gt;12,"",IF(INDEX($N$64:$N$75,$L109)="","",INDEX($N$64:$N$75,$L109)))</f>
        <v/>
      </c>
      <c r="S109" s="95">
        <f t="shared" si="15"/>
        <v>47081</v>
      </c>
      <c r="T109" s="12" cm="1">
        <f t="array" ref="T109">IF(OR($M$59&lt;&gt;"Y",$M$58=""),100,INDEX(요약_월별시즈널리티!$F$7:$F$18,MONTH(EDATE($M$58,$L109))))</f>
        <v>104.11251530615402</v>
      </c>
      <c r="U109" s="6">
        <f t="shared" si="16"/>
        <v>5571415.4122543558</v>
      </c>
      <c r="V109" s="6">
        <f t="shared" si="17"/>
        <v>5858474.0212164856</v>
      </c>
      <c r="W109" s="94">
        <f t="shared" si="18"/>
        <v>5853390.4137040973</v>
      </c>
    </row>
    <row r="110" spans="12:23" x14ac:dyDescent="0.4">
      <c r="L110" s="4">
        <f t="shared" si="19"/>
        <v>24</v>
      </c>
      <c r="M110" s="12" cm="1">
        <f t="array" ref="M110">IF($L110&gt;36,$N$82+$N$81*$L110,IF($M$57="평균",AVERAGE(INDEX($B$3:$D$48,$L110,0)),INDEX($B$3:$E$48,$L110,MATCH("그룹"&amp;$M$57&amp;"*",$B$2:$E$2,0))))</f>
        <v>121.26835697694851</v>
      </c>
      <c r="N110" s="4" t="str">
        <f t="shared" si="14"/>
        <v>실제 곡선값</v>
      </c>
      <c r="O110" s="6">
        <f t="shared" si="11"/>
        <v>5396618.4524134817</v>
      </c>
      <c r="P110" s="94">
        <f t="shared" si="12"/>
        <v>5674670.9168988653</v>
      </c>
      <c r="Q110" s="93">
        <f t="shared" si="13"/>
        <v>5669746.8019161914</v>
      </c>
      <c r="R110" s="93" t="str" cm="1">
        <f t="array" ref="R110">IF($L110&gt;12,"",IF(INDEX($N$64:$N$75,$L110)="","",INDEX($N$64:$N$75,$L110)))</f>
        <v/>
      </c>
      <c r="S110" s="95">
        <f t="shared" si="15"/>
        <v>47111</v>
      </c>
      <c r="T110" s="12" cm="1">
        <f t="array" ref="T110">IF(OR($M$59&lt;&gt;"Y",$M$58=""),100,INDEX(요약_월별시즈널리티!$F$7:$F$18,MONTH(EDATE($M$58,$L110))))</f>
        <v>103.33184157392137</v>
      </c>
      <c r="U110" s="6">
        <f t="shared" si="16"/>
        <v>5576425.2295969054</v>
      </c>
      <c r="V110" s="6">
        <f t="shared" si="17"/>
        <v>5863741.9616913255</v>
      </c>
      <c r="W110" s="94">
        <f t="shared" si="18"/>
        <v>5858653.7829985116</v>
      </c>
    </row>
    <row r="111" spans="12:23" x14ac:dyDescent="0.4">
      <c r="L111" s="4">
        <f t="shared" si="19"/>
        <v>25</v>
      </c>
      <c r="M111" s="12" cm="1">
        <f t="array" ref="M111">IF($L111&gt;36,$N$82+$N$81*$L111,IF($M$57="평균",AVERAGE(INDEX($B$3:$D$48,$L111,0)),INDEX($B$3:$E$48,$L111,MATCH("그룹"&amp;$M$57&amp;"*",$B$2:$E$2,0))))</f>
        <v>125.17987157332162</v>
      </c>
      <c r="N111" s="4" t="str">
        <f t="shared" si="14"/>
        <v>실제 곡선값</v>
      </c>
      <c r="O111" s="6">
        <f t="shared" si="11"/>
        <v>5570686.5471241595</v>
      </c>
      <c r="P111" s="94">
        <f t="shared" si="12"/>
        <v>5857707.6024316223</v>
      </c>
      <c r="Q111" s="93">
        <f t="shared" si="13"/>
        <v>5852624.6599682355</v>
      </c>
      <c r="R111" s="93" t="str" cm="1">
        <f t="array" ref="R111">IF($L111&gt;12,"",IF(INDEX($N$64:$N$75,$L111)="","",INDEX($N$64:$N$75,$L111)))</f>
        <v/>
      </c>
      <c r="S111" s="95">
        <f t="shared" si="15"/>
        <v>47142</v>
      </c>
      <c r="T111" s="12" cm="1">
        <f t="array" ref="T111">IF(OR($M$59&lt;&gt;"Y",$M$58=""),100,INDEX(요약_월별시즈널리티!$F$7:$F$18,MONTH(EDATE($M$58,$L111))))</f>
        <v>91.030316684681807</v>
      </c>
      <c r="U111" s="6">
        <f t="shared" si="16"/>
        <v>5071013.6053580884</v>
      </c>
      <c r="V111" s="6">
        <f t="shared" si="17"/>
        <v>5332289.7809561882</v>
      </c>
      <c r="W111" s="94">
        <f t="shared" si="18"/>
        <v>5327662.7623348664</v>
      </c>
    </row>
    <row r="112" spans="12:23" x14ac:dyDescent="0.4">
      <c r="L112" s="4">
        <f t="shared" si="19"/>
        <v>26</v>
      </c>
      <c r="M112" s="12" cm="1">
        <f t="array" ref="M112">IF($L112&gt;36,$N$82+$N$81*$L112,IF($M$57="평균",AVERAGE(INDEX($B$3:$D$48,$L112,0)),INDEX($B$3:$E$48,$L112,MATCH("그룹"&amp;$M$57&amp;"*",$B$2:$E$2,0))))</f>
        <v>125.50467089080469</v>
      </c>
      <c r="N112" s="4" t="str">
        <f t="shared" si="14"/>
        <v>실제 곡선값</v>
      </c>
      <c r="O112" s="6">
        <f t="shared" si="11"/>
        <v>5585140.589660529</v>
      </c>
      <c r="P112" s="94">
        <f t="shared" si="12"/>
        <v>5872906.367275944</v>
      </c>
      <c r="Q112" s="93">
        <f t="shared" si="13"/>
        <v>5867810.2363005197</v>
      </c>
      <c r="R112" s="93" t="str" cm="1">
        <f t="array" ref="R112">IF($L112&gt;12,"",IF(INDEX($N$64:$N$75,$L112)="","",INDEX($N$64:$N$75,$L112)))</f>
        <v/>
      </c>
      <c r="S112" s="95">
        <f t="shared" si="15"/>
        <v>47173</v>
      </c>
      <c r="T112" s="12" cm="1">
        <f t="array" ref="T112">IF(OR($M$59&lt;&gt;"Y",$M$58=""),100,INDEX(요약_월별시즈널리티!$F$7:$F$18,MONTH(EDATE($M$58,$L112))))</f>
        <v>84.287776489062807</v>
      </c>
      <c r="U112" s="6">
        <f t="shared" si="16"/>
        <v>4707590.8168129912</v>
      </c>
      <c r="V112" s="6">
        <f t="shared" si="17"/>
        <v>4950142.1922614854</v>
      </c>
      <c r="W112" s="94">
        <f t="shared" si="18"/>
        <v>4945846.7767753303</v>
      </c>
    </row>
    <row r="113" spans="12:23" x14ac:dyDescent="0.4">
      <c r="L113" s="4">
        <f t="shared" si="19"/>
        <v>27</v>
      </c>
      <c r="M113" s="12" cm="1">
        <f t="array" ref="M113">IF($L113&gt;36,$N$82+$N$81*$L113,IF($M$57="평균",AVERAGE(INDEX($B$3:$D$48,$L113,0)),INDEX($B$3:$E$48,$L113,MATCH("그룹"&amp;$M$57&amp;"*",$B$2:$E$2,0))))</f>
        <v>126.79002559287052</v>
      </c>
      <c r="N113" s="4" t="str">
        <f t="shared" si="14"/>
        <v>실제 곡선값</v>
      </c>
      <c r="O113" s="6">
        <f t="shared" si="11"/>
        <v>5642340.7453811467</v>
      </c>
      <c r="P113" s="94">
        <f t="shared" si="12"/>
        <v>5933053.6730327019</v>
      </c>
      <c r="Q113" s="93">
        <f t="shared" si="13"/>
        <v>5927905.3500881251</v>
      </c>
      <c r="R113" s="93" t="str" cm="1">
        <f t="array" ref="R113">IF($L113&gt;12,"",IF(INDEX($N$64:$N$75,$L113)="","",INDEX($N$64:$N$75,$L113)))</f>
        <v/>
      </c>
      <c r="S113" s="95">
        <f t="shared" si="15"/>
        <v>47201</v>
      </c>
      <c r="T113" s="12" cm="1">
        <f t="array" ref="T113">IF(OR($M$59&lt;&gt;"Y",$M$58=""),100,INDEX(요약_월별시즈널리티!$F$7:$F$18,MONTH(EDATE($M$58,$L113))))</f>
        <v>97.17160058404427</v>
      </c>
      <c r="U113" s="6">
        <f t="shared" si="16"/>
        <v>5482752.8126925537</v>
      </c>
      <c r="V113" s="6">
        <f t="shared" si="17"/>
        <v>5765243.2175963055</v>
      </c>
      <c r="W113" s="94">
        <f t="shared" si="18"/>
        <v>5760240.509787824</v>
      </c>
    </row>
    <row r="114" spans="12:23" x14ac:dyDescent="0.4">
      <c r="L114" s="4">
        <f t="shared" si="19"/>
        <v>28</v>
      </c>
      <c r="M114" s="12" cm="1">
        <f t="array" ref="M114">IF($L114&gt;36,$N$82+$N$81*$L114,IF($M$57="평균",AVERAGE(INDEX($B$3:$D$48,$L114,0)),INDEX($B$3:$E$48,$L114,MATCH("그룹"&amp;$M$57&amp;"*",$B$2:$E$2,0))))</f>
        <v>129.53215248350099</v>
      </c>
      <c r="N114" s="4" t="str">
        <f t="shared" si="14"/>
        <v>실제 곡선값</v>
      </c>
      <c r="O114" s="6">
        <f t="shared" si="11"/>
        <v>5764369.3845557384</v>
      </c>
      <c r="P114" s="94">
        <f t="shared" si="12"/>
        <v>6061369.6501318635</v>
      </c>
      <c r="Q114" s="93">
        <f t="shared" si="13"/>
        <v>6056109.9828230767</v>
      </c>
      <c r="R114" s="93" t="str" cm="1">
        <f t="array" ref="R114">IF($L114&gt;12,"",IF(INDEX($N$64:$N$75,$L114)="","",INDEX($N$64:$N$75,$L114)))</f>
        <v/>
      </c>
      <c r="S114" s="95">
        <f t="shared" si="15"/>
        <v>47232</v>
      </c>
      <c r="T114" s="12" cm="1">
        <f t="array" ref="T114">IF(OR($M$59&lt;&gt;"Y",$M$58=""),100,INDEX(요약_월별시즈널리티!$F$7:$F$18,MONTH(EDATE($M$58,$L114))))</f>
        <v>96.499914908438853</v>
      </c>
      <c r="U114" s="6">
        <f t="shared" si="16"/>
        <v>5562611.5511043882</v>
      </c>
      <c r="V114" s="6">
        <f t="shared" si="17"/>
        <v>5849216.554663186</v>
      </c>
      <c r="W114" s="94">
        <f t="shared" si="18"/>
        <v>5844140.9801857397</v>
      </c>
    </row>
    <row r="115" spans="12:23" x14ac:dyDescent="0.4">
      <c r="L115" s="4">
        <f t="shared" si="19"/>
        <v>29</v>
      </c>
      <c r="M115" s="12" cm="1">
        <f t="array" ref="M115">IF($L115&gt;36,$N$82+$N$81*$L115,IF($M$57="평균",AVERAGE(INDEX($B$3:$D$48,$L115,0)),INDEX($B$3:$E$48,$L115,MATCH("그룹"&amp;$M$57&amp;"*",$B$2:$E$2,0))))</f>
        <v>130.21921637150925</v>
      </c>
      <c r="N115" s="4" t="str">
        <f t="shared" si="14"/>
        <v>실제 곡선값</v>
      </c>
      <c r="O115" s="6">
        <f t="shared" si="11"/>
        <v>5794944.7279383251</v>
      </c>
      <c r="P115" s="94">
        <f t="shared" si="12"/>
        <v>6093520.3410501303</v>
      </c>
      <c r="Q115" s="93">
        <f t="shared" si="13"/>
        <v>6088232.7754365467</v>
      </c>
      <c r="R115" s="93" t="str" cm="1">
        <f t="array" ref="R115">IF($L115&gt;12,"",IF(INDEX($N$64:$N$75,$L115)="","",INDEX($N$64:$N$75,$L115)))</f>
        <v/>
      </c>
      <c r="S115" s="95">
        <f t="shared" si="15"/>
        <v>47262</v>
      </c>
      <c r="T115" s="12" cm="1">
        <f t="array" ref="T115">IF(OR($M$59&lt;&gt;"Y",$M$58=""),100,INDEX(요약_월별시즈널리티!$F$7:$F$18,MONTH(EDATE($M$58,$L115))))</f>
        <v>105.36696241365125</v>
      </c>
      <c r="U115" s="6">
        <f t="shared" si="16"/>
        <v>6105957.2333786394</v>
      </c>
      <c r="V115" s="6">
        <f t="shared" si="17"/>
        <v>6420557.2874224838</v>
      </c>
      <c r="W115" s="94">
        <f t="shared" si="18"/>
        <v>6414985.9401498223</v>
      </c>
    </row>
    <row r="116" spans="12:23" x14ac:dyDescent="0.4">
      <c r="L116" s="4">
        <f t="shared" si="19"/>
        <v>30</v>
      </c>
      <c r="M116" s="12" cm="1">
        <f t="array" ref="M116">IF($L116&gt;36,$N$82+$N$81*$L116,IF($M$57="평균",AVERAGE(INDEX($B$3:$D$48,$L116,0)),INDEX($B$3:$E$48,$L116,MATCH("그룹"&amp;$M$57&amp;"*",$B$2:$E$2,0))))</f>
        <v>133.87201574294468</v>
      </c>
      <c r="N116" s="4" t="str">
        <f t="shared" si="14"/>
        <v>실제 곡선값</v>
      </c>
      <c r="O116" s="6">
        <f t="shared" si="11"/>
        <v>5957499.6184494579</v>
      </c>
      <c r="P116" s="94">
        <f t="shared" si="12"/>
        <v>6264450.62224699</v>
      </c>
      <c r="Q116" s="93">
        <f t="shared" si="13"/>
        <v>6259014.7343128789</v>
      </c>
      <c r="R116" s="93" t="str" cm="1">
        <f t="array" ref="R116">IF($L116&gt;12,"",IF(INDEX($N$64:$N$75,$L116)="","",INDEX($N$64:$N$75,$L116)))</f>
        <v/>
      </c>
      <c r="S116" s="95">
        <f t="shared" si="15"/>
        <v>47293</v>
      </c>
      <c r="T116" s="12" cm="1">
        <f t="array" ref="T116">IF(OR($M$59&lt;&gt;"Y",$M$58=""),100,INDEX(요약_월별시즈널리티!$F$7:$F$18,MONTH(EDATE($M$58,$L116))))</f>
        <v>102.78468761332418</v>
      </c>
      <c r="U116" s="6">
        <f t="shared" si="16"/>
        <v>6123397.3723882558</v>
      </c>
      <c r="V116" s="6">
        <f t="shared" si="17"/>
        <v>6438896.0027675116</v>
      </c>
      <c r="W116" s="94">
        <f t="shared" si="18"/>
        <v>6433308.7423354257</v>
      </c>
    </row>
    <row r="117" spans="12:23" x14ac:dyDescent="0.4">
      <c r="L117" s="4">
        <f t="shared" si="19"/>
        <v>31</v>
      </c>
      <c r="M117" s="12" cm="1">
        <f t="array" ref="M117">IF($L117&gt;36,$N$82+$N$81*$L117,IF($M$57="평균",AVERAGE(INDEX($B$3:$D$48,$L117,0)),INDEX($B$3:$E$48,$L117,MATCH("그룹"&amp;$M$57&amp;"*",$B$2:$E$2,0))))</f>
        <v>134.04414374139341</v>
      </c>
      <c r="N117" s="4" t="str">
        <f t="shared" si="14"/>
        <v>실제 곡선값</v>
      </c>
      <c r="O117" s="6">
        <f t="shared" si="11"/>
        <v>5965159.5649990924</v>
      </c>
      <c r="P117" s="94">
        <f t="shared" si="12"/>
        <v>6272505.2357597863</v>
      </c>
      <c r="Q117" s="93">
        <f t="shared" si="13"/>
        <v>6267062.3585493518</v>
      </c>
      <c r="R117" s="93" t="str" cm="1">
        <f t="array" ref="R117">IF($L117&gt;12,"",IF(INDEX($N$64:$N$75,$L117)="","",INDEX($N$64:$N$75,$L117)))</f>
        <v/>
      </c>
      <c r="S117" s="95">
        <f t="shared" si="15"/>
        <v>47323</v>
      </c>
      <c r="T117" s="12" cm="1">
        <f t="array" ref="T117">IF(OR($M$59&lt;&gt;"Y",$M$58=""),100,INDEX(요약_월별시즈널리티!$F$7:$F$18,MONTH(EDATE($M$58,$L117))))</f>
        <v>104.67864933203967</v>
      </c>
      <c r="U117" s="6">
        <f t="shared" si="16"/>
        <v>6244248.4631420234</v>
      </c>
      <c r="V117" s="6">
        <f t="shared" si="17"/>
        <v>6565973.7600748148</v>
      </c>
      <c r="W117" s="94">
        <f t="shared" si="18"/>
        <v>6560276.2297261311</v>
      </c>
    </row>
    <row r="118" spans="12:23" x14ac:dyDescent="0.4">
      <c r="L118" s="4">
        <f t="shared" si="19"/>
        <v>32</v>
      </c>
      <c r="M118" s="12" cm="1">
        <f t="array" ref="M118">IF($L118&gt;36,$N$82+$N$81*$L118,IF($M$57="평균",AVERAGE(INDEX($B$3:$D$48,$L118,0)),INDEX($B$3:$E$48,$L118,MATCH("그룹"&amp;$M$57&amp;"*",$B$2:$E$2,0))))</f>
        <v>133.40250293513895</v>
      </c>
      <c r="N118" s="4" t="str">
        <f t="shared" si="14"/>
        <v>실제 곡선값</v>
      </c>
      <c r="O118" s="6">
        <f t="shared" si="11"/>
        <v>5936605.6148906359</v>
      </c>
      <c r="P118" s="94">
        <f t="shared" si="12"/>
        <v>6242480.0872947183</v>
      </c>
      <c r="Q118" s="93">
        <f t="shared" si="13"/>
        <v>6237063.2639798447</v>
      </c>
      <c r="R118" s="93" t="str" cm="1">
        <f t="array" ref="R118">IF($L118&gt;12,"",IF(INDEX($N$64:$N$75,$L118)="","",INDEX($N$64:$N$75,$L118)))</f>
        <v/>
      </c>
      <c r="S118" s="95">
        <f t="shared" si="15"/>
        <v>47354</v>
      </c>
      <c r="T118" s="12" cm="1">
        <f t="array" ref="T118">IF(OR($M$59&lt;&gt;"Y",$M$58=""),100,INDEX(요약_월별시즈널리티!$F$7:$F$18,MONTH(EDATE($M$58,$L118))))</f>
        <v>102.0452176382724</v>
      </c>
      <c r="U118" s="6">
        <f t="shared" si="16"/>
        <v>6058022.12004105</v>
      </c>
      <c r="V118" s="6">
        <f t="shared" si="17"/>
        <v>6370152.3911057124</v>
      </c>
      <c r="W118" s="94">
        <f t="shared" si="18"/>
        <v>6364624.7819649698</v>
      </c>
    </row>
    <row r="119" spans="12:23" x14ac:dyDescent="0.4">
      <c r="L119" s="4">
        <f t="shared" si="19"/>
        <v>33</v>
      </c>
      <c r="M119" s="12" cm="1">
        <f t="array" ref="M119">IF($L119&gt;36,$N$82+$N$81*$L119,IF($M$57="평균",AVERAGE(INDEX($B$3:$D$48,$L119,0)),INDEX($B$3:$E$48,$L119,MATCH("그룹"&amp;$M$57&amp;"*",$B$2:$E$2,0))))</f>
        <v>132.75678264677862</v>
      </c>
      <c r="N119" s="4" t="str">
        <f t="shared" si="14"/>
        <v>실제 곡선값</v>
      </c>
      <c r="O119" s="6">
        <f t="shared" si="11"/>
        <v>5907870.1218887353</v>
      </c>
      <c r="P119" s="94">
        <f t="shared" si="12"/>
        <v>6212264.0422178768</v>
      </c>
      <c r="Q119" s="93">
        <f t="shared" si="13"/>
        <v>6206873.4384463849</v>
      </c>
      <c r="R119" s="93" t="str" cm="1">
        <f t="array" ref="R119">IF($L119&gt;12,"",IF(INDEX($N$64:$N$75,$L119)="","",INDEX($N$64:$N$75,$L119)))</f>
        <v/>
      </c>
      <c r="S119" s="95">
        <f t="shared" si="15"/>
        <v>47385</v>
      </c>
      <c r="T119" s="12" cm="1">
        <f t="array" ref="T119">IF(OR($M$59&lt;&gt;"Y",$M$58=""),100,INDEX(요약_월별시즈널리티!$F$7:$F$18,MONTH(EDATE($M$58,$L119))))</f>
        <v>100.12358076140046</v>
      </c>
      <c r="U119" s="6">
        <f t="shared" si="16"/>
        <v>5915171.1127679162</v>
      </c>
      <c r="V119" s="6">
        <f t="shared" si="17"/>
        <v>6219941.2054214561</v>
      </c>
      <c r="W119" s="94">
        <f t="shared" si="18"/>
        <v>6214543.9399007801</v>
      </c>
    </row>
    <row r="120" spans="12:23" x14ac:dyDescent="0.4">
      <c r="L120" s="4">
        <f t="shared" si="19"/>
        <v>34</v>
      </c>
      <c r="M120" s="12" cm="1">
        <f t="array" ref="M120">IF($L120&gt;36,$N$82+$N$81*$L120,IF($M$57="평균",AVERAGE(INDEX($B$3:$D$48,$L120,0)),INDEX($B$3:$E$48,$L120,MATCH("그룹"&amp;$M$57&amp;"*",$B$2:$E$2,0))))</f>
        <v>134.39566598184754</v>
      </c>
      <c r="N120" s="4" t="str">
        <f t="shared" si="14"/>
        <v>실제 곡선값</v>
      </c>
      <c r="O120" s="6">
        <f t="shared" si="11"/>
        <v>5980802.8165162969</v>
      </c>
      <c r="P120" s="94">
        <f t="shared" si="12"/>
        <v>6288954.4817483937</v>
      </c>
      <c r="Q120" s="93">
        <f t="shared" si="13"/>
        <v>6283497.3309386959</v>
      </c>
      <c r="R120" s="93" t="str" cm="1">
        <f t="array" ref="R120">IF($L120&gt;12,"",IF(INDEX($N$64:$N$75,$L120)="","",INDEX($N$64:$N$75,$L120)))</f>
        <v/>
      </c>
      <c r="S120" s="95">
        <f t="shared" si="15"/>
        <v>47415</v>
      </c>
      <c r="T120" s="12" cm="1">
        <f t="array" ref="T120">IF(OR($M$59&lt;&gt;"Y",$M$58=""),100,INDEX(요약_월별시즈널리티!$F$7:$F$18,MONTH(EDATE($M$58,$L120))))</f>
        <v>115.59456344220527</v>
      </c>
      <c r="U120" s="6">
        <f t="shared" si="16"/>
        <v>6913482.9060911313</v>
      </c>
      <c r="V120" s="6">
        <f t="shared" si="17"/>
        <v>7269689.4782560589</v>
      </c>
      <c r="W120" s="94">
        <f t="shared" si="18"/>
        <v>7263381.3086012052</v>
      </c>
    </row>
    <row r="121" spans="12:23" x14ac:dyDescent="0.4">
      <c r="L121" s="4">
        <f t="shared" si="19"/>
        <v>35</v>
      </c>
      <c r="M121" s="12" cm="1">
        <f t="array" ref="M121">IF($L121&gt;36,$N$82+$N$81*$L121,IF($M$57="평균",AVERAGE(INDEX($B$3:$D$48,$L121,0)),INDEX($B$3:$E$48,$L121,MATCH("그룹"&amp;$M$57&amp;"*",$B$2:$E$2,0))))</f>
        <v>133.9193373438068</v>
      </c>
      <c r="N121" s="4" t="str">
        <f t="shared" si="14"/>
        <v>실제 곡선값</v>
      </c>
      <c r="O121" s="6">
        <f t="shared" si="11"/>
        <v>5959605.498588156</v>
      </c>
      <c r="P121" s="94">
        <f t="shared" si="12"/>
        <v>6266665.0046204934</v>
      </c>
      <c r="Q121" s="93">
        <f t="shared" si="13"/>
        <v>6261227.1951875696</v>
      </c>
      <c r="R121" s="93" t="str" cm="1">
        <f t="array" ref="R121">IF($L121&gt;12,"",IF(INDEX($N$64:$N$75,$L121)="","",INDEX($N$64:$N$75,$L121)))</f>
        <v/>
      </c>
      <c r="S121" s="95">
        <f t="shared" si="15"/>
        <v>47446</v>
      </c>
      <c r="T121" s="12" cm="1">
        <f t="array" ref="T121">IF(OR($M$59&lt;&gt;"Y",$M$58=""),100,INDEX(요약_월별시즈널리티!$F$7:$F$18,MONTH(EDATE($M$58,$L121))))</f>
        <v>104.11251530615402</v>
      </c>
      <c r="U121" s="6">
        <f t="shared" si="16"/>
        <v>6204695.1869039908</v>
      </c>
      <c r="V121" s="6">
        <f t="shared" si="17"/>
        <v>6524382.5621209089</v>
      </c>
      <c r="W121" s="94">
        <f t="shared" si="18"/>
        <v>6518721.1219427371</v>
      </c>
    </row>
    <row r="122" spans="12:23" x14ac:dyDescent="0.4">
      <c r="L122" s="4">
        <f t="shared" si="19"/>
        <v>36</v>
      </c>
      <c r="M122" s="12" cm="1">
        <f t="array" ref="M122">IF($L122&gt;36,$N$82+$N$81*$L122,IF($M$57="평균",AVERAGE(INDEX($B$3:$D$48,$L122,0)),INDEX($B$3:$E$48,$L122,MATCH("그룹"&amp;$M$57&amp;"*",$B$2:$E$2,0))))</f>
        <v>139.37635555854072</v>
      </c>
      <c r="N122" s="4" t="str">
        <f t="shared" si="14"/>
        <v>실제 곡선값</v>
      </c>
      <c r="O122" s="6">
        <f t="shared" si="11"/>
        <v>6202450.7545718541</v>
      </c>
      <c r="P122" s="94">
        <f t="shared" si="12"/>
        <v>6522022.4888653271</v>
      </c>
      <c r="Q122" s="93">
        <f t="shared" si="13"/>
        <v>6516363.096607157</v>
      </c>
      <c r="R122" s="93" t="str" cm="1">
        <f t="array" ref="R122">IF($L122&gt;12,"",IF(INDEX($N$64:$N$75,$L122)="","",INDEX($N$64:$N$75,$L122)))</f>
        <v/>
      </c>
      <c r="S122" s="95">
        <f t="shared" si="15"/>
        <v>47476</v>
      </c>
      <c r="T122" s="12" cm="1">
        <f t="array" ref="T122">IF(OR($M$59&lt;&gt;"Y",$M$58=""),100,INDEX(요약_월별시즈널리티!$F$7:$F$18,MONTH(EDATE($M$58,$L122))))</f>
        <v>103.33184157392137</v>
      </c>
      <c r="U122" s="6">
        <f t="shared" si="16"/>
        <v>6409106.5874146782</v>
      </c>
      <c r="V122" s="6">
        <f t="shared" si="17"/>
        <v>6739325.9456098424</v>
      </c>
      <c r="W122" s="94">
        <f t="shared" si="18"/>
        <v>6733477.9913675841</v>
      </c>
    </row>
    <row r="123" spans="12:23" x14ac:dyDescent="0.4">
      <c r="L123" s="4">
        <f t="shared" si="19"/>
        <v>37</v>
      </c>
      <c r="M123" s="12" cm="1">
        <f t="array" ref="M123">IF($L123&gt;36,$N$82+$N$81*$L123,IF($M$57="평균",AVERAGE(INDEX($B$3:$D$48,$L123,0)),INDEX($B$3:$E$48,$L123,MATCH("그룹"&amp;$M$57&amp;"*",$B$2:$E$2,0))))</f>
        <v>139.17679067267579</v>
      </c>
      <c r="N123" s="4" t="str">
        <f t="shared" si="14"/>
        <v>회귀 외삽 (절편+기울기×m)</v>
      </c>
      <c r="O123" s="6">
        <f t="shared" si="11"/>
        <v>6193569.826584042</v>
      </c>
      <c r="P123" s="94">
        <f t="shared" si="12"/>
        <v>6512683.9847239098</v>
      </c>
      <c r="Q123" s="93">
        <f t="shared" si="13"/>
        <v>6507032.6958198966</v>
      </c>
      <c r="R123" s="93" t="str" cm="1">
        <f t="array" ref="R123">IF($L123&gt;12,"",IF(INDEX($N$64:$N$75,$L123)="","",INDEX($N$64:$N$75,$L123)))</f>
        <v/>
      </c>
      <c r="S123" s="95">
        <f t="shared" si="15"/>
        <v>47507</v>
      </c>
      <c r="T123" s="12" cm="1">
        <f t="array" ref="T123">IF(OR($M$59&lt;&gt;"Y",$M$58=""),100,INDEX(요약_월별시즈널리티!$F$7:$F$18,MONTH(EDATE($M$58,$L123))))</f>
        <v>91.030316684681807</v>
      </c>
      <c r="U123" s="6">
        <f t="shared" si="16"/>
        <v>5638026.2272263514</v>
      </c>
      <c r="V123" s="6">
        <f t="shared" si="17"/>
        <v>5928516.8559667291</v>
      </c>
      <c r="W123" s="94">
        <f t="shared" si="18"/>
        <v>5923372.4697806397</v>
      </c>
    </row>
    <row r="124" spans="12:23" x14ac:dyDescent="0.4">
      <c r="L124" s="4">
        <f t="shared" si="19"/>
        <v>38</v>
      </c>
      <c r="M124" s="12" cm="1">
        <f t="array" ref="M124">IF($L124&gt;36,$N$82+$N$81*$L124,IF($M$57="평균",AVERAGE(INDEX($B$3:$D$48,$L124,0)),INDEX($B$3:$E$48,$L124,MATCH("그룹"&amp;$M$57&amp;"*",$B$2:$E$2,0))))</f>
        <v>140.30502117593784</v>
      </c>
      <c r="N124" s="4" t="str">
        <f t="shared" si="14"/>
        <v>회귀 외삽 (절편+기울기×m)</v>
      </c>
      <c r="O124" s="6">
        <f t="shared" si="11"/>
        <v>6243777.7266847836</v>
      </c>
      <c r="P124" s="94">
        <f t="shared" si="12"/>
        <v>6565478.7696457207</v>
      </c>
      <c r="Q124" s="93">
        <f t="shared" si="13"/>
        <v>6559781.6688179411</v>
      </c>
      <c r="R124" s="93" t="str" cm="1">
        <f t="array" ref="R124">IF($L124&gt;12,"",IF(INDEX($N$64:$N$75,$L124)="","",INDEX($N$64:$N$75,$L124)))</f>
        <v/>
      </c>
      <c r="S124" s="95">
        <f t="shared" si="15"/>
        <v>47538</v>
      </c>
      <c r="T124" s="12" cm="1">
        <f t="array" ref="T124">IF(OR($M$59&lt;&gt;"Y",$M$58=""),100,INDEX(요약_월별시즈널리티!$F$7:$F$18,MONTH(EDATE($M$58,$L124))))</f>
        <v>84.287776489062807</v>
      </c>
      <c r="U124" s="6">
        <f t="shared" si="16"/>
        <v>5262741.4147419576</v>
      </c>
      <c r="V124" s="6">
        <f t="shared" si="17"/>
        <v>5533896.0707958555</v>
      </c>
      <c r="W124" s="94">
        <f t="shared" si="18"/>
        <v>5529094.1111837802</v>
      </c>
    </row>
    <row r="125" spans="12:23" x14ac:dyDescent="0.4">
      <c r="L125" s="4">
        <f t="shared" si="19"/>
        <v>39</v>
      </c>
      <c r="M125" s="12" cm="1">
        <f t="array" ref="M125">IF($L125&gt;36,$N$82+$N$81*$L125,IF($M$57="평균",AVERAGE(INDEX($B$3:$D$48,$L125,0)),INDEX($B$3:$E$48,$L125,MATCH("그룹"&amp;$M$57&amp;"*",$B$2:$E$2,0))))</f>
        <v>141.43325167919988</v>
      </c>
      <c r="N125" s="4" t="str">
        <f t="shared" si="14"/>
        <v>회귀 외삽 (절편+기울기×m)</v>
      </c>
      <c r="O125" s="6">
        <f t="shared" si="11"/>
        <v>6293985.6267855261</v>
      </c>
      <c r="P125" s="94">
        <f t="shared" si="12"/>
        <v>6618273.5545675317</v>
      </c>
      <c r="Q125" s="93">
        <f t="shared" si="13"/>
        <v>6612530.6418159856</v>
      </c>
      <c r="R125" s="93" t="str" cm="1">
        <f t="array" ref="R125">IF($L125&gt;12,"",IF(INDEX($N$64:$N$75,$L125)="","",INDEX($N$64:$N$75,$L125)))</f>
        <v/>
      </c>
      <c r="S125" s="95">
        <f t="shared" si="15"/>
        <v>47566</v>
      </c>
      <c r="T125" s="12" cm="1">
        <f t="array" ref="T125">IF(OR($M$59&lt;&gt;"Y",$M$58=""),100,INDEX(요약_월별시즈널리티!$F$7:$F$18,MONTH(EDATE($M$58,$L125))))</f>
        <v>97.17160058404427</v>
      </c>
      <c r="U125" s="6">
        <f t="shared" si="16"/>
        <v>6115966.5740771862</v>
      </c>
      <c r="V125" s="6">
        <f t="shared" si="17"/>
        <v>6431082.344003791</v>
      </c>
      <c r="W125" s="94">
        <f t="shared" si="18"/>
        <v>6425501.8637629692</v>
      </c>
    </row>
    <row r="126" spans="12:23" x14ac:dyDescent="0.4">
      <c r="L126" s="4">
        <f t="shared" si="19"/>
        <v>40</v>
      </c>
      <c r="M126" s="12" cm="1">
        <f t="array" ref="M126">IF($L126&gt;36,$N$82+$N$81*$L126,IF($M$57="평균",AVERAGE(INDEX($B$3:$D$48,$L126,0)),INDEX($B$3:$E$48,$L126,MATCH("그룹"&amp;$M$57&amp;"*",$B$2:$E$2,0))))</f>
        <v>142.56148218246193</v>
      </c>
      <c r="N126" s="4" t="str">
        <f t="shared" si="14"/>
        <v>회귀 외삽 (절편+기울기×m)</v>
      </c>
      <c r="O126" s="6">
        <f t="shared" si="11"/>
        <v>6344193.5268862676</v>
      </c>
      <c r="P126" s="94">
        <f t="shared" si="12"/>
        <v>6671068.3394893408</v>
      </c>
      <c r="Q126" s="93">
        <f t="shared" si="13"/>
        <v>6665279.61481403</v>
      </c>
      <c r="R126" s="93" t="str" cm="1">
        <f t="array" ref="R126">IF($L126&gt;12,"",IF(INDEX($N$64:$N$75,$L126)="","",INDEX($N$64:$N$75,$L126)))</f>
        <v/>
      </c>
      <c r="S126" s="95">
        <f t="shared" si="15"/>
        <v>47597</v>
      </c>
      <c r="T126" s="12" cm="1">
        <f t="array" ref="T126">IF(OR($M$59&lt;&gt;"Y",$M$58=""),100,INDEX(요약_월별시즈널리티!$F$7:$F$18,MONTH(EDATE($M$58,$L126))))</f>
        <v>96.499914908438853</v>
      </c>
      <c r="U126" s="6">
        <f t="shared" si="16"/>
        <v>6122141.3550719349</v>
      </c>
      <c r="V126" s="6">
        <f t="shared" si="17"/>
        <v>6437575.2710910188</v>
      </c>
      <c r="W126" s="94">
        <f t="shared" si="18"/>
        <v>6431989.15670506</v>
      </c>
    </row>
    <row r="127" spans="12:23" x14ac:dyDescent="0.4">
      <c r="L127" s="4">
        <f t="shared" si="19"/>
        <v>41</v>
      </c>
      <c r="M127" s="12" cm="1">
        <f t="array" ref="M127">IF($L127&gt;36,$N$82+$N$81*$L127,IF($M$57="평균",AVERAGE(INDEX($B$3:$D$48,$L127,0)),INDEX($B$3:$E$48,$L127,MATCH("그룹"&amp;$M$57&amp;"*",$B$2:$E$2,0))))</f>
        <v>143.68971268572398</v>
      </c>
      <c r="N127" s="4" t="str">
        <f t="shared" si="14"/>
        <v>회귀 외삽 (절편+기울기×m)</v>
      </c>
      <c r="O127" s="6">
        <f t="shared" si="11"/>
        <v>6394401.4269870091</v>
      </c>
      <c r="P127" s="94">
        <f t="shared" si="12"/>
        <v>6723863.1244111517</v>
      </c>
      <c r="Q127" s="93">
        <f t="shared" si="13"/>
        <v>6718028.5878120745</v>
      </c>
      <c r="R127" s="93" t="str" cm="1">
        <f t="array" ref="R127">IF($L127&gt;12,"",IF(INDEX($N$64:$N$75,$L127)="","",INDEX($N$64:$N$75,$L127)))</f>
        <v/>
      </c>
      <c r="S127" s="95">
        <f t="shared" si="15"/>
        <v>47627</v>
      </c>
      <c r="T127" s="12" cm="1">
        <f t="array" ref="T127">IF(OR($M$59&lt;&gt;"Y",$M$58=""),100,INDEX(요약_월별시즈널리티!$F$7:$F$18,MONTH(EDATE($M$58,$L127))))</f>
        <v>105.36696241365125</v>
      </c>
      <c r="U127" s="6">
        <f t="shared" si="16"/>
        <v>6737586.5481513813</v>
      </c>
      <c r="V127" s="6">
        <f t="shared" si="17"/>
        <v>7084730.3310436551</v>
      </c>
      <c r="W127" s="94">
        <f t="shared" si="18"/>
        <v>7078582.6570582949</v>
      </c>
    </row>
    <row r="128" spans="12:23" x14ac:dyDescent="0.4">
      <c r="L128" s="4">
        <f t="shared" si="19"/>
        <v>42</v>
      </c>
      <c r="M128" s="12" cm="1">
        <f t="array" ref="M128">IF($L128&gt;36,$N$82+$N$81*$L128,IF($M$57="평균",AVERAGE(INDEX($B$3:$D$48,$L128,0)),INDEX($B$3:$E$48,$L128,MATCH("그룹"&amp;$M$57&amp;"*",$B$2:$E$2,0))))</f>
        <v>144.81794318898602</v>
      </c>
      <c r="N128" s="4" t="str">
        <f t="shared" si="14"/>
        <v>회귀 외삽 (절편+기울기×m)</v>
      </c>
      <c r="O128" s="6">
        <f t="shared" si="11"/>
        <v>6444609.3270877507</v>
      </c>
      <c r="P128" s="94">
        <f t="shared" si="12"/>
        <v>6776657.9093329618</v>
      </c>
      <c r="Q128" s="93">
        <f t="shared" si="13"/>
        <v>6770777.5608101189</v>
      </c>
      <c r="R128" s="93" t="str" cm="1">
        <f t="array" ref="R128">IF($L128&gt;12,"",IF(INDEX($N$64:$N$75,$L128)="","",INDEX($N$64:$N$75,$L128)))</f>
        <v/>
      </c>
      <c r="S128" s="95">
        <f t="shared" si="15"/>
        <v>47658</v>
      </c>
      <c r="T128" s="12" cm="1">
        <f t="array" ref="T128">IF(OR($M$59&lt;&gt;"Y",$M$58=""),100,INDEX(요약_월별시즈널리티!$F$7:$F$18,MONTH(EDATE($M$58,$L128))))</f>
        <v>102.78468761332418</v>
      </c>
      <c r="U128" s="6">
        <f t="shared" si="16"/>
        <v>6624071.5647462979</v>
      </c>
      <c r="V128" s="6">
        <f t="shared" si="17"/>
        <v>6965366.6627315106</v>
      </c>
      <c r="W128" s="94">
        <f t="shared" si="18"/>
        <v>6959322.5648717312</v>
      </c>
    </row>
    <row r="129" spans="12:23" x14ac:dyDescent="0.4">
      <c r="L129" s="4">
        <f t="shared" si="19"/>
        <v>43</v>
      </c>
      <c r="M129" s="12" cm="1">
        <f t="array" ref="M129">IF($L129&gt;36,$N$82+$N$81*$L129,IF($M$57="평균",AVERAGE(INDEX($B$3:$D$48,$L129,0)),INDEX($B$3:$E$48,$L129,MATCH("그룹"&amp;$M$57&amp;"*",$B$2:$E$2,0))))</f>
        <v>145.94617369224807</v>
      </c>
      <c r="N129" s="4" t="str">
        <f t="shared" si="14"/>
        <v>회귀 외삽 (절편+기울기×m)</v>
      </c>
      <c r="O129" s="6">
        <f t="shared" si="11"/>
        <v>6494817.2271884922</v>
      </c>
      <c r="P129" s="94">
        <f t="shared" si="12"/>
        <v>6829452.6942547718</v>
      </c>
      <c r="Q129" s="93">
        <f t="shared" si="13"/>
        <v>6823526.5338081634</v>
      </c>
      <c r="R129" s="93" t="str" cm="1">
        <f t="array" ref="R129">IF($L129&gt;12,"",IF(INDEX($N$64:$N$75,$L129)="","",INDEX($N$64:$N$75,$L129)))</f>
        <v/>
      </c>
      <c r="S129" s="95">
        <f t="shared" si="15"/>
        <v>47688</v>
      </c>
      <c r="T129" s="12" cm="1">
        <f t="array" ref="T129">IF(OR($M$59&lt;&gt;"Y",$M$58=""),100,INDEX(요약_월별시즈널리티!$F$7:$F$18,MONTH(EDATE($M$58,$L129))))</f>
        <v>104.67864933203967</v>
      </c>
      <c r="U129" s="6">
        <f t="shared" si="16"/>
        <v>6798686.9500055443</v>
      </c>
      <c r="V129" s="6">
        <f t="shared" si="17"/>
        <v>7148978.8371164883</v>
      </c>
      <c r="W129" s="94">
        <f t="shared" si="18"/>
        <v>7142775.4124037288</v>
      </c>
    </row>
    <row r="130" spans="12:23" x14ac:dyDescent="0.4">
      <c r="L130" s="4">
        <f t="shared" si="19"/>
        <v>44</v>
      </c>
      <c r="M130" s="12" cm="1">
        <f t="array" ref="M130">IF($L130&gt;36,$N$82+$N$81*$L130,IF($M$57="평균",AVERAGE(INDEX($B$3:$D$48,$L130,0)),INDEX($B$3:$E$48,$L130,MATCH("그룹"&amp;$M$57&amp;"*",$B$2:$E$2,0))))</f>
        <v>147.07440419551011</v>
      </c>
      <c r="N130" s="4" t="str">
        <f t="shared" si="14"/>
        <v>회귀 외삽 (절편+기울기×m)</v>
      </c>
      <c r="O130" s="6">
        <f t="shared" si="11"/>
        <v>6545025.1272892347</v>
      </c>
      <c r="P130" s="94">
        <f t="shared" si="12"/>
        <v>6882247.4791765818</v>
      </c>
      <c r="Q130" s="93">
        <f t="shared" si="13"/>
        <v>6876275.5068062078</v>
      </c>
      <c r="R130" s="93" t="str" cm="1">
        <f t="array" ref="R130">IF($L130&gt;12,"",IF(INDEX($N$64:$N$75,$L130)="","",INDEX($N$64:$N$75,$L130)))</f>
        <v/>
      </c>
      <c r="S130" s="95">
        <f t="shared" si="15"/>
        <v>47719</v>
      </c>
      <c r="T130" s="12" cm="1">
        <f t="array" ref="T130">IF(OR($M$59&lt;&gt;"Y",$M$58=""),100,INDEX(요약_월별시즈널리티!$F$7:$F$18,MONTH(EDATE($M$58,$L130))))</f>
        <v>102.0452176382724</v>
      </c>
      <c r="U130" s="6">
        <f t="shared" si="16"/>
        <v>6678885.1356219146</v>
      </c>
      <c r="V130" s="6">
        <f t="shared" si="17"/>
        <v>7023004.4185302593</v>
      </c>
      <c r="W130" s="94">
        <f t="shared" si="18"/>
        <v>7016910.306327614</v>
      </c>
    </row>
    <row r="131" spans="12:23" x14ac:dyDescent="0.4">
      <c r="L131" s="4">
        <f t="shared" si="19"/>
        <v>45</v>
      </c>
      <c r="M131" s="12" cm="1">
        <f t="array" ref="M131">IF($L131&gt;36,$N$82+$N$81*$L131,IF($M$57="평균",AVERAGE(INDEX($B$3:$D$48,$L131,0)),INDEX($B$3:$E$48,$L131,MATCH("그룹"&amp;$M$57&amp;"*",$B$2:$E$2,0))))</f>
        <v>148.20263469877216</v>
      </c>
      <c r="N131" s="4" t="str">
        <f t="shared" si="14"/>
        <v>회귀 외삽 (절편+기울기×m)</v>
      </c>
      <c r="O131" s="6">
        <f t="shared" si="11"/>
        <v>6595233.0273899762</v>
      </c>
      <c r="P131" s="94">
        <f t="shared" si="12"/>
        <v>6935042.2640983928</v>
      </c>
      <c r="Q131" s="93">
        <f t="shared" si="13"/>
        <v>6929024.4798042523</v>
      </c>
      <c r="R131" s="93" t="str" cm="1">
        <f t="array" ref="R131">IF($L131&gt;12,"",IF(INDEX($N$64:$N$75,$L131)="","",INDEX($N$64:$N$75,$L131)))</f>
        <v/>
      </c>
      <c r="S131" s="95">
        <f t="shared" si="15"/>
        <v>47750</v>
      </c>
      <c r="T131" s="12" cm="1">
        <f t="array" ref="T131">IF(OR($M$59&lt;&gt;"Y",$M$58=""),100,INDEX(요약_월별시즈널리티!$F$7:$F$18,MONTH(EDATE($M$58,$L131))))</f>
        <v>100.12358076140046</v>
      </c>
      <c r="U131" s="6">
        <f t="shared" si="16"/>
        <v>6603383.4665813586</v>
      </c>
      <c r="V131" s="6">
        <f t="shared" si="17"/>
        <v>6943612.6421318091</v>
      </c>
      <c r="W131" s="94">
        <f t="shared" si="18"/>
        <v>6937587.4210140193</v>
      </c>
    </row>
    <row r="132" spans="12:23" x14ac:dyDescent="0.4">
      <c r="L132" s="4">
        <f t="shared" si="19"/>
        <v>46</v>
      </c>
      <c r="M132" s="12" cm="1">
        <f t="array" ref="M132">IF($L132&gt;36,$N$82+$N$81*$L132,IF($M$57="평균",AVERAGE(INDEX($B$3:$D$48,$L132,0)),INDEX($B$3:$E$48,$L132,MATCH("그룹"&amp;$M$57&amp;"*",$B$2:$E$2,0))))</f>
        <v>149.3308652020342</v>
      </c>
      <c r="N132" s="4" t="str">
        <f t="shared" si="14"/>
        <v>회귀 외삽 (절편+기울기×m)</v>
      </c>
      <c r="O132" s="6">
        <f t="shared" si="11"/>
        <v>6645440.9274907168</v>
      </c>
      <c r="P132" s="94">
        <f t="shared" si="12"/>
        <v>6987837.0490202019</v>
      </c>
      <c r="Q132" s="93">
        <f t="shared" si="13"/>
        <v>6981773.4528022967</v>
      </c>
      <c r="R132" s="93" t="str" cm="1">
        <f t="array" ref="R132">IF($L132&gt;12,"",IF(INDEX($N$64:$N$75,$L132)="","",INDEX($N$64:$N$75,$L132)))</f>
        <v/>
      </c>
      <c r="S132" s="95">
        <f t="shared" si="15"/>
        <v>47780</v>
      </c>
      <c r="T132" s="12" cm="1">
        <f t="array" ref="T132">IF(OR($M$59&lt;&gt;"Y",$M$58=""),100,INDEX(요약_월별시즈널리티!$F$7:$F$18,MONTH(EDATE($M$58,$L132))))</f>
        <v>115.59456344220527</v>
      </c>
      <c r="U132" s="6">
        <f t="shared" si="16"/>
        <v>7681768.4289425313</v>
      </c>
      <c r="V132" s="6">
        <f t="shared" si="17"/>
        <v>8077559.7308675814</v>
      </c>
      <c r="W132" s="94">
        <f t="shared" si="18"/>
        <v>8070550.5432905965</v>
      </c>
    </row>
    <row r="133" spans="12:23" x14ac:dyDescent="0.4">
      <c r="L133" s="4">
        <f t="shared" si="19"/>
        <v>47</v>
      </c>
      <c r="M133" s="12" cm="1">
        <f t="array" ref="M133">IF($L133&gt;36,$N$82+$N$81*$L133,IF($M$57="평균",AVERAGE(INDEX($B$3:$D$48,$L133,0)),INDEX($B$3:$E$48,$L133,MATCH("그룹"&amp;$M$57&amp;"*",$B$2:$E$2,0))))</f>
        <v>150.45909570529625</v>
      </c>
      <c r="N133" s="4" t="str">
        <f t="shared" si="14"/>
        <v>회귀 외삽 (절편+기울기×m)</v>
      </c>
      <c r="O133" s="6">
        <f t="shared" si="11"/>
        <v>6695648.8275914583</v>
      </c>
      <c r="P133" s="94">
        <f t="shared" si="12"/>
        <v>7040631.8339420129</v>
      </c>
      <c r="Q133" s="93">
        <f t="shared" si="13"/>
        <v>7034522.4258003412</v>
      </c>
      <c r="R133" s="93" t="str" cm="1">
        <f t="array" ref="R133">IF($L133&gt;12,"",IF(INDEX($N$64:$N$75,$L133)="","",INDEX($N$64:$N$75,$L133)))</f>
        <v/>
      </c>
      <c r="S133" s="95">
        <f t="shared" si="15"/>
        <v>47811</v>
      </c>
      <c r="T133" s="12" cm="1">
        <f t="array" ref="T133">IF(OR($M$59&lt;&gt;"Y",$M$58=""),100,INDEX(요약_월별시즈널리티!$F$7:$F$18,MONTH(EDATE($M$58,$L133))))</f>
        <v>104.11251530615402</v>
      </c>
      <c r="U133" s="6">
        <f t="shared" si="16"/>
        <v>6971008.4104724787</v>
      </c>
      <c r="V133" s="6">
        <f t="shared" si="17"/>
        <v>7330178.895762831</v>
      </c>
      <c r="W133" s="94">
        <f t="shared" si="18"/>
        <v>7323818.2372762179</v>
      </c>
    </row>
    <row r="134" spans="12:23" x14ac:dyDescent="0.4">
      <c r="L134" s="4">
        <f t="shared" si="19"/>
        <v>48</v>
      </c>
      <c r="M134" s="12" cm="1">
        <f t="array" ref="M134">IF($L134&gt;36,$N$82+$N$81*$L134,IF($M$57="평균",AVERAGE(INDEX($B$3:$D$48,$L134,0)),INDEX($B$3:$E$48,$L134,MATCH("그룹"&amp;$M$57&amp;"*",$B$2:$E$2,0))))</f>
        <v>151.5873262085583</v>
      </c>
      <c r="N134" s="4" t="str">
        <f t="shared" si="14"/>
        <v>회귀 외삽 (절편+기울기×m)</v>
      </c>
      <c r="O134" s="6">
        <f t="shared" si="11"/>
        <v>6745856.7276921999</v>
      </c>
      <c r="P134" s="94">
        <f t="shared" si="12"/>
        <v>7093426.6188638238</v>
      </c>
      <c r="Q134" s="93">
        <f t="shared" si="13"/>
        <v>7087271.3987983856</v>
      </c>
      <c r="R134" s="93" t="str" cm="1">
        <f t="array" ref="R134">IF($L134&gt;12,"",IF(INDEX($N$64:$N$75,$L134)="","",INDEX($N$64:$N$75,$L134)))</f>
        <v/>
      </c>
      <c r="S134" s="95">
        <f t="shared" si="15"/>
        <v>47841</v>
      </c>
      <c r="T134" s="12" cm="1">
        <f t="array" ref="T134">IF(OR($M$59&lt;&gt;"Y",$M$58=""),100,INDEX(요약_월별시즈널리티!$F$7:$F$18,MONTH(EDATE($M$58,$L134))))</f>
        <v>103.33184157392137</v>
      </c>
      <c r="U134" s="6">
        <f t="shared" si="16"/>
        <v>6970617.9866626207</v>
      </c>
      <c r="V134" s="6">
        <f t="shared" si="17"/>
        <v>7329768.3559667338</v>
      </c>
      <c r="W134" s="94">
        <f t="shared" si="18"/>
        <v>7323408.0537201883</v>
      </c>
    </row>
    <row r="136" spans="12:23" x14ac:dyDescent="0.4">
      <c r="L136" s="23" t="s">
        <v>467</v>
      </c>
    </row>
    <row r="137" spans="12:23" x14ac:dyDescent="0.4">
      <c r="L137" s="98" t="s">
        <v>276</v>
      </c>
      <c r="M137" s="98" t="s">
        <v>456</v>
      </c>
      <c r="N137" s="98" t="s">
        <v>494</v>
      </c>
      <c r="O137" s="98" t="s">
        <v>495</v>
      </c>
      <c r="P137" s="98" t="s">
        <v>496</v>
      </c>
      <c r="Q137" s="100" t="s">
        <v>497</v>
      </c>
      <c r="R137" s="100" t="s">
        <v>499</v>
      </c>
      <c r="S137" s="99" t="s">
        <v>510</v>
      </c>
      <c r="T137" s="99" t="s">
        <v>511</v>
      </c>
    </row>
    <row r="138" spans="12:23" x14ac:dyDescent="0.4">
      <c r="L138" t="s">
        <v>219</v>
      </c>
      <c r="M138" s="4" t="s">
        <v>457</v>
      </c>
      <c r="N138" s="6">
        <f>SUM(O$87:O$98)</f>
        <v>52090126.949044541</v>
      </c>
      <c r="O138" s="6">
        <f>SUM(P$87:P$98)</f>
        <v>54773990.613161996</v>
      </c>
      <c r="P138" s="105">
        <f>SUM(Q$87:Q$98)</f>
        <v>54726461.261805966</v>
      </c>
      <c r="Q138" s="94">
        <f>P138/12</f>
        <v>4560538.4384838305</v>
      </c>
      <c r="R138" s="4" t="s">
        <v>447</v>
      </c>
      <c r="S138" s="94">
        <f>SUM(W$87:W$98)</f>
        <v>55472890.29317718</v>
      </c>
      <c r="T138" s="6">
        <f>S138/12</f>
        <v>4622740.8577647647</v>
      </c>
    </row>
    <row r="139" spans="12:23" x14ac:dyDescent="0.4">
      <c r="L139" t="s">
        <v>464</v>
      </c>
      <c r="M139" s="4" t="s">
        <v>458</v>
      </c>
      <c r="N139" s="6">
        <f>SUM(O$99:O$110)</f>
        <v>63720949.643282369</v>
      </c>
      <c r="O139" s="6">
        <f>SUM(P$99:P$110)</f>
        <v>67004073.555764988</v>
      </c>
      <c r="P139" s="105">
        <f>SUM(Q$99:Q$110)</f>
        <v>66945931.723872401</v>
      </c>
      <c r="Q139" s="94">
        <f>P139/12</f>
        <v>5578827.6436560331</v>
      </c>
      <c r="R139" s="20">
        <f>S139/S138-1</f>
        <v>0.21532014526088239</v>
      </c>
      <c r="S139" s="94">
        <f>SUM(W$99:W$110)</f>
        <v>67417321.089145079</v>
      </c>
      <c r="T139" s="6">
        <f>S139/12</f>
        <v>5618110.0907620899</v>
      </c>
    </row>
    <row r="140" spans="12:23" x14ac:dyDescent="0.4">
      <c r="L140" t="s">
        <v>465</v>
      </c>
      <c r="M140" s="4" t="s">
        <v>459</v>
      </c>
      <c r="N140" s="6">
        <f>SUM(O$111:O$122)</f>
        <v>70267475.984564126</v>
      </c>
      <c r="O140" s="6">
        <f>SUM(P$111:P$122)</f>
        <v>73887899.596675858</v>
      </c>
      <c r="P140" s="105">
        <f>SUM(Q$111:Q$122)</f>
        <v>73823784.422638401</v>
      </c>
      <c r="Q140" s="94">
        <f>P140/12</f>
        <v>6151982.0352198668</v>
      </c>
      <c r="R140" s="20">
        <f>S140/S139-1</f>
        <v>0.10329526423512236</v>
      </c>
      <c r="S140" s="94">
        <f>SUM(W$111:W$122)</f>
        <v>74381211.085072413</v>
      </c>
      <c r="T140" s="6">
        <f>S140/12</f>
        <v>6198434.2570893681</v>
      </c>
    </row>
    <row r="141" spans="12:23" x14ac:dyDescent="0.4">
      <c r="L141" t="s">
        <v>466</v>
      </c>
      <c r="M141" s="4" t="s">
        <v>460</v>
      </c>
      <c r="N141" s="6">
        <f>SUM(O$123:O$134)</f>
        <v>77636559.325657457</v>
      </c>
      <c r="O141" s="6">
        <f>SUM(P$123:P$134)</f>
        <v>81636663.62152639</v>
      </c>
      <c r="P141" s="105">
        <f>SUM(Q$123:Q$134)</f>
        <v>81565824.567709699</v>
      </c>
      <c r="Q141" s="94">
        <f>P141/12</f>
        <v>6797152.0473091416</v>
      </c>
      <c r="R141" s="20">
        <f>S141/S140-1</f>
        <v>0.10461918539377102</v>
      </c>
      <c r="S141" s="94">
        <f>SUM(W$123:W$134)</f>
        <v>82162912.797394827</v>
      </c>
      <c r="T141" s="6">
        <f>S141/12</f>
        <v>6846909.3997829026</v>
      </c>
    </row>
    <row r="143" spans="12:23" x14ac:dyDescent="0.4">
      <c r="L143" s="96" t="s">
        <v>500</v>
      </c>
    </row>
    <row r="144" spans="12:23" x14ac:dyDescent="0.4">
      <c r="L144" s="96" t="s">
        <v>461</v>
      </c>
    </row>
    <row r="145" spans="12:17" x14ac:dyDescent="0.4">
      <c r="L145" s="96" t="s">
        <v>462</v>
      </c>
    </row>
    <row r="146" spans="12:17" x14ac:dyDescent="0.4">
      <c r="L146" s="96" t="s">
        <v>506</v>
      </c>
    </row>
    <row r="147" spans="12:17" x14ac:dyDescent="0.4">
      <c r="L147" s="96" t="s">
        <v>498</v>
      </c>
    </row>
    <row r="148" spans="12:17" x14ac:dyDescent="0.4">
      <c r="L148" s="96" t="s">
        <v>468</v>
      </c>
    </row>
    <row r="149" spans="12:17" x14ac:dyDescent="0.4">
      <c r="L149" s="96"/>
    </row>
    <row r="150" spans="12:17" x14ac:dyDescent="0.4">
      <c r="L150" s="96"/>
    </row>
    <row r="151" spans="12:17" ht="15" thickBot="1" x14ac:dyDescent="0.45">
      <c r="L151" s="110" t="s">
        <v>501</v>
      </c>
    </row>
    <row r="152" spans="12:17" ht="15" thickBot="1" x14ac:dyDescent="0.45">
      <c r="L152" s="96" t="s">
        <v>502</v>
      </c>
      <c r="N152" s="112">
        <v>5000000</v>
      </c>
    </row>
    <row r="153" spans="12:17" x14ac:dyDescent="0.4">
      <c r="L153" s="111" t="s">
        <v>276</v>
      </c>
      <c r="M153" s="81" t="s">
        <v>456</v>
      </c>
      <c r="N153" s="81" t="s">
        <v>503</v>
      </c>
      <c r="O153" s="81" t="s">
        <v>504</v>
      </c>
      <c r="P153" s="99" t="s">
        <v>512</v>
      </c>
      <c r="Q153" s="99" t="s">
        <v>505</v>
      </c>
    </row>
    <row r="154" spans="12:17" x14ac:dyDescent="0.4">
      <c r="L154" s="96" t="s">
        <v>219</v>
      </c>
      <c r="M154" s="4" t="s">
        <v>457</v>
      </c>
      <c r="N154" s="12">
        <f>AVERAGE($M$87:$M$98)</f>
        <v>97.543862660364269</v>
      </c>
      <c r="O154" s="6">
        <f>$N$152/(N154/100)</f>
        <v>5125899.1223357487</v>
      </c>
      <c r="P154" s="6">
        <f>AVERAGE($W$87:$W$98)</f>
        <v>4622740.8577647647</v>
      </c>
      <c r="Q154" s="4" t="str">
        <f>IF(P154&gt;=$N$152,"도달","미달 ("&amp;TEXT(P154/$N$152-1,"0.0%")&amp;")")</f>
        <v>미달 (-7.5%)</v>
      </c>
    </row>
    <row r="155" spans="12:17" x14ac:dyDescent="0.4">
      <c r="L155" s="96" t="s">
        <v>464</v>
      </c>
      <c r="M155" s="4" t="s">
        <v>458</v>
      </c>
      <c r="N155" s="12">
        <f>AVERAGE($M$99:$M$110)</f>
        <v>119.32371688539975</v>
      </c>
      <c r="O155" s="6">
        <f>$N$152/(N155/100)</f>
        <v>4190281.8069286873</v>
      </c>
      <c r="P155" s="6">
        <f>AVERAGE($W$99:$W$110)</f>
        <v>5618110.0907620899</v>
      </c>
      <c r="Q155" s="4" t="str">
        <f t="shared" ref="Q155:Q157" si="20">IF(P155&gt;=$N$152,"도달","미달 ("&amp;TEXT(P155/$N$152-1,"0.0%")&amp;")")</f>
        <v>도달</v>
      </c>
    </row>
    <row r="156" spans="12:17" x14ac:dyDescent="0.4">
      <c r="L156" s="96" t="s">
        <v>465</v>
      </c>
      <c r="M156" s="4" t="s">
        <v>459</v>
      </c>
      <c r="N156" s="12">
        <f>AVERAGE($M$111:$M$122)</f>
        <v>131.58272840520482</v>
      </c>
      <c r="O156" s="6">
        <f t="shared" ref="O156:O157" si="21">$N$152/(N156/100)</f>
        <v>3799890.8067954476</v>
      </c>
      <c r="P156" s="6">
        <f>AVERAGE($W$111:$W$122)</f>
        <v>6198434.2570893681</v>
      </c>
      <c r="Q156" s="4" t="str">
        <f t="shared" si="20"/>
        <v>도달</v>
      </c>
    </row>
    <row r="157" spans="12:17" x14ac:dyDescent="0.4">
      <c r="L157" s="96" t="s">
        <v>466</v>
      </c>
      <c r="M157" s="4" t="s">
        <v>460</v>
      </c>
      <c r="N157" s="12">
        <f>AVERAGE($M$123:$M$134)</f>
        <v>145.38205844061704</v>
      </c>
      <c r="O157" s="6">
        <f t="shared" si="21"/>
        <v>3439213.9261408979</v>
      </c>
      <c r="P157" s="6">
        <f>AVERAGE($W$123:$W$134)</f>
        <v>6846909.3997829026</v>
      </c>
      <c r="Q157" s="4" t="str">
        <f t="shared" si="20"/>
        <v>도달</v>
      </c>
    </row>
    <row r="158" spans="12:17" x14ac:dyDescent="0.4">
      <c r="L158" s="96" t="s">
        <v>507</v>
      </c>
    </row>
  </sheetData>
  <mergeCells count="2">
    <mergeCell ref="A52:J52"/>
    <mergeCell ref="A62:J62"/>
  </mergeCells>
  <phoneticPr fontId="3" type="noConversion"/>
  <conditionalFormatting sqref="G3:J50">
    <cfRule type="cellIs" dxfId="4" priority="1" operator="greaterThanOrEqual">
      <formula>30</formula>
    </cfRule>
    <cfRule type="cellIs" dxfId="3" priority="2" operator="between">
      <formula>15</formula>
      <formula>29</formula>
    </cfRule>
    <cfRule type="cellIs" dxfId="2" priority="3" operator="between">
      <formula>10</formula>
      <formula>14</formula>
    </cfRule>
    <cfRule type="cellIs" dxfId="1" priority="4" operator="lessThan">
      <formula>10</formula>
    </cfRule>
  </conditionalFormatting>
  <dataValidations count="2">
    <dataValidation type="list" allowBlank="1" showInputMessage="1" showErrorMessage="1" sqref="M57" xr:uid="{B82C98DF-5E53-465F-A9DB-D5A8A13C0B01}">
      <formula1>"0,1,2,3+,평균"</formula1>
    </dataValidation>
    <dataValidation type="list" allowBlank="1" showInputMessage="1" showErrorMessage="1" sqref="S64:S75 M59" xr:uid="{2CCECA3F-589A-456E-B42C-1E70C485D89E}">
      <formula1>"Y,N"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736-6570-45B5-92BC-A6E5B822BE19}">
  <sheetPr>
    <tabColor rgb="FFFF0000"/>
  </sheetPr>
  <dimension ref="A1:F21"/>
  <sheetViews>
    <sheetView workbookViewId="0">
      <selection activeCell="M1" sqref="M1"/>
    </sheetView>
  </sheetViews>
  <sheetFormatPr defaultRowHeight="14.5" x14ac:dyDescent="0.4"/>
  <cols>
    <col min="1" max="1" width="20.8984375" customWidth="1"/>
    <col min="2" max="6" width="24" customWidth="1"/>
  </cols>
  <sheetData>
    <row r="1" spans="1:6" ht="22.15" customHeight="1" x14ac:dyDescent="0.4">
      <c r="A1" s="69" t="s">
        <v>342</v>
      </c>
    </row>
    <row r="2" spans="1:6" x14ac:dyDescent="0.4">
      <c r="A2" s="31" t="s">
        <v>343</v>
      </c>
    </row>
    <row r="4" spans="1:6" ht="17" x14ac:dyDescent="0.4">
      <c r="A4" s="32" t="s">
        <v>344</v>
      </c>
    </row>
    <row r="5" spans="1:6" x14ac:dyDescent="0.4">
      <c r="A5" s="71" t="s">
        <v>160</v>
      </c>
      <c r="B5" s="71" t="s">
        <v>345</v>
      </c>
      <c r="C5" s="71" t="s">
        <v>346</v>
      </c>
      <c r="D5" s="71" t="s">
        <v>347</v>
      </c>
      <c r="E5" s="71" t="s">
        <v>348</v>
      </c>
      <c r="F5" s="71" t="s">
        <v>349</v>
      </c>
    </row>
    <row r="6" spans="1:6" x14ac:dyDescent="0.4">
      <c r="A6" s="72" t="s">
        <v>350</v>
      </c>
      <c r="B6" s="73">
        <f>요약_성장곡선!B26</f>
        <v>128.99135134436494</v>
      </c>
      <c r="C6" s="73">
        <f>요약_성장곡선!B38</f>
        <v>144.51771910045593</v>
      </c>
      <c r="D6" s="74">
        <f>R_오픈할인분석!I22</f>
        <v>1.0207075757774322</v>
      </c>
      <c r="E6" s="74">
        <f>R_오픈할인분석!I30</f>
        <v>1.0875276729876746</v>
      </c>
      <c r="F6" s="75" t="s">
        <v>351</v>
      </c>
    </row>
    <row r="7" spans="1:6" x14ac:dyDescent="0.4">
      <c r="A7" s="72" t="s">
        <v>352</v>
      </c>
      <c r="B7" s="73">
        <f>요약_성장곡선!C26</f>
        <v>117.37782430968372</v>
      </c>
      <c r="C7" s="73">
        <f>요약_성장곡선!C38</f>
        <v>139.94138138174961</v>
      </c>
      <c r="D7" s="74">
        <f>R_오픈할인분석!I23</f>
        <v>0.87501136376529332</v>
      </c>
      <c r="E7" s="74">
        <f>R_오픈할인분석!I31</f>
        <v>1.076612254694548</v>
      </c>
      <c r="F7" s="75" t="s">
        <v>353</v>
      </c>
    </row>
    <row r="8" spans="1:6" x14ac:dyDescent="0.4">
      <c r="A8" s="72" t="s">
        <v>354</v>
      </c>
      <c r="B8" s="73">
        <f>요약_성장곡선!D26</f>
        <v>117.43589527679688</v>
      </c>
      <c r="C8" s="73">
        <f>요약_성장곡선!D38</f>
        <v>133.66996619341666</v>
      </c>
      <c r="D8" s="74">
        <f>R_오픈할인분석!I24</f>
        <v>0.78484942803017199</v>
      </c>
      <c r="E8" s="74">
        <f>R_오픈할인분석!I32</f>
        <v>0.90443113181646584</v>
      </c>
      <c r="F8" s="75" t="s">
        <v>355</v>
      </c>
    </row>
    <row r="10" spans="1:6" ht="17" x14ac:dyDescent="0.4">
      <c r="A10" s="32" t="s">
        <v>356</v>
      </c>
    </row>
    <row r="11" spans="1:6" x14ac:dyDescent="0.4">
      <c r="A11" s="71" t="s">
        <v>160</v>
      </c>
      <c r="B11" s="71" t="s">
        <v>357</v>
      </c>
      <c r="C11" s="71" t="s">
        <v>358</v>
      </c>
      <c r="D11" s="71" t="s">
        <v>359</v>
      </c>
      <c r="E11" s="71" t="s">
        <v>360</v>
      </c>
      <c r="F11" s="71" t="s">
        <v>361</v>
      </c>
    </row>
    <row r="12" spans="1:6" x14ac:dyDescent="0.4">
      <c r="A12" s="72" t="s">
        <v>350</v>
      </c>
      <c r="B12" s="76">
        <v>0.2</v>
      </c>
      <c r="C12" s="77">
        <v>30</v>
      </c>
      <c r="D12" s="78">
        <f>ROUND(R_오픈할인분석!$B$47*(1-B12),-1)</f>
        <v>3960</v>
      </c>
      <c r="E12" s="75" t="s">
        <v>371</v>
      </c>
      <c r="F12" s="75" t="s">
        <v>362</v>
      </c>
    </row>
    <row r="13" spans="1:6" x14ac:dyDescent="0.4">
      <c r="A13" s="72" t="s">
        <v>352</v>
      </c>
      <c r="B13" s="76">
        <v>0.5</v>
      </c>
      <c r="C13" s="77">
        <v>60</v>
      </c>
      <c r="D13" s="78">
        <f>ROUND(R_오픈할인분석!$B$47*(1-B13),-1)</f>
        <v>2480</v>
      </c>
      <c r="E13" s="75" t="s">
        <v>372</v>
      </c>
      <c r="F13" s="75" t="s">
        <v>363</v>
      </c>
    </row>
    <row r="14" spans="1:6" x14ac:dyDescent="0.4">
      <c r="A14" s="72" t="s">
        <v>354</v>
      </c>
      <c r="B14" s="76">
        <v>0.5</v>
      </c>
      <c r="C14" s="77">
        <v>90</v>
      </c>
      <c r="D14" s="78">
        <f>ROUND(R_오픈할인분석!$B$47*(1-B14),-1)</f>
        <v>2480</v>
      </c>
      <c r="E14" s="75" t="s">
        <v>373</v>
      </c>
      <c r="F14" s="75" t="s">
        <v>364</v>
      </c>
    </row>
    <row r="16" spans="1:6" ht="17" x14ac:dyDescent="0.4">
      <c r="A16" s="32" t="s">
        <v>365</v>
      </c>
    </row>
    <row r="17" spans="1:1" x14ac:dyDescent="0.4">
      <c r="A17" s="23" t="s">
        <v>366</v>
      </c>
    </row>
    <row r="18" spans="1:1" x14ac:dyDescent="0.4">
      <c r="A18" s="23" t="s">
        <v>367</v>
      </c>
    </row>
    <row r="19" spans="1:1" x14ac:dyDescent="0.4">
      <c r="A19" s="23" t="s">
        <v>368</v>
      </c>
    </row>
    <row r="20" spans="1:1" x14ac:dyDescent="0.4">
      <c r="A20" s="23" t="s">
        <v>369</v>
      </c>
    </row>
    <row r="21" spans="1:1" x14ac:dyDescent="0.4">
      <c r="A21" s="70" t="s">
        <v>370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97F7-8193-4AFA-96DB-B3EB694EBE6E}">
  <dimension ref="A1:O127"/>
  <sheetViews>
    <sheetView workbookViewId="0">
      <selection sqref="A1:XFD1048576"/>
    </sheetView>
  </sheetViews>
  <sheetFormatPr defaultRowHeight="14.5" x14ac:dyDescent="0.4"/>
  <cols>
    <col min="1" max="1" width="31.296875" customWidth="1"/>
    <col min="2" max="9" width="12.8984375" customWidth="1"/>
    <col min="10" max="10" width="18" customWidth="1"/>
    <col min="11" max="11" width="12.8984375" customWidth="1"/>
    <col min="12" max="15" width="15.59765625" customWidth="1"/>
  </cols>
  <sheetData>
    <row r="1" spans="1:15" ht="21" x14ac:dyDescent="0.4">
      <c r="A1" s="37" t="s">
        <v>262</v>
      </c>
    </row>
    <row r="2" spans="1:15" x14ac:dyDescent="0.4">
      <c r="A2" s="38" t="s">
        <v>263</v>
      </c>
    </row>
    <row r="4" spans="1:15" x14ac:dyDescent="0.4">
      <c r="A4" s="39" t="s">
        <v>264</v>
      </c>
    </row>
    <row r="5" spans="1:15" x14ac:dyDescent="0.4">
      <c r="A5" s="40" t="s">
        <v>265</v>
      </c>
    </row>
    <row r="6" spans="1:15" x14ac:dyDescent="0.4">
      <c r="A6" s="40" t="s">
        <v>266</v>
      </c>
    </row>
    <row r="7" spans="1:15" x14ac:dyDescent="0.4">
      <c r="A7" s="40" t="s">
        <v>267</v>
      </c>
    </row>
    <row r="8" spans="1:15" x14ac:dyDescent="0.4">
      <c r="A8" s="40" t="s">
        <v>268</v>
      </c>
    </row>
    <row r="9" spans="1:15" ht="17.5" x14ac:dyDescent="0.4">
      <c r="A9" s="41" t="s">
        <v>269</v>
      </c>
    </row>
    <row r="11" spans="1:15" x14ac:dyDescent="0.4">
      <c r="A11" s="42" t="s">
        <v>270</v>
      </c>
      <c r="B11" s="42" t="s">
        <v>271</v>
      </c>
      <c r="C11" s="42" t="s">
        <v>272</v>
      </c>
      <c r="D11" s="42" t="s">
        <v>273</v>
      </c>
      <c r="E11" s="42" t="s">
        <v>274</v>
      </c>
      <c r="F11" s="42" t="s">
        <v>275</v>
      </c>
      <c r="G11" s="42" t="s">
        <v>374</v>
      </c>
      <c r="H11" s="42" t="s">
        <v>375</v>
      </c>
      <c r="I11" s="42" t="s">
        <v>376</v>
      </c>
      <c r="J11" s="42" t="s">
        <v>377</v>
      </c>
      <c r="L11" s="42" t="s">
        <v>378</v>
      </c>
      <c r="M11" s="42" t="s">
        <v>379</v>
      </c>
      <c r="N11" s="42" t="s">
        <v>380</v>
      </c>
      <c r="O11" s="42" t="s">
        <v>381</v>
      </c>
    </row>
    <row r="12" spans="1:15" x14ac:dyDescent="0.4">
      <c r="A12" s="43" t="s">
        <v>19</v>
      </c>
      <c r="B12" s="43" t="s">
        <v>2</v>
      </c>
      <c r="C12" s="44">
        <v>45859</v>
      </c>
      <c r="D12" s="44">
        <v>45918</v>
      </c>
      <c r="E12" s="44">
        <v>45919</v>
      </c>
      <c r="F12" s="44">
        <v>45978</v>
      </c>
      <c r="G12" s="45">
        <v>521</v>
      </c>
      <c r="H12" s="45">
        <v>456</v>
      </c>
      <c r="I12" s="45">
        <v>5241</v>
      </c>
      <c r="J12" s="45">
        <v>5972</v>
      </c>
      <c r="L12" s="45">
        <v>619</v>
      </c>
      <c r="M12" s="45">
        <v>686</v>
      </c>
      <c r="N12" s="45">
        <v>7907</v>
      </c>
      <c r="O12" s="45">
        <v>8774</v>
      </c>
    </row>
    <row r="13" spans="1:15" x14ac:dyDescent="0.4">
      <c r="A13" s="43" t="s">
        <v>145</v>
      </c>
      <c r="B13" s="43" t="s">
        <v>14</v>
      </c>
      <c r="C13" s="44">
        <v>45860</v>
      </c>
      <c r="D13" s="44">
        <v>45919</v>
      </c>
      <c r="E13" s="44">
        <v>45920</v>
      </c>
      <c r="F13" s="44">
        <v>45979</v>
      </c>
      <c r="G13" s="45">
        <v>527</v>
      </c>
      <c r="H13" s="45">
        <v>499</v>
      </c>
      <c r="I13" s="45">
        <v>3564</v>
      </c>
      <c r="J13" s="45">
        <v>3998</v>
      </c>
      <c r="L13" s="45">
        <v>554</v>
      </c>
      <c r="M13" s="45">
        <v>630</v>
      </c>
      <c r="N13" s="45">
        <v>4918</v>
      </c>
      <c r="O13" s="45">
        <v>5533</v>
      </c>
    </row>
    <row r="14" spans="1:15" x14ac:dyDescent="0.4">
      <c r="A14" s="43" t="s">
        <v>146</v>
      </c>
      <c r="B14" s="43" t="s">
        <v>14</v>
      </c>
      <c r="C14" s="44">
        <v>45867</v>
      </c>
      <c r="D14" s="44">
        <v>45926</v>
      </c>
      <c r="E14" s="44">
        <v>45927</v>
      </c>
      <c r="F14" s="44">
        <v>45986</v>
      </c>
      <c r="G14" s="45">
        <v>561</v>
      </c>
      <c r="H14" s="45">
        <v>707</v>
      </c>
      <c r="I14" s="45">
        <v>3600</v>
      </c>
      <c r="J14" s="45">
        <v>3992</v>
      </c>
      <c r="L14" s="45">
        <v>659</v>
      </c>
      <c r="M14" s="45">
        <v>846</v>
      </c>
      <c r="N14" s="45">
        <v>4954</v>
      </c>
      <c r="O14" s="45">
        <v>5541</v>
      </c>
    </row>
    <row r="15" spans="1:15" x14ac:dyDescent="0.4">
      <c r="A15" s="43" t="s">
        <v>148</v>
      </c>
      <c r="B15" s="43" t="s">
        <v>2</v>
      </c>
      <c r="C15" s="44">
        <v>45911</v>
      </c>
      <c r="D15" s="44">
        <v>45970</v>
      </c>
      <c r="E15" s="44">
        <v>45971</v>
      </c>
      <c r="F15" s="44">
        <v>46030</v>
      </c>
      <c r="G15" s="45">
        <v>732</v>
      </c>
      <c r="H15" s="45">
        <v>631</v>
      </c>
      <c r="I15" s="45">
        <v>5969</v>
      </c>
      <c r="J15" s="45">
        <v>5142</v>
      </c>
      <c r="L15" s="45">
        <v>986</v>
      </c>
      <c r="M15" s="45">
        <v>1007</v>
      </c>
      <c r="N15" s="45">
        <v>8798</v>
      </c>
      <c r="O15" s="45">
        <v>7593</v>
      </c>
    </row>
    <row r="16" spans="1:15" x14ac:dyDescent="0.4">
      <c r="A16" s="43" t="s">
        <v>149</v>
      </c>
      <c r="B16" s="43" t="s">
        <v>14</v>
      </c>
      <c r="C16" s="44">
        <v>45912</v>
      </c>
      <c r="D16" s="44">
        <v>45971</v>
      </c>
      <c r="E16" s="44">
        <v>45972</v>
      </c>
      <c r="F16" s="44">
        <v>46031</v>
      </c>
      <c r="G16" s="45">
        <v>663</v>
      </c>
      <c r="H16" s="45">
        <v>627</v>
      </c>
      <c r="I16" s="45">
        <v>4011</v>
      </c>
      <c r="J16" s="45">
        <v>3471</v>
      </c>
      <c r="L16" s="45">
        <v>727</v>
      </c>
      <c r="M16" s="45">
        <v>708</v>
      </c>
      <c r="N16" s="45">
        <v>5540</v>
      </c>
      <c r="O16" s="45">
        <v>4880</v>
      </c>
    </row>
    <row r="17" spans="1:15" x14ac:dyDescent="0.4">
      <c r="A17" s="43" t="s">
        <v>150</v>
      </c>
      <c r="B17" s="43" t="s">
        <v>9</v>
      </c>
      <c r="C17" s="44">
        <v>45912</v>
      </c>
      <c r="D17" s="44">
        <v>45971</v>
      </c>
      <c r="E17" s="44">
        <v>45972</v>
      </c>
      <c r="F17" s="44">
        <v>46031</v>
      </c>
      <c r="G17" s="45">
        <v>669</v>
      </c>
      <c r="H17" s="45">
        <v>500</v>
      </c>
      <c r="I17" s="45">
        <v>3268</v>
      </c>
      <c r="J17" s="45">
        <v>3112</v>
      </c>
      <c r="L17" s="45">
        <v>883</v>
      </c>
      <c r="M17" s="45">
        <v>755</v>
      </c>
      <c r="N17" s="45">
        <v>4468</v>
      </c>
      <c r="O17" s="45">
        <v>4224</v>
      </c>
    </row>
    <row r="19" spans="1:15" ht="17.5" x14ac:dyDescent="0.4">
      <c r="A19" s="41" t="s">
        <v>382</v>
      </c>
    </row>
    <row r="20" spans="1:15" ht="15" thickBot="1" x14ac:dyDescent="0.45"/>
    <row r="21" spans="1:15" x14ac:dyDescent="0.4">
      <c r="A21" s="42" t="s">
        <v>276</v>
      </c>
      <c r="B21" s="42" t="s">
        <v>277</v>
      </c>
      <c r="C21" s="42" t="s">
        <v>278</v>
      </c>
      <c r="D21" s="42" t="s">
        <v>279</v>
      </c>
      <c r="E21" s="42" t="s">
        <v>280</v>
      </c>
      <c r="F21" s="42" t="s">
        <v>281</v>
      </c>
      <c r="G21" s="42" t="s">
        <v>282</v>
      </c>
      <c r="H21" s="46" t="s">
        <v>283</v>
      </c>
      <c r="I21" s="47" t="s">
        <v>284</v>
      </c>
      <c r="J21" s="48" t="s">
        <v>285</v>
      </c>
      <c r="K21" s="42" t="s">
        <v>286</v>
      </c>
    </row>
    <row r="22" spans="1:15" x14ac:dyDescent="0.4">
      <c r="A22" s="43" t="s">
        <v>14</v>
      </c>
      <c r="B22" s="43">
        <v>3</v>
      </c>
      <c r="C22" s="45">
        <v>1751</v>
      </c>
      <c r="D22" s="45">
        <v>1833</v>
      </c>
      <c r="E22" s="49">
        <v>1.0468303826384924</v>
      </c>
      <c r="F22" s="45">
        <v>11175</v>
      </c>
      <c r="G22" s="45">
        <v>11461</v>
      </c>
      <c r="H22" s="50">
        <v>1.0255928411633111</v>
      </c>
      <c r="I22" s="51">
        <v>1.0207075757774322</v>
      </c>
      <c r="J22" s="52">
        <v>4</v>
      </c>
      <c r="K22" s="49">
        <v>0.43562156472927144</v>
      </c>
    </row>
    <row r="23" spans="1:15" x14ac:dyDescent="0.4">
      <c r="A23" s="43" t="s">
        <v>2</v>
      </c>
      <c r="B23" s="43">
        <v>2</v>
      </c>
      <c r="C23" s="45">
        <v>1253</v>
      </c>
      <c r="D23" s="45">
        <v>1087</v>
      </c>
      <c r="E23" s="49">
        <v>0.86751795690343181</v>
      </c>
      <c r="F23" s="45">
        <v>11210</v>
      </c>
      <c r="G23" s="45">
        <v>11114</v>
      </c>
      <c r="H23" s="50">
        <v>0.9914362176628011</v>
      </c>
      <c r="I23" s="51">
        <v>0.87501136376529332</v>
      </c>
      <c r="J23" s="52">
        <v>6</v>
      </c>
      <c r="K23" s="49">
        <v>0.43698592757182397</v>
      </c>
    </row>
    <row r="24" spans="1:15" x14ac:dyDescent="0.4">
      <c r="A24" s="43" t="s">
        <v>9</v>
      </c>
      <c r="B24" s="43">
        <v>1</v>
      </c>
      <c r="C24" s="45">
        <v>669</v>
      </c>
      <c r="D24" s="45">
        <v>500</v>
      </c>
      <c r="E24" s="49">
        <v>0.74738415545590431</v>
      </c>
      <c r="F24" s="45">
        <v>3268</v>
      </c>
      <c r="G24" s="45">
        <v>3112</v>
      </c>
      <c r="H24" s="50">
        <v>0.95226438188494489</v>
      </c>
      <c r="I24" s="51">
        <v>0.78484942803017199</v>
      </c>
      <c r="J24" s="52">
        <v>5</v>
      </c>
      <c r="K24" s="49">
        <v>0.12739250769890462</v>
      </c>
    </row>
    <row r="25" spans="1:15" ht="15" thickBot="1" x14ac:dyDescent="0.45">
      <c r="A25" s="53" t="s">
        <v>287</v>
      </c>
      <c r="B25" s="53">
        <v>6</v>
      </c>
      <c r="C25" s="54">
        <v>3673</v>
      </c>
      <c r="D25" s="54">
        <v>3420</v>
      </c>
      <c r="E25" s="55">
        <v>0.93111897631364005</v>
      </c>
      <c r="F25" s="54">
        <v>25653</v>
      </c>
      <c r="G25" s="54">
        <v>25687</v>
      </c>
      <c r="H25" s="56">
        <v>1.001325381047051</v>
      </c>
      <c r="I25" s="57">
        <v>0.92988652234102109</v>
      </c>
      <c r="J25" s="58">
        <v>16</v>
      </c>
      <c r="K25" s="55">
        <v>1</v>
      </c>
    </row>
    <row r="27" spans="1:15" ht="17.5" x14ac:dyDescent="0.4">
      <c r="A27" s="59" t="s">
        <v>288</v>
      </c>
      <c r="L27" s="60"/>
    </row>
    <row r="28" spans="1:15" ht="15" thickBot="1" x14ac:dyDescent="0.45">
      <c r="A28" s="40"/>
    </row>
    <row r="29" spans="1:15" x14ac:dyDescent="0.4">
      <c r="A29" s="42" t="s">
        <v>276</v>
      </c>
      <c r="B29" s="42" t="s">
        <v>277</v>
      </c>
      <c r="C29" s="42" t="s">
        <v>278</v>
      </c>
      <c r="D29" s="42" t="s">
        <v>279</v>
      </c>
      <c r="E29" s="42" t="s">
        <v>280</v>
      </c>
      <c r="F29" s="42" t="s">
        <v>281</v>
      </c>
      <c r="G29" s="42" t="s">
        <v>282</v>
      </c>
      <c r="H29" s="46" t="s">
        <v>283</v>
      </c>
      <c r="I29" s="47" t="s">
        <v>284</v>
      </c>
      <c r="J29" s="48" t="s">
        <v>285</v>
      </c>
    </row>
    <row r="30" spans="1:15" x14ac:dyDescent="0.4">
      <c r="A30" s="43" t="s">
        <v>14</v>
      </c>
      <c r="B30" s="43">
        <v>3</v>
      </c>
      <c r="C30" s="45">
        <v>1940</v>
      </c>
      <c r="D30" s="45">
        <v>2184</v>
      </c>
      <c r="E30" s="49">
        <v>1.1257731958762887</v>
      </c>
      <c r="F30" s="45">
        <v>15412</v>
      </c>
      <c r="G30" s="45">
        <v>15954</v>
      </c>
      <c r="H30" s="50">
        <v>1.0351674020243966</v>
      </c>
      <c r="I30" s="51">
        <v>1.0875276729876746</v>
      </c>
      <c r="J30" s="52">
        <v>4</v>
      </c>
    </row>
    <row r="31" spans="1:15" x14ac:dyDescent="0.4">
      <c r="A31" s="43" t="s">
        <v>2</v>
      </c>
      <c r="B31" s="43">
        <v>2</v>
      </c>
      <c r="C31" s="45">
        <v>1605</v>
      </c>
      <c r="D31" s="45">
        <v>1693</v>
      </c>
      <c r="E31" s="49">
        <v>1.054828660436137</v>
      </c>
      <c r="F31" s="45">
        <v>16705</v>
      </c>
      <c r="G31" s="45">
        <v>16367</v>
      </c>
      <c r="H31" s="50">
        <v>0.97976653696498051</v>
      </c>
      <c r="I31" s="51">
        <v>1.076612254694548</v>
      </c>
      <c r="J31" s="52">
        <v>6</v>
      </c>
    </row>
    <row r="32" spans="1:15" x14ac:dyDescent="0.4">
      <c r="A32" s="43" t="s">
        <v>9</v>
      </c>
      <c r="B32" s="43">
        <v>1</v>
      </c>
      <c r="C32" s="45">
        <v>883</v>
      </c>
      <c r="D32" s="45">
        <v>755</v>
      </c>
      <c r="E32" s="49">
        <v>0.85503963759909396</v>
      </c>
      <c r="F32" s="45">
        <v>4468</v>
      </c>
      <c r="G32" s="45">
        <v>4224</v>
      </c>
      <c r="H32" s="50">
        <v>0.94538943598925695</v>
      </c>
      <c r="I32" s="51">
        <v>0.90443113181646584</v>
      </c>
      <c r="J32" s="52">
        <v>5</v>
      </c>
    </row>
    <row r="33" spans="1:10" ht="15" thickBot="1" x14ac:dyDescent="0.45">
      <c r="A33" s="53" t="s">
        <v>287</v>
      </c>
      <c r="B33" s="53">
        <v>6</v>
      </c>
      <c r="C33" s="54">
        <v>4428</v>
      </c>
      <c r="D33" s="54">
        <v>4632</v>
      </c>
      <c r="E33" s="55">
        <v>1.046070460704607</v>
      </c>
      <c r="F33" s="54">
        <v>36585</v>
      </c>
      <c r="G33" s="54">
        <v>36545</v>
      </c>
      <c r="H33" s="56">
        <v>0.99890665573322401</v>
      </c>
      <c r="I33" s="57">
        <v>1.0472154276885497</v>
      </c>
      <c r="J33" s="58">
        <v>16</v>
      </c>
    </row>
    <row r="35" spans="1:10" ht="17.5" x14ac:dyDescent="0.4">
      <c r="A35" s="59" t="s">
        <v>289</v>
      </c>
    </row>
    <row r="36" spans="1:10" x14ac:dyDescent="0.4">
      <c r="A36" s="40" t="s">
        <v>383</v>
      </c>
    </row>
    <row r="37" spans="1:10" x14ac:dyDescent="0.4">
      <c r="A37" s="40" t="s">
        <v>384</v>
      </c>
    </row>
    <row r="38" spans="1:10" x14ac:dyDescent="0.4">
      <c r="A38" s="40" t="s">
        <v>290</v>
      </c>
    </row>
    <row r="39" spans="1:10" x14ac:dyDescent="0.4">
      <c r="A39" s="40" t="s">
        <v>291</v>
      </c>
    </row>
    <row r="40" spans="1:10" x14ac:dyDescent="0.4">
      <c r="A40" s="40" t="s">
        <v>292</v>
      </c>
    </row>
    <row r="42" spans="1:10" ht="17.5" x14ac:dyDescent="0.4">
      <c r="A42" s="41" t="s">
        <v>293</v>
      </c>
    </row>
    <row r="43" spans="1:10" x14ac:dyDescent="0.4">
      <c r="A43" s="38" t="s">
        <v>294</v>
      </c>
    </row>
    <row r="45" spans="1:10" ht="16" x14ac:dyDescent="0.4">
      <c r="A45" s="61" t="s">
        <v>295</v>
      </c>
    </row>
    <row r="46" spans="1:10" x14ac:dyDescent="0.4">
      <c r="A46" s="42" t="s">
        <v>296</v>
      </c>
      <c r="B46" s="42" t="s">
        <v>297</v>
      </c>
      <c r="C46" s="42" t="s">
        <v>298</v>
      </c>
      <c r="D46" s="42" t="s">
        <v>299</v>
      </c>
      <c r="E46" s="42" t="s">
        <v>300</v>
      </c>
      <c r="F46" s="42" t="s">
        <v>301</v>
      </c>
      <c r="G46" s="42" t="s">
        <v>302</v>
      </c>
    </row>
    <row r="47" spans="1:10" x14ac:dyDescent="0.4">
      <c r="A47" s="43" t="s">
        <v>303</v>
      </c>
      <c r="B47" s="62">
        <v>4950</v>
      </c>
      <c r="C47" s="62">
        <v>1990</v>
      </c>
      <c r="D47" s="49">
        <v>0.59797979797979806</v>
      </c>
      <c r="E47" s="63">
        <v>0.2</v>
      </c>
      <c r="F47" s="63">
        <v>0.5</v>
      </c>
      <c r="G47" s="63">
        <v>0.5</v>
      </c>
    </row>
    <row r="48" spans="1:10" x14ac:dyDescent="0.4">
      <c r="A48" s="43" t="s">
        <v>304</v>
      </c>
      <c r="B48" s="62">
        <v>5950</v>
      </c>
      <c r="C48" s="62">
        <v>2990</v>
      </c>
      <c r="D48" s="49">
        <v>0.49747899159663866</v>
      </c>
      <c r="E48" s="63">
        <v>0.2</v>
      </c>
      <c r="F48" s="63">
        <v>0.5</v>
      </c>
      <c r="G48" s="63">
        <v>0.5</v>
      </c>
    </row>
    <row r="49" spans="1:8" x14ac:dyDescent="0.4">
      <c r="A49" s="43" t="s">
        <v>305</v>
      </c>
      <c r="B49" s="62">
        <v>6950</v>
      </c>
      <c r="C49" s="62">
        <v>3990</v>
      </c>
      <c r="D49" s="49">
        <v>0.42589928057553961</v>
      </c>
      <c r="E49" s="63">
        <v>0.2</v>
      </c>
      <c r="F49" s="63">
        <v>0.5</v>
      </c>
      <c r="G49" s="63">
        <v>0.5</v>
      </c>
    </row>
    <row r="51" spans="1:8" ht="16" x14ac:dyDescent="0.4">
      <c r="A51" s="64" t="s">
        <v>306</v>
      </c>
    </row>
    <row r="52" spans="1:8" x14ac:dyDescent="0.4">
      <c r="A52" s="42" t="s">
        <v>296</v>
      </c>
      <c r="B52" s="42" t="s">
        <v>297</v>
      </c>
      <c r="C52" s="42" t="s">
        <v>307</v>
      </c>
      <c r="D52" s="42" t="s">
        <v>308</v>
      </c>
      <c r="E52" s="42" t="s">
        <v>309</v>
      </c>
      <c r="F52" s="42" t="s">
        <v>310</v>
      </c>
      <c r="G52" s="42" t="s">
        <v>311</v>
      </c>
      <c r="H52" s="42" t="s">
        <v>312</v>
      </c>
    </row>
    <row r="53" spans="1:8" x14ac:dyDescent="0.4">
      <c r="A53" s="43" t="s">
        <v>303</v>
      </c>
      <c r="B53" s="45">
        <v>4950</v>
      </c>
      <c r="C53" s="45">
        <v>3960</v>
      </c>
      <c r="D53" s="49">
        <v>0.19999999999999996</v>
      </c>
      <c r="E53" s="45">
        <v>2470</v>
      </c>
      <c r="F53" s="49">
        <v>0.50101010101010102</v>
      </c>
      <c r="G53" s="45">
        <v>2470</v>
      </c>
      <c r="H53" s="49">
        <v>0.50101010101010102</v>
      </c>
    </row>
    <row r="54" spans="1:8" x14ac:dyDescent="0.4">
      <c r="A54" s="43" t="s">
        <v>304</v>
      </c>
      <c r="B54" s="45">
        <v>5950</v>
      </c>
      <c r="C54" s="45">
        <v>4760</v>
      </c>
      <c r="D54" s="49">
        <v>0.19999999999999996</v>
      </c>
      <c r="E54" s="45">
        <v>2970</v>
      </c>
      <c r="F54" s="49">
        <v>0.50084033613445378</v>
      </c>
      <c r="G54" s="45">
        <v>2970</v>
      </c>
      <c r="H54" s="49">
        <v>0.50084033613445378</v>
      </c>
    </row>
    <row r="55" spans="1:8" x14ac:dyDescent="0.4">
      <c r="A55" s="43" t="s">
        <v>305</v>
      </c>
      <c r="B55" s="45">
        <v>6950</v>
      </c>
      <c r="C55" s="45">
        <v>5560</v>
      </c>
      <c r="D55" s="49">
        <v>0.19999999999999996</v>
      </c>
      <c r="E55" s="45">
        <v>3470</v>
      </c>
      <c r="F55" s="49">
        <v>0.50071942446043161</v>
      </c>
      <c r="G55" s="45">
        <v>3470</v>
      </c>
      <c r="H55" s="49">
        <v>0.50071942446043161</v>
      </c>
    </row>
    <row r="57" spans="1:8" ht="17.5" x14ac:dyDescent="0.4">
      <c r="A57" s="59" t="s">
        <v>313</v>
      </c>
    </row>
    <row r="58" spans="1:8" x14ac:dyDescent="0.4">
      <c r="A58" s="40" t="s">
        <v>385</v>
      </c>
    </row>
    <row r="59" spans="1:8" x14ac:dyDescent="0.4">
      <c r="A59" s="40" t="s">
        <v>386</v>
      </c>
    </row>
    <row r="60" spans="1:8" x14ac:dyDescent="0.4">
      <c r="A60" s="40" t="s">
        <v>387</v>
      </c>
    </row>
    <row r="61" spans="1:8" x14ac:dyDescent="0.4">
      <c r="A61" s="40" t="s">
        <v>314</v>
      </c>
    </row>
    <row r="62" spans="1:8" x14ac:dyDescent="0.4">
      <c r="A62" s="40" t="s">
        <v>315</v>
      </c>
    </row>
    <row r="63" spans="1:8" x14ac:dyDescent="0.4">
      <c r="A63" s="65" t="s">
        <v>316</v>
      </c>
    </row>
    <row r="65" spans="1:12" ht="17.5" hidden="1" x14ac:dyDescent="0.4">
      <c r="A65" s="41" t="s">
        <v>317</v>
      </c>
    </row>
    <row r="66" spans="1:12" hidden="1" x14ac:dyDescent="0.4">
      <c r="A66" s="38" t="s">
        <v>318</v>
      </c>
    </row>
    <row r="67" spans="1:12" hidden="1" x14ac:dyDescent="0.4">
      <c r="A67" s="42" t="s">
        <v>186</v>
      </c>
      <c r="B67" s="42" t="s">
        <v>296</v>
      </c>
      <c r="C67" s="42" t="s">
        <v>319</v>
      </c>
      <c r="D67" s="42" t="s">
        <v>320</v>
      </c>
      <c r="E67" s="42" t="s">
        <v>297</v>
      </c>
      <c r="F67" s="42" t="s">
        <v>321</v>
      </c>
      <c r="G67" s="42" t="s">
        <v>322</v>
      </c>
      <c r="H67" s="42" t="s">
        <v>323</v>
      </c>
      <c r="I67" s="42" t="s">
        <v>324</v>
      </c>
      <c r="J67" s="42" t="s">
        <v>325</v>
      </c>
      <c r="K67" s="42" t="s">
        <v>326</v>
      </c>
      <c r="L67" s="42" t="s">
        <v>327</v>
      </c>
    </row>
    <row r="68" spans="1:12" hidden="1" x14ac:dyDescent="0.4">
      <c r="A68" s="43" t="s">
        <v>14</v>
      </c>
      <c r="B68" s="43" t="s">
        <v>303</v>
      </c>
      <c r="C68" s="62">
        <v>411</v>
      </c>
      <c r="D68" s="62">
        <v>458</v>
      </c>
      <c r="E68" s="45">
        <v>4950</v>
      </c>
      <c r="F68" s="45">
        <v>3960</v>
      </c>
      <c r="G68" s="45">
        <v>1990</v>
      </c>
      <c r="H68" s="49">
        <v>1.0468303826384924</v>
      </c>
      <c r="I68" s="45">
        <v>3757284.0719588809</v>
      </c>
      <c r="J68" s="45">
        <v>1729310</v>
      </c>
      <c r="K68" s="45">
        <v>2027974.0719588809</v>
      </c>
      <c r="L68" s="45">
        <v>430.24728726442038</v>
      </c>
    </row>
    <row r="69" spans="1:12" hidden="1" x14ac:dyDescent="0.4">
      <c r="A69" s="43" t="s">
        <v>14</v>
      </c>
      <c r="B69" s="43" t="s">
        <v>304</v>
      </c>
      <c r="C69" s="62">
        <v>256</v>
      </c>
      <c r="D69" s="62">
        <v>274</v>
      </c>
      <c r="E69" s="45">
        <v>5950</v>
      </c>
      <c r="F69" s="45">
        <v>4760</v>
      </c>
      <c r="G69" s="45">
        <v>2990</v>
      </c>
      <c r="H69" s="49">
        <v>1.0468303826384924</v>
      </c>
      <c r="I69" s="45">
        <v>2813092.0388349518</v>
      </c>
      <c r="J69" s="45">
        <v>1584700</v>
      </c>
      <c r="K69" s="45">
        <v>1228392.0388349518</v>
      </c>
      <c r="L69" s="45">
        <v>267.98857795545405</v>
      </c>
    </row>
    <row r="70" spans="1:12" hidden="1" x14ac:dyDescent="0.4">
      <c r="A70" s="43" t="s">
        <v>14</v>
      </c>
      <c r="B70" s="43" t="s">
        <v>305</v>
      </c>
      <c r="C70" s="62">
        <v>166</v>
      </c>
      <c r="D70" s="62">
        <v>163</v>
      </c>
      <c r="E70" s="45">
        <v>6950</v>
      </c>
      <c r="F70" s="45">
        <v>5560</v>
      </c>
      <c r="G70" s="45">
        <v>3990</v>
      </c>
      <c r="H70" s="49">
        <v>1.0468303826384924</v>
      </c>
      <c r="I70" s="45">
        <v>2130688.2124500284</v>
      </c>
      <c r="J70" s="45">
        <v>1312710</v>
      </c>
      <c r="K70" s="45">
        <v>817978.2124500284</v>
      </c>
      <c r="L70" s="45">
        <v>173.77384351798975</v>
      </c>
    </row>
    <row r="71" spans="1:12" hidden="1" x14ac:dyDescent="0.4">
      <c r="A71" s="43" t="s">
        <v>14</v>
      </c>
      <c r="B71" s="43" t="s">
        <v>328</v>
      </c>
      <c r="C71" s="62">
        <v>16</v>
      </c>
      <c r="D71" s="62">
        <v>7</v>
      </c>
      <c r="E71" s="45">
        <v>6950</v>
      </c>
      <c r="F71" s="45">
        <v>5560</v>
      </c>
      <c r="G71" s="45">
        <v>3990</v>
      </c>
      <c r="H71" s="49">
        <v>1.0468303826384924</v>
      </c>
      <c r="I71" s="45">
        <v>205367.53854940034</v>
      </c>
      <c r="J71" s="45">
        <v>91770</v>
      </c>
      <c r="K71" s="45">
        <v>113597.53854940034</v>
      </c>
      <c r="L71" s="45">
        <v>16.749286122215878</v>
      </c>
    </row>
    <row r="72" spans="1:12" hidden="1" x14ac:dyDescent="0.4">
      <c r="A72" s="43" t="s">
        <v>2</v>
      </c>
      <c r="B72" s="43" t="s">
        <v>303</v>
      </c>
      <c r="C72" s="62">
        <v>300</v>
      </c>
      <c r="D72" s="62">
        <v>366</v>
      </c>
      <c r="E72" s="45">
        <v>4950</v>
      </c>
      <c r="F72" s="45">
        <v>2470</v>
      </c>
      <c r="G72" s="45">
        <v>1990</v>
      </c>
      <c r="H72" s="49">
        <v>0.86751795690343181</v>
      </c>
      <c r="I72" s="45">
        <v>2029264.1660015963</v>
      </c>
      <c r="J72" s="45">
        <v>1325340</v>
      </c>
      <c r="K72" s="45">
        <v>703924.16600159626</v>
      </c>
      <c r="L72" s="45">
        <v>260.25538707102953</v>
      </c>
    </row>
    <row r="73" spans="1:12" hidden="1" x14ac:dyDescent="0.4">
      <c r="A73" s="43" t="s">
        <v>2</v>
      </c>
      <c r="B73" s="43" t="s">
        <v>304</v>
      </c>
      <c r="C73" s="62">
        <v>164</v>
      </c>
      <c r="D73" s="62">
        <v>158</v>
      </c>
      <c r="E73" s="45">
        <v>5950</v>
      </c>
      <c r="F73" s="45">
        <v>2970</v>
      </c>
      <c r="G73" s="45">
        <v>2990</v>
      </c>
      <c r="H73" s="49">
        <v>0.86751795690343181</v>
      </c>
      <c r="I73" s="45">
        <v>1333604.022346369</v>
      </c>
      <c r="J73" s="45">
        <v>962780</v>
      </c>
      <c r="K73" s="45">
        <v>370824.02234636899</v>
      </c>
      <c r="L73" s="45">
        <v>142.27294493216283</v>
      </c>
    </row>
    <row r="74" spans="1:12" hidden="1" x14ac:dyDescent="0.4">
      <c r="A74" s="43" t="s">
        <v>2</v>
      </c>
      <c r="B74" s="43" t="s">
        <v>305</v>
      </c>
      <c r="C74" s="62">
        <v>122</v>
      </c>
      <c r="D74" s="62">
        <v>137</v>
      </c>
      <c r="E74" s="45">
        <v>6950</v>
      </c>
      <c r="F74" s="45">
        <v>3470</v>
      </c>
      <c r="G74" s="45">
        <v>3990</v>
      </c>
      <c r="H74" s="49">
        <v>0.86751795690343181</v>
      </c>
      <c r="I74" s="45">
        <v>1158908.4756584198</v>
      </c>
      <c r="J74" s="45">
        <v>1033410</v>
      </c>
      <c r="K74" s="45">
        <v>125498.47565841977</v>
      </c>
      <c r="L74" s="45">
        <v>105.83719074221868</v>
      </c>
    </row>
    <row r="75" spans="1:12" hidden="1" x14ac:dyDescent="0.4">
      <c r="A75" s="43" t="s">
        <v>2</v>
      </c>
      <c r="B75" s="43" t="s">
        <v>328</v>
      </c>
      <c r="C75" s="62">
        <v>6</v>
      </c>
      <c r="D75" s="62">
        <v>0</v>
      </c>
      <c r="E75" s="45">
        <v>6950</v>
      </c>
      <c r="F75" s="45">
        <v>3470</v>
      </c>
      <c r="G75" s="45">
        <v>3990</v>
      </c>
      <c r="H75" s="49">
        <v>0.86751795690343181</v>
      </c>
      <c r="I75" s="45">
        <v>56995.498802873102</v>
      </c>
      <c r="J75" s="45">
        <v>23940</v>
      </c>
      <c r="K75" s="45">
        <v>33055.498802873102</v>
      </c>
      <c r="L75" s="45">
        <v>5.2051077414205906</v>
      </c>
    </row>
    <row r="76" spans="1:12" hidden="1" x14ac:dyDescent="0.4">
      <c r="A76" s="43" t="s">
        <v>9</v>
      </c>
      <c r="B76" s="43" t="s">
        <v>303</v>
      </c>
      <c r="C76" s="62">
        <v>165</v>
      </c>
      <c r="D76" s="62">
        <v>188</v>
      </c>
      <c r="E76" s="45">
        <v>4950</v>
      </c>
      <c r="F76" s="45">
        <v>2470</v>
      </c>
      <c r="G76" s="45">
        <v>1990</v>
      </c>
      <c r="H76" s="49">
        <v>0.74738415545590431</v>
      </c>
      <c r="I76" s="45">
        <v>1017976.0089686099</v>
      </c>
      <c r="J76" s="45">
        <v>702470</v>
      </c>
      <c r="K76" s="45">
        <v>315506.00896860985</v>
      </c>
      <c r="L76" s="45">
        <v>123.31838565022422</v>
      </c>
    </row>
    <row r="77" spans="1:12" hidden="1" x14ac:dyDescent="0.4">
      <c r="A77" s="43" t="s">
        <v>9</v>
      </c>
      <c r="B77" s="43" t="s">
        <v>304</v>
      </c>
      <c r="C77" s="62">
        <v>81</v>
      </c>
      <c r="D77" s="62">
        <v>87</v>
      </c>
      <c r="E77" s="45">
        <v>5950</v>
      </c>
      <c r="F77" s="45">
        <v>2970</v>
      </c>
      <c r="G77" s="45">
        <v>2990</v>
      </c>
      <c r="H77" s="49">
        <v>0.74738415545590431</v>
      </c>
      <c r="I77" s="45">
        <v>600771.79372197308</v>
      </c>
      <c r="J77" s="45">
        <v>502320</v>
      </c>
      <c r="K77" s="45">
        <v>98451.793721973081</v>
      </c>
      <c r="L77" s="45">
        <v>60.538116591928251</v>
      </c>
    </row>
    <row r="78" spans="1:12" hidden="1" x14ac:dyDescent="0.4">
      <c r="A78" s="43" t="s">
        <v>9</v>
      </c>
      <c r="B78" s="43" t="s">
        <v>305</v>
      </c>
      <c r="C78" s="62">
        <v>60</v>
      </c>
      <c r="D78" s="62">
        <v>88</v>
      </c>
      <c r="E78" s="45">
        <v>6950</v>
      </c>
      <c r="F78" s="45">
        <v>3470</v>
      </c>
      <c r="G78" s="45">
        <v>3990</v>
      </c>
      <c r="H78" s="49">
        <v>0.74738415545590431</v>
      </c>
      <c r="I78" s="45">
        <v>519859.19282511208</v>
      </c>
      <c r="J78" s="45">
        <v>590520</v>
      </c>
      <c r="K78" s="45">
        <v>-70660.807174887916</v>
      </c>
      <c r="L78" s="45">
        <v>44.843049327354258</v>
      </c>
    </row>
    <row r="79" spans="1:12" hidden="1" x14ac:dyDescent="0.4"/>
    <row r="80" spans="1:12" ht="17" hidden="1" x14ac:dyDescent="0.4">
      <c r="A80" s="66" t="s">
        <v>329</v>
      </c>
    </row>
    <row r="81" spans="1:12" hidden="1" x14ac:dyDescent="0.4">
      <c r="A81" s="42" t="s">
        <v>186</v>
      </c>
      <c r="B81" s="42" t="s">
        <v>324</v>
      </c>
      <c r="C81" s="42" t="s">
        <v>330</v>
      </c>
      <c r="D81" s="42" t="s">
        <v>326</v>
      </c>
      <c r="E81" s="42" t="s">
        <v>331</v>
      </c>
    </row>
    <row r="82" spans="1:12" hidden="1" x14ac:dyDescent="0.4">
      <c r="A82" s="43" t="s">
        <v>14</v>
      </c>
      <c r="B82" s="45">
        <v>8906431.861793261</v>
      </c>
      <c r="C82" s="45">
        <v>4718490</v>
      </c>
      <c r="D82" s="45">
        <v>4187941.861793261</v>
      </c>
      <c r="E82" s="49">
        <v>0.88755976208347609</v>
      </c>
    </row>
    <row r="83" spans="1:12" hidden="1" x14ac:dyDescent="0.4">
      <c r="A83" s="43" t="s">
        <v>2</v>
      </c>
      <c r="B83" s="45">
        <v>4578772.1628092583</v>
      </c>
      <c r="C83" s="45">
        <v>3345470</v>
      </c>
      <c r="D83" s="45">
        <v>1233302.1628092583</v>
      </c>
      <c r="E83" s="49">
        <v>0.36864840001831084</v>
      </c>
    </row>
    <row r="84" spans="1:12" hidden="1" x14ac:dyDescent="0.4">
      <c r="A84" s="43" t="s">
        <v>9</v>
      </c>
      <c r="B84" s="45">
        <v>2138606.9955156948</v>
      </c>
      <c r="C84" s="45">
        <v>1795310</v>
      </c>
      <c r="D84" s="45">
        <v>343296.99551569484</v>
      </c>
      <c r="E84" s="49">
        <v>0.19121878422985158</v>
      </c>
    </row>
    <row r="85" spans="1:12" hidden="1" x14ac:dyDescent="0.4">
      <c r="A85" s="53" t="s">
        <v>287</v>
      </c>
      <c r="B85" s="54">
        <v>15623811.020118216</v>
      </c>
      <c r="C85" s="54">
        <v>9859270</v>
      </c>
      <c r="D85" s="54">
        <v>5764541.0201182161</v>
      </c>
      <c r="E85" s="55">
        <v>0.5846823365338627</v>
      </c>
    </row>
    <row r="86" spans="1:12" hidden="1" x14ac:dyDescent="0.4"/>
    <row r="87" spans="1:12" ht="17.5" x14ac:dyDescent="0.4">
      <c r="A87" s="59" t="s">
        <v>332</v>
      </c>
    </row>
    <row r="88" spans="1:12" x14ac:dyDescent="0.4">
      <c r="A88" s="38" t="s">
        <v>333</v>
      </c>
    </row>
    <row r="89" spans="1:12" x14ac:dyDescent="0.4">
      <c r="A89" s="42" t="s">
        <v>270</v>
      </c>
      <c r="B89" s="42" t="s">
        <v>186</v>
      </c>
      <c r="C89" s="42" t="s">
        <v>296</v>
      </c>
      <c r="D89" s="42" t="s">
        <v>319</v>
      </c>
      <c r="E89" s="42" t="s">
        <v>320</v>
      </c>
      <c r="F89" s="42" t="s">
        <v>297</v>
      </c>
      <c r="G89" s="42" t="s">
        <v>321</v>
      </c>
      <c r="H89" s="42" t="s">
        <v>322</v>
      </c>
      <c r="I89" s="42" t="s">
        <v>334</v>
      </c>
      <c r="J89" s="42" t="s">
        <v>324</v>
      </c>
      <c r="K89" s="42" t="s">
        <v>330</v>
      </c>
      <c r="L89" s="42" t="s">
        <v>335</v>
      </c>
    </row>
    <row r="90" spans="1:12" x14ac:dyDescent="0.4">
      <c r="A90" s="43" t="s">
        <v>19</v>
      </c>
      <c r="B90" s="43" t="s">
        <v>2</v>
      </c>
      <c r="C90" s="43" t="s">
        <v>303</v>
      </c>
      <c r="D90" s="62">
        <v>147</v>
      </c>
      <c r="E90" s="62">
        <v>138</v>
      </c>
      <c r="F90" s="45">
        <v>4950</v>
      </c>
      <c r="G90" s="45">
        <v>2470</v>
      </c>
      <c r="H90" s="45">
        <v>1990</v>
      </c>
      <c r="I90" s="49">
        <v>0.86751795690343181</v>
      </c>
      <c r="J90" s="45">
        <v>994339.4413407821</v>
      </c>
      <c r="K90" s="45">
        <v>567150</v>
      </c>
      <c r="L90" s="45">
        <v>427189.4413407821</v>
      </c>
    </row>
    <row r="91" spans="1:12" x14ac:dyDescent="0.4">
      <c r="A91" s="43" t="s">
        <v>19</v>
      </c>
      <c r="B91" s="43" t="s">
        <v>2</v>
      </c>
      <c r="C91" s="43" t="s">
        <v>304</v>
      </c>
      <c r="D91" s="62">
        <v>75</v>
      </c>
      <c r="E91" s="62">
        <v>58</v>
      </c>
      <c r="F91" s="45">
        <v>5950</v>
      </c>
      <c r="G91" s="45">
        <v>2970</v>
      </c>
      <c r="H91" s="45">
        <v>2990</v>
      </c>
      <c r="I91" s="49">
        <v>0.86751795690343181</v>
      </c>
      <c r="J91" s="45">
        <v>609879.88826815644</v>
      </c>
      <c r="K91" s="45">
        <v>397670</v>
      </c>
      <c r="L91" s="45">
        <v>212209.88826815644</v>
      </c>
    </row>
    <row r="92" spans="1:12" x14ac:dyDescent="0.4">
      <c r="A92" s="43" t="s">
        <v>19</v>
      </c>
      <c r="B92" s="43" t="s">
        <v>2</v>
      </c>
      <c r="C92" s="43" t="s">
        <v>305</v>
      </c>
      <c r="D92" s="62">
        <v>48</v>
      </c>
      <c r="E92" s="62">
        <v>49</v>
      </c>
      <c r="F92" s="45">
        <v>6950</v>
      </c>
      <c r="G92" s="45">
        <v>3470</v>
      </c>
      <c r="H92" s="45">
        <v>3990</v>
      </c>
      <c r="I92" s="49">
        <v>0.86751795690343181</v>
      </c>
      <c r="J92" s="45">
        <v>455963.99042298482</v>
      </c>
      <c r="K92" s="45">
        <v>387030</v>
      </c>
      <c r="L92" s="45">
        <v>68933.990422984818</v>
      </c>
    </row>
    <row r="93" spans="1:12" x14ac:dyDescent="0.4">
      <c r="A93" s="43" t="s">
        <v>19</v>
      </c>
      <c r="B93" s="43" t="s">
        <v>2</v>
      </c>
      <c r="C93" s="43" t="s">
        <v>328</v>
      </c>
      <c r="D93" s="62">
        <v>6</v>
      </c>
      <c r="E93" s="62">
        <v>0</v>
      </c>
      <c r="F93" s="45">
        <v>6950</v>
      </c>
      <c r="G93" s="45">
        <v>3470</v>
      </c>
      <c r="H93" s="45">
        <v>3990</v>
      </c>
      <c r="I93" s="49">
        <v>0.86751795690343181</v>
      </c>
      <c r="J93" s="45">
        <v>56995.498802873102</v>
      </c>
      <c r="K93" s="45">
        <v>23940</v>
      </c>
      <c r="L93" s="45">
        <v>33055.498802873102</v>
      </c>
    </row>
    <row r="94" spans="1:12" x14ac:dyDescent="0.4">
      <c r="A94" s="43" t="s">
        <v>145</v>
      </c>
      <c r="B94" s="43" t="s">
        <v>14</v>
      </c>
      <c r="C94" s="43" t="s">
        <v>303</v>
      </c>
      <c r="D94" s="62">
        <v>129</v>
      </c>
      <c r="E94" s="62">
        <v>148</v>
      </c>
      <c r="F94" s="45">
        <v>4950</v>
      </c>
      <c r="G94" s="45">
        <v>3960</v>
      </c>
      <c r="H94" s="45">
        <v>1990</v>
      </c>
      <c r="I94" s="49">
        <v>1.0468303826384924</v>
      </c>
      <c r="J94" s="45">
        <v>1179293.5408338094</v>
      </c>
      <c r="K94" s="45">
        <v>551230</v>
      </c>
      <c r="L94" s="45">
        <v>628063.54083380941</v>
      </c>
    </row>
    <row r="95" spans="1:12" x14ac:dyDescent="0.4">
      <c r="A95" s="43" t="s">
        <v>145</v>
      </c>
      <c r="B95" s="43" t="s">
        <v>14</v>
      </c>
      <c r="C95" s="43" t="s">
        <v>304</v>
      </c>
      <c r="D95" s="62">
        <v>84</v>
      </c>
      <c r="E95" s="62">
        <v>74</v>
      </c>
      <c r="F95" s="45">
        <v>5950</v>
      </c>
      <c r="G95" s="45">
        <v>4760</v>
      </c>
      <c r="H95" s="45">
        <v>2990</v>
      </c>
      <c r="I95" s="49">
        <v>1.0468303826384924</v>
      </c>
      <c r="J95" s="45">
        <v>923045.82524271845</v>
      </c>
      <c r="K95" s="45">
        <v>472420</v>
      </c>
      <c r="L95" s="45">
        <v>450625.82524271845</v>
      </c>
    </row>
    <row r="96" spans="1:12" x14ac:dyDescent="0.4">
      <c r="A96" s="43" t="s">
        <v>145</v>
      </c>
      <c r="B96" s="43" t="s">
        <v>14</v>
      </c>
      <c r="C96" s="43" t="s">
        <v>305</v>
      </c>
      <c r="D96" s="62">
        <v>55</v>
      </c>
      <c r="E96" s="62">
        <v>36</v>
      </c>
      <c r="F96" s="45">
        <v>6950</v>
      </c>
      <c r="G96" s="45">
        <v>5560</v>
      </c>
      <c r="H96" s="45">
        <v>3990</v>
      </c>
      <c r="I96" s="49">
        <v>1.0468303826384924</v>
      </c>
      <c r="J96" s="45">
        <v>705950.91376356373</v>
      </c>
      <c r="K96" s="45">
        <v>363090</v>
      </c>
      <c r="L96" s="45">
        <v>342860.91376356373</v>
      </c>
    </row>
    <row r="97" spans="1:12" x14ac:dyDescent="0.4">
      <c r="A97" s="43" t="s">
        <v>145</v>
      </c>
      <c r="B97" s="43" t="s">
        <v>14</v>
      </c>
      <c r="C97" s="43" t="s">
        <v>328</v>
      </c>
      <c r="D97" s="62">
        <v>1</v>
      </c>
      <c r="E97" s="62">
        <v>0</v>
      </c>
      <c r="F97" s="45">
        <v>6950</v>
      </c>
      <c r="G97" s="45">
        <v>5560</v>
      </c>
      <c r="H97" s="45">
        <v>3990</v>
      </c>
      <c r="I97" s="49">
        <v>1.0468303826384924</v>
      </c>
      <c r="J97" s="45">
        <v>12835.471159337521</v>
      </c>
      <c r="K97" s="45">
        <v>3990</v>
      </c>
      <c r="L97" s="45">
        <v>8845.4711593375214</v>
      </c>
    </row>
    <row r="98" spans="1:12" x14ac:dyDescent="0.4">
      <c r="A98" s="43" t="s">
        <v>146</v>
      </c>
      <c r="B98" s="43" t="s">
        <v>14</v>
      </c>
      <c r="C98" s="43" t="s">
        <v>303</v>
      </c>
      <c r="D98" s="62">
        <v>123</v>
      </c>
      <c r="E98" s="62">
        <v>164</v>
      </c>
      <c r="F98" s="45">
        <v>4950</v>
      </c>
      <c r="G98" s="45">
        <v>3960</v>
      </c>
      <c r="H98" s="45">
        <v>1990</v>
      </c>
      <c r="I98" s="49">
        <v>1.0468303826384924</v>
      </c>
      <c r="J98" s="45">
        <v>1124442.678469446</v>
      </c>
      <c r="K98" s="45">
        <v>571130</v>
      </c>
      <c r="L98" s="45">
        <v>553312.67846944602</v>
      </c>
    </row>
    <row r="99" spans="1:12" x14ac:dyDescent="0.4">
      <c r="A99" s="43" t="s">
        <v>146</v>
      </c>
      <c r="B99" s="43" t="s">
        <v>14</v>
      </c>
      <c r="C99" s="43" t="s">
        <v>304</v>
      </c>
      <c r="D99" s="62">
        <v>80</v>
      </c>
      <c r="E99" s="62">
        <v>101</v>
      </c>
      <c r="F99" s="45">
        <v>5950</v>
      </c>
      <c r="G99" s="45">
        <v>4760</v>
      </c>
      <c r="H99" s="45">
        <v>2990</v>
      </c>
      <c r="I99" s="49">
        <v>1.0468303826384924</v>
      </c>
      <c r="J99" s="45">
        <v>879091.26213592244</v>
      </c>
      <c r="K99" s="45">
        <v>541190</v>
      </c>
      <c r="L99" s="45">
        <v>337901.26213592244</v>
      </c>
    </row>
    <row r="100" spans="1:12" x14ac:dyDescent="0.4">
      <c r="A100" s="43" t="s">
        <v>146</v>
      </c>
      <c r="B100" s="43" t="s">
        <v>14</v>
      </c>
      <c r="C100" s="43" t="s">
        <v>305</v>
      </c>
      <c r="D100" s="62">
        <v>38</v>
      </c>
      <c r="E100" s="62">
        <v>33</v>
      </c>
      <c r="F100" s="45">
        <v>6950</v>
      </c>
      <c r="G100" s="45">
        <v>5560</v>
      </c>
      <c r="H100" s="45">
        <v>3990</v>
      </c>
      <c r="I100" s="49">
        <v>1.0468303826384924</v>
      </c>
      <c r="J100" s="45">
        <v>487747.90405482583</v>
      </c>
      <c r="K100" s="45">
        <v>283290</v>
      </c>
      <c r="L100" s="45">
        <v>204457.90405482583</v>
      </c>
    </row>
    <row r="101" spans="1:12" x14ac:dyDescent="0.4">
      <c r="A101" s="43" t="s">
        <v>146</v>
      </c>
      <c r="B101" s="43" t="s">
        <v>14</v>
      </c>
      <c r="C101" s="43" t="s">
        <v>328</v>
      </c>
      <c r="D101" s="62">
        <v>15</v>
      </c>
      <c r="E101" s="62">
        <v>7</v>
      </c>
      <c r="F101" s="45">
        <v>6950</v>
      </c>
      <c r="G101" s="45">
        <v>5560</v>
      </c>
      <c r="H101" s="45">
        <v>3990</v>
      </c>
      <c r="I101" s="49">
        <v>1.0468303826384924</v>
      </c>
      <c r="J101" s="45">
        <v>192532.06739006282</v>
      </c>
      <c r="K101" s="45">
        <v>87780</v>
      </c>
      <c r="L101" s="45">
        <v>104752.06739006282</v>
      </c>
    </row>
    <row r="102" spans="1:12" x14ac:dyDescent="0.4">
      <c r="A102" s="43" t="s">
        <v>148</v>
      </c>
      <c r="B102" s="43" t="s">
        <v>2</v>
      </c>
      <c r="C102" s="43" t="s">
        <v>303</v>
      </c>
      <c r="D102" s="62">
        <v>153</v>
      </c>
      <c r="E102" s="62">
        <v>228</v>
      </c>
      <c r="F102" s="45">
        <v>4950</v>
      </c>
      <c r="G102" s="45">
        <v>2470</v>
      </c>
      <c r="H102" s="45">
        <v>1990</v>
      </c>
      <c r="I102" s="49">
        <v>0.86751795690343181</v>
      </c>
      <c r="J102" s="45">
        <v>1034924.724660814</v>
      </c>
      <c r="K102" s="45">
        <v>758190</v>
      </c>
      <c r="L102" s="45">
        <v>276734.72466081404</v>
      </c>
    </row>
    <row r="103" spans="1:12" x14ac:dyDescent="0.4">
      <c r="A103" s="43" t="s">
        <v>148</v>
      </c>
      <c r="B103" s="43" t="s">
        <v>2</v>
      </c>
      <c r="C103" s="43" t="s">
        <v>304</v>
      </c>
      <c r="D103" s="62">
        <v>89</v>
      </c>
      <c r="E103" s="62">
        <v>100</v>
      </c>
      <c r="F103" s="45">
        <v>5950</v>
      </c>
      <c r="G103" s="45">
        <v>2970</v>
      </c>
      <c r="H103" s="45">
        <v>2990</v>
      </c>
      <c r="I103" s="49">
        <v>0.86751795690343181</v>
      </c>
      <c r="J103" s="45">
        <v>723724.13407821232</v>
      </c>
      <c r="K103" s="45">
        <v>565110</v>
      </c>
      <c r="L103" s="45">
        <v>158614.13407821232</v>
      </c>
    </row>
    <row r="104" spans="1:12" x14ac:dyDescent="0.4">
      <c r="A104" s="43" t="s">
        <v>148</v>
      </c>
      <c r="B104" s="43" t="s">
        <v>2</v>
      </c>
      <c r="C104" s="43" t="s">
        <v>305</v>
      </c>
      <c r="D104" s="62">
        <v>74</v>
      </c>
      <c r="E104" s="62">
        <v>88</v>
      </c>
      <c r="F104" s="45">
        <v>6950</v>
      </c>
      <c r="G104" s="45">
        <v>3470</v>
      </c>
      <c r="H104" s="45">
        <v>3990</v>
      </c>
      <c r="I104" s="49">
        <v>0.86751795690343181</v>
      </c>
      <c r="J104" s="45">
        <v>702944.48523543496</v>
      </c>
      <c r="K104" s="45">
        <v>646380</v>
      </c>
      <c r="L104" s="45">
        <v>56564.485235434957</v>
      </c>
    </row>
    <row r="105" spans="1:12" x14ac:dyDescent="0.4">
      <c r="A105" s="43" t="s">
        <v>149</v>
      </c>
      <c r="B105" s="43" t="s">
        <v>14</v>
      </c>
      <c r="C105" s="43" t="s">
        <v>303</v>
      </c>
      <c r="D105" s="62">
        <v>159</v>
      </c>
      <c r="E105" s="62">
        <v>146</v>
      </c>
      <c r="F105" s="45">
        <v>4950</v>
      </c>
      <c r="G105" s="45">
        <v>3960</v>
      </c>
      <c r="H105" s="45">
        <v>1990</v>
      </c>
      <c r="I105" s="49">
        <v>1.0468303826384924</v>
      </c>
      <c r="J105" s="45">
        <v>1453547.8526556254</v>
      </c>
      <c r="K105" s="45">
        <v>606950</v>
      </c>
      <c r="L105" s="45">
        <v>846597.85265562544</v>
      </c>
    </row>
    <row r="106" spans="1:12" x14ac:dyDescent="0.4">
      <c r="A106" s="43" t="s">
        <v>149</v>
      </c>
      <c r="B106" s="43" t="s">
        <v>14</v>
      </c>
      <c r="C106" s="43" t="s">
        <v>304</v>
      </c>
      <c r="D106" s="62">
        <v>92</v>
      </c>
      <c r="E106" s="62">
        <v>99</v>
      </c>
      <c r="F106" s="45">
        <v>5950</v>
      </c>
      <c r="G106" s="45">
        <v>4760</v>
      </c>
      <c r="H106" s="45">
        <v>2990</v>
      </c>
      <c r="I106" s="49">
        <v>1.0468303826384924</v>
      </c>
      <c r="J106" s="45">
        <v>1010954.9514563107</v>
      </c>
      <c r="K106" s="45">
        <v>571090</v>
      </c>
      <c r="L106" s="45">
        <v>439864.95145631069</v>
      </c>
    </row>
    <row r="107" spans="1:12" x14ac:dyDescent="0.4">
      <c r="A107" s="43" t="s">
        <v>149</v>
      </c>
      <c r="B107" s="43" t="s">
        <v>14</v>
      </c>
      <c r="C107" s="43" t="s">
        <v>305</v>
      </c>
      <c r="D107" s="62">
        <v>73</v>
      </c>
      <c r="E107" s="62">
        <v>94</v>
      </c>
      <c r="F107" s="45">
        <v>6950</v>
      </c>
      <c r="G107" s="45">
        <v>5560</v>
      </c>
      <c r="H107" s="45">
        <v>3990</v>
      </c>
      <c r="I107" s="49">
        <v>1.0468303826384924</v>
      </c>
      <c r="J107" s="45">
        <v>936989.39463163912</v>
      </c>
      <c r="K107" s="45">
        <v>666330</v>
      </c>
      <c r="L107" s="45">
        <v>270659.39463163912</v>
      </c>
    </row>
    <row r="108" spans="1:12" x14ac:dyDescent="0.4">
      <c r="A108" s="43" t="s">
        <v>150</v>
      </c>
      <c r="B108" s="43" t="s">
        <v>9</v>
      </c>
      <c r="C108" s="43" t="s">
        <v>303</v>
      </c>
      <c r="D108" s="62">
        <v>165</v>
      </c>
      <c r="E108" s="62">
        <v>188</v>
      </c>
      <c r="F108" s="45">
        <v>4950</v>
      </c>
      <c r="G108" s="45">
        <v>2470</v>
      </c>
      <c r="H108" s="45">
        <v>1990</v>
      </c>
      <c r="I108" s="49">
        <v>0.74738415545590431</v>
      </c>
      <c r="J108" s="45">
        <v>1017976.0089686099</v>
      </c>
      <c r="K108" s="45">
        <v>702470</v>
      </c>
      <c r="L108" s="45">
        <v>315506.00896860985</v>
      </c>
    </row>
    <row r="109" spans="1:12" x14ac:dyDescent="0.4">
      <c r="A109" s="43" t="s">
        <v>150</v>
      </c>
      <c r="B109" s="43" t="s">
        <v>9</v>
      </c>
      <c r="C109" s="43" t="s">
        <v>304</v>
      </c>
      <c r="D109" s="62">
        <v>81</v>
      </c>
      <c r="E109" s="62">
        <v>87</v>
      </c>
      <c r="F109" s="45">
        <v>5950</v>
      </c>
      <c r="G109" s="45">
        <v>2970</v>
      </c>
      <c r="H109" s="45">
        <v>2990</v>
      </c>
      <c r="I109" s="49">
        <v>0.74738415545590431</v>
      </c>
      <c r="J109" s="45">
        <v>600771.79372197308</v>
      </c>
      <c r="K109" s="45">
        <v>502320</v>
      </c>
      <c r="L109" s="45">
        <v>98451.793721973081</v>
      </c>
    </row>
    <row r="110" spans="1:12" x14ac:dyDescent="0.4">
      <c r="A110" s="43" t="s">
        <v>150</v>
      </c>
      <c r="B110" s="43" t="s">
        <v>9</v>
      </c>
      <c r="C110" s="43" t="s">
        <v>305</v>
      </c>
      <c r="D110" s="62">
        <v>60</v>
      </c>
      <c r="E110" s="62">
        <v>88</v>
      </c>
      <c r="F110" s="45">
        <v>6950</v>
      </c>
      <c r="G110" s="45">
        <v>3470</v>
      </c>
      <c r="H110" s="45">
        <v>3990</v>
      </c>
      <c r="I110" s="49">
        <v>0.74738415545590431</v>
      </c>
      <c r="J110" s="45">
        <v>519859.19282511208</v>
      </c>
      <c r="K110" s="45">
        <v>590520</v>
      </c>
      <c r="L110" s="45">
        <v>-70660.807174887916</v>
      </c>
    </row>
    <row r="112" spans="1:12" ht="17.5" x14ac:dyDescent="0.4">
      <c r="A112" s="59" t="s">
        <v>336</v>
      </c>
    </row>
    <row r="113" spans="1:6" x14ac:dyDescent="0.4">
      <c r="A113" s="42" t="s">
        <v>270</v>
      </c>
      <c r="B113" s="42" t="s">
        <v>186</v>
      </c>
      <c r="C113" s="42" t="s">
        <v>324</v>
      </c>
      <c r="D113" s="42" t="s">
        <v>330</v>
      </c>
      <c r="E113" s="42" t="s">
        <v>335</v>
      </c>
      <c r="F113" s="42" t="s">
        <v>337</v>
      </c>
    </row>
    <row r="114" spans="1:6" x14ac:dyDescent="0.4">
      <c r="A114" s="43" t="s">
        <v>149</v>
      </c>
      <c r="B114" s="43" t="s">
        <v>14</v>
      </c>
      <c r="C114" s="45">
        <v>3401492.1987435753</v>
      </c>
      <c r="D114" s="45">
        <v>1844370</v>
      </c>
      <c r="E114" s="45">
        <v>1557122.1987435753</v>
      </c>
      <c r="F114" s="49">
        <v>0.84425695426816483</v>
      </c>
    </row>
    <row r="115" spans="1:6" x14ac:dyDescent="0.4">
      <c r="A115" s="43" t="s">
        <v>145</v>
      </c>
      <c r="B115" s="43" t="s">
        <v>14</v>
      </c>
      <c r="C115" s="45">
        <v>2821125.7509994293</v>
      </c>
      <c r="D115" s="45">
        <v>1390730</v>
      </c>
      <c r="E115" s="45">
        <v>1430395.7509994293</v>
      </c>
      <c r="F115" s="49">
        <v>1.0285215325760064</v>
      </c>
    </row>
    <row r="116" spans="1:6" x14ac:dyDescent="0.4">
      <c r="A116" s="43" t="s">
        <v>146</v>
      </c>
      <c r="B116" s="43" t="s">
        <v>14</v>
      </c>
      <c r="C116" s="45">
        <v>2683813.912050257</v>
      </c>
      <c r="D116" s="45">
        <v>1483390</v>
      </c>
      <c r="E116" s="45">
        <v>1200423.912050257</v>
      </c>
      <c r="F116" s="49">
        <v>0.80924363252432396</v>
      </c>
    </row>
    <row r="117" spans="1:6" x14ac:dyDescent="0.4">
      <c r="A117" s="43" t="s">
        <v>19</v>
      </c>
      <c r="B117" s="43" t="s">
        <v>2</v>
      </c>
      <c r="C117" s="45">
        <v>2117178.8188347965</v>
      </c>
      <c r="D117" s="45">
        <v>1375790</v>
      </c>
      <c r="E117" s="45">
        <v>741388.81883479655</v>
      </c>
      <c r="F117" s="49">
        <v>0.53888225589283001</v>
      </c>
    </row>
    <row r="118" spans="1:6" x14ac:dyDescent="0.4">
      <c r="A118" s="43" t="s">
        <v>148</v>
      </c>
      <c r="B118" s="43" t="s">
        <v>2</v>
      </c>
      <c r="C118" s="45">
        <v>2461593.3439744613</v>
      </c>
      <c r="D118" s="45">
        <v>1969680</v>
      </c>
      <c r="E118" s="45">
        <v>491913.34397446131</v>
      </c>
      <c r="F118" s="49">
        <v>0.24974277241707349</v>
      </c>
    </row>
    <row r="119" spans="1:6" x14ac:dyDescent="0.4">
      <c r="A119" s="43" t="s">
        <v>150</v>
      </c>
      <c r="B119" s="43" t="s">
        <v>9</v>
      </c>
      <c r="C119" s="45">
        <v>2138606.9955156948</v>
      </c>
      <c r="D119" s="45">
        <v>1795310</v>
      </c>
      <c r="E119" s="45">
        <v>343296.99551569484</v>
      </c>
      <c r="F119" s="49">
        <v>0.19121878422985158</v>
      </c>
    </row>
    <row r="120" spans="1:6" x14ac:dyDescent="0.4">
      <c r="A120" s="53" t="s">
        <v>287</v>
      </c>
      <c r="B120" s="53"/>
      <c r="C120" s="54">
        <v>15623811.020118218</v>
      </c>
      <c r="D120" s="54">
        <v>9859270</v>
      </c>
      <c r="E120" s="54">
        <v>5764541.0201182179</v>
      </c>
      <c r="F120" s="55">
        <v>0.58468233653386281</v>
      </c>
    </row>
    <row r="122" spans="1:6" ht="17" x14ac:dyDescent="0.4">
      <c r="A122" s="67" t="s">
        <v>338</v>
      </c>
    </row>
    <row r="123" spans="1:6" x14ac:dyDescent="0.4">
      <c r="A123" s="40" t="s">
        <v>339</v>
      </c>
    </row>
    <row r="124" spans="1:6" x14ac:dyDescent="0.4">
      <c r="A124" s="40" t="s">
        <v>388</v>
      </c>
    </row>
    <row r="125" spans="1:6" x14ac:dyDescent="0.4">
      <c r="A125" s="40" t="s">
        <v>389</v>
      </c>
    </row>
    <row r="126" spans="1:6" x14ac:dyDescent="0.4">
      <c r="A126" s="65" t="s">
        <v>340</v>
      </c>
    </row>
    <row r="127" spans="1:6" x14ac:dyDescent="0.4">
      <c r="A127" s="68" t="s">
        <v>341</v>
      </c>
    </row>
  </sheetData>
  <phoneticPr fontId="3" type="noConversion"/>
  <conditionalFormatting sqref="L90:L11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Claude Log</vt:lpstr>
      <vt:lpstr>세팅</vt:lpstr>
      <vt:lpstr>요약_월별시즈널리티</vt:lpstr>
      <vt:lpstr>Raw_매출</vt:lpstr>
      <vt:lpstr>Calc_오픈정렬</vt:lpstr>
      <vt:lpstr>Calc_지수곡선</vt:lpstr>
      <vt:lpstr>요약_연차별성장률</vt:lpstr>
      <vt:lpstr>요약_이탈분석</vt:lpstr>
      <vt:lpstr>요약_성장곡선</vt:lpstr>
      <vt:lpstr>종합결론</vt:lpstr>
      <vt:lpstr>R_오픈할인분석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cho</dc:creator>
  <cp:lastModifiedBy>동관 김</cp:lastModifiedBy>
  <dcterms:created xsi:type="dcterms:W3CDTF">2026-06-17T01:38:45Z</dcterms:created>
  <dcterms:modified xsi:type="dcterms:W3CDTF">2026-07-29T05:20:57Z</dcterms:modified>
</cp:coreProperties>
</file>